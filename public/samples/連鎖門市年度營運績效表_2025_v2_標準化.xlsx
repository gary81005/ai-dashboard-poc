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欄位定義" sheetId="2" state="visible" r:id="rId4"/>
    <sheet name="門市主檔" sheetId="3" state="visible" r:id="rId5"/>
    <sheet name="月曆參數" sheetId="4" state="visible" r:id="rId6"/>
    <sheet name="月營運明細" sheetId="5" state="visible" r:id="rId7"/>
    <sheet name="門市年度彙總" sheetId="6" state="visible" r:id="rId8"/>
    <sheet name="月度彙總" sheetId="7" state="visible" r:id="rId9"/>
    <sheet name="人氣餐點彙總" sheetId="8" state="visible" r:id="rId10"/>
    <sheet name="年度關鍵指標" sheetId="9" state="visible" r:id="rId11"/>
    <sheet name="圖表預覽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<sst xmlns="http://schemas.openxmlformats.org/spreadsheetml/2006/main" count="834" uniqueCount="237">
  <si>
    <t xml:space="preserve">類別</t>
  </si>
  <si>
    <t xml:space="preserve">說明</t>
  </si>
  <si>
    <t xml:space="preserve">結構規範</t>
  </si>
  <si>
    <r>
      <rPr>
        <sz val="10"/>
        <rFont val="Noto Sans CJK SC"/>
        <family val="2"/>
      </rPr>
      <t xml:space="preserve">每張資料工作表第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列為欄位標題，第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列起為資料，中間無空列、無小計或合計列。</t>
    </r>
  </si>
  <si>
    <r>
      <rPr>
        <sz val="10"/>
        <rFont val="Noto Sans CJK SC"/>
        <family val="2"/>
      </rPr>
      <t xml:space="preserve">全檔無合併儲存格、無跨欄置中、無標題橫幅，可直接以 </t>
    </r>
    <r>
      <rPr>
        <sz val="10"/>
        <rFont val="Arial"/>
        <family val="0"/>
        <charset val="1"/>
      </rPr>
      <t xml:space="preserve">pandas.read_excel(header=0) </t>
    </r>
    <r>
      <rPr>
        <sz val="10"/>
        <rFont val="Noto Sans CJK SC"/>
        <family val="2"/>
      </rPr>
      <t xml:space="preserve">讀取。</t>
    </r>
  </si>
  <si>
    <r>
      <rPr>
        <sz val="10"/>
        <rFont val="Noto Sans CJK SC"/>
        <family val="2"/>
      </rPr>
      <t xml:space="preserve">每張資料工作表皆已定義為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表格物件，名稱為 </t>
    </r>
    <r>
      <rPr>
        <sz val="10"/>
        <rFont val="Arial"/>
        <family val="0"/>
        <charset val="1"/>
      </rPr>
      <t xml:space="preserve">tbl_ </t>
    </r>
    <r>
      <rPr>
        <sz val="10"/>
        <rFont val="Noto Sans CJK SC"/>
        <family val="2"/>
      </rPr>
      <t xml:space="preserve">開頭，可供 </t>
    </r>
    <r>
      <rPr>
        <sz val="10"/>
        <rFont val="Arial"/>
        <family val="0"/>
        <charset val="1"/>
      </rPr>
      <t xml:space="preserve">BI </t>
    </r>
    <r>
      <rPr>
        <sz val="10"/>
        <rFont val="Noto Sans CJK SC"/>
        <family val="2"/>
      </rPr>
      <t xml:space="preserve">工具直接指定資料來源。</t>
    </r>
  </si>
  <si>
    <r>
      <rPr>
        <sz val="10"/>
        <rFont val="Noto Sans CJK SC"/>
        <family val="2"/>
      </rPr>
      <t xml:space="preserve">合計與比率不放在資料表內，統一放在「年度關鍵指標」工作表，以指標代碼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數值的長格式呈現。</t>
    </r>
  </si>
  <si>
    <t xml:space="preserve">主鍵</t>
  </si>
  <si>
    <r>
      <rPr>
        <sz val="10"/>
        <rFont val="Noto Sans CJK SC"/>
        <family val="2"/>
      </rPr>
      <t xml:space="preserve">「月營運明細」主鍵為 年月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門市代號，兩者組合唯一，共 </t>
    </r>
    <r>
      <rPr>
        <sz val="10"/>
        <rFont val="Arial"/>
        <family val="0"/>
        <charset val="1"/>
      </rPr>
      <t xml:space="preserve">96 </t>
    </r>
    <r>
      <rPr>
        <sz val="10"/>
        <rFont val="Noto Sans CJK SC"/>
        <family val="2"/>
      </rPr>
      <t xml:space="preserve">筆。</t>
    </r>
  </si>
  <si>
    <t xml:space="preserve">「門市主檔」主鍵為 門市代號；「月曆參數」主鍵為 年月。其餘工作表皆以此二者外連。</t>
  </si>
  <si>
    <t xml:space="preserve">資料型別</t>
  </si>
  <si>
    <r>
      <rPr>
        <sz val="10"/>
        <rFont val="Noto Sans CJK SC"/>
        <family val="2"/>
      </rPr>
      <t xml:space="preserve">年月一律為文字 </t>
    </r>
    <r>
      <rPr>
        <sz val="10"/>
        <rFont val="Arial"/>
        <family val="0"/>
        <charset val="1"/>
      </rPr>
      <t xml:space="preserve">YYYY-MM</t>
    </r>
    <r>
      <rPr>
        <sz val="10"/>
        <rFont val="Noto Sans CJK SC"/>
        <family val="2"/>
      </rPr>
      <t xml:space="preserve">；月為 </t>
    </r>
    <r>
      <rPr>
        <sz val="10"/>
        <rFont val="Arial"/>
        <family val="0"/>
        <charset val="1"/>
      </rPr>
      <t xml:space="preserve">1-12 </t>
    </r>
    <r>
      <rPr>
        <sz val="10"/>
        <rFont val="Noto Sans CJK SC"/>
        <family val="2"/>
      </rPr>
      <t xml:space="preserve">純整數；日期一律 </t>
    </r>
    <r>
      <rPr>
        <sz val="10"/>
        <rFont val="Arial"/>
        <family val="0"/>
        <charset val="1"/>
      </rPr>
      <t xml:space="preserve">yyyy-mm-dd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</si>
  <si>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所有百分比欄位以小數儲存（</t>
    </r>
    <r>
      <rPr>
        <sz val="10"/>
        <rFont val="Arial"/>
        <family val="0"/>
        <charset val="1"/>
      </rPr>
      <t xml:space="preserve">0.227 </t>
    </r>
    <r>
      <rPr>
        <sz val="10"/>
        <rFont val="Noto Sans CJK SC"/>
        <family val="2"/>
      </rPr>
      <t xml:space="preserve">代表 </t>
    </r>
    <r>
      <rPr>
        <sz val="10"/>
        <rFont val="Arial"/>
        <family val="0"/>
        <charset val="1"/>
      </rPr>
      <t xml:space="preserve">22.7%</t>
    </r>
    <r>
      <rPr>
        <sz val="10"/>
        <rFont val="Noto Sans CJK SC"/>
        <family val="2"/>
      </rPr>
      <t xml:space="preserve">），僅顯示格式為百分比。</t>
    </r>
  </si>
  <si>
    <t xml:space="preserve">金額單位一律為新台幣元，未四捨五入至千元；欄位標題不含單位，單位請查「欄位定義」。</t>
  </si>
  <si>
    <t xml:space="preserve">顏色規則</t>
  </si>
  <si>
    <t xml:space="preserve">藍色字＝手動輸入的原始資料；黑色字＝同表公式；綠色字＝跨工作表連結。</t>
  </si>
  <si>
    <t xml:space="preserve">維護方式</t>
  </si>
  <si>
    <r>
      <rPr>
        <sz val="10"/>
        <rFont val="Noto Sans CJK SC"/>
        <family val="2"/>
      </rPr>
      <t xml:space="preserve">新增門市：先在「門市主檔」加一列，再到「月營運明細」補該店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個月資料。</t>
    </r>
  </si>
  <si>
    <r>
      <rPr>
        <sz val="10"/>
        <rFont val="Noto Sans CJK SC"/>
        <family val="2"/>
      </rPr>
      <t xml:space="preserve">跨年度使用：修改「月曆參數」的年欄位，並在「月營運明細」新增該年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個月資料列。</t>
    </r>
  </si>
  <si>
    <t xml:space="preserve">門市名稱、區域、租金在明細表中皆由門市主檔帶入，請勿直接覆寫。</t>
  </si>
  <si>
    <t xml:space="preserve">計算定義</t>
  </si>
  <si>
    <r>
      <rPr>
        <sz val="10"/>
        <rFont val="Noto Sans CJK SC"/>
        <family val="2"/>
      </rPr>
      <t xml:space="preserve">總成本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食材成本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人事成本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租金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水電及雜支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行銷費用。</t>
    </r>
  </si>
  <si>
    <r>
      <rPr>
        <sz val="10"/>
        <rFont val="Noto Sans CJK SC"/>
        <family val="2"/>
      </rPr>
      <t xml:space="preserve">營業利益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營業額 − 總成本，未計入總部管銷、折舊攤提與稅負。</t>
    </r>
  </si>
  <si>
    <r>
      <rPr>
        <sz val="10"/>
        <rFont val="Noto Sans CJK SC"/>
        <family val="2"/>
      </rPr>
      <t xml:space="preserve">日均來客數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當月來客數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當月天數；平均客單價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當月營業額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當月來客數。</t>
    </r>
  </si>
  <si>
    <t xml:space="preserve">資料狀態</t>
  </si>
  <si>
    <t xml:space="preserve">本檔所有營業額、成本、來客數、餐點份數均為模擬示範資料，非實際營運數字。</t>
  </si>
  <si>
    <t xml:space="preserve">門市家數、名稱、租金、座位數亦為假設值，請以貴公司實際資料覆蓋。</t>
  </si>
  <si>
    <t xml:space="preserve">圖表</t>
  </si>
  <si>
    <t xml:space="preserve">「圖表預覽」工作表僅供人工檢視，不含任何原始資料，自動化流程可略過該表。</t>
  </si>
  <si>
    <t xml:space="preserve">工作表</t>
  </si>
  <si>
    <t xml:space="preserve">欄位位置</t>
  </si>
  <si>
    <t xml:space="preserve">欄位代碼</t>
  </si>
  <si>
    <t xml:space="preserve">中文欄名</t>
  </si>
  <si>
    <t xml:space="preserve">單位</t>
  </si>
  <si>
    <t xml:space="preserve">資料來源</t>
  </si>
  <si>
    <t xml:space="preserve">門市主檔</t>
  </si>
  <si>
    <t xml:space="preserve">A</t>
  </si>
  <si>
    <t xml:space="preserve">store_id</t>
  </si>
  <si>
    <t xml:space="preserve">門市代號</t>
  </si>
  <si>
    <t xml:space="preserve">文字</t>
  </si>
  <si>
    <t xml:space="preserve">手動輸入</t>
  </si>
  <si>
    <t xml:space="preserve">B</t>
  </si>
  <si>
    <t xml:space="preserve">store_name</t>
  </si>
  <si>
    <t xml:space="preserve">門市名稱</t>
  </si>
  <si>
    <t xml:space="preserve">C</t>
  </si>
  <si>
    <t xml:space="preserve">region</t>
  </si>
  <si>
    <t xml:space="preserve">區域</t>
  </si>
  <si>
    <t xml:space="preserve">D</t>
  </si>
  <si>
    <t xml:space="preserve">city</t>
  </si>
  <si>
    <t xml:space="preserve">縣市</t>
  </si>
  <si>
    <t xml:space="preserve">E</t>
  </si>
  <si>
    <t xml:space="preserve">open_date</t>
  </si>
  <si>
    <t xml:space="preserve">開幕日</t>
  </si>
  <si>
    <t xml:space="preserve">日期</t>
  </si>
  <si>
    <t xml:space="preserve">F</t>
  </si>
  <si>
    <t xml:space="preserve">seats</t>
  </si>
  <si>
    <t xml:space="preserve">座位數</t>
  </si>
  <si>
    <t xml:space="preserve">整數</t>
  </si>
  <si>
    <t xml:space="preserve">個</t>
  </si>
  <si>
    <t xml:space="preserve">G</t>
  </si>
  <si>
    <t xml:space="preserve">rent</t>
  </si>
  <si>
    <t xml:space="preserve">月租金</t>
  </si>
  <si>
    <t xml:space="preserve">數值</t>
  </si>
  <si>
    <t xml:space="preserve">NT$</t>
  </si>
  <si>
    <t xml:space="preserve">月曆參數</t>
  </si>
  <si>
    <t xml:space="preserve">period</t>
  </si>
  <si>
    <t xml:space="preserve">年月</t>
  </si>
  <si>
    <t xml:space="preserve">YYYY-MM</t>
  </si>
  <si>
    <t xml:space="preserve">公式</t>
  </si>
  <si>
    <t xml:space="preserve">year</t>
  </si>
  <si>
    <t xml:space="preserve">年</t>
  </si>
  <si>
    <t xml:space="preserve">month</t>
  </si>
  <si>
    <t xml:space="preserve">月</t>
  </si>
  <si>
    <t xml:space="preserve">1-12</t>
  </si>
  <si>
    <t xml:space="preserve">month_start</t>
  </si>
  <si>
    <t xml:space="preserve">月初日期</t>
  </si>
  <si>
    <t xml:space="preserve">days</t>
  </si>
  <si>
    <t xml:space="preserve">當月天數</t>
  </si>
  <si>
    <t xml:space="preserve">天</t>
  </si>
  <si>
    <t xml:space="preserve">月營運明細</t>
  </si>
  <si>
    <t xml:space="preserve">連結 門市主檔</t>
  </si>
  <si>
    <t xml:space="preserve">revenue</t>
  </si>
  <si>
    <t xml:space="preserve">營業額</t>
  </si>
  <si>
    <t xml:space="preserve">H</t>
  </si>
  <si>
    <t xml:space="preserve">cost_food</t>
  </si>
  <si>
    <t xml:space="preserve">食材成本</t>
  </si>
  <si>
    <t xml:space="preserve">I</t>
  </si>
  <si>
    <t xml:space="preserve">cost_labor</t>
  </si>
  <si>
    <t xml:space="preserve">人事成本</t>
  </si>
  <si>
    <t xml:space="preserve">J</t>
  </si>
  <si>
    <t xml:space="preserve">cost_rent</t>
  </si>
  <si>
    <t xml:space="preserve">租金</t>
  </si>
  <si>
    <t xml:space="preserve">K</t>
  </si>
  <si>
    <t xml:space="preserve">cost_utility</t>
  </si>
  <si>
    <t xml:space="preserve">水電及雜支</t>
  </si>
  <si>
    <t xml:space="preserve">L</t>
  </si>
  <si>
    <t xml:space="preserve">cost_mkt</t>
  </si>
  <si>
    <t xml:space="preserve">行銷費用</t>
  </si>
  <si>
    <t xml:space="preserve">M</t>
  </si>
  <si>
    <t xml:space="preserve">cost_total</t>
  </si>
  <si>
    <t xml:space="preserve">總成本</t>
  </si>
  <si>
    <t xml:space="preserve">N</t>
  </si>
  <si>
    <t xml:space="preserve">op_profit</t>
  </si>
  <si>
    <t xml:space="preserve">營業利益</t>
  </si>
  <si>
    <t xml:space="preserve">O</t>
  </si>
  <si>
    <t xml:space="preserve">op_margin</t>
  </si>
  <si>
    <t xml:space="preserve">營業利益率</t>
  </si>
  <si>
    <t xml:space="preserve">百分比</t>
  </si>
  <si>
    <t xml:space="preserve">小數</t>
  </si>
  <si>
    <t xml:space="preserve">P</t>
  </si>
  <si>
    <t xml:space="preserve">guests</t>
  </si>
  <si>
    <t xml:space="preserve">來客數</t>
  </si>
  <si>
    <t xml:space="preserve">人次</t>
  </si>
  <si>
    <t xml:space="preserve">Q</t>
  </si>
  <si>
    <t xml:space="preserve">guests_daily</t>
  </si>
  <si>
    <t xml:space="preserve">日均來客數</t>
  </si>
  <si>
    <r>
      <rPr>
        <sz val="10"/>
        <rFont val="Noto Sans CJK SC"/>
        <family val="2"/>
      </rPr>
      <t xml:space="preserve">人次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</si>
  <si>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t xml:space="preserve">R</t>
  </si>
  <si>
    <t xml:space="preserve">avg_ticket</t>
  </si>
  <si>
    <t xml:space="preserve">平均客單價</t>
  </si>
  <si>
    <t xml:space="preserve">S</t>
  </si>
  <si>
    <t xml:space="preserve">top_item</t>
  </si>
  <si>
    <t xml:space="preserve">當月人氣餐點</t>
  </si>
  <si>
    <t xml:space="preserve">T</t>
  </si>
  <si>
    <t xml:space="preserve">top_item_qty</t>
  </si>
  <si>
    <t xml:space="preserve">人氣餐點份數</t>
  </si>
  <si>
    <t xml:space="preserve">份</t>
  </si>
  <si>
    <t xml:space="preserve">門市年度彙總</t>
  </si>
  <si>
    <t xml:space="preserve">revenue_y</t>
  </si>
  <si>
    <t xml:space="preserve">年營業額</t>
  </si>
  <si>
    <t xml:space="preserve">cost_y</t>
  </si>
  <si>
    <t xml:space="preserve">年總成本</t>
  </si>
  <si>
    <t xml:space="preserve">profit_y</t>
  </si>
  <si>
    <t xml:space="preserve">年營業利益</t>
  </si>
  <si>
    <t xml:space="preserve">margin_y</t>
  </si>
  <si>
    <t xml:space="preserve">guests_y</t>
  </si>
  <si>
    <t xml:space="preserve">年來客數</t>
  </si>
  <si>
    <t xml:space="preserve">best_month</t>
  </si>
  <si>
    <t xml:space="preserve">最佳月份</t>
  </si>
  <si>
    <t xml:space="preserve">best_rev</t>
  </si>
  <si>
    <t xml:space="preserve">最佳月營業額</t>
  </si>
  <si>
    <t xml:space="preserve">rev_rank</t>
  </si>
  <si>
    <t xml:space="preserve">營業額排名</t>
  </si>
  <si>
    <t xml:space="preserve">月度彙總</t>
  </si>
  <si>
    <t xml:space="preserve">連結 月曆參數</t>
  </si>
  <si>
    <t xml:space="preserve">rev_mom</t>
  </si>
  <si>
    <t xml:space="preserve">營業額月增率</t>
  </si>
  <si>
    <t xml:space="preserve">人氣餐點彙總</t>
  </si>
  <si>
    <t xml:space="preserve">item_name</t>
  </si>
  <si>
    <t xml:space="preserve">餐點名稱</t>
  </si>
  <si>
    <t xml:space="preserve">hit_count</t>
  </si>
  <si>
    <t xml:space="preserve">上榜次數</t>
  </si>
  <si>
    <r>
      <rPr>
        <sz val="10"/>
        <rFont val="Noto Sans CJK SC"/>
        <family val="2"/>
      </rPr>
      <t xml:space="preserve">店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月</t>
    </r>
  </si>
  <si>
    <t xml:space="preserve">total_qty</t>
  </si>
  <si>
    <t xml:space="preserve">總份數</t>
  </si>
  <si>
    <t xml:space="preserve">qty_share</t>
  </si>
  <si>
    <t xml:space="preserve">份數佔比</t>
  </si>
  <si>
    <t xml:space="preserve">年度關鍵指標</t>
  </si>
  <si>
    <t xml:space="preserve">kpi_code</t>
  </si>
  <si>
    <t xml:space="preserve">指標代碼</t>
  </si>
  <si>
    <t xml:space="preserve">kpi_name</t>
  </si>
  <si>
    <t xml:space="preserve">指標名稱</t>
  </si>
  <si>
    <t xml:space="preserve">kpi_value</t>
  </si>
  <si>
    <t xml:space="preserve">見單位欄</t>
  </si>
  <si>
    <t xml:space="preserve">unit</t>
  </si>
  <si>
    <t xml:space="preserve">TP01</t>
  </si>
  <si>
    <t xml:space="preserve">台北信義旗艦店</t>
  </si>
  <si>
    <t xml:space="preserve">北區</t>
  </si>
  <si>
    <t xml:space="preserve">台北市</t>
  </si>
  <si>
    <t xml:space="preserve">2019-03-15</t>
  </si>
  <si>
    <t xml:space="preserve">TP02</t>
  </si>
  <si>
    <t xml:space="preserve">台北中山店</t>
  </si>
  <si>
    <t xml:space="preserve">2020-07-01</t>
  </si>
  <si>
    <t xml:space="preserve">NT01</t>
  </si>
  <si>
    <t xml:space="preserve">新北板橋店</t>
  </si>
  <si>
    <t xml:space="preserve">新北市</t>
  </si>
  <si>
    <t xml:space="preserve">2021-05-20</t>
  </si>
  <si>
    <t xml:space="preserve">TY01</t>
  </si>
  <si>
    <t xml:space="preserve">桃園中壢店</t>
  </si>
  <si>
    <t xml:space="preserve">桃園市</t>
  </si>
  <si>
    <t xml:space="preserve">2022-09-10</t>
  </si>
  <si>
    <t xml:space="preserve">TC01</t>
  </si>
  <si>
    <t xml:space="preserve">台中逢甲店</t>
  </si>
  <si>
    <t xml:space="preserve">中區</t>
  </si>
  <si>
    <t xml:space="preserve">台中市</t>
  </si>
  <si>
    <t xml:space="preserve">2020-11-08</t>
  </si>
  <si>
    <t xml:space="preserve">TC02</t>
  </si>
  <si>
    <t xml:space="preserve">台中七期店</t>
  </si>
  <si>
    <t xml:space="preserve">2023-04-22</t>
  </si>
  <si>
    <t xml:space="preserve">TN01</t>
  </si>
  <si>
    <t xml:space="preserve">台南中西店</t>
  </si>
  <si>
    <t xml:space="preserve">南區</t>
  </si>
  <si>
    <t xml:space="preserve">台南市</t>
  </si>
  <si>
    <t xml:space="preserve">2021-12-03</t>
  </si>
  <si>
    <t xml:space="preserve">KH01</t>
  </si>
  <si>
    <t xml:space="preserve">高雄左營店</t>
  </si>
  <si>
    <t xml:space="preserve">高雄市</t>
  </si>
  <si>
    <t xml:space="preserve">2022-02-18</t>
  </si>
  <si>
    <t xml:space="preserve">酸菜白肉鍋</t>
  </si>
  <si>
    <t xml:space="preserve">麻油雞湯麵</t>
  </si>
  <si>
    <t xml:space="preserve">宮保雞丁飯</t>
  </si>
  <si>
    <t xml:space="preserve">黑胡椒豬排飯</t>
  </si>
  <si>
    <t xml:space="preserve">塔香涼麵套餐</t>
  </si>
  <si>
    <t xml:space="preserve">海鮮炒飯</t>
  </si>
  <si>
    <t xml:space="preserve">三杯雞定食</t>
  </si>
  <si>
    <t xml:space="preserve">招牌牛肉麵</t>
  </si>
  <si>
    <t xml:space="preserve">紅燒牛肉麵</t>
  </si>
  <si>
    <t xml:space="preserve">蔥油雞腿飯</t>
  </si>
  <si>
    <t xml:space="preserve">檸檬蒸魚定食</t>
  </si>
  <si>
    <t xml:space="preserve">藥燉排骨鍋</t>
  </si>
  <si>
    <t xml:space="preserve">泰式打拋豬飯</t>
  </si>
  <si>
    <t xml:space="preserve">total_revenue</t>
  </si>
  <si>
    <t xml:space="preserve">全年營業額</t>
  </si>
  <si>
    <t xml:space="preserve">total_cost</t>
  </si>
  <si>
    <t xml:space="preserve">全年總成本</t>
  </si>
  <si>
    <t xml:space="preserve">total_profit</t>
  </si>
  <si>
    <t xml:space="preserve">全年營業利益</t>
  </si>
  <si>
    <t xml:space="preserve">total_guests</t>
  </si>
  <si>
    <t xml:space="preserve">全年來客數</t>
  </si>
  <si>
    <t xml:space="preserve">全公司日均來客數</t>
  </si>
  <si>
    <r>
      <rPr>
        <sz val="10"/>
        <color rgb="FF0000FF"/>
        <rFont val="Noto Sans CJK SC"/>
        <family val="2"/>
      </rPr>
      <t xml:space="preserve">人次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</si>
  <si>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store_count</t>
  </si>
  <si>
    <t xml:space="preserve">門市家數</t>
  </si>
  <si>
    <t xml:space="preserve">家</t>
  </si>
  <si>
    <t xml:space="preserve">rev_per_store</t>
  </si>
  <si>
    <t xml:space="preserve">單店平均年營業額</t>
  </si>
  <si>
    <t xml:space="preserve">ratio_food</t>
  </si>
  <si>
    <t xml:space="preserve">食材成本率</t>
  </si>
  <si>
    <t xml:space="preserve">ratio_labor</t>
  </si>
  <si>
    <t xml:space="preserve">人事成本率</t>
  </si>
  <si>
    <t xml:space="preserve">ratio_rent</t>
  </si>
  <si>
    <t xml:space="preserve">租金成本率</t>
  </si>
  <si>
    <t xml:space="preserve">ratio_utility</t>
  </si>
  <si>
    <t xml:space="preserve">水電雜支率</t>
  </si>
  <si>
    <t xml:space="preserve">ratio_mkt</t>
  </si>
  <si>
    <t xml:space="preserve">行銷費用率</t>
  </si>
  <si>
    <t xml:space="preserve">此工作表僅供人工檢視，不含原始資料；自動化流程請略過。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</si>
</sst>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"/>
    <numFmt numFmtId="167" formatCode="#,##0"/>
    <numFmt numFmtId="168" formatCode="0.0%"/>
    <numFmt numFmtId="169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8000"/>
      <name val="Noto Sans CJK SC"/>
      <family val="2"/>
    </font>
    <font>
      <sz val="10"/>
      <color rgb="FF008000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2025 月營業額與營業利益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月度彙總!D1</c:f>
              <c:strCache>
                <c:ptCount val="1"/>
                <c:pt idx="0">
                  <c:v>營業額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月度彙總!$C$2:$C$13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月度彙總!$D$2:$D$13</c:f>
              <c:numCache>
                <c:formatCode>#,##0</c:formatCode>
                <c:ptCount val="12"/>
                <c:pt idx="0">
                  <c:v>20351000</c:v>
                </c:pt>
                <c:pt idx="1">
                  <c:v>18518000</c:v>
                </c:pt>
                <c:pt idx="2">
                  <c:v>16834000</c:v>
                </c:pt>
                <c:pt idx="3">
                  <c:v>17264000</c:v>
                </c:pt>
                <c:pt idx="4">
                  <c:v>17467000</c:v>
                </c:pt>
                <c:pt idx="5">
                  <c:v>17576000</c:v>
                </c:pt>
                <c:pt idx="6">
                  <c:v>19512000</c:v>
                </c:pt>
                <c:pt idx="7">
                  <c:v>20218000</c:v>
                </c:pt>
                <c:pt idx="8">
                  <c:v>17977000</c:v>
                </c:pt>
                <c:pt idx="9">
                  <c:v>18853000</c:v>
                </c:pt>
                <c:pt idx="10">
                  <c:v>18526000</c:v>
                </c:pt>
                <c:pt idx="11">
                  <c:v>20717000</c:v>
                </c:pt>
              </c:numCache>
            </c:numRef>
          </c:val>
        </c:ser>
        <c:ser>
          <c:idx val="1"/>
          <c:order val="1"/>
          <c:tx>
            <c:strRef>
              <c:f>月度彙總!F1</c:f>
              <c:strCache>
                <c:ptCount val="1"/>
                <c:pt idx="0">
                  <c:v>營業利益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月度彙總!$C$2:$C$13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月度彙總!$F$2:$F$13</c:f>
              <c:numCache>
                <c:formatCode>#,##0</c:formatCode>
                <c:ptCount val="12"/>
                <c:pt idx="0">
                  <c:v>4812300</c:v>
                </c:pt>
                <c:pt idx="1">
                  <c:v>4172900</c:v>
                </c:pt>
                <c:pt idx="2">
                  <c:v>3468000</c:v>
                </c:pt>
                <c:pt idx="3">
                  <c:v>3617800</c:v>
                </c:pt>
                <c:pt idx="4">
                  <c:v>3902300</c:v>
                </c:pt>
                <c:pt idx="5">
                  <c:v>3876900</c:v>
                </c:pt>
                <c:pt idx="6">
                  <c:v>4449300</c:v>
                </c:pt>
                <c:pt idx="7">
                  <c:v>4733700</c:v>
                </c:pt>
                <c:pt idx="8">
                  <c:v>4160100</c:v>
                </c:pt>
                <c:pt idx="9">
                  <c:v>4223200</c:v>
                </c:pt>
                <c:pt idx="10">
                  <c:v>4171500</c:v>
                </c:pt>
                <c:pt idx="11">
                  <c:v>5006200</c:v>
                </c:pt>
              </c:numCache>
            </c:numRef>
          </c:val>
        </c:ser>
        <c:gapWidth val="150"/>
        <c:overlap val="0"/>
        <c:axId val="3976296"/>
        <c:axId val="22760298"/>
      </c:barChart>
      <c:catAx>
        <c:axId val="39762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0298"/>
        <c:crosses val="autoZero"/>
        <c:auto val="1"/>
        <c:lblAlgn val="ctr"/>
        <c:lblOffset val="100"/>
        <c:noMultiLvlLbl val="0"/>
      </c:catAx>
      <c:valAx>
        <c:axId val="22760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NT$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6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2025 月來客數趨勢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月度彙總!H1</c:f>
              <c:strCache>
                <c:ptCount val="1"/>
                <c:pt idx="0">
                  <c:v>來客數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月度彙總!$C$2:$C$13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月度彙總!$H$2:$H$13</c:f>
              <c:numCache>
                <c:formatCode>#,##0</c:formatCode>
                <c:ptCount val="12"/>
                <c:pt idx="0">
                  <c:v>65300</c:v>
                </c:pt>
                <c:pt idx="1">
                  <c:v>58660</c:v>
                </c:pt>
                <c:pt idx="2">
                  <c:v>54490</c:v>
                </c:pt>
                <c:pt idx="3">
                  <c:v>54940</c:v>
                </c:pt>
                <c:pt idx="4">
                  <c:v>55660</c:v>
                </c:pt>
                <c:pt idx="5">
                  <c:v>54710</c:v>
                </c:pt>
                <c:pt idx="6">
                  <c:v>62030</c:v>
                </c:pt>
                <c:pt idx="7">
                  <c:v>63700</c:v>
                </c:pt>
                <c:pt idx="8">
                  <c:v>57350</c:v>
                </c:pt>
                <c:pt idx="9">
                  <c:v>60000</c:v>
                </c:pt>
                <c:pt idx="10">
                  <c:v>59190</c:v>
                </c:pt>
                <c:pt idx="11">
                  <c:v>66470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668902"/>
        <c:axId val="42398171"/>
      </c:lineChart>
      <c:catAx>
        <c:axId val="196689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98171"/>
        <c:crosses val="autoZero"/>
        <c:auto val="1"/>
        <c:lblAlgn val="ctr"/>
        <c:lblOffset val="100"/>
        <c:noMultiLvlLbl val="0"/>
      </c:catAx>
      <c:valAx>
        <c:axId val="42398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人次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68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2025 各門市年營業額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門市年度彙總!D1</c:f>
              <c:strCache>
                <c:ptCount val="1"/>
                <c:pt idx="0">
                  <c:v>年營業額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門市年度彙總!$B$2:$B$9</c:f>
              <c:strCache>
                <c:ptCount val="8"/>
                <c:pt idx="0">
                  <c:v>台北信義旗艦店</c:v>
                </c:pt>
                <c:pt idx="1">
                  <c:v>台北中山店</c:v>
                </c:pt>
                <c:pt idx="2">
                  <c:v>新北板橋店</c:v>
                </c:pt>
                <c:pt idx="3">
                  <c:v>桃園中壢店</c:v>
                </c:pt>
                <c:pt idx="4">
                  <c:v>台中逢甲店</c:v>
                </c:pt>
                <c:pt idx="5">
                  <c:v>台中七期店</c:v>
                </c:pt>
                <c:pt idx="6">
                  <c:v>台南中西店</c:v>
                </c:pt>
                <c:pt idx="7">
                  <c:v>高雄左營店</c:v>
                </c:pt>
              </c:strCache>
            </c:strRef>
          </c:cat>
          <c:val>
            <c:numRef>
              <c:f>門市年度彙總!$D$2:$D$9</c:f>
              <c:numCache>
                <c:formatCode>#,##0</c:formatCode>
                <c:ptCount val="8"/>
                <c:pt idx="0">
                  <c:v>36939000</c:v>
                </c:pt>
                <c:pt idx="1">
                  <c:v>28101000</c:v>
                </c:pt>
                <c:pt idx="2">
                  <c:v>29272000</c:v>
                </c:pt>
                <c:pt idx="3">
                  <c:v>23153000</c:v>
                </c:pt>
                <c:pt idx="4">
                  <c:v>30550000</c:v>
                </c:pt>
                <c:pt idx="5">
                  <c:v>26174000</c:v>
                </c:pt>
                <c:pt idx="6">
                  <c:v>21591000</c:v>
                </c:pt>
                <c:pt idx="7">
                  <c:v>28033000</c:v>
                </c:pt>
              </c:numCache>
            </c:numRef>
          </c:val>
        </c:ser>
        <c:gapWidth val="150"/>
        <c:overlap val="0"/>
        <c:axId val="83077849"/>
        <c:axId val="88362764"/>
      </c:barChart>
      <c:catAx>
        <c:axId val="8307784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NT$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62764"/>
        <c:crosses val="autoZero"/>
        <c:auto val="1"/>
        <c:lblAlgn val="ctr"/>
        <c:lblOffset val="100"/>
        <c:noMultiLvlLbl val="0"/>
      </c:catAx>
      <c:valAx>
        <c:axId val="88362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77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20</xdr:row>
      <xdr:rowOff>170640</xdr:rowOff>
    </xdr:to>
    <xdr:graphicFrame>
      <xdr:nvGraphicFramePr>
        <xdr:cNvPr id="0" name="Chart 1"/>
        <xdr:cNvGraphicFramePr/>
      </xdr:nvGraphicFramePr>
      <xdr:xfrm>
        <a:off x="0" y="3808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42</xdr:row>
      <xdr:rowOff>170640</xdr:rowOff>
    </xdr:to>
    <xdr:graphicFrame>
      <xdr:nvGraphicFramePr>
        <xdr:cNvPr id="1" name="Chart 2"/>
        <xdr:cNvGraphicFramePr/>
      </xdr:nvGraphicFramePr>
      <xdr:xfrm>
        <a:off x="0" y="45720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12</xdr:col>
      <xdr:colOff>581400</xdr:colOff>
      <xdr:row>64</xdr:row>
      <xdr:rowOff>170640</xdr:rowOff>
    </xdr:to>
    <xdr:graphicFrame>
      <xdr:nvGraphicFramePr>
        <xdr:cNvPr id="2" name="Chart 3"/>
        <xdr:cNvGraphicFramePr/>
      </xdr:nvGraphicFramePr>
      <xdr:xfrm>
        <a:off x="0" y="8763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agg_item" displayName="tbl_agg_item" ref="A1:D14" headerRowCount="1" totalsRowCount="0" totalsRowShown="0">
  <autoFilter ref="A1:D14"/>
  <tableColumns count="4">
    <tableColumn id="1" name="餐點名稱"/>
    <tableColumn id="2" name="上榜次數"/>
    <tableColumn id="3" name="總份數"/>
    <tableColumn id="4" name="份數佔比"/>
  </tableColumns>
</table>
</file>

<file path=xl/tables/table2.xml><?xml version="1.0" encoding="utf-8"?>
<table xmlns="http://schemas.openxmlformats.org/spreadsheetml/2006/main" id="2" name="tbl_agg_month" displayName="tbl_agg_month" ref="A1:K13" headerRowCount="1" totalsRowCount="0" totalsRowShown="0">
  <autoFilter ref="A1:K13"/>
  <tableColumns count="11">
    <tableColumn id="1" name="年月"/>
    <tableColumn id="2" name="年"/>
    <tableColumn id="3" name="月"/>
    <tableColumn id="4" name="營業額"/>
    <tableColumn id="5" name="總成本"/>
    <tableColumn id="6" name="營業利益"/>
    <tableColumn id="7" name="營業利益率"/>
    <tableColumn id="8" name="來客數"/>
    <tableColumn id="9" name="日均來客數"/>
    <tableColumn id="10" name="平均客單價"/>
    <tableColumn id="11" name="營業額月增率"/>
  </tableColumns>
</table>
</file>

<file path=xl/tables/table3.xml><?xml version="1.0" encoding="utf-8"?>
<table xmlns="http://schemas.openxmlformats.org/spreadsheetml/2006/main" id="3" name="tbl_agg_store" displayName="tbl_agg_store" ref="A1:M9" headerRowCount="1" totalsRowCount="0" totalsRowShown="0">
  <autoFilter ref="A1:M9"/>
  <tableColumns count="13">
    <tableColumn id="1" name="門市代號"/>
    <tableColumn id="2" name="門市名稱"/>
    <tableColumn id="3" name="區域"/>
    <tableColumn id="4" name="年營業額"/>
    <tableColumn id="5" name="年總成本"/>
    <tableColumn id="6" name="年營業利益"/>
    <tableColumn id="7" name="營業利益率"/>
    <tableColumn id="8" name="年來客數"/>
    <tableColumn id="9" name="日均來客數"/>
    <tableColumn id="10" name="平均客單價"/>
    <tableColumn id="11" name="最佳月份"/>
    <tableColumn id="12" name="最佳月營業額"/>
    <tableColumn id="13" name="營業額排名"/>
  </tableColumns>
</table>
</file>

<file path=xl/tables/table4.xml><?xml version="1.0" encoding="utf-8"?>
<table xmlns="http://schemas.openxmlformats.org/spreadsheetml/2006/main" id="4" name="tbl_data_dict" displayName="tbl_data_dict" ref="A1:G65" headerRowCount="1" totalsRowCount="0" totalsRowShown="0">
  <autoFilter ref="A1:G65"/>
  <tableColumns count="7">
    <tableColumn id="1" name="工作表"/>
    <tableColumn id="2" name="欄位位置"/>
    <tableColumn id="3" name="欄位代碼"/>
    <tableColumn id="4" name="中文欄名"/>
    <tableColumn id="5" name="資料型別"/>
    <tableColumn id="6" name="單位"/>
    <tableColumn id="7" name="資料來源"/>
  </tableColumns>
</table>
</file>

<file path=xl/tables/table5.xml><?xml version="1.0" encoding="utf-8"?>
<table xmlns="http://schemas.openxmlformats.org/spreadsheetml/2006/main" id="5" name="tbl_dim_calendar" displayName="tbl_dim_calendar" ref="A1:E13" headerRowCount="1" totalsRowCount="0" totalsRowShown="0">
  <autoFilter ref="A1:E13"/>
  <tableColumns count="5">
    <tableColumn id="1" name="年月"/>
    <tableColumn id="2" name="年"/>
    <tableColumn id="3" name="月"/>
    <tableColumn id="4" name="月初日期"/>
    <tableColumn id="5" name="當月天數"/>
  </tableColumns>
</table>
</file>

<file path=xl/tables/table6.xml><?xml version="1.0" encoding="utf-8"?>
<table xmlns="http://schemas.openxmlformats.org/spreadsheetml/2006/main" id="6" name="tbl_dim_store" displayName="tbl_dim_store" ref="A1:G9" headerRowCount="1" totalsRowCount="0" totalsRowShown="0">
  <autoFilter ref="A1:G9"/>
  <tableColumns count="7">
    <tableColumn id="1" name="門市代號"/>
    <tableColumn id="2" name="門市名稱"/>
    <tableColumn id="3" name="區域"/>
    <tableColumn id="4" name="縣市"/>
    <tableColumn id="5" name="開幕日"/>
    <tableColumn id="6" name="座位數"/>
    <tableColumn id="7" name="月租金"/>
  </tableColumns>
</table>
</file>

<file path=xl/tables/table7.xml><?xml version="1.0" encoding="utf-8"?>
<table xmlns="http://schemas.openxmlformats.org/spreadsheetml/2006/main" id="7" name="tbl_fact_monthly" displayName="tbl_fact_monthly" ref="A1:T97" headerRowCount="1" totalsRowCount="0" totalsRowShown="0">
  <autoFilter ref="A1:T97"/>
  <tableColumns count="20">
    <tableColumn id="1" name="年月"/>
    <tableColumn id="2" name="年"/>
    <tableColumn id="3" name="月"/>
    <tableColumn id="4" name="門市代號"/>
    <tableColumn id="5" name="門市名稱"/>
    <tableColumn id="6" name="區域"/>
    <tableColumn id="7" name="營業額"/>
    <tableColumn id="8" name="食材成本"/>
    <tableColumn id="9" name="人事成本"/>
    <tableColumn id="10" name="租金"/>
    <tableColumn id="11" name="水電及雜支"/>
    <tableColumn id="12" name="行銷費用"/>
    <tableColumn id="13" name="總成本"/>
    <tableColumn id="14" name="營業利益"/>
    <tableColumn id="15" name="營業利益率"/>
    <tableColumn id="16" name="來客數"/>
    <tableColumn id="17" name="日均來客數"/>
    <tableColumn id="18" name="平均客單價"/>
    <tableColumn id="19" name="當月人氣餐點"/>
    <tableColumn id="20" name="人氣餐點份數"/>
  </tableColumns>
</table>
</file>

<file path=xl/tables/table8.xml><?xml version="1.0" encoding="utf-8"?>
<table xmlns="http://schemas.openxmlformats.org/spreadsheetml/2006/main" id="8" name="tbl_kpi" displayName="tbl_kpi" ref="A1:D15" headerRowCount="1" totalsRowCount="0" totalsRowShown="0">
  <autoFilter ref="A1:D15"/>
  <tableColumns count="4">
    <tableColumn id="1" name="指標代碼"/>
    <tableColumn id="2" name="指標名稱"/>
    <tableColumn id="3" name="數值"/>
    <tableColumn id="4" name="單位"/>
  </tableColumns>
</table>
</file>

<file path=xl/tables/table9.xml><?xml version="1.0" encoding="utf-8"?>
<table xmlns="http://schemas.openxmlformats.org/spreadsheetml/2006/main" id="9" name="tbl_readme" displayName="tbl_readme" ref="A1:B20" headerRowCount="1" totalsRowCount="0" totalsRowShown="0">
  <autoFilter ref="A1:B20"/>
  <tableColumns count="2">
    <tableColumn id="1" name="類別"/>
    <tableColumn id="2" name="說明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2</v>
      </c>
      <c r="B3" s="3" t="s">
        <v>4</v>
      </c>
    </row>
    <row r="4" customFormat="false" ht="15" hidden="false" customHeight="false" outlineLevel="0" collapsed="false">
      <c r="A4" s="2" t="s">
        <v>2</v>
      </c>
      <c r="B4" s="3" t="s">
        <v>5</v>
      </c>
    </row>
    <row r="5" customFormat="false" ht="15" hidden="false" customHeight="false" outlineLevel="0" collapsed="false">
      <c r="A5" s="2" t="s">
        <v>2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7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10</v>
      </c>
      <c r="B9" s="3" t="s">
        <v>12</v>
      </c>
    </row>
    <row r="10" customFormat="false" ht="15" hidden="false" customHeight="false" outlineLevel="0" collapsed="false">
      <c r="A10" s="2" t="s">
        <v>10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16</v>
      </c>
      <c r="B13" s="3" t="s">
        <v>18</v>
      </c>
    </row>
    <row r="14" customFormat="false" ht="15" hidden="false" customHeight="false" outlineLevel="0" collapsed="false">
      <c r="A14" s="2" t="s">
        <v>16</v>
      </c>
      <c r="B14" s="3" t="s">
        <v>19</v>
      </c>
    </row>
    <row r="15" customFormat="false" ht="15" hidden="false" customHeight="false" outlineLevel="0" collapsed="false">
      <c r="A15" s="2" t="s">
        <v>20</v>
      </c>
      <c r="B15" s="3" t="s">
        <v>21</v>
      </c>
    </row>
    <row r="16" customFormat="false" ht="15" hidden="false" customHeight="false" outlineLevel="0" collapsed="false">
      <c r="A16" s="2" t="s">
        <v>20</v>
      </c>
      <c r="B16" s="3" t="s">
        <v>22</v>
      </c>
    </row>
    <row r="17" customFormat="false" ht="15" hidden="false" customHeight="false" outlineLevel="0" collapsed="false">
      <c r="A17" s="2" t="s">
        <v>20</v>
      </c>
      <c r="B17" s="3" t="s">
        <v>23</v>
      </c>
    </row>
    <row r="18" customFormat="false" ht="15" hidden="false" customHeight="false" outlineLevel="0" collapsed="false">
      <c r="A18" s="2" t="s">
        <v>24</v>
      </c>
      <c r="B18" s="3" t="s">
        <v>25</v>
      </c>
    </row>
    <row r="19" customFormat="false" ht="15" hidden="false" customHeight="false" outlineLevel="0" collapsed="false">
      <c r="A19" s="2" t="s">
        <v>24</v>
      </c>
      <c r="B19" s="3" t="s">
        <v>26</v>
      </c>
    </row>
    <row r="20" customFormat="false" ht="15" hidden="false" customHeight="false" outlineLevel="0" collapsed="false">
      <c r="A20" s="2" t="s">
        <v>27</v>
      </c>
      <c r="B20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10</v>
      </c>
      <c r="F1" s="1" t="s">
        <v>33</v>
      </c>
      <c r="G1" s="1" t="s">
        <v>34</v>
      </c>
    </row>
    <row r="2" customFormat="false" ht="15" hidden="false" customHeight="false" outlineLevel="0" collapsed="false">
      <c r="A2" s="2" t="s">
        <v>35</v>
      </c>
      <c r="B2" s="4" t="s">
        <v>36</v>
      </c>
      <c r="C2" s="4" t="s">
        <v>37</v>
      </c>
      <c r="D2" s="2" t="s">
        <v>38</v>
      </c>
      <c r="E2" s="2" t="s">
        <v>39</v>
      </c>
      <c r="F2" s="2"/>
      <c r="G2" s="2" t="s">
        <v>40</v>
      </c>
    </row>
    <row r="3" customFormat="false" ht="15" hidden="false" customHeight="false" outlineLevel="0" collapsed="false">
      <c r="A3" s="2" t="s">
        <v>35</v>
      </c>
      <c r="B3" s="4" t="s">
        <v>41</v>
      </c>
      <c r="C3" s="4" t="s">
        <v>42</v>
      </c>
      <c r="D3" s="2" t="s">
        <v>43</v>
      </c>
      <c r="E3" s="2" t="s">
        <v>39</v>
      </c>
      <c r="F3" s="2"/>
      <c r="G3" s="2" t="s">
        <v>40</v>
      </c>
    </row>
    <row r="4" customFormat="false" ht="15" hidden="false" customHeight="false" outlineLevel="0" collapsed="false">
      <c r="A4" s="2" t="s">
        <v>35</v>
      </c>
      <c r="B4" s="4" t="s">
        <v>44</v>
      </c>
      <c r="C4" s="4" t="s">
        <v>45</v>
      </c>
      <c r="D4" s="2" t="s">
        <v>46</v>
      </c>
      <c r="E4" s="2" t="s">
        <v>39</v>
      </c>
      <c r="F4" s="2"/>
      <c r="G4" s="2" t="s">
        <v>40</v>
      </c>
    </row>
    <row r="5" customFormat="false" ht="15" hidden="false" customHeight="false" outlineLevel="0" collapsed="false">
      <c r="A5" s="2" t="s">
        <v>35</v>
      </c>
      <c r="B5" s="4" t="s">
        <v>47</v>
      </c>
      <c r="C5" s="4" t="s">
        <v>48</v>
      </c>
      <c r="D5" s="2" t="s">
        <v>49</v>
      </c>
      <c r="E5" s="2" t="s">
        <v>39</v>
      </c>
      <c r="F5" s="2"/>
      <c r="G5" s="2" t="s">
        <v>40</v>
      </c>
    </row>
    <row r="6" customFormat="false" ht="15" hidden="false" customHeight="false" outlineLevel="0" collapsed="false">
      <c r="A6" s="2" t="s">
        <v>35</v>
      </c>
      <c r="B6" s="4" t="s">
        <v>50</v>
      </c>
      <c r="C6" s="4" t="s">
        <v>51</v>
      </c>
      <c r="D6" s="2" t="s">
        <v>52</v>
      </c>
      <c r="E6" s="2" t="s">
        <v>53</v>
      </c>
      <c r="F6" s="2"/>
      <c r="G6" s="2" t="s">
        <v>40</v>
      </c>
    </row>
    <row r="7" customFormat="false" ht="15" hidden="false" customHeight="false" outlineLevel="0" collapsed="false">
      <c r="A7" s="2" t="s">
        <v>35</v>
      </c>
      <c r="B7" s="4" t="s">
        <v>54</v>
      </c>
      <c r="C7" s="4" t="s">
        <v>55</v>
      </c>
      <c r="D7" s="2" t="s">
        <v>56</v>
      </c>
      <c r="E7" s="2" t="s">
        <v>57</v>
      </c>
      <c r="F7" s="2" t="s">
        <v>58</v>
      </c>
      <c r="G7" s="2" t="s">
        <v>40</v>
      </c>
    </row>
    <row r="8" customFormat="false" ht="15" hidden="false" customHeight="false" outlineLevel="0" collapsed="false">
      <c r="A8" s="2" t="s">
        <v>35</v>
      </c>
      <c r="B8" s="4" t="s">
        <v>59</v>
      </c>
      <c r="C8" s="4" t="s">
        <v>60</v>
      </c>
      <c r="D8" s="2" t="s">
        <v>61</v>
      </c>
      <c r="E8" s="2" t="s">
        <v>62</v>
      </c>
      <c r="F8" s="4" t="s">
        <v>63</v>
      </c>
      <c r="G8" s="2" t="s">
        <v>40</v>
      </c>
    </row>
    <row r="9" customFormat="false" ht="15" hidden="false" customHeight="false" outlineLevel="0" collapsed="false">
      <c r="A9" s="2" t="s">
        <v>64</v>
      </c>
      <c r="B9" s="4" t="s">
        <v>36</v>
      </c>
      <c r="C9" s="4" t="s">
        <v>65</v>
      </c>
      <c r="D9" s="2" t="s">
        <v>66</v>
      </c>
      <c r="E9" s="2" t="s">
        <v>39</v>
      </c>
      <c r="F9" s="4" t="s">
        <v>67</v>
      </c>
      <c r="G9" s="2" t="s">
        <v>68</v>
      </c>
    </row>
    <row r="10" customFormat="false" ht="15" hidden="false" customHeight="false" outlineLevel="0" collapsed="false">
      <c r="A10" s="2" t="s">
        <v>64</v>
      </c>
      <c r="B10" s="4" t="s">
        <v>41</v>
      </c>
      <c r="C10" s="4" t="s">
        <v>69</v>
      </c>
      <c r="D10" s="2" t="s">
        <v>70</v>
      </c>
      <c r="E10" s="2" t="s">
        <v>57</v>
      </c>
      <c r="F10" s="2"/>
      <c r="G10" s="2" t="s">
        <v>40</v>
      </c>
    </row>
    <row r="11" customFormat="false" ht="15" hidden="false" customHeight="false" outlineLevel="0" collapsed="false">
      <c r="A11" s="2" t="s">
        <v>64</v>
      </c>
      <c r="B11" s="4" t="s">
        <v>44</v>
      </c>
      <c r="C11" s="4" t="s">
        <v>71</v>
      </c>
      <c r="D11" s="2" t="s">
        <v>72</v>
      </c>
      <c r="E11" s="2" t="s">
        <v>57</v>
      </c>
      <c r="F11" s="4" t="s">
        <v>73</v>
      </c>
      <c r="G11" s="2" t="s">
        <v>40</v>
      </c>
    </row>
    <row r="12" customFormat="false" ht="15" hidden="false" customHeight="false" outlineLevel="0" collapsed="false">
      <c r="A12" s="2" t="s">
        <v>64</v>
      </c>
      <c r="B12" s="4" t="s">
        <v>47</v>
      </c>
      <c r="C12" s="4" t="s">
        <v>74</v>
      </c>
      <c r="D12" s="2" t="s">
        <v>75</v>
      </c>
      <c r="E12" s="2" t="s">
        <v>53</v>
      </c>
      <c r="F12" s="2"/>
      <c r="G12" s="2" t="s">
        <v>68</v>
      </c>
    </row>
    <row r="13" customFormat="false" ht="15" hidden="false" customHeight="false" outlineLevel="0" collapsed="false">
      <c r="A13" s="2" t="s">
        <v>64</v>
      </c>
      <c r="B13" s="4" t="s">
        <v>50</v>
      </c>
      <c r="C13" s="4" t="s">
        <v>76</v>
      </c>
      <c r="D13" s="2" t="s">
        <v>77</v>
      </c>
      <c r="E13" s="2" t="s">
        <v>57</v>
      </c>
      <c r="F13" s="2" t="s">
        <v>78</v>
      </c>
      <c r="G13" s="2" t="s">
        <v>68</v>
      </c>
    </row>
    <row r="14" customFormat="false" ht="15" hidden="false" customHeight="false" outlineLevel="0" collapsed="false">
      <c r="A14" s="2" t="s">
        <v>79</v>
      </c>
      <c r="B14" s="4" t="s">
        <v>36</v>
      </c>
      <c r="C14" s="4" t="s">
        <v>65</v>
      </c>
      <c r="D14" s="2" t="s">
        <v>66</v>
      </c>
      <c r="E14" s="2" t="s">
        <v>39</v>
      </c>
      <c r="F14" s="4" t="s">
        <v>67</v>
      </c>
      <c r="G14" s="2" t="s">
        <v>68</v>
      </c>
    </row>
    <row r="15" customFormat="false" ht="15" hidden="false" customHeight="false" outlineLevel="0" collapsed="false">
      <c r="A15" s="2" t="s">
        <v>79</v>
      </c>
      <c r="B15" s="4" t="s">
        <v>41</v>
      </c>
      <c r="C15" s="4" t="s">
        <v>69</v>
      </c>
      <c r="D15" s="2" t="s">
        <v>70</v>
      </c>
      <c r="E15" s="2" t="s">
        <v>57</v>
      </c>
      <c r="F15" s="2"/>
      <c r="G15" s="2" t="s">
        <v>40</v>
      </c>
    </row>
    <row r="16" customFormat="false" ht="15" hidden="false" customHeight="false" outlineLevel="0" collapsed="false">
      <c r="A16" s="2" t="s">
        <v>79</v>
      </c>
      <c r="B16" s="4" t="s">
        <v>44</v>
      </c>
      <c r="C16" s="4" t="s">
        <v>71</v>
      </c>
      <c r="D16" s="2" t="s">
        <v>72</v>
      </c>
      <c r="E16" s="2" t="s">
        <v>57</v>
      </c>
      <c r="F16" s="4" t="s">
        <v>73</v>
      </c>
      <c r="G16" s="2" t="s">
        <v>40</v>
      </c>
    </row>
    <row r="17" customFormat="false" ht="15" hidden="false" customHeight="false" outlineLevel="0" collapsed="false">
      <c r="A17" s="2" t="s">
        <v>79</v>
      </c>
      <c r="B17" s="4" t="s">
        <v>47</v>
      </c>
      <c r="C17" s="4" t="s">
        <v>37</v>
      </c>
      <c r="D17" s="2" t="s">
        <v>38</v>
      </c>
      <c r="E17" s="2" t="s">
        <v>39</v>
      </c>
      <c r="F17" s="2"/>
      <c r="G17" s="2" t="s">
        <v>40</v>
      </c>
    </row>
    <row r="18" customFormat="false" ht="15" hidden="false" customHeight="false" outlineLevel="0" collapsed="false">
      <c r="A18" s="2" t="s">
        <v>79</v>
      </c>
      <c r="B18" s="4" t="s">
        <v>50</v>
      </c>
      <c r="C18" s="4" t="s">
        <v>42</v>
      </c>
      <c r="D18" s="2" t="s">
        <v>43</v>
      </c>
      <c r="E18" s="2" t="s">
        <v>39</v>
      </c>
      <c r="F18" s="2"/>
      <c r="G18" s="2" t="s">
        <v>80</v>
      </c>
    </row>
    <row r="19" customFormat="false" ht="15" hidden="false" customHeight="false" outlineLevel="0" collapsed="false">
      <c r="A19" s="2" t="s">
        <v>79</v>
      </c>
      <c r="B19" s="4" t="s">
        <v>54</v>
      </c>
      <c r="C19" s="4" t="s">
        <v>45</v>
      </c>
      <c r="D19" s="2" t="s">
        <v>46</v>
      </c>
      <c r="E19" s="2" t="s">
        <v>39</v>
      </c>
      <c r="F19" s="2"/>
      <c r="G19" s="2" t="s">
        <v>80</v>
      </c>
    </row>
    <row r="20" customFormat="false" ht="15" hidden="false" customHeight="false" outlineLevel="0" collapsed="false">
      <c r="A20" s="2" t="s">
        <v>79</v>
      </c>
      <c r="B20" s="4" t="s">
        <v>59</v>
      </c>
      <c r="C20" s="4" t="s">
        <v>81</v>
      </c>
      <c r="D20" s="2" t="s">
        <v>82</v>
      </c>
      <c r="E20" s="2" t="s">
        <v>62</v>
      </c>
      <c r="F20" s="4" t="s">
        <v>63</v>
      </c>
      <c r="G20" s="2" t="s">
        <v>40</v>
      </c>
    </row>
    <row r="21" customFormat="false" ht="15" hidden="false" customHeight="false" outlineLevel="0" collapsed="false">
      <c r="A21" s="2" t="s">
        <v>79</v>
      </c>
      <c r="B21" s="4" t="s">
        <v>83</v>
      </c>
      <c r="C21" s="4" t="s">
        <v>84</v>
      </c>
      <c r="D21" s="2" t="s">
        <v>85</v>
      </c>
      <c r="E21" s="2" t="s">
        <v>62</v>
      </c>
      <c r="F21" s="4" t="s">
        <v>63</v>
      </c>
      <c r="G21" s="2" t="s">
        <v>40</v>
      </c>
    </row>
    <row r="22" customFormat="false" ht="15" hidden="false" customHeight="false" outlineLevel="0" collapsed="false">
      <c r="A22" s="2" t="s">
        <v>79</v>
      </c>
      <c r="B22" s="4" t="s">
        <v>86</v>
      </c>
      <c r="C22" s="4" t="s">
        <v>87</v>
      </c>
      <c r="D22" s="2" t="s">
        <v>88</v>
      </c>
      <c r="E22" s="2" t="s">
        <v>62</v>
      </c>
      <c r="F22" s="4" t="s">
        <v>63</v>
      </c>
      <c r="G22" s="2" t="s">
        <v>40</v>
      </c>
    </row>
    <row r="23" customFormat="false" ht="15" hidden="false" customHeight="false" outlineLevel="0" collapsed="false">
      <c r="A23" s="2" t="s">
        <v>79</v>
      </c>
      <c r="B23" s="4" t="s">
        <v>89</v>
      </c>
      <c r="C23" s="4" t="s">
        <v>90</v>
      </c>
      <c r="D23" s="2" t="s">
        <v>91</v>
      </c>
      <c r="E23" s="2" t="s">
        <v>62</v>
      </c>
      <c r="F23" s="4" t="s">
        <v>63</v>
      </c>
      <c r="G23" s="2" t="s">
        <v>80</v>
      </c>
    </row>
    <row r="24" customFormat="false" ht="15" hidden="false" customHeight="false" outlineLevel="0" collapsed="false">
      <c r="A24" s="2" t="s">
        <v>79</v>
      </c>
      <c r="B24" s="4" t="s">
        <v>92</v>
      </c>
      <c r="C24" s="4" t="s">
        <v>93</v>
      </c>
      <c r="D24" s="2" t="s">
        <v>94</v>
      </c>
      <c r="E24" s="2" t="s">
        <v>62</v>
      </c>
      <c r="F24" s="4" t="s">
        <v>63</v>
      </c>
      <c r="G24" s="2" t="s">
        <v>40</v>
      </c>
    </row>
    <row r="25" customFormat="false" ht="15" hidden="false" customHeight="false" outlineLevel="0" collapsed="false">
      <c r="A25" s="2" t="s">
        <v>79</v>
      </c>
      <c r="B25" s="4" t="s">
        <v>95</v>
      </c>
      <c r="C25" s="4" t="s">
        <v>96</v>
      </c>
      <c r="D25" s="2" t="s">
        <v>97</v>
      </c>
      <c r="E25" s="2" t="s">
        <v>62</v>
      </c>
      <c r="F25" s="4" t="s">
        <v>63</v>
      </c>
      <c r="G25" s="2" t="s">
        <v>40</v>
      </c>
    </row>
    <row r="26" customFormat="false" ht="15" hidden="false" customHeight="false" outlineLevel="0" collapsed="false">
      <c r="A26" s="2" t="s">
        <v>79</v>
      </c>
      <c r="B26" s="4" t="s">
        <v>98</v>
      </c>
      <c r="C26" s="4" t="s">
        <v>99</v>
      </c>
      <c r="D26" s="2" t="s">
        <v>100</v>
      </c>
      <c r="E26" s="2" t="s">
        <v>62</v>
      </c>
      <c r="F26" s="4" t="s">
        <v>63</v>
      </c>
      <c r="G26" s="2" t="s">
        <v>68</v>
      </c>
    </row>
    <row r="27" customFormat="false" ht="15" hidden="false" customHeight="false" outlineLevel="0" collapsed="false">
      <c r="A27" s="2" t="s">
        <v>79</v>
      </c>
      <c r="B27" s="4" t="s">
        <v>101</v>
      </c>
      <c r="C27" s="4" t="s">
        <v>102</v>
      </c>
      <c r="D27" s="2" t="s">
        <v>103</v>
      </c>
      <c r="E27" s="2" t="s">
        <v>62</v>
      </c>
      <c r="F27" s="4" t="s">
        <v>63</v>
      </c>
      <c r="G27" s="2" t="s">
        <v>68</v>
      </c>
    </row>
    <row r="28" customFormat="false" ht="15" hidden="false" customHeight="false" outlineLevel="0" collapsed="false">
      <c r="A28" s="2" t="s">
        <v>79</v>
      </c>
      <c r="B28" s="4" t="s">
        <v>104</v>
      </c>
      <c r="C28" s="4" t="s">
        <v>105</v>
      </c>
      <c r="D28" s="2" t="s">
        <v>106</v>
      </c>
      <c r="E28" s="2" t="s">
        <v>107</v>
      </c>
      <c r="F28" s="2" t="s">
        <v>108</v>
      </c>
      <c r="G28" s="2" t="s">
        <v>68</v>
      </c>
    </row>
    <row r="29" customFormat="false" ht="15" hidden="false" customHeight="false" outlineLevel="0" collapsed="false">
      <c r="A29" s="2" t="s">
        <v>79</v>
      </c>
      <c r="B29" s="4" t="s">
        <v>109</v>
      </c>
      <c r="C29" s="4" t="s">
        <v>110</v>
      </c>
      <c r="D29" s="2" t="s">
        <v>111</v>
      </c>
      <c r="E29" s="2" t="s">
        <v>57</v>
      </c>
      <c r="F29" s="2" t="s">
        <v>112</v>
      </c>
      <c r="G29" s="2" t="s">
        <v>40</v>
      </c>
    </row>
    <row r="30" customFormat="false" ht="15" hidden="false" customHeight="false" outlineLevel="0" collapsed="false">
      <c r="A30" s="2" t="s">
        <v>79</v>
      </c>
      <c r="B30" s="4" t="s">
        <v>113</v>
      </c>
      <c r="C30" s="4" t="s">
        <v>114</v>
      </c>
      <c r="D30" s="2" t="s">
        <v>115</v>
      </c>
      <c r="E30" s="2" t="s">
        <v>62</v>
      </c>
      <c r="F30" s="2" t="s">
        <v>116</v>
      </c>
      <c r="G30" s="2" t="s">
        <v>68</v>
      </c>
    </row>
    <row r="31" customFormat="false" ht="15" hidden="false" customHeight="false" outlineLevel="0" collapsed="false">
      <c r="A31" s="2" t="s">
        <v>79</v>
      </c>
      <c r="B31" s="4" t="s">
        <v>117</v>
      </c>
      <c r="C31" s="4" t="s">
        <v>118</v>
      </c>
      <c r="D31" s="2" t="s">
        <v>119</v>
      </c>
      <c r="E31" s="2" t="s">
        <v>62</v>
      </c>
      <c r="F31" s="4" t="s">
        <v>63</v>
      </c>
      <c r="G31" s="2" t="s">
        <v>68</v>
      </c>
    </row>
    <row r="32" customFormat="false" ht="15" hidden="false" customHeight="false" outlineLevel="0" collapsed="false">
      <c r="A32" s="2" t="s">
        <v>79</v>
      </c>
      <c r="B32" s="4" t="s">
        <v>120</v>
      </c>
      <c r="C32" s="4" t="s">
        <v>121</v>
      </c>
      <c r="D32" s="2" t="s">
        <v>122</v>
      </c>
      <c r="E32" s="2" t="s">
        <v>39</v>
      </c>
      <c r="F32" s="2"/>
      <c r="G32" s="2" t="s">
        <v>40</v>
      </c>
    </row>
    <row r="33" customFormat="false" ht="15" hidden="false" customHeight="false" outlineLevel="0" collapsed="false">
      <c r="A33" s="2" t="s">
        <v>79</v>
      </c>
      <c r="B33" s="4" t="s">
        <v>123</v>
      </c>
      <c r="C33" s="4" t="s">
        <v>124</v>
      </c>
      <c r="D33" s="2" t="s">
        <v>125</v>
      </c>
      <c r="E33" s="2" t="s">
        <v>57</v>
      </c>
      <c r="F33" s="2" t="s">
        <v>126</v>
      </c>
      <c r="G33" s="2" t="s">
        <v>40</v>
      </c>
    </row>
    <row r="34" customFormat="false" ht="15" hidden="false" customHeight="false" outlineLevel="0" collapsed="false">
      <c r="A34" s="2" t="s">
        <v>127</v>
      </c>
      <c r="B34" s="4" t="s">
        <v>36</v>
      </c>
      <c r="C34" s="4" t="s">
        <v>37</v>
      </c>
      <c r="D34" s="2" t="s">
        <v>38</v>
      </c>
      <c r="E34" s="2" t="s">
        <v>39</v>
      </c>
      <c r="F34" s="2"/>
      <c r="G34" s="2" t="s">
        <v>40</v>
      </c>
    </row>
    <row r="35" customFormat="false" ht="15" hidden="false" customHeight="false" outlineLevel="0" collapsed="false">
      <c r="A35" s="2" t="s">
        <v>127</v>
      </c>
      <c r="B35" s="4" t="s">
        <v>41</v>
      </c>
      <c r="C35" s="4" t="s">
        <v>42</v>
      </c>
      <c r="D35" s="2" t="s">
        <v>43</v>
      </c>
      <c r="E35" s="2" t="s">
        <v>39</v>
      </c>
      <c r="F35" s="2"/>
      <c r="G35" s="2" t="s">
        <v>80</v>
      </c>
    </row>
    <row r="36" customFormat="false" ht="15" hidden="false" customHeight="false" outlineLevel="0" collapsed="false">
      <c r="A36" s="2" t="s">
        <v>127</v>
      </c>
      <c r="B36" s="4" t="s">
        <v>44</v>
      </c>
      <c r="C36" s="4" t="s">
        <v>45</v>
      </c>
      <c r="D36" s="2" t="s">
        <v>46</v>
      </c>
      <c r="E36" s="2" t="s">
        <v>39</v>
      </c>
      <c r="F36" s="2"/>
      <c r="G36" s="2" t="s">
        <v>80</v>
      </c>
    </row>
    <row r="37" customFormat="false" ht="15" hidden="false" customHeight="false" outlineLevel="0" collapsed="false">
      <c r="A37" s="2" t="s">
        <v>127</v>
      </c>
      <c r="B37" s="4" t="s">
        <v>47</v>
      </c>
      <c r="C37" s="4" t="s">
        <v>128</v>
      </c>
      <c r="D37" s="2" t="s">
        <v>129</v>
      </c>
      <c r="E37" s="2" t="s">
        <v>62</v>
      </c>
      <c r="F37" s="4" t="s">
        <v>63</v>
      </c>
      <c r="G37" s="2" t="s">
        <v>68</v>
      </c>
    </row>
    <row r="38" customFormat="false" ht="15" hidden="false" customHeight="false" outlineLevel="0" collapsed="false">
      <c r="A38" s="2" t="s">
        <v>127</v>
      </c>
      <c r="B38" s="4" t="s">
        <v>50</v>
      </c>
      <c r="C38" s="4" t="s">
        <v>130</v>
      </c>
      <c r="D38" s="2" t="s">
        <v>131</v>
      </c>
      <c r="E38" s="2" t="s">
        <v>62</v>
      </c>
      <c r="F38" s="4" t="s">
        <v>63</v>
      </c>
      <c r="G38" s="2" t="s">
        <v>68</v>
      </c>
    </row>
    <row r="39" customFormat="false" ht="15" hidden="false" customHeight="false" outlineLevel="0" collapsed="false">
      <c r="A39" s="2" t="s">
        <v>127</v>
      </c>
      <c r="B39" s="4" t="s">
        <v>54</v>
      </c>
      <c r="C39" s="4" t="s">
        <v>132</v>
      </c>
      <c r="D39" s="2" t="s">
        <v>133</v>
      </c>
      <c r="E39" s="2" t="s">
        <v>62</v>
      </c>
      <c r="F39" s="4" t="s">
        <v>63</v>
      </c>
      <c r="G39" s="2" t="s">
        <v>68</v>
      </c>
    </row>
    <row r="40" customFormat="false" ht="15" hidden="false" customHeight="false" outlineLevel="0" collapsed="false">
      <c r="A40" s="2" t="s">
        <v>127</v>
      </c>
      <c r="B40" s="4" t="s">
        <v>59</v>
      </c>
      <c r="C40" s="4" t="s">
        <v>134</v>
      </c>
      <c r="D40" s="2" t="s">
        <v>106</v>
      </c>
      <c r="E40" s="2" t="s">
        <v>107</v>
      </c>
      <c r="F40" s="2" t="s">
        <v>108</v>
      </c>
      <c r="G40" s="2" t="s">
        <v>68</v>
      </c>
    </row>
    <row r="41" customFormat="false" ht="15" hidden="false" customHeight="false" outlineLevel="0" collapsed="false">
      <c r="A41" s="2" t="s">
        <v>127</v>
      </c>
      <c r="B41" s="4" t="s">
        <v>83</v>
      </c>
      <c r="C41" s="4" t="s">
        <v>135</v>
      </c>
      <c r="D41" s="2" t="s">
        <v>136</v>
      </c>
      <c r="E41" s="2" t="s">
        <v>57</v>
      </c>
      <c r="F41" s="2" t="s">
        <v>112</v>
      </c>
      <c r="G41" s="2" t="s">
        <v>68</v>
      </c>
    </row>
    <row r="42" customFormat="false" ht="15" hidden="false" customHeight="false" outlineLevel="0" collapsed="false">
      <c r="A42" s="2" t="s">
        <v>127</v>
      </c>
      <c r="B42" s="4" t="s">
        <v>86</v>
      </c>
      <c r="C42" s="4" t="s">
        <v>114</v>
      </c>
      <c r="D42" s="2" t="s">
        <v>115</v>
      </c>
      <c r="E42" s="2" t="s">
        <v>62</v>
      </c>
      <c r="F42" s="2" t="s">
        <v>116</v>
      </c>
      <c r="G42" s="2" t="s">
        <v>68</v>
      </c>
    </row>
    <row r="43" customFormat="false" ht="15" hidden="false" customHeight="false" outlineLevel="0" collapsed="false">
      <c r="A43" s="2" t="s">
        <v>127</v>
      </c>
      <c r="B43" s="4" t="s">
        <v>89</v>
      </c>
      <c r="C43" s="4" t="s">
        <v>118</v>
      </c>
      <c r="D43" s="2" t="s">
        <v>119</v>
      </c>
      <c r="E43" s="2" t="s">
        <v>62</v>
      </c>
      <c r="F43" s="4" t="s">
        <v>63</v>
      </c>
      <c r="G43" s="2" t="s">
        <v>68</v>
      </c>
    </row>
    <row r="44" customFormat="false" ht="15" hidden="false" customHeight="false" outlineLevel="0" collapsed="false">
      <c r="A44" s="2" t="s">
        <v>127</v>
      </c>
      <c r="B44" s="4" t="s">
        <v>92</v>
      </c>
      <c r="C44" s="4" t="s">
        <v>137</v>
      </c>
      <c r="D44" s="2" t="s">
        <v>138</v>
      </c>
      <c r="E44" s="2" t="s">
        <v>57</v>
      </c>
      <c r="F44" s="4" t="s">
        <v>73</v>
      </c>
      <c r="G44" s="2" t="s">
        <v>68</v>
      </c>
    </row>
    <row r="45" customFormat="false" ht="15" hidden="false" customHeight="false" outlineLevel="0" collapsed="false">
      <c r="A45" s="2" t="s">
        <v>127</v>
      </c>
      <c r="B45" s="4" t="s">
        <v>95</v>
      </c>
      <c r="C45" s="4" t="s">
        <v>139</v>
      </c>
      <c r="D45" s="2" t="s">
        <v>140</v>
      </c>
      <c r="E45" s="2" t="s">
        <v>62</v>
      </c>
      <c r="F45" s="4" t="s">
        <v>63</v>
      </c>
      <c r="G45" s="2" t="s">
        <v>68</v>
      </c>
    </row>
    <row r="46" customFormat="false" ht="15" hidden="false" customHeight="false" outlineLevel="0" collapsed="false">
      <c r="A46" s="2" t="s">
        <v>127</v>
      </c>
      <c r="B46" s="4" t="s">
        <v>98</v>
      </c>
      <c r="C46" s="4" t="s">
        <v>141</v>
      </c>
      <c r="D46" s="2" t="s">
        <v>142</v>
      </c>
      <c r="E46" s="2" t="s">
        <v>57</v>
      </c>
      <c r="F46" s="2"/>
      <c r="G46" s="2" t="s">
        <v>68</v>
      </c>
    </row>
    <row r="47" customFormat="false" ht="15" hidden="false" customHeight="false" outlineLevel="0" collapsed="false">
      <c r="A47" s="2" t="s">
        <v>143</v>
      </c>
      <c r="B47" s="4" t="s">
        <v>36</v>
      </c>
      <c r="C47" s="4" t="s">
        <v>65</v>
      </c>
      <c r="D47" s="2" t="s">
        <v>66</v>
      </c>
      <c r="E47" s="2" t="s">
        <v>39</v>
      </c>
      <c r="F47" s="4" t="s">
        <v>67</v>
      </c>
      <c r="G47" s="2" t="s">
        <v>144</v>
      </c>
    </row>
    <row r="48" customFormat="false" ht="15" hidden="false" customHeight="false" outlineLevel="0" collapsed="false">
      <c r="A48" s="2" t="s">
        <v>143</v>
      </c>
      <c r="B48" s="4" t="s">
        <v>41</v>
      </c>
      <c r="C48" s="4" t="s">
        <v>69</v>
      </c>
      <c r="D48" s="2" t="s">
        <v>70</v>
      </c>
      <c r="E48" s="2" t="s">
        <v>57</v>
      </c>
      <c r="F48" s="2"/>
      <c r="G48" s="2" t="s">
        <v>144</v>
      </c>
    </row>
    <row r="49" customFormat="false" ht="15" hidden="false" customHeight="false" outlineLevel="0" collapsed="false">
      <c r="A49" s="2" t="s">
        <v>143</v>
      </c>
      <c r="B49" s="4" t="s">
        <v>44</v>
      </c>
      <c r="C49" s="4" t="s">
        <v>71</v>
      </c>
      <c r="D49" s="2" t="s">
        <v>72</v>
      </c>
      <c r="E49" s="2" t="s">
        <v>57</v>
      </c>
      <c r="F49" s="4" t="s">
        <v>73</v>
      </c>
      <c r="G49" s="2" t="s">
        <v>144</v>
      </c>
    </row>
    <row r="50" customFormat="false" ht="15" hidden="false" customHeight="false" outlineLevel="0" collapsed="false">
      <c r="A50" s="2" t="s">
        <v>143</v>
      </c>
      <c r="B50" s="4" t="s">
        <v>47</v>
      </c>
      <c r="C50" s="4" t="s">
        <v>81</v>
      </c>
      <c r="D50" s="2" t="s">
        <v>82</v>
      </c>
      <c r="E50" s="2" t="s">
        <v>62</v>
      </c>
      <c r="F50" s="4" t="s">
        <v>63</v>
      </c>
      <c r="G50" s="2" t="s">
        <v>68</v>
      </c>
    </row>
    <row r="51" customFormat="false" ht="15" hidden="false" customHeight="false" outlineLevel="0" collapsed="false">
      <c r="A51" s="2" t="s">
        <v>143</v>
      </c>
      <c r="B51" s="4" t="s">
        <v>50</v>
      </c>
      <c r="C51" s="4" t="s">
        <v>99</v>
      </c>
      <c r="D51" s="2" t="s">
        <v>100</v>
      </c>
      <c r="E51" s="2" t="s">
        <v>62</v>
      </c>
      <c r="F51" s="4" t="s">
        <v>63</v>
      </c>
      <c r="G51" s="2" t="s">
        <v>68</v>
      </c>
    </row>
    <row r="52" customFormat="false" ht="15" hidden="false" customHeight="false" outlineLevel="0" collapsed="false">
      <c r="A52" s="2" t="s">
        <v>143</v>
      </c>
      <c r="B52" s="4" t="s">
        <v>54</v>
      </c>
      <c r="C52" s="4" t="s">
        <v>102</v>
      </c>
      <c r="D52" s="2" t="s">
        <v>103</v>
      </c>
      <c r="E52" s="2" t="s">
        <v>62</v>
      </c>
      <c r="F52" s="4" t="s">
        <v>63</v>
      </c>
      <c r="G52" s="2" t="s">
        <v>68</v>
      </c>
    </row>
    <row r="53" customFormat="false" ht="15" hidden="false" customHeight="false" outlineLevel="0" collapsed="false">
      <c r="A53" s="2" t="s">
        <v>143</v>
      </c>
      <c r="B53" s="4" t="s">
        <v>59</v>
      </c>
      <c r="C53" s="4" t="s">
        <v>105</v>
      </c>
      <c r="D53" s="2" t="s">
        <v>106</v>
      </c>
      <c r="E53" s="2" t="s">
        <v>107</v>
      </c>
      <c r="F53" s="2" t="s">
        <v>108</v>
      </c>
      <c r="G53" s="2" t="s">
        <v>68</v>
      </c>
    </row>
    <row r="54" customFormat="false" ht="15" hidden="false" customHeight="false" outlineLevel="0" collapsed="false">
      <c r="A54" s="2" t="s">
        <v>143</v>
      </c>
      <c r="B54" s="4" t="s">
        <v>83</v>
      </c>
      <c r="C54" s="4" t="s">
        <v>110</v>
      </c>
      <c r="D54" s="2" t="s">
        <v>111</v>
      </c>
      <c r="E54" s="2" t="s">
        <v>57</v>
      </c>
      <c r="F54" s="2" t="s">
        <v>112</v>
      </c>
      <c r="G54" s="2" t="s">
        <v>68</v>
      </c>
    </row>
    <row r="55" customFormat="false" ht="15" hidden="false" customHeight="false" outlineLevel="0" collapsed="false">
      <c r="A55" s="2" t="s">
        <v>143</v>
      </c>
      <c r="B55" s="4" t="s">
        <v>86</v>
      </c>
      <c r="C55" s="4" t="s">
        <v>114</v>
      </c>
      <c r="D55" s="2" t="s">
        <v>115</v>
      </c>
      <c r="E55" s="2" t="s">
        <v>62</v>
      </c>
      <c r="F55" s="2" t="s">
        <v>116</v>
      </c>
      <c r="G55" s="2" t="s">
        <v>68</v>
      </c>
    </row>
    <row r="56" customFormat="false" ht="15" hidden="false" customHeight="false" outlineLevel="0" collapsed="false">
      <c r="A56" s="2" t="s">
        <v>143</v>
      </c>
      <c r="B56" s="4" t="s">
        <v>89</v>
      </c>
      <c r="C56" s="4" t="s">
        <v>118</v>
      </c>
      <c r="D56" s="2" t="s">
        <v>119</v>
      </c>
      <c r="E56" s="2" t="s">
        <v>62</v>
      </c>
      <c r="F56" s="4" t="s">
        <v>63</v>
      </c>
      <c r="G56" s="2" t="s">
        <v>68</v>
      </c>
    </row>
    <row r="57" customFormat="false" ht="15" hidden="false" customHeight="false" outlineLevel="0" collapsed="false">
      <c r="A57" s="2" t="s">
        <v>143</v>
      </c>
      <c r="B57" s="4" t="s">
        <v>92</v>
      </c>
      <c r="C57" s="4" t="s">
        <v>145</v>
      </c>
      <c r="D57" s="2" t="s">
        <v>146</v>
      </c>
      <c r="E57" s="2" t="s">
        <v>107</v>
      </c>
      <c r="F57" s="2" t="s">
        <v>108</v>
      </c>
      <c r="G57" s="2" t="s">
        <v>68</v>
      </c>
    </row>
    <row r="58" customFormat="false" ht="15" hidden="false" customHeight="false" outlineLevel="0" collapsed="false">
      <c r="A58" s="2" t="s">
        <v>147</v>
      </c>
      <c r="B58" s="4" t="s">
        <v>36</v>
      </c>
      <c r="C58" s="4" t="s">
        <v>148</v>
      </c>
      <c r="D58" s="2" t="s">
        <v>149</v>
      </c>
      <c r="E58" s="2" t="s">
        <v>39</v>
      </c>
      <c r="F58" s="2"/>
      <c r="G58" s="2" t="s">
        <v>40</v>
      </c>
    </row>
    <row r="59" customFormat="false" ht="15" hidden="false" customHeight="false" outlineLevel="0" collapsed="false">
      <c r="A59" s="2" t="s">
        <v>147</v>
      </c>
      <c r="B59" s="4" t="s">
        <v>41</v>
      </c>
      <c r="C59" s="4" t="s">
        <v>150</v>
      </c>
      <c r="D59" s="2" t="s">
        <v>151</v>
      </c>
      <c r="E59" s="2" t="s">
        <v>57</v>
      </c>
      <c r="F59" s="2" t="s">
        <v>152</v>
      </c>
      <c r="G59" s="2" t="s">
        <v>68</v>
      </c>
    </row>
    <row r="60" customFormat="false" ht="15" hidden="false" customHeight="false" outlineLevel="0" collapsed="false">
      <c r="A60" s="2" t="s">
        <v>147</v>
      </c>
      <c r="B60" s="4" t="s">
        <v>44</v>
      </c>
      <c r="C60" s="4" t="s">
        <v>153</v>
      </c>
      <c r="D60" s="2" t="s">
        <v>154</v>
      </c>
      <c r="E60" s="2" t="s">
        <v>57</v>
      </c>
      <c r="F60" s="2" t="s">
        <v>126</v>
      </c>
      <c r="G60" s="2" t="s">
        <v>68</v>
      </c>
    </row>
    <row r="61" customFormat="false" ht="15" hidden="false" customHeight="false" outlineLevel="0" collapsed="false">
      <c r="A61" s="2" t="s">
        <v>147</v>
      </c>
      <c r="B61" s="4" t="s">
        <v>47</v>
      </c>
      <c r="C61" s="4" t="s">
        <v>155</v>
      </c>
      <c r="D61" s="2" t="s">
        <v>156</v>
      </c>
      <c r="E61" s="2" t="s">
        <v>107</v>
      </c>
      <c r="F61" s="2" t="s">
        <v>108</v>
      </c>
      <c r="G61" s="2" t="s">
        <v>68</v>
      </c>
    </row>
    <row r="62" customFormat="false" ht="15" hidden="false" customHeight="false" outlineLevel="0" collapsed="false">
      <c r="A62" s="2" t="s">
        <v>157</v>
      </c>
      <c r="B62" s="4" t="s">
        <v>36</v>
      </c>
      <c r="C62" s="4" t="s">
        <v>158</v>
      </c>
      <c r="D62" s="2" t="s">
        <v>159</v>
      </c>
      <c r="E62" s="2" t="s">
        <v>39</v>
      </c>
      <c r="F62" s="2"/>
      <c r="G62" s="2" t="s">
        <v>40</v>
      </c>
    </row>
    <row r="63" customFormat="false" ht="15" hidden="false" customHeight="false" outlineLevel="0" collapsed="false">
      <c r="A63" s="2" t="s">
        <v>157</v>
      </c>
      <c r="B63" s="4" t="s">
        <v>41</v>
      </c>
      <c r="C63" s="4" t="s">
        <v>160</v>
      </c>
      <c r="D63" s="2" t="s">
        <v>161</v>
      </c>
      <c r="E63" s="2" t="s">
        <v>39</v>
      </c>
      <c r="F63" s="2"/>
      <c r="G63" s="2" t="s">
        <v>40</v>
      </c>
    </row>
    <row r="64" customFormat="false" ht="15" hidden="false" customHeight="false" outlineLevel="0" collapsed="false">
      <c r="A64" s="2" t="s">
        <v>157</v>
      </c>
      <c r="B64" s="4" t="s">
        <v>44</v>
      </c>
      <c r="C64" s="4" t="s">
        <v>162</v>
      </c>
      <c r="D64" s="2" t="s">
        <v>62</v>
      </c>
      <c r="E64" s="2" t="s">
        <v>62</v>
      </c>
      <c r="F64" s="2" t="s">
        <v>163</v>
      </c>
      <c r="G64" s="2" t="s">
        <v>68</v>
      </c>
    </row>
    <row r="65" customFormat="false" ht="15" hidden="false" customHeight="false" outlineLevel="0" collapsed="false">
      <c r="A65" s="2" t="s">
        <v>157</v>
      </c>
      <c r="B65" s="4" t="s">
        <v>47</v>
      </c>
      <c r="C65" s="4" t="s">
        <v>164</v>
      </c>
      <c r="D65" s="2" t="s">
        <v>33</v>
      </c>
      <c r="E65" s="2" t="s">
        <v>39</v>
      </c>
      <c r="F65" s="2"/>
      <c r="G6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38</v>
      </c>
      <c r="B1" s="1" t="s">
        <v>43</v>
      </c>
      <c r="C1" s="1" t="s">
        <v>46</v>
      </c>
      <c r="D1" s="1" t="s">
        <v>49</v>
      </c>
      <c r="E1" s="1" t="s">
        <v>52</v>
      </c>
      <c r="F1" s="1" t="s">
        <v>56</v>
      </c>
      <c r="G1" s="1" t="s">
        <v>61</v>
      </c>
    </row>
    <row r="2" customFormat="false" ht="15" hidden="false" customHeight="false" outlineLevel="0" collapsed="false">
      <c r="A2" s="5" t="s">
        <v>165</v>
      </c>
      <c r="B2" s="6" t="s">
        <v>166</v>
      </c>
      <c r="C2" s="6" t="s">
        <v>167</v>
      </c>
      <c r="D2" s="6" t="s">
        <v>168</v>
      </c>
      <c r="E2" s="7" t="s">
        <v>169</v>
      </c>
      <c r="F2" s="8" t="n">
        <v>120</v>
      </c>
      <c r="G2" s="9" t="n">
        <v>480000</v>
      </c>
    </row>
    <row r="3" customFormat="false" ht="15" hidden="false" customHeight="false" outlineLevel="0" collapsed="false">
      <c r="A3" s="5" t="s">
        <v>170</v>
      </c>
      <c r="B3" s="6" t="s">
        <v>171</v>
      </c>
      <c r="C3" s="6" t="s">
        <v>167</v>
      </c>
      <c r="D3" s="6" t="s">
        <v>168</v>
      </c>
      <c r="E3" s="7" t="s">
        <v>172</v>
      </c>
      <c r="F3" s="8" t="n">
        <v>80</v>
      </c>
      <c r="G3" s="9" t="n">
        <v>320000</v>
      </c>
    </row>
    <row r="4" customFormat="false" ht="15" hidden="false" customHeight="false" outlineLevel="0" collapsed="false">
      <c r="A4" s="5" t="s">
        <v>173</v>
      </c>
      <c r="B4" s="6" t="s">
        <v>174</v>
      </c>
      <c r="C4" s="6" t="s">
        <v>167</v>
      </c>
      <c r="D4" s="6" t="s">
        <v>175</v>
      </c>
      <c r="E4" s="7" t="s">
        <v>176</v>
      </c>
      <c r="F4" s="8" t="n">
        <v>95</v>
      </c>
      <c r="G4" s="9" t="n">
        <v>260000</v>
      </c>
    </row>
    <row r="5" customFormat="false" ht="15" hidden="false" customHeight="false" outlineLevel="0" collapsed="false">
      <c r="A5" s="5" t="s">
        <v>177</v>
      </c>
      <c r="B5" s="6" t="s">
        <v>178</v>
      </c>
      <c r="C5" s="6" t="s">
        <v>167</v>
      </c>
      <c r="D5" s="6" t="s">
        <v>179</v>
      </c>
      <c r="E5" s="7" t="s">
        <v>180</v>
      </c>
      <c r="F5" s="8" t="n">
        <v>85</v>
      </c>
      <c r="G5" s="9" t="n">
        <v>190000</v>
      </c>
    </row>
    <row r="6" customFormat="false" ht="15" hidden="false" customHeight="false" outlineLevel="0" collapsed="false">
      <c r="A6" s="5" t="s">
        <v>181</v>
      </c>
      <c r="B6" s="6" t="s">
        <v>182</v>
      </c>
      <c r="C6" s="6" t="s">
        <v>183</v>
      </c>
      <c r="D6" s="6" t="s">
        <v>184</v>
      </c>
      <c r="E6" s="7" t="s">
        <v>185</v>
      </c>
      <c r="F6" s="8" t="n">
        <v>100</v>
      </c>
      <c r="G6" s="9" t="n">
        <v>230000</v>
      </c>
    </row>
    <row r="7" customFormat="false" ht="15" hidden="false" customHeight="false" outlineLevel="0" collapsed="false">
      <c r="A7" s="5" t="s">
        <v>186</v>
      </c>
      <c r="B7" s="6" t="s">
        <v>187</v>
      </c>
      <c r="C7" s="6" t="s">
        <v>183</v>
      </c>
      <c r="D7" s="6" t="s">
        <v>184</v>
      </c>
      <c r="E7" s="7" t="s">
        <v>188</v>
      </c>
      <c r="F7" s="8" t="n">
        <v>90</v>
      </c>
      <c r="G7" s="9" t="n">
        <v>285000</v>
      </c>
    </row>
    <row r="8" customFormat="false" ht="15" hidden="false" customHeight="false" outlineLevel="0" collapsed="false">
      <c r="A8" s="5" t="s">
        <v>189</v>
      </c>
      <c r="B8" s="6" t="s">
        <v>190</v>
      </c>
      <c r="C8" s="6" t="s">
        <v>191</v>
      </c>
      <c r="D8" s="6" t="s">
        <v>192</v>
      </c>
      <c r="E8" s="7" t="s">
        <v>193</v>
      </c>
      <c r="F8" s="8" t="n">
        <v>75</v>
      </c>
      <c r="G8" s="9" t="n">
        <v>165000</v>
      </c>
    </row>
    <row r="9" customFormat="false" ht="15" hidden="false" customHeight="false" outlineLevel="0" collapsed="false">
      <c r="A9" s="5" t="s">
        <v>194</v>
      </c>
      <c r="B9" s="6" t="s">
        <v>195</v>
      </c>
      <c r="C9" s="6" t="s">
        <v>191</v>
      </c>
      <c r="D9" s="6" t="s">
        <v>196</v>
      </c>
      <c r="E9" s="7" t="s">
        <v>197</v>
      </c>
      <c r="F9" s="8" t="n">
        <v>110</v>
      </c>
      <c r="G9" s="9" t="n">
        <v>210000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1"/>
  </cols>
  <sheetData>
    <row r="1" customFormat="false" ht="30" hidden="false" customHeight="true" outlineLevel="0" collapsed="false">
      <c r="A1" s="1" t="s">
        <v>66</v>
      </c>
      <c r="B1" s="1" t="s">
        <v>70</v>
      </c>
      <c r="C1" s="1" t="s">
        <v>72</v>
      </c>
      <c r="D1" s="1" t="s">
        <v>75</v>
      </c>
      <c r="E1" s="1" t="s">
        <v>77</v>
      </c>
    </row>
    <row r="2" customFormat="false" ht="15" hidden="false" customHeight="false" outlineLevel="0" collapsed="false">
      <c r="A2" s="10" t="str">
        <f aca="false">TEXT(B2,"0")&amp;"-"&amp;TEXT(C2,"00")</f>
        <v>2025-01</v>
      </c>
      <c r="B2" s="8" t="n">
        <v>2025</v>
      </c>
      <c r="C2" s="8" t="n">
        <v>1</v>
      </c>
      <c r="D2" s="11" t="n">
        <f aca="false">DATE(B2,C2,1)</f>
        <v>45658</v>
      </c>
      <c r="E2" s="12" t="n">
        <f aca="false">DAY(EOMONTH(D2,0))</f>
        <v>31</v>
      </c>
    </row>
    <row r="3" customFormat="false" ht="15" hidden="false" customHeight="false" outlineLevel="0" collapsed="false">
      <c r="A3" s="10" t="str">
        <f aca="false">TEXT(B3,"0")&amp;"-"&amp;TEXT(C3,"00")</f>
        <v>2025-02</v>
      </c>
      <c r="B3" s="8" t="n">
        <v>2025</v>
      </c>
      <c r="C3" s="8" t="n">
        <v>2</v>
      </c>
      <c r="D3" s="11" t="n">
        <f aca="false">DATE(B3,C3,1)</f>
        <v>45689</v>
      </c>
      <c r="E3" s="12" t="n">
        <f aca="false">DAY(EOMONTH(D3,0))</f>
        <v>28</v>
      </c>
    </row>
    <row r="4" customFormat="false" ht="15" hidden="false" customHeight="false" outlineLevel="0" collapsed="false">
      <c r="A4" s="10" t="str">
        <f aca="false">TEXT(B4,"0")&amp;"-"&amp;TEXT(C4,"00")</f>
        <v>2025-03</v>
      </c>
      <c r="B4" s="8" t="n">
        <v>2025</v>
      </c>
      <c r="C4" s="8" t="n">
        <v>3</v>
      </c>
      <c r="D4" s="11" t="n">
        <f aca="false">DATE(B4,C4,1)</f>
        <v>45717</v>
      </c>
      <c r="E4" s="12" t="n">
        <f aca="false">DAY(EOMONTH(D4,0))</f>
        <v>31</v>
      </c>
    </row>
    <row r="5" customFormat="false" ht="15" hidden="false" customHeight="false" outlineLevel="0" collapsed="false">
      <c r="A5" s="10" t="str">
        <f aca="false">TEXT(B5,"0")&amp;"-"&amp;TEXT(C5,"00")</f>
        <v>2025-04</v>
      </c>
      <c r="B5" s="8" t="n">
        <v>2025</v>
      </c>
      <c r="C5" s="8" t="n">
        <v>4</v>
      </c>
      <c r="D5" s="11" t="n">
        <f aca="false">DATE(B5,C5,1)</f>
        <v>45748</v>
      </c>
      <c r="E5" s="12" t="n">
        <f aca="false">DAY(EOMONTH(D5,0))</f>
        <v>30</v>
      </c>
    </row>
    <row r="6" customFormat="false" ht="15" hidden="false" customHeight="false" outlineLevel="0" collapsed="false">
      <c r="A6" s="10" t="str">
        <f aca="false">TEXT(B6,"0")&amp;"-"&amp;TEXT(C6,"00")</f>
        <v>2025-05</v>
      </c>
      <c r="B6" s="8" t="n">
        <v>2025</v>
      </c>
      <c r="C6" s="8" t="n">
        <v>5</v>
      </c>
      <c r="D6" s="11" t="n">
        <f aca="false">DATE(B6,C6,1)</f>
        <v>45778</v>
      </c>
      <c r="E6" s="12" t="n">
        <f aca="false">DAY(EOMONTH(D6,0))</f>
        <v>31</v>
      </c>
    </row>
    <row r="7" customFormat="false" ht="15" hidden="false" customHeight="false" outlineLevel="0" collapsed="false">
      <c r="A7" s="10" t="str">
        <f aca="false">TEXT(B7,"0")&amp;"-"&amp;TEXT(C7,"00")</f>
        <v>2025-06</v>
      </c>
      <c r="B7" s="8" t="n">
        <v>2025</v>
      </c>
      <c r="C7" s="8" t="n">
        <v>6</v>
      </c>
      <c r="D7" s="11" t="n">
        <f aca="false">DATE(B7,C7,1)</f>
        <v>45809</v>
      </c>
      <c r="E7" s="12" t="n">
        <f aca="false">DAY(EOMONTH(D7,0))</f>
        <v>30</v>
      </c>
    </row>
    <row r="8" customFormat="false" ht="15" hidden="false" customHeight="false" outlineLevel="0" collapsed="false">
      <c r="A8" s="10" t="str">
        <f aca="false">TEXT(B8,"0")&amp;"-"&amp;TEXT(C8,"00")</f>
        <v>2025-07</v>
      </c>
      <c r="B8" s="8" t="n">
        <v>2025</v>
      </c>
      <c r="C8" s="8" t="n">
        <v>7</v>
      </c>
      <c r="D8" s="11" t="n">
        <f aca="false">DATE(B8,C8,1)</f>
        <v>45839</v>
      </c>
      <c r="E8" s="12" t="n">
        <f aca="false">DAY(EOMONTH(D8,0))</f>
        <v>31</v>
      </c>
    </row>
    <row r="9" customFormat="false" ht="15" hidden="false" customHeight="false" outlineLevel="0" collapsed="false">
      <c r="A9" s="10" t="str">
        <f aca="false">TEXT(B9,"0")&amp;"-"&amp;TEXT(C9,"00")</f>
        <v>2025-08</v>
      </c>
      <c r="B9" s="8" t="n">
        <v>2025</v>
      </c>
      <c r="C9" s="8" t="n">
        <v>8</v>
      </c>
      <c r="D9" s="11" t="n">
        <f aca="false">DATE(B9,C9,1)</f>
        <v>45870</v>
      </c>
      <c r="E9" s="12" t="n">
        <f aca="false">DAY(EOMONTH(D9,0))</f>
        <v>31</v>
      </c>
    </row>
    <row r="10" customFormat="false" ht="15" hidden="false" customHeight="false" outlineLevel="0" collapsed="false">
      <c r="A10" s="10" t="str">
        <f aca="false">TEXT(B10,"0")&amp;"-"&amp;TEXT(C10,"00")</f>
        <v>2025-09</v>
      </c>
      <c r="B10" s="8" t="n">
        <v>2025</v>
      </c>
      <c r="C10" s="8" t="n">
        <v>9</v>
      </c>
      <c r="D10" s="11" t="n">
        <f aca="false">DATE(B10,C10,1)</f>
        <v>45901</v>
      </c>
      <c r="E10" s="12" t="n">
        <f aca="false">DAY(EOMONTH(D10,0))</f>
        <v>30</v>
      </c>
    </row>
    <row r="11" customFormat="false" ht="15" hidden="false" customHeight="false" outlineLevel="0" collapsed="false">
      <c r="A11" s="10" t="str">
        <f aca="false">TEXT(B11,"0")&amp;"-"&amp;TEXT(C11,"00")</f>
        <v>2025-10</v>
      </c>
      <c r="B11" s="8" t="n">
        <v>2025</v>
      </c>
      <c r="C11" s="8" t="n">
        <v>10</v>
      </c>
      <c r="D11" s="11" t="n">
        <f aca="false">DATE(B11,C11,1)</f>
        <v>45931</v>
      </c>
      <c r="E11" s="12" t="n">
        <f aca="false">DAY(EOMONTH(D11,0))</f>
        <v>31</v>
      </c>
    </row>
    <row r="12" customFormat="false" ht="15" hidden="false" customHeight="false" outlineLevel="0" collapsed="false">
      <c r="A12" s="10" t="str">
        <f aca="false">TEXT(B12,"0")&amp;"-"&amp;TEXT(C12,"00")</f>
        <v>2025-11</v>
      </c>
      <c r="B12" s="8" t="n">
        <v>2025</v>
      </c>
      <c r="C12" s="8" t="n">
        <v>11</v>
      </c>
      <c r="D12" s="11" t="n">
        <f aca="false">DATE(B12,C12,1)</f>
        <v>45962</v>
      </c>
      <c r="E12" s="12" t="n">
        <f aca="false">DAY(EOMONTH(D12,0))</f>
        <v>30</v>
      </c>
    </row>
    <row r="13" customFormat="false" ht="15" hidden="false" customHeight="false" outlineLevel="0" collapsed="false">
      <c r="A13" s="10" t="str">
        <f aca="false">TEXT(B13,"0")&amp;"-"&amp;TEXT(C13,"00")</f>
        <v>2025-12</v>
      </c>
      <c r="B13" s="8" t="n">
        <v>2025</v>
      </c>
      <c r="C13" s="8" t="n">
        <v>12</v>
      </c>
      <c r="D13" s="11" t="n">
        <f aca="false">DATE(B13,C13,1)</f>
        <v>45992</v>
      </c>
      <c r="E13" s="12" t="n">
        <f aca="false">DAY(EOMONTH(D13,0))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8"/>
    <col collapsed="false" customWidth="true" hidden="false" outlineLevel="0" max="9" min="7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6"/>
    <col collapsed="false" customWidth="true" hidden="false" outlineLevel="0" max="20" min="20" style="0" width="13"/>
  </cols>
  <sheetData>
    <row r="1" customFormat="false" ht="30" hidden="false" customHeight="true" outlineLevel="0" collapsed="false">
      <c r="A1" s="1" t="s">
        <v>66</v>
      </c>
      <c r="B1" s="1" t="s">
        <v>70</v>
      </c>
      <c r="C1" s="1" t="s">
        <v>72</v>
      </c>
      <c r="D1" s="1" t="s">
        <v>38</v>
      </c>
      <c r="E1" s="1" t="s">
        <v>43</v>
      </c>
      <c r="F1" s="1" t="s">
        <v>46</v>
      </c>
      <c r="G1" s="1" t="s">
        <v>82</v>
      </c>
      <c r="H1" s="1" t="s">
        <v>85</v>
      </c>
      <c r="I1" s="1" t="s">
        <v>88</v>
      </c>
      <c r="J1" s="1" t="s">
        <v>91</v>
      </c>
      <c r="K1" s="1" t="s">
        <v>94</v>
      </c>
      <c r="L1" s="1" t="s">
        <v>97</v>
      </c>
      <c r="M1" s="1" t="s">
        <v>100</v>
      </c>
      <c r="N1" s="1" t="s">
        <v>103</v>
      </c>
      <c r="O1" s="1" t="s">
        <v>106</v>
      </c>
      <c r="P1" s="1" t="s">
        <v>111</v>
      </c>
      <c r="Q1" s="1" t="s">
        <v>115</v>
      </c>
      <c r="R1" s="1" t="s">
        <v>119</v>
      </c>
      <c r="S1" s="1" t="s">
        <v>122</v>
      </c>
      <c r="T1" s="1" t="s">
        <v>125</v>
      </c>
    </row>
    <row r="2" customFormat="false" ht="15" hidden="false" customHeight="false" outlineLevel="0" collapsed="false">
      <c r="A2" s="10" t="str">
        <f aca="false">TEXT(B2,"0")&amp;"-"&amp;TEXT(C2,"00")</f>
        <v>2025-01</v>
      </c>
      <c r="B2" s="8" t="n">
        <v>2025</v>
      </c>
      <c r="C2" s="8" t="n">
        <v>1</v>
      </c>
      <c r="D2" s="5" t="s">
        <v>165</v>
      </c>
      <c r="E2" s="13" t="str">
        <f aca="false">INDEX(門市主檔!$B$2:$B$9,MATCH($D2,門市主檔!$A$2:$A$9,0))</f>
        <v>台北信義旗艦店</v>
      </c>
      <c r="F2" s="13" t="str">
        <f aca="false">INDEX(門市主檔!$C$2:$C$9,MATCH($D2,門市主檔!$A$2:$A$9,0))</f>
        <v>北區</v>
      </c>
      <c r="G2" s="9" t="n">
        <v>3542000</v>
      </c>
      <c r="H2" s="9" t="n">
        <v>1067800</v>
      </c>
      <c r="I2" s="9" t="n">
        <v>852400</v>
      </c>
      <c r="J2" s="14" t="n">
        <f aca="false">INDEX(門市主檔!$G$2:$G$9,MATCH($D2,門市主檔!$A$2:$A$9,0))</f>
        <v>480000</v>
      </c>
      <c r="K2" s="9" t="n">
        <v>173200</v>
      </c>
      <c r="L2" s="9" t="n">
        <v>99300</v>
      </c>
      <c r="M2" s="15" t="n">
        <f aca="false">SUM(H2:L2)</f>
        <v>2672700</v>
      </c>
      <c r="N2" s="15" t="n">
        <f aca="false">G2-M2</f>
        <v>869300</v>
      </c>
      <c r="O2" s="16" t="n">
        <f aca="false">IF(G2=0,0,N2/G2)</f>
        <v>0.245426312817617</v>
      </c>
      <c r="P2" s="9" t="n">
        <v>9280</v>
      </c>
      <c r="Q2" s="17" t="n">
        <f aca="false">IF(P2=0,0,P2/INDEX(月曆參數!$E$2:$E$13,MATCH($A2,月曆參數!$A$2:$A$13,0)))</f>
        <v>299.354838709677</v>
      </c>
      <c r="R2" s="15" t="n">
        <f aca="false">IF(P2=0,0,G2/P2)</f>
        <v>381.681034482759</v>
      </c>
      <c r="S2" s="6" t="s">
        <v>198</v>
      </c>
      <c r="T2" s="9" t="n">
        <v>780</v>
      </c>
    </row>
    <row r="3" customFormat="false" ht="15" hidden="false" customHeight="false" outlineLevel="0" collapsed="false">
      <c r="A3" s="10" t="str">
        <f aca="false">TEXT(B3,"0")&amp;"-"&amp;TEXT(C3,"00")</f>
        <v>2025-02</v>
      </c>
      <c r="B3" s="8" t="n">
        <v>2025</v>
      </c>
      <c r="C3" s="8" t="n">
        <v>2</v>
      </c>
      <c r="D3" s="5" t="s">
        <v>165</v>
      </c>
      <c r="E3" s="13" t="str">
        <f aca="false">INDEX(門市主檔!$B$2:$B$9,MATCH($D3,門市主檔!$A$2:$A$9,0))</f>
        <v>台北信義旗艦店</v>
      </c>
      <c r="F3" s="13" t="str">
        <f aca="false">INDEX(門市主檔!$C$2:$C$9,MATCH($D3,門市主檔!$A$2:$A$9,0))</f>
        <v>北區</v>
      </c>
      <c r="G3" s="9" t="n">
        <v>2968000</v>
      </c>
      <c r="H3" s="9" t="n">
        <v>932900</v>
      </c>
      <c r="I3" s="9" t="n">
        <v>735300</v>
      </c>
      <c r="J3" s="14" t="n">
        <f aca="false">INDEX(門市主檔!$G$2:$G$9,MATCH($D3,門市主檔!$A$2:$A$9,0))</f>
        <v>480000</v>
      </c>
      <c r="K3" s="9" t="n">
        <v>146600</v>
      </c>
      <c r="L3" s="9" t="n">
        <v>94400</v>
      </c>
      <c r="M3" s="15" t="n">
        <f aca="false">SUM(H3:L3)</f>
        <v>2389200</v>
      </c>
      <c r="N3" s="15" t="n">
        <f aca="false">G3-M3</f>
        <v>578800</v>
      </c>
      <c r="O3" s="16" t="n">
        <f aca="false">IF(G3=0,0,N3/G3)</f>
        <v>0.195013477088949</v>
      </c>
      <c r="P3" s="9" t="n">
        <v>7930</v>
      </c>
      <c r="Q3" s="17" t="n">
        <f aca="false">IF(P3=0,0,P3/INDEX(月曆參數!$E$2:$E$13,MATCH($A3,月曆參數!$A$2:$A$13,0)))</f>
        <v>283.214285714286</v>
      </c>
      <c r="R3" s="15" t="n">
        <f aca="false">IF(P3=0,0,G3/P3)</f>
        <v>374.274905422446</v>
      </c>
      <c r="S3" s="6" t="s">
        <v>199</v>
      </c>
      <c r="T3" s="9" t="n">
        <v>610</v>
      </c>
    </row>
    <row r="4" customFormat="false" ht="15" hidden="false" customHeight="false" outlineLevel="0" collapsed="false">
      <c r="A4" s="10" t="str">
        <f aca="false">TEXT(B4,"0")&amp;"-"&amp;TEXT(C4,"00")</f>
        <v>2025-03</v>
      </c>
      <c r="B4" s="8" t="n">
        <v>2025</v>
      </c>
      <c r="C4" s="8" t="n">
        <v>3</v>
      </c>
      <c r="D4" s="5" t="s">
        <v>165</v>
      </c>
      <c r="E4" s="13" t="str">
        <f aca="false">INDEX(門市主檔!$B$2:$B$9,MATCH($D4,門市主檔!$A$2:$A$9,0))</f>
        <v>台北信義旗艦店</v>
      </c>
      <c r="F4" s="13" t="str">
        <f aca="false">INDEX(門市主檔!$C$2:$C$9,MATCH($D4,門市主檔!$A$2:$A$9,0))</f>
        <v>北區</v>
      </c>
      <c r="G4" s="9" t="n">
        <v>2864000</v>
      </c>
      <c r="H4" s="9" t="n">
        <v>881900</v>
      </c>
      <c r="I4" s="9" t="n">
        <v>755100</v>
      </c>
      <c r="J4" s="14" t="n">
        <f aca="false">INDEX(門市主檔!$G$2:$G$9,MATCH($D4,門市主檔!$A$2:$A$9,0))</f>
        <v>480000</v>
      </c>
      <c r="K4" s="9" t="n">
        <v>184300</v>
      </c>
      <c r="L4" s="9" t="n">
        <v>91600</v>
      </c>
      <c r="M4" s="15" t="n">
        <f aca="false">SUM(H4:L4)</f>
        <v>2392900</v>
      </c>
      <c r="N4" s="15" t="n">
        <f aca="false">G4-M4</f>
        <v>471100</v>
      </c>
      <c r="O4" s="16" t="n">
        <f aca="false">IF(G4=0,0,N4/G4)</f>
        <v>0.164490223463687</v>
      </c>
      <c r="P4" s="9" t="n">
        <v>7430</v>
      </c>
      <c r="Q4" s="17" t="n">
        <f aca="false">IF(P4=0,0,P4/INDEX(月曆參數!$E$2:$E$13,MATCH($A4,月曆參數!$A$2:$A$13,0)))</f>
        <v>239.677419354839</v>
      </c>
      <c r="R4" s="15" t="n">
        <f aca="false">IF(P4=0,0,G4/P4)</f>
        <v>385.464333781965</v>
      </c>
      <c r="S4" s="6" t="s">
        <v>200</v>
      </c>
      <c r="T4" s="9" t="n">
        <v>680</v>
      </c>
    </row>
    <row r="5" customFormat="false" ht="15" hidden="false" customHeight="false" outlineLevel="0" collapsed="false">
      <c r="A5" s="10" t="str">
        <f aca="false">TEXT(B5,"0")&amp;"-"&amp;TEXT(C5,"00")</f>
        <v>2025-04</v>
      </c>
      <c r="B5" s="8" t="n">
        <v>2025</v>
      </c>
      <c r="C5" s="8" t="n">
        <v>4</v>
      </c>
      <c r="D5" s="5" t="s">
        <v>165</v>
      </c>
      <c r="E5" s="13" t="str">
        <f aca="false">INDEX(門市主檔!$B$2:$B$9,MATCH($D5,門市主檔!$A$2:$A$9,0))</f>
        <v>台北信義旗艦店</v>
      </c>
      <c r="F5" s="13" t="str">
        <f aca="false">INDEX(門市主檔!$C$2:$C$9,MATCH($D5,門市主檔!$A$2:$A$9,0))</f>
        <v>北區</v>
      </c>
      <c r="G5" s="9" t="n">
        <v>2846000</v>
      </c>
      <c r="H5" s="9" t="n">
        <v>857800</v>
      </c>
      <c r="I5" s="9" t="n">
        <v>764800</v>
      </c>
      <c r="J5" s="14" t="n">
        <f aca="false">INDEX(門市主檔!$G$2:$G$9,MATCH($D5,門市主檔!$A$2:$A$9,0))</f>
        <v>480000</v>
      </c>
      <c r="K5" s="9" t="n">
        <v>161300</v>
      </c>
      <c r="L5" s="9" t="n">
        <v>61800</v>
      </c>
      <c r="M5" s="15" t="n">
        <f aca="false">SUM(H5:L5)</f>
        <v>2325700</v>
      </c>
      <c r="N5" s="15" t="n">
        <f aca="false">G5-M5</f>
        <v>520300</v>
      </c>
      <c r="O5" s="16" t="n">
        <f aca="false">IF(G5=0,0,N5/G5)</f>
        <v>0.18281799016163</v>
      </c>
      <c r="P5" s="9" t="n">
        <v>7040</v>
      </c>
      <c r="Q5" s="17" t="n">
        <f aca="false">IF(P5=0,0,P5/INDEX(月曆參數!$E$2:$E$13,MATCH($A5,月曆參數!$A$2:$A$13,0)))</f>
        <v>234.666666666667</v>
      </c>
      <c r="R5" s="15" t="n">
        <f aca="false">IF(P5=0,0,G5/P5)</f>
        <v>404.261363636364</v>
      </c>
      <c r="S5" s="6" t="s">
        <v>201</v>
      </c>
      <c r="T5" s="9" t="n">
        <v>600</v>
      </c>
    </row>
    <row r="6" customFormat="false" ht="15" hidden="false" customHeight="false" outlineLevel="0" collapsed="false">
      <c r="A6" s="10" t="str">
        <f aca="false">TEXT(B6,"0")&amp;"-"&amp;TEXT(C6,"00")</f>
        <v>2025-05</v>
      </c>
      <c r="B6" s="8" t="n">
        <v>2025</v>
      </c>
      <c r="C6" s="8" t="n">
        <v>5</v>
      </c>
      <c r="D6" s="5" t="s">
        <v>165</v>
      </c>
      <c r="E6" s="13" t="str">
        <f aca="false">INDEX(門市主檔!$B$2:$B$9,MATCH($D6,門市主檔!$A$2:$A$9,0))</f>
        <v>台北信義旗艦店</v>
      </c>
      <c r="F6" s="13" t="str">
        <f aca="false">INDEX(門市主檔!$C$2:$C$9,MATCH($D6,門市主檔!$A$2:$A$9,0))</f>
        <v>北區</v>
      </c>
      <c r="G6" s="9" t="n">
        <v>2948000</v>
      </c>
      <c r="H6" s="9" t="n">
        <v>942600</v>
      </c>
      <c r="I6" s="9" t="n">
        <v>719900</v>
      </c>
      <c r="J6" s="14" t="n">
        <f aca="false">INDEX(門市主檔!$G$2:$G$9,MATCH($D6,門市主檔!$A$2:$A$9,0))</f>
        <v>480000</v>
      </c>
      <c r="K6" s="9" t="n">
        <v>184900</v>
      </c>
      <c r="L6" s="9" t="n">
        <v>82400</v>
      </c>
      <c r="M6" s="15" t="n">
        <f aca="false">SUM(H6:L6)</f>
        <v>2409800</v>
      </c>
      <c r="N6" s="15" t="n">
        <f aca="false">G6-M6</f>
        <v>538200</v>
      </c>
      <c r="O6" s="16" t="n">
        <f aca="false">IF(G6=0,0,N6/G6)</f>
        <v>0.182564450474898</v>
      </c>
      <c r="P6" s="9" t="n">
        <v>7480</v>
      </c>
      <c r="Q6" s="17" t="n">
        <f aca="false">IF(P6=0,0,P6/INDEX(月曆參數!$E$2:$E$13,MATCH($A6,月曆參數!$A$2:$A$13,0)))</f>
        <v>241.290322580645</v>
      </c>
      <c r="R6" s="15" t="n">
        <f aca="false">IF(P6=0,0,G6/P6)</f>
        <v>394.117647058824</v>
      </c>
      <c r="S6" s="6" t="s">
        <v>200</v>
      </c>
      <c r="T6" s="9" t="n">
        <v>510</v>
      </c>
    </row>
    <row r="7" customFormat="false" ht="15" hidden="false" customHeight="false" outlineLevel="0" collapsed="false">
      <c r="A7" s="10" t="str">
        <f aca="false">TEXT(B7,"0")&amp;"-"&amp;TEXT(C7,"00")</f>
        <v>2025-06</v>
      </c>
      <c r="B7" s="8" t="n">
        <v>2025</v>
      </c>
      <c r="C7" s="8" t="n">
        <v>6</v>
      </c>
      <c r="D7" s="5" t="s">
        <v>165</v>
      </c>
      <c r="E7" s="13" t="str">
        <f aca="false">INDEX(門市主檔!$B$2:$B$9,MATCH($D7,門市主檔!$A$2:$A$9,0))</f>
        <v>台北信義旗艦店</v>
      </c>
      <c r="F7" s="13" t="str">
        <f aca="false">INDEX(門市主檔!$C$2:$C$9,MATCH($D7,門市主檔!$A$2:$A$9,0))</f>
        <v>北區</v>
      </c>
      <c r="G7" s="9" t="n">
        <v>2944000</v>
      </c>
      <c r="H7" s="9" t="n">
        <v>888600</v>
      </c>
      <c r="I7" s="9" t="n">
        <v>785100</v>
      </c>
      <c r="J7" s="14" t="n">
        <f aca="false">INDEX(門市主檔!$G$2:$G$9,MATCH($D7,門市主檔!$A$2:$A$9,0))</f>
        <v>480000</v>
      </c>
      <c r="K7" s="9" t="n">
        <v>152700</v>
      </c>
      <c r="L7" s="9" t="n">
        <v>54700</v>
      </c>
      <c r="M7" s="15" t="n">
        <f aca="false">SUM(H7:L7)</f>
        <v>2361100</v>
      </c>
      <c r="N7" s="15" t="n">
        <f aca="false">G7-M7</f>
        <v>582900</v>
      </c>
      <c r="O7" s="16" t="n">
        <f aca="false">IF(G7=0,0,N7/G7)</f>
        <v>0.197995923913043</v>
      </c>
      <c r="P7" s="9" t="n">
        <v>7280</v>
      </c>
      <c r="Q7" s="17" t="n">
        <f aca="false">IF(P7=0,0,P7/INDEX(月曆參數!$E$2:$E$13,MATCH($A7,月曆參數!$A$2:$A$13,0)))</f>
        <v>242.666666666667</v>
      </c>
      <c r="R7" s="15" t="n">
        <f aca="false">IF(P7=0,0,G7/P7)</f>
        <v>404.395604395604</v>
      </c>
      <c r="S7" s="6" t="s">
        <v>202</v>
      </c>
      <c r="T7" s="9" t="n">
        <v>640</v>
      </c>
    </row>
    <row r="8" customFormat="false" ht="15" hidden="false" customHeight="false" outlineLevel="0" collapsed="false">
      <c r="A8" s="10" t="str">
        <f aca="false">TEXT(B8,"0")&amp;"-"&amp;TEXT(C8,"00")</f>
        <v>2025-07</v>
      </c>
      <c r="B8" s="8" t="n">
        <v>2025</v>
      </c>
      <c r="C8" s="8" t="n">
        <v>7</v>
      </c>
      <c r="D8" s="5" t="s">
        <v>165</v>
      </c>
      <c r="E8" s="13" t="str">
        <f aca="false">INDEX(門市主檔!$B$2:$B$9,MATCH($D8,門市主檔!$A$2:$A$9,0))</f>
        <v>台北信義旗艦店</v>
      </c>
      <c r="F8" s="13" t="str">
        <f aca="false">INDEX(門市主檔!$C$2:$C$9,MATCH($D8,門市主檔!$A$2:$A$9,0))</f>
        <v>北區</v>
      </c>
      <c r="G8" s="9" t="n">
        <v>3335000</v>
      </c>
      <c r="H8" s="9" t="n">
        <v>1082600</v>
      </c>
      <c r="I8" s="9" t="n">
        <v>826200</v>
      </c>
      <c r="J8" s="14" t="n">
        <f aca="false">INDEX(門市主檔!$G$2:$G$9,MATCH($D8,門市主檔!$A$2:$A$9,0))</f>
        <v>480000</v>
      </c>
      <c r="K8" s="9" t="n">
        <v>172600</v>
      </c>
      <c r="L8" s="9" t="n">
        <v>66300</v>
      </c>
      <c r="M8" s="15" t="n">
        <f aca="false">SUM(H8:L8)</f>
        <v>2627700</v>
      </c>
      <c r="N8" s="15" t="n">
        <f aca="false">G8-M8</f>
        <v>707300</v>
      </c>
      <c r="O8" s="16" t="n">
        <f aca="false">IF(G8=0,0,N8/G8)</f>
        <v>0.21208395802099</v>
      </c>
      <c r="P8" s="9" t="n">
        <v>8930</v>
      </c>
      <c r="Q8" s="17" t="n">
        <f aca="false">IF(P8=0,0,P8/INDEX(月曆參數!$E$2:$E$13,MATCH($A8,月曆參數!$A$2:$A$13,0)))</f>
        <v>288.064516129032</v>
      </c>
      <c r="R8" s="15" t="n">
        <f aca="false">IF(P8=0,0,G8/P8)</f>
        <v>373.460246360582</v>
      </c>
      <c r="S8" s="6" t="s">
        <v>203</v>
      </c>
      <c r="T8" s="9" t="n">
        <v>490</v>
      </c>
    </row>
    <row r="9" customFormat="false" ht="15" hidden="false" customHeight="false" outlineLevel="0" collapsed="false">
      <c r="A9" s="10" t="str">
        <f aca="false">TEXT(B9,"0")&amp;"-"&amp;TEXT(C9,"00")</f>
        <v>2025-08</v>
      </c>
      <c r="B9" s="8" t="n">
        <v>2025</v>
      </c>
      <c r="C9" s="8" t="n">
        <v>8</v>
      </c>
      <c r="D9" s="5" t="s">
        <v>165</v>
      </c>
      <c r="E9" s="13" t="str">
        <f aca="false">INDEX(門市主檔!$B$2:$B$9,MATCH($D9,門市主檔!$A$2:$A$9,0))</f>
        <v>台北信義旗艦店</v>
      </c>
      <c r="F9" s="13" t="str">
        <f aca="false">INDEX(門市主檔!$C$2:$C$9,MATCH($D9,門市主檔!$A$2:$A$9,0))</f>
        <v>北區</v>
      </c>
      <c r="G9" s="9" t="n">
        <v>3190000</v>
      </c>
      <c r="H9" s="9" t="n">
        <v>1053800</v>
      </c>
      <c r="I9" s="9" t="n">
        <v>817500</v>
      </c>
      <c r="J9" s="14" t="n">
        <f aca="false">INDEX(門市主檔!$G$2:$G$9,MATCH($D9,門市主檔!$A$2:$A$9,0))</f>
        <v>480000</v>
      </c>
      <c r="K9" s="9" t="n">
        <v>163200</v>
      </c>
      <c r="L9" s="9" t="n">
        <v>74700</v>
      </c>
      <c r="M9" s="15" t="n">
        <f aca="false">SUM(H9:L9)</f>
        <v>2589200</v>
      </c>
      <c r="N9" s="15" t="n">
        <f aca="false">G9-M9</f>
        <v>600800</v>
      </c>
      <c r="O9" s="16" t="n">
        <f aca="false">IF(G9=0,0,N9/G9)</f>
        <v>0.18833855799373</v>
      </c>
      <c r="P9" s="9" t="n">
        <v>8540</v>
      </c>
      <c r="Q9" s="17" t="n">
        <f aca="false">IF(P9=0,0,P9/INDEX(月曆參數!$E$2:$E$13,MATCH($A9,月曆參數!$A$2:$A$13,0)))</f>
        <v>275.483870967742</v>
      </c>
      <c r="R9" s="15" t="n">
        <f aca="false">IF(P9=0,0,G9/P9)</f>
        <v>373.536299765808</v>
      </c>
      <c r="S9" s="6" t="s">
        <v>202</v>
      </c>
      <c r="T9" s="9" t="n">
        <v>590</v>
      </c>
    </row>
    <row r="10" customFormat="false" ht="15" hidden="false" customHeight="false" outlineLevel="0" collapsed="false">
      <c r="A10" s="10" t="str">
        <f aca="false">TEXT(B10,"0")&amp;"-"&amp;TEXT(C10,"00")</f>
        <v>2025-09</v>
      </c>
      <c r="B10" s="8" t="n">
        <v>2025</v>
      </c>
      <c r="C10" s="8" t="n">
        <v>9</v>
      </c>
      <c r="D10" s="5" t="s">
        <v>165</v>
      </c>
      <c r="E10" s="13" t="str">
        <f aca="false">INDEX(門市主檔!$B$2:$B$9,MATCH($D10,門市主檔!$A$2:$A$9,0))</f>
        <v>台北信義旗艦店</v>
      </c>
      <c r="F10" s="13" t="str">
        <f aca="false">INDEX(門市主檔!$C$2:$C$9,MATCH($D10,門市主檔!$A$2:$A$9,0))</f>
        <v>北區</v>
      </c>
      <c r="G10" s="9" t="n">
        <v>2807000</v>
      </c>
      <c r="H10" s="9" t="n">
        <v>885200</v>
      </c>
      <c r="I10" s="9" t="n">
        <v>693300</v>
      </c>
      <c r="J10" s="14" t="n">
        <f aca="false">INDEX(門市主檔!$G$2:$G$9,MATCH($D10,門市主檔!$A$2:$A$9,0))</f>
        <v>480000</v>
      </c>
      <c r="K10" s="9" t="n">
        <v>149700</v>
      </c>
      <c r="L10" s="9" t="n">
        <v>56500</v>
      </c>
      <c r="M10" s="15" t="n">
        <f aca="false">SUM(H10:L10)</f>
        <v>2264700</v>
      </c>
      <c r="N10" s="15" t="n">
        <f aca="false">G10-M10</f>
        <v>542300</v>
      </c>
      <c r="O10" s="16" t="n">
        <f aca="false">IF(G10=0,0,N10/G10)</f>
        <v>0.19319558247239</v>
      </c>
      <c r="P10" s="9" t="n">
        <v>7660</v>
      </c>
      <c r="Q10" s="17" t="n">
        <f aca="false">IF(P10=0,0,P10/INDEX(月曆參數!$E$2:$E$13,MATCH($A10,月曆參數!$A$2:$A$13,0)))</f>
        <v>255.333333333333</v>
      </c>
      <c r="R10" s="15" t="n">
        <f aca="false">IF(P10=0,0,G10/P10)</f>
        <v>366.44908616188</v>
      </c>
      <c r="S10" s="6" t="s">
        <v>204</v>
      </c>
      <c r="T10" s="9" t="n">
        <v>490</v>
      </c>
    </row>
    <row r="11" customFormat="false" ht="15" hidden="false" customHeight="false" outlineLevel="0" collapsed="false">
      <c r="A11" s="10" t="str">
        <f aca="false">TEXT(B11,"0")&amp;"-"&amp;TEXT(C11,"00")</f>
        <v>2025-10</v>
      </c>
      <c r="B11" s="8" t="n">
        <v>2025</v>
      </c>
      <c r="C11" s="8" t="n">
        <v>10</v>
      </c>
      <c r="D11" s="5" t="s">
        <v>165</v>
      </c>
      <c r="E11" s="13" t="str">
        <f aca="false">INDEX(門市主檔!$B$2:$B$9,MATCH($D11,門市主檔!$A$2:$A$9,0))</f>
        <v>台北信義旗艦店</v>
      </c>
      <c r="F11" s="13" t="str">
        <f aca="false">INDEX(門市主檔!$C$2:$C$9,MATCH($D11,門市主檔!$A$2:$A$9,0))</f>
        <v>北區</v>
      </c>
      <c r="G11" s="9" t="n">
        <v>3222000</v>
      </c>
      <c r="H11" s="9" t="n">
        <v>1071200</v>
      </c>
      <c r="I11" s="9" t="n">
        <v>873700</v>
      </c>
      <c r="J11" s="14" t="n">
        <f aca="false">INDEX(門市主檔!$G$2:$G$9,MATCH($D11,門市主檔!$A$2:$A$9,0))</f>
        <v>480000</v>
      </c>
      <c r="K11" s="9" t="n">
        <v>197300</v>
      </c>
      <c r="L11" s="9" t="n">
        <v>96000</v>
      </c>
      <c r="M11" s="15" t="n">
        <f aca="false">SUM(H11:L11)</f>
        <v>2718200</v>
      </c>
      <c r="N11" s="15" t="n">
        <f aca="false">G11-M11</f>
        <v>503800</v>
      </c>
      <c r="O11" s="16" t="n">
        <f aca="false">IF(G11=0,0,N11/G11)</f>
        <v>0.156362507759156</v>
      </c>
      <c r="P11" s="9" t="n">
        <v>8650</v>
      </c>
      <c r="Q11" s="17" t="n">
        <f aca="false">IF(P11=0,0,P11/INDEX(月曆參數!$E$2:$E$13,MATCH($A11,月曆參數!$A$2:$A$13,0)))</f>
        <v>279.032258064516</v>
      </c>
      <c r="R11" s="15" t="n">
        <f aca="false">IF(P11=0,0,G11/P11)</f>
        <v>372.485549132948</v>
      </c>
      <c r="S11" s="6" t="s">
        <v>205</v>
      </c>
      <c r="T11" s="9" t="n">
        <v>720</v>
      </c>
    </row>
    <row r="12" customFormat="false" ht="15" hidden="false" customHeight="false" outlineLevel="0" collapsed="false">
      <c r="A12" s="10" t="str">
        <f aca="false">TEXT(B12,"0")&amp;"-"&amp;TEXT(C12,"00")</f>
        <v>2025-11</v>
      </c>
      <c r="B12" s="8" t="n">
        <v>2025</v>
      </c>
      <c r="C12" s="8" t="n">
        <v>11</v>
      </c>
      <c r="D12" s="5" t="s">
        <v>165</v>
      </c>
      <c r="E12" s="13" t="str">
        <f aca="false">INDEX(門市主檔!$B$2:$B$9,MATCH($D12,門市主檔!$A$2:$A$9,0))</f>
        <v>台北信義旗艦店</v>
      </c>
      <c r="F12" s="13" t="str">
        <f aca="false">INDEX(門市主檔!$C$2:$C$9,MATCH($D12,門市主檔!$A$2:$A$9,0))</f>
        <v>北區</v>
      </c>
      <c r="G12" s="9" t="n">
        <v>2982000</v>
      </c>
      <c r="H12" s="9" t="n">
        <v>948700</v>
      </c>
      <c r="I12" s="9" t="n">
        <v>793300</v>
      </c>
      <c r="J12" s="14" t="n">
        <f aca="false">INDEX(門市主檔!$G$2:$G$9,MATCH($D12,門市主檔!$A$2:$A$9,0))</f>
        <v>480000</v>
      </c>
      <c r="K12" s="9" t="n">
        <v>175300</v>
      </c>
      <c r="L12" s="9" t="n">
        <v>80200</v>
      </c>
      <c r="M12" s="15" t="n">
        <f aca="false">SUM(H12:L12)</f>
        <v>2477500</v>
      </c>
      <c r="N12" s="15" t="n">
        <f aca="false">G12-M12</f>
        <v>504500</v>
      </c>
      <c r="O12" s="16" t="n">
        <f aca="false">IF(G12=0,0,N12/G12)</f>
        <v>0.169181757209926</v>
      </c>
      <c r="P12" s="9" t="n">
        <v>7440</v>
      </c>
      <c r="Q12" s="17" t="n">
        <f aca="false">IF(P12=0,0,P12/INDEX(月曆參數!$E$2:$E$13,MATCH($A12,月曆參數!$A$2:$A$13,0)))</f>
        <v>248</v>
      </c>
      <c r="R12" s="15" t="n">
        <f aca="false">IF(P12=0,0,G12/P12)</f>
        <v>400.806451612903</v>
      </c>
      <c r="S12" s="6" t="s">
        <v>204</v>
      </c>
      <c r="T12" s="9" t="n">
        <v>610</v>
      </c>
    </row>
    <row r="13" customFormat="false" ht="15" hidden="false" customHeight="false" outlineLevel="0" collapsed="false">
      <c r="A13" s="10" t="str">
        <f aca="false">TEXT(B13,"0")&amp;"-"&amp;TEXT(C13,"00")</f>
        <v>2025-12</v>
      </c>
      <c r="B13" s="8" t="n">
        <v>2025</v>
      </c>
      <c r="C13" s="8" t="n">
        <v>12</v>
      </c>
      <c r="D13" s="5" t="s">
        <v>165</v>
      </c>
      <c r="E13" s="13" t="str">
        <f aca="false">INDEX(門市主檔!$B$2:$B$9,MATCH($D13,門市主檔!$A$2:$A$9,0))</f>
        <v>台北信義旗艦店</v>
      </c>
      <c r="F13" s="13" t="str">
        <f aca="false">INDEX(門市主檔!$C$2:$C$9,MATCH($D13,門市主檔!$A$2:$A$9,0))</f>
        <v>北區</v>
      </c>
      <c r="G13" s="9" t="n">
        <v>3291000</v>
      </c>
      <c r="H13" s="9" t="n">
        <v>1077800</v>
      </c>
      <c r="I13" s="9" t="n">
        <v>828400</v>
      </c>
      <c r="J13" s="14" t="n">
        <f aca="false">INDEX(門市主檔!$G$2:$G$9,MATCH($D13,門市主檔!$A$2:$A$9,0))</f>
        <v>480000</v>
      </c>
      <c r="K13" s="9" t="n">
        <v>166600</v>
      </c>
      <c r="L13" s="9" t="n">
        <v>84900</v>
      </c>
      <c r="M13" s="15" t="n">
        <f aca="false">SUM(H13:L13)</f>
        <v>2637700</v>
      </c>
      <c r="N13" s="15" t="n">
        <f aca="false">G13-M13</f>
        <v>653300</v>
      </c>
      <c r="O13" s="16" t="n">
        <f aca="false">IF(G13=0,0,N13/G13)</f>
        <v>0.198511090853844</v>
      </c>
      <c r="P13" s="9" t="n">
        <v>8710</v>
      </c>
      <c r="Q13" s="17" t="n">
        <f aca="false">IF(P13=0,0,P13/INDEX(月曆參數!$E$2:$E$13,MATCH($A13,月曆參數!$A$2:$A$13,0)))</f>
        <v>280.967741935484</v>
      </c>
      <c r="R13" s="15" t="n">
        <f aca="false">IF(P13=0,0,G13/P13)</f>
        <v>377.841561423651</v>
      </c>
      <c r="S13" s="6" t="s">
        <v>206</v>
      </c>
      <c r="T13" s="9" t="n">
        <v>800</v>
      </c>
    </row>
    <row r="14" customFormat="false" ht="15" hidden="false" customHeight="false" outlineLevel="0" collapsed="false">
      <c r="A14" s="10" t="str">
        <f aca="false">TEXT(B14,"0")&amp;"-"&amp;TEXT(C14,"00")</f>
        <v>2025-01</v>
      </c>
      <c r="B14" s="8" t="n">
        <v>2025</v>
      </c>
      <c r="C14" s="8" t="n">
        <v>1</v>
      </c>
      <c r="D14" s="5" t="s">
        <v>170</v>
      </c>
      <c r="E14" s="13" t="str">
        <f aca="false">INDEX(門市主檔!$B$2:$B$9,MATCH($D14,門市主檔!$A$2:$A$9,0))</f>
        <v>台北中山店</v>
      </c>
      <c r="F14" s="13" t="str">
        <f aca="false">INDEX(門市主檔!$C$2:$C$9,MATCH($D14,門市主檔!$A$2:$A$9,0))</f>
        <v>北區</v>
      </c>
      <c r="G14" s="9" t="n">
        <v>2544000</v>
      </c>
      <c r="H14" s="9" t="n">
        <v>789700</v>
      </c>
      <c r="I14" s="9" t="n">
        <v>666100</v>
      </c>
      <c r="J14" s="14" t="n">
        <f aca="false">INDEX(門市主檔!$G$2:$G$9,MATCH($D14,門市主檔!$A$2:$A$9,0))</f>
        <v>320000</v>
      </c>
      <c r="K14" s="9" t="n">
        <v>172400</v>
      </c>
      <c r="L14" s="9" t="n">
        <v>72900</v>
      </c>
      <c r="M14" s="15" t="n">
        <f aca="false">SUM(H14:L14)</f>
        <v>2021100</v>
      </c>
      <c r="N14" s="15" t="n">
        <f aca="false">G14-M14</f>
        <v>522900</v>
      </c>
      <c r="O14" s="16" t="n">
        <f aca="false">IF(G14=0,0,N14/G14)</f>
        <v>0.205542452830189</v>
      </c>
      <c r="P14" s="9" t="n">
        <v>7400</v>
      </c>
      <c r="Q14" s="17" t="n">
        <f aca="false">IF(P14=0,0,P14/INDEX(月曆參數!$E$2:$E$13,MATCH($A14,月曆參數!$A$2:$A$13,0)))</f>
        <v>238.709677419355</v>
      </c>
      <c r="R14" s="15" t="n">
        <f aca="false">IF(P14=0,0,G14/P14)</f>
        <v>343.783783783784</v>
      </c>
      <c r="S14" s="6" t="s">
        <v>206</v>
      </c>
      <c r="T14" s="9" t="n">
        <v>580</v>
      </c>
    </row>
    <row r="15" customFormat="false" ht="15" hidden="false" customHeight="false" outlineLevel="0" collapsed="false">
      <c r="A15" s="10" t="str">
        <f aca="false">TEXT(B15,"0")&amp;"-"&amp;TEXT(C15,"00")</f>
        <v>2025-02</v>
      </c>
      <c r="B15" s="8" t="n">
        <v>2025</v>
      </c>
      <c r="C15" s="8" t="n">
        <v>2</v>
      </c>
      <c r="D15" s="5" t="s">
        <v>170</v>
      </c>
      <c r="E15" s="13" t="str">
        <f aca="false">INDEX(門市主檔!$B$2:$B$9,MATCH($D15,門市主檔!$A$2:$A$9,0))</f>
        <v>台北中山店</v>
      </c>
      <c r="F15" s="13" t="str">
        <f aca="false">INDEX(門市主檔!$C$2:$C$9,MATCH($D15,門市主檔!$A$2:$A$9,0))</f>
        <v>北區</v>
      </c>
      <c r="G15" s="9" t="n">
        <v>2388000</v>
      </c>
      <c r="H15" s="9" t="n">
        <v>787500</v>
      </c>
      <c r="I15" s="9" t="n">
        <v>620400</v>
      </c>
      <c r="J15" s="14" t="n">
        <f aca="false">INDEX(門市主檔!$G$2:$G$9,MATCH($D15,門市主檔!$A$2:$A$9,0))</f>
        <v>320000</v>
      </c>
      <c r="K15" s="9" t="n">
        <v>119500</v>
      </c>
      <c r="L15" s="9" t="n">
        <v>66000</v>
      </c>
      <c r="M15" s="15" t="n">
        <f aca="false">SUM(H15:L15)</f>
        <v>1913400</v>
      </c>
      <c r="N15" s="15" t="n">
        <f aca="false">G15-M15</f>
        <v>474600</v>
      </c>
      <c r="O15" s="16" t="n">
        <f aca="false">IF(G15=0,0,N15/G15)</f>
        <v>0.198743718592965</v>
      </c>
      <c r="P15" s="9" t="n">
        <v>6500</v>
      </c>
      <c r="Q15" s="17" t="n">
        <f aca="false">IF(P15=0,0,P15/INDEX(月曆參數!$E$2:$E$13,MATCH($A15,月曆參數!$A$2:$A$13,0)))</f>
        <v>232.142857142857</v>
      </c>
      <c r="R15" s="15" t="n">
        <f aca="false">IF(P15=0,0,G15/P15)</f>
        <v>367.384615384615</v>
      </c>
      <c r="S15" s="6" t="s">
        <v>199</v>
      </c>
      <c r="T15" s="9" t="n">
        <v>540</v>
      </c>
    </row>
    <row r="16" customFormat="false" ht="15" hidden="false" customHeight="false" outlineLevel="0" collapsed="false">
      <c r="A16" s="10" t="str">
        <f aca="false">TEXT(B16,"0")&amp;"-"&amp;TEXT(C16,"00")</f>
        <v>2025-03</v>
      </c>
      <c r="B16" s="8" t="n">
        <v>2025</v>
      </c>
      <c r="C16" s="8" t="n">
        <v>3</v>
      </c>
      <c r="D16" s="5" t="s">
        <v>170</v>
      </c>
      <c r="E16" s="13" t="str">
        <f aca="false">INDEX(門市主檔!$B$2:$B$9,MATCH($D16,門市主檔!$A$2:$A$9,0))</f>
        <v>台北中山店</v>
      </c>
      <c r="F16" s="13" t="str">
        <f aca="false">INDEX(門市主檔!$C$2:$C$9,MATCH($D16,門市主檔!$A$2:$A$9,0))</f>
        <v>北區</v>
      </c>
      <c r="G16" s="9" t="n">
        <v>2174000</v>
      </c>
      <c r="H16" s="9" t="n">
        <v>718000</v>
      </c>
      <c r="I16" s="9" t="n">
        <v>571500</v>
      </c>
      <c r="J16" s="14" t="n">
        <f aca="false">INDEX(門市主檔!$G$2:$G$9,MATCH($D16,門市主檔!$A$2:$A$9,0))</f>
        <v>320000</v>
      </c>
      <c r="K16" s="9" t="n">
        <v>144800</v>
      </c>
      <c r="L16" s="9" t="n">
        <v>46400</v>
      </c>
      <c r="M16" s="15" t="n">
        <f aca="false">SUM(H16:L16)</f>
        <v>1800700</v>
      </c>
      <c r="N16" s="15" t="n">
        <f aca="false">G16-M16</f>
        <v>373300</v>
      </c>
      <c r="O16" s="16" t="n">
        <f aca="false">IF(G16=0,0,N16/G16)</f>
        <v>0.171711131554738</v>
      </c>
      <c r="P16" s="9" t="n">
        <v>6250</v>
      </c>
      <c r="Q16" s="17" t="n">
        <f aca="false">IF(P16=0,0,P16/INDEX(月曆參數!$E$2:$E$13,MATCH($A16,月曆參數!$A$2:$A$13,0)))</f>
        <v>201.612903225806</v>
      </c>
      <c r="R16" s="15" t="n">
        <f aca="false">IF(P16=0,0,G16/P16)</f>
        <v>347.84</v>
      </c>
      <c r="S16" s="6" t="s">
        <v>205</v>
      </c>
      <c r="T16" s="9" t="n">
        <v>440</v>
      </c>
    </row>
    <row r="17" customFormat="false" ht="15" hidden="false" customHeight="false" outlineLevel="0" collapsed="false">
      <c r="A17" s="10" t="str">
        <f aca="false">TEXT(B17,"0")&amp;"-"&amp;TEXT(C17,"00")</f>
        <v>2025-04</v>
      </c>
      <c r="B17" s="8" t="n">
        <v>2025</v>
      </c>
      <c r="C17" s="8" t="n">
        <v>4</v>
      </c>
      <c r="D17" s="5" t="s">
        <v>170</v>
      </c>
      <c r="E17" s="13" t="str">
        <f aca="false">INDEX(門市主檔!$B$2:$B$9,MATCH($D17,門市主檔!$A$2:$A$9,0))</f>
        <v>台北中山店</v>
      </c>
      <c r="F17" s="13" t="str">
        <f aca="false">INDEX(門市主檔!$C$2:$C$9,MATCH($D17,門市主檔!$A$2:$A$9,0))</f>
        <v>北區</v>
      </c>
      <c r="G17" s="9" t="n">
        <v>2014000</v>
      </c>
      <c r="H17" s="9" t="n">
        <v>652600</v>
      </c>
      <c r="I17" s="9" t="n">
        <v>510200</v>
      </c>
      <c r="J17" s="14" t="n">
        <f aca="false">INDEX(門市主檔!$G$2:$G$9,MATCH($D17,門市主檔!$A$2:$A$9,0))</f>
        <v>320000</v>
      </c>
      <c r="K17" s="9" t="n">
        <v>124300</v>
      </c>
      <c r="L17" s="9" t="n">
        <v>57200</v>
      </c>
      <c r="M17" s="15" t="n">
        <f aca="false">SUM(H17:L17)</f>
        <v>1664300</v>
      </c>
      <c r="N17" s="15" t="n">
        <f aca="false">G17-M17</f>
        <v>349700</v>
      </c>
      <c r="O17" s="16" t="n">
        <f aca="false">IF(G17=0,0,N17/G17)</f>
        <v>0.173634558093347</v>
      </c>
      <c r="P17" s="9" t="n">
        <v>5950</v>
      </c>
      <c r="Q17" s="17" t="n">
        <f aca="false">IF(P17=0,0,P17/INDEX(月曆參數!$E$2:$E$13,MATCH($A17,月曆參數!$A$2:$A$13,0)))</f>
        <v>198.333333333333</v>
      </c>
      <c r="R17" s="15" t="n">
        <f aca="false">IF(P17=0,0,G17/P17)</f>
        <v>338.487394957983</v>
      </c>
      <c r="S17" s="6" t="s">
        <v>201</v>
      </c>
      <c r="T17" s="9" t="n">
        <v>340</v>
      </c>
    </row>
    <row r="18" customFormat="false" ht="15" hidden="false" customHeight="false" outlineLevel="0" collapsed="false">
      <c r="A18" s="10" t="str">
        <f aca="false">TEXT(B18,"0")&amp;"-"&amp;TEXT(C18,"00")</f>
        <v>2025-05</v>
      </c>
      <c r="B18" s="8" t="n">
        <v>2025</v>
      </c>
      <c r="C18" s="8" t="n">
        <v>5</v>
      </c>
      <c r="D18" s="5" t="s">
        <v>170</v>
      </c>
      <c r="E18" s="13" t="str">
        <f aca="false">INDEX(門市主檔!$B$2:$B$9,MATCH($D18,門市主檔!$A$2:$A$9,0))</f>
        <v>台北中山店</v>
      </c>
      <c r="F18" s="13" t="str">
        <f aca="false">INDEX(門市主檔!$C$2:$C$9,MATCH($D18,門市主檔!$A$2:$A$9,0))</f>
        <v>北區</v>
      </c>
      <c r="G18" s="9" t="n">
        <v>2290000</v>
      </c>
      <c r="H18" s="9" t="n">
        <v>728200</v>
      </c>
      <c r="I18" s="9" t="n">
        <v>611900</v>
      </c>
      <c r="J18" s="14" t="n">
        <f aca="false">INDEX(門市主檔!$G$2:$G$9,MATCH($D18,門市主檔!$A$2:$A$9,0))</f>
        <v>320000</v>
      </c>
      <c r="K18" s="9" t="n">
        <v>148100</v>
      </c>
      <c r="L18" s="9" t="n">
        <v>59400</v>
      </c>
      <c r="M18" s="15" t="n">
        <f aca="false">SUM(H18:L18)</f>
        <v>1867600</v>
      </c>
      <c r="N18" s="15" t="n">
        <f aca="false">G18-M18</f>
        <v>422400</v>
      </c>
      <c r="O18" s="16" t="n">
        <f aca="false">IF(G18=0,0,N18/G18)</f>
        <v>0.184454148471616</v>
      </c>
      <c r="P18" s="9" t="n">
        <v>6550</v>
      </c>
      <c r="Q18" s="17" t="n">
        <f aca="false">IF(P18=0,0,P18/INDEX(月曆參數!$E$2:$E$13,MATCH($A18,月曆參數!$A$2:$A$13,0)))</f>
        <v>211.290322580645</v>
      </c>
      <c r="R18" s="15" t="n">
        <f aca="false">IF(P18=0,0,G18/P18)</f>
        <v>349.618320610687</v>
      </c>
      <c r="S18" s="6" t="s">
        <v>201</v>
      </c>
      <c r="T18" s="9" t="n">
        <v>410</v>
      </c>
    </row>
    <row r="19" customFormat="false" ht="15" hidden="false" customHeight="false" outlineLevel="0" collapsed="false">
      <c r="A19" s="10" t="str">
        <f aca="false">TEXT(B19,"0")&amp;"-"&amp;TEXT(C19,"00")</f>
        <v>2025-06</v>
      </c>
      <c r="B19" s="8" t="n">
        <v>2025</v>
      </c>
      <c r="C19" s="8" t="n">
        <v>6</v>
      </c>
      <c r="D19" s="5" t="s">
        <v>170</v>
      </c>
      <c r="E19" s="13" t="str">
        <f aca="false">INDEX(門市主檔!$B$2:$B$9,MATCH($D19,門市主檔!$A$2:$A$9,0))</f>
        <v>台北中山店</v>
      </c>
      <c r="F19" s="13" t="str">
        <f aca="false">INDEX(門市主檔!$C$2:$C$9,MATCH($D19,門市主檔!$A$2:$A$9,0))</f>
        <v>北區</v>
      </c>
      <c r="G19" s="9" t="n">
        <v>2177000</v>
      </c>
      <c r="H19" s="9" t="n">
        <v>710800</v>
      </c>
      <c r="I19" s="9" t="n">
        <v>584700</v>
      </c>
      <c r="J19" s="14" t="n">
        <f aca="false">INDEX(門市主檔!$G$2:$G$9,MATCH($D19,門市主檔!$A$2:$A$9,0))</f>
        <v>320000</v>
      </c>
      <c r="K19" s="9" t="n">
        <v>119400</v>
      </c>
      <c r="L19" s="9" t="n">
        <v>52200</v>
      </c>
      <c r="M19" s="15" t="n">
        <f aca="false">SUM(H19:L19)</f>
        <v>1787100</v>
      </c>
      <c r="N19" s="15" t="n">
        <f aca="false">G19-M19</f>
        <v>389900</v>
      </c>
      <c r="O19" s="16" t="n">
        <f aca="false">IF(G19=0,0,N19/G19)</f>
        <v>0.179099678456592</v>
      </c>
      <c r="P19" s="9" t="n">
        <v>5820</v>
      </c>
      <c r="Q19" s="17" t="n">
        <f aca="false">IF(P19=0,0,P19/INDEX(月曆參數!$E$2:$E$13,MATCH($A19,月曆參數!$A$2:$A$13,0)))</f>
        <v>194</v>
      </c>
      <c r="R19" s="15" t="n">
        <f aca="false">IF(P19=0,0,G19/P19)</f>
        <v>374.054982817869</v>
      </c>
      <c r="S19" s="6" t="s">
        <v>202</v>
      </c>
      <c r="T19" s="9" t="n">
        <v>450</v>
      </c>
    </row>
    <row r="20" customFormat="false" ht="15" hidden="false" customHeight="false" outlineLevel="0" collapsed="false">
      <c r="A20" s="10" t="str">
        <f aca="false">TEXT(B20,"0")&amp;"-"&amp;TEXT(C20,"00")</f>
        <v>2025-07</v>
      </c>
      <c r="B20" s="8" t="n">
        <v>2025</v>
      </c>
      <c r="C20" s="8" t="n">
        <v>7</v>
      </c>
      <c r="D20" s="5" t="s">
        <v>170</v>
      </c>
      <c r="E20" s="13" t="str">
        <f aca="false">INDEX(門市主檔!$B$2:$B$9,MATCH($D20,門市主檔!$A$2:$A$9,0))</f>
        <v>台北中山店</v>
      </c>
      <c r="F20" s="13" t="str">
        <f aca="false">INDEX(門市主檔!$C$2:$C$9,MATCH($D20,門市主檔!$A$2:$A$9,0))</f>
        <v>北區</v>
      </c>
      <c r="G20" s="9" t="n">
        <v>2396000</v>
      </c>
      <c r="H20" s="9" t="n">
        <v>800700</v>
      </c>
      <c r="I20" s="9" t="n">
        <v>611500</v>
      </c>
      <c r="J20" s="14" t="n">
        <f aca="false">INDEX(門市主檔!$G$2:$G$9,MATCH($D20,門市主檔!$A$2:$A$9,0))</f>
        <v>320000</v>
      </c>
      <c r="K20" s="9" t="n">
        <v>160000</v>
      </c>
      <c r="L20" s="9" t="n">
        <v>69500</v>
      </c>
      <c r="M20" s="15" t="n">
        <f aca="false">SUM(H20:L20)</f>
        <v>1961700</v>
      </c>
      <c r="N20" s="15" t="n">
        <f aca="false">G20-M20</f>
        <v>434300</v>
      </c>
      <c r="O20" s="16" t="n">
        <f aca="false">IF(G20=0,0,N20/G20)</f>
        <v>0.181260434056761</v>
      </c>
      <c r="P20" s="9" t="n">
        <v>6660</v>
      </c>
      <c r="Q20" s="17" t="n">
        <f aca="false">IF(P20=0,0,P20/INDEX(月曆參數!$E$2:$E$13,MATCH($A20,月曆參數!$A$2:$A$13,0)))</f>
        <v>214.838709677419</v>
      </c>
      <c r="R20" s="15" t="n">
        <f aca="false">IF(P20=0,0,G20/P20)</f>
        <v>359.75975975976</v>
      </c>
      <c r="S20" s="6" t="s">
        <v>202</v>
      </c>
      <c r="T20" s="9" t="n">
        <v>610</v>
      </c>
    </row>
    <row r="21" customFormat="false" ht="15" hidden="false" customHeight="false" outlineLevel="0" collapsed="false">
      <c r="A21" s="10" t="str">
        <f aca="false">TEXT(B21,"0")&amp;"-"&amp;TEXT(C21,"00")</f>
        <v>2025-08</v>
      </c>
      <c r="B21" s="8" t="n">
        <v>2025</v>
      </c>
      <c r="C21" s="8" t="n">
        <v>8</v>
      </c>
      <c r="D21" s="5" t="s">
        <v>170</v>
      </c>
      <c r="E21" s="13" t="str">
        <f aca="false">INDEX(門市主檔!$B$2:$B$9,MATCH($D21,門市主檔!$A$2:$A$9,0))</f>
        <v>台北中山店</v>
      </c>
      <c r="F21" s="13" t="str">
        <f aca="false">INDEX(門市主檔!$C$2:$C$9,MATCH($D21,門市主檔!$A$2:$A$9,0))</f>
        <v>北區</v>
      </c>
      <c r="G21" s="9" t="n">
        <v>2581000</v>
      </c>
      <c r="H21" s="9" t="n">
        <v>836200</v>
      </c>
      <c r="I21" s="9" t="n">
        <v>644200</v>
      </c>
      <c r="J21" s="14" t="n">
        <f aca="false">INDEX(門市主檔!$G$2:$G$9,MATCH($D21,門市主檔!$A$2:$A$9,0))</f>
        <v>320000</v>
      </c>
      <c r="K21" s="9" t="n">
        <v>163400</v>
      </c>
      <c r="L21" s="9" t="n">
        <v>54600</v>
      </c>
      <c r="M21" s="15" t="n">
        <f aca="false">SUM(H21:L21)</f>
        <v>2018400</v>
      </c>
      <c r="N21" s="15" t="n">
        <f aca="false">G21-M21</f>
        <v>562600</v>
      </c>
      <c r="O21" s="16" t="n">
        <f aca="false">IF(G21=0,0,N21/G21)</f>
        <v>0.217977528089888</v>
      </c>
      <c r="P21" s="9" t="n">
        <v>7450</v>
      </c>
      <c r="Q21" s="17" t="n">
        <f aca="false">IF(P21=0,0,P21/INDEX(月曆參數!$E$2:$E$13,MATCH($A21,月曆參數!$A$2:$A$13,0)))</f>
        <v>240.322580645161</v>
      </c>
      <c r="R21" s="15" t="n">
        <f aca="false">IF(P21=0,0,G21/P21)</f>
        <v>346.442953020134</v>
      </c>
      <c r="S21" s="6" t="s">
        <v>203</v>
      </c>
      <c r="T21" s="9" t="n">
        <v>560</v>
      </c>
    </row>
    <row r="22" customFormat="false" ht="15" hidden="false" customHeight="false" outlineLevel="0" collapsed="false">
      <c r="A22" s="10" t="str">
        <f aca="false">TEXT(B22,"0")&amp;"-"&amp;TEXT(C22,"00")</f>
        <v>2025-09</v>
      </c>
      <c r="B22" s="8" t="n">
        <v>2025</v>
      </c>
      <c r="C22" s="8" t="n">
        <v>9</v>
      </c>
      <c r="D22" s="5" t="s">
        <v>170</v>
      </c>
      <c r="E22" s="13" t="str">
        <f aca="false">INDEX(門市主檔!$B$2:$B$9,MATCH($D22,門市主檔!$A$2:$A$9,0))</f>
        <v>台北中山店</v>
      </c>
      <c r="F22" s="13" t="str">
        <f aca="false">INDEX(門市主檔!$C$2:$C$9,MATCH($D22,門市主檔!$A$2:$A$9,0))</f>
        <v>北區</v>
      </c>
      <c r="G22" s="9" t="n">
        <v>2226000</v>
      </c>
      <c r="H22" s="9" t="n">
        <v>678300</v>
      </c>
      <c r="I22" s="9" t="n">
        <v>604400</v>
      </c>
      <c r="J22" s="14" t="n">
        <f aca="false">INDEX(門市主檔!$G$2:$G$9,MATCH($D22,門市主檔!$A$2:$A$9,0))</f>
        <v>320000</v>
      </c>
      <c r="K22" s="9" t="n">
        <v>109800</v>
      </c>
      <c r="L22" s="9" t="n">
        <v>68100</v>
      </c>
      <c r="M22" s="15" t="n">
        <f aca="false">SUM(H22:L22)</f>
        <v>1780600</v>
      </c>
      <c r="N22" s="15" t="n">
        <f aca="false">G22-M22</f>
        <v>445400</v>
      </c>
      <c r="O22" s="16" t="n">
        <f aca="false">IF(G22=0,0,N22/G22)</f>
        <v>0.200089847259659</v>
      </c>
      <c r="P22" s="9" t="n">
        <v>6130</v>
      </c>
      <c r="Q22" s="17" t="n">
        <f aca="false">IF(P22=0,0,P22/INDEX(月曆參數!$E$2:$E$13,MATCH($A22,月曆參數!$A$2:$A$13,0)))</f>
        <v>204.333333333333</v>
      </c>
      <c r="R22" s="15" t="n">
        <f aca="false">IF(P22=0,0,G22/P22)</f>
        <v>363.132137030995</v>
      </c>
      <c r="S22" s="6" t="s">
        <v>205</v>
      </c>
      <c r="T22" s="9" t="n">
        <v>550</v>
      </c>
    </row>
    <row r="23" customFormat="false" ht="15" hidden="false" customHeight="false" outlineLevel="0" collapsed="false">
      <c r="A23" s="10" t="str">
        <f aca="false">TEXT(B23,"0")&amp;"-"&amp;TEXT(C23,"00")</f>
        <v>2025-10</v>
      </c>
      <c r="B23" s="8" t="n">
        <v>2025</v>
      </c>
      <c r="C23" s="8" t="n">
        <v>10</v>
      </c>
      <c r="D23" s="5" t="s">
        <v>170</v>
      </c>
      <c r="E23" s="13" t="str">
        <f aca="false">INDEX(門市主檔!$B$2:$B$9,MATCH($D23,門市主檔!$A$2:$A$9,0))</f>
        <v>台北中山店</v>
      </c>
      <c r="F23" s="13" t="str">
        <f aca="false">INDEX(門市主檔!$C$2:$C$9,MATCH($D23,門市主檔!$A$2:$A$9,0))</f>
        <v>北區</v>
      </c>
      <c r="G23" s="9" t="n">
        <v>2214000</v>
      </c>
      <c r="H23" s="9" t="n">
        <v>677600</v>
      </c>
      <c r="I23" s="9" t="n">
        <v>592700</v>
      </c>
      <c r="J23" s="14" t="n">
        <f aca="false">INDEX(門市主檔!$G$2:$G$9,MATCH($D23,門市主檔!$A$2:$A$9,0))</f>
        <v>320000</v>
      </c>
      <c r="K23" s="9" t="n">
        <v>138600</v>
      </c>
      <c r="L23" s="9" t="n">
        <v>55700</v>
      </c>
      <c r="M23" s="15" t="n">
        <f aca="false">SUM(H23:L23)</f>
        <v>1784600</v>
      </c>
      <c r="N23" s="15" t="n">
        <f aca="false">G23-M23</f>
        <v>429400</v>
      </c>
      <c r="O23" s="16" t="n">
        <f aca="false">IF(G23=0,0,N23/G23)</f>
        <v>0.193947606142728</v>
      </c>
      <c r="P23" s="9" t="n">
        <v>6430</v>
      </c>
      <c r="Q23" s="17" t="n">
        <f aca="false">IF(P23=0,0,P23/INDEX(月曆參數!$E$2:$E$13,MATCH($A23,月曆參數!$A$2:$A$13,0)))</f>
        <v>207.41935483871</v>
      </c>
      <c r="R23" s="15" t="n">
        <f aca="false">IF(P23=0,0,G23/P23)</f>
        <v>344.323483670296</v>
      </c>
      <c r="S23" s="6" t="s">
        <v>201</v>
      </c>
      <c r="T23" s="9" t="n">
        <v>390</v>
      </c>
    </row>
    <row r="24" customFormat="false" ht="15" hidden="false" customHeight="false" outlineLevel="0" collapsed="false">
      <c r="A24" s="10" t="str">
        <f aca="false">TEXT(B24,"0")&amp;"-"&amp;TEXT(C24,"00")</f>
        <v>2025-11</v>
      </c>
      <c r="B24" s="8" t="n">
        <v>2025</v>
      </c>
      <c r="C24" s="8" t="n">
        <v>11</v>
      </c>
      <c r="D24" s="5" t="s">
        <v>170</v>
      </c>
      <c r="E24" s="13" t="str">
        <f aca="false">INDEX(門市主檔!$B$2:$B$9,MATCH($D24,門市主檔!$A$2:$A$9,0))</f>
        <v>台北中山店</v>
      </c>
      <c r="F24" s="13" t="str">
        <f aca="false">INDEX(門市主檔!$C$2:$C$9,MATCH($D24,門市主檔!$A$2:$A$9,0))</f>
        <v>北區</v>
      </c>
      <c r="G24" s="9" t="n">
        <v>2387000</v>
      </c>
      <c r="H24" s="9" t="n">
        <v>731200</v>
      </c>
      <c r="I24" s="9" t="n">
        <v>595800</v>
      </c>
      <c r="J24" s="14" t="n">
        <f aca="false">INDEX(門市主檔!$G$2:$G$9,MATCH($D24,門市主檔!$A$2:$A$9,0))</f>
        <v>320000</v>
      </c>
      <c r="K24" s="9" t="n">
        <v>116400</v>
      </c>
      <c r="L24" s="9" t="n">
        <v>48900</v>
      </c>
      <c r="M24" s="15" t="n">
        <f aca="false">SUM(H24:L24)</f>
        <v>1812300</v>
      </c>
      <c r="N24" s="15" t="n">
        <f aca="false">G24-M24</f>
        <v>574700</v>
      </c>
      <c r="O24" s="16" t="n">
        <f aca="false">IF(G24=0,0,N24/G24)</f>
        <v>0.240762463343109</v>
      </c>
      <c r="P24" s="9" t="n">
        <v>6570</v>
      </c>
      <c r="Q24" s="17" t="n">
        <f aca="false">IF(P24=0,0,P24/INDEX(月曆參數!$E$2:$E$13,MATCH($A24,月曆參數!$A$2:$A$13,0)))</f>
        <v>219</v>
      </c>
      <c r="R24" s="15" t="n">
        <f aca="false">IF(P24=0,0,G24/P24)</f>
        <v>363.318112633181</v>
      </c>
      <c r="S24" s="6" t="s">
        <v>207</v>
      </c>
      <c r="T24" s="9" t="n">
        <v>560</v>
      </c>
    </row>
    <row r="25" customFormat="false" ht="15" hidden="false" customHeight="false" outlineLevel="0" collapsed="false">
      <c r="A25" s="10" t="str">
        <f aca="false">TEXT(B25,"0")&amp;"-"&amp;TEXT(C25,"00")</f>
        <v>2025-12</v>
      </c>
      <c r="B25" s="8" t="n">
        <v>2025</v>
      </c>
      <c r="C25" s="8" t="n">
        <v>12</v>
      </c>
      <c r="D25" s="5" t="s">
        <v>170</v>
      </c>
      <c r="E25" s="13" t="str">
        <f aca="false">INDEX(門市主檔!$B$2:$B$9,MATCH($D25,門市主檔!$A$2:$A$9,0))</f>
        <v>台北中山店</v>
      </c>
      <c r="F25" s="13" t="str">
        <f aca="false">INDEX(門市主檔!$C$2:$C$9,MATCH($D25,門市主檔!$A$2:$A$9,0))</f>
        <v>北區</v>
      </c>
      <c r="G25" s="9" t="n">
        <v>2710000</v>
      </c>
      <c r="H25" s="9" t="n">
        <v>892600</v>
      </c>
      <c r="I25" s="9" t="n">
        <v>673900</v>
      </c>
      <c r="J25" s="14" t="n">
        <f aca="false">INDEX(門市主檔!$G$2:$G$9,MATCH($D25,門市主檔!$A$2:$A$9,0))</f>
        <v>320000</v>
      </c>
      <c r="K25" s="9" t="n">
        <v>161700</v>
      </c>
      <c r="L25" s="9" t="n">
        <v>82000</v>
      </c>
      <c r="M25" s="15" t="n">
        <f aca="false">SUM(H25:L25)</f>
        <v>2130200</v>
      </c>
      <c r="N25" s="15" t="n">
        <f aca="false">G25-M25</f>
        <v>579800</v>
      </c>
      <c r="O25" s="16" t="n">
        <f aca="false">IF(G25=0,0,N25/G25)</f>
        <v>0.213948339483395</v>
      </c>
      <c r="P25" s="9" t="n">
        <v>7440</v>
      </c>
      <c r="Q25" s="17" t="n">
        <f aca="false">IF(P25=0,0,P25/INDEX(月曆參數!$E$2:$E$13,MATCH($A25,月曆參數!$A$2:$A$13,0)))</f>
        <v>240</v>
      </c>
      <c r="R25" s="15" t="n">
        <f aca="false">IF(P25=0,0,G25/P25)</f>
        <v>364.247311827957</v>
      </c>
      <c r="S25" s="6" t="s">
        <v>199</v>
      </c>
      <c r="T25" s="9" t="n">
        <v>490</v>
      </c>
    </row>
    <row r="26" customFormat="false" ht="15" hidden="false" customHeight="false" outlineLevel="0" collapsed="false">
      <c r="A26" s="10" t="str">
        <f aca="false">TEXT(B26,"0")&amp;"-"&amp;TEXT(C26,"00")</f>
        <v>2025-01</v>
      </c>
      <c r="B26" s="8" t="n">
        <v>2025</v>
      </c>
      <c r="C26" s="8" t="n">
        <v>1</v>
      </c>
      <c r="D26" s="5" t="s">
        <v>173</v>
      </c>
      <c r="E26" s="13" t="str">
        <f aca="false">INDEX(門市主檔!$B$2:$B$9,MATCH($D26,門市主檔!$A$2:$A$9,0))</f>
        <v>新北板橋店</v>
      </c>
      <c r="F26" s="13" t="str">
        <f aca="false">INDEX(門市主檔!$C$2:$C$9,MATCH($D26,門市主檔!$A$2:$A$9,0))</f>
        <v>北區</v>
      </c>
      <c r="G26" s="9" t="n">
        <v>2668000</v>
      </c>
      <c r="H26" s="9" t="n">
        <v>828900</v>
      </c>
      <c r="I26" s="9" t="n">
        <v>688400</v>
      </c>
      <c r="J26" s="14" t="n">
        <f aca="false">INDEX(門市主檔!$G$2:$G$9,MATCH($D26,門市主檔!$A$2:$A$9,0))</f>
        <v>260000</v>
      </c>
      <c r="K26" s="9" t="n">
        <v>180000</v>
      </c>
      <c r="L26" s="9" t="n">
        <v>50600</v>
      </c>
      <c r="M26" s="15" t="n">
        <f aca="false">SUM(H26:L26)</f>
        <v>2007900</v>
      </c>
      <c r="N26" s="15" t="n">
        <f aca="false">G26-M26</f>
        <v>660100</v>
      </c>
      <c r="O26" s="16" t="n">
        <f aca="false">IF(G26=0,0,N26/G26)</f>
        <v>0.247413793103448</v>
      </c>
      <c r="P26" s="9" t="n">
        <v>8640</v>
      </c>
      <c r="Q26" s="17" t="n">
        <f aca="false">IF(P26=0,0,P26/INDEX(月曆參數!$E$2:$E$13,MATCH($A26,月曆參數!$A$2:$A$13,0)))</f>
        <v>278.709677419355</v>
      </c>
      <c r="R26" s="15" t="n">
        <f aca="false">IF(P26=0,0,G26/P26)</f>
        <v>308.796296296296</v>
      </c>
      <c r="S26" s="6" t="s">
        <v>198</v>
      </c>
      <c r="T26" s="9" t="n">
        <v>550</v>
      </c>
    </row>
    <row r="27" customFormat="false" ht="15" hidden="false" customHeight="false" outlineLevel="0" collapsed="false">
      <c r="A27" s="10" t="str">
        <f aca="false">TEXT(B27,"0")&amp;"-"&amp;TEXT(C27,"00")</f>
        <v>2025-02</v>
      </c>
      <c r="B27" s="8" t="n">
        <v>2025</v>
      </c>
      <c r="C27" s="8" t="n">
        <v>2</v>
      </c>
      <c r="D27" s="5" t="s">
        <v>173</v>
      </c>
      <c r="E27" s="13" t="str">
        <f aca="false">INDEX(門市主檔!$B$2:$B$9,MATCH($D27,門市主檔!$A$2:$A$9,0))</f>
        <v>新北板橋店</v>
      </c>
      <c r="F27" s="13" t="str">
        <f aca="false">INDEX(門市主檔!$C$2:$C$9,MATCH($D27,門市主檔!$A$2:$A$9,0))</f>
        <v>北區</v>
      </c>
      <c r="G27" s="9" t="n">
        <v>2360000</v>
      </c>
      <c r="H27" s="9" t="n">
        <v>714400</v>
      </c>
      <c r="I27" s="9" t="n">
        <v>641400</v>
      </c>
      <c r="J27" s="14" t="n">
        <f aca="false">INDEX(門市主檔!$G$2:$G$9,MATCH($D27,門市主檔!$A$2:$A$9,0))</f>
        <v>260000</v>
      </c>
      <c r="K27" s="9" t="n">
        <v>156900</v>
      </c>
      <c r="L27" s="9" t="n">
        <v>62700</v>
      </c>
      <c r="M27" s="15" t="n">
        <f aca="false">SUM(H27:L27)</f>
        <v>1835400</v>
      </c>
      <c r="N27" s="15" t="n">
        <f aca="false">G27-M27</f>
        <v>524600</v>
      </c>
      <c r="O27" s="16" t="n">
        <f aca="false">IF(G27=0,0,N27/G27)</f>
        <v>0.22228813559322</v>
      </c>
      <c r="P27" s="9" t="n">
        <v>7380</v>
      </c>
      <c r="Q27" s="17" t="n">
        <f aca="false">IF(P27=0,0,P27/INDEX(月曆參數!$E$2:$E$13,MATCH($A27,月曆參數!$A$2:$A$13,0)))</f>
        <v>263.571428571429</v>
      </c>
      <c r="R27" s="15" t="n">
        <f aca="false">IF(P27=0,0,G27/P27)</f>
        <v>319.783197831978</v>
      </c>
      <c r="S27" s="6" t="s">
        <v>199</v>
      </c>
      <c r="T27" s="9" t="n">
        <v>700</v>
      </c>
    </row>
    <row r="28" customFormat="false" ht="15" hidden="false" customHeight="false" outlineLevel="0" collapsed="false">
      <c r="A28" s="10" t="str">
        <f aca="false">TEXT(B28,"0")&amp;"-"&amp;TEXT(C28,"00")</f>
        <v>2025-03</v>
      </c>
      <c r="B28" s="8" t="n">
        <v>2025</v>
      </c>
      <c r="C28" s="8" t="n">
        <v>3</v>
      </c>
      <c r="D28" s="5" t="s">
        <v>173</v>
      </c>
      <c r="E28" s="13" t="str">
        <f aca="false">INDEX(門市主檔!$B$2:$B$9,MATCH($D28,門市主檔!$A$2:$A$9,0))</f>
        <v>新北板橋店</v>
      </c>
      <c r="F28" s="13" t="str">
        <f aca="false">INDEX(門市主檔!$C$2:$C$9,MATCH($D28,門市主檔!$A$2:$A$9,0))</f>
        <v>北區</v>
      </c>
      <c r="G28" s="9" t="n">
        <v>2282000</v>
      </c>
      <c r="H28" s="9" t="n">
        <v>772800</v>
      </c>
      <c r="I28" s="9" t="n">
        <v>560200</v>
      </c>
      <c r="J28" s="14" t="n">
        <f aca="false">INDEX(門市主檔!$G$2:$G$9,MATCH($D28,門市主檔!$A$2:$A$9,0))</f>
        <v>260000</v>
      </c>
      <c r="K28" s="9" t="n">
        <v>128200</v>
      </c>
      <c r="L28" s="9" t="n">
        <v>67200</v>
      </c>
      <c r="M28" s="15" t="n">
        <f aca="false">SUM(H28:L28)</f>
        <v>1788400</v>
      </c>
      <c r="N28" s="15" t="n">
        <f aca="false">G28-M28</f>
        <v>493600</v>
      </c>
      <c r="O28" s="16" t="n">
        <f aca="false">IF(G28=0,0,N28/G28)</f>
        <v>0.216301489921122</v>
      </c>
      <c r="P28" s="9" t="n">
        <v>7230</v>
      </c>
      <c r="Q28" s="17" t="n">
        <f aca="false">IF(P28=0,0,P28/INDEX(月曆參數!$E$2:$E$13,MATCH($A28,月曆參數!$A$2:$A$13,0)))</f>
        <v>233.225806451613</v>
      </c>
      <c r="R28" s="15" t="n">
        <f aca="false">IF(P28=0,0,G28/P28)</f>
        <v>315.629322268326</v>
      </c>
      <c r="S28" s="6" t="s">
        <v>204</v>
      </c>
      <c r="T28" s="9" t="n">
        <v>670</v>
      </c>
    </row>
    <row r="29" customFormat="false" ht="15" hidden="false" customHeight="false" outlineLevel="0" collapsed="false">
      <c r="A29" s="10" t="str">
        <f aca="false">TEXT(B29,"0")&amp;"-"&amp;TEXT(C29,"00")</f>
        <v>2025-04</v>
      </c>
      <c r="B29" s="8" t="n">
        <v>2025</v>
      </c>
      <c r="C29" s="8" t="n">
        <v>4</v>
      </c>
      <c r="D29" s="5" t="s">
        <v>173</v>
      </c>
      <c r="E29" s="13" t="str">
        <f aca="false">INDEX(門市主檔!$B$2:$B$9,MATCH($D29,門市主檔!$A$2:$A$9,0))</f>
        <v>新北板橋店</v>
      </c>
      <c r="F29" s="13" t="str">
        <f aca="false">INDEX(門市主檔!$C$2:$C$9,MATCH($D29,門市主檔!$A$2:$A$9,0))</f>
        <v>北區</v>
      </c>
      <c r="G29" s="9" t="n">
        <v>2257000</v>
      </c>
      <c r="H29" s="9" t="n">
        <v>733800</v>
      </c>
      <c r="I29" s="9" t="n">
        <v>603900</v>
      </c>
      <c r="J29" s="14" t="n">
        <f aca="false">INDEX(門市主檔!$G$2:$G$9,MATCH($D29,門市主檔!$A$2:$A$9,0))</f>
        <v>260000</v>
      </c>
      <c r="K29" s="9" t="n">
        <v>137000</v>
      </c>
      <c r="L29" s="9" t="n">
        <v>66000</v>
      </c>
      <c r="M29" s="15" t="n">
        <f aca="false">SUM(H29:L29)</f>
        <v>1800700</v>
      </c>
      <c r="N29" s="15" t="n">
        <f aca="false">G29-M29</f>
        <v>456300</v>
      </c>
      <c r="O29" s="16" t="n">
        <f aca="false">IF(G29=0,0,N29/G29)</f>
        <v>0.202171023482499</v>
      </c>
      <c r="P29" s="9" t="n">
        <v>7730</v>
      </c>
      <c r="Q29" s="17" t="n">
        <f aca="false">IF(P29=0,0,P29/INDEX(月曆參數!$E$2:$E$13,MATCH($A29,月曆參數!$A$2:$A$13,0)))</f>
        <v>257.666666666667</v>
      </c>
      <c r="R29" s="15" t="n">
        <f aca="false">IF(P29=0,0,G29/P29)</f>
        <v>291.979301423027</v>
      </c>
      <c r="S29" s="6" t="s">
        <v>200</v>
      </c>
      <c r="T29" s="9" t="n">
        <v>470</v>
      </c>
    </row>
    <row r="30" customFormat="false" ht="15" hidden="false" customHeight="false" outlineLevel="0" collapsed="false">
      <c r="A30" s="10" t="str">
        <f aca="false">TEXT(B30,"0")&amp;"-"&amp;TEXT(C30,"00")</f>
        <v>2025-05</v>
      </c>
      <c r="B30" s="8" t="n">
        <v>2025</v>
      </c>
      <c r="C30" s="8" t="n">
        <v>5</v>
      </c>
      <c r="D30" s="5" t="s">
        <v>173</v>
      </c>
      <c r="E30" s="13" t="str">
        <f aca="false">INDEX(門市主檔!$B$2:$B$9,MATCH($D30,門市主檔!$A$2:$A$9,0))</f>
        <v>新北板橋店</v>
      </c>
      <c r="F30" s="13" t="str">
        <f aca="false">INDEX(門市主檔!$C$2:$C$9,MATCH($D30,門市主檔!$A$2:$A$9,0))</f>
        <v>北區</v>
      </c>
      <c r="G30" s="9" t="n">
        <v>2204000</v>
      </c>
      <c r="H30" s="9" t="n">
        <v>747200</v>
      </c>
      <c r="I30" s="9" t="n">
        <v>526500</v>
      </c>
      <c r="J30" s="14" t="n">
        <f aca="false">INDEX(門市主檔!$G$2:$G$9,MATCH($D30,門市主檔!$A$2:$A$9,0))</f>
        <v>260000</v>
      </c>
      <c r="K30" s="9" t="n">
        <v>108200</v>
      </c>
      <c r="L30" s="9" t="n">
        <v>63000</v>
      </c>
      <c r="M30" s="15" t="n">
        <f aca="false">SUM(H30:L30)</f>
        <v>1704900</v>
      </c>
      <c r="N30" s="15" t="n">
        <f aca="false">G30-M30</f>
        <v>499100</v>
      </c>
      <c r="O30" s="16" t="n">
        <f aca="false">IF(G30=0,0,N30/G30)</f>
        <v>0.226451905626134</v>
      </c>
      <c r="P30" s="9" t="n">
        <v>7470</v>
      </c>
      <c r="Q30" s="17" t="n">
        <f aca="false">IF(P30=0,0,P30/INDEX(月曆參數!$E$2:$E$13,MATCH($A30,月曆參數!$A$2:$A$13,0)))</f>
        <v>240.967741935484</v>
      </c>
      <c r="R30" s="15" t="n">
        <f aca="false">IF(P30=0,0,G30/P30)</f>
        <v>295.046854082999</v>
      </c>
      <c r="S30" s="6" t="s">
        <v>205</v>
      </c>
      <c r="T30" s="9" t="n">
        <v>620</v>
      </c>
    </row>
    <row r="31" customFormat="false" ht="15" hidden="false" customHeight="false" outlineLevel="0" collapsed="false">
      <c r="A31" s="10" t="str">
        <f aca="false">TEXT(B31,"0")&amp;"-"&amp;TEXT(C31,"00")</f>
        <v>2025-06</v>
      </c>
      <c r="B31" s="8" t="n">
        <v>2025</v>
      </c>
      <c r="C31" s="8" t="n">
        <v>6</v>
      </c>
      <c r="D31" s="5" t="s">
        <v>173</v>
      </c>
      <c r="E31" s="13" t="str">
        <f aca="false">INDEX(門市主檔!$B$2:$B$9,MATCH($D31,門市主檔!$A$2:$A$9,0))</f>
        <v>新北板橋店</v>
      </c>
      <c r="F31" s="13" t="str">
        <f aca="false">INDEX(門市主檔!$C$2:$C$9,MATCH($D31,門市主檔!$A$2:$A$9,0))</f>
        <v>北區</v>
      </c>
      <c r="G31" s="9" t="n">
        <v>2172000</v>
      </c>
      <c r="H31" s="9" t="n">
        <v>660400</v>
      </c>
      <c r="I31" s="9" t="n">
        <v>557600</v>
      </c>
      <c r="J31" s="14" t="n">
        <f aca="false">INDEX(門市主檔!$G$2:$G$9,MATCH($D31,門市主檔!$A$2:$A$9,0))</f>
        <v>260000</v>
      </c>
      <c r="K31" s="9" t="n">
        <v>132100</v>
      </c>
      <c r="L31" s="9" t="n">
        <v>69400</v>
      </c>
      <c r="M31" s="15" t="n">
        <f aca="false">SUM(H31:L31)</f>
        <v>1679500</v>
      </c>
      <c r="N31" s="15" t="n">
        <f aca="false">G31-M31</f>
        <v>492500</v>
      </c>
      <c r="O31" s="16" t="n">
        <f aca="false">IF(G31=0,0,N31/G31)</f>
        <v>0.226749539594843</v>
      </c>
      <c r="P31" s="9" t="n">
        <v>6830</v>
      </c>
      <c r="Q31" s="17" t="n">
        <f aca="false">IF(P31=0,0,P31/INDEX(月曆參數!$E$2:$E$13,MATCH($A31,月曆參數!$A$2:$A$13,0)))</f>
        <v>227.666666666667</v>
      </c>
      <c r="R31" s="15" t="n">
        <f aca="false">IF(P31=0,0,G31/P31)</f>
        <v>318.00878477306</v>
      </c>
      <c r="S31" s="6" t="s">
        <v>203</v>
      </c>
      <c r="T31" s="9" t="n">
        <v>430</v>
      </c>
    </row>
    <row r="32" customFormat="false" ht="15" hidden="false" customHeight="false" outlineLevel="0" collapsed="false">
      <c r="A32" s="10" t="str">
        <f aca="false">TEXT(B32,"0")&amp;"-"&amp;TEXT(C32,"00")</f>
        <v>2025-07</v>
      </c>
      <c r="B32" s="8" t="n">
        <v>2025</v>
      </c>
      <c r="C32" s="8" t="n">
        <v>7</v>
      </c>
      <c r="D32" s="5" t="s">
        <v>173</v>
      </c>
      <c r="E32" s="13" t="str">
        <f aca="false">INDEX(門市主檔!$B$2:$B$9,MATCH($D32,門市主檔!$A$2:$A$9,0))</f>
        <v>新北板橋店</v>
      </c>
      <c r="F32" s="13" t="str">
        <f aca="false">INDEX(門市主檔!$C$2:$C$9,MATCH($D32,門市主檔!$A$2:$A$9,0))</f>
        <v>北區</v>
      </c>
      <c r="G32" s="9" t="n">
        <v>2661000</v>
      </c>
      <c r="H32" s="9" t="n">
        <v>808700</v>
      </c>
      <c r="I32" s="9" t="n">
        <v>667200</v>
      </c>
      <c r="J32" s="14" t="n">
        <f aca="false">INDEX(門市主檔!$G$2:$G$9,MATCH($D32,門市主檔!$A$2:$A$9,0))</f>
        <v>260000</v>
      </c>
      <c r="K32" s="9" t="n">
        <v>134200</v>
      </c>
      <c r="L32" s="9" t="n">
        <v>67500</v>
      </c>
      <c r="M32" s="15" t="n">
        <f aca="false">SUM(H32:L32)</f>
        <v>1937600</v>
      </c>
      <c r="N32" s="15" t="n">
        <f aca="false">G32-M32</f>
        <v>723400</v>
      </c>
      <c r="O32" s="16" t="n">
        <f aca="false">IF(G32=0,0,N32/G32)</f>
        <v>0.27185268695979</v>
      </c>
      <c r="P32" s="9" t="n">
        <v>8860</v>
      </c>
      <c r="Q32" s="17" t="n">
        <f aca="false">IF(P32=0,0,P32/INDEX(月曆參數!$E$2:$E$13,MATCH($A32,月曆參數!$A$2:$A$13,0)))</f>
        <v>285.806451612903</v>
      </c>
      <c r="R32" s="15" t="n">
        <f aca="false">IF(P32=0,0,G32/P32)</f>
        <v>300.338600451467</v>
      </c>
      <c r="S32" s="6" t="s">
        <v>202</v>
      </c>
      <c r="T32" s="9" t="n">
        <v>600</v>
      </c>
    </row>
    <row r="33" customFormat="false" ht="15" hidden="false" customHeight="false" outlineLevel="0" collapsed="false">
      <c r="A33" s="10" t="str">
        <f aca="false">TEXT(B33,"0")&amp;"-"&amp;TEXT(C33,"00")</f>
        <v>2025-08</v>
      </c>
      <c r="B33" s="8" t="n">
        <v>2025</v>
      </c>
      <c r="C33" s="8" t="n">
        <v>8</v>
      </c>
      <c r="D33" s="5" t="s">
        <v>173</v>
      </c>
      <c r="E33" s="13" t="str">
        <f aca="false">INDEX(門市主檔!$B$2:$B$9,MATCH($D33,門市主檔!$A$2:$A$9,0))</f>
        <v>新北板橋店</v>
      </c>
      <c r="F33" s="13" t="str">
        <f aca="false">INDEX(門市主檔!$C$2:$C$9,MATCH($D33,門市主檔!$A$2:$A$9,0))</f>
        <v>北區</v>
      </c>
      <c r="G33" s="9" t="n">
        <v>2761000</v>
      </c>
      <c r="H33" s="9" t="n">
        <v>834200</v>
      </c>
      <c r="I33" s="9" t="n">
        <v>739400</v>
      </c>
      <c r="J33" s="14" t="n">
        <f aca="false">INDEX(門市主檔!$G$2:$G$9,MATCH($D33,門市主檔!$A$2:$A$9,0))</f>
        <v>260000</v>
      </c>
      <c r="K33" s="9" t="n">
        <v>147400</v>
      </c>
      <c r="L33" s="9" t="n">
        <v>51300</v>
      </c>
      <c r="M33" s="15" t="n">
        <f aca="false">SUM(H33:L33)</f>
        <v>2032300</v>
      </c>
      <c r="N33" s="15" t="n">
        <f aca="false">G33-M33</f>
        <v>728700</v>
      </c>
      <c r="O33" s="16" t="n">
        <f aca="false">IF(G33=0,0,N33/G33)</f>
        <v>0.263926113726911</v>
      </c>
      <c r="P33" s="9" t="n">
        <v>9000</v>
      </c>
      <c r="Q33" s="17" t="n">
        <f aca="false">IF(P33=0,0,P33/INDEX(月曆參數!$E$2:$E$13,MATCH($A33,月曆參數!$A$2:$A$13,0)))</f>
        <v>290.322580645161</v>
      </c>
      <c r="R33" s="15" t="n">
        <f aca="false">IF(P33=0,0,G33/P33)</f>
        <v>306.777777777778</v>
      </c>
      <c r="S33" s="6" t="s">
        <v>208</v>
      </c>
      <c r="T33" s="9" t="n">
        <v>700</v>
      </c>
    </row>
    <row r="34" customFormat="false" ht="15" hidden="false" customHeight="false" outlineLevel="0" collapsed="false">
      <c r="A34" s="10" t="str">
        <f aca="false">TEXT(B34,"0")&amp;"-"&amp;TEXT(C34,"00")</f>
        <v>2025-09</v>
      </c>
      <c r="B34" s="8" t="n">
        <v>2025</v>
      </c>
      <c r="C34" s="8" t="n">
        <v>9</v>
      </c>
      <c r="D34" s="5" t="s">
        <v>173</v>
      </c>
      <c r="E34" s="13" t="str">
        <f aca="false">INDEX(門市主檔!$B$2:$B$9,MATCH($D34,門市主檔!$A$2:$A$9,0))</f>
        <v>新北板橋店</v>
      </c>
      <c r="F34" s="13" t="str">
        <f aca="false">INDEX(門市主檔!$C$2:$C$9,MATCH($D34,門市主檔!$A$2:$A$9,0))</f>
        <v>北區</v>
      </c>
      <c r="G34" s="9" t="n">
        <v>2395000</v>
      </c>
      <c r="H34" s="9" t="n">
        <v>763200</v>
      </c>
      <c r="I34" s="9" t="n">
        <v>647600</v>
      </c>
      <c r="J34" s="14" t="n">
        <f aca="false">INDEX(門市主檔!$G$2:$G$9,MATCH($D34,門市主檔!$A$2:$A$9,0))</f>
        <v>260000</v>
      </c>
      <c r="K34" s="9" t="n">
        <v>143100</v>
      </c>
      <c r="L34" s="9" t="n">
        <v>55500</v>
      </c>
      <c r="M34" s="15" t="n">
        <f aca="false">SUM(H34:L34)</f>
        <v>1869400</v>
      </c>
      <c r="N34" s="15" t="n">
        <f aca="false">G34-M34</f>
        <v>525600</v>
      </c>
      <c r="O34" s="16" t="n">
        <f aca="false">IF(G34=0,0,N34/G34)</f>
        <v>0.219457202505219</v>
      </c>
      <c r="P34" s="9" t="n">
        <v>7500</v>
      </c>
      <c r="Q34" s="17" t="n">
        <f aca="false">IF(P34=0,0,P34/INDEX(月曆參數!$E$2:$E$13,MATCH($A34,月曆參數!$A$2:$A$13,0)))</f>
        <v>250</v>
      </c>
      <c r="R34" s="15" t="n">
        <f aca="false">IF(P34=0,0,G34/P34)</f>
        <v>319.333333333333</v>
      </c>
      <c r="S34" s="6" t="s">
        <v>204</v>
      </c>
      <c r="T34" s="9" t="n">
        <v>540</v>
      </c>
    </row>
    <row r="35" customFormat="false" ht="15" hidden="false" customHeight="false" outlineLevel="0" collapsed="false">
      <c r="A35" s="10" t="str">
        <f aca="false">TEXT(B35,"0")&amp;"-"&amp;TEXT(C35,"00")</f>
        <v>2025-10</v>
      </c>
      <c r="B35" s="8" t="n">
        <v>2025</v>
      </c>
      <c r="C35" s="8" t="n">
        <v>10</v>
      </c>
      <c r="D35" s="5" t="s">
        <v>173</v>
      </c>
      <c r="E35" s="13" t="str">
        <f aca="false">INDEX(門市主檔!$B$2:$B$9,MATCH($D35,門市主檔!$A$2:$A$9,0))</f>
        <v>新北板橋店</v>
      </c>
      <c r="F35" s="13" t="str">
        <f aca="false">INDEX(門市主檔!$C$2:$C$9,MATCH($D35,門市主檔!$A$2:$A$9,0))</f>
        <v>北區</v>
      </c>
      <c r="G35" s="9" t="n">
        <v>2548000</v>
      </c>
      <c r="H35" s="9" t="n">
        <v>860800</v>
      </c>
      <c r="I35" s="9" t="n">
        <v>665200</v>
      </c>
      <c r="J35" s="14" t="n">
        <f aca="false">INDEX(門市主檔!$G$2:$G$9,MATCH($D35,門市主檔!$A$2:$A$9,0))</f>
        <v>260000</v>
      </c>
      <c r="K35" s="9" t="n">
        <v>165000</v>
      </c>
      <c r="L35" s="9" t="n">
        <v>54600</v>
      </c>
      <c r="M35" s="15" t="n">
        <f aca="false">SUM(H35:L35)</f>
        <v>2005600</v>
      </c>
      <c r="N35" s="15" t="n">
        <f aca="false">G35-M35</f>
        <v>542400</v>
      </c>
      <c r="O35" s="16" t="n">
        <f aca="false">IF(G35=0,0,N35/G35)</f>
        <v>0.21287284144427</v>
      </c>
      <c r="P35" s="9" t="n">
        <v>8330</v>
      </c>
      <c r="Q35" s="17" t="n">
        <f aca="false">IF(P35=0,0,P35/INDEX(月曆參數!$E$2:$E$13,MATCH($A35,月曆參數!$A$2:$A$13,0)))</f>
        <v>268.709677419355</v>
      </c>
      <c r="R35" s="15" t="n">
        <f aca="false">IF(P35=0,0,G35/P35)</f>
        <v>305.882352941176</v>
      </c>
      <c r="S35" s="6" t="s">
        <v>205</v>
      </c>
      <c r="T35" s="9" t="n">
        <v>610</v>
      </c>
    </row>
    <row r="36" customFormat="false" ht="15" hidden="false" customHeight="false" outlineLevel="0" collapsed="false">
      <c r="A36" s="10" t="str">
        <f aca="false">TEXT(B36,"0")&amp;"-"&amp;TEXT(C36,"00")</f>
        <v>2025-11</v>
      </c>
      <c r="B36" s="8" t="n">
        <v>2025</v>
      </c>
      <c r="C36" s="8" t="n">
        <v>11</v>
      </c>
      <c r="D36" s="5" t="s">
        <v>173</v>
      </c>
      <c r="E36" s="13" t="str">
        <f aca="false">INDEX(門市主檔!$B$2:$B$9,MATCH($D36,門市主檔!$A$2:$A$9,0))</f>
        <v>新北板橋店</v>
      </c>
      <c r="F36" s="13" t="str">
        <f aca="false">INDEX(門市主檔!$C$2:$C$9,MATCH($D36,門市主檔!$A$2:$A$9,0))</f>
        <v>北區</v>
      </c>
      <c r="G36" s="9" t="n">
        <v>2303000</v>
      </c>
      <c r="H36" s="9" t="n">
        <v>716400</v>
      </c>
      <c r="I36" s="9" t="n">
        <v>610600</v>
      </c>
      <c r="J36" s="14" t="n">
        <f aca="false">INDEX(門市主檔!$G$2:$G$9,MATCH($D36,門市主檔!$A$2:$A$9,0))</f>
        <v>260000</v>
      </c>
      <c r="K36" s="9" t="n">
        <v>154600</v>
      </c>
      <c r="L36" s="9" t="n">
        <v>67800</v>
      </c>
      <c r="M36" s="15" t="n">
        <f aca="false">SUM(H36:L36)</f>
        <v>1809400</v>
      </c>
      <c r="N36" s="15" t="n">
        <f aca="false">G36-M36</f>
        <v>493600</v>
      </c>
      <c r="O36" s="16" t="n">
        <f aca="false">IF(G36=0,0,N36/G36)</f>
        <v>0.214329135909683</v>
      </c>
      <c r="P36" s="9" t="n">
        <v>7500</v>
      </c>
      <c r="Q36" s="17" t="n">
        <f aca="false">IF(P36=0,0,P36/INDEX(月曆參數!$E$2:$E$13,MATCH($A36,月曆參數!$A$2:$A$13,0)))</f>
        <v>250</v>
      </c>
      <c r="R36" s="15" t="n">
        <f aca="false">IF(P36=0,0,G36/P36)</f>
        <v>307.066666666667</v>
      </c>
      <c r="S36" s="6" t="s">
        <v>205</v>
      </c>
      <c r="T36" s="9" t="n">
        <v>490</v>
      </c>
    </row>
    <row r="37" customFormat="false" ht="15" hidden="false" customHeight="false" outlineLevel="0" collapsed="false">
      <c r="A37" s="10" t="str">
        <f aca="false">TEXT(B37,"0")&amp;"-"&amp;TEXT(C37,"00")</f>
        <v>2025-12</v>
      </c>
      <c r="B37" s="8" t="n">
        <v>2025</v>
      </c>
      <c r="C37" s="8" t="n">
        <v>12</v>
      </c>
      <c r="D37" s="5" t="s">
        <v>173</v>
      </c>
      <c r="E37" s="13" t="str">
        <f aca="false">INDEX(門市主檔!$B$2:$B$9,MATCH($D37,門市主檔!$A$2:$A$9,0))</f>
        <v>新北板橋店</v>
      </c>
      <c r="F37" s="13" t="str">
        <f aca="false">INDEX(門市主檔!$C$2:$C$9,MATCH($D37,門市主檔!$A$2:$A$9,0))</f>
        <v>北區</v>
      </c>
      <c r="G37" s="9" t="n">
        <v>2661000</v>
      </c>
      <c r="H37" s="9" t="n">
        <v>873500</v>
      </c>
      <c r="I37" s="9" t="n">
        <v>715000</v>
      </c>
      <c r="J37" s="14" t="n">
        <f aca="false">INDEX(門市主檔!$G$2:$G$9,MATCH($D37,門市主檔!$A$2:$A$9,0))</f>
        <v>260000</v>
      </c>
      <c r="K37" s="9" t="n">
        <v>172800</v>
      </c>
      <c r="L37" s="9" t="n">
        <v>69500</v>
      </c>
      <c r="M37" s="15" t="n">
        <f aca="false">SUM(H37:L37)</f>
        <v>2090800</v>
      </c>
      <c r="N37" s="15" t="n">
        <f aca="false">G37-M37</f>
        <v>570200</v>
      </c>
      <c r="O37" s="16" t="n">
        <f aca="false">IF(G37=0,0,N37/G37)</f>
        <v>0.214280345734686</v>
      </c>
      <c r="P37" s="9" t="n">
        <v>8980</v>
      </c>
      <c r="Q37" s="17" t="n">
        <f aca="false">IF(P37=0,0,P37/INDEX(月曆參數!$E$2:$E$13,MATCH($A37,月曆參數!$A$2:$A$13,0)))</f>
        <v>289.677419354839</v>
      </c>
      <c r="R37" s="15" t="n">
        <f aca="false">IF(P37=0,0,G37/P37)</f>
        <v>296.325167037862</v>
      </c>
      <c r="S37" s="6" t="s">
        <v>209</v>
      </c>
      <c r="T37" s="9" t="n">
        <v>690</v>
      </c>
    </row>
    <row r="38" customFormat="false" ht="15" hidden="false" customHeight="false" outlineLevel="0" collapsed="false">
      <c r="A38" s="10" t="str">
        <f aca="false">TEXT(B38,"0")&amp;"-"&amp;TEXT(C38,"00")</f>
        <v>2025-01</v>
      </c>
      <c r="B38" s="8" t="n">
        <v>2025</v>
      </c>
      <c r="C38" s="8" t="n">
        <v>1</v>
      </c>
      <c r="D38" s="5" t="s">
        <v>177</v>
      </c>
      <c r="E38" s="13" t="str">
        <f aca="false">INDEX(門市主檔!$B$2:$B$9,MATCH($D38,門市主檔!$A$2:$A$9,0))</f>
        <v>桃園中壢店</v>
      </c>
      <c r="F38" s="13" t="str">
        <f aca="false">INDEX(門市主檔!$C$2:$C$9,MATCH($D38,門市主檔!$A$2:$A$9,0))</f>
        <v>北區</v>
      </c>
      <c r="G38" s="9" t="n">
        <v>2077000</v>
      </c>
      <c r="H38" s="9" t="n">
        <v>664200</v>
      </c>
      <c r="I38" s="9" t="n">
        <v>558200</v>
      </c>
      <c r="J38" s="14" t="n">
        <f aca="false">INDEX(門市主檔!$G$2:$G$9,MATCH($D38,門市主檔!$A$2:$A$9,0))</f>
        <v>190000</v>
      </c>
      <c r="K38" s="9" t="n">
        <v>126700</v>
      </c>
      <c r="L38" s="9" t="n">
        <v>56800</v>
      </c>
      <c r="M38" s="15" t="n">
        <f aca="false">SUM(H38:L38)</f>
        <v>1595900</v>
      </c>
      <c r="N38" s="15" t="n">
        <f aca="false">G38-M38</f>
        <v>481100</v>
      </c>
      <c r="O38" s="16" t="n">
        <f aca="false">IF(G38=0,0,N38/G38)</f>
        <v>0.231632161771786</v>
      </c>
      <c r="P38" s="9" t="n">
        <v>7550</v>
      </c>
      <c r="Q38" s="17" t="n">
        <f aca="false">IF(P38=0,0,P38/INDEX(月曆參數!$E$2:$E$13,MATCH($A38,月曆參數!$A$2:$A$13,0)))</f>
        <v>243.548387096774</v>
      </c>
      <c r="R38" s="15" t="n">
        <f aca="false">IF(P38=0,0,G38/P38)</f>
        <v>275.099337748344</v>
      </c>
      <c r="S38" s="6" t="s">
        <v>198</v>
      </c>
      <c r="T38" s="9" t="n">
        <v>420</v>
      </c>
    </row>
    <row r="39" customFormat="false" ht="15" hidden="false" customHeight="false" outlineLevel="0" collapsed="false">
      <c r="A39" s="10" t="str">
        <f aca="false">TEXT(B39,"0")&amp;"-"&amp;TEXT(C39,"00")</f>
        <v>2025-02</v>
      </c>
      <c r="B39" s="8" t="n">
        <v>2025</v>
      </c>
      <c r="C39" s="8" t="n">
        <v>2</v>
      </c>
      <c r="D39" s="5" t="s">
        <v>177</v>
      </c>
      <c r="E39" s="13" t="str">
        <f aca="false">INDEX(門市主檔!$B$2:$B$9,MATCH($D39,門市主檔!$A$2:$A$9,0))</f>
        <v>桃園中壢店</v>
      </c>
      <c r="F39" s="13" t="str">
        <f aca="false">INDEX(門市主檔!$C$2:$C$9,MATCH($D39,門市主檔!$A$2:$A$9,0))</f>
        <v>北區</v>
      </c>
      <c r="G39" s="9" t="n">
        <v>1992000</v>
      </c>
      <c r="H39" s="9" t="n">
        <v>662700</v>
      </c>
      <c r="I39" s="9" t="n">
        <v>504900</v>
      </c>
      <c r="J39" s="14" t="n">
        <f aca="false">INDEX(門市主檔!$G$2:$G$9,MATCH($D39,門市主檔!$A$2:$A$9,0))</f>
        <v>190000</v>
      </c>
      <c r="K39" s="9" t="n">
        <v>113700</v>
      </c>
      <c r="L39" s="9" t="n">
        <v>43800</v>
      </c>
      <c r="M39" s="15" t="n">
        <f aca="false">SUM(H39:L39)</f>
        <v>1515100</v>
      </c>
      <c r="N39" s="15" t="n">
        <f aca="false">G39-M39</f>
        <v>476900</v>
      </c>
      <c r="O39" s="16" t="n">
        <f aca="false">IF(G39=0,0,N39/G39)</f>
        <v>0.239407630522088</v>
      </c>
      <c r="P39" s="9" t="n">
        <v>6760</v>
      </c>
      <c r="Q39" s="17" t="n">
        <f aca="false">IF(P39=0,0,P39/INDEX(月曆參數!$E$2:$E$13,MATCH($A39,月曆參數!$A$2:$A$13,0)))</f>
        <v>241.428571428571</v>
      </c>
      <c r="R39" s="15" t="n">
        <f aca="false">IF(P39=0,0,G39/P39)</f>
        <v>294.674556213018</v>
      </c>
      <c r="S39" s="6" t="s">
        <v>209</v>
      </c>
      <c r="T39" s="9" t="n">
        <v>410</v>
      </c>
    </row>
    <row r="40" customFormat="false" ht="15" hidden="false" customHeight="false" outlineLevel="0" collapsed="false">
      <c r="A40" s="10" t="str">
        <f aca="false">TEXT(B40,"0")&amp;"-"&amp;TEXT(C40,"00")</f>
        <v>2025-03</v>
      </c>
      <c r="B40" s="8" t="n">
        <v>2025</v>
      </c>
      <c r="C40" s="8" t="n">
        <v>3</v>
      </c>
      <c r="D40" s="5" t="s">
        <v>177</v>
      </c>
      <c r="E40" s="13" t="str">
        <f aca="false">INDEX(門市主檔!$B$2:$B$9,MATCH($D40,門市主檔!$A$2:$A$9,0))</f>
        <v>桃園中壢店</v>
      </c>
      <c r="F40" s="13" t="str">
        <f aca="false">INDEX(門市主檔!$C$2:$C$9,MATCH($D40,門市主檔!$A$2:$A$9,0))</f>
        <v>北區</v>
      </c>
      <c r="G40" s="9" t="n">
        <v>1679000</v>
      </c>
      <c r="H40" s="9" t="n">
        <v>531100</v>
      </c>
      <c r="I40" s="9" t="n">
        <v>445800</v>
      </c>
      <c r="J40" s="14" t="n">
        <f aca="false">INDEX(門市主檔!$G$2:$G$9,MATCH($D40,門市主檔!$A$2:$A$9,0))</f>
        <v>190000</v>
      </c>
      <c r="K40" s="9" t="n">
        <v>112900</v>
      </c>
      <c r="L40" s="9" t="n">
        <v>36100</v>
      </c>
      <c r="M40" s="15" t="n">
        <f aca="false">SUM(H40:L40)</f>
        <v>1315900</v>
      </c>
      <c r="N40" s="15" t="n">
        <f aca="false">G40-M40</f>
        <v>363100</v>
      </c>
      <c r="O40" s="16" t="n">
        <f aca="false">IF(G40=0,0,N40/G40)</f>
        <v>0.216259678379988</v>
      </c>
      <c r="P40" s="9" t="n">
        <v>5930</v>
      </c>
      <c r="Q40" s="17" t="n">
        <f aca="false">IF(P40=0,0,P40/INDEX(月曆參數!$E$2:$E$13,MATCH($A40,月曆參數!$A$2:$A$13,0)))</f>
        <v>191.290322580645</v>
      </c>
      <c r="R40" s="15" t="n">
        <f aca="false">IF(P40=0,0,G40/P40)</f>
        <v>283.136593591906</v>
      </c>
      <c r="S40" s="6" t="s">
        <v>204</v>
      </c>
      <c r="T40" s="9" t="n">
        <v>330</v>
      </c>
    </row>
    <row r="41" customFormat="false" ht="15" hidden="false" customHeight="false" outlineLevel="0" collapsed="false">
      <c r="A41" s="10" t="str">
        <f aca="false">TEXT(B41,"0")&amp;"-"&amp;TEXT(C41,"00")</f>
        <v>2025-04</v>
      </c>
      <c r="B41" s="8" t="n">
        <v>2025</v>
      </c>
      <c r="C41" s="8" t="n">
        <v>4</v>
      </c>
      <c r="D41" s="5" t="s">
        <v>177</v>
      </c>
      <c r="E41" s="13" t="str">
        <f aca="false">INDEX(門市主檔!$B$2:$B$9,MATCH($D41,門市主檔!$A$2:$A$9,0))</f>
        <v>桃園中壢店</v>
      </c>
      <c r="F41" s="13" t="str">
        <f aca="false">INDEX(門市主檔!$C$2:$C$9,MATCH($D41,門市主檔!$A$2:$A$9,0))</f>
        <v>北區</v>
      </c>
      <c r="G41" s="9" t="n">
        <v>1808000</v>
      </c>
      <c r="H41" s="9" t="n">
        <v>544600</v>
      </c>
      <c r="I41" s="9" t="n">
        <v>486400</v>
      </c>
      <c r="J41" s="14" t="n">
        <f aca="false">INDEX(門市主檔!$G$2:$G$9,MATCH($D41,門市主檔!$A$2:$A$9,0))</f>
        <v>190000</v>
      </c>
      <c r="K41" s="9" t="n">
        <v>115300</v>
      </c>
      <c r="L41" s="9" t="n">
        <v>40000</v>
      </c>
      <c r="M41" s="15" t="n">
        <f aca="false">SUM(H41:L41)</f>
        <v>1376300</v>
      </c>
      <c r="N41" s="15" t="n">
        <f aca="false">G41-M41</f>
        <v>431700</v>
      </c>
      <c r="O41" s="16" t="n">
        <f aca="false">IF(G41=0,0,N41/G41)</f>
        <v>0.238772123893805</v>
      </c>
      <c r="P41" s="9" t="n">
        <v>6280</v>
      </c>
      <c r="Q41" s="17" t="n">
        <f aca="false">IF(P41=0,0,P41/INDEX(月曆參數!$E$2:$E$13,MATCH($A41,月曆參數!$A$2:$A$13,0)))</f>
        <v>209.333333333333</v>
      </c>
      <c r="R41" s="15" t="n">
        <f aca="false">IF(P41=0,0,G41/P41)</f>
        <v>287.898089171975</v>
      </c>
      <c r="S41" s="6" t="s">
        <v>205</v>
      </c>
      <c r="T41" s="9" t="n">
        <v>490</v>
      </c>
    </row>
    <row r="42" customFormat="false" ht="15" hidden="false" customHeight="false" outlineLevel="0" collapsed="false">
      <c r="A42" s="10" t="str">
        <f aca="false">TEXT(B42,"0")&amp;"-"&amp;TEXT(C42,"00")</f>
        <v>2025-05</v>
      </c>
      <c r="B42" s="8" t="n">
        <v>2025</v>
      </c>
      <c r="C42" s="8" t="n">
        <v>5</v>
      </c>
      <c r="D42" s="5" t="s">
        <v>177</v>
      </c>
      <c r="E42" s="13" t="str">
        <f aca="false">INDEX(門市主檔!$B$2:$B$9,MATCH($D42,門市主檔!$A$2:$A$9,0))</f>
        <v>桃園中壢店</v>
      </c>
      <c r="F42" s="13" t="str">
        <f aca="false">INDEX(門市主檔!$C$2:$C$9,MATCH($D42,門市主檔!$A$2:$A$9,0))</f>
        <v>北區</v>
      </c>
      <c r="G42" s="9" t="n">
        <v>1759000</v>
      </c>
      <c r="H42" s="9" t="n">
        <v>572700</v>
      </c>
      <c r="I42" s="9" t="n">
        <v>447000</v>
      </c>
      <c r="J42" s="14" t="n">
        <f aca="false">INDEX(門市主檔!$G$2:$G$9,MATCH($D42,門市主檔!$A$2:$A$9,0))</f>
        <v>190000</v>
      </c>
      <c r="K42" s="9" t="n">
        <v>107600</v>
      </c>
      <c r="L42" s="9" t="n">
        <v>49100</v>
      </c>
      <c r="M42" s="15" t="n">
        <f aca="false">SUM(H42:L42)</f>
        <v>1366400</v>
      </c>
      <c r="N42" s="15" t="n">
        <f aca="false">G42-M42</f>
        <v>392600</v>
      </c>
      <c r="O42" s="16" t="n">
        <f aca="false">IF(G42=0,0,N42/G42)</f>
        <v>0.223194997157476</v>
      </c>
      <c r="P42" s="9" t="n">
        <v>6020</v>
      </c>
      <c r="Q42" s="17" t="n">
        <f aca="false">IF(P42=0,0,P42/INDEX(月曆參數!$E$2:$E$13,MATCH($A42,月曆參數!$A$2:$A$13,0)))</f>
        <v>194.193548387097</v>
      </c>
      <c r="R42" s="15" t="n">
        <f aca="false">IF(P42=0,0,G42/P42)</f>
        <v>292.1926910299</v>
      </c>
      <c r="S42" s="6" t="s">
        <v>201</v>
      </c>
      <c r="T42" s="9" t="n">
        <v>430</v>
      </c>
    </row>
    <row r="43" customFormat="false" ht="15" hidden="false" customHeight="false" outlineLevel="0" collapsed="false">
      <c r="A43" s="10" t="str">
        <f aca="false">TEXT(B43,"0")&amp;"-"&amp;TEXT(C43,"00")</f>
        <v>2025-06</v>
      </c>
      <c r="B43" s="8" t="n">
        <v>2025</v>
      </c>
      <c r="C43" s="8" t="n">
        <v>6</v>
      </c>
      <c r="D43" s="5" t="s">
        <v>177</v>
      </c>
      <c r="E43" s="13" t="str">
        <f aca="false">INDEX(門市主檔!$B$2:$B$9,MATCH($D43,門市主檔!$A$2:$A$9,0))</f>
        <v>桃園中壢店</v>
      </c>
      <c r="F43" s="13" t="str">
        <f aca="false">INDEX(門市主檔!$C$2:$C$9,MATCH($D43,門市主檔!$A$2:$A$9,0))</f>
        <v>北區</v>
      </c>
      <c r="G43" s="9" t="n">
        <v>1861000</v>
      </c>
      <c r="H43" s="9" t="n">
        <v>589200</v>
      </c>
      <c r="I43" s="9" t="n">
        <v>452100</v>
      </c>
      <c r="J43" s="14" t="n">
        <f aca="false">INDEX(門市主檔!$G$2:$G$9,MATCH($D43,門市主檔!$A$2:$A$9,0))</f>
        <v>190000</v>
      </c>
      <c r="K43" s="9" t="n">
        <v>124300</v>
      </c>
      <c r="L43" s="9" t="n">
        <v>55600</v>
      </c>
      <c r="M43" s="15" t="n">
        <f aca="false">SUM(H43:L43)</f>
        <v>1411200</v>
      </c>
      <c r="N43" s="15" t="n">
        <f aca="false">G43-M43</f>
        <v>449800</v>
      </c>
      <c r="O43" s="16" t="n">
        <f aca="false">IF(G43=0,0,N43/G43)</f>
        <v>0.241698011821601</v>
      </c>
      <c r="P43" s="9" t="n">
        <v>6860</v>
      </c>
      <c r="Q43" s="17" t="n">
        <f aca="false">IF(P43=0,0,P43/INDEX(月曆參數!$E$2:$E$13,MATCH($A43,月曆參數!$A$2:$A$13,0)))</f>
        <v>228.666666666667</v>
      </c>
      <c r="R43" s="15" t="n">
        <f aca="false">IF(P43=0,0,G43/P43)</f>
        <v>271.282798833819</v>
      </c>
      <c r="S43" s="6" t="s">
        <v>203</v>
      </c>
      <c r="T43" s="9" t="n">
        <v>490</v>
      </c>
    </row>
    <row r="44" customFormat="false" ht="15" hidden="false" customHeight="false" outlineLevel="0" collapsed="false">
      <c r="A44" s="10" t="str">
        <f aca="false">TEXT(B44,"0")&amp;"-"&amp;TEXT(C44,"00")</f>
        <v>2025-07</v>
      </c>
      <c r="B44" s="8" t="n">
        <v>2025</v>
      </c>
      <c r="C44" s="8" t="n">
        <v>7</v>
      </c>
      <c r="D44" s="5" t="s">
        <v>177</v>
      </c>
      <c r="E44" s="13" t="str">
        <f aca="false">INDEX(門市主檔!$B$2:$B$9,MATCH($D44,門市主檔!$A$2:$A$9,0))</f>
        <v>桃園中壢店</v>
      </c>
      <c r="F44" s="13" t="str">
        <f aca="false">INDEX(門市主檔!$C$2:$C$9,MATCH($D44,門市主檔!$A$2:$A$9,0))</f>
        <v>北區</v>
      </c>
      <c r="G44" s="9" t="n">
        <v>2033000</v>
      </c>
      <c r="H44" s="9" t="n">
        <v>633800</v>
      </c>
      <c r="I44" s="9" t="n">
        <v>547400</v>
      </c>
      <c r="J44" s="14" t="n">
        <f aca="false">INDEX(門市主檔!$G$2:$G$9,MATCH($D44,門市主檔!$A$2:$A$9,0))</f>
        <v>190000</v>
      </c>
      <c r="K44" s="9" t="n">
        <v>104300</v>
      </c>
      <c r="L44" s="9" t="n">
        <v>40000</v>
      </c>
      <c r="M44" s="15" t="n">
        <f aca="false">SUM(H44:L44)</f>
        <v>1515500</v>
      </c>
      <c r="N44" s="15" t="n">
        <f aca="false">G44-M44</f>
        <v>517500</v>
      </c>
      <c r="O44" s="16" t="n">
        <f aca="false">IF(G44=0,0,N44/G44)</f>
        <v>0.254549926217413</v>
      </c>
      <c r="P44" s="9" t="n">
        <v>7240</v>
      </c>
      <c r="Q44" s="17" t="n">
        <f aca="false">IF(P44=0,0,P44/INDEX(月曆參數!$E$2:$E$13,MATCH($A44,月曆參數!$A$2:$A$13,0)))</f>
        <v>233.548387096774</v>
      </c>
      <c r="R44" s="15" t="n">
        <f aca="false">IF(P44=0,0,G44/P44)</f>
        <v>280.801104972376</v>
      </c>
      <c r="S44" s="6" t="s">
        <v>203</v>
      </c>
      <c r="T44" s="9" t="n">
        <v>520</v>
      </c>
    </row>
    <row r="45" customFormat="false" ht="15" hidden="false" customHeight="false" outlineLevel="0" collapsed="false">
      <c r="A45" s="10" t="str">
        <f aca="false">TEXT(B45,"0")&amp;"-"&amp;TEXT(C45,"00")</f>
        <v>2025-08</v>
      </c>
      <c r="B45" s="8" t="n">
        <v>2025</v>
      </c>
      <c r="C45" s="8" t="n">
        <v>8</v>
      </c>
      <c r="D45" s="5" t="s">
        <v>177</v>
      </c>
      <c r="E45" s="13" t="str">
        <f aca="false">INDEX(門市主檔!$B$2:$B$9,MATCH($D45,門市主檔!$A$2:$A$9,0))</f>
        <v>桃園中壢店</v>
      </c>
      <c r="F45" s="13" t="str">
        <f aca="false">INDEX(門市主檔!$C$2:$C$9,MATCH($D45,門市主檔!$A$2:$A$9,0))</f>
        <v>北區</v>
      </c>
      <c r="G45" s="9" t="n">
        <v>2091000</v>
      </c>
      <c r="H45" s="9" t="n">
        <v>692700</v>
      </c>
      <c r="I45" s="9" t="n">
        <v>511800</v>
      </c>
      <c r="J45" s="14" t="n">
        <f aca="false">INDEX(門市主檔!$G$2:$G$9,MATCH($D45,門市主檔!$A$2:$A$9,0))</f>
        <v>190000</v>
      </c>
      <c r="K45" s="9" t="n">
        <v>128400</v>
      </c>
      <c r="L45" s="9" t="n">
        <v>40000</v>
      </c>
      <c r="M45" s="15" t="n">
        <f aca="false">SUM(H45:L45)</f>
        <v>1562900</v>
      </c>
      <c r="N45" s="15" t="n">
        <f aca="false">G45-M45</f>
        <v>528100</v>
      </c>
      <c r="O45" s="16" t="n">
        <f aca="false">IF(G45=0,0,N45/G45)</f>
        <v>0.252558584409374</v>
      </c>
      <c r="P45" s="9" t="n">
        <v>7030</v>
      </c>
      <c r="Q45" s="17" t="n">
        <f aca="false">IF(P45=0,0,P45/INDEX(月曆參數!$E$2:$E$13,MATCH($A45,月曆參數!$A$2:$A$13,0)))</f>
        <v>226.774193548387</v>
      </c>
      <c r="R45" s="15" t="n">
        <f aca="false">IF(P45=0,0,G45/P45)</f>
        <v>297.439544807966</v>
      </c>
      <c r="S45" s="6" t="s">
        <v>208</v>
      </c>
      <c r="T45" s="9" t="n">
        <v>560</v>
      </c>
    </row>
    <row r="46" customFormat="false" ht="15" hidden="false" customHeight="false" outlineLevel="0" collapsed="false">
      <c r="A46" s="10" t="str">
        <f aca="false">TEXT(B46,"0")&amp;"-"&amp;TEXT(C46,"00")</f>
        <v>2025-09</v>
      </c>
      <c r="B46" s="8" t="n">
        <v>2025</v>
      </c>
      <c r="C46" s="8" t="n">
        <v>9</v>
      </c>
      <c r="D46" s="5" t="s">
        <v>177</v>
      </c>
      <c r="E46" s="13" t="str">
        <f aca="false">INDEX(門市主檔!$B$2:$B$9,MATCH($D46,門市主檔!$A$2:$A$9,0))</f>
        <v>桃園中壢店</v>
      </c>
      <c r="F46" s="13" t="str">
        <f aca="false">INDEX(門市主檔!$C$2:$C$9,MATCH($D46,門市主檔!$A$2:$A$9,0))</f>
        <v>北區</v>
      </c>
      <c r="G46" s="9" t="n">
        <v>1854000</v>
      </c>
      <c r="H46" s="9" t="n">
        <v>588700</v>
      </c>
      <c r="I46" s="9" t="n">
        <v>466500</v>
      </c>
      <c r="J46" s="14" t="n">
        <f aca="false">INDEX(門市主檔!$G$2:$G$9,MATCH($D46,門市主檔!$A$2:$A$9,0))</f>
        <v>190000</v>
      </c>
      <c r="K46" s="9" t="n">
        <v>100600</v>
      </c>
      <c r="L46" s="9" t="n">
        <v>34300</v>
      </c>
      <c r="M46" s="15" t="n">
        <f aca="false">SUM(H46:L46)</f>
        <v>1380100</v>
      </c>
      <c r="N46" s="15" t="n">
        <f aca="false">G46-M46</f>
        <v>473900</v>
      </c>
      <c r="O46" s="16" t="n">
        <f aca="false">IF(G46=0,0,N46/G46)</f>
        <v>0.255609492988134</v>
      </c>
      <c r="P46" s="9" t="n">
        <v>6290</v>
      </c>
      <c r="Q46" s="17" t="n">
        <f aca="false">IF(P46=0,0,P46/INDEX(月曆參數!$E$2:$E$13,MATCH($A46,月曆參數!$A$2:$A$13,0)))</f>
        <v>209.666666666667</v>
      </c>
      <c r="R46" s="15" t="n">
        <f aca="false">IF(P46=0,0,G46/P46)</f>
        <v>294.753577106518</v>
      </c>
      <c r="S46" s="6" t="s">
        <v>201</v>
      </c>
      <c r="T46" s="9" t="n">
        <v>490</v>
      </c>
    </row>
    <row r="47" customFormat="false" ht="15" hidden="false" customHeight="false" outlineLevel="0" collapsed="false">
      <c r="A47" s="10" t="str">
        <f aca="false">TEXT(B47,"0")&amp;"-"&amp;TEXT(C47,"00")</f>
        <v>2025-10</v>
      </c>
      <c r="B47" s="8" t="n">
        <v>2025</v>
      </c>
      <c r="C47" s="8" t="n">
        <v>10</v>
      </c>
      <c r="D47" s="5" t="s">
        <v>177</v>
      </c>
      <c r="E47" s="13" t="str">
        <f aca="false">INDEX(門市主檔!$B$2:$B$9,MATCH($D47,門市主檔!$A$2:$A$9,0))</f>
        <v>桃園中壢店</v>
      </c>
      <c r="F47" s="13" t="str">
        <f aca="false">INDEX(門市主檔!$C$2:$C$9,MATCH($D47,門市主檔!$A$2:$A$9,0))</f>
        <v>北區</v>
      </c>
      <c r="G47" s="9" t="n">
        <v>1889000</v>
      </c>
      <c r="H47" s="9" t="n">
        <v>571500</v>
      </c>
      <c r="I47" s="9" t="n">
        <v>476900</v>
      </c>
      <c r="J47" s="14" t="n">
        <f aca="false">INDEX(門市主檔!$G$2:$G$9,MATCH($D47,門市主檔!$A$2:$A$9,0))</f>
        <v>190000</v>
      </c>
      <c r="K47" s="9" t="n">
        <v>100400</v>
      </c>
      <c r="L47" s="9" t="n">
        <v>45700</v>
      </c>
      <c r="M47" s="15" t="n">
        <f aca="false">SUM(H47:L47)</f>
        <v>1384500</v>
      </c>
      <c r="N47" s="15" t="n">
        <f aca="false">G47-M47</f>
        <v>504500</v>
      </c>
      <c r="O47" s="16" t="n">
        <f aca="false">IF(G47=0,0,N47/G47)</f>
        <v>0.26707252514558</v>
      </c>
      <c r="P47" s="9" t="n">
        <v>6650</v>
      </c>
      <c r="Q47" s="17" t="n">
        <f aca="false">IF(P47=0,0,P47/INDEX(月曆參數!$E$2:$E$13,MATCH($A47,月曆參數!$A$2:$A$13,0)))</f>
        <v>214.516129032258</v>
      </c>
      <c r="R47" s="15" t="n">
        <f aca="false">IF(P47=0,0,G47/P47)</f>
        <v>284.06015037594</v>
      </c>
      <c r="S47" s="6" t="s">
        <v>200</v>
      </c>
      <c r="T47" s="9" t="n">
        <v>570</v>
      </c>
    </row>
    <row r="48" customFormat="false" ht="15" hidden="false" customHeight="false" outlineLevel="0" collapsed="false">
      <c r="A48" s="10" t="str">
        <f aca="false">TEXT(B48,"0")&amp;"-"&amp;TEXT(C48,"00")</f>
        <v>2025-11</v>
      </c>
      <c r="B48" s="8" t="n">
        <v>2025</v>
      </c>
      <c r="C48" s="8" t="n">
        <v>11</v>
      </c>
      <c r="D48" s="5" t="s">
        <v>177</v>
      </c>
      <c r="E48" s="13" t="str">
        <f aca="false">INDEX(門市主檔!$B$2:$B$9,MATCH($D48,門市主檔!$A$2:$A$9,0))</f>
        <v>桃園中壢店</v>
      </c>
      <c r="F48" s="13" t="str">
        <f aca="false">INDEX(門市主檔!$C$2:$C$9,MATCH($D48,門市主檔!$A$2:$A$9,0))</f>
        <v>北區</v>
      </c>
      <c r="G48" s="9" t="n">
        <v>1930000</v>
      </c>
      <c r="H48" s="9" t="n">
        <v>647800</v>
      </c>
      <c r="I48" s="9" t="n">
        <v>496900</v>
      </c>
      <c r="J48" s="14" t="n">
        <f aca="false">INDEX(門市主檔!$G$2:$G$9,MATCH($D48,門市主檔!$A$2:$A$9,0))</f>
        <v>190000</v>
      </c>
      <c r="K48" s="9" t="n">
        <v>95700</v>
      </c>
      <c r="L48" s="9" t="n">
        <v>48700</v>
      </c>
      <c r="M48" s="15" t="n">
        <f aca="false">SUM(H48:L48)</f>
        <v>1479100</v>
      </c>
      <c r="N48" s="15" t="n">
        <f aca="false">G48-M48</f>
        <v>450900</v>
      </c>
      <c r="O48" s="16" t="n">
        <f aca="false">IF(G48=0,0,N48/G48)</f>
        <v>0.233626943005181</v>
      </c>
      <c r="P48" s="9" t="n">
        <v>7090</v>
      </c>
      <c r="Q48" s="17" t="n">
        <f aca="false">IF(P48=0,0,P48/INDEX(月曆參數!$E$2:$E$13,MATCH($A48,月曆參數!$A$2:$A$13,0)))</f>
        <v>236.333333333333</v>
      </c>
      <c r="R48" s="15" t="n">
        <f aca="false">IF(P48=0,0,G48/P48)</f>
        <v>272.214386459803</v>
      </c>
      <c r="S48" s="6" t="s">
        <v>205</v>
      </c>
      <c r="T48" s="9" t="n">
        <v>500</v>
      </c>
    </row>
    <row r="49" customFormat="false" ht="15" hidden="false" customHeight="false" outlineLevel="0" collapsed="false">
      <c r="A49" s="10" t="str">
        <f aca="false">TEXT(B49,"0")&amp;"-"&amp;TEXT(C49,"00")</f>
        <v>2025-12</v>
      </c>
      <c r="B49" s="8" t="n">
        <v>2025</v>
      </c>
      <c r="C49" s="8" t="n">
        <v>12</v>
      </c>
      <c r="D49" s="5" t="s">
        <v>177</v>
      </c>
      <c r="E49" s="13" t="str">
        <f aca="false">INDEX(門市主檔!$B$2:$B$9,MATCH($D49,門市主檔!$A$2:$A$9,0))</f>
        <v>桃園中壢店</v>
      </c>
      <c r="F49" s="13" t="str">
        <f aca="false">INDEX(門市主檔!$C$2:$C$9,MATCH($D49,門市主檔!$A$2:$A$9,0))</f>
        <v>北區</v>
      </c>
      <c r="G49" s="9" t="n">
        <v>2180000</v>
      </c>
      <c r="H49" s="9" t="n">
        <v>700200</v>
      </c>
      <c r="I49" s="9" t="n">
        <v>536500</v>
      </c>
      <c r="J49" s="14" t="n">
        <f aca="false">INDEX(門市主檔!$G$2:$G$9,MATCH($D49,門市主檔!$A$2:$A$9,0))</f>
        <v>190000</v>
      </c>
      <c r="K49" s="9" t="n">
        <v>125900</v>
      </c>
      <c r="L49" s="9" t="n">
        <v>42500</v>
      </c>
      <c r="M49" s="15" t="n">
        <f aca="false">SUM(H49:L49)</f>
        <v>1595100</v>
      </c>
      <c r="N49" s="15" t="n">
        <f aca="false">G49-M49</f>
        <v>584900</v>
      </c>
      <c r="O49" s="16" t="n">
        <f aca="false">IF(G49=0,0,N49/G49)</f>
        <v>0.268302752293578</v>
      </c>
      <c r="P49" s="9" t="n">
        <v>7600</v>
      </c>
      <c r="Q49" s="17" t="n">
        <f aca="false">IF(P49=0,0,P49/INDEX(月曆參數!$E$2:$E$13,MATCH($A49,月曆參數!$A$2:$A$13,0)))</f>
        <v>245.161290322581</v>
      </c>
      <c r="R49" s="15" t="n">
        <f aca="false">IF(P49=0,0,G49/P49)</f>
        <v>286.842105263158</v>
      </c>
      <c r="S49" s="6" t="s">
        <v>198</v>
      </c>
      <c r="T49" s="9" t="n">
        <v>610</v>
      </c>
    </row>
    <row r="50" customFormat="false" ht="15" hidden="false" customHeight="false" outlineLevel="0" collapsed="false">
      <c r="A50" s="10" t="str">
        <f aca="false">TEXT(B50,"0")&amp;"-"&amp;TEXT(C50,"00")</f>
        <v>2025-01</v>
      </c>
      <c r="B50" s="8" t="n">
        <v>2025</v>
      </c>
      <c r="C50" s="8" t="n">
        <v>1</v>
      </c>
      <c r="D50" s="5" t="s">
        <v>181</v>
      </c>
      <c r="E50" s="13" t="str">
        <f aca="false">INDEX(門市主檔!$B$2:$B$9,MATCH($D50,門市主檔!$A$2:$A$9,0))</f>
        <v>台中逢甲店</v>
      </c>
      <c r="F50" s="13" t="str">
        <f aca="false">INDEX(門市主檔!$C$2:$C$9,MATCH($D50,門市主檔!$A$2:$A$9,0))</f>
        <v>中區</v>
      </c>
      <c r="G50" s="9" t="n">
        <v>2653000</v>
      </c>
      <c r="H50" s="9" t="n">
        <v>901400</v>
      </c>
      <c r="I50" s="9" t="n">
        <v>677200</v>
      </c>
      <c r="J50" s="14" t="n">
        <f aca="false">INDEX(門市主檔!$G$2:$G$9,MATCH($D50,門市主檔!$A$2:$A$9,0))</f>
        <v>230000</v>
      </c>
      <c r="K50" s="9" t="n">
        <v>145400</v>
      </c>
      <c r="L50" s="9" t="n">
        <v>79600</v>
      </c>
      <c r="M50" s="15" t="n">
        <f aca="false">SUM(H50:L50)</f>
        <v>2033600</v>
      </c>
      <c r="N50" s="15" t="n">
        <f aca="false">G50-M50</f>
        <v>619400</v>
      </c>
      <c r="O50" s="16" t="n">
        <f aca="false">IF(G50=0,0,N50/G50)</f>
        <v>0.233471541650961</v>
      </c>
      <c r="P50" s="9" t="n">
        <v>9260</v>
      </c>
      <c r="Q50" s="17" t="n">
        <f aca="false">IF(P50=0,0,P50/INDEX(月曆參數!$E$2:$E$13,MATCH($A50,月曆參數!$A$2:$A$13,0)))</f>
        <v>298.709677419355</v>
      </c>
      <c r="R50" s="15" t="n">
        <f aca="false">IF(P50=0,0,G50/P50)</f>
        <v>286.501079913607</v>
      </c>
      <c r="S50" s="6" t="s">
        <v>206</v>
      </c>
      <c r="T50" s="9" t="n">
        <v>700</v>
      </c>
    </row>
    <row r="51" customFormat="false" ht="15" hidden="false" customHeight="false" outlineLevel="0" collapsed="false">
      <c r="A51" s="10" t="str">
        <f aca="false">TEXT(B51,"0")&amp;"-"&amp;TEXT(C51,"00")</f>
        <v>2025-02</v>
      </c>
      <c r="B51" s="8" t="n">
        <v>2025</v>
      </c>
      <c r="C51" s="8" t="n">
        <v>2</v>
      </c>
      <c r="D51" s="5" t="s">
        <v>181</v>
      </c>
      <c r="E51" s="13" t="str">
        <f aca="false">INDEX(門市主檔!$B$2:$B$9,MATCH($D51,門市主檔!$A$2:$A$9,0))</f>
        <v>台中逢甲店</v>
      </c>
      <c r="F51" s="13" t="str">
        <f aca="false">INDEX(門市主檔!$C$2:$C$9,MATCH($D51,門市主檔!$A$2:$A$9,0))</f>
        <v>中區</v>
      </c>
      <c r="G51" s="9" t="n">
        <v>2683000</v>
      </c>
      <c r="H51" s="9" t="n">
        <v>890000</v>
      </c>
      <c r="I51" s="9" t="n">
        <v>696400</v>
      </c>
      <c r="J51" s="14" t="n">
        <f aca="false">INDEX(門市主檔!$G$2:$G$9,MATCH($D51,門市主檔!$A$2:$A$9,0))</f>
        <v>230000</v>
      </c>
      <c r="K51" s="9" t="n">
        <v>175600</v>
      </c>
      <c r="L51" s="9" t="n">
        <v>70400</v>
      </c>
      <c r="M51" s="15" t="n">
        <f aca="false">SUM(H51:L51)</f>
        <v>2062400</v>
      </c>
      <c r="N51" s="15" t="n">
        <f aca="false">G51-M51</f>
        <v>620600</v>
      </c>
      <c r="O51" s="16" t="n">
        <f aca="false">IF(G51=0,0,N51/G51)</f>
        <v>0.231308237048081</v>
      </c>
      <c r="P51" s="9" t="n">
        <v>9500</v>
      </c>
      <c r="Q51" s="17" t="n">
        <f aca="false">IF(P51=0,0,P51/INDEX(月曆參數!$E$2:$E$13,MATCH($A51,月曆參數!$A$2:$A$13,0)))</f>
        <v>339.285714285714</v>
      </c>
      <c r="R51" s="15" t="n">
        <f aca="false">IF(P51=0,0,G51/P51)</f>
        <v>282.421052631579</v>
      </c>
      <c r="S51" s="6" t="s">
        <v>209</v>
      </c>
      <c r="T51" s="9" t="n">
        <v>810</v>
      </c>
    </row>
    <row r="52" customFormat="false" ht="15" hidden="false" customHeight="false" outlineLevel="0" collapsed="false">
      <c r="A52" s="10" t="str">
        <f aca="false">TEXT(B52,"0")&amp;"-"&amp;TEXT(C52,"00")</f>
        <v>2025-03</v>
      </c>
      <c r="B52" s="8" t="n">
        <v>2025</v>
      </c>
      <c r="C52" s="8" t="n">
        <v>3</v>
      </c>
      <c r="D52" s="5" t="s">
        <v>181</v>
      </c>
      <c r="E52" s="13" t="str">
        <f aca="false">INDEX(門市主檔!$B$2:$B$9,MATCH($D52,門市主檔!$A$2:$A$9,0))</f>
        <v>台中逢甲店</v>
      </c>
      <c r="F52" s="13" t="str">
        <f aca="false">INDEX(門市主檔!$C$2:$C$9,MATCH($D52,門市主檔!$A$2:$A$9,0))</f>
        <v>中區</v>
      </c>
      <c r="G52" s="9" t="n">
        <v>2194000</v>
      </c>
      <c r="H52" s="9" t="n">
        <v>718300</v>
      </c>
      <c r="I52" s="9" t="n">
        <v>556400</v>
      </c>
      <c r="J52" s="14" t="n">
        <f aca="false">INDEX(門市主檔!$G$2:$G$9,MATCH($D52,門市主檔!$A$2:$A$9,0))</f>
        <v>230000</v>
      </c>
      <c r="K52" s="9" t="n">
        <v>119000</v>
      </c>
      <c r="L52" s="9" t="n">
        <v>48900</v>
      </c>
      <c r="M52" s="15" t="n">
        <f aca="false">SUM(H52:L52)</f>
        <v>1672600</v>
      </c>
      <c r="N52" s="15" t="n">
        <f aca="false">G52-M52</f>
        <v>521400</v>
      </c>
      <c r="O52" s="16" t="n">
        <f aca="false">IF(G52=0,0,N52/G52)</f>
        <v>0.237648131267092</v>
      </c>
      <c r="P52" s="9" t="n">
        <v>8290</v>
      </c>
      <c r="Q52" s="17" t="n">
        <f aca="false">IF(P52=0,0,P52/INDEX(月曆參數!$E$2:$E$13,MATCH($A52,月曆參數!$A$2:$A$13,0)))</f>
        <v>267.41935483871</v>
      </c>
      <c r="R52" s="15" t="n">
        <f aca="false">IF(P52=0,0,G52/P52)</f>
        <v>264.656212303981</v>
      </c>
      <c r="S52" s="6" t="s">
        <v>205</v>
      </c>
      <c r="T52" s="9" t="n">
        <v>700</v>
      </c>
    </row>
    <row r="53" customFormat="false" ht="15" hidden="false" customHeight="false" outlineLevel="0" collapsed="false">
      <c r="A53" s="10" t="str">
        <f aca="false">TEXT(B53,"0")&amp;"-"&amp;TEXT(C53,"00")</f>
        <v>2025-04</v>
      </c>
      <c r="B53" s="8" t="n">
        <v>2025</v>
      </c>
      <c r="C53" s="8" t="n">
        <v>4</v>
      </c>
      <c r="D53" s="5" t="s">
        <v>181</v>
      </c>
      <c r="E53" s="13" t="str">
        <f aca="false">INDEX(門市主檔!$B$2:$B$9,MATCH($D53,門市主檔!$A$2:$A$9,0))</f>
        <v>台中逢甲店</v>
      </c>
      <c r="F53" s="13" t="str">
        <f aca="false">INDEX(門市主檔!$C$2:$C$9,MATCH($D53,門市主檔!$A$2:$A$9,0))</f>
        <v>中區</v>
      </c>
      <c r="G53" s="9" t="n">
        <v>2362000</v>
      </c>
      <c r="H53" s="9" t="n">
        <v>747100</v>
      </c>
      <c r="I53" s="9" t="n">
        <v>593200</v>
      </c>
      <c r="J53" s="14" t="n">
        <f aca="false">INDEX(門市主檔!$G$2:$G$9,MATCH($D53,門市主檔!$A$2:$A$9,0))</f>
        <v>230000</v>
      </c>
      <c r="K53" s="9" t="n">
        <v>155300</v>
      </c>
      <c r="L53" s="9" t="n">
        <v>43900</v>
      </c>
      <c r="M53" s="15" t="n">
        <f aca="false">SUM(H53:L53)</f>
        <v>1769500</v>
      </c>
      <c r="N53" s="15" t="n">
        <f aca="false">G53-M53</f>
        <v>592500</v>
      </c>
      <c r="O53" s="16" t="n">
        <f aca="false">IF(G53=0,0,N53/G53)</f>
        <v>0.250846740050804</v>
      </c>
      <c r="P53" s="9" t="n">
        <v>8130</v>
      </c>
      <c r="Q53" s="17" t="n">
        <f aca="false">IF(P53=0,0,P53/INDEX(月曆參數!$E$2:$E$13,MATCH($A53,月曆參數!$A$2:$A$13,0)))</f>
        <v>271</v>
      </c>
      <c r="R53" s="15" t="n">
        <f aca="false">IF(P53=0,0,G53/P53)</f>
        <v>290.528905289053</v>
      </c>
      <c r="S53" s="6" t="s">
        <v>201</v>
      </c>
      <c r="T53" s="9" t="n">
        <v>520</v>
      </c>
    </row>
    <row r="54" customFormat="false" ht="15" hidden="false" customHeight="false" outlineLevel="0" collapsed="false">
      <c r="A54" s="10" t="str">
        <f aca="false">TEXT(B54,"0")&amp;"-"&amp;TEXT(C54,"00")</f>
        <v>2025-05</v>
      </c>
      <c r="B54" s="8" t="n">
        <v>2025</v>
      </c>
      <c r="C54" s="8" t="n">
        <v>5</v>
      </c>
      <c r="D54" s="5" t="s">
        <v>181</v>
      </c>
      <c r="E54" s="13" t="str">
        <f aca="false">INDEX(門市主檔!$B$2:$B$9,MATCH($D54,門市主檔!$A$2:$A$9,0))</f>
        <v>台中逢甲店</v>
      </c>
      <c r="F54" s="13" t="str">
        <f aca="false">INDEX(門市主檔!$C$2:$C$9,MATCH($D54,門市主檔!$A$2:$A$9,0))</f>
        <v>中區</v>
      </c>
      <c r="G54" s="9" t="n">
        <v>2274000</v>
      </c>
      <c r="H54" s="9" t="n">
        <v>710700</v>
      </c>
      <c r="I54" s="9" t="n">
        <v>550800</v>
      </c>
      <c r="J54" s="14" t="n">
        <f aca="false">INDEX(門市主檔!$G$2:$G$9,MATCH($D54,門市主檔!$A$2:$A$9,0))</f>
        <v>230000</v>
      </c>
      <c r="K54" s="9" t="n">
        <v>146800</v>
      </c>
      <c r="L54" s="9" t="n">
        <v>63900</v>
      </c>
      <c r="M54" s="15" t="n">
        <f aca="false">SUM(H54:L54)</f>
        <v>1702200</v>
      </c>
      <c r="N54" s="15" t="n">
        <f aca="false">G54-M54</f>
        <v>571800</v>
      </c>
      <c r="O54" s="16" t="n">
        <f aca="false">IF(G54=0,0,N54/G54)</f>
        <v>0.251451187335092</v>
      </c>
      <c r="P54" s="9" t="n">
        <v>8180</v>
      </c>
      <c r="Q54" s="17" t="n">
        <f aca="false">IF(P54=0,0,P54/INDEX(月曆參數!$E$2:$E$13,MATCH($A54,月曆參數!$A$2:$A$13,0)))</f>
        <v>263.870967741936</v>
      </c>
      <c r="R54" s="15" t="n">
        <f aca="false">IF(P54=0,0,G54/P54)</f>
        <v>277.99511002445</v>
      </c>
      <c r="S54" s="6" t="s">
        <v>207</v>
      </c>
      <c r="T54" s="9" t="n">
        <v>660</v>
      </c>
    </row>
    <row r="55" customFormat="false" ht="15" hidden="false" customHeight="false" outlineLevel="0" collapsed="false">
      <c r="A55" s="10" t="str">
        <f aca="false">TEXT(B55,"0")&amp;"-"&amp;TEXT(C55,"00")</f>
        <v>2025-06</v>
      </c>
      <c r="B55" s="8" t="n">
        <v>2025</v>
      </c>
      <c r="C55" s="8" t="n">
        <v>6</v>
      </c>
      <c r="D55" s="5" t="s">
        <v>181</v>
      </c>
      <c r="E55" s="13" t="str">
        <f aca="false">INDEX(門市主檔!$B$2:$B$9,MATCH($D55,門市主檔!$A$2:$A$9,0))</f>
        <v>台中逢甲店</v>
      </c>
      <c r="F55" s="13" t="str">
        <f aca="false">INDEX(門市主檔!$C$2:$C$9,MATCH($D55,門市主檔!$A$2:$A$9,0))</f>
        <v>中區</v>
      </c>
      <c r="G55" s="9" t="n">
        <v>2407000</v>
      </c>
      <c r="H55" s="9" t="n">
        <v>781100</v>
      </c>
      <c r="I55" s="9" t="n">
        <v>598400</v>
      </c>
      <c r="J55" s="14" t="n">
        <f aca="false">INDEX(門市主檔!$G$2:$G$9,MATCH($D55,門市主檔!$A$2:$A$9,0))</f>
        <v>230000</v>
      </c>
      <c r="K55" s="9" t="n">
        <v>133300</v>
      </c>
      <c r="L55" s="9" t="n">
        <v>48200</v>
      </c>
      <c r="M55" s="15" t="n">
        <f aca="false">SUM(H55:L55)</f>
        <v>1791000</v>
      </c>
      <c r="N55" s="15" t="n">
        <f aca="false">G55-M55</f>
        <v>616000</v>
      </c>
      <c r="O55" s="16" t="n">
        <f aca="false">IF(G55=0,0,N55/G55)</f>
        <v>0.255920232654757</v>
      </c>
      <c r="P55" s="9" t="n">
        <v>8540</v>
      </c>
      <c r="Q55" s="17" t="n">
        <f aca="false">IF(P55=0,0,P55/INDEX(月曆參數!$E$2:$E$13,MATCH($A55,月曆參數!$A$2:$A$13,0)))</f>
        <v>284.666666666667</v>
      </c>
      <c r="R55" s="15" t="n">
        <f aca="false">IF(P55=0,0,G55/P55)</f>
        <v>281.850117096019</v>
      </c>
      <c r="S55" s="6" t="s">
        <v>203</v>
      </c>
      <c r="T55" s="9" t="n">
        <v>730</v>
      </c>
    </row>
    <row r="56" customFormat="false" ht="15" hidden="false" customHeight="false" outlineLevel="0" collapsed="false">
      <c r="A56" s="10" t="str">
        <f aca="false">TEXT(B56,"0")&amp;"-"&amp;TEXT(C56,"00")</f>
        <v>2025-07</v>
      </c>
      <c r="B56" s="8" t="n">
        <v>2025</v>
      </c>
      <c r="C56" s="8" t="n">
        <v>7</v>
      </c>
      <c r="D56" s="5" t="s">
        <v>181</v>
      </c>
      <c r="E56" s="13" t="str">
        <f aca="false">INDEX(門市主檔!$B$2:$B$9,MATCH($D56,門市主檔!$A$2:$A$9,0))</f>
        <v>台中逢甲店</v>
      </c>
      <c r="F56" s="13" t="str">
        <f aca="false">INDEX(門市主檔!$C$2:$C$9,MATCH($D56,門市主檔!$A$2:$A$9,0))</f>
        <v>中區</v>
      </c>
      <c r="G56" s="9" t="n">
        <v>2559000</v>
      </c>
      <c r="H56" s="9" t="n">
        <v>841900</v>
      </c>
      <c r="I56" s="9" t="n">
        <v>689800</v>
      </c>
      <c r="J56" s="14" t="n">
        <f aca="false">INDEX(門市主檔!$G$2:$G$9,MATCH($D56,門市主檔!$A$2:$A$9,0))</f>
        <v>230000</v>
      </c>
      <c r="K56" s="9" t="n">
        <v>138700</v>
      </c>
      <c r="L56" s="9" t="n">
        <v>76200</v>
      </c>
      <c r="M56" s="15" t="n">
        <f aca="false">SUM(H56:L56)</f>
        <v>1976600</v>
      </c>
      <c r="N56" s="15" t="n">
        <f aca="false">G56-M56</f>
        <v>582400</v>
      </c>
      <c r="O56" s="16" t="n">
        <f aca="false">IF(G56=0,0,N56/G56)</f>
        <v>0.22758890191481</v>
      </c>
      <c r="P56" s="9" t="n">
        <v>8930</v>
      </c>
      <c r="Q56" s="17" t="n">
        <f aca="false">IF(P56=0,0,P56/INDEX(月曆參數!$E$2:$E$13,MATCH($A56,月曆參數!$A$2:$A$13,0)))</f>
        <v>288.064516129032</v>
      </c>
      <c r="R56" s="15" t="n">
        <f aca="false">IF(P56=0,0,G56/P56)</f>
        <v>286.562150055991</v>
      </c>
      <c r="S56" s="6" t="s">
        <v>203</v>
      </c>
      <c r="T56" s="9" t="n">
        <v>820</v>
      </c>
    </row>
    <row r="57" customFormat="false" ht="15" hidden="false" customHeight="false" outlineLevel="0" collapsed="false">
      <c r="A57" s="10" t="str">
        <f aca="false">TEXT(B57,"0")&amp;"-"&amp;TEXT(C57,"00")</f>
        <v>2025-08</v>
      </c>
      <c r="B57" s="8" t="n">
        <v>2025</v>
      </c>
      <c r="C57" s="8" t="n">
        <v>8</v>
      </c>
      <c r="D57" s="5" t="s">
        <v>181</v>
      </c>
      <c r="E57" s="13" t="str">
        <f aca="false">INDEX(門市主檔!$B$2:$B$9,MATCH($D57,門市主檔!$A$2:$A$9,0))</f>
        <v>台中逢甲店</v>
      </c>
      <c r="F57" s="13" t="str">
        <f aca="false">INDEX(門市主檔!$C$2:$C$9,MATCH($D57,門市主檔!$A$2:$A$9,0))</f>
        <v>中區</v>
      </c>
      <c r="G57" s="9" t="n">
        <v>2880000</v>
      </c>
      <c r="H57" s="9" t="n">
        <v>922700</v>
      </c>
      <c r="I57" s="9" t="n">
        <v>763000</v>
      </c>
      <c r="J57" s="14" t="n">
        <f aca="false">INDEX(門市主檔!$G$2:$G$9,MATCH($D57,門市主檔!$A$2:$A$9,0))</f>
        <v>230000</v>
      </c>
      <c r="K57" s="9" t="n">
        <v>168300</v>
      </c>
      <c r="L57" s="9" t="n">
        <v>75200</v>
      </c>
      <c r="M57" s="15" t="n">
        <f aca="false">SUM(H57:L57)</f>
        <v>2159200</v>
      </c>
      <c r="N57" s="15" t="n">
        <f aca="false">G57-M57</f>
        <v>720800</v>
      </c>
      <c r="O57" s="16" t="n">
        <f aca="false">IF(G57=0,0,N57/G57)</f>
        <v>0.250277777777778</v>
      </c>
      <c r="P57" s="9" t="n">
        <v>10150</v>
      </c>
      <c r="Q57" s="17" t="n">
        <f aca="false">IF(P57=0,0,P57/INDEX(月曆參數!$E$2:$E$13,MATCH($A57,月曆參數!$A$2:$A$13,0)))</f>
        <v>327.41935483871</v>
      </c>
      <c r="R57" s="15" t="n">
        <f aca="false">IF(P57=0,0,G57/P57)</f>
        <v>283.743842364532</v>
      </c>
      <c r="S57" s="6" t="s">
        <v>208</v>
      </c>
      <c r="T57" s="9" t="n">
        <v>730</v>
      </c>
    </row>
    <row r="58" customFormat="false" ht="15" hidden="false" customHeight="false" outlineLevel="0" collapsed="false">
      <c r="A58" s="10" t="str">
        <f aca="false">TEXT(B58,"0")&amp;"-"&amp;TEXT(C58,"00")</f>
        <v>2025-09</v>
      </c>
      <c r="B58" s="8" t="n">
        <v>2025</v>
      </c>
      <c r="C58" s="8" t="n">
        <v>9</v>
      </c>
      <c r="D58" s="5" t="s">
        <v>181</v>
      </c>
      <c r="E58" s="13" t="str">
        <f aca="false">INDEX(門市主檔!$B$2:$B$9,MATCH($D58,門市主檔!$A$2:$A$9,0))</f>
        <v>台中逢甲店</v>
      </c>
      <c r="F58" s="13" t="str">
        <f aca="false">INDEX(門市主檔!$C$2:$C$9,MATCH($D58,門市主檔!$A$2:$A$9,0))</f>
        <v>中區</v>
      </c>
      <c r="G58" s="9" t="n">
        <v>2516000</v>
      </c>
      <c r="H58" s="9" t="n">
        <v>759100</v>
      </c>
      <c r="I58" s="9" t="n">
        <v>600600</v>
      </c>
      <c r="J58" s="14" t="n">
        <f aca="false">INDEX(門市主檔!$G$2:$G$9,MATCH($D58,門市主檔!$A$2:$A$9,0))</f>
        <v>230000</v>
      </c>
      <c r="K58" s="9" t="n">
        <v>159400</v>
      </c>
      <c r="L58" s="9" t="n">
        <v>52300</v>
      </c>
      <c r="M58" s="15" t="n">
        <f aca="false">SUM(H58:L58)</f>
        <v>1801400</v>
      </c>
      <c r="N58" s="15" t="n">
        <f aca="false">G58-M58</f>
        <v>714600</v>
      </c>
      <c r="O58" s="16" t="n">
        <f aca="false">IF(G58=0,0,N58/G58)</f>
        <v>0.284022257551669</v>
      </c>
      <c r="P58" s="9" t="n">
        <v>9050</v>
      </c>
      <c r="Q58" s="17" t="n">
        <f aca="false">IF(P58=0,0,P58/INDEX(月曆參數!$E$2:$E$13,MATCH($A58,月曆參數!$A$2:$A$13,0)))</f>
        <v>301.666666666667</v>
      </c>
      <c r="R58" s="15" t="n">
        <f aca="false">IF(P58=0,0,G58/P58)</f>
        <v>278.011049723757</v>
      </c>
      <c r="S58" s="6" t="s">
        <v>204</v>
      </c>
      <c r="T58" s="9" t="n">
        <v>670</v>
      </c>
    </row>
    <row r="59" customFormat="false" ht="15" hidden="false" customHeight="false" outlineLevel="0" collapsed="false">
      <c r="A59" s="10" t="str">
        <f aca="false">TEXT(B59,"0")&amp;"-"&amp;TEXT(C59,"00")</f>
        <v>2025-10</v>
      </c>
      <c r="B59" s="8" t="n">
        <v>2025</v>
      </c>
      <c r="C59" s="8" t="n">
        <v>10</v>
      </c>
      <c r="D59" s="5" t="s">
        <v>181</v>
      </c>
      <c r="E59" s="13" t="str">
        <f aca="false">INDEX(門市主檔!$B$2:$B$9,MATCH($D59,門市主檔!$A$2:$A$9,0))</f>
        <v>台中逢甲店</v>
      </c>
      <c r="F59" s="13" t="str">
        <f aca="false">INDEX(門市主檔!$C$2:$C$9,MATCH($D59,門市主檔!$A$2:$A$9,0))</f>
        <v>中區</v>
      </c>
      <c r="G59" s="9" t="n">
        <v>2553000</v>
      </c>
      <c r="H59" s="9" t="n">
        <v>779400</v>
      </c>
      <c r="I59" s="9" t="n">
        <v>656800</v>
      </c>
      <c r="J59" s="14" t="n">
        <f aca="false">INDEX(門市主檔!$G$2:$G$9,MATCH($D59,門市主檔!$A$2:$A$9,0))</f>
        <v>230000</v>
      </c>
      <c r="K59" s="9" t="n">
        <v>145100</v>
      </c>
      <c r="L59" s="9" t="n">
        <v>59500</v>
      </c>
      <c r="M59" s="15" t="n">
        <f aca="false">SUM(H59:L59)</f>
        <v>1870800</v>
      </c>
      <c r="N59" s="15" t="n">
        <f aca="false">G59-M59</f>
        <v>682200</v>
      </c>
      <c r="O59" s="16" t="n">
        <f aca="false">IF(G59=0,0,N59/G59)</f>
        <v>0.267215041128085</v>
      </c>
      <c r="P59" s="9" t="n">
        <v>8980</v>
      </c>
      <c r="Q59" s="17" t="n">
        <f aca="false">IF(P59=0,0,P59/INDEX(月曆參數!$E$2:$E$13,MATCH($A59,月曆參數!$A$2:$A$13,0)))</f>
        <v>289.677419354839</v>
      </c>
      <c r="R59" s="15" t="n">
        <f aca="false">IF(P59=0,0,G59/P59)</f>
        <v>284.298440979955</v>
      </c>
      <c r="S59" s="6" t="s">
        <v>201</v>
      </c>
      <c r="T59" s="9" t="n">
        <v>500</v>
      </c>
    </row>
    <row r="60" customFormat="false" ht="15" hidden="false" customHeight="false" outlineLevel="0" collapsed="false">
      <c r="A60" s="10" t="str">
        <f aca="false">TEXT(B60,"0")&amp;"-"&amp;TEXT(C60,"00")</f>
        <v>2025-11</v>
      </c>
      <c r="B60" s="8" t="n">
        <v>2025</v>
      </c>
      <c r="C60" s="8" t="n">
        <v>11</v>
      </c>
      <c r="D60" s="5" t="s">
        <v>181</v>
      </c>
      <c r="E60" s="13" t="str">
        <f aca="false">INDEX(門市主檔!$B$2:$B$9,MATCH($D60,門市主檔!$A$2:$A$9,0))</f>
        <v>台中逢甲店</v>
      </c>
      <c r="F60" s="13" t="str">
        <f aca="false">INDEX(門市主檔!$C$2:$C$9,MATCH($D60,門市主檔!$A$2:$A$9,0))</f>
        <v>中區</v>
      </c>
      <c r="G60" s="9" t="n">
        <v>2595000</v>
      </c>
      <c r="H60" s="9" t="n">
        <v>802700</v>
      </c>
      <c r="I60" s="9" t="n">
        <v>683900</v>
      </c>
      <c r="J60" s="14" t="n">
        <f aca="false">INDEX(門市主檔!$G$2:$G$9,MATCH($D60,門市主檔!$A$2:$A$9,0))</f>
        <v>230000</v>
      </c>
      <c r="K60" s="9" t="n">
        <v>135100</v>
      </c>
      <c r="L60" s="9" t="n">
        <v>74100</v>
      </c>
      <c r="M60" s="15" t="n">
        <f aca="false">SUM(H60:L60)</f>
        <v>1925800</v>
      </c>
      <c r="N60" s="15" t="n">
        <f aca="false">G60-M60</f>
        <v>669200</v>
      </c>
      <c r="O60" s="16" t="n">
        <f aca="false">IF(G60=0,0,N60/G60)</f>
        <v>0.257880539499037</v>
      </c>
      <c r="P60" s="9" t="n">
        <v>9640</v>
      </c>
      <c r="Q60" s="17" t="n">
        <f aca="false">IF(P60=0,0,P60/INDEX(月曆參數!$E$2:$E$13,MATCH($A60,月曆參數!$A$2:$A$13,0)))</f>
        <v>321.333333333333</v>
      </c>
      <c r="R60" s="15" t="n">
        <f aca="false">IF(P60=0,0,G60/P60)</f>
        <v>269.190871369295</v>
      </c>
      <c r="S60" s="6" t="s">
        <v>204</v>
      </c>
      <c r="T60" s="9" t="n">
        <v>840</v>
      </c>
    </row>
    <row r="61" customFormat="false" ht="15" hidden="false" customHeight="false" outlineLevel="0" collapsed="false">
      <c r="A61" s="10" t="str">
        <f aca="false">TEXT(B61,"0")&amp;"-"&amp;TEXT(C61,"00")</f>
        <v>2025-12</v>
      </c>
      <c r="B61" s="8" t="n">
        <v>2025</v>
      </c>
      <c r="C61" s="8" t="n">
        <v>12</v>
      </c>
      <c r="D61" s="5" t="s">
        <v>181</v>
      </c>
      <c r="E61" s="13" t="str">
        <f aca="false">INDEX(門市主檔!$B$2:$B$9,MATCH($D61,門市主檔!$A$2:$A$9,0))</f>
        <v>台中逢甲店</v>
      </c>
      <c r="F61" s="13" t="str">
        <f aca="false">INDEX(門市主檔!$C$2:$C$9,MATCH($D61,門市主檔!$A$2:$A$9,0))</f>
        <v>中區</v>
      </c>
      <c r="G61" s="9" t="n">
        <v>2874000</v>
      </c>
      <c r="H61" s="9" t="n">
        <v>878900</v>
      </c>
      <c r="I61" s="9" t="n">
        <v>734000</v>
      </c>
      <c r="J61" s="14" t="n">
        <f aca="false">INDEX(門市主檔!$G$2:$G$9,MATCH($D61,門市主檔!$A$2:$A$9,0))</f>
        <v>230000</v>
      </c>
      <c r="K61" s="9" t="n">
        <v>188200</v>
      </c>
      <c r="L61" s="9" t="n">
        <v>69100</v>
      </c>
      <c r="M61" s="15" t="n">
        <f aca="false">SUM(H61:L61)</f>
        <v>2100200</v>
      </c>
      <c r="N61" s="15" t="n">
        <f aca="false">G61-M61</f>
        <v>773800</v>
      </c>
      <c r="O61" s="16" t="n">
        <f aca="false">IF(G61=0,0,N61/G61)</f>
        <v>0.269241475295755</v>
      </c>
      <c r="P61" s="9" t="n">
        <v>10730</v>
      </c>
      <c r="Q61" s="17" t="n">
        <f aca="false">IF(P61=0,0,P61/INDEX(月曆參數!$E$2:$E$13,MATCH($A61,月曆參數!$A$2:$A$13,0)))</f>
        <v>346.129032258065</v>
      </c>
      <c r="R61" s="15" t="n">
        <f aca="false">IF(P61=0,0,G61/P61)</f>
        <v>267.84715750233</v>
      </c>
      <c r="S61" s="6" t="s">
        <v>206</v>
      </c>
      <c r="T61" s="9" t="n">
        <v>710</v>
      </c>
    </row>
    <row r="62" customFormat="false" ht="15" hidden="false" customHeight="false" outlineLevel="0" collapsed="false">
      <c r="A62" s="10" t="str">
        <f aca="false">TEXT(B62,"0")&amp;"-"&amp;TEXT(C62,"00")</f>
        <v>2025-01</v>
      </c>
      <c r="B62" s="8" t="n">
        <v>2025</v>
      </c>
      <c r="C62" s="8" t="n">
        <v>1</v>
      </c>
      <c r="D62" s="5" t="s">
        <v>186</v>
      </c>
      <c r="E62" s="13" t="str">
        <f aca="false">INDEX(門市主檔!$B$2:$B$9,MATCH($D62,門市主檔!$A$2:$A$9,0))</f>
        <v>台中七期店</v>
      </c>
      <c r="F62" s="13" t="str">
        <f aca="false">INDEX(門市主檔!$C$2:$C$9,MATCH($D62,門市主檔!$A$2:$A$9,0))</f>
        <v>中區</v>
      </c>
      <c r="G62" s="9" t="n">
        <v>2462000</v>
      </c>
      <c r="H62" s="9" t="n">
        <v>821700</v>
      </c>
      <c r="I62" s="9" t="n">
        <v>641200</v>
      </c>
      <c r="J62" s="14" t="n">
        <f aca="false">INDEX(門市主檔!$G$2:$G$9,MATCH($D62,門市主檔!$A$2:$A$9,0))</f>
        <v>285000</v>
      </c>
      <c r="K62" s="9" t="n">
        <v>163400</v>
      </c>
      <c r="L62" s="9" t="n">
        <v>58600</v>
      </c>
      <c r="M62" s="15" t="n">
        <f aca="false">SUM(H62:L62)</f>
        <v>1969900</v>
      </c>
      <c r="N62" s="15" t="n">
        <f aca="false">G62-M62</f>
        <v>492100</v>
      </c>
      <c r="O62" s="16" t="n">
        <f aca="false">IF(G62=0,0,N62/G62)</f>
        <v>0.199878147847279</v>
      </c>
      <c r="P62" s="9" t="n">
        <v>6860</v>
      </c>
      <c r="Q62" s="17" t="n">
        <f aca="false">IF(P62=0,0,P62/INDEX(月曆參數!$E$2:$E$13,MATCH($A62,月曆參數!$A$2:$A$13,0)))</f>
        <v>221.290322580645</v>
      </c>
      <c r="R62" s="15" t="n">
        <f aca="false">IF(P62=0,0,G62/P62)</f>
        <v>358.892128279883</v>
      </c>
      <c r="S62" s="6" t="s">
        <v>206</v>
      </c>
      <c r="T62" s="9" t="n">
        <v>540</v>
      </c>
    </row>
    <row r="63" customFormat="false" ht="15" hidden="false" customHeight="false" outlineLevel="0" collapsed="false">
      <c r="A63" s="10" t="str">
        <f aca="false">TEXT(B63,"0")&amp;"-"&amp;TEXT(C63,"00")</f>
        <v>2025-02</v>
      </c>
      <c r="B63" s="8" t="n">
        <v>2025</v>
      </c>
      <c r="C63" s="8" t="n">
        <v>2</v>
      </c>
      <c r="D63" s="5" t="s">
        <v>186</v>
      </c>
      <c r="E63" s="13" t="str">
        <f aca="false">INDEX(門市主檔!$B$2:$B$9,MATCH($D63,門市主檔!$A$2:$A$9,0))</f>
        <v>台中七期店</v>
      </c>
      <c r="F63" s="13" t="str">
        <f aca="false">INDEX(門市主檔!$C$2:$C$9,MATCH($D63,門市主檔!$A$2:$A$9,0))</f>
        <v>中區</v>
      </c>
      <c r="G63" s="9" t="n">
        <v>2044000</v>
      </c>
      <c r="H63" s="9" t="n">
        <v>613800</v>
      </c>
      <c r="I63" s="9" t="n">
        <v>544600</v>
      </c>
      <c r="J63" s="14" t="n">
        <f aca="false">INDEX(門市主檔!$G$2:$G$9,MATCH($D63,門市主檔!$A$2:$A$9,0))</f>
        <v>285000</v>
      </c>
      <c r="K63" s="9" t="n">
        <v>103400</v>
      </c>
      <c r="L63" s="9" t="n">
        <v>47600</v>
      </c>
      <c r="M63" s="15" t="n">
        <f aca="false">SUM(H63:L63)</f>
        <v>1594400</v>
      </c>
      <c r="N63" s="15" t="n">
        <f aca="false">G63-M63</f>
        <v>449600</v>
      </c>
      <c r="O63" s="16" t="n">
        <f aca="false">IF(G63=0,0,N63/G63)</f>
        <v>0.219960861056751</v>
      </c>
      <c r="P63" s="9" t="n">
        <v>5710</v>
      </c>
      <c r="Q63" s="17" t="n">
        <f aca="false">IF(P63=0,0,P63/INDEX(月曆參數!$E$2:$E$13,MATCH($A63,月曆參數!$A$2:$A$13,0)))</f>
        <v>203.928571428571</v>
      </c>
      <c r="R63" s="15" t="n">
        <f aca="false">IF(P63=0,0,G63/P63)</f>
        <v>357.968476357268</v>
      </c>
      <c r="S63" s="6" t="s">
        <v>209</v>
      </c>
      <c r="T63" s="9" t="n">
        <v>360</v>
      </c>
    </row>
    <row r="64" customFormat="false" ht="15" hidden="false" customHeight="false" outlineLevel="0" collapsed="false">
      <c r="A64" s="10" t="str">
        <f aca="false">TEXT(B64,"0")&amp;"-"&amp;TEXT(C64,"00")</f>
        <v>2025-03</v>
      </c>
      <c r="B64" s="8" t="n">
        <v>2025</v>
      </c>
      <c r="C64" s="8" t="n">
        <v>3</v>
      </c>
      <c r="D64" s="5" t="s">
        <v>186</v>
      </c>
      <c r="E64" s="13" t="str">
        <f aca="false">INDEX(門市主檔!$B$2:$B$9,MATCH($D64,門市主檔!$A$2:$A$9,0))</f>
        <v>台中七期店</v>
      </c>
      <c r="F64" s="13" t="str">
        <f aca="false">INDEX(門市主檔!$C$2:$C$9,MATCH($D64,門市主檔!$A$2:$A$9,0))</f>
        <v>中區</v>
      </c>
      <c r="G64" s="9" t="n">
        <v>1911000</v>
      </c>
      <c r="H64" s="9" t="n">
        <v>634200</v>
      </c>
      <c r="I64" s="9" t="n">
        <v>482500</v>
      </c>
      <c r="J64" s="14" t="n">
        <f aca="false">INDEX(門市主檔!$G$2:$G$9,MATCH($D64,門市主檔!$A$2:$A$9,0))</f>
        <v>285000</v>
      </c>
      <c r="K64" s="9" t="n">
        <v>111400</v>
      </c>
      <c r="L64" s="9" t="n">
        <v>58500</v>
      </c>
      <c r="M64" s="15" t="n">
        <f aca="false">SUM(H64:L64)</f>
        <v>1571600</v>
      </c>
      <c r="N64" s="15" t="n">
        <f aca="false">G64-M64</f>
        <v>339400</v>
      </c>
      <c r="O64" s="16" t="n">
        <f aca="false">IF(G64=0,0,N64/G64)</f>
        <v>0.17760334903192</v>
      </c>
      <c r="P64" s="9" t="n">
        <v>5720</v>
      </c>
      <c r="Q64" s="17" t="n">
        <f aca="false">IF(P64=0,0,P64/INDEX(月曆參數!$E$2:$E$13,MATCH($A64,月曆參數!$A$2:$A$13,0)))</f>
        <v>184.516129032258</v>
      </c>
      <c r="R64" s="15" t="n">
        <f aca="false">IF(P64=0,0,G64/P64)</f>
        <v>334.090909090909</v>
      </c>
      <c r="S64" s="6" t="s">
        <v>200</v>
      </c>
      <c r="T64" s="9" t="n">
        <v>340</v>
      </c>
    </row>
    <row r="65" customFormat="false" ht="15" hidden="false" customHeight="false" outlineLevel="0" collapsed="false">
      <c r="A65" s="10" t="str">
        <f aca="false">TEXT(B65,"0")&amp;"-"&amp;TEXT(C65,"00")</f>
        <v>2025-04</v>
      </c>
      <c r="B65" s="8" t="n">
        <v>2025</v>
      </c>
      <c r="C65" s="8" t="n">
        <v>4</v>
      </c>
      <c r="D65" s="5" t="s">
        <v>186</v>
      </c>
      <c r="E65" s="13" t="str">
        <f aca="false">INDEX(門市主檔!$B$2:$B$9,MATCH($D65,門市主檔!$A$2:$A$9,0))</f>
        <v>台中七期店</v>
      </c>
      <c r="F65" s="13" t="str">
        <f aca="false">INDEX(門市主檔!$C$2:$C$9,MATCH($D65,門市主檔!$A$2:$A$9,0))</f>
        <v>中區</v>
      </c>
      <c r="G65" s="9" t="n">
        <v>2100000</v>
      </c>
      <c r="H65" s="9" t="n">
        <v>709500</v>
      </c>
      <c r="I65" s="9" t="n">
        <v>571100</v>
      </c>
      <c r="J65" s="14" t="n">
        <f aca="false">INDEX(門市主檔!$G$2:$G$9,MATCH($D65,門市主檔!$A$2:$A$9,0))</f>
        <v>285000</v>
      </c>
      <c r="K65" s="9" t="n">
        <v>129100</v>
      </c>
      <c r="L65" s="9" t="n">
        <v>59400</v>
      </c>
      <c r="M65" s="15" t="n">
        <f aca="false">SUM(H65:L65)</f>
        <v>1754100</v>
      </c>
      <c r="N65" s="15" t="n">
        <f aca="false">G65-M65</f>
        <v>345900</v>
      </c>
      <c r="O65" s="16" t="n">
        <f aca="false">IF(G65=0,0,N65/G65)</f>
        <v>0.164714285714286</v>
      </c>
      <c r="P65" s="9" t="n">
        <v>6190</v>
      </c>
      <c r="Q65" s="17" t="n">
        <f aca="false">IF(P65=0,0,P65/INDEX(月曆參數!$E$2:$E$13,MATCH($A65,月曆參數!$A$2:$A$13,0)))</f>
        <v>206.333333333333</v>
      </c>
      <c r="R65" s="15" t="n">
        <f aca="false">IF(P65=0,0,G65/P65)</f>
        <v>339.256865912763</v>
      </c>
      <c r="S65" s="6" t="s">
        <v>205</v>
      </c>
      <c r="T65" s="9" t="n">
        <v>580</v>
      </c>
    </row>
    <row r="66" customFormat="false" ht="15" hidden="false" customHeight="false" outlineLevel="0" collapsed="false">
      <c r="A66" s="10" t="str">
        <f aca="false">TEXT(B66,"0")&amp;"-"&amp;TEXT(C66,"00")</f>
        <v>2025-05</v>
      </c>
      <c r="B66" s="8" t="n">
        <v>2025</v>
      </c>
      <c r="C66" s="8" t="n">
        <v>5</v>
      </c>
      <c r="D66" s="5" t="s">
        <v>186</v>
      </c>
      <c r="E66" s="13" t="str">
        <f aca="false">INDEX(門市主檔!$B$2:$B$9,MATCH($D66,門市主檔!$A$2:$A$9,0))</f>
        <v>台中七期店</v>
      </c>
      <c r="F66" s="13" t="str">
        <f aca="false">INDEX(門市主檔!$C$2:$C$9,MATCH($D66,門市主檔!$A$2:$A$9,0))</f>
        <v>中區</v>
      </c>
      <c r="G66" s="9" t="n">
        <v>2119000</v>
      </c>
      <c r="H66" s="9" t="n">
        <v>702000</v>
      </c>
      <c r="I66" s="9" t="n">
        <v>541900</v>
      </c>
      <c r="J66" s="14" t="n">
        <f aca="false">INDEX(門市主檔!$G$2:$G$9,MATCH($D66,門市主檔!$A$2:$A$9,0))</f>
        <v>285000</v>
      </c>
      <c r="K66" s="9" t="n">
        <v>112500</v>
      </c>
      <c r="L66" s="9" t="n">
        <v>52500</v>
      </c>
      <c r="M66" s="15" t="n">
        <f aca="false">SUM(H66:L66)</f>
        <v>1693900</v>
      </c>
      <c r="N66" s="15" t="n">
        <f aca="false">G66-M66</f>
        <v>425100</v>
      </c>
      <c r="O66" s="16" t="n">
        <f aca="false">IF(G66=0,0,N66/G66)</f>
        <v>0.200613496932515</v>
      </c>
      <c r="P66" s="9" t="n">
        <v>6170</v>
      </c>
      <c r="Q66" s="17" t="n">
        <f aca="false">IF(P66=0,0,P66/INDEX(月曆參數!$E$2:$E$13,MATCH($A66,月曆參數!$A$2:$A$13,0)))</f>
        <v>199.032258064516</v>
      </c>
      <c r="R66" s="15" t="n">
        <f aca="false">IF(P66=0,0,G66/P66)</f>
        <v>343.435980551054</v>
      </c>
      <c r="S66" s="6" t="s">
        <v>207</v>
      </c>
      <c r="T66" s="9" t="n">
        <v>400</v>
      </c>
    </row>
    <row r="67" customFormat="false" ht="15" hidden="false" customHeight="false" outlineLevel="0" collapsed="false">
      <c r="A67" s="10" t="str">
        <f aca="false">TEXT(B67,"0")&amp;"-"&amp;TEXT(C67,"00")</f>
        <v>2025-06</v>
      </c>
      <c r="B67" s="8" t="n">
        <v>2025</v>
      </c>
      <c r="C67" s="8" t="n">
        <v>6</v>
      </c>
      <c r="D67" s="5" t="s">
        <v>186</v>
      </c>
      <c r="E67" s="13" t="str">
        <f aca="false">INDEX(門市主檔!$B$2:$B$9,MATCH($D67,門市主檔!$A$2:$A$9,0))</f>
        <v>台中七期店</v>
      </c>
      <c r="F67" s="13" t="str">
        <f aca="false">INDEX(門市主檔!$C$2:$C$9,MATCH($D67,門市主檔!$A$2:$A$9,0))</f>
        <v>中區</v>
      </c>
      <c r="G67" s="9" t="n">
        <v>2063000</v>
      </c>
      <c r="H67" s="9" t="n">
        <v>666200</v>
      </c>
      <c r="I67" s="9" t="n">
        <v>537800</v>
      </c>
      <c r="J67" s="14" t="n">
        <f aca="false">INDEX(門市主檔!$G$2:$G$9,MATCH($D67,門市主檔!$A$2:$A$9,0))</f>
        <v>285000</v>
      </c>
      <c r="K67" s="9" t="n">
        <v>110200</v>
      </c>
      <c r="L67" s="9" t="n">
        <v>58200</v>
      </c>
      <c r="M67" s="15" t="n">
        <f aca="false">SUM(H67:L67)</f>
        <v>1657400</v>
      </c>
      <c r="N67" s="15" t="n">
        <f aca="false">G67-M67</f>
        <v>405600</v>
      </c>
      <c r="O67" s="16" t="n">
        <f aca="false">IF(G67=0,0,N67/G67)</f>
        <v>0.196606883179835</v>
      </c>
      <c r="P67" s="9" t="n">
        <v>5990</v>
      </c>
      <c r="Q67" s="17" t="n">
        <f aca="false">IF(P67=0,0,P67/INDEX(月曆參數!$E$2:$E$13,MATCH($A67,月曆參數!$A$2:$A$13,0)))</f>
        <v>199.666666666667</v>
      </c>
      <c r="R67" s="15" t="n">
        <f aca="false">IF(P67=0,0,G67/P67)</f>
        <v>344.40734557596</v>
      </c>
      <c r="S67" s="6" t="s">
        <v>208</v>
      </c>
      <c r="T67" s="9" t="n">
        <v>500</v>
      </c>
    </row>
    <row r="68" customFormat="false" ht="15" hidden="false" customHeight="false" outlineLevel="0" collapsed="false">
      <c r="A68" s="10" t="str">
        <f aca="false">TEXT(B68,"0")&amp;"-"&amp;TEXT(C68,"00")</f>
        <v>2025-07</v>
      </c>
      <c r="B68" s="8" t="n">
        <v>2025</v>
      </c>
      <c r="C68" s="8" t="n">
        <v>7</v>
      </c>
      <c r="D68" s="5" t="s">
        <v>186</v>
      </c>
      <c r="E68" s="13" t="str">
        <f aca="false">INDEX(門市主檔!$B$2:$B$9,MATCH($D68,門市主檔!$A$2:$A$9,0))</f>
        <v>台中七期店</v>
      </c>
      <c r="F68" s="13" t="str">
        <f aca="false">INDEX(門市主檔!$C$2:$C$9,MATCH($D68,門市主檔!$A$2:$A$9,0))</f>
        <v>中區</v>
      </c>
      <c r="G68" s="9" t="n">
        <v>2319000</v>
      </c>
      <c r="H68" s="9" t="n">
        <v>763000</v>
      </c>
      <c r="I68" s="9" t="n">
        <v>581000</v>
      </c>
      <c r="J68" s="14" t="n">
        <f aca="false">INDEX(門市主檔!$G$2:$G$9,MATCH($D68,門市主檔!$A$2:$A$9,0))</f>
        <v>285000</v>
      </c>
      <c r="K68" s="9" t="n">
        <v>150700</v>
      </c>
      <c r="L68" s="9" t="n">
        <v>62000</v>
      </c>
      <c r="M68" s="15" t="n">
        <f aca="false">SUM(H68:L68)</f>
        <v>1841700</v>
      </c>
      <c r="N68" s="15" t="n">
        <f aca="false">G68-M68</f>
        <v>477300</v>
      </c>
      <c r="O68" s="16" t="n">
        <f aca="false">IF(G68=0,0,N68/G68)</f>
        <v>0.205821474773609</v>
      </c>
      <c r="P68" s="9" t="n">
        <v>6600</v>
      </c>
      <c r="Q68" s="17" t="n">
        <f aca="false">IF(P68=0,0,P68/INDEX(月曆參數!$E$2:$E$13,MATCH($A68,月曆參數!$A$2:$A$13,0)))</f>
        <v>212.903225806452</v>
      </c>
      <c r="R68" s="15" t="n">
        <f aca="false">IF(P68=0,0,G68/P68)</f>
        <v>351.363636363636</v>
      </c>
      <c r="S68" s="6" t="s">
        <v>210</v>
      </c>
      <c r="T68" s="9" t="n">
        <v>520</v>
      </c>
    </row>
    <row r="69" customFormat="false" ht="15" hidden="false" customHeight="false" outlineLevel="0" collapsed="false">
      <c r="A69" s="10" t="str">
        <f aca="false">TEXT(B69,"0")&amp;"-"&amp;TEXT(C69,"00")</f>
        <v>2025-08</v>
      </c>
      <c r="B69" s="8" t="n">
        <v>2025</v>
      </c>
      <c r="C69" s="8" t="n">
        <v>8</v>
      </c>
      <c r="D69" s="5" t="s">
        <v>186</v>
      </c>
      <c r="E69" s="13" t="str">
        <f aca="false">INDEX(門市主檔!$B$2:$B$9,MATCH($D69,門市主檔!$A$2:$A$9,0))</f>
        <v>台中七期店</v>
      </c>
      <c r="F69" s="13" t="str">
        <f aca="false">INDEX(門市主檔!$C$2:$C$9,MATCH($D69,門市主檔!$A$2:$A$9,0))</f>
        <v>中區</v>
      </c>
      <c r="G69" s="9" t="n">
        <v>2321000</v>
      </c>
      <c r="H69" s="9" t="n">
        <v>754400</v>
      </c>
      <c r="I69" s="9" t="n">
        <v>559800</v>
      </c>
      <c r="J69" s="14" t="n">
        <f aca="false">INDEX(門市主檔!$G$2:$G$9,MATCH($D69,門市主檔!$A$2:$A$9,0))</f>
        <v>285000</v>
      </c>
      <c r="K69" s="9" t="n">
        <v>136200</v>
      </c>
      <c r="L69" s="9" t="n">
        <v>57700</v>
      </c>
      <c r="M69" s="15" t="n">
        <f aca="false">SUM(H69:L69)</f>
        <v>1793100</v>
      </c>
      <c r="N69" s="15" t="n">
        <f aca="false">G69-M69</f>
        <v>527900</v>
      </c>
      <c r="O69" s="16" t="n">
        <f aca="false">IF(G69=0,0,N69/G69)</f>
        <v>0.22744506678156</v>
      </c>
      <c r="P69" s="9" t="n">
        <v>6310</v>
      </c>
      <c r="Q69" s="17" t="n">
        <f aca="false">IF(P69=0,0,P69/INDEX(月曆參數!$E$2:$E$13,MATCH($A69,月曆參數!$A$2:$A$13,0)))</f>
        <v>203.548387096774</v>
      </c>
      <c r="R69" s="15" t="n">
        <f aca="false">IF(P69=0,0,G69/P69)</f>
        <v>367.828843106181</v>
      </c>
      <c r="S69" s="6" t="s">
        <v>203</v>
      </c>
      <c r="T69" s="9" t="n">
        <v>560</v>
      </c>
    </row>
    <row r="70" customFormat="false" ht="15" hidden="false" customHeight="false" outlineLevel="0" collapsed="false">
      <c r="A70" s="10" t="str">
        <f aca="false">TEXT(B70,"0")&amp;"-"&amp;TEXT(C70,"00")</f>
        <v>2025-09</v>
      </c>
      <c r="B70" s="8" t="n">
        <v>2025</v>
      </c>
      <c r="C70" s="8" t="n">
        <v>9</v>
      </c>
      <c r="D70" s="5" t="s">
        <v>186</v>
      </c>
      <c r="E70" s="13" t="str">
        <f aca="false">INDEX(門市主檔!$B$2:$B$9,MATCH($D70,門市主檔!$A$2:$A$9,0))</f>
        <v>台中七期店</v>
      </c>
      <c r="F70" s="13" t="str">
        <f aca="false">INDEX(門市主檔!$C$2:$C$9,MATCH($D70,門市主檔!$A$2:$A$9,0))</f>
        <v>中區</v>
      </c>
      <c r="G70" s="9" t="n">
        <v>2131000</v>
      </c>
      <c r="H70" s="9" t="n">
        <v>663100</v>
      </c>
      <c r="I70" s="9" t="n">
        <v>524800</v>
      </c>
      <c r="J70" s="14" t="n">
        <f aca="false">INDEX(門市主檔!$G$2:$G$9,MATCH($D70,門市主檔!$A$2:$A$9,0))</f>
        <v>285000</v>
      </c>
      <c r="K70" s="9" t="n">
        <v>106000</v>
      </c>
      <c r="L70" s="9" t="n">
        <v>66300</v>
      </c>
      <c r="M70" s="15" t="n">
        <f aca="false">SUM(H70:L70)</f>
        <v>1645200</v>
      </c>
      <c r="N70" s="15" t="n">
        <f aca="false">G70-M70</f>
        <v>485800</v>
      </c>
      <c r="O70" s="16" t="n">
        <f aca="false">IF(G70=0,0,N70/G70)</f>
        <v>0.227968090098545</v>
      </c>
      <c r="P70" s="9" t="n">
        <v>6100</v>
      </c>
      <c r="Q70" s="17" t="n">
        <f aca="false">IF(P70=0,0,P70/INDEX(月曆參數!$E$2:$E$13,MATCH($A70,月曆參數!$A$2:$A$13,0)))</f>
        <v>203.333333333333</v>
      </c>
      <c r="R70" s="15" t="n">
        <f aca="false">IF(P70=0,0,G70/P70)</f>
        <v>349.344262295082</v>
      </c>
      <c r="S70" s="6" t="s">
        <v>201</v>
      </c>
      <c r="T70" s="9" t="n">
        <v>470</v>
      </c>
    </row>
    <row r="71" customFormat="false" ht="15" hidden="false" customHeight="false" outlineLevel="0" collapsed="false">
      <c r="A71" s="10" t="str">
        <f aca="false">TEXT(B71,"0")&amp;"-"&amp;TEXT(C71,"00")</f>
        <v>2025-10</v>
      </c>
      <c r="B71" s="8" t="n">
        <v>2025</v>
      </c>
      <c r="C71" s="8" t="n">
        <v>10</v>
      </c>
      <c r="D71" s="5" t="s">
        <v>186</v>
      </c>
      <c r="E71" s="13" t="str">
        <f aca="false">INDEX(門市主檔!$B$2:$B$9,MATCH($D71,門市主檔!$A$2:$A$9,0))</f>
        <v>台中七期店</v>
      </c>
      <c r="F71" s="13" t="str">
        <f aca="false">INDEX(門市主檔!$C$2:$C$9,MATCH($D71,門市主檔!$A$2:$A$9,0))</f>
        <v>中區</v>
      </c>
      <c r="G71" s="9" t="n">
        <v>2209000</v>
      </c>
      <c r="H71" s="9" t="n">
        <v>671600</v>
      </c>
      <c r="I71" s="9" t="n">
        <v>572300</v>
      </c>
      <c r="J71" s="14" t="n">
        <f aca="false">INDEX(門市主檔!$G$2:$G$9,MATCH($D71,門市主檔!$A$2:$A$9,0))</f>
        <v>285000</v>
      </c>
      <c r="K71" s="9" t="n">
        <v>120600</v>
      </c>
      <c r="L71" s="9" t="n">
        <v>56600</v>
      </c>
      <c r="M71" s="15" t="n">
        <f aca="false">SUM(H71:L71)</f>
        <v>1706100</v>
      </c>
      <c r="N71" s="15" t="n">
        <f aca="false">G71-M71</f>
        <v>502900</v>
      </c>
      <c r="O71" s="16" t="n">
        <f aca="false">IF(G71=0,0,N71/G71)</f>
        <v>0.227659574468085</v>
      </c>
      <c r="P71" s="9" t="n">
        <v>6220</v>
      </c>
      <c r="Q71" s="17" t="n">
        <f aca="false">IF(P71=0,0,P71/INDEX(月曆參數!$E$2:$E$13,MATCH($A71,月曆參數!$A$2:$A$13,0)))</f>
        <v>200.645161290323</v>
      </c>
      <c r="R71" s="15" t="n">
        <f aca="false">IF(P71=0,0,G71/P71)</f>
        <v>355.144694533762</v>
      </c>
      <c r="S71" s="6" t="s">
        <v>200</v>
      </c>
      <c r="T71" s="9" t="n">
        <v>430</v>
      </c>
    </row>
    <row r="72" customFormat="false" ht="15" hidden="false" customHeight="false" outlineLevel="0" collapsed="false">
      <c r="A72" s="10" t="str">
        <f aca="false">TEXT(B72,"0")&amp;"-"&amp;TEXT(C72,"00")</f>
        <v>2025-11</v>
      </c>
      <c r="B72" s="8" t="n">
        <v>2025</v>
      </c>
      <c r="C72" s="8" t="n">
        <v>11</v>
      </c>
      <c r="D72" s="5" t="s">
        <v>186</v>
      </c>
      <c r="E72" s="13" t="str">
        <f aca="false">INDEX(門市主檔!$B$2:$B$9,MATCH($D72,門市主檔!$A$2:$A$9,0))</f>
        <v>台中七期店</v>
      </c>
      <c r="F72" s="13" t="str">
        <f aca="false">INDEX(門市主檔!$C$2:$C$9,MATCH($D72,門市主檔!$A$2:$A$9,0))</f>
        <v>中區</v>
      </c>
      <c r="G72" s="9" t="n">
        <v>2062000</v>
      </c>
      <c r="H72" s="9" t="n">
        <v>624000</v>
      </c>
      <c r="I72" s="9" t="n">
        <v>523500</v>
      </c>
      <c r="J72" s="14" t="n">
        <f aca="false">INDEX(門市主檔!$G$2:$G$9,MATCH($D72,門市主檔!$A$2:$A$9,0))</f>
        <v>285000</v>
      </c>
      <c r="K72" s="9" t="n">
        <v>130900</v>
      </c>
      <c r="L72" s="9" t="n">
        <v>49200</v>
      </c>
      <c r="M72" s="15" t="n">
        <f aca="false">SUM(H72:L72)</f>
        <v>1612600</v>
      </c>
      <c r="N72" s="15" t="n">
        <f aca="false">G72-M72</f>
        <v>449400</v>
      </c>
      <c r="O72" s="16" t="n">
        <f aca="false">IF(G72=0,0,N72/G72)</f>
        <v>0.217943743937924</v>
      </c>
      <c r="P72" s="9" t="n">
        <v>5650</v>
      </c>
      <c r="Q72" s="17" t="n">
        <f aca="false">IF(P72=0,0,P72/INDEX(月曆參數!$E$2:$E$13,MATCH($A72,月曆參數!$A$2:$A$13,0)))</f>
        <v>188.333333333333</v>
      </c>
      <c r="R72" s="15" t="n">
        <f aca="false">IF(P72=0,0,G72/P72)</f>
        <v>364.955752212389</v>
      </c>
      <c r="S72" s="6" t="s">
        <v>201</v>
      </c>
      <c r="T72" s="9" t="n">
        <v>310</v>
      </c>
    </row>
    <row r="73" customFormat="false" ht="15" hidden="false" customHeight="false" outlineLevel="0" collapsed="false">
      <c r="A73" s="10" t="str">
        <f aca="false">TEXT(B73,"0")&amp;"-"&amp;TEXT(C73,"00")</f>
        <v>2025-12</v>
      </c>
      <c r="B73" s="8" t="n">
        <v>2025</v>
      </c>
      <c r="C73" s="8" t="n">
        <v>12</v>
      </c>
      <c r="D73" s="5" t="s">
        <v>186</v>
      </c>
      <c r="E73" s="13" t="str">
        <f aca="false">INDEX(門市主檔!$B$2:$B$9,MATCH($D73,門市主檔!$A$2:$A$9,0))</f>
        <v>台中七期店</v>
      </c>
      <c r="F73" s="13" t="str">
        <f aca="false">INDEX(門市主檔!$C$2:$C$9,MATCH($D73,門市主檔!$A$2:$A$9,0))</f>
        <v>中區</v>
      </c>
      <c r="G73" s="9" t="n">
        <v>2433000</v>
      </c>
      <c r="H73" s="9" t="n">
        <v>813900</v>
      </c>
      <c r="I73" s="9" t="n">
        <v>598500</v>
      </c>
      <c r="J73" s="14" t="n">
        <f aca="false">INDEX(門市主檔!$G$2:$G$9,MATCH($D73,門市主檔!$A$2:$A$9,0))</f>
        <v>285000</v>
      </c>
      <c r="K73" s="9" t="n">
        <v>119000</v>
      </c>
      <c r="L73" s="9" t="n">
        <v>58000</v>
      </c>
      <c r="M73" s="15" t="n">
        <f aca="false">SUM(H73:L73)</f>
        <v>1874400</v>
      </c>
      <c r="N73" s="15" t="n">
        <f aca="false">G73-M73</f>
        <v>558600</v>
      </c>
      <c r="O73" s="16" t="n">
        <f aca="false">IF(G73=0,0,N73/G73)</f>
        <v>0.229593094944513</v>
      </c>
      <c r="P73" s="9" t="n">
        <v>7090</v>
      </c>
      <c r="Q73" s="17" t="n">
        <f aca="false">IF(P73=0,0,P73/INDEX(月曆參數!$E$2:$E$13,MATCH($A73,月曆參數!$A$2:$A$13,0)))</f>
        <v>228.709677419355</v>
      </c>
      <c r="R73" s="15" t="n">
        <f aca="false">IF(P73=0,0,G73/P73)</f>
        <v>343.159379407616</v>
      </c>
      <c r="S73" s="6" t="s">
        <v>209</v>
      </c>
      <c r="T73" s="9" t="n">
        <v>400</v>
      </c>
    </row>
    <row r="74" customFormat="false" ht="15" hidden="false" customHeight="false" outlineLevel="0" collapsed="false">
      <c r="A74" s="10" t="str">
        <f aca="false">TEXT(B74,"0")&amp;"-"&amp;TEXT(C74,"00")</f>
        <v>2025-01</v>
      </c>
      <c r="B74" s="8" t="n">
        <v>2025</v>
      </c>
      <c r="C74" s="8" t="n">
        <v>1</v>
      </c>
      <c r="D74" s="5" t="s">
        <v>189</v>
      </c>
      <c r="E74" s="13" t="str">
        <f aca="false">INDEX(門市主檔!$B$2:$B$9,MATCH($D74,門市主檔!$A$2:$A$9,0))</f>
        <v>台南中西店</v>
      </c>
      <c r="F74" s="13" t="str">
        <f aca="false">INDEX(門市主檔!$C$2:$C$9,MATCH($D74,門市主檔!$A$2:$A$9,0))</f>
        <v>南區</v>
      </c>
      <c r="G74" s="9" t="n">
        <v>1875000</v>
      </c>
      <c r="H74" s="9" t="n">
        <v>585600</v>
      </c>
      <c r="I74" s="9" t="n">
        <v>503100</v>
      </c>
      <c r="J74" s="14" t="n">
        <f aca="false">INDEX(門市主檔!$G$2:$G$9,MATCH($D74,門市主檔!$A$2:$A$9,0))</f>
        <v>165000</v>
      </c>
      <c r="K74" s="9" t="n">
        <v>109300</v>
      </c>
      <c r="L74" s="9" t="n">
        <v>48300</v>
      </c>
      <c r="M74" s="15" t="n">
        <f aca="false">SUM(H74:L74)</f>
        <v>1411300</v>
      </c>
      <c r="N74" s="15" t="n">
        <f aca="false">G74-M74</f>
        <v>463700</v>
      </c>
      <c r="O74" s="16" t="n">
        <f aca="false">IF(G74=0,0,N74/G74)</f>
        <v>0.247306666666667</v>
      </c>
      <c r="P74" s="9" t="n">
        <v>7280</v>
      </c>
      <c r="Q74" s="17" t="n">
        <f aca="false">IF(P74=0,0,P74/INDEX(月曆參數!$E$2:$E$13,MATCH($A74,月曆參數!$A$2:$A$13,0)))</f>
        <v>234.838709677419</v>
      </c>
      <c r="R74" s="15" t="n">
        <f aca="false">IF(P74=0,0,G74/P74)</f>
        <v>257.554945054945</v>
      </c>
      <c r="S74" s="6" t="s">
        <v>206</v>
      </c>
      <c r="T74" s="9" t="n">
        <v>600</v>
      </c>
    </row>
    <row r="75" customFormat="false" ht="15" hidden="false" customHeight="false" outlineLevel="0" collapsed="false">
      <c r="A75" s="10" t="str">
        <f aca="false">TEXT(B75,"0")&amp;"-"&amp;TEXT(C75,"00")</f>
        <v>2025-02</v>
      </c>
      <c r="B75" s="8" t="n">
        <v>2025</v>
      </c>
      <c r="C75" s="8" t="n">
        <v>2</v>
      </c>
      <c r="D75" s="5" t="s">
        <v>189</v>
      </c>
      <c r="E75" s="13" t="str">
        <f aca="false">INDEX(門市主檔!$B$2:$B$9,MATCH($D75,門市主檔!$A$2:$A$9,0))</f>
        <v>台南中西店</v>
      </c>
      <c r="F75" s="13" t="str">
        <f aca="false">INDEX(門市主檔!$C$2:$C$9,MATCH($D75,門市主檔!$A$2:$A$9,0))</f>
        <v>南區</v>
      </c>
      <c r="G75" s="9" t="n">
        <v>1844000</v>
      </c>
      <c r="H75" s="9" t="n">
        <v>558100</v>
      </c>
      <c r="I75" s="9" t="n">
        <v>483800</v>
      </c>
      <c r="J75" s="14" t="n">
        <f aca="false">INDEX(門市主檔!$G$2:$G$9,MATCH($D75,門市主檔!$A$2:$A$9,0))</f>
        <v>165000</v>
      </c>
      <c r="K75" s="9" t="n">
        <v>94200</v>
      </c>
      <c r="L75" s="9" t="n">
        <v>55200</v>
      </c>
      <c r="M75" s="15" t="n">
        <f aca="false">SUM(H75:L75)</f>
        <v>1356300</v>
      </c>
      <c r="N75" s="15" t="n">
        <f aca="false">G75-M75</f>
        <v>487700</v>
      </c>
      <c r="O75" s="16" t="n">
        <f aca="false">IF(G75=0,0,N75/G75)</f>
        <v>0.264479392624729</v>
      </c>
      <c r="P75" s="9" t="n">
        <v>7180</v>
      </c>
      <c r="Q75" s="17" t="n">
        <f aca="false">IF(P75=0,0,P75/INDEX(月曆參數!$E$2:$E$13,MATCH($A75,月曆參數!$A$2:$A$13,0)))</f>
        <v>256.428571428571</v>
      </c>
      <c r="R75" s="15" t="n">
        <f aca="false">IF(P75=0,0,G75/P75)</f>
        <v>256.824512534819</v>
      </c>
      <c r="S75" s="6" t="s">
        <v>198</v>
      </c>
      <c r="T75" s="9" t="n">
        <v>650</v>
      </c>
    </row>
    <row r="76" customFormat="false" ht="15" hidden="false" customHeight="false" outlineLevel="0" collapsed="false">
      <c r="A76" s="10" t="str">
        <f aca="false">TEXT(B76,"0")&amp;"-"&amp;TEXT(C76,"00")</f>
        <v>2025-03</v>
      </c>
      <c r="B76" s="8" t="n">
        <v>2025</v>
      </c>
      <c r="C76" s="8" t="n">
        <v>3</v>
      </c>
      <c r="D76" s="5" t="s">
        <v>189</v>
      </c>
      <c r="E76" s="13" t="str">
        <f aca="false">INDEX(門市主檔!$B$2:$B$9,MATCH($D76,門市主檔!$A$2:$A$9,0))</f>
        <v>台南中西店</v>
      </c>
      <c r="F76" s="13" t="str">
        <f aca="false">INDEX(門市主檔!$C$2:$C$9,MATCH($D76,門市主檔!$A$2:$A$9,0))</f>
        <v>南區</v>
      </c>
      <c r="G76" s="9" t="n">
        <v>1611000</v>
      </c>
      <c r="H76" s="9" t="n">
        <v>485000</v>
      </c>
      <c r="I76" s="9" t="n">
        <v>404700</v>
      </c>
      <c r="J76" s="14" t="n">
        <f aca="false">INDEX(門市主檔!$G$2:$G$9,MATCH($D76,門市主檔!$A$2:$A$9,0))</f>
        <v>165000</v>
      </c>
      <c r="K76" s="9" t="n">
        <v>103300</v>
      </c>
      <c r="L76" s="9" t="n">
        <v>36100</v>
      </c>
      <c r="M76" s="15" t="n">
        <f aca="false">SUM(H76:L76)</f>
        <v>1194100</v>
      </c>
      <c r="N76" s="15" t="n">
        <f aca="false">G76-M76</f>
        <v>416900</v>
      </c>
      <c r="O76" s="16" t="n">
        <f aca="false">IF(G76=0,0,N76/G76)</f>
        <v>0.258783364369957</v>
      </c>
      <c r="P76" s="9" t="n">
        <v>6240</v>
      </c>
      <c r="Q76" s="17" t="n">
        <f aca="false">IF(P76=0,0,P76/INDEX(月曆參數!$E$2:$E$13,MATCH($A76,月曆參數!$A$2:$A$13,0)))</f>
        <v>201.290322580645</v>
      </c>
      <c r="R76" s="15" t="n">
        <f aca="false">IF(P76=0,0,G76/P76)</f>
        <v>258.173076923077</v>
      </c>
      <c r="S76" s="6" t="s">
        <v>201</v>
      </c>
      <c r="T76" s="9" t="n">
        <v>480</v>
      </c>
    </row>
    <row r="77" customFormat="false" ht="15" hidden="false" customHeight="false" outlineLevel="0" collapsed="false">
      <c r="A77" s="10" t="str">
        <f aca="false">TEXT(B77,"0")&amp;"-"&amp;TEXT(C77,"00")</f>
        <v>2025-04</v>
      </c>
      <c r="B77" s="8" t="n">
        <v>2025</v>
      </c>
      <c r="C77" s="8" t="n">
        <v>4</v>
      </c>
      <c r="D77" s="5" t="s">
        <v>189</v>
      </c>
      <c r="E77" s="13" t="str">
        <f aca="false">INDEX(門市主檔!$B$2:$B$9,MATCH($D77,門市主檔!$A$2:$A$9,0))</f>
        <v>台南中西店</v>
      </c>
      <c r="F77" s="13" t="str">
        <f aca="false">INDEX(門市主檔!$C$2:$C$9,MATCH($D77,門市主檔!$A$2:$A$9,0))</f>
        <v>南區</v>
      </c>
      <c r="G77" s="9" t="n">
        <v>1715000</v>
      </c>
      <c r="H77" s="9" t="n">
        <v>566400</v>
      </c>
      <c r="I77" s="9" t="n">
        <v>424800</v>
      </c>
      <c r="J77" s="14" t="n">
        <f aca="false">INDEX(門市主檔!$G$2:$G$9,MATCH($D77,門市主檔!$A$2:$A$9,0))</f>
        <v>165000</v>
      </c>
      <c r="K77" s="9" t="n">
        <v>89600</v>
      </c>
      <c r="L77" s="9" t="n">
        <v>47000</v>
      </c>
      <c r="M77" s="15" t="n">
        <f aca="false">SUM(H77:L77)</f>
        <v>1292800</v>
      </c>
      <c r="N77" s="15" t="n">
        <f aca="false">G77-M77</f>
        <v>422200</v>
      </c>
      <c r="O77" s="16" t="n">
        <f aca="false">IF(G77=0,0,N77/G77)</f>
        <v>0.246180758017493</v>
      </c>
      <c r="P77" s="9" t="n">
        <v>6220</v>
      </c>
      <c r="Q77" s="17" t="n">
        <f aca="false">IF(P77=0,0,P77/INDEX(月曆參數!$E$2:$E$13,MATCH($A77,月曆參數!$A$2:$A$13,0)))</f>
        <v>207.333333333333</v>
      </c>
      <c r="R77" s="15" t="n">
        <f aca="false">IF(P77=0,0,G77/P77)</f>
        <v>275.72347266881</v>
      </c>
      <c r="S77" s="6" t="s">
        <v>201</v>
      </c>
      <c r="T77" s="9" t="n">
        <v>400</v>
      </c>
    </row>
    <row r="78" customFormat="false" ht="15" hidden="false" customHeight="false" outlineLevel="0" collapsed="false">
      <c r="A78" s="10" t="str">
        <f aca="false">TEXT(B78,"0")&amp;"-"&amp;TEXT(C78,"00")</f>
        <v>2025-05</v>
      </c>
      <c r="B78" s="8" t="n">
        <v>2025</v>
      </c>
      <c r="C78" s="8" t="n">
        <v>5</v>
      </c>
      <c r="D78" s="5" t="s">
        <v>189</v>
      </c>
      <c r="E78" s="13" t="str">
        <f aca="false">INDEX(門市主檔!$B$2:$B$9,MATCH($D78,門市主檔!$A$2:$A$9,0))</f>
        <v>台南中西店</v>
      </c>
      <c r="F78" s="13" t="str">
        <f aca="false">INDEX(門市主檔!$C$2:$C$9,MATCH($D78,門市主檔!$A$2:$A$9,0))</f>
        <v>南區</v>
      </c>
      <c r="G78" s="9" t="n">
        <v>1714000</v>
      </c>
      <c r="H78" s="9" t="n">
        <v>525100</v>
      </c>
      <c r="I78" s="9" t="n">
        <v>422500</v>
      </c>
      <c r="J78" s="14" t="n">
        <f aca="false">INDEX(門市主檔!$G$2:$G$9,MATCH($D78,門市主檔!$A$2:$A$9,0))</f>
        <v>165000</v>
      </c>
      <c r="K78" s="9" t="n">
        <v>83100</v>
      </c>
      <c r="L78" s="9" t="n">
        <v>33400</v>
      </c>
      <c r="M78" s="15" t="n">
        <f aca="false">SUM(H78:L78)</f>
        <v>1229100</v>
      </c>
      <c r="N78" s="15" t="n">
        <f aca="false">G78-M78</f>
        <v>484900</v>
      </c>
      <c r="O78" s="16" t="n">
        <f aca="false">IF(G78=0,0,N78/G78)</f>
        <v>0.282905484247375</v>
      </c>
      <c r="P78" s="9" t="n">
        <v>6570</v>
      </c>
      <c r="Q78" s="17" t="n">
        <f aca="false">IF(P78=0,0,P78/INDEX(月曆參數!$E$2:$E$13,MATCH($A78,月曆參數!$A$2:$A$13,0)))</f>
        <v>211.935483870968</v>
      </c>
      <c r="R78" s="15" t="n">
        <f aca="false">IF(P78=0,0,G78/P78)</f>
        <v>260.882800608828</v>
      </c>
      <c r="S78" s="6" t="s">
        <v>205</v>
      </c>
      <c r="T78" s="9" t="n">
        <v>520</v>
      </c>
    </row>
    <row r="79" customFormat="false" ht="15" hidden="false" customHeight="false" outlineLevel="0" collapsed="false">
      <c r="A79" s="10" t="str">
        <f aca="false">TEXT(B79,"0")&amp;"-"&amp;TEXT(C79,"00")</f>
        <v>2025-06</v>
      </c>
      <c r="B79" s="8" t="n">
        <v>2025</v>
      </c>
      <c r="C79" s="8" t="n">
        <v>6</v>
      </c>
      <c r="D79" s="5" t="s">
        <v>189</v>
      </c>
      <c r="E79" s="13" t="str">
        <f aca="false">INDEX(門市主檔!$B$2:$B$9,MATCH($D79,門市主檔!$A$2:$A$9,0))</f>
        <v>台南中西店</v>
      </c>
      <c r="F79" s="13" t="str">
        <f aca="false">INDEX(門市主檔!$C$2:$C$9,MATCH($D79,門市主檔!$A$2:$A$9,0))</f>
        <v>南區</v>
      </c>
      <c r="G79" s="9" t="n">
        <v>1670000</v>
      </c>
      <c r="H79" s="9" t="n">
        <v>556700</v>
      </c>
      <c r="I79" s="9" t="n">
        <v>409400</v>
      </c>
      <c r="J79" s="14" t="n">
        <f aca="false">INDEX(門市主檔!$G$2:$G$9,MATCH($D79,門市主檔!$A$2:$A$9,0))</f>
        <v>165000</v>
      </c>
      <c r="K79" s="9" t="n">
        <v>97700</v>
      </c>
      <c r="L79" s="9" t="n">
        <v>51100</v>
      </c>
      <c r="M79" s="15" t="n">
        <f aca="false">SUM(H79:L79)</f>
        <v>1279900</v>
      </c>
      <c r="N79" s="15" t="n">
        <f aca="false">G79-M79</f>
        <v>390100</v>
      </c>
      <c r="O79" s="16" t="n">
        <f aca="false">IF(G79=0,0,N79/G79)</f>
        <v>0.233592814371257</v>
      </c>
      <c r="P79" s="9" t="n">
        <v>6000</v>
      </c>
      <c r="Q79" s="17" t="n">
        <f aca="false">IF(P79=0,0,P79/INDEX(月曆參數!$E$2:$E$13,MATCH($A79,月曆參數!$A$2:$A$13,0)))</f>
        <v>200</v>
      </c>
      <c r="R79" s="15" t="n">
        <f aca="false">IF(P79=0,0,G79/P79)</f>
        <v>278.333333333333</v>
      </c>
      <c r="S79" s="6" t="s">
        <v>210</v>
      </c>
      <c r="T79" s="9" t="n">
        <v>570</v>
      </c>
    </row>
    <row r="80" customFormat="false" ht="15" hidden="false" customHeight="false" outlineLevel="0" collapsed="false">
      <c r="A80" s="10" t="str">
        <f aca="false">TEXT(B80,"0")&amp;"-"&amp;TEXT(C80,"00")</f>
        <v>2025-07</v>
      </c>
      <c r="B80" s="8" t="n">
        <v>2025</v>
      </c>
      <c r="C80" s="8" t="n">
        <v>7</v>
      </c>
      <c r="D80" s="5" t="s">
        <v>189</v>
      </c>
      <c r="E80" s="13" t="str">
        <f aca="false">INDEX(門市主檔!$B$2:$B$9,MATCH($D80,門市主檔!$A$2:$A$9,0))</f>
        <v>台南中西店</v>
      </c>
      <c r="F80" s="13" t="str">
        <f aca="false">INDEX(門市主檔!$C$2:$C$9,MATCH($D80,門市主檔!$A$2:$A$9,0))</f>
        <v>南區</v>
      </c>
      <c r="G80" s="9" t="n">
        <v>1824000</v>
      </c>
      <c r="H80" s="9" t="n">
        <v>613100</v>
      </c>
      <c r="I80" s="9" t="n">
        <v>473400</v>
      </c>
      <c r="J80" s="14" t="n">
        <f aca="false">INDEX(門市主檔!$G$2:$G$9,MATCH($D80,門市主檔!$A$2:$A$9,0))</f>
        <v>165000</v>
      </c>
      <c r="K80" s="9" t="n">
        <v>93900</v>
      </c>
      <c r="L80" s="9" t="n">
        <v>56800</v>
      </c>
      <c r="M80" s="15" t="n">
        <f aca="false">SUM(H80:L80)</f>
        <v>1402200</v>
      </c>
      <c r="N80" s="15" t="n">
        <f aca="false">G80-M80</f>
        <v>421800</v>
      </c>
      <c r="O80" s="16" t="n">
        <f aca="false">IF(G80=0,0,N80/G80)</f>
        <v>0.23125</v>
      </c>
      <c r="P80" s="9" t="n">
        <v>6740</v>
      </c>
      <c r="Q80" s="17" t="n">
        <f aca="false">IF(P80=0,0,P80/INDEX(月曆參數!$E$2:$E$13,MATCH($A80,月曆參數!$A$2:$A$13,0)))</f>
        <v>217.41935483871</v>
      </c>
      <c r="R80" s="15" t="n">
        <f aca="false">IF(P80=0,0,G80/P80)</f>
        <v>270.623145400593</v>
      </c>
      <c r="S80" s="6" t="s">
        <v>203</v>
      </c>
      <c r="T80" s="9" t="n">
        <v>590</v>
      </c>
    </row>
    <row r="81" customFormat="false" ht="15" hidden="false" customHeight="false" outlineLevel="0" collapsed="false">
      <c r="A81" s="10" t="str">
        <f aca="false">TEXT(B81,"0")&amp;"-"&amp;TEXT(C81,"00")</f>
        <v>2025-08</v>
      </c>
      <c r="B81" s="8" t="n">
        <v>2025</v>
      </c>
      <c r="C81" s="8" t="n">
        <v>8</v>
      </c>
      <c r="D81" s="5" t="s">
        <v>189</v>
      </c>
      <c r="E81" s="13" t="str">
        <f aca="false">INDEX(門市主檔!$B$2:$B$9,MATCH($D81,門市主檔!$A$2:$A$9,0))</f>
        <v>台南中西店</v>
      </c>
      <c r="F81" s="13" t="str">
        <f aca="false">INDEX(門市主檔!$C$2:$C$9,MATCH($D81,門市主檔!$A$2:$A$9,0))</f>
        <v>南區</v>
      </c>
      <c r="G81" s="9" t="n">
        <v>1966000</v>
      </c>
      <c r="H81" s="9" t="n">
        <v>663100</v>
      </c>
      <c r="I81" s="9" t="n">
        <v>499600</v>
      </c>
      <c r="J81" s="14" t="n">
        <f aca="false">INDEX(門市主檔!$G$2:$G$9,MATCH($D81,門市主檔!$A$2:$A$9,0))</f>
        <v>165000</v>
      </c>
      <c r="K81" s="9" t="n">
        <v>130300</v>
      </c>
      <c r="L81" s="9" t="n">
        <v>55600</v>
      </c>
      <c r="M81" s="15" t="n">
        <f aca="false">SUM(H81:L81)</f>
        <v>1513600</v>
      </c>
      <c r="N81" s="15" t="n">
        <f aca="false">G81-M81</f>
        <v>452400</v>
      </c>
      <c r="O81" s="16" t="n">
        <f aca="false">IF(G81=0,0,N81/G81)</f>
        <v>0.230111902339776</v>
      </c>
      <c r="P81" s="9" t="n">
        <v>7120</v>
      </c>
      <c r="Q81" s="17" t="n">
        <f aca="false">IF(P81=0,0,P81/INDEX(月曆參數!$E$2:$E$13,MATCH($A81,月曆參數!$A$2:$A$13,0)))</f>
        <v>229.677419354839</v>
      </c>
      <c r="R81" s="15" t="n">
        <f aca="false">IF(P81=0,0,G81/P81)</f>
        <v>276.123595505618</v>
      </c>
      <c r="S81" s="6" t="s">
        <v>210</v>
      </c>
      <c r="T81" s="9" t="n">
        <v>660</v>
      </c>
    </row>
    <row r="82" customFormat="false" ht="15" hidden="false" customHeight="false" outlineLevel="0" collapsed="false">
      <c r="A82" s="10" t="str">
        <f aca="false">TEXT(B82,"0")&amp;"-"&amp;TEXT(C82,"00")</f>
        <v>2025-09</v>
      </c>
      <c r="B82" s="8" t="n">
        <v>2025</v>
      </c>
      <c r="C82" s="8" t="n">
        <v>9</v>
      </c>
      <c r="D82" s="5" t="s">
        <v>189</v>
      </c>
      <c r="E82" s="13" t="str">
        <f aca="false">INDEX(門市主檔!$B$2:$B$9,MATCH($D82,門市主檔!$A$2:$A$9,0))</f>
        <v>台南中西店</v>
      </c>
      <c r="F82" s="13" t="str">
        <f aca="false">INDEX(門市主檔!$C$2:$C$9,MATCH($D82,門市主檔!$A$2:$A$9,0))</f>
        <v>南區</v>
      </c>
      <c r="G82" s="9" t="n">
        <v>1753000</v>
      </c>
      <c r="H82" s="9" t="n">
        <v>583800</v>
      </c>
      <c r="I82" s="9" t="n">
        <v>423800</v>
      </c>
      <c r="J82" s="14" t="n">
        <f aca="false">INDEX(門市主檔!$G$2:$G$9,MATCH($D82,門市主檔!$A$2:$A$9,0))</f>
        <v>165000</v>
      </c>
      <c r="K82" s="9" t="n">
        <v>108700</v>
      </c>
      <c r="L82" s="9" t="n">
        <v>44400</v>
      </c>
      <c r="M82" s="15" t="n">
        <f aca="false">SUM(H82:L82)</f>
        <v>1325700</v>
      </c>
      <c r="N82" s="15" t="n">
        <f aca="false">G82-M82</f>
        <v>427300</v>
      </c>
      <c r="O82" s="16" t="n">
        <f aca="false">IF(G82=0,0,N82/G82)</f>
        <v>0.2437535653166</v>
      </c>
      <c r="P82" s="9" t="n">
        <v>6440</v>
      </c>
      <c r="Q82" s="17" t="n">
        <f aca="false">IF(P82=0,0,P82/INDEX(月曆參數!$E$2:$E$13,MATCH($A82,月曆參數!$A$2:$A$13,0)))</f>
        <v>214.666666666667</v>
      </c>
      <c r="R82" s="15" t="n">
        <f aca="false">IF(P82=0,0,G82/P82)</f>
        <v>272.204968944099</v>
      </c>
      <c r="S82" s="6" t="s">
        <v>204</v>
      </c>
      <c r="T82" s="9" t="n">
        <v>390</v>
      </c>
    </row>
    <row r="83" customFormat="false" ht="15" hidden="false" customHeight="false" outlineLevel="0" collapsed="false">
      <c r="A83" s="10" t="str">
        <f aca="false">TEXT(B83,"0")&amp;"-"&amp;TEXT(C83,"00")</f>
        <v>2025-10</v>
      </c>
      <c r="B83" s="8" t="n">
        <v>2025</v>
      </c>
      <c r="C83" s="8" t="n">
        <v>10</v>
      </c>
      <c r="D83" s="5" t="s">
        <v>189</v>
      </c>
      <c r="E83" s="13" t="str">
        <f aca="false">INDEX(門市主檔!$B$2:$B$9,MATCH($D83,門市主檔!$A$2:$A$9,0))</f>
        <v>台南中西店</v>
      </c>
      <c r="F83" s="13" t="str">
        <f aca="false">INDEX(門市主檔!$C$2:$C$9,MATCH($D83,門市主檔!$A$2:$A$9,0))</f>
        <v>南區</v>
      </c>
      <c r="G83" s="9" t="n">
        <v>1858000</v>
      </c>
      <c r="H83" s="9" t="n">
        <v>620500</v>
      </c>
      <c r="I83" s="9" t="n">
        <v>445800</v>
      </c>
      <c r="J83" s="14" t="n">
        <f aca="false">INDEX(門市主檔!$G$2:$G$9,MATCH($D83,門市主檔!$A$2:$A$9,0))</f>
        <v>165000</v>
      </c>
      <c r="K83" s="9" t="n">
        <v>95600</v>
      </c>
      <c r="L83" s="9" t="n">
        <v>51800</v>
      </c>
      <c r="M83" s="15" t="n">
        <f aca="false">SUM(H83:L83)</f>
        <v>1378700</v>
      </c>
      <c r="N83" s="15" t="n">
        <f aca="false">G83-M83</f>
        <v>479300</v>
      </c>
      <c r="O83" s="16" t="n">
        <f aca="false">IF(G83=0,0,N83/G83)</f>
        <v>0.257965554359526</v>
      </c>
      <c r="P83" s="9" t="n">
        <v>6660</v>
      </c>
      <c r="Q83" s="17" t="n">
        <f aca="false">IF(P83=0,0,P83/INDEX(月曆參數!$E$2:$E$13,MATCH($A83,月曆參數!$A$2:$A$13,0)))</f>
        <v>214.838709677419</v>
      </c>
      <c r="R83" s="15" t="n">
        <f aca="false">IF(P83=0,0,G83/P83)</f>
        <v>278.978978978979</v>
      </c>
      <c r="S83" s="6" t="s">
        <v>204</v>
      </c>
      <c r="T83" s="9" t="n">
        <v>440</v>
      </c>
    </row>
    <row r="84" customFormat="false" ht="15" hidden="false" customHeight="false" outlineLevel="0" collapsed="false">
      <c r="A84" s="10" t="str">
        <f aca="false">TEXT(B84,"0")&amp;"-"&amp;TEXT(C84,"00")</f>
        <v>2025-11</v>
      </c>
      <c r="B84" s="8" t="n">
        <v>2025</v>
      </c>
      <c r="C84" s="8" t="n">
        <v>11</v>
      </c>
      <c r="D84" s="5" t="s">
        <v>189</v>
      </c>
      <c r="E84" s="13" t="str">
        <f aca="false">INDEX(門市主檔!$B$2:$B$9,MATCH($D84,門市主檔!$A$2:$A$9,0))</f>
        <v>台南中西店</v>
      </c>
      <c r="F84" s="13" t="str">
        <f aca="false">INDEX(門市主檔!$C$2:$C$9,MATCH($D84,門市主檔!$A$2:$A$9,0))</f>
        <v>南區</v>
      </c>
      <c r="G84" s="9" t="n">
        <v>1810000</v>
      </c>
      <c r="H84" s="9" t="n">
        <v>612300</v>
      </c>
      <c r="I84" s="9" t="n">
        <v>464200</v>
      </c>
      <c r="J84" s="14" t="n">
        <f aca="false">INDEX(門市主檔!$G$2:$G$9,MATCH($D84,門市主檔!$A$2:$A$9,0))</f>
        <v>165000</v>
      </c>
      <c r="K84" s="9" t="n">
        <v>102900</v>
      </c>
      <c r="L84" s="9" t="n">
        <v>45000</v>
      </c>
      <c r="M84" s="15" t="n">
        <f aca="false">SUM(H84:L84)</f>
        <v>1389400</v>
      </c>
      <c r="N84" s="15" t="n">
        <f aca="false">G84-M84</f>
        <v>420600</v>
      </c>
      <c r="O84" s="16" t="n">
        <f aca="false">IF(G84=0,0,N84/G84)</f>
        <v>0.232375690607735</v>
      </c>
      <c r="P84" s="9" t="n">
        <v>6860</v>
      </c>
      <c r="Q84" s="17" t="n">
        <f aca="false">IF(P84=0,0,P84/INDEX(月曆參數!$E$2:$E$13,MATCH($A84,月曆參數!$A$2:$A$13,0)))</f>
        <v>228.666666666667</v>
      </c>
      <c r="R84" s="15" t="n">
        <f aca="false">IF(P84=0,0,G84/P84)</f>
        <v>263.848396501458</v>
      </c>
      <c r="S84" s="6" t="s">
        <v>204</v>
      </c>
      <c r="T84" s="9" t="n">
        <v>540</v>
      </c>
    </row>
    <row r="85" customFormat="false" ht="15" hidden="false" customHeight="false" outlineLevel="0" collapsed="false">
      <c r="A85" s="10" t="str">
        <f aca="false">TEXT(B85,"0")&amp;"-"&amp;TEXT(C85,"00")</f>
        <v>2025-12</v>
      </c>
      <c r="B85" s="8" t="n">
        <v>2025</v>
      </c>
      <c r="C85" s="8" t="n">
        <v>12</v>
      </c>
      <c r="D85" s="5" t="s">
        <v>189</v>
      </c>
      <c r="E85" s="13" t="str">
        <f aca="false">INDEX(門市主檔!$B$2:$B$9,MATCH($D85,門市主檔!$A$2:$A$9,0))</f>
        <v>台南中西店</v>
      </c>
      <c r="F85" s="13" t="str">
        <f aca="false">INDEX(門市主檔!$C$2:$C$9,MATCH($D85,門市主檔!$A$2:$A$9,0))</f>
        <v>南區</v>
      </c>
      <c r="G85" s="9" t="n">
        <v>1951000</v>
      </c>
      <c r="H85" s="9" t="n">
        <v>587300</v>
      </c>
      <c r="I85" s="9" t="n">
        <v>511200</v>
      </c>
      <c r="J85" s="14" t="n">
        <f aca="false">INDEX(門市主檔!$G$2:$G$9,MATCH($D85,門市主檔!$A$2:$A$9,0))</f>
        <v>165000</v>
      </c>
      <c r="K85" s="9" t="n">
        <v>102700</v>
      </c>
      <c r="L85" s="9" t="n">
        <v>56800</v>
      </c>
      <c r="M85" s="15" t="n">
        <f aca="false">SUM(H85:L85)</f>
        <v>1423000</v>
      </c>
      <c r="N85" s="15" t="n">
        <f aca="false">G85-M85</f>
        <v>528000</v>
      </c>
      <c r="O85" s="16" t="n">
        <f aca="false">IF(G85=0,0,N85/G85)</f>
        <v>0.270630445925167</v>
      </c>
      <c r="P85" s="9" t="n">
        <v>7350</v>
      </c>
      <c r="Q85" s="17" t="n">
        <f aca="false">IF(P85=0,0,P85/INDEX(月曆參數!$E$2:$E$13,MATCH($A85,月曆參數!$A$2:$A$13,0)))</f>
        <v>237.096774193548</v>
      </c>
      <c r="R85" s="15" t="n">
        <f aca="false">IF(P85=0,0,G85/P85)</f>
        <v>265.442176870748</v>
      </c>
      <c r="S85" s="6" t="s">
        <v>209</v>
      </c>
      <c r="T85" s="9" t="n">
        <v>560</v>
      </c>
    </row>
    <row r="86" customFormat="false" ht="15" hidden="false" customHeight="false" outlineLevel="0" collapsed="false">
      <c r="A86" s="10" t="str">
        <f aca="false">TEXT(B86,"0")&amp;"-"&amp;TEXT(C86,"00")</f>
        <v>2025-01</v>
      </c>
      <c r="B86" s="8" t="n">
        <v>2025</v>
      </c>
      <c r="C86" s="8" t="n">
        <v>1</v>
      </c>
      <c r="D86" s="5" t="s">
        <v>194</v>
      </c>
      <c r="E86" s="13" t="str">
        <f aca="false">INDEX(門市主檔!$B$2:$B$9,MATCH($D86,門市主檔!$A$2:$A$9,0))</f>
        <v>高雄左營店</v>
      </c>
      <c r="F86" s="13" t="str">
        <f aca="false">INDEX(門市主檔!$C$2:$C$9,MATCH($D86,門市主檔!$A$2:$A$9,0))</f>
        <v>南區</v>
      </c>
      <c r="G86" s="9" t="n">
        <v>2530000</v>
      </c>
      <c r="H86" s="9" t="n">
        <v>785300</v>
      </c>
      <c r="I86" s="9" t="n">
        <v>650600</v>
      </c>
      <c r="J86" s="14" t="n">
        <f aca="false">INDEX(門市主檔!$G$2:$G$9,MATCH($D86,門市主檔!$A$2:$A$9,0))</f>
        <v>210000</v>
      </c>
      <c r="K86" s="9" t="n">
        <v>123000</v>
      </c>
      <c r="L86" s="9" t="n">
        <v>57400</v>
      </c>
      <c r="M86" s="15" t="n">
        <f aca="false">SUM(H86:L86)</f>
        <v>1826300</v>
      </c>
      <c r="N86" s="15" t="n">
        <f aca="false">G86-M86</f>
        <v>703700</v>
      </c>
      <c r="O86" s="16" t="n">
        <f aca="false">IF(G86=0,0,N86/G86)</f>
        <v>0.278142292490119</v>
      </c>
      <c r="P86" s="9" t="n">
        <v>9030</v>
      </c>
      <c r="Q86" s="17" t="n">
        <f aca="false">IF(P86=0,0,P86/INDEX(月曆參數!$E$2:$E$13,MATCH($A86,月曆參數!$A$2:$A$13,0)))</f>
        <v>291.290322580645</v>
      </c>
      <c r="R86" s="15" t="n">
        <f aca="false">IF(P86=0,0,G86/P86)</f>
        <v>280.177187153931</v>
      </c>
      <c r="S86" s="6" t="s">
        <v>199</v>
      </c>
      <c r="T86" s="9" t="n">
        <v>730</v>
      </c>
    </row>
    <row r="87" customFormat="false" ht="15" hidden="false" customHeight="false" outlineLevel="0" collapsed="false">
      <c r="A87" s="10" t="str">
        <f aca="false">TEXT(B87,"0")&amp;"-"&amp;TEXT(C87,"00")</f>
        <v>2025-02</v>
      </c>
      <c r="B87" s="8" t="n">
        <v>2025</v>
      </c>
      <c r="C87" s="8" t="n">
        <v>2</v>
      </c>
      <c r="D87" s="5" t="s">
        <v>194</v>
      </c>
      <c r="E87" s="13" t="str">
        <f aca="false">INDEX(門市主檔!$B$2:$B$9,MATCH($D87,門市主檔!$A$2:$A$9,0))</f>
        <v>高雄左營店</v>
      </c>
      <c r="F87" s="13" t="str">
        <f aca="false">INDEX(門市主檔!$C$2:$C$9,MATCH($D87,門市主檔!$A$2:$A$9,0))</f>
        <v>南區</v>
      </c>
      <c r="G87" s="9" t="n">
        <v>2239000</v>
      </c>
      <c r="H87" s="9" t="n">
        <v>687800</v>
      </c>
      <c r="I87" s="9" t="n">
        <v>601300</v>
      </c>
      <c r="J87" s="14" t="n">
        <f aca="false">INDEX(門市主檔!$G$2:$G$9,MATCH($D87,門市主檔!$A$2:$A$9,0))</f>
        <v>210000</v>
      </c>
      <c r="K87" s="9" t="n">
        <v>134400</v>
      </c>
      <c r="L87" s="9" t="n">
        <v>45400</v>
      </c>
      <c r="M87" s="15" t="n">
        <f aca="false">SUM(H87:L87)</f>
        <v>1678900</v>
      </c>
      <c r="N87" s="15" t="n">
        <f aca="false">G87-M87</f>
        <v>560100</v>
      </c>
      <c r="O87" s="16" t="n">
        <f aca="false">IF(G87=0,0,N87/G87)</f>
        <v>0.250156319785619</v>
      </c>
      <c r="P87" s="9" t="n">
        <v>7700</v>
      </c>
      <c r="Q87" s="17" t="n">
        <f aca="false">IF(P87=0,0,P87/INDEX(月曆參數!$E$2:$E$13,MATCH($A87,月曆參數!$A$2:$A$13,0)))</f>
        <v>275</v>
      </c>
      <c r="R87" s="15" t="n">
        <f aca="false">IF(P87=0,0,G87/P87)</f>
        <v>290.779220779221</v>
      </c>
      <c r="S87" s="6" t="s">
        <v>198</v>
      </c>
      <c r="T87" s="9" t="n">
        <v>500</v>
      </c>
    </row>
    <row r="88" customFormat="false" ht="15" hidden="false" customHeight="false" outlineLevel="0" collapsed="false">
      <c r="A88" s="10" t="str">
        <f aca="false">TEXT(B88,"0")&amp;"-"&amp;TEXT(C88,"00")</f>
        <v>2025-03</v>
      </c>
      <c r="B88" s="8" t="n">
        <v>2025</v>
      </c>
      <c r="C88" s="8" t="n">
        <v>3</v>
      </c>
      <c r="D88" s="5" t="s">
        <v>194</v>
      </c>
      <c r="E88" s="13" t="str">
        <f aca="false">INDEX(門市主檔!$B$2:$B$9,MATCH($D88,門市主檔!$A$2:$A$9,0))</f>
        <v>高雄左營店</v>
      </c>
      <c r="F88" s="13" t="str">
        <f aca="false">INDEX(門市主檔!$C$2:$C$9,MATCH($D88,門市主檔!$A$2:$A$9,0))</f>
        <v>南區</v>
      </c>
      <c r="G88" s="9" t="n">
        <v>2119000</v>
      </c>
      <c r="H88" s="9" t="n">
        <v>669500</v>
      </c>
      <c r="I88" s="9" t="n">
        <v>551900</v>
      </c>
      <c r="J88" s="14" t="n">
        <f aca="false">INDEX(門市主檔!$G$2:$G$9,MATCH($D88,門市主檔!$A$2:$A$9,0))</f>
        <v>210000</v>
      </c>
      <c r="K88" s="9" t="n">
        <v>136600</v>
      </c>
      <c r="L88" s="9" t="n">
        <v>61800</v>
      </c>
      <c r="M88" s="15" t="n">
        <f aca="false">SUM(H88:L88)</f>
        <v>1629800</v>
      </c>
      <c r="N88" s="15" t="n">
        <f aca="false">G88-M88</f>
        <v>489200</v>
      </c>
      <c r="O88" s="16" t="n">
        <f aca="false">IF(G88=0,0,N88/G88)</f>
        <v>0.230863614912695</v>
      </c>
      <c r="P88" s="9" t="n">
        <v>7400</v>
      </c>
      <c r="Q88" s="17" t="n">
        <f aca="false">IF(P88=0,0,P88/INDEX(月曆參數!$E$2:$E$13,MATCH($A88,月曆參數!$A$2:$A$13,0)))</f>
        <v>238.709677419355</v>
      </c>
      <c r="R88" s="15" t="n">
        <f aca="false">IF(P88=0,0,G88/P88)</f>
        <v>286.351351351351</v>
      </c>
      <c r="S88" s="6" t="s">
        <v>200</v>
      </c>
      <c r="T88" s="9" t="n">
        <v>590</v>
      </c>
    </row>
    <row r="89" customFormat="false" ht="15" hidden="false" customHeight="false" outlineLevel="0" collapsed="false">
      <c r="A89" s="10" t="str">
        <f aca="false">TEXT(B89,"0")&amp;"-"&amp;TEXT(C89,"00")</f>
        <v>2025-04</v>
      </c>
      <c r="B89" s="8" t="n">
        <v>2025</v>
      </c>
      <c r="C89" s="8" t="n">
        <v>4</v>
      </c>
      <c r="D89" s="5" t="s">
        <v>194</v>
      </c>
      <c r="E89" s="13" t="str">
        <f aca="false">INDEX(門市主檔!$B$2:$B$9,MATCH($D89,門市主檔!$A$2:$A$9,0))</f>
        <v>高雄左營店</v>
      </c>
      <c r="F89" s="13" t="str">
        <f aca="false">INDEX(門市主檔!$C$2:$C$9,MATCH($D89,門市主檔!$A$2:$A$9,0))</f>
        <v>南區</v>
      </c>
      <c r="G89" s="9" t="n">
        <v>2162000</v>
      </c>
      <c r="H89" s="9" t="n">
        <v>698600</v>
      </c>
      <c r="I89" s="9" t="n">
        <v>584300</v>
      </c>
      <c r="J89" s="14" t="n">
        <f aca="false">INDEX(門市主檔!$G$2:$G$9,MATCH($D89,門市主檔!$A$2:$A$9,0))</f>
        <v>210000</v>
      </c>
      <c r="K89" s="9" t="n">
        <v>118400</v>
      </c>
      <c r="L89" s="9" t="n">
        <v>51500</v>
      </c>
      <c r="M89" s="15" t="n">
        <f aca="false">SUM(H89:L89)</f>
        <v>1662800</v>
      </c>
      <c r="N89" s="15" t="n">
        <f aca="false">G89-M89</f>
        <v>499200</v>
      </c>
      <c r="O89" s="16" t="n">
        <f aca="false">IF(G89=0,0,N89/G89)</f>
        <v>0.230897317298797</v>
      </c>
      <c r="P89" s="9" t="n">
        <v>7400</v>
      </c>
      <c r="Q89" s="17" t="n">
        <f aca="false">IF(P89=0,0,P89/INDEX(月曆參數!$E$2:$E$13,MATCH($A89,月曆參數!$A$2:$A$13,0)))</f>
        <v>246.666666666667</v>
      </c>
      <c r="R89" s="15" t="n">
        <f aca="false">IF(P89=0,0,G89/P89)</f>
        <v>292.162162162162</v>
      </c>
      <c r="S89" s="6" t="s">
        <v>204</v>
      </c>
      <c r="T89" s="9" t="n">
        <v>510</v>
      </c>
    </row>
    <row r="90" customFormat="false" ht="15" hidden="false" customHeight="false" outlineLevel="0" collapsed="false">
      <c r="A90" s="10" t="str">
        <f aca="false">TEXT(B90,"0")&amp;"-"&amp;TEXT(C90,"00")</f>
        <v>2025-05</v>
      </c>
      <c r="B90" s="8" t="n">
        <v>2025</v>
      </c>
      <c r="C90" s="8" t="n">
        <v>5</v>
      </c>
      <c r="D90" s="5" t="s">
        <v>194</v>
      </c>
      <c r="E90" s="13" t="str">
        <f aca="false">INDEX(門市主檔!$B$2:$B$9,MATCH($D90,門市主檔!$A$2:$A$9,0))</f>
        <v>高雄左營店</v>
      </c>
      <c r="F90" s="13" t="str">
        <f aca="false">INDEX(門市主檔!$C$2:$C$9,MATCH($D90,門市主檔!$A$2:$A$9,0))</f>
        <v>南區</v>
      </c>
      <c r="G90" s="9" t="n">
        <v>2159000</v>
      </c>
      <c r="H90" s="9" t="n">
        <v>680900</v>
      </c>
      <c r="I90" s="9" t="n">
        <v>522400</v>
      </c>
      <c r="J90" s="14" t="n">
        <f aca="false">INDEX(門市主檔!$G$2:$G$9,MATCH($D90,門市主檔!$A$2:$A$9,0))</f>
        <v>210000</v>
      </c>
      <c r="K90" s="9" t="n">
        <v>114000</v>
      </c>
      <c r="L90" s="9" t="n">
        <v>63500</v>
      </c>
      <c r="M90" s="15" t="n">
        <f aca="false">SUM(H90:L90)</f>
        <v>1590800</v>
      </c>
      <c r="N90" s="15" t="n">
        <f aca="false">G90-M90</f>
        <v>568200</v>
      </c>
      <c r="O90" s="16" t="n">
        <f aca="false">IF(G90=0,0,N90/G90)</f>
        <v>0.263177396943029</v>
      </c>
      <c r="P90" s="9" t="n">
        <v>7220</v>
      </c>
      <c r="Q90" s="17" t="n">
        <f aca="false">IF(P90=0,0,P90/INDEX(月曆參數!$E$2:$E$13,MATCH($A90,月曆參數!$A$2:$A$13,0)))</f>
        <v>232.903225806452</v>
      </c>
      <c r="R90" s="15" t="n">
        <f aca="false">IF(P90=0,0,G90/P90)</f>
        <v>299.030470914127</v>
      </c>
      <c r="S90" s="6" t="s">
        <v>200</v>
      </c>
      <c r="T90" s="9" t="n">
        <v>430</v>
      </c>
    </row>
    <row r="91" customFormat="false" ht="15" hidden="false" customHeight="false" outlineLevel="0" collapsed="false">
      <c r="A91" s="10" t="str">
        <f aca="false">TEXT(B91,"0")&amp;"-"&amp;TEXT(C91,"00")</f>
        <v>2025-06</v>
      </c>
      <c r="B91" s="8" t="n">
        <v>2025</v>
      </c>
      <c r="C91" s="8" t="n">
        <v>6</v>
      </c>
      <c r="D91" s="5" t="s">
        <v>194</v>
      </c>
      <c r="E91" s="13" t="str">
        <f aca="false">INDEX(門市主檔!$B$2:$B$9,MATCH($D91,門市主檔!$A$2:$A$9,0))</f>
        <v>高雄左營店</v>
      </c>
      <c r="F91" s="13" t="str">
        <f aca="false">INDEX(門市主檔!$C$2:$C$9,MATCH($D91,門市主檔!$A$2:$A$9,0))</f>
        <v>南區</v>
      </c>
      <c r="G91" s="9" t="n">
        <v>2282000</v>
      </c>
      <c r="H91" s="9" t="n">
        <v>740600</v>
      </c>
      <c r="I91" s="9" t="n">
        <v>558900</v>
      </c>
      <c r="J91" s="14" t="n">
        <f aca="false">INDEX(門市主檔!$G$2:$G$9,MATCH($D91,門市主檔!$A$2:$A$9,0))</f>
        <v>210000</v>
      </c>
      <c r="K91" s="9" t="n">
        <v>154100</v>
      </c>
      <c r="L91" s="9" t="n">
        <v>68300</v>
      </c>
      <c r="M91" s="15" t="n">
        <f aca="false">SUM(H91:L91)</f>
        <v>1731900</v>
      </c>
      <c r="N91" s="15" t="n">
        <f aca="false">G91-M91</f>
        <v>550100</v>
      </c>
      <c r="O91" s="16" t="n">
        <f aca="false">IF(G91=0,0,N91/G91)</f>
        <v>0.241060473269062</v>
      </c>
      <c r="P91" s="9" t="n">
        <v>7390</v>
      </c>
      <c r="Q91" s="17" t="n">
        <f aca="false">IF(P91=0,0,P91/INDEX(月曆參數!$E$2:$E$13,MATCH($A91,月曆參數!$A$2:$A$13,0)))</f>
        <v>246.333333333333</v>
      </c>
      <c r="R91" s="15" t="n">
        <f aca="false">IF(P91=0,0,G91/P91)</f>
        <v>308.795669824087</v>
      </c>
      <c r="S91" s="6" t="s">
        <v>210</v>
      </c>
      <c r="T91" s="9" t="n">
        <v>700</v>
      </c>
    </row>
    <row r="92" customFormat="false" ht="15" hidden="false" customHeight="false" outlineLevel="0" collapsed="false">
      <c r="A92" s="10" t="str">
        <f aca="false">TEXT(B92,"0")&amp;"-"&amp;TEXT(C92,"00")</f>
        <v>2025-07</v>
      </c>
      <c r="B92" s="8" t="n">
        <v>2025</v>
      </c>
      <c r="C92" s="8" t="n">
        <v>7</v>
      </c>
      <c r="D92" s="5" t="s">
        <v>194</v>
      </c>
      <c r="E92" s="13" t="str">
        <f aca="false">INDEX(門市主檔!$B$2:$B$9,MATCH($D92,門市主檔!$A$2:$A$9,0))</f>
        <v>高雄左營店</v>
      </c>
      <c r="F92" s="13" t="str">
        <f aca="false">INDEX(門市主檔!$C$2:$C$9,MATCH($D92,門市主檔!$A$2:$A$9,0))</f>
        <v>南區</v>
      </c>
      <c r="G92" s="9" t="n">
        <v>2385000</v>
      </c>
      <c r="H92" s="9" t="n">
        <v>768500</v>
      </c>
      <c r="I92" s="9" t="n">
        <v>633200</v>
      </c>
      <c r="J92" s="14" t="n">
        <f aca="false">INDEX(門市主檔!$G$2:$G$9,MATCH($D92,門市主檔!$A$2:$A$9,0))</f>
        <v>210000</v>
      </c>
      <c r="K92" s="9" t="n">
        <v>137200</v>
      </c>
      <c r="L92" s="9" t="n">
        <v>50800</v>
      </c>
      <c r="M92" s="15" t="n">
        <f aca="false">SUM(H92:L92)</f>
        <v>1799700</v>
      </c>
      <c r="N92" s="15" t="n">
        <f aca="false">G92-M92</f>
        <v>585300</v>
      </c>
      <c r="O92" s="16" t="n">
        <f aca="false">IF(G92=0,0,N92/G92)</f>
        <v>0.245408805031447</v>
      </c>
      <c r="P92" s="9" t="n">
        <v>8070</v>
      </c>
      <c r="Q92" s="17" t="n">
        <f aca="false">IF(P92=0,0,P92/INDEX(月曆參數!$E$2:$E$13,MATCH($A92,月曆參數!$A$2:$A$13,0)))</f>
        <v>260.322580645161</v>
      </c>
      <c r="R92" s="15" t="n">
        <f aca="false">IF(P92=0,0,G92/P92)</f>
        <v>295.539033457249</v>
      </c>
      <c r="S92" s="6" t="s">
        <v>208</v>
      </c>
      <c r="T92" s="9" t="n">
        <v>530</v>
      </c>
    </row>
    <row r="93" customFormat="false" ht="15" hidden="false" customHeight="false" outlineLevel="0" collapsed="false">
      <c r="A93" s="10" t="str">
        <f aca="false">TEXT(B93,"0")&amp;"-"&amp;TEXT(C93,"00")</f>
        <v>2025-08</v>
      </c>
      <c r="B93" s="8" t="n">
        <v>2025</v>
      </c>
      <c r="C93" s="8" t="n">
        <v>8</v>
      </c>
      <c r="D93" s="5" t="s">
        <v>194</v>
      </c>
      <c r="E93" s="13" t="str">
        <f aca="false">INDEX(門市主檔!$B$2:$B$9,MATCH($D93,門市主檔!$A$2:$A$9,0))</f>
        <v>高雄左營店</v>
      </c>
      <c r="F93" s="13" t="str">
        <f aca="false">INDEX(門市主檔!$C$2:$C$9,MATCH($D93,門市主檔!$A$2:$A$9,0))</f>
        <v>南區</v>
      </c>
      <c r="G93" s="9" t="n">
        <v>2428000</v>
      </c>
      <c r="H93" s="9" t="n">
        <v>768700</v>
      </c>
      <c r="I93" s="9" t="n">
        <v>641100</v>
      </c>
      <c r="J93" s="14" t="n">
        <f aca="false">INDEX(門市主檔!$G$2:$G$9,MATCH($D93,門市主檔!$A$2:$A$9,0))</f>
        <v>210000</v>
      </c>
      <c r="K93" s="9" t="n">
        <v>138400</v>
      </c>
      <c r="L93" s="9" t="n">
        <v>57400</v>
      </c>
      <c r="M93" s="15" t="n">
        <f aca="false">SUM(H93:L93)</f>
        <v>1815600</v>
      </c>
      <c r="N93" s="15" t="n">
        <f aca="false">G93-M93</f>
        <v>612400</v>
      </c>
      <c r="O93" s="16" t="n">
        <f aca="false">IF(G93=0,0,N93/G93)</f>
        <v>0.252224052718287</v>
      </c>
      <c r="P93" s="9" t="n">
        <v>8100</v>
      </c>
      <c r="Q93" s="17" t="n">
        <f aca="false">IF(P93=0,0,P93/INDEX(月曆參數!$E$2:$E$13,MATCH($A93,月曆參數!$A$2:$A$13,0)))</f>
        <v>261.290322580645</v>
      </c>
      <c r="R93" s="15" t="n">
        <f aca="false">IF(P93=0,0,G93/P93)</f>
        <v>299.753086419753</v>
      </c>
      <c r="S93" s="6" t="s">
        <v>208</v>
      </c>
      <c r="T93" s="9" t="n">
        <v>660</v>
      </c>
    </row>
    <row r="94" customFormat="false" ht="15" hidden="false" customHeight="false" outlineLevel="0" collapsed="false">
      <c r="A94" s="10" t="str">
        <f aca="false">TEXT(B94,"0")&amp;"-"&amp;TEXT(C94,"00")</f>
        <v>2025-09</v>
      </c>
      <c r="B94" s="8" t="n">
        <v>2025</v>
      </c>
      <c r="C94" s="8" t="n">
        <v>9</v>
      </c>
      <c r="D94" s="5" t="s">
        <v>194</v>
      </c>
      <c r="E94" s="13" t="str">
        <f aca="false">INDEX(門市主檔!$B$2:$B$9,MATCH($D94,門市主檔!$A$2:$A$9,0))</f>
        <v>高雄左營店</v>
      </c>
      <c r="F94" s="13" t="str">
        <f aca="false">INDEX(門市主檔!$C$2:$C$9,MATCH($D94,門市主檔!$A$2:$A$9,0))</f>
        <v>南區</v>
      </c>
      <c r="G94" s="9" t="n">
        <v>2295000</v>
      </c>
      <c r="H94" s="9" t="n">
        <v>755500</v>
      </c>
      <c r="I94" s="9" t="n">
        <v>586200</v>
      </c>
      <c r="J94" s="14" t="n">
        <f aca="false">INDEX(門市主檔!$G$2:$G$9,MATCH($D94,門市主檔!$A$2:$A$9,0))</f>
        <v>210000</v>
      </c>
      <c r="K94" s="9" t="n">
        <v>125000</v>
      </c>
      <c r="L94" s="9" t="n">
        <v>73100</v>
      </c>
      <c r="M94" s="15" t="n">
        <f aca="false">SUM(H94:L94)</f>
        <v>1749800</v>
      </c>
      <c r="N94" s="15" t="n">
        <f aca="false">G94-M94</f>
        <v>545200</v>
      </c>
      <c r="O94" s="16" t="n">
        <f aca="false">IF(G94=0,0,N94/G94)</f>
        <v>0.237559912854031</v>
      </c>
      <c r="P94" s="9" t="n">
        <v>8180</v>
      </c>
      <c r="Q94" s="17" t="n">
        <f aca="false">IF(P94=0,0,P94/INDEX(月曆參數!$E$2:$E$13,MATCH($A94,月曆參數!$A$2:$A$13,0)))</f>
        <v>272.666666666667</v>
      </c>
      <c r="R94" s="15" t="n">
        <f aca="false">IF(P94=0,0,G94/P94)</f>
        <v>280.562347188264</v>
      </c>
      <c r="S94" s="6" t="s">
        <v>201</v>
      </c>
      <c r="T94" s="9" t="n">
        <v>590</v>
      </c>
    </row>
    <row r="95" customFormat="false" ht="15" hidden="false" customHeight="false" outlineLevel="0" collapsed="false">
      <c r="A95" s="10" t="str">
        <f aca="false">TEXT(B95,"0")&amp;"-"&amp;TEXT(C95,"00")</f>
        <v>2025-10</v>
      </c>
      <c r="B95" s="8" t="n">
        <v>2025</v>
      </c>
      <c r="C95" s="8" t="n">
        <v>10</v>
      </c>
      <c r="D95" s="5" t="s">
        <v>194</v>
      </c>
      <c r="E95" s="13" t="str">
        <f aca="false">INDEX(門市主檔!$B$2:$B$9,MATCH($D95,門市主檔!$A$2:$A$9,0))</f>
        <v>高雄左營店</v>
      </c>
      <c r="F95" s="13" t="str">
        <f aca="false">INDEX(門市主檔!$C$2:$C$9,MATCH($D95,門市主檔!$A$2:$A$9,0))</f>
        <v>南區</v>
      </c>
      <c r="G95" s="9" t="n">
        <v>2360000</v>
      </c>
      <c r="H95" s="9" t="n">
        <v>736900</v>
      </c>
      <c r="I95" s="9" t="n">
        <v>631600</v>
      </c>
      <c r="J95" s="14" t="n">
        <f aca="false">INDEX(門市主檔!$G$2:$G$9,MATCH($D95,門市主檔!$A$2:$A$9,0))</f>
        <v>210000</v>
      </c>
      <c r="K95" s="9" t="n">
        <v>149900</v>
      </c>
      <c r="L95" s="9" t="n">
        <v>52900</v>
      </c>
      <c r="M95" s="15" t="n">
        <f aca="false">SUM(H95:L95)</f>
        <v>1781300</v>
      </c>
      <c r="N95" s="15" t="n">
        <f aca="false">G95-M95</f>
        <v>578700</v>
      </c>
      <c r="O95" s="16" t="n">
        <f aca="false">IF(G95=0,0,N95/G95)</f>
        <v>0.24521186440678</v>
      </c>
      <c r="P95" s="9" t="n">
        <v>8080</v>
      </c>
      <c r="Q95" s="17" t="n">
        <f aca="false">IF(P95=0,0,P95/INDEX(月曆參數!$E$2:$E$13,MATCH($A95,月曆參數!$A$2:$A$13,0)))</f>
        <v>260.645161290323</v>
      </c>
      <c r="R95" s="15" t="n">
        <f aca="false">IF(P95=0,0,G95/P95)</f>
        <v>292.079207920792</v>
      </c>
      <c r="S95" s="6" t="s">
        <v>200</v>
      </c>
      <c r="T95" s="9" t="n">
        <v>680</v>
      </c>
    </row>
    <row r="96" customFormat="false" ht="15" hidden="false" customHeight="false" outlineLevel="0" collapsed="false">
      <c r="A96" s="10" t="str">
        <f aca="false">TEXT(B96,"0")&amp;"-"&amp;TEXT(C96,"00")</f>
        <v>2025-11</v>
      </c>
      <c r="B96" s="8" t="n">
        <v>2025</v>
      </c>
      <c r="C96" s="8" t="n">
        <v>11</v>
      </c>
      <c r="D96" s="5" t="s">
        <v>194</v>
      </c>
      <c r="E96" s="13" t="str">
        <f aca="false">INDEX(門市主檔!$B$2:$B$9,MATCH($D96,門市主檔!$A$2:$A$9,0))</f>
        <v>高雄左營店</v>
      </c>
      <c r="F96" s="13" t="str">
        <f aca="false">INDEX(門市主檔!$C$2:$C$9,MATCH($D96,門市主檔!$A$2:$A$9,0))</f>
        <v>南區</v>
      </c>
      <c r="G96" s="9" t="n">
        <v>2457000</v>
      </c>
      <c r="H96" s="9" t="n">
        <v>834800</v>
      </c>
      <c r="I96" s="9" t="n">
        <v>603600</v>
      </c>
      <c r="J96" s="14" t="n">
        <f aca="false">INDEX(門市主檔!$G$2:$G$9,MATCH($D96,門市主檔!$A$2:$A$9,0))</f>
        <v>210000</v>
      </c>
      <c r="K96" s="9" t="n">
        <v>124800</v>
      </c>
      <c r="L96" s="9" t="n">
        <v>75200</v>
      </c>
      <c r="M96" s="15" t="n">
        <f aca="false">SUM(H96:L96)</f>
        <v>1848400</v>
      </c>
      <c r="N96" s="15" t="n">
        <f aca="false">G96-M96</f>
        <v>608600</v>
      </c>
      <c r="O96" s="16" t="n">
        <f aca="false">IF(G96=0,0,N96/G96)</f>
        <v>0.247700447700448</v>
      </c>
      <c r="P96" s="9" t="n">
        <v>8440</v>
      </c>
      <c r="Q96" s="17" t="n">
        <f aca="false">IF(P96=0,0,P96/INDEX(月曆參數!$E$2:$E$13,MATCH($A96,月曆參數!$A$2:$A$13,0)))</f>
        <v>281.333333333333</v>
      </c>
      <c r="R96" s="15" t="n">
        <f aca="false">IF(P96=0,0,G96/P96)</f>
        <v>291.113744075829</v>
      </c>
      <c r="S96" s="6" t="s">
        <v>200</v>
      </c>
      <c r="T96" s="9" t="n">
        <v>530</v>
      </c>
    </row>
    <row r="97" customFormat="false" ht="15" hidden="false" customHeight="false" outlineLevel="0" collapsed="false">
      <c r="A97" s="10" t="str">
        <f aca="false">TEXT(B97,"0")&amp;"-"&amp;TEXT(C97,"00")</f>
        <v>2025-12</v>
      </c>
      <c r="B97" s="8" t="n">
        <v>2025</v>
      </c>
      <c r="C97" s="8" t="n">
        <v>12</v>
      </c>
      <c r="D97" s="5" t="s">
        <v>194</v>
      </c>
      <c r="E97" s="13" t="str">
        <f aca="false">INDEX(門市主檔!$B$2:$B$9,MATCH($D97,門市主檔!$A$2:$A$9,0))</f>
        <v>高雄左營店</v>
      </c>
      <c r="F97" s="13" t="str">
        <f aca="false">INDEX(門市主檔!$C$2:$C$9,MATCH($D97,門市主檔!$A$2:$A$9,0))</f>
        <v>南區</v>
      </c>
      <c r="G97" s="9" t="n">
        <v>2617000</v>
      </c>
      <c r="H97" s="9" t="n">
        <v>790200</v>
      </c>
      <c r="I97" s="9" t="n">
        <v>625500</v>
      </c>
      <c r="J97" s="14" t="n">
        <f aca="false">INDEX(門市主檔!$G$2:$G$9,MATCH($D97,門市主檔!$A$2:$A$9,0))</f>
        <v>210000</v>
      </c>
      <c r="K97" s="9" t="n">
        <v>154600</v>
      </c>
      <c r="L97" s="9" t="n">
        <v>79100</v>
      </c>
      <c r="M97" s="15" t="n">
        <f aca="false">SUM(H97:L97)</f>
        <v>1859400</v>
      </c>
      <c r="N97" s="15" t="n">
        <f aca="false">G97-M97</f>
        <v>757600</v>
      </c>
      <c r="O97" s="16" t="n">
        <f aca="false">IF(G97=0,0,N97/G97)</f>
        <v>0.289491784486053</v>
      </c>
      <c r="P97" s="9" t="n">
        <v>8570</v>
      </c>
      <c r="Q97" s="17" t="n">
        <f aca="false">IF(P97=0,0,P97/INDEX(月曆參數!$E$2:$E$13,MATCH($A97,月曆參數!$A$2:$A$13,0)))</f>
        <v>276.451612903226</v>
      </c>
      <c r="R97" s="15" t="n">
        <f aca="false">IF(P97=0,0,G97/P97)</f>
        <v>305.36756126021</v>
      </c>
      <c r="S97" s="6" t="s">
        <v>206</v>
      </c>
      <c r="T97" s="9" t="n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6" min="4" style="0" width="14"/>
    <col collapsed="false" customWidth="true" hidden="false" outlineLevel="0" max="10" min="7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30" hidden="false" customHeight="true" outlineLevel="0" collapsed="false">
      <c r="A1" s="1" t="s">
        <v>38</v>
      </c>
      <c r="B1" s="1" t="s">
        <v>43</v>
      </c>
      <c r="C1" s="1" t="s">
        <v>46</v>
      </c>
      <c r="D1" s="1" t="s">
        <v>129</v>
      </c>
      <c r="E1" s="1" t="s">
        <v>131</v>
      </c>
      <c r="F1" s="1" t="s">
        <v>133</v>
      </c>
      <c r="G1" s="1" t="s">
        <v>106</v>
      </c>
      <c r="H1" s="1" t="s">
        <v>136</v>
      </c>
      <c r="I1" s="1" t="s">
        <v>115</v>
      </c>
      <c r="J1" s="1" t="s">
        <v>119</v>
      </c>
      <c r="K1" s="1" t="s">
        <v>138</v>
      </c>
      <c r="L1" s="1" t="s">
        <v>140</v>
      </c>
      <c r="M1" s="1" t="s">
        <v>142</v>
      </c>
    </row>
    <row r="2" customFormat="false" ht="15" hidden="false" customHeight="false" outlineLevel="0" collapsed="false">
      <c r="A2" s="5" t="s">
        <v>165</v>
      </c>
      <c r="B2" s="13" t="str">
        <f aca="false">INDEX(門市主檔!$B$2:$B$9,MATCH($A2,門市主檔!$A$2:$A$9,0))</f>
        <v>台北信義旗艦店</v>
      </c>
      <c r="C2" s="13" t="str">
        <f aca="false">INDEX(門市主檔!$C$2:$C$9,MATCH($A2,門市主檔!$A$2:$A$9,0))</f>
        <v>北區</v>
      </c>
      <c r="D2" s="15" t="n">
        <f aca="false">SUMIFS(月營運明細!$G$2:$G$97,月營運明細!$D$2:$D$97,$A2)</f>
        <v>36939000</v>
      </c>
      <c r="E2" s="15" t="n">
        <f aca="false">SUMIFS(月營運明細!$M$2:$M$97,月營運明細!$D$2:$D$97,$A2)</f>
        <v>29866400</v>
      </c>
      <c r="F2" s="15" t="n">
        <f aca="false">D2-E2</f>
        <v>7072600</v>
      </c>
      <c r="G2" s="16" t="n">
        <f aca="false">IF(D2=0,0,F2/D2)</f>
        <v>0.191467013183898</v>
      </c>
      <c r="H2" s="15" t="n">
        <f aca="false">SUMIFS(月營運明細!$P$2:$P$97,月營運明細!$D$2:$D$97,$A2)</f>
        <v>96370</v>
      </c>
      <c r="I2" s="17" t="n">
        <f aca="false">IF(SUM(月曆參數!$E$2:$E$13)=0,0,H2/SUM(月曆參數!$E$2:$E$13))</f>
        <v>264.027397260274</v>
      </c>
      <c r="J2" s="15" t="n">
        <f aca="false">IF(H2=0,0,D2/H2)</f>
        <v>383.303932759157</v>
      </c>
      <c r="K2" s="12" t="n">
        <f aca="false">SUMPRODUCT((月營運明細!$D$2:$D$97=$A2)*(月營運明細!$G$2:$G$97=$L2)*月營運明細!$C$2:$C$97)</f>
        <v>1</v>
      </c>
      <c r="L2" s="15" t="n">
        <f aca="false">SUMPRODUCT(MAX((月營運明細!$D$2:$D$97=$A2)*月營運明細!$G$2:$G$97))</f>
        <v>3542000</v>
      </c>
      <c r="M2" s="12" t="n">
        <f aca="false">RANK(D2,$D$2:$D$9)</f>
        <v>1</v>
      </c>
    </row>
    <row r="3" customFormat="false" ht="15" hidden="false" customHeight="false" outlineLevel="0" collapsed="false">
      <c r="A3" s="5" t="s">
        <v>170</v>
      </c>
      <c r="B3" s="13" t="str">
        <f aca="false">INDEX(門市主檔!$B$2:$B$9,MATCH($A3,門市主檔!$A$2:$A$9,0))</f>
        <v>台北中山店</v>
      </c>
      <c r="C3" s="13" t="str">
        <f aca="false">INDEX(門市主檔!$C$2:$C$9,MATCH($A3,門市主檔!$A$2:$A$9,0))</f>
        <v>北區</v>
      </c>
      <c r="D3" s="15" t="n">
        <f aca="false">SUMIFS(月營運明細!$G$2:$G$97,月營運明細!$D$2:$D$97,$A3)</f>
        <v>28101000</v>
      </c>
      <c r="E3" s="15" t="n">
        <f aca="false">SUMIFS(月營運明細!$M$2:$M$97,月營運明細!$D$2:$D$97,$A3)</f>
        <v>22542000</v>
      </c>
      <c r="F3" s="15" t="n">
        <f aca="false">D3-E3</f>
        <v>5559000</v>
      </c>
      <c r="G3" s="16" t="n">
        <f aca="false">IF(D3=0,0,F3/D3)</f>
        <v>0.197822141560799</v>
      </c>
      <c r="H3" s="15" t="n">
        <f aca="false">SUMIFS(月營運明細!$P$2:$P$97,月營運明細!$D$2:$D$97,$A3)</f>
        <v>79150</v>
      </c>
      <c r="I3" s="17" t="n">
        <f aca="false">IF(SUM(月曆參數!$E$2:$E$13)=0,0,H3/SUM(月曆參數!$E$2:$E$13))</f>
        <v>216.849315068493</v>
      </c>
      <c r="J3" s="15" t="n">
        <f aca="false">IF(H3=0,0,D3/H3)</f>
        <v>355.034744156665</v>
      </c>
      <c r="K3" s="12" t="n">
        <f aca="false">SUMPRODUCT((月營運明細!$D$2:$D$97=$A3)*(月營運明細!$G$2:$G$97=$L3)*月營運明細!$C$2:$C$97)</f>
        <v>12</v>
      </c>
      <c r="L3" s="15" t="n">
        <f aca="false">SUMPRODUCT(MAX((月營運明細!$D$2:$D$97=$A3)*月營運明細!$G$2:$G$97))</f>
        <v>2710000</v>
      </c>
      <c r="M3" s="12" t="n">
        <f aca="false">RANK(D3,$D$2:$D$9)</f>
        <v>4</v>
      </c>
    </row>
    <row r="4" customFormat="false" ht="15" hidden="false" customHeight="false" outlineLevel="0" collapsed="false">
      <c r="A4" s="5" t="s">
        <v>173</v>
      </c>
      <c r="B4" s="13" t="str">
        <f aca="false">INDEX(門市主檔!$B$2:$B$9,MATCH($A4,門市主檔!$A$2:$A$9,0))</f>
        <v>新北板橋店</v>
      </c>
      <c r="C4" s="13" t="str">
        <f aca="false">INDEX(門市主檔!$C$2:$C$9,MATCH($A4,門市主檔!$A$2:$A$9,0))</f>
        <v>北區</v>
      </c>
      <c r="D4" s="15" t="n">
        <f aca="false">SUMIFS(月營運明細!$G$2:$G$97,月營運明細!$D$2:$D$97,$A4)</f>
        <v>29272000</v>
      </c>
      <c r="E4" s="15" t="n">
        <f aca="false">SUMIFS(月營運明細!$M$2:$M$97,月營運明細!$D$2:$D$97,$A4)</f>
        <v>22561900</v>
      </c>
      <c r="F4" s="15" t="n">
        <f aca="false">D4-E4</f>
        <v>6710100</v>
      </c>
      <c r="G4" s="16" t="n">
        <f aca="false">IF(D4=0,0,F4/D4)</f>
        <v>0.229232713856245</v>
      </c>
      <c r="H4" s="15" t="n">
        <f aca="false">SUMIFS(月營運明細!$P$2:$P$97,月營運明細!$D$2:$D$97,$A4)</f>
        <v>95450</v>
      </c>
      <c r="I4" s="17" t="n">
        <f aca="false">IF(SUM(月曆參數!$E$2:$E$13)=0,0,H4/SUM(月曆參數!$E$2:$E$13))</f>
        <v>261.506849315069</v>
      </c>
      <c r="J4" s="15" t="n">
        <f aca="false">IF(H4=0,0,D4/H4)</f>
        <v>306.673651126244</v>
      </c>
      <c r="K4" s="12" t="n">
        <f aca="false">SUMPRODUCT((月營運明細!$D$2:$D$97=$A4)*(月營運明細!$G$2:$G$97=$L4)*月營運明細!$C$2:$C$97)</f>
        <v>8</v>
      </c>
      <c r="L4" s="15" t="n">
        <f aca="false">SUMPRODUCT(MAX((月營運明細!$D$2:$D$97=$A4)*月營運明細!$G$2:$G$97))</f>
        <v>2761000</v>
      </c>
      <c r="M4" s="12" t="n">
        <f aca="false">RANK(D4,$D$2:$D$9)</f>
        <v>3</v>
      </c>
    </row>
    <row r="5" customFormat="false" ht="15" hidden="false" customHeight="false" outlineLevel="0" collapsed="false">
      <c r="A5" s="5" t="s">
        <v>177</v>
      </c>
      <c r="B5" s="13" t="str">
        <f aca="false">INDEX(門市主檔!$B$2:$B$9,MATCH($A5,門市主檔!$A$2:$A$9,0))</f>
        <v>桃園中壢店</v>
      </c>
      <c r="C5" s="13" t="str">
        <f aca="false">INDEX(門市主檔!$C$2:$C$9,MATCH($A5,門市主檔!$A$2:$A$9,0))</f>
        <v>北區</v>
      </c>
      <c r="D5" s="15" t="n">
        <f aca="false">SUMIFS(月營運明細!$G$2:$G$97,月營運明細!$D$2:$D$97,$A5)</f>
        <v>23153000</v>
      </c>
      <c r="E5" s="15" t="n">
        <f aca="false">SUMIFS(月營運明細!$M$2:$M$97,月營運明細!$D$2:$D$97,$A5)</f>
        <v>17498000</v>
      </c>
      <c r="F5" s="15" t="n">
        <f aca="false">D5-E5</f>
        <v>5655000</v>
      </c>
      <c r="G5" s="16" t="n">
        <f aca="false">IF(D5=0,0,F5/D5)</f>
        <v>0.244244806288602</v>
      </c>
      <c r="H5" s="15" t="n">
        <f aca="false">SUMIFS(月營運明細!$P$2:$P$97,月營運明細!$D$2:$D$97,$A5)</f>
        <v>81300</v>
      </c>
      <c r="I5" s="17" t="n">
        <f aca="false">IF(SUM(月曆參數!$E$2:$E$13)=0,0,H5/SUM(月曆參數!$E$2:$E$13))</f>
        <v>222.739726027397</v>
      </c>
      <c r="J5" s="15" t="n">
        <f aca="false">IF(H5=0,0,D5/H5)</f>
        <v>284.784747847478</v>
      </c>
      <c r="K5" s="12" t="n">
        <f aca="false">SUMPRODUCT((月營運明細!$D$2:$D$97=$A5)*(月營運明細!$G$2:$G$97=$L5)*月營運明細!$C$2:$C$97)</f>
        <v>12</v>
      </c>
      <c r="L5" s="15" t="n">
        <f aca="false">SUMPRODUCT(MAX((月營運明細!$D$2:$D$97=$A5)*月營運明細!$G$2:$G$97))</f>
        <v>2180000</v>
      </c>
      <c r="M5" s="12" t="n">
        <f aca="false">RANK(D5,$D$2:$D$9)</f>
        <v>7</v>
      </c>
    </row>
    <row r="6" customFormat="false" ht="15" hidden="false" customHeight="false" outlineLevel="0" collapsed="false">
      <c r="A6" s="5" t="s">
        <v>181</v>
      </c>
      <c r="B6" s="13" t="str">
        <f aca="false">INDEX(門市主檔!$B$2:$B$9,MATCH($A6,門市主檔!$A$2:$A$9,0))</f>
        <v>台中逢甲店</v>
      </c>
      <c r="C6" s="13" t="str">
        <f aca="false">INDEX(門市主檔!$C$2:$C$9,MATCH($A6,門市主檔!$A$2:$A$9,0))</f>
        <v>中區</v>
      </c>
      <c r="D6" s="15" t="n">
        <f aca="false">SUMIFS(月營運明細!$G$2:$G$97,月營運明細!$D$2:$D$97,$A6)</f>
        <v>30550000</v>
      </c>
      <c r="E6" s="15" t="n">
        <f aca="false">SUMIFS(月營運明細!$M$2:$M$97,月營運明細!$D$2:$D$97,$A6)</f>
        <v>22865300</v>
      </c>
      <c r="F6" s="15" t="n">
        <f aca="false">D6-E6</f>
        <v>7684700</v>
      </c>
      <c r="G6" s="16" t="n">
        <f aca="false">IF(D6=0,0,F6/D6)</f>
        <v>0.251545008183306</v>
      </c>
      <c r="H6" s="15" t="n">
        <f aca="false">SUMIFS(月營運明細!$P$2:$P$97,月營運明細!$D$2:$D$97,$A6)</f>
        <v>109380</v>
      </c>
      <c r="I6" s="17" t="n">
        <f aca="false">IF(SUM(月曆參數!$E$2:$E$13)=0,0,H6/SUM(月曆參數!$E$2:$E$13))</f>
        <v>299.671232876712</v>
      </c>
      <c r="J6" s="15" t="n">
        <f aca="false">IF(H6=0,0,D6/H6)</f>
        <v>279.301517644908</v>
      </c>
      <c r="K6" s="12" t="n">
        <f aca="false">SUMPRODUCT((月營運明細!$D$2:$D$97=$A6)*(月營運明細!$G$2:$G$97=$L6)*月營運明細!$C$2:$C$97)</f>
        <v>8</v>
      </c>
      <c r="L6" s="15" t="n">
        <f aca="false">SUMPRODUCT(MAX((月營運明細!$D$2:$D$97=$A6)*月營運明細!$G$2:$G$97))</f>
        <v>2880000</v>
      </c>
      <c r="M6" s="12" t="n">
        <f aca="false">RANK(D6,$D$2:$D$9)</f>
        <v>2</v>
      </c>
    </row>
    <row r="7" customFormat="false" ht="15" hidden="false" customHeight="false" outlineLevel="0" collapsed="false">
      <c r="A7" s="5" t="s">
        <v>186</v>
      </c>
      <c r="B7" s="13" t="str">
        <f aca="false">INDEX(門市主檔!$B$2:$B$9,MATCH($A7,門市主檔!$A$2:$A$9,0))</f>
        <v>台中七期店</v>
      </c>
      <c r="C7" s="13" t="str">
        <f aca="false">INDEX(門市主檔!$C$2:$C$9,MATCH($A7,門市主檔!$A$2:$A$9,0))</f>
        <v>中區</v>
      </c>
      <c r="D7" s="15" t="n">
        <f aca="false">SUMIFS(月營運明細!$G$2:$G$97,月營運明細!$D$2:$D$97,$A7)</f>
        <v>26174000</v>
      </c>
      <c r="E7" s="15" t="n">
        <f aca="false">SUMIFS(月營運明細!$M$2:$M$97,月營運明細!$D$2:$D$97,$A7)</f>
        <v>20714400</v>
      </c>
      <c r="F7" s="15" t="n">
        <f aca="false">D7-E7</f>
        <v>5459600</v>
      </c>
      <c r="G7" s="16" t="n">
        <f aca="false">IF(D7=0,0,F7/D7)</f>
        <v>0.20858867578513</v>
      </c>
      <c r="H7" s="15" t="n">
        <f aca="false">SUMIFS(月營運明細!$P$2:$P$97,月營運明細!$D$2:$D$97,$A7)</f>
        <v>74610</v>
      </c>
      <c r="I7" s="17" t="n">
        <f aca="false">IF(SUM(月曆參數!$E$2:$E$13)=0,0,H7/SUM(月曆參數!$E$2:$E$13))</f>
        <v>204.41095890411</v>
      </c>
      <c r="J7" s="15" t="n">
        <f aca="false">IF(H7=0,0,D7/H7)</f>
        <v>350.810883259617</v>
      </c>
      <c r="K7" s="12" t="n">
        <f aca="false">SUMPRODUCT((月營運明細!$D$2:$D$97=$A7)*(月營運明細!$G$2:$G$97=$L7)*月營運明細!$C$2:$C$97)</f>
        <v>1</v>
      </c>
      <c r="L7" s="15" t="n">
        <f aca="false">SUMPRODUCT(MAX((月營運明細!$D$2:$D$97=$A7)*月營運明細!$G$2:$G$97))</f>
        <v>2462000</v>
      </c>
      <c r="M7" s="12" t="n">
        <f aca="false">RANK(D7,$D$2:$D$9)</f>
        <v>6</v>
      </c>
    </row>
    <row r="8" customFormat="false" ht="15" hidden="false" customHeight="false" outlineLevel="0" collapsed="false">
      <c r="A8" s="5" t="s">
        <v>189</v>
      </c>
      <c r="B8" s="13" t="str">
        <f aca="false">INDEX(門市主檔!$B$2:$B$9,MATCH($A8,門市主檔!$A$2:$A$9,0))</f>
        <v>台南中西店</v>
      </c>
      <c r="C8" s="13" t="str">
        <f aca="false">INDEX(門市主檔!$C$2:$C$9,MATCH($A8,門市主檔!$A$2:$A$9,0))</f>
        <v>南區</v>
      </c>
      <c r="D8" s="15" t="n">
        <f aca="false">SUMIFS(月營運明細!$G$2:$G$97,月營運明細!$D$2:$D$97,$A8)</f>
        <v>21591000</v>
      </c>
      <c r="E8" s="15" t="n">
        <f aca="false">SUMIFS(月營運明細!$M$2:$M$97,月營運明細!$D$2:$D$97,$A8)</f>
        <v>16196100</v>
      </c>
      <c r="F8" s="15" t="n">
        <f aca="false">D8-E8</f>
        <v>5394900</v>
      </c>
      <c r="G8" s="16" t="n">
        <f aca="false">IF(D8=0,0,F8/D8)</f>
        <v>0.249868000555787</v>
      </c>
      <c r="H8" s="15" t="n">
        <f aca="false">SUMIFS(月營運明細!$P$2:$P$97,月營運明細!$D$2:$D$97,$A8)</f>
        <v>80660</v>
      </c>
      <c r="I8" s="17" t="n">
        <f aca="false">IF(SUM(月曆參數!$E$2:$E$13)=0,0,H8/SUM(月曆參數!$E$2:$E$13))</f>
        <v>220.986301369863</v>
      </c>
      <c r="J8" s="15" t="n">
        <f aca="false">IF(H8=0,0,D8/H8)</f>
        <v>267.679147036945</v>
      </c>
      <c r="K8" s="12" t="n">
        <f aca="false">SUMPRODUCT((月營運明細!$D$2:$D$97=$A8)*(月營運明細!$G$2:$G$97=$L8)*月營運明細!$C$2:$C$97)</f>
        <v>8</v>
      </c>
      <c r="L8" s="15" t="n">
        <f aca="false">SUMPRODUCT(MAX((月營運明細!$D$2:$D$97=$A8)*月營運明細!$G$2:$G$97))</f>
        <v>1966000</v>
      </c>
      <c r="M8" s="12" t="n">
        <f aca="false">RANK(D8,$D$2:$D$9)</f>
        <v>8</v>
      </c>
    </row>
    <row r="9" customFormat="false" ht="15" hidden="false" customHeight="false" outlineLevel="0" collapsed="false">
      <c r="A9" s="5" t="s">
        <v>194</v>
      </c>
      <c r="B9" s="13" t="str">
        <f aca="false">INDEX(門市主檔!$B$2:$B$9,MATCH($A9,門市主檔!$A$2:$A$9,0))</f>
        <v>高雄左營店</v>
      </c>
      <c r="C9" s="13" t="str">
        <f aca="false">INDEX(門市主檔!$C$2:$C$9,MATCH($A9,門市主檔!$A$2:$A$9,0))</f>
        <v>南區</v>
      </c>
      <c r="D9" s="15" t="n">
        <f aca="false">SUMIFS(月營運明細!$G$2:$G$97,月營運明細!$D$2:$D$97,$A9)</f>
        <v>28033000</v>
      </c>
      <c r="E9" s="15" t="n">
        <f aca="false">SUMIFS(月營運明細!$M$2:$M$97,月營運明細!$D$2:$D$97,$A9)</f>
        <v>20974700</v>
      </c>
      <c r="F9" s="15" t="n">
        <f aca="false">D9-E9</f>
        <v>7058300</v>
      </c>
      <c r="G9" s="16" t="n">
        <f aca="false">IF(D9=0,0,F9/D9)</f>
        <v>0.251785395783541</v>
      </c>
      <c r="H9" s="15" t="n">
        <f aca="false">SUMIFS(月營運明細!$P$2:$P$97,月營運明細!$D$2:$D$97,$A9)</f>
        <v>95580</v>
      </c>
      <c r="I9" s="17" t="n">
        <f aca="false">IF(SUM(月曆參數!$E$2:$E$13)=0,0,H9/SUM(月曆參數!$E$2:$E$13))</f>
        <v>261.86301369863</v>
      </c>
      <c r="J9" s="15" t="n">
        <f aca="false">IF(H9=0,0,D9/H9)</f>
        <v>293.293576061938</v>
      </c>
      <c r="K9" s="12" t="n">
        <f aca="false">SUMPRODUCT((月營運明細!$D$2:$D$97=$A9)*(月營運明細!$G$2:$G$97=$L9)*月營運明細!$C$2:$C$97)</f>
        <v>12</v>
      </c>
      <c r="L9" s="15" t="n">
        <f aca="false">SUMPRODUCT(MAX((月營運明細!$D$2:$D$97=$A9)*月營運明細!$G$2:$G$97))</f>
        <v>2617000</v>
      </c>
      <c r="M9" s="12" t="n">
        <f aca="false">RANK(D9,$D$2:$D$9)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6" min="4" style="0" width="14"/>
    <col collapsed="false" customWidth="true" hidden="false" outlineLevel="0" max="10" min="7" style="0" width="12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66</v>
      </c>
      <c r="B1" s="1" t="s">
        <v>70</v>
      </c>
      <c r="C1" s="1" t="s">
        <v>72</v>
      </c>
      <c r="D1" s="1" t="s">
        <v>82</v>
      </c>
      <c r="E1" s="1" t="s">
        <v>100</v>
      </c>
      <c r="F1" s="1" t="s">
        <v>103</v>
      </c>
      <c r="G1" s="1" t="s">
        <v>106</v>
      </c>
      <c r="H1" s="1" t="s">
        <v>111</v>
      </c>
      <c r="I1" s="1" t="s">
        <v>115</v>
      </c>
      <c r="J1" s="1" t="s">
        <v>119</v>
      </c>
      <c r="K1" s="1" t="s">
        <v>146</v>
      </c>
    </row>
    <row r="2" customFormat="false" ht="15" hidden="false" customHeight="false" outlineLevel="0" collapsed="false">
      <c r="A2" s="13" t="str">
        <f aca="false">月曆參數!A2</f>
        <v>2025-01</v>
      </c>
      <c r="B2" s="18" t="n">
        <f aca="false">月曆參數!B2</f>
        <v>2025</v>
      </c>
      <c r="C2" s="18" t="n">
        <f aca="false">月曆參數!C2</f>
        <v>1</v>
      </c>
      <c r="D2" s="15" t="n">
        <f aca="false">SUMIFS(月營運明細!$G$2:$G$97,月營運明細!$A$2:$A$97,$A2)</f>
        <v>20351000</v>
      </c>
      <c r="E2" s="15" t="n">
        <f aca="false">SUMIFS(月營運明細!$M$2:$M$97,月營運明細!$A$2:$A$97,$A2)</f>
        <v>15538700</v>
      </c>
      <c r="F2" s="15" t="n">
        <f aca="false">D2-E2</f>
        <v>4812300</v>
      </c>
      <c r="G2" s="16" t="n">
        <f aca="false">IF(D2=0,0,F2/D2)</f>
        <v>0.236465038573043</v>
      </c>
      <c r="H2" s="15" t="n">
        <f aca="false">SUMIFS(月營運明細!$P$2:$P$97,月營運明細!$A$2:$A$97,$A2)</f>
        <v>65300</v>
      </c>
      <c r="I2" s="17" t="n">
        <f aca="false">IF(月曆參數!E2=0,0,H2/月曆參數!E2)</f>
        <v>2106.45161290323</v>
      </c>
      <c r="J2" s="15" t="n">
        <f aca="false">IF(H2=0,0,D2/H2)</f>
        <v>311.653905053599</v>
      </c>
      <c r="K2" s="16"/>
    </row>
    <row r="3" customFormat="false" ht="15" hidden="false" customHeight="false" outlineLevel="0" collapsed="false">
      <c r="A3" s="13" t="str">
        <f aca="false">月曆參數!A3</f>
        <v>2025-02</v>
      </c>
      <c r="B3" s="18" t="n">
        <f aca="false">月曆參數!B3</f>
        <v>2025</v>
      </c>
      <c r="C3" s="18" t="n">
        <f aca="false">月曆參數!C3</f>
        <v>2</v>
      </c>
      <c r="D3" s="15" t="n">
        <f aca="false">SUMIFS(月營運明細!$G$2:$G$97,月營運明細!$A$2:$A$97,$A3)</f>
        <v>18518000</v>
      </c>
      <c r="E3" s="15" t="n">
        <f aca="false">SUMIFS(月營運明細!$M$2:$M$97,月營運明細!$A$2:$A$97,$A3)</f>
        <v>14345100</v>
      </c>
      <c r="F3" s="15" t="n">
        <f aca="false">D3-E3</f>
        <v>4172900</v>
      </c>
      <c r="G3" s="16" t="n">
        <f aca="false">IF(D3=0,0,F3/D3)</f>
        <v>0.225342909601469</v>
      </c>
      <c r="H3" s="15" t="n">
        <f aca="false">SUMIFS(月營運明細!$P$2:$P$97,月營運明細!$A$2:$A$97,$A3)</f>
        <v>58660</v>
      </c>
      <c r="I3" s="17" t="n">
        <f aca="false">IF(月曆參數!E3=0,0,H3/月曆參數!E3)</f>
        <v>2095</v>
      </c>
      <c r="J3" s="15" t="n">
        <f aca="false">IF(H3=0,0,D3/H3)</f>
        <v>315.683600409137</v>
      </c>
      <c r="K3" s="16" t="n">
        <f aca="false">IF(D2=0,0,D3/D2-1)</f>
        <v>-0.0900692840646651</v>
      </c>
    </row>
    <row r="4" customFormat="false" ht="15" hidden="false" customHeight="false" outlineLevel="0" collapsed="false">
      <c r="A4" s="13" t="str">
        <f aca="false">月曆參數!A4</f>
        <v>2025-03</v>
      </c>
      <c r="B4" s="18" t="n">
        <f aca="false">月曆參數!B4</f>
        <v>2025</v>
      </c>
      <c r="C4" s="18" t="n">
        <f aca="false">月曆參數!C4</f>
        <v>3</v>
      </c>
      <c r="D4" s="15" t="n">
        <f aca="false">SUMIFS(月營運明細!$G$2:$G$97,月營運明細!$A$2:$A$97,$A4)</f>
        <v>16834000</v>
      </c>
      <c r="E4" s="15" t="n">
        <f aca="false">SUMIFS(月營運明細!$M$2:$M$97,月營運明細!$A$2:$A$97,$A4)</f>
        <v>13366000</v>
      </c>
      <c r="F4" s="15" t="n">
        <f aca="false">D4-E4</f>
        <v>3468000</v>
      </c>
      <c r="G4" s="16" t="n">
        <f aca="false">IF(D4=0,0,F4/D4)</f>
        <v>0.206011643103243</v>
      </c>
      <c r="H4" s="15" t="n">
        <f aca="false">SUMIFS(月營運明細!$P$2:$P$97,月營運明細!$A$2:$A$97,$A4)</f>
        <v>54490</v>
      </c>
      <c r="I4" s="17" t="n">
        <f aca="false">IF(月曆參數!E4=0,0,H4/月曆參數!E4)</f>
        <v>1757.74193548387</v>
      </c>
      <c r="J4" s="15" t="n">
        <f aca="false">IF(H4=0,0,D4/H4)</f>
        <v>308.937419710039</v>
      </c>
      <c r="K4" s="16" t="n">
        <f aca="false">IF(D3=0,0,D4/D3-1)</f>
        <v>-0.0909385462792959</v>
      </c>
    </row>
    <row r="5" customFormat="false" ht="15" hidden="false" customHeight="false" outlineLevel="0" collapsed="false">
      <c r="A5" s="13" t="str">
        <f aca="false">月曆參數!A5</f>
        <v>2025-04</v>
      </c>
      <c r="B5" s="18" t="n">
        <f aca="false">月曆參數!B5</f>
        <v>2025</v>
      </c>
      <c r="C5" s="18" t="n">
        <f aca="false">月曆參數!C5</f>
        <v>4</v>
      </c>
      <c r="D5" s="15" t="n">
        <f aca="false">SUMIFS(月營運明細!$G$2:$G$97,月營運明細!$A$2:$A$97,$A5)</f>
        <v>17264000</v>
      </c>
      <c r="E5" s="15" t="n">
        <f aca="false">SUMIFS(月營運明細!$M$2:$M$97,月營運明細!$A$2:$A$97,$A5)</f>
        <v>13646200</v>
      </c>
      <c r="F5" s="15" t="n">
        <f aca="false">D5-E5</f>
        <v>3617800</v>
      </c>
      <c r="G5" s="16" t="n">
        <f aca="false">IF(D5=0,0,F5/D5)</f>
        <v>0.209557460611678</v>
      </c>
      <c r="H5" s="15" t="n">
        <f aca="false">SUMIFS(月營運明細!$P$2:$P$97,月營運明細!$A$2:$A$97,$A5)</f>
        <v>54940</v>
      </c>
      <c r="I5" s="17" t="n">
        <f aca="false">IF(月曆參數!E5=0,0,H5/月曆參數!E5)</f>
        <v>1831.33333333333</v>
      </c>
      <c r="J5" s="15" t="n">
        <f aca="false">IF(H5=0,0,D5/H5)</f>
        <v>314.233709501274</v>
      </c>
      <c r="K5" s="16" t="n">
        <f aca="false">IF(D4=0,0,D5/D4-1)</f>
        <v>0.0255435428299868</v>
      </c>
    </row>
    <row r="6" customFormat="false" ht="15" hidden="false" customHeight="false" outlineLevel="0" collapsed="false">
      <c r="A6" s="13" t="str">
        <f aca="false">月曆參數!A6</f>
        <v>2025-05</v>
      </c>
      <c r="B6" s="18" t="n">
        <f aca="false">月曆參數!B6</f>
        <v>2025</v>
      </c>
      <c r="C6" s="18" t="n">
        <f aca="false">月曆參數!C6</f>
        <v>5</v>
      </c>
      <c r="D6" s="15" t="n">
        <f aca="false">SUMIFS(月營運明細!$G$2:$G$97,月營運明細!$A$2:$A$97,$A6)</f>
        <v>17467000</v>
      </c>
      <c r="E6" s="15" t="n">
        <f aca="false">SUMIFS(月營運明細!$M$2:$M$97,月營運明細!$A$2:$A$97,$A6)</f>
        <v>13564700</v>
      </c>
      <c r="F6" s="15" t="n">
        <f aca="false">D6-E6</f>
        <v>3902300</v>
      </c>
      <c r="G6" s="16" t="n">
        <f aca="false">IF(D6=0,0,F6/D6)</f>
        <v>0.223409858590485</v>
      </c>
      <c r="H6" s="15" t="n">
        <f aca="false">SUMIFS(月營運明細!$P$2:$P$97,月營運明細!$A$2:$A$97,$A6)</f>
        <v>55660</v>
      </c>
      <c r="I6" s="17" t="n">
        <f aca="false">IF(月曆參數!E6=0,0,H6/月曆參數!E6)</f>
        <v>1795.48387096774</v>
      </c>
      <c r="J6" s="15" t="n">
        <f aca="false">IF(H6=0,0,D6/H6)</f>
        <v>313.816025871362</v>
      </c>
      <c r="K6" s="16" t="n">
        <f aca="false">IF(D5=0,0,D6/D5-1)</f>
        <v>0.0117585727525487</v>
      </c>
    </row>
    <row r="7" customFormat="false" ht="15" hidden="false" customHeight="false" outlineLevel="0" collapsed="false">
      <c r="A7" s="13" t="str">
        <f aca="false">月曆參數!A7</f>
        <v>2025-06</v>
      </c>
      <c r="B7" s="18" t="n">
        <f aca="false">月曆參數!B7</f>
        <v>2025</v>
      </c>
      <c r="C7" s="18" t="n">
        <f aca="false">月曆參數!C7</f>
        <v>6</v>
      </c>
      <c r="D7" s="15" t="n">
        <f aca="false">SUMIFS(月營運明細!$G$2:$G$97,月營運明細!$A$2:$A$97,$A7)</f>
        <v>17576000</v>
      </c>
      <c r="E7" s="15" t="n">
        <f aca="false">SUMIFS(月營運明細!$M$2:$M$97,月營運明細!$A$2:$A$97,$A7)</f>
        <v>13699100</v>
      </c>
      <c r="F7" s="15" t="n">
        <f aca="false">D7-E7</f>
        <v>3876900</v>
      </c>
      <c r="G7" s="16" t="n">
        <f aca="false">IF(D7=0,0,F7/D7)</f>
        <v>0.220579198907601</v>
      </c>
      <c r="H7" s="15" t="n">
        <f aca="false">SUMIFS(月營運明細!$P$2:$P$97,月營運明細!$A$2:$A$97,$A7)</f>
        <v>54710</v>
      </c>
      <c r="I7" s="17" t="n">
        <f aca="false">IF(月曆參數!E7=0,0,H7/月曆參數!E7)</f>
        <v>1823.66666666667</v>
      </c>
      <c r="J7" s="15" t="n">
        <f aca="false">IF(H7=0,0,D7/H7)</f>
        <v>321.257539755072</v>
      </c>
      <c r="K7" s="16" t="n">
        <f aca="false">IF(D6=0,0,D7/D6-1)</f>
        <v>0.00624033892482978</v>
      </c>
    </row>
    <row r="8" customFormat="false" ht="15" hidden="false" customHeight="false" outlineLevel="0" collapsed="false">
      <c r="A8" s="13" t="str">
        <f aca="false">月曆參數!A8</f>
        <v>2025-07</v>
      </c>
      <c r="B8" s="18" t="n">
        <f aca="false">月曆參數!B8</f>
        <v>2025</v>
      </c>
      <c r="C8" s="18" t="n">
        <f aca="false">月曆參數!C8</f>
        <v>7</v>
      </c>
      <c r="D8" s="15" t="n">
        <f aca="false">SUMIFS(月營運明細!$G$2:$G$97,月營運明細!$A$2:$A$97,$A8)</f>
        <v>19512000</v>
      </c>
      <c r="E8" s="15" t="n">
        <f aca="false">SUMIFS(月營運明細!$M$2:$M$97,月營運明細!$A$2:$A$97,$A8)</f>
        <v>15062700</v>
      </c>
      <c r="F8" s="15" t="n">
        <f aca="false">D8-E8</f>
        <v>4449300</v>
      </c>
      <c r="G8" s="16" t="n">
        <f aca="false">IF(D8=0,0,F8/D8)</f>
        <v>0.228028905289053</v>
      </c>
      <c r="H8" s="15" t="n">
        <f aca="false">SUMIFS(月營運明細!$P$2:$P$97,月營運明細!$A$2:$A$97,$A8)</f>
        <v>62030</v>
      </c>
      <c r="I8" s="17" t="n">
        <f aca="false">IF(月曆參數!E8=0,0,H8/月曆參數!E8)</f>
        <v>2000.96774193548</v>
      </c>
      <c r="J8" s="15" t="n">
        <f aca="false">IF(H8=0,0,D8/H8)</f>
        <v>314.557472190875</v>
      </c>
      <c r="K8" s="16" t="n">
        <f aca="false">IF(D7=0,0,D8/D7-1)</f>
        <v>0.110150204824761</v>
      </c>
    </row>
    <row r="9" customFormat="false" ht="15" hidden="false" customHeight="false" outlineLevel="0" collapsed="false">
      <c r="A9" s="13" t="str">
        <f aca="false">月曆參數!A9</f>
        <v>2025-08</v>
      </c>
      <c r="B9" s="18" t="n">
        <f aca="false">月曆參數!B9</f>
        <v>2025</v>
      </c>
      <c r="C9" s="18" t="n">
        <f aca="false">月曆參數!C9</f>
        <v>8</v>
      </c>
      <c r="D9" s="15" t="n">
        <f aca="false">SUMIFS(月營運明細!$G$2:$G$97,月營運明細!$A$2:$A$97,$A9)</f>
        <v>20218000</v>
      </c>
      <c r="E9" s="15" t="n">
        <f aca="false">SUMIFS(月營運明細!$M$2:$M$97,月營運明細!$A$2:$A$97,$A9)</f>
        <v>15484300</v>
      </c>
      <c r="F9" s="15" t="n">
        <f aca="false">D9-E9</f>
        <v>4733700</v>
      </c>
      <c r="G9" s="16" t="n">
        <f aca="false">IF(D9=0,0,F9/D9)</f>
        <v>0.234132950835889</v>
      </c>
      <c r="H9" s="15" t="n">
        <f aca="false">SUMIFS(月營運明細!$P$2:$P$97,月營運明細!$A$2:$A$97,$A9)</f>
        <v>63700</v>
      </c>
      <c r="I9" s="17" t="n">
        <f aca="false">IF(月曆參數!E9=0,0,H9/月曆參數!E9)</f>
        <v>2054.83870967742</v>
      </c>
      <c r="J9" s="15" t="n">
        <f aca="false">IF(H9=0,0,D9/H9)</f>
        <v>317.394034536892</v>
      </c>
      <c r="K9" s="16" t="n">
        <f aca="false">IF(D8=0,0,D9/D8-1)</f>
        <v>0.0361828618286182</v>
      </c>
    </row>
    <row r="10" customFormat="false" ht="15" hidden="false" customHeight="false" outlineLevel="0" collapsed="false">
      <c r="A10" s="13" t="str">
        <f aca="false">月曆參數!A10</f>
        <v>2025-09</v>
      </c>
      <c r="B10" s="18" t="n">
        <f aca="false">月曆參數!B10</f>
        <v>2025</v>
      </c>
      <c r="C10" s="18" t="n">
        <f aca="false">月曆參數!C10</f>
        <v>9</v>
      </c>
      <c r="D10" s="15" t="n">
        <f aca="false">SUMIFS(月營運明細!$G$2:$G$97,月營運明細!$A$2:$A$97,$A10)</f>
        <v>17977000</v>
      </c>
      <c r="E10" s="15" t="n">
        <f aca="false">SUMIFS(月營運明細!$M$2:$M$97,月營運明細!$A$2:$A$97,$A10)</f>
        <v>13816900</v>
      </c>
      <c r="F10" s="15" t="n">
        <f aca="false">D10-E10</f>
        <v>4160100</v>
      </c>
      <c r="G10" s="16" t="n">
        <f aca="false">IF(D10=0,0,F10/D10)</f>
        <v>0.231412360238082</v>
      </c>
      <c r="H10" s="15" t="n">
        <f aca="false">SUMIFS(月營運明細!$P$2:$P$97,月營運明細!$A$2:$A$97,$A10)</f>
        <v>57350</v>
      </c>
      <c r="I10" s="17" t="n">
        <f aca="false">IF(月曆參數!E10=0,0,H10/月曆參數!E10)</f>
        <v>1911.66666666667</v>
      </c>
      <c r="J10" s="15" t="n">
        <f aca="false">IF(H10=0,0,D10/H10)</f>
        <v>313.461203138622</v>
      </c>
      <c r="K10" s="16" t="n">
        <f aca="false">IF(D9=0,0,D10/D9-1)</f>
        <v>-0.110841824117123</v>
      </c>
    </row>
    <row r="11" customFormat="false" ht="15" hidden="false" customHeight="false" outlineLevel="0" collapsed="false">
      <c r="A11" s="13" t="str">
        <f aca="false">月曆參數!A11</f>
        <v>2025-10</v>
      </c>
      <c r="B11" s="18" t="n">
        <f aca="false">月曆參數!B11</f>
        <v>2025</v>
      </c>
      <c r="C11" s="18" t="n">
        <f aca="false">月曆參數!C11</f>
        <v>10</v>
      </c>
      <c r="D11" s="15" t="n">
        <f aca="false">SUMIFS(月營運明細!$G$2:$G$97,月營運明細!$A$2:$A$97,$A11)</f>
        <v>18853000</v>
      </c>
      <c r="E11" s="15" t="n">
        <f aca="false">SUMIFS(月營運明細!$M$2:$M$97,月營運明細!$A$2:$A$97,$A11)</f>
        <v>14629800</v>
      </c>
      <c r="F11" s="15" t="n">
        <f aca="false">D11-E11</f>
        <v>4223200</v>
      </c>
      <c r="G11" s="16" t="n">
        <f aca="false">IF(D11=0,0,F11/D11)</f>
        <v>0.224006789370392</v>
      </c>
      <c r="H11" s="15" t="n">
        <f aca="false">SUMIFS(月營運明細!$P$2:$P$97,月營運明細!$A$2:$A$97,$A11)</f>
        <v>60000</v>
      </c>
      <c r="I11" s="17" t="n">
        <f aca="false">IF(月曆參數!E11=0,0,H11/月曆參數!E11)</f>
        <v>1935.48387096774</v>
      </c>
      <c r="J11" s="15" t="n">
        <f aca="false">IF(H11=0,0,D11/H11)</f>
        <v>314.216666666667</v>
      </c>
      <c r="K11" s="16" t="n">
        <f aca="false">IF(D10=0,0,D11/D10-1)</f>
        <v>0.0487289314123602</v>
      </c>
    </row>
    <row r="12" customFormat="false" ht="15" hidden="false" customHeight="false" outlineLevel="0" collapsed="false">
      <c r="A12" s="13" t="str">
        <f aca="false">月曆參數!A12</f>
        <v>2025-11</v>
      </c>
      <c r="B12" s="18" t="n">
        <f aca="false">月曆參數!B12</f>
        <v>2025</v>
      </c>
      <c r="C12" s="18" t="n">
        <f aca="false">月曆參數!C12</f>
        <v>11</v>
      </c>
      <c r="D12" s="15" t="n">
        <f aca="false">SUMIFS(月營運明細!$G$2:$G$97,月營運明細!$A$2:$A$97,$A12)</f>
        <v>18526000</v>
      </c>
      <c r="E12" s="15" t="n">
        <f aca="false">SUMIFS(月營運明細!$M$2:$M$97,月營運明細!$A$2:$A$97,$A12)</f>
        <v>14354500</v>
      </c>
      <c r="F12" s="15" t="n">
        <f aca="false">D12-E12</f>
        <v>4171500</v>
      </c>
      <c r="G12" s="16" t="n">
        <f aca="false">IF(D12=0,0,F12/D12)</f>
        <v>0.225170031307352</v>
      </c>
      <c r="H12" s="15" t="n">
        <f aca="false">SUMIFS(月營運明細!$P$2:$P$97,月營運明細!$A$2:$A$97,$A12)</f>
        <v>59190</v>
      </c>
      <c r="I12" s="17" t="n">
        <f aca="false">IF(月曆參數!E12=0,0,H12/月曆參數!E12)</f>
        <v>1973</v>
      </c>
      <c r="J12" s="15" t="n">
        <f aca="false">IF(H12=0,0,D12/H12)</f>
        <v>312.992059469505</v>
      </c>
      <c r="K12" s="16" t="n">
        <f aca="false">IF(D11=0,0,D12/D11-1)</f>
        <v>-0.0173447196732616</v>
      </c>
    </row>
    <row r="13" customFormat="false" ht="15" hidden="false" customHeight="false" outlineLevel="0" collapsed="false">
      <c r="A13" s="13" t="str">
        <f aca="false">月曆參數!A13</f>
        <v>2025-12</v>
      </c>
      <c r="B13" s="18" t="n">
        <f aca="false">月曆參數!B13</f>
        <v>2025</v>
      </c>
      <c r="C13" s="18" t="n">
        <f aca="false">月曆參數!C13</f>
        <v>12</v>
      </c>
      <c r="D13" s="15" t="n">
        <f aca="false">SUMIFS(月營運明細!$G$2:$G$97,月營運明細!$A$2:$A$97,$A13)</f>
        <v>20717000</v>
      </c>
      <c r="E13" s="15" t="n">
        <f aca="false">SUMIFS(月營運明細!$M$2:$M$97,月營運明細!$A$2:$A$97,$A13)</f>
        <v>15710800</v>
      </c>
      <c r="F13" s="15" t="n">
        <f aca="false">D13-E13</f>
        <v>5006200</v>
      </c>
      <c r="G13" s="16" t="n">
        <f aca="false">IF(D13=0,0,F13/D13)</f>
        <v>0.241646956605686</v>
      </c>
      <c r="H13" s="15" t="n">
        <f aca="false">SUMIFS(月營運明細!$P$2:$P$97,月營運明細!$A$2:$A$97,$A13)</f>
        <v>66470</v>
      </c>
      <c r="I13" s="17" t="n">
        <f aca="false">IF(月曆參數!E13=0,0,H13/月曆參數!E13)</f>
        <v>2144.1935483871</v>
      </c>
      <c r="J13" s="15" t="n">
        <f aca="false">IF(H13=0,0,D13/H13)</f>
        <v>311.674439596811</v>
      </c>
      <c r="K13" s="16" t="n">
        <f aca="false">IF(D12=0,0,D13/D12-1)</f>
        <v>0.118266220446939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30" hidden="false" customHeight="true" outlineLevel="0" collapsed="false">
      <c r="A1" s="1" t="s">
        <v>149</v>
      </c>
      <c r="B1" s="1" t="s">
        <v>151</v>
      </c>
      <c r="C1" s="1" t="s">
        <v>154</v>
      </c>
      <c r="D1" s="1" t="s">
        <v>156</v>
      </c>
    </row>
    <row r="2" customFormat="false" ht="15" hidden="false" customHeight="false" outlineLevel="0" collapsed="false">
      <c r="A2" s="6" t="s">
        <v>204</v>
      </c>
      <c r="B2" s="12" t="n">
        <f aca="false">COUNTIF(月營運明細!$S$2:$S$97,$A2)</f>
        <v>11</v>
      </c>
      <c r="C2" s="15" t="n">
        <f aca="false">SUMIF(月營運明細!$S$2:$S$97,$A2,月營運明細!$T$2:$T$97)</f>
        <v>6030</v>
      </c>
      <c r="D2" s="16" t="n">
        <f aca="false">IF(SUM($C$2:$C$14)=0,0,C2/SUM($C$2:$C$14))</f>
        <v>0.112479015109121</v>
      </c>
    </row>
    <row r="3" customFormat="false" ht="15" hidden="false" customHeight="false" outlineLevel="0" collapsed="false">
      <c r="A3" s="6" t="s">
        <v>202</v>
      </c>
      <c r="B3" s="12" t="n">
        <f aca="false">COUNTIF(月營運明細!$S$2:$S$97,$A3)</f>
        <v>5</v>
      </c>
      <c r="C3" s="15" t="n">
        <f aca="false">SUMIF(月營運明細!$S$2:$S$97,$A3,月營運明細!$T$2:$T$97)</f>
        <v>2890</v>
      </c>
      <c r="D3" s="16" t="n">
        <f aca="false">IF(SUM($C$2:$C$14)=0,0,C3/SUM($C$2:$C$14))</f>
        <v>0.0539078530124977</v>
      </c>
    </row>
    <row r="4" customFormat="false" ht="15" hidden="false" customHeight="false" outlineLevel="0" collapsed="false">
      <c r="A4" s="6" t="s">
        <v>200</v>
      </c>
      <c r="B4" s="12" t="n">
        <f aca="false">COUNTIF(月營運明細!$S$2:$S$97,$A4)</f>
        <v>10</v>
      </c>
      <c r="C4" s="15" t="n">
        <f aca="false">SUMIF(月營運明細!$S$2:$S$97,$A4,月營運明細!$T$2:$T$97)</f>
        <v>5230</v>
      </c>
      <c r="D4" s="16" t="n">
        <f aca="false">IF(SUM($C$2:$C$14)=0,0,C4/SUM($C$2:$C$14))</f>
        <v>0.0975564260399179</v>
      </c>
    </row>
    <row r="5" customFormat="false" ht="15" hidden="false" customHeight="false" outlineLevel="0" collapsed="false">
      <c r="A5" s="6" t="s">
        <v>205</v>
      </c>
      <c r="B5" s="12" t="n">
        <f aca="false">COUNTIF(月營運明細!$S$2:$S$97,$A5)</f>
        <v>11</v>
      </c>
      <c r="C5" s="15" t="n">
        <f aca="false">SUMIF(月營運明細!$S$2:$S$97,$A5,月營運明細!$T$2:$T$97)</f>
        <v>6220</v>
      </c>
      <c r="D5" s="16" t="n">
        <f aca="false">IF(SUM($C$2:$C$14)=0,0,C5/SUM($C$2:$C$14))</f>
        <v>0.116023130013057</v>
      </c>
    </row>
    <row r="6" customFormat="false" ht="15" hidden="false" customHeight="false" outlineLevel="0" collapsed="false">
      <c r="A6" s="6" t="s">
        <v>208</v>
      </c>
      <c r="B6" s="12" t="n">
        <f aca="false">COUNTIF(月營運明細!$S$2:$S$97,$A6)</f>
        <v>6</v>
      </c>
      <c r="C6" s="15" t="n">
        <f aca="false">SUMIF(月營運明細!$S$2:$S$97,$A6,月營運明細!$T$2:$T$97)</f>
        <v>3680</v>
      </c>
      <c r="D6" s="16" t="n">
        <f aca="false">IF(SUM($C$2:$C$14)=0,0,C6/SUM($C$2:$C$14))</f>
        <v>0.0686439097183361</v>
      </c>
    </row>
    <row r="7" customFormat="false" ht="15" hidden="false" customHeight="false" outlineLevel="0" collapsed="false">
      <c r="A7" s="6" t="s">
        <v>210</v>
      </c>
      <c r="B7" s="12" t="n">
        <f aca="false">COUNTIF(月營運明細!$S$2:$S$97,$A7)</f>
        <v>4</v>
      </c>
      <c r="C7" s="15" t="n">
        <f aca="false">SUMIF(月營運明細!$S$2:$S$97,$A7,月營運明細!$T$2:$T$97)</f>
        <v>2450</v>
      </c>
      <c r="D7" s="16" t="n">
        <f aca="false">IF(SUM($C$2:$C$14)=0,0,C7/SUM($C$2:$C$14))</f>
        <v>0.0457004290244357</v>
      </c>
    </row>
    <row r="8" customFormat="false" ht="15" hidden="false" customHeight="false" outlineLevel="0" collapsed="false">
      <c r="A8" s="6" t="s">
        <v>203</v>
      </c>
      <c r="B8" s="12" t="n">
        <f aca="false">COUNTIF(月營運明細!$S$2:$S$97,$A8)</f>
        <v>9</v>
      </c>
      <c r="C8" s="15" t="n">
        <f aca="false">SUMIF(月營運明細!$S$2:$S$97,$A8,月營運明細!$T$2:$T$97)</f>
        <v>5190</v>
      </c>
      <c r="D8" s="16" t="n">
        <f aca="false">IF(SUM($C$2:$C$14)=0,0,C8/SUM($C$2:$C$14))</f>
        <v>0.0968102965864578</v>
      </c>
    </row>
    <row r="9" customFormat="false" ht="15" hidden="false" customHeight="false" outlineLevel="0" collapsed="false">
      <c r="A9" s="6" t="s">
        <v>206</v>
      </c>
      <c r="B9" s="12" t="n">
        <f aca="false">COUNTIF(月營運明細!$S$2:$S$97,$A9)</f>
        <v>7</v>
      </c>
      <c r="C9" s="15" t="n">
        <f aca="false">SUMIF(月營運明細!$S$2:$S$97,$A9,月營運明細!$T$2:$T$97)</f>
        <v>4560</v>
      </c>
      <c r="D9" s="16" t="n">
        <f aca="false">IF(SUM($C$2:$C$14)=0,0,C9/SUM($C$2:$C$14))</f>
        <v>0.08505875769446</v>
      </c>
    </row>
    <row r="10" customFormat="false" ht="15" hidden="false" customHeight="false" outlineLevel="0" collapsed="false">
      <c r="A10" s="6" t="s">
        <v>207</v>
      </c>
      <c r="B10" s="12" t="n">
        <f aca="false">COUNTIF(月營運明細!$S$2:$S$97,$A10)</f>
        <v>3</v>
      </c>
      <c r="C10" s="15" t="n">
        <f aca="false">SUMIF(月營運明細!$S$2:$S$97,$A10,月營運明細!$T$2:$T$97)</f>
        <v>1620</v>
      </c>
      <c r="D10" s="16" t="n">
        <f aca="false">IF(SUM($C$2:$C$14)=0,0,C10/SUM($C$2:$C$14))</f>
        <v>0.0302182428651371</v>
      </c>
    </row>
    <row r="11" customFormat="false" ht="15" hidden="false" customHeight="false" outlineLevel="0" collapsed="false">
      <c r="A11" s="6" t="s">
        <v>209</v>
      </c>
      <c r="B11" s="12" t="n">
        <f aca="false">COUNTIF(月營運明細!$S$2:$S$97,$A11)</f>
        <v>6</v>
      </c>
      <c r="C11" s="15" t="n">
        <f aca="false">SUMIF(月營運明細!$S$2:$S$97,$A11,月營運明細!$T$2:$T$97)</f>
        <v>3230</v>
      </c>
      <c r="D11" s="16" t="n">
        <f aca="false">IF(SUM($C$2:$C$14)=0,0,C11/SUM($C$2:$C$14))</f>
        <v>0.0602499533669092</v>
      </c>
    </row>
    <row r="12" customFormat="false" ht="15" hidden="false" customHeight="false" outlineLevel="0" collapsed="false">
      <c r="A12" s="6" t="s">
        <v>198</v>
      </c>
      <c r="B12" s="12" t="n">
        <f aca="false">COUNTIF(月營運明細!$S$2:$S$97,$A12)</f>
        <v>6</v>
      </c>
      <c r="C12" s="15" t="n">
        <f aca="false">SUMIF(月營運明細!$S$2:$S$97,$A12,月營運明細!$T$2:$T$97)</f>
        <v>3510</v>
      </c>
      <c r="D12" s="16" t="n">
        <f aca="false">IF(SUM($C$2:$C$14)=0,0,C12/SUM($C$2:$C$14))</f>
        <v>0.0654728595411304</v>
      </c>
    </row>
    <row r="13" customFormat="false" ht="15" hidden="false" customHeight="false" outlineLevel="0" collapsed="false">
      <c r="A13" s="6" t="s">
        <v>199</v>
      </c>
      <c r="B13" s="12" t="n">
        <f aca="false">COUNTIF(月營運明細!$S$2:$S$97,$A13)</f>
        <v>5</v>
      </c>
      <c r="C13" s="15" t="n">
        <f aca="false">SUMIF(月營運明細!$S$2:$S$97,$A13,月營運明細!$T$2:$T$97)</f>
        <v>3070</v>
      </c>
      <c r="D13" s="16" t="n">
        <f aca="false">IF(SUM($C$2:$C$14)=0,0,C13/SUM($C$2:$C$14))</f>
        <v>0.0572654355530685</v>
      </c>
    </row>
    <row r="14" customFormat="false" ht="15" hidden="false" customHeight="false" outlineLevel="0" collapsed="false">
      <c r="A14" s="6" t="s">
        <v>201</v>
      </c>
      <c r="B14" s="12" t="n">
        <f aca="false">COUNTIF(月營運明細!$S$2:$S$97,$A14)</f>
        <v>13</v>
      </c>
      <c r="C14" s="15" t="n">
        <f aca="false">SUMIF(月營運明細!$S$2:$S$97,$A14,月營運明細!$T$2:$T$97)</f>
        <v>5930</v>
      </c>
      <c r="D14" s="16" t="n">
        <f aca="false">IF(SUM($C$2:$C$14)=0,0,C14/SUM($C$2:$C$14))</f>
        <v>0.110613691475471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1"/>
  </cols>
  <sheetData>
    <row r="1" customFormat="false" ht="30" hidden="false" customHeight="true" outlineLevel="0" collapsed="false">
      <c r="A1" s="1" t="s">
        <v>159</v>
      </c>
      <c r="B1" s="1" t="s">
        <v>161</v>
      </c>
      <c r="C1" s="1" t="s">
        <v>62</v>
      </c>
      <c r="D1" s="1" t="s">
        <v>33</v>
      </c>
    </row>
    <row r="2" customFormat="false" ht="15" hidden="false" customHeight="false" outlineLevel="0" collapsed="false">
      <c r="A2" s="5" t="s">
        <v>211</v>
      </c>
      <c r="B2" s="6" t="s">
        <v>212</v>
      </c>
      <c r="C2" s="15" t="n">
        <f aca="false">SUM(月營運明細!$G$2:$G$97)</f>
        <v>223813000</v>
      </c>
      <c r="D2" s="5" t="s">
        <v>63</v>
      </c>
    </row>
    <row r="3" customFormat="false" ht="15" hidden="false" customHeight="false" outlineLevel="0" collapsed="false">
      <c r="A3" s="5" t="s">
        <v>213</v>
      </c>
      <c r="B3" s="6" t="s">
        <v>214</v>
      </c>
      <c r="C3" s="15" t="n">
        <f aca="false">SUM(月營運明細!$M$2:$M$97)</f>
        <v>173218800</v>
      </c>
      <c r="D3" s="5" t="s">
        <v>63</v>
      </c>
    </row>
    <row r="4" customFormat="false" ht="15" hidden="false" customHeight="false" outlineLevel="0" collapsed="false">
      <c r="A4" s="5" t="s">
        <v>215</v>
      </c>
      <c r="B4" s="6" t="s">
        <v>216</v>
      </c>
      <c r="C4" s="15" t="n">
        <f aca="false">SUM(月營運明細!$N$2:$N$97)</f>
        <v>50594200</v>
      </c>
      <c r="D4" s="5" t="s">
        <v>63</v>
      </c>
    </row>
    <row r="5" customFormat="false" ht="15" hidden="false" customHeight="false" outlineLevel="0" collapsed="false">
      <c r="A5" s="5" t="s">
        <v>105</v>
      </c>
      <c r="B5" s="6" t="s">
        <v>106</v>
      </c>
      <c r="C5" s="16" t="n">
        <f aca="false">IF(C2=0,0,C4/C2)</f>
        <v>0.226055680411772</v>
      </c>
      <c r="D5" s="6" t="s">
        <v>108</v>
      </c>
    </row>
    <row r="6" customFormat="false" ht="15" hidden="false" customHeight="false" outlineLevel="0" collapsed="false">
      <c r="A6" s="5" t="s">
        <v>217</v>
      </c>
      <c r="B6" s="6" t="s">
        <v>218</v>
      </c>
      <c r="C6" s="15" t="n">
        <f aca="false">SUM(月營運明細!$P$2:$P$97)</f>
        <v>712500</v>
      </c>
      <c r="D6" s="6" t="s">
        <v>112</v>
      </c>
    </row>
    <row r="7" customFormat="false" ht="15" hidden="false" customHeight="false" outlineLevel="0" collapsed="false">
      <c r="A7" s="5" t="s">
        <v>114</v>
      </c>
      <c r="B7" s="6" t="s">
        <v>219</v>
      </c>
      <c r="C7" s="17" t="n">
        <f aca="false">IF(SUM(月曆參數!$E$2:$E$13)=0,0,C6/SUM(月曆參數!$E$2:$E$13))</f>
        <v>1952.05479452055</v>
      </c>
      <c r="D7" s="6" t="s">
        <v>220</v>
      </c>
    </row>
    <row r="8" customFormat="false" ht="15" hidden="false" customHeight="false" outlineLevel="0" collapsed="false">
      <c r="A8" s="5" t="s">
        <v>118</v>
      </c>
      <c r="B8" s="6" t="s">
        <v>119</v>
      </c>
      <c r="C8" s="15" t="n">
        <f aca="false">IF(C6=0,0,C2/C6)</f>
        <v>314.12350877193</v>
      </c>
      <c r="D8" s="5" t="s">
        <v>63</v>
      </c>
    </row>
    <row r="9" customFormat="false" ht="15" hidden="false" customHeight="false" outlineLevel="0" collapsed="false">
      <c r="A9" s="5" t="s">
        <v>221</v>
      </c>
      <c r="B9" s="6" t="s">
        <v>222</v>
      </c>
      <c r="C9" s="12" t="n">
        <f aca="false">COUNTA(門市主檔!$A$2:$A$9)</f>
        <v>8</v>
      </c>
      <c r="D9" s="6" t="s">
        <v>223</v>
      </c>
    </row>
    <row r="10" customFormat="false" ht="15" hidden="false" customHeight="false" outlineLevel="0" collapsed="false">
      <c r="A10" s="5" t="s">
        <v>224</v>
      </c>
      <c r="B10" s="6" t="s">
        <v>225</v>
      </c>
      <c r="C10" s="15" t="n">
        <f aca="false">IF(C9=0,0,C2/C9)</f>
        <v>27976625</v>
      </c>
      <c r="D10" s="5" t="s">
        <v>63</v>
      </c>
    </row>
    <row r="11" customFormat="false" ht="15" hidden="false" customHeight="false" outlineLevel="0" collapsed="false">
      <c r="A11" s="5" t="s">
        <v>226</v>
      </c>
      <c r="B11" s="6" t="s">
        <v>227</v>
      </c>
      <c r="C11" s="16" t="n">
        <f aca="false">IF(C2=0,0,SUM(月營運明細!$H$2:$H$97)/C2)</f>
        <v>0.319252232890851</v>
      </c>
      <c r="D11" s="6" t="s">
        <v>108</v>
      </c>
    </row>
    <row r="12" customFormat="false" ht="15" hidden="false" customHeight="false" outlineLevel="0" collapsed="false">
      <c r="A12" s="5" t="s">
        <v>228</v>
      </c>
      <c r="B12" s="6" t="s">
        <v>229</v>
      </c>
      <c r="C12" s="16" t="n">
        <f aca="false">IF(C2=0,0,SUM(月營運明細!$I$2:$I$97)/C2)</f>
        <v>0.256562844874963</v>
      </c>
      <c r="D12" s="6" t="s">
        <v>108</v>
      </c>
    </row>
    <row r="13" customFormat="false" ht="15" hidden="false" customHeight="false" outlineLevel="0" collapsed="false">
      <c r="A13" s="5" t="s">
        <v>230</v>
      </c>
      <c r="B13" s="6" t="s">
        <v>231</v>
      </c>
      <c r="C13" s="16" t="n">
        <f aca="false">IF(C2=0,0,SUM(月營運明細!$J$2:$J$97)/C2)</f>
        <v>0.11473864342107</v>
      </c>
      <c r="D13" s="6" t="s">
        <v>108</v>
      </c>
    </row>
    <row r="14" customFormat="false" ht="15" hidden="false" customHeight="false" outlineLevel="0" collapsed="false">
      <c r="A14" s="5" t="s">
        <v>232</v>
      </c>
      <c r="B14" s="6" t="s">
        <v>233</v>
      </c>
      <c r="C14" s="16" t="n">
        <f aca="false">IF(C2=0,0,SUM(月營運明細!$K$2:$K$97)/C2)</f>
        <v>0.0578460589867434</v>
      </c>
      <c r="D14" s="6" t="s">
        <v>108</v>
      </c>
    </row>
    <row r="15" customFormat="false" ht="15" hidden="false" customHeight="false" outlineLevel="0" collapsed="false">
      <c r="A15" s="5" t="s">
        <v>234</v>
      </c>
      <c r="B15" s="6" t="s">
        <v>235</v>
      </c>
      <c r="C15" s="16" t="n">
        <f aca="false">IF(C2=0,0,SUM(月營運明細!$L$2:$L$97)/C2)</f>
        <v>0.0255445394146006</v>
      </c>
      <c r="D15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9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2026-09-21T01:59:45Z</dcterms:created>
  <dc:creator>openpyxl</dc:creator>
  <dc:description/>
  <dc:language>en-US</dc:language>
  <cp:lastModifiedBy/>
  <dcterms:modified xsi:type="dcterms:W3CDTF">2026-09-21T01:59:48Z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