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說明" sheetId="1" state="visible" r:id="rId3"/>
    <sheet name="欄位定義" sheetId="2" state="visible" r:id="rId4"/>
    <sheet name="球季參數" sheetId="3" state="visible" r:id="rId5"/>
    <sheet name="球隊主檔" sheetId="4" state="visible" r:id="rId6"/>
    <sheet name="球員主檔" sheetId="5" state="visible" r:id="rId7"/>
    <sheet name="打擊成績" sheetId="6" state="visible" r:id="rId8"/>
    <sheet name="投手成績" sheetId="7" state="visible" r:id="rId9"/>
    <sheet name="球隊戰績" sheetId="8" state="visible" r:id="rId10"/>
    <sheet name="球隊球季彙總" sheetId="9" state="visible" r:id="rId11"/>
    <sheet name="年度關鍵指標" sheetId="10" state="visible" r:id="rId12"/>
    <sheet name="圖表預覽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<sst xmlns="http://schemas.openxmlformats.org/spreadsheetml/2006/main" count="12257" uniqueCount="2011">
  <si>
    <t xml:space="preserve">類別</t>
  </si>
  <si>
    <t xml:space="preserve">說明</t>
  </si>
  <si>
    <t xml:space="preserve">資料狀態</t>
  </si>
  <si>
    <r>
      <rPr>
        <sz val="10"/>
        <rFont val="Noto Sans CJK SC"/>
        <family val="2"/>
      </rPr>
      <t xml:space="preserve">★ 本檔所有球員姓名、成績數據、球隊戰績均為程式模擬產生，非 </t>
    </r>
    <r>
      <rPr>
        <sz val="10"/>
        <rFont val="Arial"/>
        <family val="0"/>
        <charset val="1"/>
      </rPr>
      <t xml:space="preserve">2024-2026 </t>
    </r>
    <r>
      <rPr>
        <sz val="10"/>
        <rFont val="Noto Sans CJK SC"/>
        <family val="2"/>
      </rPr>
      <t xml:space="preserve">年真實比賽結果。</t>
    </r>
  </si>
  <si>
    <t xml:space="preserve">★ 球員姓名為虛構，如與真實人物雷同純屬巧合；請勿將本檔數據當作實際參考資料引用。</t>
  </si>
  <si>
    <t xml:space="preserve">球隊代號、英文隊名、聯盟與分區歸屬為真實架構，可直接沿用；其餘欄位請以官方資料覆蓋。</t>
  </si>
  <si>
    <t xml:space="preserve">資料來源建議</t>
  </si>
  <si>
    <r>
      <rPr>
        <sz val="10"/>
        <rFont val="Noto Sans CJK SC"/>
        <family val="2"/>
      </rPr>
      <t xml:space="preserve">真實資料可取自 </t>
    </r>
    <r>
      <rPr>
        <sz val="10"/>
        <rFont val="Arial"/>
        <family val="0"/>
        <charset val="1"/>
      </rPr>
      <t xml:space="preserve">MLB Stats API (statsapi.mlb.com)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Baseball Savant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FanGraphs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Baseball Reference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</si>
  <si>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本檔欄位代碼對齊 </t>
    </r>
    <r>
      <rPr>
        <sz val="10"/>
        <rFont val="Arial"/>
        <family val="0"/>
        <charset val="1"/>
      </rPr>
      <t xml:space="preserve">MLB Stats API </t>
    </r>
    <r>
      <rPr>
        <sz val="10"/>
        <rFont val="Noto Sans CJK SC"/>
        <family val="2"/>
      </rPr>
      <t xml:space="preserve">命名（</t>
    </r>
    <r>
      <rPr>
        <sz val="10"/>
        <rFont val="Arial"/>
        <family val="0"/>
        <charset val="1"/>
      </rPr>
      <t xml:space="preserve">homeRuns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plateAppearances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inningsPitched </t>
    </r>
    <r>
      <rPr>
        <sz val="10"/>
        <rFont val="Noto Sans CJK SC"/>
        <family val="2"/>
      </rPr>
      <t xml:space="preserve">等），可直接對應匯入。</t>
    </r>
  </si>
  <si>
    <t xml:space="preserve">結構規範</t>
  </si>
  <si>
    <r>
      <rPr>
        <sz val="10"/>
        <rFont val="Noto Sans CJK SC"/>
        <family val="2"/>
      </rPr>
      <t xml:space="preserve">每張資料工作表第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列為欄位標題，第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列起為資料，無空列、無小計或合計列。</t>
    </r>
  </si>
  <si>
    <r>
      <rPr>
        <sz val="10"/>
        <rFont val="Noto Sans CJK SC"/>
        <family val="2"/>
      </rPr>
      <t xml:space="preserve">全檔無合併儲存格、無標題橫幅，可直接以 </t>
    </r>
    <r>
      <rPr>
        <sz val="10"/>
        <rFont val="Arial"/>
        <family val="0"/>
        <charset val="1"/>
      </rPr>
      <t xml:space="preserve">pandas.read_excel(header=0) </t>
    </r>
    <r>
      <rPr>
        <sz val="10"/>
        <rFont val="Noto Sans CJK SC"/>
        <family val="2"/>
      </rPr>
      <t xml:space="preserve">讀取。</t>
    </r>
  </si>
  <si>
    <r>
      <rPr>
        <sz val="10"/>
        <rFont val="Noto Sans CJK SC"/>
        <family val="2"/>
      </rPr>
      <t xml:space="preserve">每張資料工作表皆已定義為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表格物件，名稱為 </t>
    </r>
    <r>
      <rPr>
        <sz val="10"/>
        <rFont val="Arial"/>
        <family val="0"/>
        <charset val="1"/>
      </rPr>
      <t xml:space="preserve">tbl_ </t>
    </r>
    <r>
      <rPr>
        <sz val="10"/>
        <rFont val="Noto Sans CJK SC"/>
        <family val="2"/>
      </rPr>
      <t xml:space="preserve">開頭，可供 </t>
    </r>
    <r>
      <rPr>
        <sz val="10"/>
        <rFont val="Arial"/>
        <family val="0"/>
        <charset val="1"/>
      </rPr>
      <t xml:space="preserve">BI </t>
    </r>
    <r>
      <rPr>
        <sz val="10"/>
        <rFont val="Noto Sans CJK SC"/>
        <family val="2"/>
      </rPr>
      <t xml:space="preserve">工具直接指定資料來源。</t>
    </r>
  </si>
  <si>
    <t xml:space="preserve">事實表皆依 球季 → 球隊 → 球員 排序，同一球季的資料為連續區塊，方便切片。</t>
  </si>
  <si>
    <t xml:space="preserve">多季設計</t>
  </si>
  <si>
    <t xml:space="preserve">★ 所屬球隊放在事實表而非球員主檔，因為球員會轉隊；同一球員不同球季可能有不同球隊代號。</t>
  </si>
  <si>
    <t xml:space="preserve">★ 球員主檔的「最新所屬球隊」僅代表最後一個有出賽紀錄的球季，不可用來回推歷史球季的隸屬。</t>
  </si>
  <si>
    <r>
      <rPr>
        <sz val="10"/>
        <rFont val="Noto Sans CJK SC"/>
        <family val="2"/>
      </rPr>
      <t xml:space="preserve">★ 參數改為逐球季一列，</t>
    </r>
    <r>
      <rPr>
        <sz val="10"/>
        <rFont val="Arial"/>
        <family val="0"/>
        <charset val="1"/>
      </rPr>
      <t xml:space="preserve">FIP </t>
    </r>
    <r>
      <rPr>
        <sz val="10"/>
        <rFont val="Noto Sans CJK SC"/>
        <family val="2"/>
      </rPr>
      <t xml:space="preserve">常數等逐年不同；公式以 </t>
    </r>
    <r>
      <rPr>
        <sz val="10"/>
        <rFont val="Arial"/>
        <family val="0"/>
        <charset val="1"/>
      </rPr>
      <t xml:space="preserve">INDEX/MATCH </t>
    </r>
    <r>
      <rPr>
        <sz val="10"/>
        <rFont val="Noto Sans CJK SC"/>
        <family val="2"/>
      </rPr>
      <t xml:space="preserve">依球季查表，不寫死儲存格。</t>
    </r>
  </si>
  <si>
    <t xml:space="preserve">球季年齡由事實表的球季搭配主檔出生日期即時計算，不預存於主檔，避免跨季失真。</t>
  </si>
  <si>
    <r>
      <rPr>
        <sz val="10"/>
        <rFont val="Noto Sans CJK SC"/>
        <family val="2"/>
      </rPr>
      <t xml:space="preserve">名單每季約有 </t>
    </r>
    <r>
      <rPr>
        <sz val="10"/>
        <rFont val="Arial"/>
        <family val="0"/>
        <charset val="1"/>
      </rPr>
      <t xml:space="preserve">19% </t>
    </r>
    <r>
      <rPr>
        <sz val="10"/>
        <rFont val="Noto Sans CJK SC"/>
        <family val="2"/>
      </rPr>
      <t xml:space="preserve">異動（轉隊或退出聯盟），</t>
    </r>
    <r>
      <rPr>
        <sz val="10"/>
        <rFont val="Arial"/>
        <family val="0"/>
        <charset val="1"/>
      </rPr>
      <t xml:space="preserve">32 </t>
    </r>
    <r>
      <rPr>
        <sz val="10"/>
        <rFont val="Noto Sans CJK SC"/>
        <family val="2"/>
      </rPr>
      <t xml:space="preserve">歲以上再加 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35 </t>
    </r>
    <r>
      <rPr>
        <sz val="10"/>
        <rFont val="Noto Sans CJK SC"/>
        <family val="2"/>
      </rPr>
      <t xml:space="preserve">歲以上再加 </t>
    </r>
    <r>
      <rPr>
        <sz val="10"/>
        <rFont val="Arial"/>
        <family val="0"/>
        <charset val="1"/>
      </rPr>
      <t xml:space="preserve">26%</t>
    </r>
    <r>
      <rPr>
        <sz val="10"/>
        <rFont val="Noto Sans CJK SC"/>
        <family val="2"/>
      </rPr>
      <t xml:space="preserve">，新進球員偏年輕，使樣本平均年齡逐季持平。</t>
    </r>
  </si>
  <si>
    <r>
      <rPr>
        <sz val="10"/>
        <rFont val="Noto Sans CJK SC"/>
        <family val="2"/>
      </rPr>
      <t xml:space="preserve">球員具潛在能力值與年齡曲線（打者巔峰 </t>
    </r>
    <r>
      <rPr>
        <sz val="10"/>
        <rFont val="Arial"/>
        <family val="0"/>
        <charset val="1"/>
      </rPr>
      <t xml:space="preserve">27 </t>
    </r>
    <r>
      <rPr>
        <sz val="10"/>
        <rFont val="Noto Sans CJK SC"/>
        <family val="2"/>
      </rPr>
      <t xml:space="preserve">歲、投手 </t>
    </r>
    <r>
      <rPr>
        <sz val="10"/>
        <rFont val="Arial"/>
        <family val="0"/>
        <charset val="1"/>
      </rPr>
      <t xml:space="preserve">27.5 </t>
    </r>
    <r>
      <rPr>
        <sz val="10"/>
        <rFont val="Noto Sans CJK SC"/>
        <family val="2"/>
      </rPr>
      <t xml:space="preserve">歲），三季成績彼此相關，可做趨勢與老化曲線分析。</t>
    </r>
  </si>
  <si>
    <r>
      <rPr>
        <sz val="10"/>
        <rFont val="Noto Sans CJK SC"/>
        <family val="2"/>
      </rPr>
      <t xml:space="preserve">球隊勝場亦具跨季相關性（前季權重 </t>
    </r>
    <r>
      <rPr>
        <sz val="10"/>
        <rFont val="Arial"/>
        <family val="0"/>
        <charset val="1"/>
      </rPr>
      <t xml:space="preserve">0.62</t>
    </r>
    <r>
      <rPr>
        <sz val="10"/>
        <rFont val="Noto Sans CJK SC"/>
        <family val="2"/>
      </rPr>
      <t xml:space="preserve">），可做戰力延續性分析。</t>
    </r>
  </si>
  <si>
    <t xml:space="preserve">主鍵</t>
  </si>
  <si>
    <t xml:space="preserve">球隊主檔主鍵為 球隊代號；球員主檔主鍵為 球員代號。</t>
  </si>
  <si>
    <r>
      <rPr>
        <sz val="10"/>
        <rFont val="Noto Sans CJK SC"/>
        <family val="2"/>
      </rPr>
      <t xml:space="preserve">★ 打擊成績與投手成績主鍵為 球季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球員代號；球隊戰績與球隊球季彙總主鍵為 球季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球隊代號。</t>
    </r>
  </si>
  <si>
    <r>
      <rPr>
        <sz val="10"/>
        <rFont val="Noto Sans CJK SC"/>
        <family val="2"/>
      </rPr>
      <t xml:space="preserve">年度關鍵指標主鍵為 球季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指標代碼，同一指標的三個球季為相鄰列，可直接取連續範圍畫趨勢圖。</t>
    </r>
  </si>
  <si>
    <t xml:space="preserve">球員姓名、球隊名稱、聯盟、分區在各表中皆由主檔帶入，請勿直接覆寫。</t>
  </si>
  <si>
    <t xml:space="preserve">資料型別</t>
  </si>
  <si>
    <t xml:space="preserve">所有比率（打擊率、上壘率、勝率、三振率等）一律以小數儲存，僅顯示格式不同。</t>
  </si>
  <si>
    <r>
      <rPr>
        <sz val="10"/>
        <rFont val="Noto Sans CJK SC"/>
        <family val="2"/>
      </rPr>
      <t xml:space="preserve">日期一律 </t>
    </r>
    <r>
      <rPr>
        <sz val="10"/>
        <rFont val="Arial"/>
        <family val="0"/>
        <charset val="1"/>
      </rPr>
      <t xml:space="preserve">yyyy-mm-dd</t>
    </r>
    <r>
      <rPr>
        <sz val="10"/>
        <rFont val="Noto Sans CJK SC"/>
        <family val="2"/>
      </rPr>
      <t xml:space="preserve">；球季為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位數整數。</t>
    </r>
  </si>
  <si>
    <r>
      <rPr>
        <sz val="10"/>
        <rFont val="Noto Sans CJK SC"/>
        <family val="2"/>
      </rPr>
      <t xml:space="preserve">★ 投球局數以「投球出局數」整數為唯一真實來源；投球局數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出局數 </t>
    </r>
    <r>
      <rPr>
        <sz val="10"/>
        <rFont val="Arial"/>
        <family val="0"/>
        <charset val="1"/>
      </rPr>
      <t xml:space="preserve">÷ 3</t>
    </r>
    <r>
      <rPr>
        <sz val="10"/>
        <rFont val="Noto Sans CJK SC"/>
        <family val="2"/>
      </rPr>
      <t xml:space="preserve">（小數），局數顯示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傳統 </t>
    </r>
    <r>
      <rPr>
        <sz val="10"/>
        <rFont val="Arial"/>
        <family val="0"/>
        <charset val="1"/>
      </rPr>
      <t xml:space="preserve">x.y </t>
    </r>
    <r>
      <rPr>
        <sz val="10"/>
        <rFont val="Noto Sans CJK SC"/>
        <family val="2"/>
      </rPr>
      <t xml:space="preserve">寫法。</t>
    </r>
  </si>
  <si>
    <r>
      <rPr>
        <sz val="10"/>
        <rFont val="Noto Sans CJK SC"/>
        <family val="2"/>
      </rPr>
      <t xml:space="preserve">傳統寫法 </t>
    </r>
    <r>
      <rPr>
        <sz val="10"/>
        <rFont val="Arial"/>
        <family val="0"/>
        <charset val="1"/>
      </rPr>
      <t xml:space="preserve">6.1 </t>
    </r>
    <r>
      <rPr>
        <sz val="10"/>
        <rFont val="Noto Sans CJK SC"/>
        <family val="2"/>
      </rPr>
      <t xml:space="preserve">代表 </t>
    </r>
    <r>
      <rPr>
        <sz val="10"/>
        <rFont val="Arial"/>
        <family val="0"/>
        <charset val="1"/>
      </rPr>
      <t xml:space="preserve">6⅓ </t>
    </r>
    <r>
      <rPr>
        <sz val="10"/>
        <rFont val="Noto Sans CJK SC"/>
        <family val="2"/>
      </rPr>
      <t xml:space="preserve">局，不可直接參與數學運算，故另開三欄分離儲存與顯示。</t>
    </r>
  </si>
  <si>
    <t xml:space="preserve">取樣範圍</t>
  </si>
  <si>
    <r>
      <rPr>
        <sz val="10"/>
        <rFont val="Noto Sans CJK SC"/>
        <family val="2"/>
      </rPr>
      <t xml:space="preserve">★ 每隊每季取樣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名打者 </t>
    </r>
    <r>
      <rPr>
        <sz val="10"/>
        <rFont val="Arial"/>
        <family val="0"/>
        <charset val="1"/>
      </rPr>
      <t xml:space="preserve">+ 10 </t>
    </r>
    <r>
      <rPr>
        <sz val="10"/>
        <rFont val="Noto Sans CJK SC"/>
        <family val="2"/>
      </rPr>
      <t xml:space="preserve">名投手（先發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、後援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），故球員成績合計不等於球隊戰績的得分與失分。</t>
    </r>
  </si>
  <si>
    <r>
      <rPr>
        <sz val="10"/>
        <rFont val="Noto Sans CJK SC"/>
        <family val="2"/>
      </rPr>
      <t xml:space="preserve">若要讓兩者對帳一致，需補足全隊 </t>
    </r>
    <r>
      <rPr>
        <sz val="10"/>
        <rFont val="Arial"/>
        <family val="0"/>
        <charset val="1"/>
      </rPr>
      <t xml:space="preserve">26 </t>
    </r>
    <r>
      <rPr>
        <sz val="10"/>
        <rFont val="Noto Sans CJK SC"/>
        <family val="2"/>
      </rPr>
      <t xml:space="preserve">人名單，可沿用相同欄位結構直接增列。</t>
    </r>
  </si>
  <si>
    <t xml:space="preserve">計算定義</t>
  </si>
  <si>
    <r>
      <rPr>
        <sz val="10"/>
        <rFont val="Arial"/>
        <family val="0"/>
        <charset val="1"/>
      </rPr>
      <t xml:space="preserve">OBP =</t>
    </r>
    <r>
      <rPr>
        <sz val="10"/>
        <rFont val="Noto Sans CJK SC"/>
        <family val="2"/>
      </rPr>
      <t xml:space="preserve">（安打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保送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觸身球）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（打數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保送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觸身球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高飛犧牲打）；</t>
    </r>
    <r>
      <rPr>
        <sz val="10"/>
        <rFont val="Arial"/>
        <family val="0"/>
        <charset val="1"/>
      </rPr>
      <t xml:space="preserve">SLG = </t>
    </r>
    <r>
      <rPr>
        <sz val="10"/>
        <rFont val="Noto Sans CJK SC"/>
        <family val="2"/>
      </rPr>
      <t xml:space="preserve">壘打數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打數。</t>
    </r>
  </si>
  <si>
    <r>
      <rPr>
        <sz val="10"/>
        <rFont val="Arial"/>
        <family val="0"/>
        <charset val="1"/>
      </rPr>
      <t xml:space="preserve">BABIP =</t>
    </r>
    <r>
      <rPr>
        <sz val="10"/>
        <rFont val="Noto Sans CJK SC"/>
        <family val="2"/>
      </rPr>
      <t xml:space="preserve">（安打−全壘打）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（打數−三振−全壘打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高飛犧牲打）。</t>
    </r>
  </si>
  <si>
    <r>
      <rPr>
        <sz val="10"/>
        <rFont val="Arial"/>
        <family val="0"/>
        <charset val="1"/>
      </rPr>
      <t xml:space="preserve">FIP =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13×</t>
    </r>
    <r>
      <rPr>
        <sz val="10"/>
        <rFont val="Noto Sans CJK SC"/>
        <family val="2"/>
      </rPr>
      <t xml:space="preserve">被全壘打 </t>
    </r>
    <r>
      <rPr>
        <sz val="10"/>
        <rFont val="Arial"/>
        <family val="0"/>
        <charset val="1"/>
      </rPr>
      <t xml:space="preserve">+ 3×(</t>
    </r>
    <r>
      <rPr>
        <sz val="10"/>
        <rFont val="Noto Sans CJK SC"/>
        <family val="2"/>
      </rPr>
      <t xml:space="preserve">保送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觸身球</t>
    </r>
    <r>
      <rPr>
        <sz val="10"/>
        <rFont val="Arial"/>
        <family val="0"/>
        <charset val="1"/>
      </rPr>
      <t xml:space="preserve">) − 2×</t>
    </r>
    <r>
      <rPr>
        <sz val="10"/>
        <rFont val="Noto Sans CJK SC"/>
        <family val="2"/>
      </rPr>
      <t xml:space="preserve">三振）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投球局數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該季 </t>
    </r>
    <r>
      <rPr>
        <sz val="10"/>
        <rFont val="Arial"/>
        <family val="0"/>
        <charset val="1"/>
      </rPr>
      <t xml:space="preserve">FIP </t>
    </r>
    <r>
      <rPr>
        <sz val="10"/>
        <rFont val="Noto Sans CJK SC"/>
        <family val="2"/>
      </rPr>
      <t xml:space="preserve">常數（見球季參數）。</t>
    </r>
  </si>
  <si>
    <r>
      <rPr>
        <sz val="10"/>
        <rFont val="Noto Sans CJK SC"/>
        <family val="2"/>
      </rPr>
      <t xml:space="preserve">畢氏勝率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得分</t>
    </r>
    <r>
      <rPr>
        <sz val="10"/>
        <rFont val="Arial"/>
        <family val="0"/>
        <charset val="1"/>
      </rPr>
      <t xml:space="preserve">^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（得分</t>
    </r>
    <r>
      <rPr>
        <sz val="10"/>
        <rFont val="Arial"/>
        <family val="0"/>
        <charset val="1"/>
      </rPr>
      <t xml:space="preserve">^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失分</t>
    </r>
    <r>
      <rPr>
        <sz val="10"/>
        <rFont val="Arial"/>
        <family val="0"/>
        <charset val="1"/>
      </rPr>
      <t xml:space="preserve">^</t>
    </r>
    <r>
      <rPr>
        <sz val="10"/>
        <rFont val="Noto Sans CJK SC"/>
        <family val="2"/>
      </rPr>
      <t xml:space="preserve">指數），指數預設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，可於球季參數逐季調整。</t>
    </r>
  </si>
  <si>
    <r>
      <rPr>
        <sz val="10"/>
        <rFont val="Noto Sans CJK SC"/>
        <family val="2"/>
      </rPr>
      <t xml:space="preserve">分區勝差以同球季同分區為範圍計算，分區龍頭為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</si>
  <si>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球季年齡以該年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日為基準計算，為 </t>
    </r>
    <r>
      <rPr>
        <sz val="10"/>
        <rFont val="Arial"/>
        <family val="0"/>
        <charset val="1"/>
      </rPr>
      <t xml:space="preserve">MLB </t>
    </r>
    <r>
      <rPr>
        <sz val="10"/>
        <rFont val="Noto Sans CJK SC"/>
        <family val="2"/>
      </rPr>
      <t xml:space="preserve">慣例。</t>
    </r>
  </si>
  <si>
    <t xml:space="preserve">顏色規則</t>
  </si>
  <si>
    <t xml:space="preserve">藍色字＝手動輸入的原始資料；黑色字＝同表公式；綠色字＝跨工作表連結。</t>
  </si>
  <si>
    <t xml:space="preserve">圖表</t>
  </si>
  <si>
    <t xml:space="preserve">「圖表預覽」工作表僅供人工檢視，不含任何原始資料，自動化流程可略過該表。</t>
  </si>
  <si>
    <t xml:space="preserve">工作表</t>
  </si>
  <si>
    <t xml:space="preserve">欄位位置</t>
  </si>
  <si>
    <t xml:space="preserve">欄位代碼</t>
  </si>
  <si>
    <t xml:space="preserve">中文欄名</t>
  </si>
  <si>
    <t xml:space="preserve">單位</t>
  </si>
  <si>
    <t xml:space="preserve">資料來源</t>
  </si>
  <si>
    <t xml:space="preserve">球季參數</t>
  </si>
  <si>
    <t xml:space="preserve">A</t>
  </si>
  <si>
    <t xml:space="preserve">season</t>
  </si>
  <si>
    <t xml:space="preserve">球季</t>
  </si>
  <si>
    <t xml:space="preserve">整數</t>
  </si>
  <si>
    <t xml:space="preserve">年</t>
  </si>
  <si>
    <t xml:space="preserve">手動輸入</t>
  </si>
  <si>
    <t xml:space="preserve">B</t>
  </si>
  <si>
    <t xml:space="preserve">games_total</t>
  </si>
  <si>
    <t xml:space="preserve">例行賽場次</t>
  </si>
  <si>
    <t xml:space="preserve">場</t>
  </si>
  <si>
    <t xml:space="preserve">C</t>
  </si>
  <si>
    <t xml:space="preserve">fip_constant</t>
  </si>
  <si>
    <r>
      <rPr>
        <sz val="10"/>
        <rFont val="Arial"/>
        <family val="0"/>
        <charset val="1"/>
      </rPr>
      <t xml:space="preserve">FIP </t>
    </r>
    <r>
      <rPr>
        <sz val="10"/>
        <rFont val="Noto Sans CJK SC"/>
        <family val="2"/>
      </rPr>
      <t xml:space="preserve">常數</t>
    </r>
  </si>
  <si>
    <t xml:space="preserve">數值</t>
  </si>
  <si>
    <t xml:space="preserve">D</t>
  </si>
  <si>
    <t xml:space="preserve">pythag_exp</t>
  </si>
  <si>
    <t xml:space="preserve">畢氏勝率指數</t>
  </si>
  <si>
    <t xml:space="preserve">E</t>
  </si>
  <si>
    <t xml:space="preserve">qual_pa</t>
  </si>
  <si>
    <t xml:space="preserve">打者合格打席門檻</t>
  </si>
  <si>
    <t xml:space="preserve">打席</t>
  </si>
  <si>
    <t xml:space="preserve">F</t>
  </si>
  <si>
    <t xml:space="preserve">qual_ip</t>
  </si>
  <si>
    <t xml:space="preserve">投手合格局數門檻</t>
  </si>
  <si>
    <t xml:space="preserve">局</t>
  </si>
  <si>
    <t xml:space="preserve">球隊主檔</t>
  </si>
  <si>
    <t xml:space="preserve">team_id</t>
  </si>
  <si>
    <t xml:space="preserve">球隊代號</t>
  </si>
  <si>
    <t xml:space="preserve">文字</t>
  </si>
  <si>
    <t xml:space="preserve">team_name_en</t>
  </si>
  <si>
    <t xml:space="preserve">球隊英文名</t>
  </si>
  <si>
    <t xml:space="preserve">team_name_zh</t>
  </si>
  <si>
    <t xml:space="preserve">球隊中文名</t>
  </si>
  <si>
    <t xml:space="preserve">league</t>
  </si>
  <si>
    <t xml:space="preserve">聯盟</t>
  </si>
  <si>
    <t xml:space="preserve">division</t>
  </si>
  <si>
    <t xml:space="preserve">分區</t>
  </si>
  <si>
    <t xml:space="preserve">location</t>
  </si>
  <si>
    <t xml:space="preserve">所在地</t>
  </si>
  <si>
    <t xml:space="preserve">球員主檔</t>
  </si>
  <si>
    <t xml:space="preserve">player_id</t>
  </si>
  <si>
    <t xml:space="preserve">球員代號</t>
  </si>
  <si>
    <t xml:space="preserve">player_name</t>
  </si>
  <si>
    <t xml:space="preserve">球員姓名</t>
  </si>
  <si>
    <t xml:space="preserve">player_type</t>
  </si>
  <si>
    <t xml:space="preserve">球員類別</t>
  </si>
  <si>
    <r>
      <rPr>
        <sz val="10"/>
        <rFont val="Noto Sans CJK SC"/>
        <family val="2"/>
      </rPr>
      <t xml:space="preserve">打者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投手</t>
    </r>
  </si>
  <si>
    <t xml:space="preserve">primary_position</t>
  </si>
  <si>
    <t xml:space="preserve">主要守備位置</t>
  </si>
  <si>
    <t xml:space="preserve">bat_side</t>
  </si>
  <si>
    <t xml:space="preserve">打擊慣用手</t>
  </si>
  <si>
    <t xml:space="preserve">R/L/S</t>
  </si>
  <si>
    <t xml:space="preserve">pitch_hand</t>
  </si>
  <si>
    <t xml:space="preserve">投球慣用手</t>
  </si>
  <si>
    <t xml:space="preserve">R/L</t>
  </si>
  <si>
    <t xml:space="preserve">G</t>
  </si>
  <si>
    <t xml:space="preserve">birth_date</t>
  </si>
  <si>
    <t xml:space="preserve">出生日期</t>
  </si>
  <si>
    <t xml:space="preserve">日期</t>
  </si>
  <si>
    <t xml:space="preserve">H</t>
  </si>
  <si>
    <t xml:space="preserve">height_cm</t>
  </si>
  <si>
    <t xml:space="preserve">身高</t>
  </si>
  <si>
    <t xml:space="preserve">公分</t>
  </si>
  <si>
    <t xml:space="preserve">I</t>
  </si>
  <si>
    <t xml:space="preserve">weight_kg</t>
  </si>
  <si>
    <t xml:space="preserve">體重</t>
  </si>
  <si>
    <t xml:space="preserve">公斤</t>
  </si>
  <si>
    <t xml:space="preserve">J</t>
  </si>
  <si>
    <t xml:space="preserve">debut_year</t>
  </si>
  <si>
    <t xml:space="preserve">大聯盟初登板年</t>
  </si>
  <si>
    <t xml:space="preserve">K</t>
  </si>
  <si>
    <t xml:space="preserve">latest_team_id</t>
  </si>
  <si>
    <t xml:space="preserve">最新所屬球隊代號</t>
  </si>
  <si>
    <t xml:space="preserve">L</t>
  </si>
  <si>
    <t xml:space="preserve">latest_team_name</t>
  </si>
  <si>
    <t xml:space="preserve">最新所屬球隊</t>
  </si>
  <si>
    <t xml:space="preserve">連結 球隊主檔</t>
  </si>
  <si>
    <t xml:space="preserve">M</t>
  </si>
  <si>
    <t xml:space="preserve">seasons_played</t>
  </si>
  <si>
    <t xml:space="preserve">出賽球季數</t>
  </si>
  <si>
    <t xml:space="preserve">季</t>
  </si>
  <si>
    <t xml:space="preserve">公式</t>
  </si>
  <si>
    <t xml:space="preserve">打擊成績</t>
  </si>
  <si>
    <t xml:space="preserve">連結 球員主檔</t>
  </si>
  <si>
    <t xml:space="preserve">team_name</t>
  </si>
  <si>
    <t xml:space="preserve">position</t>
  </si>
  <si>
    <t xml:space="preserve">該季守備位置</t>
  </si>
  <si>
    <t xml:space="preserve">age</t>
  </si>
  <si>
    <t xml:space="preserve">球季年齡</t>
  </si>
  <si>
    <t xml:space="preserve">歲</t>
  </si>
  <si>
    <t xml:space="preserve">gamesPlayed</t>
  </si>
  <si>
    <t xml:space="preserve">出賽數</t>
  </si>
  <si>
    <t xml:space="preserve">plateAppearances</t>
  </si>
  <si>
    <t xml:space="preserve">PA</t>
  </si>
  <si>
    <t xml:space="preserve">atBats</t>
  </si>
  <si>
    <t xml:space="preserve">打數</t>
  </si>
  <si>
    <t xml:space="preserve">AB</t>
  </si>
  <si>
    <t xml:space="preserve">runs</t>
  </si>
  <si>
    <t xml:space="preserve">得分</t>
  </si>
  <si>
    <t xml:space="preserve">R</t>
  </si>
  <si>
    <t xml:space="preserve">hits</t>
  </si>
  <si>
    <t xml:space="preserve">安打</t>
  </si>
  <si>
    <t xml:space="preserve">N</t>
  </si>
  <si>
    <t xml:space="preserve">doubles</t>
  </si>
  <si>
    <t xml:space="preserve">二壘打</t>
  </si>
  <si>
    <t xml:space="preserve">2B</t>
  </si>
  <si>
    <t xml:space="preserve">O</t>
  </si>
  <si>
    <t xml:space="preserve">triples</t>
  </si>
  <si>
    <t xml:space="preserve">三壘打</t>
  </si>
  <si>
    <t xml:space="preserve">3B</t>
  </si>
  <si>
    <t xml:space="preserve">P</t>
  </si>
  <si>
    <t xml:space="preserve">homeRuns</t>
  </si>
  <si>
    <t xml:space="preserve">全壘打</t>
  </si>
  <si>
    <t xml:space="preserve">HR</t>
  </si>
  <si>
    <t xml:space="preserve">Q</t>
  </si>
  <si>
    <t xml:space="preserve">rbi</t>
  </si>
  <si>
    <t xml:space="preserve">打點</t>
  </si>
  <si>
    <t xml:space="preserve">RBI</t>
  </si>
  <si>
    <t xml:space="preserve">baseOnBalls</t>
  </si>
  <si>
    <t xml:space="preserve">保送</t>
  </si>
  <si>
    <t xml:space="preserve">BB</t>
  </si>
  <si>
    <t xml:space="preserve">S</t>
  </si>
  <si>
    <t xml:space="preserve">strikeOuts</t>
  </si>
  <si>
    <t xml:space="preserve">三振</t>
  </si>
  <si>
    <t xml:space="preserve">SO</t>
  </si>
  <si>
    <t xml:space="preserve">T</t>
  </si>
  <si>
    <t xml:space="preserve">hitByPitch</t>
  </si>
  <si>
    <t xml:space="preserve">觸身球</t>
  </si>
  <si>
    <t xml:space="preserve">HBP</t>
  </si>
  <si>
    <t xml:space="preserve">U</t>
  </si>
  <si>
    <t xml:space="preserve">sacFlies</t>
  </si>
  <si>
    <t xml:space="preserve">高飛犧牲打</t>
  </si>
  <si>
    <t xml:space="preserve">SF</t>
  </si>
  <si>
    <t xml:space="preserve">V</t>
  </si>
  <si>
    <t xml:space="preserve">stolenBases</t>
  </si>
  <si>
    <t xml:space="preserve">盜壘成功</t>
  </si>
  <si>
    <t xml:space="preserve">SB</t>
  </si>
  <si>
    <t xml:space="preserve">W</t>
  </si>
  <si>
    <t xml:space="preserve">caughtStealing</t>
  </si>
  <si>
    <t xml:space="preserve">盜壘失敗</t>
  </si>
  <si>
    <t xml:space="preserve">CS</t>
  </si>
  <si>
    <t xml:space="preserve">X</t>
  </si>
  <si>
    <t xml:space="preserve">totalBases</t>
  </si>
  <si>
    <t xml:space="preserve">壘打數</t>
  </si>
  <si>
    <t xml:space="preserve">TB</t>
  </si>
  <si>
    <t xml:space="preserve">Y</t>
  </si>
  <si>
    <t xml:space="preserve">avg</t>
  </si>
  <si>
    <t xml:space="preserve">打擊率</t>
  </si>
  <si>
    <t xml:space="preserve">小數</t>
  </si>
  <si>
    <t xml:space="preserve">Z</t>
  </si>
  <si>
    <t xml:space="preserve">obp</t>
  </si>
  <si>
    <t xml:space="preserve">上壘率</t>
  </si>
  <si>
    <t xml:space="preserve">AA</t>
  </si>
  <si>
    <t xml:space="preserve">slg</t>
  </si>
  <si>
    <t xml:space="preserve">長打率</t>
  </si>
  <si>
    <t xml:space="preserve">ops</t>
  </si>
  <si>
    <t xml:space="preserve">整體攻擊指數</t>
  </si>
  <si>
    <t xml:space="preserve">AC</t>
  </si>
  <si>
    <t xml:space="preserve">iso</t>
  </si>
  <si>
    <t xml:space="preserve">純長打率</t>
  </si>
  <si>
    <t xml:space="preserve">AD</t>
  </si>
  <si>
    <t xml:space="preserve">babip</t>
  </si>
  <si>
    <t xml:space="preserve">場內安打率</t>
  </si>
  <si>
    <t xml:space="preserve">AE</t>
  </si>
  <si>
    <t xml:space="preserve">walkPercentage</t>
  </si>
  <si>
    <t xml:space="preserve">保送率</t>
  </si>
  <si>
    <t xml:space="preserve">百分比</t>
  </si>
  <si>
    <t xml:space="preserve">AF</t>
  </si>
  <si>
    <t xml:space="preserve">strikeOutPercentage</t>
  </si>
  <si>
    <t xml:space="preserve">三振率</t>
  </si>
  <si>
    <t xml:space="preserve">AG</t>
  </si>
  <si>
    <t xml:space="preserve">isQualified</t>
  </si>
  <si>
    <t xml:space="preserve">是否合格打者</t>
  </si>
  <si>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</t>
    </r>
  </si>
  <si>
    <t xml:space="preserve">投手成績</t>
  </si>
  <si>
    <t xml:space="preserve">role</t>
  </si>
  <si>
    <t xml:space="preserve">投手角色</t>
  </si>
  <si>
    <t xml:space="preserve">SP/RP</t>
  </si>
  <si>
    <t xml:space="preserve">wins</t>
  </si>
  <si>
    <t xml:space="preserve">勝投</t>
  </si>
  <si>
    <t xml:space="preserve">losses</t>
  </si>
  <si>
    <t xml:space="preserve">敗投</t>
  </si>
  <si>
    <t xml:space="preserve">saves</t>
  </si>
  <si>
    <t xml:space="preserve">救援成功</t>
  </si>
  <si>
    <t xml:space="preserve">SV</t>
  </si>
  <si>
    <t xml:space="preserve">holds</t>
  </si>
  <si>
    <t xml:space="preserve">中繼成功</t>
  </si>
  <si>
    <t xml:space="preserve">HLD</t>
  </si>
  <si>
    <t xml:space="preserve">gamesStarted</t>
  </si>
  <si>
    <t xml:space="preserve">先發場次</t>
  </si>
  <si>
    <t xml:space="preserve">GS</t>
  </si>
  <si>
    <t xml:space="preserve">outs</t>
  </si>
  <si>
    <t xml:space="preserve">投球出局數</t>
  </si>
  <si>
    <t xml:space="preserve">個</t>
  </si>
  <si>
    <t xml:space="preserve">inningsPitched</t>
  </si>
  <si>
    <t xml:space="preserve">投球局數</t>
  </si>
  <si>
    <t xml:space="preserve">ipDisplay</t>
  </si>
  <si>
    <t xml:space="preserve">局數顯示</t>
  </si>
  <si>
    <t xml:space="preserve">x.y</t>
  </si>
  <si>
    <t xml:space="preserve">被安打</t>
  </si>
  <si>
    <t xml:space="preserve">失分</t>
  </si>
  <si>
    <t xml:space="preserve">earnedRuns</t>
  </si>
  <si>
    <t xml:space="preserve">自責分</t>
  </si>
  <si>
    <t xml:space="preserve">ER</t>
  </si>
  <si>
    <t xml:space="preserve">被全壘打</t>
  </si>
  <si>
    <t xml:space="preserve">era</t>
  </si>
  <si>
    <t xml:space="preserve">防禦率</t>
  </si>
  <si>
    <t xml:space="preserve">whip</t>
  </si>
  <si>
    <t xml:space="preserve">每局被上壘率</t>
  </si>
  <si>
    <t xml:space="preserve">strikeoutsPer9</t>
  </si>
  <si>
    <t xml:space="preserve">每九局三振</t>
  </si>
  <si>
    <t xml:space="preserve">K/9</t>
  </si>
  <si>
    <t xml:space="preserve">walksPer9</t>
  </si>
  <si>
    <t xml:space="preserve">每九局保送</t>
  </si>
  <si>
    <t xml:space="preserve">BB/9</t>
  </si>
  <si>
    <t xml:space="preserve">strikeoutWalkRatio</t>
  </si>
  <si>
    <t xml:space="preserve">三振保送比</t>
  </si>
  <si>
    <t xml:space="preserve">K/BB</t>
  </si>
  <si>
    <t xml:space="preserve">fip</t>
  </si>
  <si>
    <t xml:space="preserve">獨立投球防禦率</t>
  </si>
  <si>
    <t xml:space="preserve">FIP</t>
  </si>
  <si>
    <t xml:space="preserve">是否合格投手</t>
  </si>
  <si>
    <t xml:space="preserve">球隊戰績</t>
  </si>
  <si>
    <t xml:space="preserve">勝場</t>
  </si>
  <si>
    <t xml:space="preserve">敗場</t>
  </si>
  <si>
    <t xml:space="preserve">winPct</t>
  </si>
  <si>
    <t xml:space="preserve">勝率</t>
  </si>
  <si>
    <t xml:space="preserve">gamesBack</t>
  </si>
  <si>
    <t xml:space="preserve">分區勝差</t>
  </si>
  <si>
    <t xml:space="preserve">runsScored</t>
  </si>
  <si>
    <t xml:space="preserve">RS</t>
  </si>
  <si>
    <t xml:space="preserve">runsAllowed</t>
  </si>
  <si>
    <t xml:space="preserve">RA</t>
  </si>
  <si>
    <t xml:space="preserve">runDiff</t>
  </si>
  <si>
    <t xml:space="preserve">得失分差</t>
  </si>
  <si>
    <t xml:space="preserve">pythagPct</t>
  </si>
  <si>
    <t xml:space="preserve">畢氏勝率</t>
  </si>
  <si>
    <t xml:space="preserve">pythagWins</t>
  </si>
  <si>
    <t xml:space="preserve">畢氏預期勝場</t>
  </si>
  <si>
    <t xml:space="preserve">winsVsPythag</t>
  </si>
  <si>
    <t xml:space="preserve">實際減預期</t>
  </si>
  <si>
    <t xml:space="preserve">球隊球季彙總</t>
  </si>
  <si>
    <t xml:space="preserve">連結 球隊戰績</t>
  </si>
  <si>
    <t xml:space="preserve">batterCount</t>
  </si>
  <si>
    <t xml:space="preserve">樣本打者數</t>
  </si>
  <si>
    <t xml:space="preserve">人</t>
  </si>
  <si>
    <t xml:space="preserve">teamPA</t>
  </si>
  <si>
    <t xml:space="preserve">打席合計</t>
  </si>
  <si>
    <t xml:space="preserve">teamAB</t>
  </si>
  <si>
    <t xml:space="preserve">打數合計</t>
  </si>
  <si>
    <t xml:space="preserve">teamH</t>
  </si>
  <si>
    <t xml:space="preserve">安打合計</t>
  </si>
  <si>
    <t xml:space="preserve">teamTB</t>
  </si>
  <si>
    <t xml:space="preserve">壘打數合計</t>
  </si>
  <si>
    <t xml:space="preserve">teamHR</t>
  </si>
  <si>
    <t xml:space="preserve">全壘打合計</t>
  </si>
  <si>
    <t xml:space="preserve">teamRBI</t>
  </si>
  <si>
    <t xml:space="preserve">打點合計</t>
  </si>
  <si>
    <t xml:space="preserve">teamSB</t>
  </si>
  <si>
    <t xml:space="preserve">盜壘成功合計</t>
  </si>
  <si>
    <t xml:space="preserve">teamAvg</t>
  </si>
  <si>
    <t xml:space="preserve">團隊打擊率</t>
  </si>
  <si>
    <t xml:space="preserve">teamSlg</t>
  </si>
  <si>
    <t xml:space="preserve">團隊長打率</t>
  </si>
  <si>
    <t xml:space="preserve">pitcherCount</t>
  </si>
  <si>
    <t xml:space="preserve">樣本投手數</t>
  </si>
  <si>
    <t xml:space="preserve">teamOuts</t>
  </si>
  <si>
    <t xml:space="preserve">投球出局數合計</t>
  </si>
  <si>
    <t xml:space="preserve">teamIP</t>
  </si>
  <si>
    <t xml:space="preserve">投球局數合計</t>
  </si>
  <si>
    <t xml:space="preserve">teamSO</t>
  </si>
  <si>
    <t xml:space="preserve">三振合計</t>
  </si>
  <si>
    <t xml:space="preserve">teamER</t>
  </si>
  <si>
    <t xml:space="preserve">自責分合計</t>
  </si>
  <si>
    <t xml:space="preserve">teamEra</t>
  </si>
  <si>
    <t xml:space="preserve">團隊防禦率</t>
  </si>
  <si>
    <t xml:space="preserve">teamK9</t>
  </si>
  <si>
    <t xml:space="preserve">團隊每九局三振</t>
  </si>
  <si>
    <t xml:space="preserve">年度關鍵指標</t>
  </si>
  <si>
    <t xml:space="preserve">kpi_code</t>
  </si>
  <si>
    <t xml:space="preserve">指標代碼</t>
  </si>
  <si>
    <t xml:space="preserve">kpi_name</t>
  </si>
  <si>
    <t xml:space="preserve">指標名稱</t>
  </si>
  <si>
    <t xml:space="preserve">kpi_value</t>
  </si>
  <si>
    <t xml:space="preserve">見單位欄</t>
  </si>
  <si>
    <t xml:space="preserve">unit</t>
  </si>
  <si>
    <r>
      <rPr>
        <b val="true"/>
        <sz val="10"/>
        <color rgb="FFFFFFFF"/>
        <rFont val="Arial"/>
        <family val="0"/>
        <charset val="1"/>
      </rPr>
      <t xml:space="preserve">FIP </t>
    </r>
    <r>
      <rPr>
        <b val="true"/>
        <sz val="10"/>
        <color rgb="FFFFFFFF"/>
        <rFont val="Noto Sans CJK SC"/>
        <family val="2"/>
      </rPr>
      <t xml:space="preserve">常數</t>
    </r>
  </si>
  <si>
    <t xml:space="preserve">BAL</t>
  </si>
  <si>
    <t xml:space="preserve">Baltimore Orioles</t>
  </si>
  <si>
    <t xml:space="preserve">巴爾的摩金鶯</t>
  </si>
  <si>
    <t xml:space="preserve">美聯</t>
  </si>
  <si>
    <t xml:space="preserve">美東</t>
  </si>
  <si>
    <t xml:space="preserve">Baltimore, MD</t>
  </si>
  <si>
    <t xml:space="preserve">BOS</t>
  </si>
  <si>
    <t xml:space="preserve">Boston Red Sox</t>
  </si>
  <si>
    <t xml:space="preserve">波士頓紅襪</t>
  </si>
  <si>
    <t xml:space="preserve">Boston, MA</t>
  </si>
  <si>
    <t xml:space="preserve">NYY</t>
  </si>
  <si>
    <t xml:space="preserve">New York Yankees</t>
  </si>
  <si>
    <t xml:space="preserve">紐約洋基</t>
  </si>
  <si>
    <t xml:space="preserve">Bronx, NY</t>
  </si>
  <si>
    <t xml:space="preserve">TBR</t>
  </si>
  <si>
    <t xml:space="preserve">Tampa Bay Rays</t>
  </si>
  <si>
    <t xml:space="preserve">坦帕灣光芒</t>
  </si>
  <si>
    <t xml:space="preserve">St. Petersburg, FL</t>
  </si>
  <si>
    <t xml:space="preserve">TOR</t>
  </si>
  <si>
    <t xml:space="preserve">Toronto Blue Jays</t>
  </si>
  <si>
    <t xml:space="preserve">多倫多藍鳥</t>
  </si>
  <si>
    <t xml:space="preserve">Toronto, ON</t>
  </si>
  <si>
    <t xml:space="preserve">CWS</t>
  </si>
  <si>
    <t xml:space="preserve">Chicago White Sox</t>
  </si>
  <si>
    <t xml:space="preserve">芝加哥白襪</t>
  </si>
  <si>
    <t xml:space="preserve">美中</t>
  </si>
  <si>
    <t xml:space="preserve">Chicago, IL</t>
  </si>
  <si>
    <t xml:space="preserve">CLE</t>
  </si>
  <si>
    <t xml:space="preserve">Cleveland Guardians</t>
  </si>
  <si>
    <t xml:space="preserve">克里夫蘭守護者</t>
  </si>
  <si>
    <t xml:space="preserve">Cleveland, OH</t>
  </si>
  <si>
    <t xml:space="preserve">DET</t>
  </si>
  <si>
    <t xml:space="preserve">Detroit Tigers</t>
  </si>
  <si>
    <t xml:space="preserve">底特律老虎</t>
  </si>
  <si>
    <t xml:space="preserve">Detroit, MI</t>
  </si>
  <si>
    <t xml:space="preserve">KCR</t>
  </si>
  <si>
    <t xml:space="preserve">Kansas City Royals</t>
  </si>
  <si>
    <t xml:space="preserve">堪薩斯市皇家</t>
  </si>
  <si>
    <t xml:space="preserve">Kansas City, MO</t>
  </si>
  <si>
    <t xml:space="preserve">MIN</t>
  </si>
  <si>
    <t xml:space="preserve">Minnesota Twins</t>
  </si>
  <si>
    <t xml:space="preserve">明尼蘇達雙城</t>
  </si>
  <si>
    <t xml:space="preserve">Minneapolis, MN</t>
  </si>
  <si>
    <t xml:space="preserve">ATH</t>
  </si>
  <si>
    <t xml:space="preserve">Athletics</t>
  </si>
  <si>
    <t xml:space="preserve">運動家</t>
  </si>
  <si>
    <t xml:space="preserve">美西</t>
  </si>
  <si>
    <t xml:space="preserve">West Sacramento, CA</t>
  </si>
  <si>
    <t xml:space="preserve">HOU</t>
  </si>
  <si>
    <t xml:space="preserve">Houston Astros</t>
  </si>
  <si>
    <t xml:space="preserve">休士頓太空人</t>
  </si>
  <si>
    <t xml:space="preserve">Houston, TX</t>
  </si>
  <si>
    <t xml:space="preserve">LAA</t>
  </si>
  <si>
    <t xml:space="preserve">Los Angeles Angels</t>
  </si>
  <si>
    <t xml:space="preserve">洛杉磯天使</t>
  </si>
  <si>
    <t xml:space="preserve">Anaheim, CA</t>
  </si>
  <si>
    <t xml:space="preserve">SEA</t>
  </si>
  <si>
    <t xml:space="preserve">Seattle Mariners</t>
  </si>
  <si>
    <t xml:space="preserve">西雅圖水手</t>
  </si>
  <si>
    <t xml:space="preserve">Seattle, WA</t>
  </si>
  <si>
    <t xml:space="preserve">TEX</t>
  </si>
  <si>
    <t xml:space="preserve">Texas Rangers</t>
  </si>
  <si>
    <t xml:space="preserve">德州遊騎兵</t>
  </si>
  <si>
    <t xml:space="preserve">Arlington, TX</t>
  </si>
  <si>
    <t xml:space="preserve">ATL</t>
  </si>
  <si>
    <t xml:space="preserve">Atlanta Braves</t>
  </si>
  <si>
    <t xml:space="preserve">亞特蘭大勇士</t>
  </si>
  <si>
    <t xml:space="preserve">國聯</t>
  </si>
  <si>
    <t xml:space="preserve">國東</t>
  </si>
  <si>
    <t xml:space="preserve">Atlanta, GA</t>
  </si>
  <si>
    <t xml:space="preserve">MIA</t>
  </si>
  <si>
    <t xml:space="preserve">Miami Marlins</t>
  </si>
  <si>
    <t xml:space="preserve">邁阿密馬林魚</t>
  </si>
  <si>
    <t xml:space="preserve">Miami, FL</t>
  </si>
  <si>
    <t xml:space="preserve">NYM</t>
  </si>
  <si>
    <t xml:space="preserve">New York Mets</t>
  </si>
  <si>
    <t xml:space="preserve">紐約大都會</t>
  </si>
  <si>
    <t xml:space="preserve">Queens, NY</t>
  </si>
  <si>
    <t xml:space="preserve">PHI</t>
  </si>
  <si>
    <t xml:space="preserve">Philadelphia Phillies</t>
  </si>
  <si>
    <t xml:space="preserve">費城費城人</t>
  </si>
  <si>
    <t xml:space="preserve">Philadelphia, PA</t>
  </si>
  <si>
    <t xml:space="preserve">WSN</t>
  </si>
  <si>
    <t xml:space="preserve">Washington Nationals</t>
  </si>
  <si>
    <t xml:space="preserve">華盛頓國民</t>
  </si>
  <si>
    <t xml:space="preserve">Washington, DC</t>
  </si>
  <si>
    <t xml:space="preserve">CHC</t>
  </si>
  <si>
    <t xml:space="preserve">Chicago Cubs</t>
  </si>
  <si>
    <t xml:space="preserve">芝加哥小熊</t>
  </si>
  <si>
    <t xml:space="preserve">國中</t>
  </si>
  <si>
    <t xml:space="preserve">CIN</t>
  </si>
  <si>
    <t xml:space="preserve">Cincinnati Reds</t>
  </si>
  <si>
    <t xml:space="preserve">辛辛那提紅人</t>
  </si>
  <si>
    <t xml:space="preserve">Cincinnati, OH</t>
  </si>
  <si>
    <t xml:space="preserve">MIL</t>
  </si>
  <si>
    <t xml:space="preserve">Milwaukee Brewers</t>
  </si>
  <si>
    <t xml:space="preserve">密爾瓦基釀酒人</t>
  </si>
  <si>
    <t xml:space="preserve">Milwaukee, WI</t>
  </si>
  <si>
    <t xml:space="preserve">PIT</t>
  </si>
  <si>
    <t xml:space="preserve">Pittsburgh Pirates</t>
  </si>
  <si>
    <t xml:space="preserve">匹茲堡海盜</t>
  </si>
  <si>
    <t xml:space="preserve">Pittsburgh, PA</t>
  </si>
  <si>
    <t xml:space="preserve">STL</t>
  </si>
  <si>
    <t xml:space="preserve">St. Louis Cardinals</t>
  </si>
  <si>
    <t xml:space="preserve">聖路易紅雀</t>
  </si>
  <si>
    <t xml:space="preserve">St. Louis, MO</t>
  </si>
  <si>
    <t xml:space="preserve">ARI</t>
  </si>
  <si>
    <t xml:space="preserve">Arizona Diamondbacks</t>
  </si>
  <si>
    <t xml:space="preserve">亞利桑那響尾蛇</t>
  </si>
  <si>
    <t xml:space="preserve">國西</t>
  </si>
  <si>
    <t xml:space="preserve">Phoenix, AZ</t>
  </si>
  <si>
    <t xml:space="preserve">COL</t>
  </si>
  <si>
    <t xml:space="preserve">Colorado Rockies</t>
  </si>
  <si>
    <t xml:space="preserve">科羅拉多落磯</t>
  </si>
  <si>
    <t xml:space="preserve">Denver, CO</t>
  </si>
  <si>
    <t xml:space="preserve">LAD</t>
  </si>
  <si>
    <t xml:space="preserve">Los Angeles Dodgers</t>
  </si>
  <si>
    <t xml:space="preserve">洛杉磯道奇</t>
  </si>
  <si>
    <t xml:space="preserve">Los Angeles, CA</t>
  </si>
  <si>
    <t xml:space="preserve">SDP</t>
  </si>
  <si>
    <t xml:space="preserve">San Diego Padres</t>
  </si>
  <si>
    <t xml:space="preserve">聖地牙哥教士</t>
  </si>
  <si>
    <t xml:space="preserve">San Diego, CA</t>
  </si>
  <si>
    <t xml:space="preserve">SFG</t>
  </si>
  <si>
    <t xml:space="preserve">San Francisco Giants</t>
  </si>
  <si>
    <t xml:space="preserve">舊金山巨人</t>
  </si>
  <si>
    <t xml:space="preserve">San Francisco, CA</t>
  </si>
  <si>
    <t xml:space="preserve">P00001</t>
  </si>
  <si>
    <t xml:space="preserve">Leandro Yarbrough</t>
  </si>
  <si>
    <t xml:space="preserve">打者</t>
  </si>
  <si>
    <t xml:space="preserve">CF</t>
  </si>
  <si>
    <t xml:space="preserve">P00002</t>
  </si>
  <si>
    <t xml:space="preserve">Seonwoo Brightwell</t>
  </si>
  <si>
    <t xml:space="preserve">RF</t>
  </si>
  <si>
    <t xml:space="preserve">P00003</t>
  </si>
  <si>
    <t xml:space="preserve">Jasper Iwasaki</t>
  </si>
  <si>
    <t xml:space="preserve">P00004</t>
  </si>
  <si>
    <t xml:space="preserve">Tristan Lindquist</t>
  </si>
  <si>
    <t xml:space="preserve">LF</t>
  </si>
  <si>
    <t xml:space="preserve">P00005</t>
  </si>
  <si>
    <t xml:space="preserve">Dashiell Novotný</t>
  </si>
  <si>
    <t xml:space="preserve">P00006</t>
  </si>
  <si>
    <t xml:space="preserve">Leandro Esquivel</t>
  </si>
  <si>
    <t xml:space="preserve">SS</t>
  </si>
  <si>
    <t xml:space="preserve">P00007</t>
  </si>
  <si>
    <t xml:space="preserve">Sawyer Whitmore</t>
  </si>
  <si>
    <t xml:space="preserve">1B</t>
  </si>
  <si>
    <t xml:space="preserve">P00008</t>
  </si>
  <si>
    <t xml:space="preserve">Fletcher Engelhardt</t>
  </si>
  <si>
    <t xml:space="preserve">P00009</t>
  </si>
  <si>
    <t xml:space="preserve">Haruto Dunmore</t>
  </si>
  <si>
    <t xml:space="preserve">P00010</t>
  </si>
  <si>
    <t xml:space="preserve">Everett Ingersoll</t>
  </si>
  <si>
    <t xml:space="preserve">P00011</t>
  </si>
  <si>
    <t xml:space="preserve">Ulises Halloway</t>
  </si>
  <si>
    <t xml:space="preserve">投手</t>
  </si>
  <si>
    <t xml:space="preserve">SP</t>
  </si>
  <si>
    <t xml:space="preserve">P00012</t>
  </si>
  <si>
    <t xml:space="preserve">Emilio Blackwood</t>
  </si>
  <si>
    <t xml:space="preserve">P00013</t>
  </si>
  <si>
    <t xml:space="preserve">Holden Zielinski</t>
  </si>
  <si>
    <t xml:space="preserve">P00014</t>
  </si>
  <si>
    <t xml:space="preserve">Augustin Halloway</t>
  </si>
  <si>
    <t xml:space="preserve">P00015</t>
  </si>
  <si>
    <t xml:space="preserve">Dashiell Oyelaran</t>
  </si>
  <si>
    <t xml:space="preserve">P00016</t>
  </si>
  <si>
    <t xml:space="preserve">Jasper Novotný</t>
  </si>
  <si>
    <t xml:space="preserve">RP</t>
  </si>
  <si>
    <t xml:space="preserve">P00017</t>
  </si>
  <si>
    <t xml:space="preserve">Thiago Gallimore</t>
  </si>
  <si>
    <t xml:space="preserve">P00018</t>
  </si>
  <si>
    <t xml:space="preserve">Thiago Uchendu</t>
  </si>
  <si>
    <t xml:space="preserve">P00019</t>
  </si>
  <si>
    <t xml:space="preserve">Desmond Tremblay</t>
  </si>
  <si>
    <t xml:space="preserve">P00020</t>
  </si>
  <si>
    <t xml:space="preserve">Kellan Jernigan</t>
  </si>
  <si>
    <t xml:space="preserve">P00021</t>
  </si>
  <si>
    <t xml:space="preserve">Leandro Castellón</t>
  </si>
  <si>
    <t xml:space="preserve">P00022</t>
  </si>
  <si>
    <t xml:space="preserve">Lucien Nordstrom</t>
  </si>
  <si>
    <t xml:space="preserve">P00023</t>
  </si>
  <si>
    <t xml:space="preserve">Everett Redmayne</t>
  </si>
  <si>
    <t xml:space="preserve">DH</t>
  </si>
  <si>
    <t xml:space="preserve">P00024</t>
  </si>
  <si>
    <t xml:space="preserve">Camilo Dubois</t>
  </si>
  <si>
    <t xml:space="preserve">P00025</t>
  </si>
  <si>
    <t xml:space="preserve">Yusuke Zbornak</t>
  </si>
  <si>
    <t xml:space="preserve">P00026</t>
  </si>
  <si>
    <t xml:space="preserve">Rintaro Dubois</t>
  </si>
  <si>
    <t xml:space="preserve">P00027</t>
  </si>
  <si>
    <t xml:space="preserve">Wyatt Kestrel</t>
  </si>
  <si>
    <t xml:space="preserve">P00028</t>
  </si>
  <si>
    <t xml:space="preserve">Jasper Cavanaugh</t>
  </si>
  <si>
    <t xml:space="preserve">P00029</t>
  </si>
  <si>
    <t xml:space="preserve">Kellan Tremblay</t>
  </si>
  <si>
    <t xml:space="preserve">P00030</t>
  </si>
  <si>
    <t xml:space="preserve">Silas Jernigan</t>
  </si>
  <si>
    <t xml:space="preserve">P00031</t>
  </si>
  <si>
    <t xml:space="preserve">Joaquín Ibarra</t>
  </si>
  <si>
    <t xml:space="preserve">P00032</t>
  </si>
  <si>
    <t xml:space="preserve">Lorenzo Jaramillo</t>
  </si>
  <si>
    <t xml:space="preserve">P00033</t>
  </si>
  <si>
    <t xml:space="preserve">Silas Zamarripa</t>
  </si>
  <si>
    <t xml:space="preserve">P00034</t>
  </si>
  <si>
    <t xml:space="preserve">Thiago Eberhardt</t>
  </si>
  <si>
    <t xml:space="preserve">P00035</t>
  </si>
  <si>
    <t xml:space="preserve">Tristan Sorrentino</t>
  </si>
  <si>
    <t xml:space="preserve">P00036</t>
  </si>
  <si>
    <t xml:space="preserve">Percival Wainwright</t>
  </si>
  <si>
    <t xml:space="preserve">P00037</t>
  </si>
  <si>
    <t xml:space="preserve">Cedric Mbeki</t>
  </si>
  <si>
    <t xml:space="preserve">P00038</t>
  </si>
  <si>
    <t xml:space="preserve">Dashiell Ingersoll</t>
  </si>
  <si>
    <t xml:space="preserve">P00039</t>
  </si>
  <si>
    <t xml:space="preserve">Niklas Kowalczyk</t>
  </si>
  <si>
    <t xml:space="preserve">P00040</t>
  </si>
  <si>
    <t xml:space="preserve">Haruto Larrabee</t>
  </si>
  <si>
    <t xml:space="preserve">P00041</t>
  </si>
  <si>
    <t xml:space="preserve">Vicente Ferreira</t>
  </si>
  <si>
    <t xml:space="preserve">P00042</t>
  </si>
  <si>
    <t xml:space="preserve">Hugo Mbeki</t>
  </si>
  <si>
    <t xml:space="preserve">P00043</t>
  </si>
  <si>
    <t xml:space="preserve">Rowan Novotný</t>
  </si>
  <si>
    <t xml:space="preserve">P00044</t>
  </si>
  <si>
    <t xml:space="preserve">Percival Larrabee</t>
  </si>
  <si>
    <t xml:space="preserve">P00045</t>
  </si>
  <si>
    <t xml:space="preserve">Porter Blackwood</t>
  </si>
  <si>
    <t xml:space="preserve">P00046</t>
  </si>
  <si>
    <t xml:space="preserve">Tristan Blackwood</t>
  </si>
  <si>
    <t xml:space="preserve">P00047</t>
  </si>
  <si>
    <t xml:space="preserve">Holden Delacroix</t>
  </si>
  <si>
    <t xml:space="preserve">P00048</t>
  </si>
  <si>
    <t xml:space="preserve">Thiago Nordstrom</t>
  </si>
  <si>
    <t xml:space="preserve">P00049</t>
  </si>
  <si>
    <t xml:space="preserve">Dorian Blackwood</t>
  </si>
  <si>
    <t xml:space="preserve">P00050</t>
  </si>
  <si>
    <t xml:space="preserve">Dashiell Nakagawa</t>
  </si>
  <si>
    <t xml:space="preserve">P00051</t>
  </si>
  <si>
    <t xml:space="preserve">Dorian Eberhardt</t>
  </si>
  <si>
    <t xml:space="preserve">P00052</t>
  </si>
  <si>
    <t xml:space="preserve">Dimitri Marchetti</t>
  </si>
  <si>
    <t xml:space="preserve">P00053</t>
  </si>
  <si>
    <t xml:space="preserve">Mateo Wexford</t>
  </si>
  <si>
    <t xml:space="preserve">P00054</t>
  </si>
  <si>
    <t xml:space="preserve">Kellan Montalvo</t>
  </si>
  <si>
    <t xml:space="preserve">P00055</t>
  </si>
  <si>
    <t xml:space="preserve">Holden Beckwith</t>
  </si>
  <si>
    <t xml:space="preserve">P00056</t>
  </si>
  <si>
    <t xml:space="preserve">Minjae Caldera</t>
  </si>
  <si>
    <t xml:space="preserve">P00057</t>
  </si>
  <si>
    <t xml:space="preserve">Cassius Kestrel</t>
  </si>
  <si>
    <t xml:space="preserve">P00058</t>
  </si>
  <si>
    <t xml:space="preserve">Hugo Okafor</t>
  </si>
  <si>
    <t xml:space="preserve">P00059</t>
  </si>
  <si>
    <t xml:space="preserve">Tobias Ulloa</t>
  </si>
  <si>
    <t xml:space="preserve">P00060</t>
  </si>
  <si>
    <t xml:space="preserve">Augustin Wainwright</t>
  </si>
  <si>
    <t xml:space="preserve">P00061</t>
  </si>
  <si>
    <t xml:space="preserve">Soren Vasquez</t>
  </si>
  <si>
    <t xml:space="preserve">P00062</t>
  </si>
  <si>
    <t xml:space="preserve">Landon Gallimore</t>
  </si>
  <si>
    <t xml:space="preserve">P00063</t>
  </si>
  <si>
    <t xml:space="preserve">Lorenzo Villalobos</t>
  </si>
  <si>
    <t xml:space="preserve">P00064</t>
  </si>
  <si>
    <t xml:space="preserve">Vicente Yamazaki</t>
  </si>
  <si>
    <t xml:space="preserve">P00065</t>
  </si>
  <si>
    <t xml:space="preserve">Bernardo Uchendu</t>
  </si>
  <si>
    <t xml:space="preserve">P00066</t>
  </si>
  <si>
    <t xml:space="preserve">Cassius Ulloa</t>
  </si>
  <si>
    <t xml:space="preserve">P00067</t>
  </si>
  <si>
    <t xml:space="preserve">Isaias Whitmore</t>
  </si>
  <si>
    <t xml:space="preserve">P00068</t>
  </si>
  <si>
    <t xml:space="preserve">Rintaro Underhill</t>
  </si>
  <si>
    <t xml:space="preserve">P00069</t>
  </si>
  <si>
    <t xml:space="preserve">Bernardo Thorsby</t>
  </si>
  <si>
    <t xml:space="preserve">P00070</t>
  </si>
  <si>
    <t xml:space="preserve">Esteban Yamazaki</t>
  </si>
  <si>
    <t xml:space="preserve">P00071</t>
  </si>
  <si>
    <t xml:space="preserve">Thaddeus Yamazaki</t>
  </si>
  <si>
    <t xml:space="preserve">P00072</t>
  </si>
  <si>
    <t xml:space="preserve">Quentin Lindquist</t>
  </si>
  <si>
    <t xml:space="preserve">P00073</t>
  </si>
  <si>
    <t xml:space="preserve">Caspian Montalvo</t>
  </si>
  <si>
    <t xml:space="preserve">P00074</t>
  </si>
  <si>
    <t xml:space="preserve">Alonso Lindquist</t>
  </si>
  <si>
    <t xml:space="preserve">P00075</t>
  </si>
  <si>
    <t xml:space="preserve">Dimitri Gallimore</t>
  </si>
  <si>
    <t xml:space="preserve">P00076</t>
  </si>
  <si>
    <t xml:space="preserve">Minjae Lindquist</t>
  </si>
  <si>
    <t xml:space="preserve">P00077</t>
  </si>
  <si>
    <t xml:space="preserve">Wendell Yoshinaga</t>
  </si>
  <si>
    <t xml:space="preserve">P00078</t>
  </si>
  <si>
    <t xml:space="preserve">Osvaldo Caldera</t>
  </si>
  <si>
    <t xml:space="preserve">P00079</t>
  </si>
  <si>
    <t xml:space="preserve">Dorian Zamarripa</t>
  </si>
  <si>
    <t xml:space="preserve">P00080</t>
  </si>
  <si>
    <t xml:space="preserve">Thaddeus Vasquez</t>
  </si>
  <si>
    <t xml:space="preserve">P00081</t>
  </si>
  <si>
    <t xml:space="preserve">Cedric Tremblay</t>
  </si>
  <si>
    <t xml:space="preserve">P00082</t>
  </si>
  <si>
    <t xml:space="preserve">Everett Underhill</t>
  </si>
  <si>
    <t xml:space="preserve">P00083</t>
  </si>
  <si>
    <t xml:space="preserve">Thiago Beckwith</t>
  </si>
  <si>
    <t xml:space="preserve">P00084</t>
  </si>
  <si>
    <t xml:space="preserve">Yusuke Wexford</t>
  </si>
  <si>
    <t xml:space="preserve">P00085</t>
  </si>
  <si>
    <t xml:space="preserve">Niklas Lindquist</t>
  </si>
  <si>
    <t xml:space="preserve">P00086</t>
  </si>
  <si>
    <t xml:space="preserve">Tristan Underhill</t>
  </si>
  <si>
    <t xml:space="preserve">P00087</t>
  </si>
  <si>
    <t xml:space="preserve">Ronin Kiriakis</t>
  </si>
  <si>
    <t xml:space="preserve">P00088</t>
  </si>
  <si>
    <t xml:space="preserve">Jasper Rasmussen</t>
  </si>
  <si>
    <t xml:space="preserve">P00089</t>
  </si>
  <si>
    <t xml:space="preserve">Rhett Halloway</t>
  </si>
  <si>
    <t xml:space="preserve">P00090</t>
  </si>
  <si>
    <t xml:space="preserve">Leandro Engelhardt</t>
  </si>
  <si>
    <t xml:space="preserve">P00091</t>
  </si>
  <si>
    <t xml:space="preserve">Dashiell Tremblay</t>
  </si>
  <si>
    <t xml:space="preserve">P00092</t>
  </si>
  <si>
    <t xml:space="preserve">Griffin Garrity</t>
  </si>
  <si>
    <t xml:space="preserve">P00093</t>
  </si>
  <si>
    <t xml:space="preserve">Joaquín Vandermeer</t>
  </si>
  <si>
    <t xml:space="preserve">P00094</t>
  </si>
  <si>
    <t xml:space="preserve">Niklas Cavanaugh</t>
  </si>
  <si>
    <t xml:space="preserve">P00095</t>
  </si>
  <si>
    <t xml:space="preserve">Ignacio Rasmussen</t>
  </si>
  <si>
    <t xml:space="preserve">P00096</t>
  </si>
  <si>
    <t xml:space="preserve">Yusuke Pellerin</t>
  </si>
  <si>
    <t xml:space="preserve">P00097</t>
  </si>
  <si>
    <t xml:space="preserve">Emilio Villalobos</t>
  </si>
  <si>
    <t xml:space="preserve">P00098</t>
  </si>
  <si>
    <t xml:space="preserve">Joaquín Wainwright</t>
  </si>
  <si>
    <t xml:space="preserve">P00099</t>
  </si>
  <si>
    <t xml:space="preserve">Nolan Yarbrough</t>
  </si>
  <si>
    <t xml:space="preserve">P00100</t>
  </si>
  <si>
    <t xml:space="preserve">Mateo Jaramillo</t>
  </si>
  <si>
    <t xml:space="preserve">P00101</t>
  </si>
  <si>
    <t xml:space="preserve">Thiago Fontaine</t>
  </si>
  <si>
    <t xml:space="preserve">P00102</t>
  </si>
  <si>
    <t xml:space="preserve">Landon Wainwright</t>
  </si>
  <si>
    <t xml:space="preserve">P00103</t>
  </si>
  <si>
    <t xml:space="preserve">Cedric Ulloa</t>
  </si>
  <si>
    <t xml:space="preserve">P00104</t>
  </si>
  <si>
    <t xml:space="preserve">Jedidiah Jaramillo</t>
  </si>
  <si>
    <t xml:space="preserve">P00105</t>
  </si>
  <si>
    <t xml:space="preserve">Fletcher Dubois</t>
  </si>
  <si>
    <t xml:space="preserve">P00106</t>
  </si>
  <si>
    <t xml:space="preserve">Thaddeus Sorrentino</t>
  </si>
  <si>
    <t xml:space="preserve">P00107</t>
  </si>
  <si>
    <t xml:space="preserve">Tobias Villalobos</t>
  </si>
  <si>
    <t xml:space="preserve">P00108</t>
  </si>
  <si>
    <t xml:space="preserve">Thaddeus Brightwell</t>
  </si>
  <si>
    <t xml:space="preserve">P00109</t>
  </si>
  <si>
    <t xml:space="preserve">Soren Gallimore</t>
  </si>
  <si>
    <t xml:space="preserve">P00110</t>
  </si>
  <si>
    <t xml:space="preserve">Matthias Ferreira</t>
  </si>
  <si>
    <t xml:space="preserve">P00111</t>
  </si>
  <si>
    <t xml:space="preserve">Nolan Dubois</t>
  </si>
  <si>
    <t xml:space="preserve">P00112</t>
  </si>
  <si>
    <t xml:space="preserve">Jedidiah Haverford</t>
  </si>
  <si>
    <t xml:space="preserve">P00113</t>
  </si>
  <si>
    <t xml:space="preserve">Jedidiah Prendergast</t>
  </si>
  <si>
    <t xml:space="preserve">P00114</t>
  </si>
  <si>
    <t xml:space="preserve">Augustin Quiroga</t>
  </si>
  <si>
    <t xml:space="preserve">P00115</t>
  </si>
  <si>
    <t xml:space="preserve">Ignacio Haverford</t>
  </si>
  <si>
    <t xml:space="preserve">P00116</t>
  </si>
  <si>
    <t xml:space="preserve">Rintaro Engelhardt</t>
  </si>
  <si>
    <t xml:space="preserve">P00117</t>
  </si>
  <si>
    <t xml:space="preserve">Tristan Cavanaugh</t>
  </si>
  <si>
    <t xml:space="preserve">P00118</t>
  </si>
  <si>
    <t xml:space="preserve">Rowan Rasmussen</t>
  </si>
  <si>
    <t xml:space="preserve">P00119</t>
  </si>
  <si>
    <t xml:space="preserve">Everett Brightwell</t>
  </si>
  <si>
    <t xml:space="preserve">P00120</t>
  </si>
  <si>
    <t xml:space="preserve">Marcus Lindquist</t>
  </si>
  <si>
    <t xml:space="preserve">P00121</t>
  </si>
  <si>
    <t xml:space="preserve">Tobias Esquivel</t>
  </si>
  <si>
    <t xml:space="preserve">P00122</t>
  </si>
  <si>
    <t xml:space="preserve">Desmond Halloway</t>
  </si>
  <si>
    <t xml:space="preserve">P00123</t>
  </si>
  <si>
    <t xml:space="preserve">Lorenzo Jovanović</t>
  </si>
  <si>
    <t xml:space="preserve">P00124</t>
  </si>
  <si>
    <t xml:space="preserve">Cedric Thorsby</t>
  </si>
  <si>
    <t xml:space="preserve">P00125</t>
  </si>
  <si>
    <t xml:space="preserve">Quentin Vasquez</t>
  </si>
  <si>
    <t xml:space="preserve">P00126</t>
  </si>
  <si>
    <t xml:space="preserve">Hugo Kowalczyk</t>
  </si>
  <si>
    <t xml:space="preserve">P00127</t>
  </si>
  <si>
    <t xml:space="preserve">Yusuke Kowalczyk</t>
  </si>
  <si>
    <t xml:space="preserve">P00128</t>
  </si>
  <si>
    <t xml:space="preserve">Rhett Oyelaran</t>
  </si>
  <si>
    <t xml:space="preserve">P00129</t>
  </si>
  <si>
    <t xml:space="preserve">Quentin Rasmussen</t>
  </si>
  <si>
    <t xml:space="preserve">P00130</t>
  </si>
  <si>
    <t xml:space="preserve">Wendell Oyelaran</t>
  </si>
  <si>
    <t xml:space="preserve">P00131</t>
  </si>
  <si>
    <t xml:space="preserve">Rhett Ibarra</t>
  </si>
  <si>
    <t xml:space="preserve">P00132</t>
  </si>
  <si>
    <t xml:space="preserve">Emilio Quiroga</t>
  </si>
  <si>
    <t xml:space="preserve">P00133</t>
  </si>
  <si>
    <t xml:space="preserve">Rowan Jovanović</t>
  </si>
  <si>
    <t xml:space="preserve">P00134</t>
  </si>
  <si>
    <t xml:space="preserve">Lorenzo Nakagawa</t>
  </si>
  <si>
    <t xml:space="preserve">P00135</t>
  </si>
  <si>
    <t xml:space="preserve">Landon Blackwood</t>
  </si>
  <si>
    <t xml:space="preserve">P00136</t>
  </si>
  <si>
    <t xml:space="preserve">Barrett Zbornak</t>
  </si>
  <si>
    <t xml:space="preserve">P00137</t>
  </si>
  <si>
    <t xml:space="preserve">Emilio Zbornak</t>
  </si>
  <si>
    <t xml:space="preserve">P00138</t>
  </si>
  <si>
    <t xml:space="preserve">Cedric Eberhardt</t>
  </si>
  <si>
    <t xml:space="preserve">P00139</t>
  </si>
  <si>
    <t xml:space="preserve">Fletcher Vandermeer</t>
  </si>
  <si>
    <t xml:space="preserve">P00140</t>
  </si>
  <si>
    <t xml:space="preserve">Ronin Underhill</t>
  </si>
  <si>
    <t xml:space="preserve">P00141</t>
  </si>
  <si>
    <t xml:space="preserve">Quentin Lemieux</t>
  </si>
  <si>
    <t xml:space="preserve">P00142</t>
  </si>
  <si>
    <t xml:space="preserve">Joaquín Tremblay</t>
  </si>
  <si>
    <t xml:space="preserve">P00143</t>
  </si>
  <si>
    <t xml:space="preserve">Desmond Caldera</t>
  </si>
  <si>
    <t xml:space="preserve">P00144</t>
  </si>
  <si>
    <t xml:space="preserve">Kellan Ashworth</t>
  </si>
  <si>
    <t xml:space="preserve">P00145</t>
  </si>
  <si>
    <t xml:space="preserve">Oakley Cavanaugh</t>
  </si>
  <si>
    <t xml:space="preserve">P00146</t>
  </si>
  <si>
    <t xml:space="preserve">Garrison Oyelaran</t>
  </si>
  <si>
    <t xml:space="preserve">P00147</t>
  </si>
  <si>
    <t xml:space="preserve">Percival Stroheim</t>
  </si>
  <si>
    <t xml:space="preserve">P00148</t>
  </si>
  <si>
    <t xml:space="preserve">Landon Nordstrom</t>
  </si>
  <si>
    <t xml:space="preserve">P00149</t>
  </si>
  <si>
    <t xml:space="preserve">Bernardo Brightwell</t>
  </si>
  <si>
    <t xml:space="preserve">P00150</t>
  </si>
  <si>
    <t xml:space="preserve">Silas Ibarra</t>
  </si>
  <si>
    <t xml:space="preserve">P00151</t>
  </si>
  <si>
    <t xml:space="preserve">Jasper Goddard</t>
  </si>
  <si>
    <t xml:space="preserve">P00152</t>
  </si>
  <si>
    <t xml:space="preserve">Sousuke Blackwood</t>
  </si>
  <si>
    <t xml:space="preserve">P00153</t>
  </si>
  <si>
    <t xml:space="preserve">Ronin Oyelaran</t>
  </si>
  <si>
    <t xml:space="preserve">P00154</t>
  </si>
  <si>
    <t xml:space="preserve">Rowan Nakagawa</t>
  </si>
  <si>
    <t xml:space="preserve">P00155</t>
  </si>
  <si>
    <t xml:space="preserve">Emilio Okafor</t>
  </si>
  <si>
    <t xml:space="preserve">P00156</t>
  </si>
  <si>
    <t xml:space="preserve">Griffin Marchetti</t>
  </si>
  <si>
    <t xml:space="preserve">P00157</t>
  </si>
  <si>
    <t xml:space="preserve">Dimitri Esquivel</t>
  </si>
  <si>
    <t xml:space="preserve">P00158</t>
  </si>
  <si>
    <t xml:space="preserve">Silas Yamazaki</t>
  </si>
  <si>
    <t xml:space="preserve">P00159</t>
  </si>
  <si>
    <t xml:space="preserve">Minjae Vandermeer</t>
  </si>
  <si>
    <t xml:space="preserve">P00160</t>
  </si>
  <si>
    <t xml:space="preserve">Niklas Eberhardt</t>
  </si>
  <si>
    <t xml:space="preserve">P00161</t>
  </si>
  <si>
    <t xml:space="preserve">Yusuke Brightwell</t>
  </si>
  <si>
    <t xml:space="preserve">P00162</t>
  </si>
  <si>
    <t xml:space="preserve">Cedric Garrity</t>
  </si>
  <si>
    <t xml:space="preserve">P00163</t>
  </si>
  <si>
    <t xml:space="preserve">Desmond Zielinski</t>
  </si>
  <si>
    <t xml:space="preserve">P00164</t>
  </si>
  <si>
    <t xml:space="preserve">Percival Esquivel</t>
  </si>
  <si>
    <t xml:space="preserve">P00165</t>
  </si>
  <si>
    <t xml:space="preserve">Seonwoo Beckwith</t>
  </si>
  <si>
    <t xml:space="preserve">P00166</t>
  </si>
  <si>
    <t xml:space="preserve">Quentin Eberhardt</t>
  </si>
  <si>
    <t xml:space="preserve">P00167</t>
  </si>
  <si>
    <t xml:space="preserve">Cassius Mbeki</t>
  </si>
  <si>
    <t xml:space="preserve">P00168</t>
  </si>
  <si>
    <t xml:space="preserve">Dorian Ashworth</t>
  </si>
  <si>
    <t xml:space="preserve">P00169</t>
  </si>
  <si>
    <t xml:space="preserve">Marcus Delacroix</t>
  </si>
  <si>
    <t xml:space="preserve">P00170</t>
  </si>
  <si>
    <t xml:space="preserve">Griffin Ravenscroft</t>
  </si>
  <si>
    <t xml:space="preserve">P00171</t>
  </si>
  <si>
    <t xml:space="preserve">Barrett Haverford</t>
  </si>
  <si>
    <t xml:space="preserve">P00172</t>
  </si>
  <si>
    <t xml:space="preserve">Augustin Ravenscroft</t>
  </si>
  <si>
    <t xml:space="preserve">P00173</t>
  </si>
  <si>
    <t xml:space="preserve">Isaias Hargreaves</t>
  </si>
  <si>
    <t xml:space="preserve">P00174</t>
  </si>
  <si>
    <t xml:space="preserve">Cedric Vandermeer</t>
  </si>
  <si>
    <t xml:space="preserve">P00175</t>
  </si>
  <si>
    <t xml:space="preserve">Soren Quiroga</t>
  </si>
  <si>
    <t xml:space="preserve">P00176</t>
  </si>
  <si>
    <t xml:space="preserve">Sawyer Wexford</t>
  </si>
  <si>
    <t xml:space="preserve">P00177</t>
  </si>
  <si>
    <t xml:space="preserve">Haruto Stroheim</t>
  </si>
  <si>
    <t xml:space="preserve">P00178</t>
  </si>
  <si>
    <t xml:space="preserve">Tobias Blackwood</t>
  </si>
  <si>
    <t xml:space="preserve">P00179</t>
  </si>
  <si>
    <t xml:space="preserve">Tristan Stroheim</t>
  </si>
  <si>
    <t xml:space="preserve">P00180</t>
  </si>
  <si>
    <t xml:space="preserve">Bernardo Marchetti</t>
  </si>
  <si>
    <t xml:space="preserve">P00181</t>
  </si>
  <si>
    <t xml:space="preserve">Dashiell Uchendu</t>
  </si>
  <si>
    <t xml:space="preserve">P00182</t>
  </si>
  <si>
    <t xml:space="preserve">Barrett Yarbrough</t>
  </si>
  <si>
    <t xml:space="preserve">P00183</t>
  </si>
  <si>
    <t xml:space="preserve">Dimitri Prendergast</t>
  </si>
  <si>
    <t xml:space="preserve">P00184</t>
  </si>
  <si>
    <t xml:space="preserve">Hugo Ravenscroft</t>
  </si>
  <si>
    <t xml:space="preserve">P00185</t>
  </si>
  <si>
    <t xml:space="preserve">Niklas Zbornak</t>
  </si>
  <si>
    <t xml:space="preserve">P00186</t>
  </si>
  <si>
    <t xml:space="preserve">Alonso Eberhardt</t>
  </si>
  <si>
    <t xml:space="preserve">P00187</t>
  </si>
  <si>
    <t xml:space="preserve">Yusuke Yamazaki</t>
  </si>
  <si>
    <t xml:space="preserve">P00188</t>
  </si>
  <si>
    <t xml:space="preserve">Marcus Rasmussen</t>
  </si>
  <si>
    <t xml:space="preserve">P00189</t>
  </si>
  <si>
    <t xml:space="preserve">Tobias Dunmore</t>
  </si>
  <si>
    <t xml:space="preserve">P00190</t>
  </si>
  <si>
    <t xml:space="preserve">Sawyer Oyelaran</t>
  </si>
  <si>
    <t xml:space="preserve">P00191</t>
  </si>
  <si>
    <t xml:space="preserve">Silas Lemieux</t>
  </si>
  <si>
    <t xml:space="preserve">P00192</t>
  </si>
  <si>
    <t xml:space="preserve">Osvaldo Fontaine</t>
  </si>
  <si>
    <t xml:space="preserve">P00193</t>
  </si>
  <si>
    <t xml:space="preserve">Camilo Fontaine</t>
  </si>
  <si>
    <t xml:space="preserve">P00194</t>
  </si>
  <si>
    <t xml:space="preserve">Minjae Ostrowski</t>
  </si>
  <si>
    <t xml:space="preserve">P00195</t>
  </si>
  <si>
    <t xml:space="preserve">Seonwoo Lemieux</t>
  </si>
  <si>
    <t xml:space="preserve">P00196</t>
  </si>
  <si>
    <t xml:space="preserve">Ignacio Iwasaki</t>
  </si>
  <si>
    <t xml:space="preserve">P00197</t>
  </si>
  <si>
    <t xml:space="preserve">Dashiell Zielinski</t>
  </si>
  <si>
    <t xml:space="preserve">P00198</t>
  </si>
  <si>
    <t xml:space="preserve">Quentin Underhill</t>
  </si>
  <si>
    <t xml:space="preserve">P00199</t>
  </si>
  <si>
    <t xml:space="preserve">Matthias Blackwood</t>
  </si>
  <si>
    <t xml:space="preserve">P00200</t>
  </si>
  <si>
    <t xml:space="preserve">Yusuke Jovanović</t>
  </si>
  <si>
    <t xml:space="preserve">P00201</t>
  </si>
  <si>
    <t xml:space="preserve">Jedidiah Ferreira</t>
  </si>
  <si>
    <t xml:space="preserve">P00202</t>
  </si>
  <si>
    <t xml:space="preserve">Thiago Kowalczyk</t>
  </si>
  <si>
    <t xml:space="preserve">P00203</t>
  </si>
  <si>
    <t xml:space="preserve">Emilio Ostrowski</t>
  </si>
  <si>
    <t xml:space="preserve">P00204</t>
  </si>
  <si>
    <t xml:space="preserve">Cassius Ibarra</t>
  </si>
  <si>
    <t xml:space="preserve">P00205</t>
  </si>
  <si>
    <t xml:space="preserve">Esteban Beckwith</t>
  </si>
  <si>
    <t xml:space="preserve">P00206</t>
  </si>
  <si>
    <t xml:space="preserve">Porter Fontaine</t>
  </si>
  <si>
    <t xml:space="preserve">P00207</t>
  </si>
  <si>
    <t xml:space="preserve">Landon Ulloa</t>
  </si>
  <si>
    <t xml:space="preserve">P00208</t>
  </si>
  <si>
    <t xml:space="preserve">Ronin Nordstrom</t>
  </si>
  <si>
    <t xml:space="preserve">P00209</t>
  </si>
  <si>
    <t xml:space="preserve">Thiago Arceneaux</t>
  </si>
  <si>
    <t xml:space="preserve">P00210</t>
  </si>
  <si>
    <t xml:space="preserve">Dimitri Engelhardt</t>
  </si>
  <si>
    <t xml:space="preserve">P00211</t>
  </si>
  <si>
    <t xml:space="preserve">Ulises Quiroga</t>
  </si>
  <si>
    <t xml:space="preserve">P00212</t>
  </si>
  <si>
    <t xml:space="preserve">Seonwoo Vasquez</t>
  </si>
  <si>
    <t xml:space="preserve">P00213</t>
  </si>
  <si>
    <t xml:space="preserve">Joaquín Ulloa</t>
  </si>
  <si>
    <t xml:space="preserve">P00214</t>
  </si>
  <si>
    <t xml:space="preserve">Joaquín Thorsby</t>
  </si>
  <si>
    <t xml:space="preserve">P00215</t>
  </si>
  <si>
    <t xml:space="preserve">Minjae Montalvo</t>
  </si>
  <si>
    <t xml:space="preserve">P00216</t>
  </si>
  <si>
    <t xml:space="preserve">Dimitri Novotný</t>
  </si>
  <si>
    <t xml:space="preserve">P00217</t>
  </si>
  <si>
    <t xml:space="preserve">Lucien Hargreaves</t>
  </si>
  <si>
    <t xml:space="preserve">P00218</t>
  </si>
  <si>
    <t xml:space="preserve">Griffin Paszkiewicz</t>
  </si>
  <si>
    <t xml:space="preserve">P00219</t>
  </si>
  <si>
    <t xml:space="preserve">Marcus Cavanaugh</t>
  </si>
  <si>
    <t xml:space="preserve">P00220</t>
  </si>
  <si>
    <t xml:space="preserve">Mateo Kowalczyk</t>
  </si>
  <si>
    <t xml:space="preserve">P00221</t>
  </si>
  <si>
    <t xml:space="preserve">Ignacio Ibarra</t>
  </si>
  <si>
    <t xml:space="preserve">P00222</t>
  </si>
  <si>
    <t xml:space="preserve">Thaddeus Goddard</t>
  </si>
  <si>
    <t xml:space="preserve">P00223</t>
  </si>
  <si>
    <t xml:space="preserve">Alonso Yoshinaga</t>
  </si>
  <si>
    <t xml:space="preserve">P00224</t>
  </si>
  <si>
    <t xml:space="preserve">Ronin Zamarripa</t>
  </si>
  <si>
    <t xml:space="preserve">P00225</t>
  </si>
  <si>
    <t xml:space="preserve">Joaquín Okafor</t>
  </si>
  <si>
    <t xml:space="preserve">P00226</t>
  </si>
  <si>
    <t xml:space="preserve">Alonso Zielinski</t>
  </si>
  <si>
    <t xml:space="preserve">P00227</t>
  </si>
  <si>
    <t xml:space="preserve">Cassius Pellerin</t>
  </si>
  <si>
    <t xml:space="preserve">P00228</t>
  </si>
  <si>
    <t xml:space="preserve">Ulises Sorrentino</t>
  </si>
  <si>
    <t xml:space="preserve">P00229</t>
  </si>
  <si>
    <t xml:space="preserve">Bernardo Vasquez</t>
  </si>
  <si>
    <t xml:space="preserve">P00230</t>
  </si>
  <si>
    <t xml:space="preserve">Ulises Wexford</t>
  </si>
  <si>
    <t xml:space="preserve">P00231</t>
  </si>
  <si>
    <t xml:space="preserve">Konrad Garrity</t>
  </si>
  <si>
    <t xml:space="preserve">P00232</t>
  </si>
  <si>
    <t xml:space="preserve">Everett Eberhardt</t>
  </si>
  <si>
    <t xml:space="preserve">P00233</t>
  </si>
  <si>
    <t xml:space="preserve">Tobias Kowalczyk</t>
  </si>
  <si>
    <t xml:space="preserve">P00234</t>
  </si>
  <si>
    <t xml:space="preserve">Haruto Lemieux</t>
  </si>
  <si>
    <t xml:space="preserve">P00235</t>
  </si>
  <si>
    <t xml:space="preserve">Leandro Marchetti</t>
  </si>
  <si>
    <t xml:space="preserve">P00236</t>
  </si>
  <si>
    <t xml:space="preserve">Konrad Alcorn</t>
  </si>
  <si>
    <t xml:space="preserve">P00237</t>
  </si>
  <si>
    <t xml:space="preserve">Cassius Haverford</t>
  </si>
  <si>
    <t xml:space="preserve">P00238</t>
  </si>
  <si>
    <t xml:space="preserve">Everett Yoshinaga</t>
  </si>
  <si>
    <t xml:space="preserve">P00239</t>
  </si>
  <si>
    <t xml:space="preserve">Dashiell Castellón</t>
  </si>
  <si>
    <t xml:space="preserve">P00240</t>
  </si>
  <si>
    <t xml:space="preserve">Jedidiah Arceneaux</t>
  </si>
  <si>
    <t xml:space="preserve">P00241</t>
  </si>
  <si>
    <t xml:space="preserve">Ulises Pellerin</t>
  </si>
  <si>
    <t xml:space="preserve">P00242</t>
  </si>
  <si>
    <t xml:space="preserve">Sousuke Sorrentino</t>
  </si>
  <si>
    <t xml:space="preserve">P00243</t>
  </si>
  <si>
    <t xml:space="preserve">Dorian Montalvo</t>
  </si>
  <si>
    <t xml:space="preserve">P00244</t>
  </si>
  <si>
    <t xml:space="preserve">Cassius Rasmussen</t>
  </si>
  <si>
    <t xml:space="preserve">P00245</t>
  </si>
  <si>
    <t xml:space="preserve">Nolan Thorsby</t>
  </si>
  <si>
    <t xml:space="preserve">P00246</t>
  </si>
  <si>
    <t xml:space="preserve">Niklas Marchetti</t>
  </si>
  <si>
    <t xml:space="preserve">P00247</t>
  </si>
  <si>
    <t xml:space="preserve">Holden Kiriakis</t>
  </si>
  <si>
    <t xml:space="preserve">P00248</t>
  </si>
  <si>
    <t xml:space="preserve">Yusuke Kestrel</t>
  </si>
  <si>
    <t xml:space="preserve">P00249</t>
  </si>
  <si>
    <t xml:space="preserve">Landon Prendergast</t>
  </si>
  <si>
    <t xml:space="preserve">P00250</t>
  </si>
  <si>
    <t xml:space="preserve">Dorian Novotný</t>
  </si>
  <si>
    <t xml:space="preserve">P00251</t>
  </si>
  <si>
    <t xml:space="preserve">Cassius Ravenscroft</t>
  </si>
  <si>
    <t xml:space="preserve">P00252</t>
  </si>
  <si>
    <t xml:space="preserve">Joaquín Whitmore</t>
  </si>
  <si>
    <t xml:space="preserve">P00253</t>
  </si>
  <si>
    <t xml:space="preserve">Minjae Cavanaugh</t>
  </si>
  <si>
    <t xml:space="preserve">P00254</t>
  </si>
  <si>
    <t xml:space="preserve">Thaddeus Dubois</t>
  </si>
  <si>
    <t xml:space="preserve">P00255</t>
  </si>
  <si>
    <t xml:space="preserve">Matthias Yarbrough</t>
  </si>
  <si>
    <t xml:space="preserve">P00256</t>
  </si>
  <si>
    <t xml:space="preserve">Porter Quiroga</t>
  </si>
  <si>
    <t xml:space="preserve">P00257</t>
  </si>
  <si>
    <t xml:space="preserve">Desmond Esquivel</t>
  </si>
  <si>
    <t xml:space="preserve">P00258</t>
  </si>
  <si>
    <t xml:space="preserve">Wendell Iwasaki</t>
  </si>
  <si>
    <t xml:space="preserve">P00259</t>
  </si>
  <si>
    <t xml:space="preserve">Porter Engelhardt</t>
  </si>
  <si>
    <t xml:space="preserve">P00260</t>
  </si>
  <si>
    <t xml:space="preserve">Garrison Whitmore</t>
  </si>
  <si>
    <t xml:space="preserve">P00261</t>
  </si>
  <si>
    <t xml:space="preserve">Ulises Zamarripa</t>
  </si>
  <si>
    <t xml:space="preserve">P00262</t>
  </si>
  <si>
    <t xml:space="preserve">Dashiell Ferreira</t>
  </si>
  <si>
    <t xml:space="preserve">P00263</t>
  </si>
  <si>
    <t xml:space="preserve">Kellan Ibarra</t>
  </si>
  <si>
    <t xml:space="preserve">P00264</t>
  </si>
  <si>
    <t xml:space="preserve">Desmond Wexford</t>
  </si>
  <si>
    <t xml:space="preserve">P00265</t>
  </si>
  <si>
    <t xml:space="preserve">Everett Arceneaux</t>
  </si>
  <si>
    <t xml:space="preserve">P00266</t>
  </si>
  <si>
    <t xml:space="preserve">Marcus Tanabe</t>
  </si>
  <si>
    <t xml:space="preserve">P00267</t>
  </si>
  <si>
    <t xml:space="preserve">Mateo Eberhardt</t>
  </si>
  <si>
    <t xml:space="preserve">P00268</t>
  </si>
  <si>
    <t xml:space="preserve">Griffin Arceneaux</t>
  </si>
  <si>
    <t xml:space="preserve">P00269</t>
  </si>
  <si>
    <t xml:space="preserve">Everett Novotný</t>
  </si>
  <si>
    <t xml:space="preserve">P00270</t>
  </si>
  <si>
    <t xml:space="preserve">Tobias Alcorn</t>
  </si>
  <si>
    <t xml:space="preserve">P00271</t>
  </si>
  <si>
    <t xml:space="preserve">Camilo Montalvo</t>
  </si>
  <si>
    <t xml:space="preserve">P00272</t>
  </si>
  <si>
    <t xml:space="preserve">Esteban Fontaine</t>
  </si>
  <si>
    <t xml:space="preserve">P00273</t>
  </si>
  <si>
    <t xml:space="preserve">Garrison Vandermeer</t>
  </si>
  <si>
    <t xml:space="preserve">P00274</t>
  </si>
  <si>
    <t xml:space="preserve">Wendell Arceneaux</t>
  </si>
  <si>
    <t xml:space="preserve">P00275</t>
  </si>
  <si>
    <t xml:space="preserve">Osvaldo Larrabee</t>
  </si>
  <si>
    <t xml:space="preserve">P00276</t>
  </si>
  <si>
    <t xml:space="preserve">Desmond Ferreira</t>
  </si>
  <si>
    <t xml:space="preserve">P00277</t>
  </si>
  <si>
    <t xml:space="preserve">Ulises Ostrowski</t>
  </si>
  <si>
    <t xml:space="preserve">P00278</t>
  </si>
  <si>
    <t xml:space="preserve">Osvaldo Hargreaves</t>
  </si>
  <si>
    <t xml:space="preserve">P00279</t>
  </si>
  <si>
    <t xml:space="preserve">Desmond Dunmore</t>
  </si>
  <si>
    <t xml:space="preserve">P00280</t>
  </si>
  <si>
    <t xml:space="preserve">Sawyer Ulloa</t>
  </si>
  <si>
    <t xml:space="preserve">P00281</t>
  </si>
  <si>
    <t xml:space="preserve">Haruto Haverford</t>
  </si>
  <si>
    <t xml:space="preserve">P00282</t>
  </si>
  <si>
    <t xml:space="preserve">Bernardo Nordstrom</t>
  </si>
  <si>
    <t xml:space="preserve">P00283</t>
  </si>
  <si>
    <t xml:space="preserve">Osvaldo Zamarripa</t>
  </si>
  <si>
    <t xml:space="preserve">P00284</t>
  </si>
  <si>
    <t xml:space="preserve">Benedikt Montalvo</t>
  </si>
  <si>
    <t xml:space="preserve">P00285</t>
  </si>
  <si>
    <t xml:space="preserve">Vicente Jernigan</t>
  </si>
  <si>
    <t xml:space="preserve">P00286</t>
  </si>
  <si>
    <t xml:space="preserve">Camilo Kestrel</t>
  </si>
  <si>
    <t xml:space="preserve">P00287</t>
  </si>
  <si>
    <t xml:space="preserve">Wyatt Yoshinaga</t>
  </si>
  <si>
    <t xml:space="preserve">P00288</t>
  </si>
  <si>
    <t xml:space="preserve">Dimitri Wainwright</t>
  </si>
  <si>
    <t xml:space="preserve">P00289</t>
  </si>
  <si>
    <t xml:space="preserve">Camilo Brightwell</t>
  </si>
  <si>
    <t xml:space="preserve">P00290</t>
  </si>
  <si>
    <t xml:space="preserve">Esteban Nordstrom</t>
  </si>
  <si>
    <t xml:space="preserve">P00291</t>
  </si>
  <si>
    <t xml:space="preserve">Ulises Ulloa</t>
  </si>
  <si>
    <t xml:space="preserve">P00292</t>
  </si>
  <si>
    <t xml:space="preserve">Landon Mbeki</t>
  </si>
  <si>
    <t xml:space="preserve">P00293</t>
  </si>
  <si>
    <t xml:space="preserve">Tobias Eberhardt</t>
  </si>
  <si>
    <t xml:space="preserve">P00294</t>
  </si>
  <si>
    <t xml:space="preserve">Camilo Paszkiewicz</t>
  </si>
  <si>
    <t xml:space="preserve">P00295</t>
  </si>
  <si>
    <t xml:space="preserve">Dorian Halloway</t>
  </si>
  <si>
    <t xml:space="preserve">P00296</t>
  </si>
  <si>
    <t xml:space="preserve">Osvaldo Vandermeer</t>
  </si>
  <si>
    <t xml:space="preserve">P00297</t>
  </si>
  <si>
    <t xml:space="preserve">Oakley Yoshinaga</t>
  </si>
  <si>
    <t xml:space="preserve">P00298</t>
  </si>
  <si>
    <t xml:space="preserve">Alonso Paszkiewicz</t>
  </si>
  <si>
    <t xml:space="preserve">P00299</t>
  </si>
  <si>
    <t xml:space="preserve">Jedidiah Oyelaran</t>
  </si>
  <si>
    <t xml:space="preserve">P00300</t>
  </si>
  <si>
    <t xml:space="preserve">Camilo Tanabe</t>
  </si>
  <si>
    <t xml:space="preserve">P00301</t>
  </si>
  <si>
    <t xml:space="preserve">Emilio Cavanaugh</t>
  </si>
  <si>
    <t xml:space="preserve">P00302</t>
  </si>
  <si>
    <t xml:space="preserve">Augustin Vandermeer</t>
  </si>
  <si>
    <t xml:space="preserve">P00303</t>
  </si>
  <si>
    <t xml:space="preserve">Minjae Quiroga</t>
  </si>
  <si>
    <t xml:space="preserve">P00304</t>
  </si>
  <si>
    <t xml:space="preserve">Zane Dunmore</t>
  </si>
  <si>
    <t xml:space="preserve">P00305</t>
  </si>
  <si>
    <t xml:space="preserve">Quentin Sorrentino</t>
  </si>
  <si>
    <t xml:space="preserve">P00306</t>
  </si>
  <si>
    <t xml:space="preserve">Hugo Esquivel</t>
  </si>
  <si>
    <t xml:space="preserve">P00307</t>
  </si>
  <si>
    <t xml:space="preserve">Rhett Ulloa</t>
  </si>
  <si>
    <t xml:space="preserve">P00308</t>
  </si>
  <si>
    <t xml:space="preserve">Alonso Nakagawa</t>
  </si>
  <si>
    <t xml:space="preserve">P00309</t>
  </si>
  <si>
    <t xml:space="preserve">Benedikt Lindquist</t>
  </si>
  <si>
    <t xml:space="preserve">P00310</t>
  </si>
  <si>
    <t xml:space="preserve">Quentin Beckwith</t>
  </si>
  <si>
    <t xml:space="preserve">P00311</t>
  </si>
  <si>
    <t xml:space="preserve">Hugo Castellón</t>
  </si>
  <si>
    <t xml:space="preserve">P00312</t>
  </si>
  <si>
    <t xml:space="preserve">Joaquín Kiriakis</t>
  </si>
  <si>
    <t xml:space="preserve">P00313</t>
  </si>
  <si>
    <t xml:space="preserve">Haruto Wexford</t>
  </si>
  <si>
    <t xml:space="preserve">P00314</t>
  </si>
  <si>
    <t xml:space="preserve">Quentin Wexford</t>
  </si>
  <si>
    <t xml:space="preserve">P00315</t>
  </si>
  <si>
    <t xml:space="preserve">Camilo Marchetti</t>
  </si>
  <si>
    <t xml:space="preserve">P00316</t>
  </si>
  <si>
    <t xml:space="preserve">Osvaldo Lindquist</t>
  </si>
  <si>
    <t xml:space="preserve">P00317</t>
  </si>
  <si>
    <t xml:space="preserve">Lucien Blackwood</t>
  </si>
  <si>
    <t xml:space="preserve">P00318</t>
  </si>
  <si>
    <t xml:space="preserve">Augustin Marchetti</t>
  </si>
  <si>
    <t xml:space="preserve">P00319</t>
  </si>
  <si>
    <t xml:space="preserve">Ignacio Redmayne</t>
  </si>
  <si>
    <t xml:space="preserve">P00320</t>
  </si>
  <si>
    <t xml:space="preserve">Garrison Haverford</t>
  </si>
  <si>
    <t xml:space="preserve">P00321</t>
  </si>
  <si>
    <t xml:space="preserve">Landon Ferreira</t>
  </si>
  <si>
    <t xml:space="preserve">P00322</t>
  </si>
  <si>
    <t xml:space="preserve">Osvaldo Dunmore</t>
  </si>
  <si>
    <t xml:space="preserve">P00323</t>
  </si>
  <si>
    <t xml:space="preserve">Zane Oyelaran</t>
  </si>
  <si>
    <t xml:space="preserve">P00324</t>
  </si>
  <si>
    <t xml:space="preserve">Esteban Uchendu</t>
  </si>
  <si>
    <t xml:space="preserve">P00325</t>
  </si>
  <si>
    <t xml:space="preserve">Leandro Lemieux</t>
  </si>
  <si>
    <t xml:space="preserve">P00326</t>
  </si>
  <si>
    <t xml:space="preserve">Jedidiah Ashworth</t>
  </si>
  <si>
    <t xml:space="preserve">P00327</t>
  </si>
  <si>
    <t xml:space="preserve">Caspian Fontaine</t>
  </si>
  <si>
    <t xml:space="preserve">P00328</t>
  </si>
  <si>
    <t xml:space="preserve">Porter Wainwright</t>
  </si>
  <si>
    <t xml:space="preserve">P00329</t>
  </si>
  <si>
    <t xml:space="preserve">Camilo Arceneaux</t>
  </si>
  <si>
    <t xml:space="preserve">P00330</t>
  </si>
  <si>
    <t xml:space="preserve">Konrad Lemieux</t>
  </si>
  <si>
    <t xml:space="preserve">P00331</t>
  </si>
  <si>
    <t xml:space="preserve">Oakley Wexford</t>
  </si>
  <si>
    <t xml:space="preserve">P00332</t>
  </si>
  <si>
    <t xml:space="preserve">Augustin Nordstrom</t>
  </si>
  <si>
    <t xml:space="preserve">P00333</t>
  </si>
  <si>
    <t xml:space="preserve">Benedikt Zamarripa</t>
  </si>
  <si>
    <t xml:space="preserve">P00334</t>
  </si>
  <si>
    <t xml:space="preserve">Minjae Esquivel</t>
  </si>
  <si>
    <t xml:space="preserve">P00335</t>
  </si>
  <si>
    <t xml:space="preserve">Ronin Zielinski</t>
  </si>
  <si>
    <t xml:space="preserve">P00336</t>
  </si>
  <si>
    <t xml:space="preserve">Cassius Wainwright</t>
  </si>
  <si>
    <t xml:space="preserve">P00337</t>
  </si>
  <si>
    <t xml:space="preserve">Bernardo Fontaine</t>
  </si>
  <si>
    <t xml:space="preserve">P00338</t>
  </si>
  <si>
    <t xml:space="preserve">Rintaro Castellón</t>
  </si>
  <si>
    <t xml:space="preserve">P00339</t>
  </si>
  <si>
    <t xml:space="preserve">Soren Vandermeer</t>
  </si>
  <si>
    <t xml:space="preserve">P00340</t>
  </si>
  <si>
    <t xml:space="preserve">Griffin Engelhardt</t>
  </si>
  <si>
    <t xml:space="preserve">P00341</t>
  </si>
  <si>
    <t xml:space="preserve">Tobias Garrity</t>
  </si>
  <si>
    <t xml:space="preserve">P00342</t>
  </si>
  <si>
    <t xml:space="preserve">Esteban Thorsby</t>
  </si>
  <si>
    <t xml:space="preserve">P00343</t>
  </si>
  <si>
    <t xml:space="preserve">Everett Montalvo</t>
  </si>
  <si>
    <t xml:space="preserve">P00344</t>
  </si>
  <si>
    <t xml:space="preserve">Esteban Cavanaugh</t>
  </si>
  <si>
    <t xml:space="preserve">P00345</t>
  </si>
  <si>
    <t xml:space="preserve">Porter Beckwith</t>
  </si>
  <si>
    <t xml:space="preserve">P00346</t>
  </si>
  <si>
    <t xml:space="preserve">Griffin Tremblay</t>
  </si>
  <si>
    <t xml:space="preserve">P00347</t>
  </si>
  <si>
    <t xml:space="preserve">Thiago Novotný</t>
  </si>
  <si>
    <t xml:space="preserve">P00348</t>
  </si>
  <si>
    <t xml:space="preserve">Osvaldo Vasquez</t>
  </si>
  <si>
    <t xml:space="preserve">P00349</t>
  </si>
  <si>
    <t xml:space="preserve">Desmond Paszkiewicz</t>
  </si>
  <si>
    <t xml:space="preserve">P00350</t>
  </si>
  <si>
    <t xml:space="preserve">Oakley Tremblay</t>
  </si>
  <si>
    <t xml:space="preserve">P00351</t>
  </si>
  <si>
    <t xml:space="preserve">Camilo Tremblay</t>
  </si>
  <si>
    <t xml:space="preserve">P00352</t>
  </si>
  <si>
    <t xml:space="preserve">Alonso Ulloa</t>
  </si>
  <si>
    <t xml:space="preserve">P00353</t>
  </si>
  <si>
    <t xml:space="preserve">Matthias Whitmore</t>
  </si>
  <si>
    <t xml:space="preserve">P00354</t>
  </si>
  <si>
    <t xml:space="preserve">Wyatt Castellón</t>
  </si>
  <si>
    <t xml:space="preserve">P00355</t>
  </si>
  <si>
    <t xml:space="preserve">Percival Garrity</t>
  </si>
  <si>
    <t xml:space="preserve">P00356</t>
  </si>
  <si>
    <t xml:space="preserve">Soren Villalobos</t>
  </si>
  <si>
    <t xml:space="preserve">P00357</t>
  </si>
  <si>
    <t xml:space="preserve">Isaias Thorsby</t>
  </si>
  <si>
    <t xml:space="preserve">P00358</t>
  </si>
  <si>
    <t xml:space="preserve">Niklas Ibarra</t>
  </si>
  <si>
    <t xml:space="preserve">P00359</t>
  </si>
  <si>
    <t xml:space="preserve">Sousuke Ravenscroft</t>
  </si>
  <si>
    <t xml:space="preserve">P00360</t>
  </si>
  <si>
    <t xml:space="preserve">Ronin Ulloa</t>
  </si>
  <si>
    <t xml:space="preserve">P00361</t>
  </si>
  <si>
    <t xml:space="preserve">Everett Tanabe</t>
  </si>
  <si>
    <t xml:space="preserve">P00362</t>
  </si>
  <si>
    <t xml:space="preserve">Emilio Delacroix</t>
  </si>
  <si>
    <t xml:space="preserve">P00363</t>
  </si>
  <si>
    <t xml:space="preserve">Silas Ashworth</t>
  </si>
  <si>
    <t xml:space="preserve">P00364</t>
  </si>
  <si>
    <t xml:space="preserve">Zane Ashworth</t>
  </si>
  <si>
    <t xml:space="preserve">P00365</t>
  </si>
  <si>
    <t xml:space="preserve">Sousuke Rasmussen</t>
  </si>
  <si>
    <t xml:space="preserve">P00366</t>
  </si>
  <si>
    <t xml:space="preserve">Holden Caldera</t>
  </si>
  <si>
    <t xml:space="preserve">P00367</t>
  </si>
  <si>
    <t xml:space="preserve">Dashiell Whitmore</t>
  </si>
  <si>
    <t xml:space="preserve">P00368</t>
  </si>
  <si>
    <t xml:space="preserve">Osvaldo Brightwell</t>
  </si>
  <si>
    <t xml:space="preserve">P00369</t>
  </si>
  <si>
    <t xml:space="preserve">Wendell Fairbanks</t>
  </si>
  <si>
    <t xml:space="preserve">P00370</t>
  </si>
  <si>
    <t xml:space="preserve">Zane Underhill</t>
  </si>
  <si>
    <t xml:space="preserve">P00371</t>
  </si>
  <si>
    <t xml:space="preserve">Ignacio Goddard</t>
  </si>
  <si>
    <t xml:space="preserve">P00372</t>
  </si>
  <si>
    <t xml:space="preserve">Leandro Underhill</t>
  </si>
  <si>
    <t xml:space="preserve">P00373</t>
  </si>
  <si>
    <t xml:space="preserve">Yusuke Oyelaran</t>
  </si>
  <si>
    <t xml:space="preserve">P00374</t>
  </si>
  <si>
    <t xml:space="preserve">Benedikt Mbeki</t>
  </si>
  <si>
    <t xml:space="preserve">P00375</t>
  </si>
  <si>
    <t xml:space="preserve">Ulises Nordstrom</t>
  </si>
  <si>
    <t xml:space="preserve">P00376</t>
  </si>
  <si>
    <t xml:space="preserve">Jasper Delacroix</t>
  </si>
  <si>
    <t xml:space="preserve">P00377</t>
  </si>
  <si>
    <t xml:space="preserve">Minjae Nordstrom</t>
  </si>
  <si>
    <t xml:space="preserve">P00378</t>
  </si>
  <si>
    <t xml:space="preserve">Tobias Ravenscroft</t>
  </si>
  <si>
    <t xml:space="preserve">P00379</t>
  </si>
  <si>
    <t xml:space="preserve">Leandro Kowalczyk</t>
  </si>
  <si>
    <t xml:space="preserve">P00380</t>
  </si>
  <si>
    <t xml:space="preserve">Vicente Stroheim</t>
  </si>
  <si>
    <t xml:space="preserve">P00381</t>
  </si>
  <si>
    <t xml:space="preserve">Cedric Yarbrough</t>
  </si>
  <si>
    <t xml:space="preserve">P00382</t>
  </si>
  <si>
    <t xml:space="preserve">Fletcher Kowalczyk</t>
  </si>
  <si>
    <t xml:space="preserve">P00383</t>
  </si>
  <si>
    <t xml:space="preserve">Rhett Yamazaki</t>
  </si>
  <si>
    <t xml:space="preserve">P00384</t>
  </si>
  <si>
    <t xml:space="preserve">Jedidiah Blackwood</t>
  </si>
  <si>
    <t xml:space="preserve">P00385</t>
  </si>
  <si>
    <t xml:space="preserve">Jedidiah Zbornak</t>
  </si>
  <si>
    <t xml:space="preserve">P00386</t>
  </si>
  <si>
    <t xml:space="preserve">Porter Underhill</t>
  </si>
  <si>
    <t xml:space="preserve">P00387</t>
  </si>
  <si>
    <t xml:space="preserve">Desmond Delacroix</t>
  </si>
  <si>
    <t xml:space="preserve">P00388</t>
  </si>
  <si>
    <t xml:space="preserve">Landon Eberhardt</t>
  </si>
  <si>
    <t xml:space="preserve">P00389</t>
  </si>
  <si>
    <t xml:space="preserve">Jedidiah Okafor</t>
  </si>
  <si>
    <t xml:space="preserve">P00390</t>
  </si>
  <si>
    <t xml:space="preserve">Everett Paszkiewicz</t>
  </si>
  <si>
    <t xml:space="preserve">P00391</t>
  </si>
  <si>
    <t xml:space="preserve">Osvaldo Nakagawa</t>
  </si>
  <si>
    <t xml:space="preserve">P00392</t>
  </si>
  <si>
    <t xml:space="preserve">Thaddeus Nakagawa</t>
  </si>
  <si>
    <t xml:space="preserve">P00393</t>
  </si>
  <si>
    <t xml:space="preserve">Soren Brightwell</t>
  </si>
  <si>
    <t xml:space="preserve">P00394</t>
  </si>
  <si>
    <t xml:space="preserve">Ronin Hargreaves</t>
  </si>
  <si>
    <t xml:space="preserve">P00395</t>
  </si>
  <si>
    <t xml:space="preserve">Alonso Goddard</t>
  </si>
  <si>
    <t xml:space="preserve">P00396</t>
  </si>
  <si>
    <t xml:space="preserve">Ignacio Cavanaugh</t>
  </si>
  <si>
    <t xml:space="preserve">P00397</t>
  </si>
  <si>
    <t xml:space="preserve">Jedidiah Gallimore</t>
  </si>
  <si>
    <t xml:space="preserve">P00398</t>
  </si>
  <si>
    <t xml:space="preserve">Rhett Kiriakis</t>
  </si>
  <si>
    <t xml:space="preserve">P00399</t>
  </si>
  <si>
    <t xml:space="preserve">Mateo Haverford</t>
  </si>
  <si>
    <t xml:space="preserve">P00400</t>
  </si>
  <si>
    <t xml:space="preserve">Dimitri Vasquez</t>
  </si>
  <si>
    <t xml:space="preserve">P00401</t>
  </si>
  <si>
    <t xml:space="preserve">Alonso Jernigan</t>
  </si>
  <si>
    <t xml:space="preserve">P00402</t>
  </si>
  <si>
    <t xml:space="preserve">Camilo Vasquez</t>
  </si>
  <si>
    <t xml:space="preserve">P00403</t>
  </si>
  <si>
    <t xml:space="preserve">Jedidiah Caldera</t>
  </si>
  <si>
    <t xml:space="preserve">P00404</t>
  </si>
  <si>
    <t xml:space="preserve">Esteban Paszkiewicz</t>
  </si>
  <si>
    <t xml:space="preserve">P00405</t>
  </si>
  <si>
    <t xml:space="preserve">Cassius Okafor</t>
  </si>
  <si>
    <t xml:space="preserve">P00406</t>
  </si>
  <si>
    <t xml:space="preserve">Camilo Ibarra</t>
  </si>
  <si>
    <t xml:space="preserve">P00407</t>
  </si>
  <si>
    <t xml:space="preserve">Niklas Arceneaux</t>
  </si>
  <si>
    <t xml:space="preserve">P00408</t>
  </si>
  <si>
    <t xml:space="preserve">Ignacio Nordstrom</t>
  </si>
  <si>
    <t xml:space="preserve">P00409</t>
  </si>
  <si>
    <t xml:space="preserve">Emilio Halloway</t>
  </si>
  <si>
    <t xml:space="preserve">P00410</t>
  </si>
  <si>
    <t xml:space="preserve">Sawyer Kiriakis</t>
  </si>
  <si>
    <t xml:space="preserve">P00411</t>
  </si>
  <si>
    <t xml:space="preserve">Nolan Mbeki</t>
  </si>
  <si>
    <t xml:space="preserve">P00412</t>
  </si>
  <si>
    <t xml:space="preserve">Benedikt Dubois</t>
  </si>
  <si>
    <t xml:space="preserve">P00413</t>
  </si>
  <si>
    <t xml:space="preserve">Kellan Oyelaran</t>
  </si>
  <si>
    <t xml:space="preserve">P00414</t>
  </si>
  <si>
    <t xml:space="preserve">Wyatt Lindquist</t>
  </si>
  <si>
    <t xml:space="preserve">P00415</t>
  </si>
  <si>
    <t xml:space="preserve">Elias Yarbrough</t>
  </si>
  <si>
    <t xml:space="preserve">P00416</t>
  </si>
  <si>
    <t xml:space="preserve">Seonwoo Kiriakis</t>
  </si>
  <si>
    <t xml:space="preserve">P00417</t>
  </si>
  <si>
    <t xml:space="preserve">Dorian Esquivel</t>
  </si>
  <si>
    <t xml:space="preserve">P00418</t>
  </si>
  <si>
    <t xml:space="preserve">Hugo Kestrel</t>
  </si>
  <si>
    <t xml:space="preserve">P00419</t>
  </si>
  <si>
    <t xml:space="preserve">Lucien Mbeki</t>
  </si>
  <si>
    <t xml:space="preserve">P00420</t>
  </si>
  <si>
    <t xml:space="preserve">Hugo Haverford</t>
  </si>
  <si>
    <t xml:space="preserve">P00421</t>
  </si>
  <si>
    <t xml:space="preserve">Ulises Castellón</t>
  </si>
  <si>
    <t xml:space="preserve">P00422</t>
  </si>
  <si>
    <t xml:space="preserve">Wyatt Yamazaki</t>
  </si>
  <si>
    <t xml:space="preserve">P00423</t>
  </si>
  <si>
    <t xml:space="preserve">Emilio Yoshinaga</t>
  </si>
  <si>
    <t xml:space="preserve">P00424</t>
  </si>
  <si>
    <t xml:space="preserve">Yusuke Vasquez</t>
  </si>
  <si>
    <t xml:space="preserve">P00425</t>
  </si>
  <si>
    <t xml:space="preserve">Ulises Lindquist</t>
  </si>
  <si>
    <t xml:space="preserve">P00426</t>
  </si>
  <si>
    <t xml:space="preserve">Tobias Kestrel</t>
  </si>
  <si>
    <t xml:space="preserve">P00427</t>
  </si>
  <si>
    <t xml:space="preserve">Caspian Lemieux</t>
  </si>
  <si>
    <t xml:space="preserve">P00428</t>
  </si>
  <si>
    <t xml:space="preserve">Konrad Engelhardt</t>
  </si>
  <si>
    <t xml:space="preserve">P00429</t>
  </si>
  <si>
    <t xml:space="preserve">Ignacio Jovanović</t>
  </si>
  <si>
    <t xml:space="preserve">P00430</t>
  </si>
  <si>
    <t xml:space="preserve">Elias Okafor</t>
  </si>
  <si>
    <t xml:space="preserve">P00431</t>
  </si>
  <si>
    <t xml:space="preserve">Lucien Jovanović</t>
  </si>
  <si>
    <t xml:space="preserve">P00432</t>
  </si>
  <si>
    <t xml:space="preserve">Tobias Gallimore</t>
  </si>
  <si>
    <t xml:space="preserve">P00433</t>
  </si>
  <si>
    <t xml:space="preserve">Rhett Ingersoll</t>
  </si>
  <si>
    <t xml:space="preserve">P00434</t>
  </si>
  <si>
    <t xml:space="preserve">Lorenzo Wexford</t>
  </si>
  <si>
    <t xml:space="preserve">P00435</t>
  </si>
  <si>
    <t xml:space="preserve">Caspian Larrabee</t>
  </si>
  <si>
    <t xml:space="preserve">P00436</t>
  </si>
  <si>
    <t xml:space="preserve">Leandro Blackwood</t>
  </si>
  <si>
    <t xml:space="preserve">P00437</t>
  </si>
  <si>
    <t xml:space="preserve">Rhett Pellerin</t>
  </si>
  <si>
    <t xml:space="preserve">P00438</t>
  </si>
  <si>
    <t xml:space="preserve">Percival Uchendu</t>
  </si>
  <si>
    <t xml:space="preserve">P00439</t>
  </si>
  <si>
    <t xml:space="preserve">Garrison Uchendu</t>
  </si>
  <si>
    <t xml:space="preserve">P00440</t>
  </si>
  <si>
    <t xml:space="preserve">Osvaldo Fairbanks</t>
  </si>
  <si>
    <t xml:space="preserve">P00441</t>
  </si>
  <si>
    <t xml:space="preserve">Emilio Jernigan</t>
  </si>
  <si>
    <t xml:space="preserve">P00442</t>
  </si>
  <si>
    <t xml:space="preserve">Cedric Jovanović</t>
  </si>
  <si>
    <t xml:space="preserve">P00443</t>
  </si>
  <si>
    <t xml:space="preserve">Lorenzo Brightwell</t>
  </si>
  <si>
    <t xml:space="preserve">P00444</t>
  </si>
  <si>
    <t xml:space="preserve">Jedidiah Hargreaves</t>
  </si>
  <si>
    <t xml:space="preserve">P00445</t>
  </si>
  <si>
    <t xml:space="preserve">Konrad Thorsby</t>
  </si>
  <si>
    <t xml:space="preserve">P00446</t>
  </si>
  <si>
    <t xml:space="preserve">Lucien Marchetti</t>
  </si>
  <si>
    <t xml:space="preserve">P00447</t>
  </si>
  <si>
    <t xml:space="preserve">Hugo Underhill</t>
  </si>
  <si>
    <t xml:space="preserve">P00448</t>
  </si>
  <si>
    <t xml:space="preserve">Thiago Jernigan</t>
  </si>
  <si>
    <t xml:space="preserve">P00449</t>
  </si>
  <si>
    <t xml:space="preserve">Thaddeus Villalobos</t>
  </si>
  <si>
    <t xml:space="preserve">P00450</t>
  </si>
  <si>
    <t xml:space="preserve">Mateo Caldera</t>
  </si>
  <si>
    <t xml:space="preserve">P00451</t>
  </si>
  <si>
    <t xml:space="preserve">Vicente Blackwood</t>
  </si>
  <si>
    <t xml:space="preserve">P00452</t>
  </si>
  <si>
    <t xml:space="preserve">Ulises Okafor</t>
  </si>
  <si>
    <t xml:space="preserve">P00453</t>
  </si>
  <si>
    <t xml:space="preserve">Augustin Iwasaki</t>
  </si>
  <si>
    <t xml:space="preserve">P00454</t>
  </si>
  <si>
    <t xml:space="preserve">Emilio Lemieux</t>
  </si>
  <si>
    <t xml:space="preserve">P00455</t>
  </si>
  <si>
    <t xml:space="preserve">Joaquín Underhill</t>
  </si>
  <si>
    <t xml:space="preserve">P00456</t>
  </si>
  <si>
    <t xml:space="preserve">Tristan Garrity</t>
  </si>
  <si>
    <t xml:space="preserve">P00457</t>
  </si>
  <si>
    <t xml:space="preserve">Emilio Dubois</t>
  </si>
  <si>
    <t xml:space="preserve">P00458</t>
  </si>
  <si>
    <t xml:space="preserve">Barrett Rasmussen</t>
  </si>
  <si>
    <t xml:space="preserve">P00459</t>
  </si>
  <si>
    <t xml:space="preserve">Percival Ravenscroft</t>
  </si>
  <si>
    <t xml:space="preserve">P00460</t>
  </si>
  <si>
    <t xml:space="preserve">Benedikt Jovanović</t>
  </si>
  <si>
    <t xml:space="preserve">P00461</t>
  </si>
  <si>
    <t xml:space="preserve">Konrad Yamazaki</t>
  </si>
  <si>
    <t xml:space="preserve">P00462</t>
  </si>
  <si>
    <t xml:space="preserve">Augustin Underhill</t>
  </si>
  <si>
    <t xml:space="preserve">P00463</t>
  </si>
  <si>
    <t xml:space="preserve">Desmond Nordstrom</t>
  </si>
  <si>
    <t xml:space="preserve">P00464</t>
  </si>
  <si>
    <t xml:space="preserve">Rhett Vasquez</t>
  </si>
  <si>
    <t xml:space="preserve">P00465</t>
  </si>
  <si>
    <t xml:space="preserve">Emilio Ulloa</t>
  </si>
  <si>
    <t xml:space="preserve">P00466</t>
  </si>
  <si>
    <t xml:space="preserve">Zane Wainwright</t>
  </si>
  <si>
    <t xml:space="preserve">P00467</t>
  </si>
  <si>
    <t xml:space="preserve">Jedidiah Ulloa</t>
  </si>
  <si>
    <t xml:space="preserve">P00468</t>
  </si>
  <si>
    <t xml:space="preserve">Oakley Fontaine</t>
  </si>
  <si>
    <t xml:space="preserve">P00469</t>
  </si>
  <si>
    <t xml:space="preserve">Rhett Mbeki</t>
  </si>
  <si>
    <t xml:space="preserve">P00470</t>
  </si>
  <si>
    <t xml:space="preserve">Silas Sorrentino</t>
  </si>
  <si>
    <t xml:space="preserve">P00471</t>
  </si>
  <si>
    <t xml:space="preserve">Wyatt Larrabee</t>
  </si>
  <si>
    <t xml:space="preserve">P00472</t>
  </si>
  <si>
    <t xml:space="preserve">Oakley Ibarra</t>
  </si>
  <si>
    <t xml:space="preserve">P00473</t>
  </si>
  <si>
    <t xml:space="preserve">Ronin Rasmussen</t>
  </si>
  <si>
    <t xml:space="preserve">P00474</t>
  </si>
  <si>
    <t xml:space="preserve">Dashiell Stroheim</t>
  </si>
  <si>
    <t xml:space="preserve">P00475</t>
  </si>
  <si>
    <t xml:space="preserve">Minjae Sorrentino</t>
  </si>
  <si>
    <t xml:space="preserve">P00476</t>
  </si>
  <si>
    <t xml:space="preserve">Camilo Prendergast</t>
  </si>
  <si>
    <t xml:space="preserve">P00477</t>
  </si>
  <si>
    <t xml:space="preserve">Matthias Rasmussen</t>
  </si>
  <si>
    <t xml:space="preserve">P00478</t>
  </si>
  <si>
    <t xml:space="preserve">Zane Brightwell</t>
  </si>
  <si>
    <t xml:space="preserve">P00479</t>
  </si>
  <si>
    <t xml:space="preserve">Silas Wexford</t>
  </si>
  <si>
    <t xml:space="preserve">P00480</t>
  </si>
  <si>
    <t xml:space="preserve">Lucien Fairbanks</t>
  </si>
  <si>
    <t xml:space="preserve">P00481</t>
  </si>
  <si>
    <t xml:space="preserve">Zane Montalvo</t>
  </si>
  <si>
    <t xml:space="preserve">P00482</t>
  </si>
  <si>
    <t xml:space="preserve">Rintaro Fontaine</t>
  </si>
  <si>
    <t xml:space="preserve">P00483</t>
  </si>
  <si>
    <t xml:space="preserve">Ulises Cavanaugh</t>
  </si>
  <si>
    <t xml:space="preserve">P00484</t>
  </si>
  <si>
    <t xml:space="preserve">Camilo Ostrowski</t>
  </si>
  <si>
    <t xml:space="preserve">P00485</t>
  </si>
  <si>
    <t xml:space="preserve">Ulises Dunmore</t>
  </si>
  <si>
    <t xml:space="preserve">P00486</t>
  </si>
  <si>
    <t xml:space="preserve">Hugo Wainwright</t>
  </si>
  <si>
    <t xml:space="preserve">P00487</t>
  </si>
  <si>
    <t xml:space="preserve">Dorian Prendergast</t>
  </si>
  <si>
    <t xml:space="preserve">P00488</t>
  </si>
  <si>
    <t xml:space="preserve">Alonso Ravenscroft</t>
  </si>
  <si>
    <t xml:space="preserve">P00489</t>
  </si>
  <si>
    <t xml:space="preserve">Porter Ingersoll</t>
  </si>
  <si>
    <t xml:space="preserve">P00490</t>
  </si>
  <si>
    <t xml:space="preserve">Hugo Fairbanks</t>
  </si>
  <si>
    <t xml:space="preserve">P00491</t>
  </si>
  <si>
    <t xml:space="preserve">Thiago Castellón</t>
  </si>
  <si>
    <t xml:space="preserve">P00492</t>
  </si>
  <si>
    <t xml:space="preserve">Ulises Hargreaves</t>
  </si>
  <si>
    <t xml:space="preserve">P00493</t>
  </si>
  <si>
    <t xml:space="preserve">Ulises Garrity</t>
  </si>
  <si>
    <t xml:space="preserve">P00494</t>
  </si>
  <si>
    <t xml:space="preserve">Dorian Rasmussen</t>
  </si>
  <si>
    <t xml:space="preserve">P00495</t>
  </si>
  <si>
    <t xml:space="preserve">Minjae Stroheim</t>
  </si>
  <si>
    <t xml:space="preserve">P00496</t>
  </si>
  <si>
    <t xml:space="preserve">Augustin Mbeki</t>
  </si>
  <si>
    <t xml:space="preserve">P00497</t>
  </si>
  <si>
    <t xml:space="preserve">Barrett Engelhardt</t>
  </si>
  <si>
    <t xml:space="preserve">P00498</t>
  </si>
  <si>
    <t xml:space="preserve">Caspian Zielinski</t>
  </si>
  <si>
    <t xml:space="preserve">P00499</t>
  </si>
  <si>
    <t xml:space="preserve">Nolan Prendergast</t>
  </si>
  <si>
    <t xml:space="preserve">P00500</t>
  </si>
  <si>
    <t xml:space="preserve">Quentin Yoshinaga</t>
  </si>
  <si>
    <t xml:space="preserve">P00501</t>
  </si>
  <si>
    <t xml:space="preserve">Alonso Jovanović</t>
  </si>
  <si>
    <t xml:space="preserve">P00502</t>
  </si>
  <si>
    <t xml:space="preserve">Thiago Nakagawa</t>
  </si>
  <si>
    <t xml:space="preserve">P00503</t>
  </si>
  <si>
    <t xml:space="preserve">Isaias Okafor</t>
  </si>
  <si>
    <t xml:space="preserve">P00504</t>
  </si>
  <si>
    <t xml:space="preserve">Jedidiah Kowalczyk</t>
  </si>
  <si>
    <t xml:space="preserve">P00505</t>
  </si>
  <si>
    <t xml:space="preserve">Ignacio Zbornak</t>
  </si>
  <si>
    <t xml:space="preserve">P00506</t>
  </si>
  <si>
    <t xml:space="preserve">Porter Kestrel</t>
  </si>
  <si>
    <t xml:space="preserve">P00507</t>
  </si>
  <si>
    <t xml:space="preserve">Jasper Zamarripa</t>
  </si>
  <si>
    <t xml:space="preserve">P00508</t>
  </si>
  <si>
    <t xml:space="preserve">Holden Montalvo</t>
  </si>
  <si>
    <t xml:space="preserve">P00509</t>
  </si>
  <si>
    <t xml:space="preserve">Matthias Nordstrom</t>
  </si>
  <si>
    <t xml:space="preserve">P00510</t>
  </si>
  <si>
    <t xml:space="preserve">Porter Esquivel</t>
  </si>
  <si>
    <t xml:space="preserve">P00511</t>
  </si>
  <si>
    <t xml:space="preserve">Ulises Nakagawa</t>
  </si>
  <si>
    <t xml:space="preserve">P00512</t>
  </si>
  <si>
    <t xml:space="preserve">Oakley Sorrentino</t>
  </si>
  <si>
    <t xml:space="preserve">P00513</t>
  </si>
  <si>
    <t xml:space="preserve">Percival Engelhardt</t>
  </si>
  <si>
    <t xml:space="preserve">P00514</t>
  </si>
  <si>
    <t xml:space="preserve">Ignacio Jaramillo</t>
  </si>
  <si>
    <t xml:space="preserve">P00515</t>
  </si>
  <si>
    <t xml:space="preserve">Griffin Ashworth</t>
  </si>
  <si>
    <t xml:space="preserve">P00516</t>
  </si>
  <si>
    <t xml:space="preserve">Matthias Dubois</t>
  </si>
  <si>
    <t xml:space="preserve">P00517</t>
  </si>
  <si>
    <t xml:space="preserve">Vicente Marchetti</t>
  </si>
  <si>
    <t xml:space="preserve">P00518</t>
  </si>
  <si>
    <t xml:space="preserve">Joaquín Vasquez</t>
  </si>
  <si>
    <t xml:space="preserve">P00519</t>
  </si>
  <si>
    <t xml:space="preserve">Zane Marchetti</t>
  </si>
  <si>
    <t xml:space="preserve">P00520</t>
  </si>
  <si>
    <t xml:space="preserve">Lorenzo Castellón</t>
  </si>
  <si>
    <t xml:space="preserve">P00521</t>
  </si>
  <si>
    <t xml:space="preserve">Bernardo Jernigan</t>
  </si>
  <si>
    <t xml:space="preserve">P00522</t>
  </si>
  <si>
    <t xml:space="preserve">Zane Lemieux</t>
  </si>
  <si>
    <t xml:space="preserve">P00523</t>
  </si>
  <si>
    <t xml:space="preserve">Bernardo Fairbanks</t>
  </si>
  <si>
    <t xml:space="preserve">P00524</t>
  </si>
  <si>
    <t xml:space="preserve">Jedidiah Ibarra</t>
  </si>
  <si>
    <t xml:space="preserve">P00525</t>
  </si>
  <si>
    <t xml:space="preserve">Sawyer Zamarripa</t>
  </si>
  <si>
    <t xml:space="preserve">P00526</t>
  </si>
  <si>
    <t xml:space="preserve">Joaquín Kowalczyk</t>
  </si>
  <si>
    <t xml:space="preserve">P00527</t>
  </si>
  <si>
    <t xml:space="preserve">Minjae Ulloa</t>
  </si>
  <si>
    <t xml:space="preserve">P00528</t>
  </si>
  <si>
    <t xml:space="preserve">Alonso Kestrel</t>
  </si>
  <si>
    <t xml:space="preserve">P00529</t>
  </si>
  <si>
    <t xml:space="preserve">Osvaldo Paszkiewicz</t>
  </si>
  <si>
    <t xml:space="preserve">P00530</t>
  </si>
  <si>
    <t xml:space="preserve">Matthias Redmayne</t>
  </si>
  <si>
    <t xml:space="preserve">P00531</t>
  </si>
  <si>
    <t xml:space="preserve">Seonwoo Castellón</t>
  </si>
  <si>
    <t xml:space="preserve">P00532</t>
  </si>
  <si>
    <t xml:space="preserve">Minjae Underhill</t>
  </si>
  <si>
    <t xml:space="preserve">P00533</t>
  </si>
  <si>
    <t xml:space="preserve">Silas Vasquez</t>
  </si>
  <si>
    <t xml:space="preserve">P00534</t>
  </si>
  <si>
    <t xml:space="preserve">Sawyer Yoshinaga</t>
  </si>
  <si>
    <t xml:space="preserve">P00535</t>
  </si>
  <si>
    <t xml:space="preserve">Wendell Haverford</t>
  </si>
  <si>
    <t xml:space="preserve">P00536</t>
  </si>
  <si>
    <t xml:space="preserve">Niklas Yarbrough</t>
  </si>
  <si>
    <t xml:space="preserve">P00537</t>
  </si>
  <si>
    <t xml:space="preserve">Marcus Villalobos</t>
  </si>
  <si>
    <t xml:space="preserve">P00538</t>
  </si>
  <si>
    <t xml:space="preserve">Rowan Beckwith</t>
  </si>
  <si>
    <t xml:space="preserve">P00539</t>
  </si>
  <si>
    <t xml:space="preserve">Joaquín Delacroix</t>
  </si>
  <si>
    <t xml:space="preserve">P00540</t>
  </si>
  <si>
    <t xml:space="preserve">Wyatt Engelhardt</t>
  </si>
  <si>
    <t xml:space="preserve">P00541</t>
  </si>
  <si>
    <t xml:space="preserve">Wyatt Vandermeer</t>
  </si>
  <si>
    <t xml:space="preserve">P00542</t>
  </si>
  <si>
    <t xml:space="preserve">Sawyer Hargreaves</t>
  </si>
  <si>
    <t xml:space="preserve">P00543</t>
  </si>
  <si>
    <t xml:space="preserve">Silas Goddard</t>
  </si>
  <si>
    <t xml:space="preserve">P00544</t>
  </si>
  <si>
    <t xml:space="preserve">Griffin Jovanović</t>
  </si>
  <si>
    <t xml:space="preserve">P00545</t>
  </si>
  <si>
    <t xml:space="preserve">Rowan Castellón</t>
  </si>
  <si>
    <t xml:space="preserve">P00546</t>
  </si>
  <si>
    <t xml:space="preserve">Zane Haverford</t>
  </si>
  <si>
    <t xml:space="preserve">P00547</t>
  </si>
  <si>
    <t xml:space="preserve">Garrison Fontaine</t>
  </si>
  <si>
    <t xml:space="preserve">P00548</t>
  </si>
  <si>
    <t xml:space="preserve">Caspian Underhill</t>
  </si>
  <si>
    <t xml:space="preserve">P00549</t>
  </si>
  <si>
    <t xml:space="preserve">Ignacio Yamazaki</t>
  </si>
  <si>
    <t xml:space="preserve">P00550</t>
  </si>
  <si>
    <t xml:space="preserve">Minjae Ravenscroft</t>
  </si>
  <si>
    <t xml:space="preserve">P00551</t>
  </si>
  <si>
    <t xml:space="preserve">Lorenzo Kowalczyk</t>
  </si>
  <si>
    <t xml:space="preserve">P00552</t>
  </si>
  <si>
    <t xml:space="preserve">Yusuke Engelhardt</t>
  </si>
  <si>
    <t xml:space="preserve">P00553</t>
  </si>
  <si>
    <t xml:space="preserve">Konrad Montalvo</t>
  </si>
  <si>
    <t xml:space="preserve">P00554</t>
  </si>
  <si>
    <t xml:space="preserve">Thiago Marchetti</t>
  </si>
  <si>
    <t xml:space="preserve">P00555</t>
  </si>
  <si>
    <t xml:space="preserve">Leandro Ashworth</t>
  </si>
  <si>
    <t xml:space="preserve">P00556</t>
  </si>
  <si>
    <t xml:space="preserve">Oakley Yarbrough</t>
  </si>
  <si>
    <t xml:space="preserve">P00557</t>
  </si>
  <si>
    <t xml:space="preserve">Lucien Delacroix</t>
  </si>
  <si>
    <t xml:space="preserve">P00558</t>
  </si>
  <si>
    <t xml:space="preserve">Kellan Lemieux</t>
  </si>
  <si>
    <t xml:space="preserve">P00559</t>
  </si>
  <si>
    <t xml:space="preserve">Bernardo Tremblay</t>
  </si>
  <si>
    <t xml:space="preserve">P00560</t>
  </si>
  <si>
    <t xml:space="preserve">Cedric Nakagawa</t>
  </si>
  <si>
    <t xml:space="preserve">P00561</t>
  </si>
  <si>
    <t xml:space="preserve">Quentin Brightwell</t>
  </si>
  <si>
    <t xml:space="preserve">P00562</t>
  </si>
  <si>
    <t xml:space="preserve">Dimitri Yarbrough</t>
  </si>
  <si>
    <t xml:space="preserve">P00563</t>
  </si>
  <si>
    <t xml:space="preserve">Everett Dunmore</t>
  </si>
  <si>
    <t xml:space="preserve">P00564</t>
  </si>
  <si>
    <t xml:space="preserve">Silas Ostrowski</t>
  </si>
  <si>
    <t xml:space="preserve">P00565</t>
  </si>
  <si>
    <t xml:space="preserve">Sousuke Beckwith</t>
  </si>
  <si>
    <t xml:space="preserve">P00566</t>
  </si>
  <si>
    <t xml:space="preserve">Griffin Ostrowski</t>
  </si>
  <si>
    <t xml:space="preserve">P00567</t>
  </si>
  <si>
    <t xml:space="preserve">Matthias Lemieux</t>
  </si>
  <si>
    <t xml:space="preserve">P00568</t>
  </si>
  <si>
    <t xml:space="preserve">Lorenzo Iwasaki</t>
  </si>
  <si>
    <t xml:space="preserve">P00569</t>
  </si>
  <si>
    <t xml:space="preserve">Esteban Tremblay</t>
  </si>
  <si>
    <t xml:space="preserve">P00570</t>
  </si>
  <si>
    <t xml:space="preserve">Tristan Thorsby</t>
  </si>
  <si>
    <t xml:space="preserve">P00571</t>
  </si>
  <si>
    <t xml:space="preserve">Ronin Wainwright</t>
  </si>
  <si>
    <t xml:space="preserve">P00572</t>
  </si>
  <si>
    <t xml:space="preserve">Bernardo Esquivel</t>
  </si>
  <si>
    <t xml:space="preserve">P00573</t>
  </si>
  <si>
    <t xml:space="preserve">Rintaro Halloway</t>
  </si>
  <si>
    <t xml:space="preserve">P00574</t>
  </si>
  <si>
    <t xml:space="preserve">Lucien Arceneaux</t>
  </si>
  <si>
    <t xml:space="preserve">P00575</t>
  </si>
  <si>
    <t xml:space="preserve">Marcus Iwasaki</t>
  </si>
  <si>
    <t xml:space="preserve">P00576</t>
  </si>
  <si>
    <t xml:space="preserve">Leandro Halloway</t>
  </si>
  <si>
    <t xml:space="preserve">P00577</t>
  </si>
  <si>
    <t xml:space="preserve">Joaquín Quiroga</t>
  </si>
  <si>
    <t xml:space="preserve">P00578</t>
  </si>
  <si>
    <t xml:space="preserve">Everett Alcorn</t>
  </si>
  <si>
    <t xml:space="preserve">P00579</t>
  </si>
  <si>
    <t xml:space="preserve">Silas Garrity</t>
  </si>
  <si>
    <t xml:space="preserve">P00580</t>
  </si>
  <si>
    <t xml:space="preserve">Cedric Cavanaugh</t>
  </si>
  <si>
    <t xml:space="preserve">P00581</t>
  </si>
  <si>
    <t xml:space="preserve">Niklas Uchendu</t>
  </si>
  <si>
    <t xml:space="preserve">P00582</t>
  </si>
  <si>
    <t xml:space="preserve">Esteban Brightwell</t>
  </si>
  <si>
    <t xml:space="preserve">P00583</t>
  </si>
  <si>
    <t xml:space="preserve">Quentin Thorsby</t>
  </si>
  <si>
    <t xml:space="preserve">P00584</t>
  </si>
  <si>
    <t xml:space="preserve">Nolan Engelhardt</t>
  </si>
  <si>
    <t xml:space="preserve">P00585</t>
  </si>
  <si>
    <t xml:space="preserve">Kellan Ravenscroft</t>
  </si>
  <si>
    <t xml:space="preserve">P00586</t>
  </si>
  <si>
    <t xml:space="preserve">Benedikt Kiriakis</t>
  </si>
  <si>
    <t xml:space="preserve">P00587</t>
  </si>
  <si>
    <t xml:space="preserve">Kellan Tanabe</t>
  </si>
  <si>
    <t xml:space="preserve">P00588</t>
  </si>
  <si>
    <t xml:space="preserve">Sawyer Caldera</t>
  </si>
  <si>
    <t xml:space="preserve">P00589</t>
  </si>
  <si>
    <t xml:space="preserve">Soren Kestrel</t>
  </si>
  <si>
    <t xml:space="preserve">P00590</t>
  </si>
  <si>
    <t xml:space="preserve">Benedikt Halloway</t>
  </si>
  <si>
    <t xml:space="preserve">P00591</t>
  </si>
  <si>
    <t xml:space="preserve">Alonso Cavanaugh</t>
  </si>
  <si>
    <t xml:space="preserve">P00592</t>
  </si>
  <si>
    <t xml:space="preserve">Garrison Jaramillo</t>
  </si>
  <si>
    <t xml:space="preserve">P00593</t>
  </si>
  <si>
    <t xml:space="preserve">Yusuke Ingersoll</t>
  </si>
  <si>
    <t xml:space="preserve">P00594</t>
  </si>
  <si>
    <t xml:space="preserve">Joaquín Jovanović</t>
  </si>
  <si>
    <t xml:space="preserve">P00595</t>
  </si>
  <si>
    <t xml:space="preserve">Wyatt Wainwright</t>
  </si>
  <si>
    <t xml:space="preserve">P00596</t>
  </si>
  <si>
    <t xml:space="preserve">Everett Dubois</t>
  </si>
  <si>
    <t xml:space="preserve">P00597</t>
  </si>
  <si>
    <t xml:space="preserve">Rintaro Gallimore</t>
  </si>
  <si>
    <t xml:space="preserve">P00598</t>
  </si>
  <si>
    <t xml:space="preserve">Konrad Pellerin</t>
  </si>
  <si>
    <t xml:space="preserve">P00599</t>
  </si>
  <si>
    <t xml:space="preserve">Bernardo Quiroga</t>
  </si>
  <si>
    <t xml:space="preserve">P00600</t>
  </si>
  <si>
    <t xml:space="preserve">Lorenzo Novotný</t>
  </si>
  <si>
    <t xml:space="preserve">P00601</t>
  </si>
  <si>
    <t xml:space="preserve">Cassius Yoshinaga</t>
  </si>
  <si>
    <t xml:space="preserve">P00602</t>
  </si>
  <si>
    <t xml:space="preserve">Everett Nordstrom</t>
  </si>
  <si>
    <t xml:space="preserve">P00603</t>
  </si>
  <si>
    <t xml:space="preserve">Soren Wainwright</t>
  </si>
  <si>
    <t xml:space="preserve">P00604</t>
  </si>
  <si>
    <t xml:space="preserve">Konrad Jaramillo</t>
  </si>
  <si>
    <t xml:space="preserve">P00605</t>
  </si>
  <si>
    <t xml:space="preserve">Isaias Marchetti</t>
  </si>
  <si>
    <t xml:space="preserve">P00606</t>
  </si>
  <si>
    <t xml:space="preserve">Percival Yamazaki</t>
  </si>
  <si>
    <t xml:space="preserve">P00607</t>
  </si>
  <si>
    <t xml:space="preserve">Ulises Kowalczyk</t>
  </si>
  <si>
    <t xml:space="preserve">P00608</t>
  </si>
  <si>
    <t xml:space="preserve">Tristan Kiriakis</t>
  </si>
  <si>
    <t xml:space="preserve">P00609</t>
  </si>
  <si>
    <t xml:space="preserve">Lucien Yarbrough</t>
  </si>
  <si>
    <t xml:space="preserve">P00610</t>
  </si>
  <si>
    <t xml:space="preserve">Mateo Ostrowski</t>
  </si>
  <si>
    <t xml:space="preserve">P00611</t>
  </si>
  <si>
    <t xml:space="preserve">Ronin Tanabe</t>
  </si>
  <si>
    <t xml:space="preserve">P00612</t>
  </si>
  <si>
    <t xml:space="preserve">Osvaldo Halloway</t>
  </si>
  <si>
    <t xml:space="preserve">P00613</t>
  </si>
  <si>
    <t xml:space="preserve">Jedidiah Yamazaki</t>
  </si>
  <si>
    <t xml:space="preserve">P00614</t>
  </si>
  <si>
    <t xml:space="preserve">Dashiell Vasquez</t>
  </si>
  <si>
    <t xml:space="preserve">P00615</t>
  </si>
  <si>
    <t xml:space="preserve">Desmond Kiriakis</t>
  </si>
  <si>
    <t xml:space="preserve">P00616</t>
  </si>
  <si>
    <t xml:space="preserve">Rowan Quiroga</t>
  </si>
  <si>
    <t xml:space="preserve">P00617</t>
  </si>
  <si>
    <t xml:space="preserve">Quentin Blackwood</t>
  </si>
  <si>
    <t xml:space="preserve">P00618</t>
  </si>
  <si>
    <t xml:space="preserve">Dashiell Larrabee</t>
  </si>
  <si>
    <t xml:space="preserve">P00619</t>
  </si>
  <si>
    <t xml:space="preserve">Barrett Yamazaki</t>
  </si>
  <si>
    <t xml:space="preserve">P00620</t>
  </si>
  <si>
    <t xml:space="preserve">Kellan Okafor</t>
  </si>
  <si>
    <t xml:space="preserve">P00621</t>
  </si>
  <si>
    <t xml:space="preserve">Lucien Ferreira</t>
  </si>
  <si>
    <t xml:space="preserve">P00622</t>
  </si>
  <si>
    <t xml:space="preserve">Wendell Nakagawa</t>
  </si>
  <si>
    <t xml:space="preserve">P00623</t>
  </si>
  <si>
    <t xml:space="preserve">Dimitri Tremblay</t>
  </si>
  <si>
    <t xml:space="preserve">P00624</t>
  </si>
  <si>
    <t xml:space="preserve">Jedidiah Sorrentino</t>
  </si>
  <si>
    <t xml:space="preserve">P00625</t>
  </si>
  <si>
    <t xml:space="preserve">Sousuke Jernigan</t>
  </si>
  <si>
    <t xml:space="preserve">P00626</t>
  </si>
  <si>
    <t xml:space="preserve">Matthias Castellón</t>
  </si>
  <si>
    <t xml:space="preserve">P00627</t>
  </si>
  <si>
    <t xml:space="preserve">Minjae Garrity</t>
  </si>
  <si>
    <t xml:space="preserve">P00628</t>
  </si>
  <si>
    <t xml:space="preserve">Percival Zamarripa</t>
  </si>
  <si>
    <t xml:space="preserve">P00629</t>
  </si>
  <si>
    <t xml:space="preserve">Zane Yoshinaga</t>
  </si>
  <si>
    <t xml:space="preserve">P00630</t>
  </si>
  <si>
    <t xml:space="preserve">Cedric Kestrel</t>
  </si>
  <si>
    <t xml:space="preserve">P00631</t>
  </si>
  <si>
    <t xml:space="preserve">Isaias Wainwright</t>
  </si>
  <si>
    <t xml:space="preserve">P00632</t>
  </si>
  <si>
    <t xml:space="preserve">Tobias Goddard</t>
  </si>
  <si>
    <t xml:space="preserve">P00633</t>
  </si>
  <si>
    <t xml:space="preserve">Wyatt Dubois</t>
  </si>
  <si>
    <t xml:space="preserve">P00634</t>
  </si>
  <si>
    <t xml:space="preserve">Elias Castellón</t>
  </si>
  <si>
    <t xml:space="preserve">P00635</t>
  </si>
  <si>
    <t xml:space="preserve">Hugo Uchendu</t>
  </si>
  <si>
    <t xml:space="preserve">P00636</t>
  </si>
  <si>
    <t xml:space="preserve">Jedidiah Alcorn</t>
  </si>
  <si>
    <t xml:space="preserve">P00637</t>
  </si>
  <si>
    <t xml:space="preserve">Porter Prendergast</t>
  </si>
  <si>
    <t xml:space="preserve">P00638</t>
  </si>
  <si>
    <t xml:space="preserve">Osvaldo Okafor</t>
  </si>
  <si>
    <t xml:space="preserve">P00639</t>
  </si>
  <si>
    <t xml:space="preserve">Benedikt Kowalczyk</t>
  </si>
  <si>
    <t xml:space="preserve">P00640</t>
  </si>
  <si>
    <t xml:space="preserve">Barrett Montalvo</t>
  </si>
  <si>
    <t xml:space="preserve">P00641</t>
  </si>
  <si>
    <t xml:space="preserve">Augustin Ingersoll</t>
  </si>
  <si>
    <t xml:space="preserve">P00642</t>
  </si>
  <si>
    <t xml:space="preserve">Osvaldo Goddard</t>
  </si>
  <si>
    <t xml:space="preserve">P00643</t>
  </si>
  <si>
    <t xml:space="preserve">Ulises Dubois</t>
  </si>
  <si>
    <t xml:space="preserve">P00644</t>
  </si>
  <si>
    <t xml:space="preserve">Vicente Ingersoll</t>
  </si>
  <si>
    <t xml:space="preserve">P00645</t>
  </si>
  <si>
    <t xml:space="preserve">Mateo Yarbrough</t>
  </si>
  <si>
    <t xml:space="preserve">P00646</t>
  </si>
  <si>
    <t xml:space="preserve">Rintaro Oyelaran</t>
  </si>
  <si>
    <t xml:space="preserve">P00647</t>
  </si>
  <si>
    <t xml:space="preserve">Lorenzo Arceneaux</t>
  </si>
  <si>
    <t xml:space="preserve">P00648</t>
  </si>
  <si>
    <t xml:space="preserve">Lucien Tremblay</t>
  </si>
  <si>
    <t xml:space="preserve">P00649</t>
  </si>
  <si>
    <t xml:space="preserve">Bernardo Arceneaux</t>
  </si>
  <si>
    <t xml:space="preserve">P00650</t>
  </si>
  <si>
    <t xml:space="preserve">Hugo Eberhardt</t>
  </si>
  <si>
    <t xml:space="preserve">P00651</t>
  </si>
  <si>
    <t xml:space="preserve">Jasper Redmayne</t>
  </si>
  <si>
    <t xml:space="preserve">P00652</t>
  </si>
  <si>
    <t xml:space="preserve">Porter Caldera</t>
  </si>
  <si>
    <t xml:space="preserve">P00653</t>
  </si>
  <si>
    <t xml:space="preserve">Ulises Wainwright</t>
  </si>
  <si>
    <t xml:space="preserve">P00654</t>
  </si>
  <si>
    <t xml:space="preserve">Mateo Brightwell</t>
  </si>
  <si>
    <t xml:space="preserve">P00655</t>
  </si>
  <si>
    <t xml:space="preserve">Seonwoo Ashworth</t>
  </si>
  <si>
    <t xml:space="preserve">P00656</t>
  </si>
  <si>
    <t xml:space="preserve">Marcus Montalvo</t>
  </si>
  <si>
    <t xml:space="preserve">P00657</t>
  </si>
  <si>
    <t xml:space="preserve">Yusuke Lemieux</t>
  </si>
  <si>
    <t xml:space="preserve">P00658</t>
  </si>
  <si>
    <t xml:space="preserve">Percival Dubois</t>
  </si>
  <si>
    <t xml:space="preserve">P00659</t>
  </si>
  <si>
    <t xml:space="preserve">Konrad Cavanaugh</t>
  </si>
  <si>
    <t xml:space="preserve">P00660</t>
  </si>
  <si>
    <t xml:space="preserve">Garrison Lindquist</t>
  </si>
  <si>
    <t xml:space="preserve">P00661</t>
  </si>
  <si>
    <t xml:space="preserve">Landon Haverford</t>
  </si>
  <si>
    <t xml:space="preserve">P00662</t>
  </si>
  <si>
    <t xml:space="preserve">Rhett Caldera</t>
  </si>
  <si>
    <t xml:space="preserve">P00663</t>
  </si>
  <si>
    <t xml:space="preserve">Oakley Villalobos</t>
  </si>
  <si>
    <t xml:space="preserve">P00664</t>
  </si>
  <si>
    <t xml:space="preserve">Porter Kowalczyk</t>
  </si>
  <si>
    <t xml:space="preserve">P00665</t>
  </si>
  <si>
    <t xml:space="preserve">Soren Iwasaki</t>
  </si>
  <si>
    <t xml:space="preserve">P00666</t>
  </si>
  <si>
    <t xml:space="preserve">Wyatt Haverford</t>
  </si>
  <si>
    <t xml:space="preserve">P00667</t>
  </si>
  <si>
    <t xml:space="preserve">Everett Thorsby</t>
  </si>
  <si>
    <t xml:space="preserve">P00668</t>
  </si>
  <si>
    <t xml:space="preserve">Soren Ostrowski</t>
  </si>
  <si>
    <t xml:space="preserve">P00669</t>
  </si>
  <si>
    <t xml:space="preserve">Soren Thorsby</t>
  </si>
  <si>
    <t xml:space="preserve">P00670</t>
  </si>
  <si>
    <t xml:space="preserve">Elias Haverford</t>
  </si>
  <si>
    <t xml:space="preserve">P00671</t>
  </si>
  <si>
    <t xml:space="preserve">Silas Kiriakis</t>
  </si>
  <si>
    <t xml:space="preserve">P00672</t>
  </si>
  <si>
    <t xml:space="preserve">Camilo Yoshinaga</t>
  </si>
  <si>
    <t xml:space="preserve">P00673</t>
  </si>
  <si>
    <t xml:space="preserve">Ignacio Yarbrough</t>
  </si>
  <si>
    <t xml:space="preserve">P00674</t>
  </si>
  <si>
    <t xml:space="preserve">Vicente Garrity</t>
  </si>
  <si>
    <t xml:space="preserve">P00675</t>
  </si>
  <si>
    <t xml:space="preserve">Jasper Fontaine</t>
  </si>
  <si>
    <t xml:space="preserve">P00676</t>
  </si>
  <si>
    <t xml:space="preserve">Landon Jovanović</t>
  </si>
  <si>
    <t xml:space="preserve">P00677</t>
  </si>
  <si>
    <t xml:space="preserve">Tristan Zielinski</t>
  </si>
  <si>
    <t xml:space="preserve">P00678</t>
  </si>
  <si>
    <t xml:space="preserve">Matthias Paszkiewicz</t>
  </si>
  <si>
    <t xml:space="preserve">P00679</t>
  </si>
  <si>
    <t xml:space="preserve">Haruto Underhill</t>
  </si>
  <si>
    <t xml:space="preserve">P00680</t>
  </si>
  <si>
    <t xml:space="preserve">Percival Sorrentino</t>
  </si>
  <si>
    <t xml:space="preserve">P00681</t>
  </si>
  <si>
    <t xml:space="preserve">Sousuke Mbeki</t>
  </si>
  <si>
    <t xml:space="preserve">P00682</t>
  </si>
  <si>
    <t xml:space="preserve">Vicente Haverford</t>
  </si>
  <si>
    <t xml:space="preserve">P00683</t>
  </si>
  <si>
    <t xml:space="preserve">Kellan Vandermeer</t>
  </si>
  <si>
    <t xml:space="preserve">P00684</t>
  </si>
  <si>
    <t xml:space="preserve">Emilio Ashworth</t>
  </si>
  <si>
    <t xml:space="preserve">P00685</t>
  </si>
  <si>
    <t xml:space="preserve">Marcus Esquivel</t>
  </si>
  <si>
    <t xml:space="preserve">P00686</t>
  </si>
  <si>
    <t xml:space="preserve">Elias Ravenscroft</t>
  </si>
  <si>
    <t xml:space="preserve">P00687</t>
  </si>
  <si>
    <t xml:space="preserve">Augustin Whitmore</t>
  </si>
  <si>
    <t xml:space="preserve">P00688</t>
  </si>
  <si>
    <t xml:space="preserve">Bernardo Mbeki</t>
  </si>
  <si>
    <t xml:space="preserve">P00689</t>
  </si>
  <si>
    <t xml:space="preserve">Dorian Fontaine</t>
  </si>
  <si>
    <t xml:space="preserve">P00690</t>
  </si>
  <si>
    <t xml:space="preserve">Oakley Garrity</t>
  </si>
  <si>
    <t xml:space="preserve">P00691</t>
  </si>
  <si>
    <t xml:space="preserve">Griffin Redmayne</t>
  </si>
  <si>
    <t xml:space="preserve">P00692</t>
  </si>
  <si>
    <t xml:space="preserve">Osvaldo Oyelaran</t>
  </si>
  <si>
    <t xml:space="preserve">P00693</t>
  </si>
  <si>
    <t xml:space="preserve">Thaddeus Ashworth</t>
  </si>
  <si>
    <t xml:space="preserve">P00694</t>
  </si>
  <si>
    <t xml:space="preserve">Leandro Vasquez</t>
  </si>
  <si>
    <t xml:space="preserve">P00695</t>
  </si>
  <si>
    <t xml:space="preserve">Zane Halloway</t>
  </si>
  <si>
    <t xml:space="preserve">P00696</t>
  </si>
  <si>
    <t xml:space="preserve">Percival Jaramillo</t>
  </si>
  <si>
    <t xml:space="preserve">P00697</t>
  </si>
  <si>
    <t xml:space="preserve">Joaquín Ostrowski</t>
  </si>
  <si>
    <t xml:space="preserve">P00698</t>
  </si>
  <si>
    <t xml:space="preserve">Wyatt Delacroix</t>
  </si>
  <si>
    <t xml:space="preserve">P00699</t>
  </si>
  <si>
    <t xml:space="preserve">Holden Wainwright</t>
  </si>
  <si>
    <t xml:space="preserve">P00700</t>
  </si>
  <si>
    <t xml:space="preserve">Benedikt Novotný</t>
  </si>
  <si>
    <t xml:space="preserve">P00701</t>
  </si>
  <si>
    <t xml:space="preserve">Ignacio Yoshinaga</t>
  </si>
  <si>
    <t xml:space="preserve">P00702</t>
  </si>
  <si>
    <t xml:space="preserve">Mateo Hargreaves</t>
  </si>
  <si>
    <t xml:space="preserve">P00703</t>
  </si>
  <si>
    <t xml:space="preserve">Landon Tremblay</t>
  </si>
  <si>
    <t xml:space="preserve">P00704</t>
  </si>
  <si>
    <t xml:space="preserve">Ignacio Vasquez</t>
  </si>
  <si>
    <t xml:space="preserve">P00705</t>
  </si>
  <si>
    <t xml:space="preserve">Leandro Zbornak</t>
  </si>
  <si>
    <t xml:space="preserve">P00706</t>
  </si>
  <si>
    <t xml:space="preserve">Griffin Okafor</t>
  </si>
  <si>
    <t xml:space="preserve">P00707</t>
  </si>
  <si>
    <t xml:space="preserve">Kellan Iwasaki</t>
  </si>
  <si>
    <t xml:space="preserve">P00708</t>
  </si>
  <si>
    <t xml:space="preserve">Ignacio Beckwith</t>
  </si>
  <si>
    <t xml:space="preserve">P00709</t>
  </si>
  <si>
    <t xml:space="preserve">Rhett Delacroix</t>
  </si>
  <si>
    <t xml:space="preserve">P00710</t>
  </si>
  <si>
    <t xml:space="preserve">Augustin Fairbanks</t>
  </si>
  <si>
    <t xml:space="preserve">P00711</t>
  </si>
  <si>
    <t xml:space="preserve">Silas Thorsby</t>
  </si>
  <si>
    <t xml:space="preserve">P00712</t>
  </si>
  <si>
    <t xml:space="preserve">Silas Tremblay</t>
  </si>
  <si>
    <t xml:space="preserve">P00713</t>
  </si>
  <si>
    <t xml:space="preserve">Konrad Tanabe</t>
  </si>
  <si>
    <t xml:space="preserve">P00714</t>
  </si>
  <si>
    <t xml:space="preserve">Desmond Wainwright</t>
  </si>
  <si>
    <t xml:space="preserve">P00715</t>
  </si>
  <si>
    <t xml:space="preserve">Fletcher Marchetti</t>
  </si>
  <si>
    <t xml:space="preserve">P00716</t>
  </si>
  <si>
    <t xml:space="preserve">Garrison Marchetti</t>
  </si>
  <si>
    <t xml:space="preserve">P00717</t>
  </si>
  <si>
    <t xml:space="preserve">Matthias Fontaine</t>
  </si>
  <si>
    <t xml:space="preserve">P00718</t>
  </si>
  <si>
    <t xml:space="preserve">Desmond Thorsby</t>
  </si>
  <si>
    <t xml:space="preserve">P00719</t>
  </si>
  <si>
    <t xml:space="preserve">Kellan Wexford</t>
  </si>
  <si>
    <t xml:space="preserve">P00720</t>
  </si>
  <si>
    <t xml:space="preserve">Fletcher Novotný</t>
  </si>
  <si>
    <t xml:space="preserve">P00721</t>
  </si>
  <si>
    <t xml:space="preserve">Thiago Blackwood</t>
  </si>
  <si>
    <t xml:space="preserve">P00722</t>
  </si>
  <si>
    <t xml:space="preserve">Dorian Villalobos</t>
  </si>
  <si>
    <t xml:space="preserve">P00723</t>
  </si>
  <si>
    <t xml:space="preserve">Hugo Prendergast</t>
  </si>
  <si>
    <t xml:space="preserve">P00724</t>
  </si>
  <si>
    <t xml:space="preserve">Osvaldo Rasmussen</t>
  </si>
  <si>
    <t xml:space="preserve">P00725</t>
  </si>
  <si>
    <t xml:space="preserve">Silas Paszkiewicz</t>
  </si>
  <si>
    <t xml:space="preserve">P00726</t>
  </si>
  <si>
    <t xml:space="preserve">Joaquín Uchendu</t>
  </si>
  <si>
    <t xml:space="preserve">P00727</t>
  </si>
  <si>
    <t xml:space="preserve">Bernardo Haverford</t>
  </si>
  <si>
    <t xml:space="preserve">P00728</t>
  </si>
  <si>
    <t xml:space="preserve">Dimitri Sorrentino</t>
  </si>
  <si>
    <t xml:space="preserve">P00729</t>
  </si>
  <si>
    <t xml:space="preserve">Wendell Fontaine</t>
  </si>
  <si>
    <t xml:space="preserve">P00730</t>
  </si>
  <si>
    <t xml:space="preserve">Jasper Yamazaki</t>
  </si>
  <si>
    <t xml:space="preserve">P00731</t>
  </si>
  <si>
    <t xml:space="preserve">Dimitri Villalobos</t>
  </si>
  <si>
    <t xml:space="preserve">P00732</t>
  </si>
  <si>
    <t xml:space="preserve">Esteban Engelhardt</t>
  </si>
  <si>
    <t xml:space="preserve">P00733</t>
  </si>
  <si>
    <t xml:space="preserve">Caspian Cavanaugh</t>
  </si>
  <si>
    <t xml:space="preserve">P00734</t>
  </si>
  <si>
    <t xml:space="preserve">Garrison Vasquez</t>
  </si>
  <si>
    <t xml:space="preserve">P00735</t>
  </si>
  <si>
    <t xml:space="preserve">Dorian Larrabee</t>
  </si>
  <si>
    <t xml:space="preserve">P00736</t>
  </si>
  <si>
    <t xml:space="preserve">Zane Kiriakis</t>
  </si>
  <si>
    <t xml:space="preserve">P00737</t>
  </si>
  <si>
    <t xml:space="preserve">Esteban Yarbrough</t>
  </si>
  <si>
    <t xml:space="preserve">P00738</t>
  </si>
  <si>
    <t xml:space="preserve">Percival Haverford</t>
  </si>
  <si>
    <t xml:space="preserve">P00739</t>
  </si>
  <si>
    <t xml:space="preserve">Camilo Rasmussen</t>
  </si>
  <si>
    <t xml:space="preserve">P00740</t>
  </si>
  <si>
    <t xml:space="preserve">Everett Sorrentino</t>
  </si>
  <si>
    <t xml:space="preserve">P00741</t>
  </si>
  <si>
    <t xml:space="preserve">Quentin Quiroga</t>
  </si>
  <si>
    <t xml:space="preserve">P00742</t>
  </si>
  <si>
    <t xml:space="preserve">Augustin Goddard</t>
  </si>
  <si>
    <t xml:space="preserve">P00743</t>
  </si>
  <si>
    <t xml:space="preserve">Leandro Lindquist</t>
  </si>
  <si>
    <t xml:space="preserve">P00744</t>
  </si>
  <si>
    <t xml:space="preserve">Matthias Prendergast</t>
  </si>
  <si>
    <t xml:space="preserve">P00745</t>
  </si>
  <si>
    <t xml:space="preserve">Joaquín Mbeki</t>
  </si>
  <si>
    <t xml:space="preserve">P00746</t>
  </si>
  <si>
    <t xml:space="preserve">Dashiell Eberhardt</t>
  </si>
  <si>
    <t xml:space="preserve">P00747</t>
  </si>
  <si>
    <t xml:space="preserve">Minjae Marchetti</t>
  </si>
  <si>
    <t xml:space="preserve">P00748</t>
  </si>
  <si>
    <t xml:space="preserve">Cedric Novotný</t>
  </si>
  <si>
    <t xml:space="preserve">team_count</t>
  </si>
  <si>
    <t xml:space="preserve">球隊數</t>
  </si>
  <si>
    <t xml:space="preserve">隊</t>
  </si>
  <si>
    <t xml:space="preserve">batter_count</t>
  </si>
  <si>
    <t xml:space="preserve">pitcher_count</t>
  </si>
  <si>
    <t xml:space="preserve">qual_batters</t>
  </si>
  <si>
    <t xml:space="preserve">合格打者數</t>
  </si>
  <si>
    <t xml:space="preserve">qual_pitchers</t>
  </si>
  <si>
    <t xml:space="preserve">合格投手數</t>
  </si>
  <si>
    <t xml:space="preserve">sample_hr</t>
  </si>
  <si>
    <t xml:space="preserve">樣本打者全壘打合計</t>
  </si>
  <si>
    <t xml:space="preserve">支</t>
  </si>
  <si>
    <t xml:space="preserve">sample_pa</t>
  </si>
  <si>
    <t xml:space="preserve">樣本打席合計</t>
  </si>
  <si>
    <t xml:space="preserve">sample_avg</t>
  </si>
  <si>
    <t xml:space="preserve">樣本綜合打擊率</t>
  </si>
  <si>
    <t xml:space="preserve">sample_slg</t>
  </si>
  <si>
    <t xml:space="preserve">樣本綜合長打率</t>
  </si>
  <si>
    <t xml:space="preserve">sample_k_rate</t>
  </si>
  <si>
    <t xml:space="preserve">樣本綜合三振率</t>
  </si>
  <si>
    <t xml:space="preserve">sample_bb_rate</t>
  </si>
  <si>
    <t xml:space="preserve">樣本綜合保送率</t>
  </si>
  <si>
    <t xml:space="preserve">sample_era</t>
  </si>
  <si>
    <t xml:space="preserve">樣本綜合防禦率</t>
  </si>
  <si>
    <t xml:space="preserve">sample_k9</t>
  </si>
  <si>
    <r>
      <rPr>
        <sz val="10"/>
        <color rgb="FF0000FF"/>
        <rFont val="Noto Sans CJK SC"/>
        <family val="2"/>
      </rPr>
      <t xml:space="preserve">樣本綜合 </t>
    </r>
    <r>
      <rPr>
        <sz val="10"/>
        <color rgb="FF0000FF"/>
        <rFont val="Arial"/>
        <family val="0"/>
        <charset val="1"/>
      </rPr>
      <t xml:space="preserve">K/9</t>
    </r>
  </si>
  <si>
    <t xml:space="preserve">league_wins</t>
  </si>
  <si>
    <t xml:space="preserve">全聯盟勝場合計</t>
  </si>
  <si>
    <t xml:space="preserve">max_team_wins</t>
  </si>
  <si>
    <t xml:space="preserve">單隊最多勝場</t>
  </si>
  <si>
    <t xml:space="preserve">min_team_wins</t>
  </si>
  <si>
    <t xml:space="preserve">單隊最少勝場</t>
  </si>
  <si>
    <t xml:space="preserve">avg_team_runs</t>
  </si>
  <si>
    <t xml:space="preserve">單隊平均得分</t>
  </si>
  <si>
    <t xml:space="preserve">分</t>
  </si>
  <si>
    <t xml:space="preserve">avg_age_bat</t>
  </si>
  <si>
    <t xml:space="preserve">樣本打者平均年齡</t>
  </si>
  <si>
    <t xml:space="preserve">此工作表僅供人工檢視，不含原始資料；自動化流程請略過。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</si>
</sst>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yyyy\-mm\-dd"/>
    <numFmt numFmtId="168" formatCode="#,##0"/>
    <numFmt numFmtId="169" formatCode=".000"/>
    <numFmt numFmtId="170" formatCode="0.0%"/>
    <numFmt numFmtId="171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595959"/>
      <name val="Noto Sans CJK SC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2026 各隊勝場（模擬）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球隊戰績!$C$62:$C$91</c:f>
              <c:strCache>
                <c:ptCount val="30"/>
                <c:pt idx="0">
                  <c:v>巴爾的摩金鶯</c:v>
                </c:pt>
                <c:pt idx="1">
                  <c:v>波士頓紅襪</c:v>
                </c:pt>
                <c:pt idx="2">
                  <c:v>紐約洋基</c:v>
                </c:pt>
                <c:pt idx="3">
                  <c:v>坦帕灣光芒</c:v>
                </c:pt>
                <c:pt idx="4">
                  <c:v>多倫多藍鳥</c:v>
                </c:pt>
                <c:pt idx="5">
                  <c:v>芝加哥白襪</c:v>
                </c:pt>
                <c:pt idx="6">
                  <c:v>克里夫蘭守護者</c:v>
                </c:pt>
                <c:pt idx="7">
                  <c:v>底特律老虎</c:v>
                </c:pt>
                <c:pt idx="8">
                  <c:v>堪薩斯市皇家</c:v>
                </c:pt>
                <c:pt idx="9">
                  <c:v>明尼蘇達雙城</c:v>
                </c:pt>
                <c:pt idx="10">
                  <c:v>運動家</c:v>
                </c:pt>
                <c:pt idx="11">
                  <c:v>休士頓太空人</c:v>
                </c:pt>
                <c:pt idx="12">
                  <c:v>洛杉磯天使</c:v>
                </c:pt>
                <c:pt idx="13">
                  <c:v>西雅圖水手</c:v>
                </c:pt>
                <c:pt idx="14">
                  <c:v>德州遊騎兵</c:v>
                </c:pt>
                <c:pt idx="15">
                  <c:v>亞特蘭大勇士</c:v>
                </c:pt>
                <c:pt idx="16">
                  <c:v>邁阿密馬林魚</c:v>
                </c:pt>
                <c:pt idx="17">
                  <c:v>紐約大都會</c:v>
                </c:pt>
                <c:pt idx="18">
                  <c:v>費城費城人</c:v>
                </c:pt>
                <c:pt idx="19">
                  <c:v>華盛頓國民</c:v>
                </c:pt>
                <c:pt idx="20">
                  <c:v>芝加哥小熊</c:v>
                </c:pt>
                <c:pt idx="21">
                  <c:v>辛辛那提紅人</c:v>
                </c:pt>
                <c:pt idx="22">
                  <c:v>密爾瓦基釀酒人</c:v>
                </c:pt>
                <c:pt idx="23">
                  <c:v>匹茲堡海盜</c:v>
                </c:pt>
                <c:pt idx="24">
                  <c:v>聖路易紅雀</c:v>
                </c:pt>
                <c:pt idx="25">
                  <c:v>亞利桑那響尾蛇</c:v>
                </c:pt>
                <c:pt idx="26">
                  <c:v>科羅拉多落磯</c:v>
                </c:pt>
                <c:pt idx="27">
                  <c:v>洛杉磯道奇</c:v>
                </c:pt>
                <c:pt idx="28">
                  <c:v>聖地牙哥教士</c:v>
                </c:pt>
                <c:pt idx="29">
                  <c:v>舊金山巨人</c:v>
                </c:pt>
              </c:strCache>
            </c:strRef>
          </c:cat>
          <c:val>
            <c:numRef>
              <c:f>球隊戰績!$F$62:$F$91</c:f>
              <c:numCache>
                <c:formatCode>#,##0</c:formatCode>
                <c:ptCount val="30"/>
                <c:pt idx="0">
                  <c:v>74</c:v>
                </c:pt>
                <c:pt idx="1">
                  <c:v>89</c:v>
                </c:pt>
                <c:pt idx="2">
                  <c:v>89</c:v>
                </c:pt>
                <c:pt idx="3">
                  <c:v>70</c:v>
                </c:pt>
                <c:pt idx="4">
                  <c:v>86</c:v>
                </c:pt>
                <c:pt idx="5">
                  <c:v>84</c:v>
                </c:pt>
                <c:pt idx="6">
                  <c:v>97</c:v>
                </c:pt>
                <c:pt idx="7">
                  <c:v>73</c:v>
                </c:pt>
                <c:pt idx="8">
                  <c:v>84</c:v>
                </c:pt>
                <c:pt idx="9">
                  <c:v>98</c:v>
                </c:pt>
                <c:pt idx="10">
                  <c:v>89</c:v>
                </c:pt>
                <c:pt idx="11">
                  <c:v>84</c:v>
                </c:pt>
                <c:pt idx="12">
                  <c:v>90</c:v>
                </c:pt>
                <c:pt idx="13">
                  <c:v>64</c:v>
                </c:pt>
                <c:pt idx="14">
                  <c:v>71</c:v>
                </c:pt>
                <c:pt idx="15">
                  <c:v>77</c:v>
                </c:pt>
                <c:pt idx="16">
                  <c:v>80</c:v>
                </c:pt>
                <c:pt idx="17">
                  <c:v>74</c:v>
                </c:pt>
                <c:pt idx="18">
                  <c:v>83</c:v>
                </c:pt>
                <c:pt idx="19">
                  <c:v>87</c:v>
                </c:pt>
                <c:pt idx="20">
                  <c:v>65</c:v>
                </c:pt>
                <c:pt idx="21">
                  <c:v>88</c:v>
                </c:pt>
                <c:pt idx="22">
                  <c:v>72</c:v>
                </c:pt>
                <c:pt idx="23">
                  <c:v>87</c:v>
                </c:pt>
                <c:pt idx="24">
                  <c:v>87</c:v>
                </c:pt>
                <c:pt idx="25">
                  <c:v>90</c:v>
                </c:pt>
                <c:pt idx="26">
                  <c:v>76</c:v>
                </c:pt>
                <c:pt idx="27">
                  <c:v>78</c:v>
                </c:pt>
                <c:pt idx="28">
                  <c:v>69</c:v>
                </c:pt>
                <c:pt idx="29">
                  <c:v>75</c:v>
                </c:pt>
              </c:numCache>
            </c:numRef>
          </c:val>
        </c:ser>
        <c:gapWidth val="150"/>
        <c:overlap val="0"/>
        <c:axId val="8526338"/>
        <c:axId val="67297778"/>
      </c:barChart>
      <c:catAx>
        <c:axId val="852633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勝場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97778"/>
        <c:crosses val="autoZero"/>
        <c:auto val="1"/>
        <c:lblAlgn val="ctr"/>
        <c:lblOffset val="100"/>
        <c:noMultiLvlLbl val="0"/>
      </c:catAx>
      <c:valAx>
        <c:axId val="67297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6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2026 打者 全壘打 vs OPS（模擬）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打擊成績!$P$602:$P$901</c:f>
              <c:numCache>
                <c:formatCode>#,##0</c:formatCode>
                <c:ptCount val="300"/>
                <c:pt idx="0">
                  <c:v>12</c:v>
                </c:pt>
                <c:pt idx="1">
                  <c:v>10</c:v>
                </c:pt>
                <c:pt idx="2">
                  <c:v>25</c:v>
                </c:pt>
                <c:pt idx="3">
                  <c:v>28</c:v>
                </c:pt>
                <c:pt idx="4">
                  <c:v>15</c:v>
                </c:pt>
                <c:pt idx="5">
                  <c:v>9</c:v>
                </c:pt>
                <c:pt idx="6">
                  <c:v>15</c:v>
                </c:pt>
                <c:pt idx="7">
                  <c:v>5</c:v>
                </c:pt>
                <c:pt idx="8">
                  <c:v>1</c:v>
                </c:pt>
                <c:pt idx="9">
                  <c:v>2</c:v>
                </c:pt>
                <c:pt idx="10">
                  <c:v>13</c:v>
                </c:pt>
                <c:pt idx="11">
                  <c:v>36</c:v>
                </c:pt>
                <c:pt idx="12">
                  <c:v>5</c:v>
                </c:pt>
                <c:pt idx="13">
                  <c:v>17</c:v>
                </c:pt>
                <c:pt idx="14">
                  <c:v>42</c:v>
                </c:pt>
                <c:pt idx="15">
                  <c:v>28</c:v>
                </c:pt>
                <c:pt idx="16">
                  <c:v>8</c:v>
                </c:pt>
                <c:pt idx="17">
                  <c:v>6</c:v>
                </c:pt>
                <c:pt idx="18">
                  <c:v>6</c:v>
                </c:pt>
                <c:pt idx="19">
                  <c:v>8</c:v>
                </c:pt>
                <c:pt idx="20">
                  <c:v>32</c:v>
                </c:pt>
                <c:pt idx="21">
                  <c:v>34</c:v>
                </c:pt>
                <c:pt idx="22">
                  <c:v>17</c:v>
                </c:pt>
                <c:pt idx="23">
                  <c:v>11</c:v>
                </c:pt>
                <c:pt idx="24">
                  <c:v>29</c:v>
                </c:pt>
                <c:pt idx="25">
                  <c:v>10</c:v>
                </c:pt>
                <c:pt idx="26">
                  <c:v>23</c:v>
                </c:pt>
                <c:pt idx="27">
                  <c:v>19</c:v>
                </c:pt>
                <c:pt idx="28">
                  <c:v>9</c:v>
                </c:pt>
                <c:pt idx="29">
                  <c:v>13</c:v>
                </c:pt>
                <c:pt idx="30">
                  <c:v>10</c:v>
                </c:pt>
                <c:pt idx="31">
                  <c:v>21</c:v>
                </c:pt>
                <c:pt idx="32">
                  <c:v>17</c:v>
                </c:pt>
                <c:pt idx="33">
                  <c:v>22</c:v>
                </c:pt>
                <c:pt idx="34">
                  <c:v>12</c:v>
                </c:pt>
                <c:pt idx="35">
                  <c:v>7</c:v>
                </c:pt>
                <c:pt idx="36">
                  <c:v>23</c:v>
                </c:pt>
                <c:pt idx="37">
                  <c:v>8</c:v>
                </c:pt>
                <c:pt idx="38">
                  <c:v>3</c:v>
                </c:pt>
                <c:pt idx="39">
                  <c:v>6</c:v>
                </c:pt>
                <c:pt idx="40">
                  <c:v>18</c:v>
                </c:pt>
                <c:pt idx="41">
                  <c:v>10</c:v>
                </c:pt>
                <c:pt idx="42">
                  <c:v>12</c:v>
                </c:pt>
                <c:pt idx="43">
                  <c:v>17</c:v>
                </c:pt>
                <c:pt idx="44">
                  <c:v>5</c:v>
                </c:pt>
                <c:pt idx="45">
                  <c:v>16</c:v>
                </c:pt>
                <c:pt idx="46">
                  <c:v>22</c:v>
                </c:pt>
                <c:pt idx="47">
                  <c:v>11</c:v>
                </c:pt>
                <c:pt idx="48">
                  <c:v>7</c:v>
                </c:pt>
                <c:pt idx="49">
                  <c:v>11</c:v>
                </c:pt>
                <c:pt idx="50">
                  <c:v>15</c:v>
                </c:pt>
                <c:pt idx="51">
                  <c:v>18</c:v>
                </c:pt>
                <c:pt idx="52">
                  <c:v>10</c:v>
                </c:pt>
                <c:pt idx="53">
                  <c:v>21</c:v>
                </c:pt>
                <c:pt idx="54">
                  <c:v>8</c:v>
                </c:pt>
                <c:pt idx="55">
                  <c:v>9</c:v>
                </c:pt>
                <c:pt idx="56">
                  <c:v>23</c:v>
                </c:pt>
                <c:pt idx="57">
                  <c:v>4</c:v>
                </c:pt>
                <c:pt idx="58">
                  <c:v>8</c:v>
                </c:pt>
                <c:pt idx="59">
                  <c:v>8</c:v>
                </c:pt>
                <c:pt idx="60">
                  <c:v>28</c:v>
                </c:pt>
                <c:pt idx="61">
                  <c:v>9</c:v>
                </c:pt>
                <c:pt idx="62">
                  <c:v>28</c:v>
                </c:pt>
                <c:pt idx="63">
                  <c:v>19</c:v>
                </c:pt>
                <c:pt idx="64">
                  <c:v>36</c:v>
                </c:pt>
                <c:pt idx="65">
                  <c:v>7</c:v>
                </c:pt>
                <c:pt idx="66">
                  <c:v>19</c:v>
                </c:pt>
                <c:pt idx="67">
                  <c:v>18</c:v>
                </c:pt>
                <c:pt idx="68">
                  <c:v>2</c:v>
                </c:pt>
                <c:pt idx="69">
                  <c:v>7</c:v>
                </c:pt>
                <c:pt idx="70">
                  <c:v>35</c:v>
                </c:pt>
                <c:pt idx="71">
                  <c:v>11</c:v>
                </c:pt>
                <c:pt idx="72">
                  <c:v>17</c:v>
                </c:pt>
                <c:pt idx="73">
                  <c:v>19</c:v>
                </c:pt>
                <c:pt idx="74">
                  <c:v>32</c:v>
                </c:pt>
                <c:pt idx="75">
                  <c:v>17</c:v>
                </c:pt>
                <c:pt idx="76">
                  <c:v>6</c:v>
                </c:pt>
                <c:pt idx="77">
                  <c:v>11</c:v>
                </c:pt>
                <c:pt idx="78">
                  <c:v>8</c:v>
                </c:pt>
                <c:pt idx="79">
                  <c:v>7</c:v>
                </c:pt>
                <c:pt idx="80">
                  <c:v>22</c:v>
                </c:pt>
                <c:pt idx="81">
                  <c:v>14</c:v>
                </c:pt>
                <c:pt idx="82">
                  <c:v>15</c:v>
                </c:pt>
                <c:pt idx="83">
                  <c:v>36</c:v>
                </c:pt>
                <c:pt idx="84">
                  <c:v>17</c:v>
                </c:pt>
                <c:pt idx="85">
                  <c:v>12</c:v>
                </c:pt>
                <c:pt idx="86">
                  <c:v>13</c:v>
                </c:pt>
                <c:pt idx="87">
                  <c:v>11</c:v>
                </c:pt>
                <c:pt idx="88">
                  <c:v>4</c:v>
                </c:pt>
                <c:pt idx="89">
                  <c:v>7</c:v>
                </c:pt>
                <c:pt idx="90">
                  <c:v>28</c:v>
                </c:pt>
                <c:pt idx="91">
                  <c:v>6</c:v>
                </c:pt>
                <c:pt idx="92">
                  <c:v>14</c:v>
                </c:pt>
                <c:pt idx="93">
                  <c:v>5</c:v>
                </c:pt>
                <c:pt idx="94">
                  <c:v>20</c:v>
                </c:pt>
                <c:pt idx="95">
                  <c:v>22</c:v>
                </c:pt>
                <c:pt idx="96">
                  <c:v>6</c:v>
                </c:pt>
                <c:pt idx="97">
                  <c:v>33</c:v>
                </c:pt>
                <c:pt idx="98">
                  <c:v>8</c:v>
                </c:pt>
                <c:pt idx="99">
                  <c:v>11</c:v>
                </c:pt>
                <c:pt idx="100">
                  <c:v>41</c:v>
                </c:pt>
                <c:pt idx="101">
                  <c:v>21</c:v>
                </c:pt>
                <c:pt idx="102">
                  <c:v>20</c:v>
                </c:pt>
                <c:pt idx="103">
                  <c:v>11</c:v>
                </c:pt>
                <c:pt idx="104">
                  <c:v>6</c:v>
                </c:pt>
                <c:pt idx="105">
                  <c:v>25</c:v>
                </c:pt>
                <c:pt idx="106">
                  <c:v>22</c:v>
                </c:pt>
                <c:pt idx="107">
                  <c:v>9</c:v>
                </c:pt>
                <c:pt idx="108">
                  <c:v>6</c:v>
                </c:pt>
                <c:pt idx="109">
                  <c:v>10</c:v>
                </c:pt>
                <c:pt idx="110">
                  <c:v>16</c:v>
                </c:pt>
                <c:pt idx="111">
                  <c:v>12</c:v>
                </c:pt>
                <c:pt idx="112">
                  <c:v>32</c:v>
                </c:pt>
                <c:pt idx="113">
                  <c:v>16</c:v>
                </c:pt>
                <c:pt idx="114">
                  <c:v>4</c:v>
                </c:pt>
                <c:pt idx="115">
                  <c:v>6</c:v>
                </c:pt>
                <c:pt idx="116">
                  <c:v>10</c:v>
                </c:pt>
                <c:pt idx="117">
                  <c:v>13</c:v>
                </c:pt>
                <c:pt idx="118">
                  <c:v>2</c:v>
                </c:pt>
                <c:pt idx="119">
                  <c:v>5</c:v>
                </c:pt>
                <c:pt idx="120">
                  <c:v>42</c:v>
                </c:pt>
                <c:pt idx="121">
                  <c:v>12</c:v>
                </c:pt>
                <c:pt idx="122">
                  <c:v>7</c:v>
                </c:pt>
                <c:pt idx="123">
                  <c:v>5</c:v>
                </c:pt>
                <c:pt idx="124">
                  <c:v>12</c:v>
                </c:pt>
                <c:pt idx="125">
                  <c:v>22</c:v>
                </c:pt>
                <c:pt idx="126">
                  <c:v>14</c:v>
                </c:pt>
                <c:pt idx="127">
                  <c:v>8</c:v>
                </c:pt>
                <c:pt idx="128">
                  <c:v>6</c:v>
                </c:pt>
                <c:pt idx="129">
                  <c:v>5</c:v>
                </c:pt>
                <c:pt idx="130">
                  <c:v>24</c:v>
                </c:pt>
                <c:pt idx="131">
                  <c:v>19</c:v>
                </c:pt>
                <c:pt idx="132">
                  <c:v>8</c:v>
                </c:pt>
                <c:pt idx="133">
                  <c:v>10</c:v>
                </c:pt>
                <c:pt idx="134">
                  <c:v>35</c:v>
                </c:pt>
                <c:pt idx="135">
                  <c:v>19</c:v>
                </c:pt>
                <c:pt idx="136">
                  <c:v>12</c:v>
                </c:pt>
                <c:pt idx="137">
                  <c:v>9</c:v>
                </c:pt>
                <c:pt idx="138">
                  <c:v>3</c:v>
                </c:pt>
                <c:pt idx="139">
                  <c:v>5</c:v>
                </c:pt>
                <c:pt idx="140">
                  <c:v>33</c:v>
                </c:pt>
                <c:pt idx="141">
                  <c:v>25</c:v>
                </c:pt>
                <c:pt idx="142">
                  <c:v>14</c:v>
                </c:pt>
                <c:pt idx="143">
                  <c:v>18</c:v>
                </c:pt>
                <c:pt idx="144">
                  <c:v>37</c:v>
                </c:pt>
                <c:pt idx="145">
                  <c:v>3</c:v>
                </c:pt>
                <c:pt idx="146">
                  <c:v>9</c:v>
                </c:pt>
                <c:pt idx="147">
                  <c:v>6</c:v>
                </c:pt>
                <c:pt idx="148">
                  <c:v>4</c:v>
                </c:pt>
                <c:pt idx="149">
                  <c:v>4</c:v>
                </c:pt>
                <c:pt idx="150">
                  <c:v>25</c:v>
                </c:pt>
                <c:pt idx="151">
                  <c:v>31</c:v>
                </c:pt>
                <c:pt idx="152">
                  <c:v>11</c:v>
                </c:pt>
                <c:pt idx="153">
                  <c:v>26</c:v>
                </c:pt>
                <c:pt idx="154">
                  <c:v>19</c:v>
                </c:pt>
                <c:pt idx="155">
                  <c:v>12</c:v>
                </c:pt>
                <c:pt idx="156">
                  <c:v>13</c:v>
                </c:pt>
                <c:pt idx="157">
                  <c:v>12</c:v>
                </c:pt>
                <c:pt idx="158">
                  <c:v>13</c:v>
                </c:pt>
                <c:pt idx="159">
                  <c:v>8</c:v>
                </c:pt>
                <c:pt idx="160">
                  <c:v>14</c:v>
                </c:pt>
                <c:pt idx="161">
                  <c:v>17</c:v>
                </c:pt>
                <c:pt idx="162">
                  <c:v>13</c:v>
                </c:pt>
                <c:pt idx="163">
                  <c:v>5</c:v>
                </c:pt>
                <c:pt idx="164">
                  <c:v>17</c:v>
                </c:pt>
                <c:pt idx="165">
                  <c:v>10</c:v>
                </c:pt>
                <c:pt idx="166">
                  <c:v>9</c:v>
                </c:pt>
                <c:pt idx="167">
                  <c:v>21</c:v>
                </c:pt>
                <c:pt idx="168">
                  <c:v>5</c:v>
                </c:pt>
                <c:pt idx="169">
                  <c:v>9</c:v>
                </c:pt>
                <c:pt idx="170">
                  <c:v>25</c:v>
                </c:pt>
                <c:pt idx="171">
                  <c:v>27</c:v>
                </c:pt>
                <c:pt idx="172">
                  <c:v>17</c:v>
                </c:pt>
                <c:pt idx="173">
                  <c:v>18</c:v>
                </c:pt>
                <c:pt idx="174">
                  <c:v>11</c:v>
                </c:pt>
                <c:pt idx="175">
                  <c:v>15</c:v>
                </c:pt>
                <c:pt idx="176">
                  <c:v>6</c:v>
                </c:pt>
                <c:pt idx="177">
                  <c:v>3</c:v>
                </c:pt>
                <c:pt idx="178">
                  <c:v>5</c:v>
                </c:pt>
                <c:pt idx="179">
                  <c:v>8</c:v>
                </c:pt>
                <c:pt idx="180">
                  <c:v>20</c:v>
                </c:pt>
                <c:pt idx="181">
                  <c:v>17</c:v>
                </c:pt>
                <c:pt idx="182">
                  <c:v>16</c:v>
                </c:pt>
                <c:pt idx="183">
                  <c:v>13</c:v>
                </c:pt>
                <c:pt idx="184">
                  <c:v>8</c:v>
                </c:pt>
                <c:pt idx="185">
                  <c:v>7</c:v>
                </c:pt>
                <c:pt idx="186">
                  <c:v>10</c:v>
                </c:pt>
                <c:pt idx="187">
                  <c:v>25</c:v>
                </c:pt>
                <c:pt idx="188">
                  <c:v>2</c:v>
                </c:pt>
                <c:pt idx="189">
                  <c:v>7</c:v>
                </c:pt>
                <c:pt idx="190">
                  <c:v>24</c:v>
                </c:pt>
                <c:pt idx="191">
                  <c:v>3</c:v>
                </c:pt>
                <c:pt idx="192">
                  <c:v>31</c:v>
                </c:pt>
                <c:pt idx="193">
                  <c:v>10</c:v>
                </c:pt>
                <c:pt idx="194">
                  <c:v>20</c:v>
                </c:pt>
                <c:pt idx="195">
                  <c:v>19</c:v>
                </c:pt>
                <c:pt idx="196">
                  <c:v>8</c:v>
                </c:pt>
                <c:pt idx="197">
                  <c:v>7</c:v>
                </c:pt>
                <c:pt idx="198">
                  <c:v>7</c:v>
                </c:pt>
                <c:pt idx="199">
                  <c:v>4</c:v>
                </c:pt>
                <c:pt idx="200">
                  <c:v>11</c:v>
                </c:pt>
                <c:pt idx="201">
                  <c:v>22</c:v>
                </c:pt>
                <c:pt idx="202">
                  <c:v>26</c:v>
                </c:pt>
                <c:pt idx="203">
                  <c:v>9</c:v>
                </c:pt>
                <c:pt idx="204">
                  <c:v>25</c:v>
                </c:pt>
                <c:pt idx="205">
                  <c:v>7</c:v>
                </c:pt>
                <c:pt idx="206">
                  <c:v>1</c:v>
                </c:pt>
                <c:pt idx="207">
                  <c:v>14</c:v>
                </c:pt>
                <c:pt idx="208">
                  <c:v>15</c:v>
                </c:pt>
                <c:pt idx="209">
                  <c:v>9</c:v>
                </c:pt>
                <c:pt idx="210">
                  <c:v>26</c:v>
                </c:pt>
                <c:pt idx="211">
                  <c:v>12</c:v>
                </c:pt>
                <c:pt idx="212">
                  <c:v>11</c:v>
                </c:pt>
                <c:pt idx="213">
                  <c:v>23</c:v>
                </c:pt>
                <c:pt idx="214">
                  <c:v>20</c:v>
                </c:pt>
                <c:pt idx="215">
                  <c:v>9</c:v>
                </c:pt>
                <c:pt idx="216">
                  <c:v>6</c:v>
                </c:pt>
                <c:pt idx="217">
                  <c:v>14</c:v>
                </c:pt>
                <c:pt idx="218">
                  <c:v>11</c:v>
                </c:pt>
                <c:pt idx="219">
                  <c:v>3</c:v>
                </c:pt>
                <c:pt idx="220">
                  <c:v>15</c:v>
                </c:pt>
                <c:pt idx="221">
                  <c:v>19</c:v>
                </c:pt>
                <c:pt idx="222">
                  <c:v>23</c:v>
                </c:pt>
                <c:pt idx="223">
                  <c:v>39</c:v>
                </c:pt>
                <c:pt idx="224">
                  <c:v>23</c:v>
                </c:pt>
                <c:pt idx="225">
                  <c:v>2</c:v>
                </c:pt>
                <c:pt idx="226">
                  <c:v>4</c:v>
                </c:pt>
                <c:pt idx="227">
                  <c:v>17</c:v>
                </c:pt>
                <c:pt idx="228">
                  <c:v>10</c:v>
                </c:pt>
                <c:pt idx="229">
                  <c:v>14</c:v>
                </c:pt>
                <c:pt idx="230">
                  <c:v>14</c:v>
                </c:pt>
                <c:pt idx="231">
                  <c:v>18</c:v>
                </c:pt>
                <c:pt idx="232">
                  <c:v>38</c:v>
                </c:pt>
                <c:pt idx="233">
                  <c:v>5</c:v>
                </c:pt>
                <c:pt idx="234">
                  <c:v>37</c:v>
                </c:pt>
                <c:pt idx="235">
                  <c:v>30</c:v>
                </c:pt>
                <c:pt idx="236">
                  <c:v>22</c:v>
                </c:pt>
                <c:pt idx="237">
                  <c:v>14</c:v>
                </c:pt>
                <c:pt idx="238">
                  <c:v>5</c:v>
                </c:pt>
                <c:pt idx="239">
                  <c:v>5</c:v>
                </c:pt>
                <c:pt idx="240">
                  <c:v>7</c:v>
                </c:pt>
                <c:pt idx="241">
                  <c:v>30</c:v>
                </c:pt>
                <c:pt idx="242">
                  <c:v>23</c:v>
                </c:pt>
                <c:pt idx="243">
                  <c:v>10</c:v>
                </c:pt>
                <c:pt idx="244">
                  <c:v>41</c:v>
                </c:pt>
                <c:pt idx="245">
                  <c:v>12</c:v>
                </c:pt>
                <c:pt idx="246">
                  <c:v>7</c:v>
                </c:pt>
                <c:pt idx="247">
                  <c:v>21</c:v>
                </c:pt>
                <c:pt idx="248">
                  <c:v>1</c:v>
                </c:pt>
                <c:pt idx="249">
                  <c:v>2</c:v>
                </c:pt>
                <c:pt idx="250">
                  <c:v>11</c:v>
                </c:pt>
                <c:pt idx="251">
                  <c:v>18</c:v>
                </c:pt>
                <c:pt idx="252">
                  <c:v>11</c:v>
                </c:pt>
                <c:pt idx="253">
                  <c:v>6</c:v>
                </c:pt>
                <c:pt idx="254">
                  <c:v>27</c:v>
                </c:pt>
                <c:pt idx="255">
                  <c:v>4</c:v>
                </c:pt>
                <c:pt idx="256">
                  <c:v>10</c:v>
                </c:pt>
                <c:pt idx="257">
                  <c:v>13</c:v>
                </c:pt>
                <c:pt idx="258">
                  <c:v>14</c:v>
                </c:pt>
                <c:pt idx="259">
                  <c:v>8</c:v>
                </c:pt>
                <c:pt idx="260">
                  <c:v>19</c:v>
                </c:pt>
                <c:pt idx="261">
                  <c:v>28</c:v>
                </c:pt>
                <c:pt idx="262">
                  <c:v>37</c:v>
                </c:pt>
                <c:pt idx="263">
                  <c:v>17</c:v>
                </c:pt>
                <c:pt idx="264">
                  <c:v>24</c:v>
                </c:pt>
                <c:pt idx="265">
                  <c:v>14</c:v>
                </c:pt>
                <c:pt idx="266">
                  <c:v>5</c:v>
                </c:pt>
                <c:pt idx="267">
                  <c:v>17</c:v>
                </c:pt>
                <c:pt idx="268">
                  <c:v>11</c:v>
                </c:pt>
                <c:pt idx="269">
                  <c:v>8</c:v>
                </c:pt>
                <c:pt idx="270">
                  <c:v>43</c:v>
                </c:pt>
                <c:pt idx="271">
                  <c:v>14</c:v>
                </c:pt>
                <c:pt idx="272">
                  <c:v>9</c:v>
                </c:pt>
                <c:pt idx="273">
                  <c:v>12</c:v>
                </c:pt>
                <c:pt idx="274">
                  <c:v>19</c:v>
                </c:pt>
                <c:pt idx="275">
                  <c:v>11</c:v>
                </c:pt>
                <c:pt idx="276">
                  <c:v>25</c:v>
                </c:pt>
                <c:pt idx="277">
                  <c:v>11</c:v>
                </c:pt>
                <c:pt idx="278">
                  <c:v>5</c:v>
                </c:pt>
                <c:pt idx="279">
                  <c:v>2</c:v>
                </c:pt>
                <c:pt idx="280">
                  <c:v>9</c:v>
                </c:pt>
                <c:pt idx="281">
                  <c:v>9</c:v>
                </c:pt>
                <c:pt idx="282">
                  <c:v>2</c:v>
                </c:pt>
                <c:pt idx="283">
                  <c:v>28</c:v>
                </c:pt>
                <c:pt idx="284">
                  <c:v>22</c:v>
                </c:pt>
                <c:pt idx="285">
                  <c:v>3</c:v>
                </c:pt>
                <c:pt idx="286">
                  <c:v>14</c:v>
                </c:pt>
                <c:pt idx="287">
                  <c:v>13</c:v>
                </c:pt>
                <c:pt idx="288">
                  <c:v>11</c:v>
                </c:pt>
                <c:pt idx="289">
                  <c:v>2</c:v>
                </c:pt>
                <c:pt idx="290">
                  <c:v>13</c:v>
                </c:pt>
                <c:pt idx="291">
                  <c:v>8</c:v>
                </c:pt>
                <c:pt idx="292">
                  <c:v>11</c:v>
                </c:pt>
                <c:pt idx="293">
                  <c:v>17</c:v>
                </c:pt>
                <c:pt idx="294">
                  <c:v>24</c:v>
                </c:pt>
                <c:pt idx="295">
                  <c:v>5</c:v>
                </c:pt>
                <c:pt idx="296">
                  <c:v>14</c:v>
                </c:pt>
                <c:pt idx="297">
                  <c:v>10</c:v>
                </c:pt>
                <c:pt idx="298">
                  <c:v>10</c:v>
                </c:pt>
                <c:pt idx="299">
                  <c:v>4</c:v>
                </c:pt>
              </c:numCache>
            </c:numRef>
          </c:xVal>
          <c:yVal>
            <c:numRef>
              <c:f>打擊成績!$AB$602:$AB$901</c:f>
              <c:numCache>
                <c:formatCode>.000</c:formatCode>
                <c:ptCount val="300"/>
                <c:pt idx="0">
                  <c:v>0.689696014778191</c:v>
                </c:pt>
                <c:pt idx="1">
                  <c:v>0.66019385629705</c:v>
                </c:pt>
                <c:pt idx="2">
                  <c:v>0.649808240119811</c:v>
                </c:pt>
                <c:pt idx="3">
                  <c:v>0.775973417397972</c:v>
                </c:pt>
                <c:pt idx="4">
                  <c:v>0.714116008753233</c:v>
                </c:pt>
                <c:pt idx="5">
                  <c:v>0.7607844901264</c:v>
                </c:pt>
                <c:pt idx="6">
                  <c:v>0.740461610927932</c:v>
                </c:pt>
                <c:pt idx="7">
                  <c:v>0.686114880144731</c:v>
                </c:pt>
                <c:pt idx="8">
                  <c:v>0.674877823273016</c:v>
                </c:pt>
                <c:pt idx="9">
                  <c:v>0.889018691588785</c:v>
                </c:pt>
                <c:pt idx="10">
                  <c:v>0.852122869803831</c:v>
                </c:pt>
                <c:pt idx="11">
                  <c:v>0.819541778975741</c:v>
                </c:pt>
                <c:pt idx="12">
                  <c:v>0.798120581642623</c:v>
                </c:pt>
                <c:pt idx="13">
                  <c:v>0.726047135742654</c:v>
                </c:pt>
                <c:pt idx="14">
                  <c:v>0.814666952990786</c:v>
                </c:pt>
                <c:pt idx="15">
                  <c:v>0.826615954949523</c:v>
                </c:pt>
                <c:pt idx="16">
                  <c:v>0.80534519752619</c:v>
                </c:pt>
                <c:pt idx="17">
                  <c:v>0.609602676021865</c:v>
                </c:pt>
                <c:pt idx="18">
                  <c:v>0.888894731307183</c:v>
                </c:pt>
                <c:pt idx="19">
                  <c:v>0.67460292265854</c:v>
                </c:pt>
                <c:pt idx="20">
                  <c:v>0.72899498015862</c:v>
                </c:pt>
                <c:pt idx="21">
                  <c:v>0.848124877787726</c:v>
                </c:pt>
                <c:pt idx="22">
                  <c:v>0.787030977312391</c:v>
                </c:pt>
                <c:pt idx="23">
                  <c:v>0.636096811722035</c:v>
                </c:pt>
                <c:pt idx="24">
                  <c:v>0.846693849050487</c:v>
                </c:pt>
                <c:pt idx="25">
                  <c:v>0.708122065727699</c:v>
                </c:pt>
                <c:pt idx="26">
                  <c:v>0.929637166036838</c:v>
                </c:pt>
                <c:pt idx="27">
                  <c:v>0.726984961089007</c:v>
                </c:pt>
                <c:pt idx="28">
                  <c:v>0.786672563762347</c:v>
                </c:pt>
                <c:pt idx="29">
                  <c:v>0.892551480594262</c:v>
                </c:pt>
                <c:pt idx="30">
                  <c:v>0.725603392041748</c:v>
                </c:pt>
                <c:pt idx="31">
                  <c:v>0.673307954713996</c:v>
                </c:pt>
                <c:pt idx="32">
                  <c:v>0.807263910228903</c:v>
                </c:pt>
                <c:pt idx="33">
                  <c:v>0.787335014088685</c:v>
                </c:pt>
                <c:pt idx="34">
                  <c:v>0.713530913530914</c:v>
                </c:pt>
                <c:pt idx="35">
                  <c:v>0.729087852038672</c:v>
                </c:pt>
                <c:pt idx="36">
                  <c:v>0.883357981183726</c:v>
                </c:pt>
                <c:pt idx="37">
                  <c:v>0.593640617515935</c:v>
                </c:pt>
                <c:pt idx="38">
                  <c:v>0.825516029863856</c:v>
                </c:pt>
                <c:pt idx="39">
                  <c:v>0.703783711257212</c:v>
                </c:pt>
                <c:pt idx="40">
                  <c:v>0.71664276469971</c:v>
                </c:pt>
                <c:pt idx="41">
                  <c:v>0.72030089611137</c:v>
                </c:pt>
                <c:pt idx="42">
                  <c:v>0.772058823529412</c:v>
                </c:pt>
                <c:pt idx="43">
                  <c:v>0.664795114263199</c:v>
                </c:pt>
                <c:pt idx="44">
                  <c:v>0.601828560371517</c:v>
                </c:pt>
                <c:pt idx="45">
                  <c:v>0.710612665451375</c:v>
                </c:pt>
                <c:pt idx="46">
                  <c:v>0.763771414169119</c:v>
                </c:pt>
                <c:pt idx="47">
                  <c:v>0.649960941314325</c:v>
                </c:pt>
                <c:pt idx="48">
                  <c:v>0.659493670886076</c:v>
                </c:pt>
                <c:pt idx="49">
                  <c:v>0.652538706739526</c:v>
                </c:pt>
                <c:pt idx="50">
                  <c:v>0.740844549036199</c:v>
                </c:pt>
                <c:pt idx="51">
                  <c:v>0.633953093098695</c:v>
                </c:pt>
                <c:pt idx="52">
                  <c:v>0.595078299776286</c:v>
                </c:pt>
                <c:pt idx="53">
                  <c:v>0.74517622845382</c:v>
                </c:pt>
                <c:pt idx="54">
                  <c:v>0.737052208378373</c:v>
                </c:pt>
                <c:pt idx="55">
                  <c:v>0.682057244090129</c:v>
                </c:pt>
                <c:pt idx="56">
                  <c:v>0.830906467270104</c:v>
                </c:pt>
                <c:pt idx="57">
                  <c:v>0.682785299806576</c:v>
                </c:pt>
                <c:pt idx="58">
                  <c:v>0.833226262366697</c:v>
                </c:pt>
                <c:pt idx="59">
                  <c:v>0.883901561605756</c:v>
                </c:pt>
                <c:pt idx="60">
                  <c:v>0.76705135058646</c:v>
                </c:pt>
                <c:pt idx="61">
                  <c:v>0.643763276704172</c:v>
                </c:pt>
                <c:pt idx="62">
                  <c:v>0.8008032023442</c:v>
                </c:pt>
                <c:pt idx="63">
                  <c:v>0.687740389208725</c:v>
                </c:pt>
                <c:pt idx="64">
                  <c:v>0.741852446627621</c:v>
                </c:pt>
                <c:pt idx="65">
                  <c:v>0.73699577934435</c:v>
                </c:pt>
                <c:pt idx="66">
                  <c:v>0.698305416789108</c:v>
                </c:pt>
                <c:pt idx="67">
                  <c:v>0.811005937903986</c:v>
                </c:pt>
                <c:pt idx="68">
                  <c:v>0.70610350429334</c:v>
                </c:pt>
                <c:pt idx="69">
                  <c:v>0.861212121212121</c:v>
                </c:pt>
                <c:pt idx="70">
                  <c:v>0.780477036041657</c:v>
                </c:pt>
                <c:pt idx="71">
                  <c:v>0.768029761556037</c:v>
                </c:pt>
                <c:pt idx="72">
                  <c:v>0.795258767980935</c:v>
                </c:pt>
                <c:pt idx="73">
                  <c:v>0.606536007016907</c:v>
                </c:pt>
                <c:pt idx="74">
                  <c:v>0.867614142994923</c:v>
                </c:pt>
                <c:pt idx="75">
                  <c:v>0.648284356043602</c:v>
                </c:pt>
                <c:pt idx="76">
                  <c:v>0.588888888888889</c:v>
                </c:pt>
                <c:pt idx="77">
                  <c:v>0.683844041260299</c:v>
                </c:pt>
                <c:pt idx="78">
                  <c:v>0.616277056277056</c:v>
                </c:pt>
                <c:pt idx="79">
                  <c:v>0.799104573073233</c:v>
                </c:pt>
                <c:pt idx="80">
                  <c:v>0.850870015818469</c:v>
                </c:pt>
                <c:pt idx="81">
                  <c:v>0.745312361148138</c:v>
                </c:pt>
                <c:pt idx="82">
                  <c:v>0.821915303815982</c:v>
                </c:pt>
                <c:pt idx="83">
                  <c:v>0.786972738575371</c:v>
                </c:pt>
                <c:pt idx="84">
                  <c:v>0.75838769804287</c:v>
                </c:pt>
                <c:pt idx="85">
                  <c:v>0.812303926228729</c:v>
                </c:pt>
                <c:pt idx="86">
                  <c:v>0.721918297208225</c:v>
                </c:pt>
                <c:pt idx="87">
                  <c:v>0.822043647436982</c:v>
                </c:pt>
                <c:pt idx="88">
                  <c:v>0.830994152046784</c:v>
                </c:pt>
                <c:pt idx="89">
                  <c:v>0.729139504563233</c:v>
                </c:pt>
                <c:pt idx="90">
                  <c:v>0.65862900609759</c:v>
                </c:pt>
                <c:pt idx="91">
                  <c:v>0.684099781816298</c:v>
                </c:pt>
                <c:pt idx="92">
                  <c:v>0.683101201842076</c:v>
                </c:pt>
                <c:pt idx="93">
                  <c:v>0.789859199493751</c:v>
                </c:pt>
                <c:pt idx="94">
                  <c:v>0.665588351604183</c:v>
                </c:pt>
                <c:pt idx="95">
                  <c:v>0.859762883067968</c:v>
                </c:pt>
                <c:pt idx="96">
                  <c:v>0.71304698527929</c:v>
                </c:pt>
                <c:pt idx="97">
                  <c:v>0.830740404269816</c:v>
                </c:pt>
                <c:pt idx="98">
                  <c:v>0.688466599449733</c:v>
                </c:pt>
                <c:pt idx="99">
                  <c:v>0.86229004397817</c:v>
                </c:pt>
                <c:pt idx="100">
                  <c:v>0.837699123449754</c:v>
                </c:pt>
                <c:pt idx="101">
                  <c:v>0.702957544766866</c:v>
                </c:pt>
                <c:pt idx="102">
                  <c:v>0.733431408111993</c:v>
                </c:pt>
                <c:pt idx="103">
                  <c:v>0.65348549101825</c:v>
                </c:pt>
                <c:pt idx="104">
                  <c:v>0.750358387584665</c:v>
                </c:pt>
                <c:pt idx="105">
                  <c:v>0.74932470064049</c:v>
                </c:pt>
                <c:pt idx="106">
                  <c:v>0.774847870182556</c:v>
                </c:pt>
                <c:pt idx="107">
                  <c:v>0.81301711359655</c:v>
                </c:pt>
                <c:pt idx="108">
                  <c:v>0.752352261472433</c:v>
                </c:pt>
                <c:pt idx="109">
                  <c:v>0.830654195867962</c:v>
                </c:pt>
                <c:pt idx="110">
                  <c:v>0.739502689144538</c:v>
                </c:pt>
                <c:pt idx="111">
                  <c:v>0.67947164102938</c:v>
                </c:pt>
                <c:pt idx="112">
                  <c:v>0.8261645515387</c:v>
                </c:pt>
                <c:pt idx="113">
                  <c:v>0.752115002567022</c:v>
                </c:pt>
                <c:pt idx="114">
                  <c:v>0.824915780952132</c:v>
                </c:pt>
                <c:pt idx="115">
                  <c:v>0.720939524636382</c:v>
                </c:pt>
                <c:pt idx="116">
                  <c:v>0.849864109048554</c:v>
                </c:pt>
                <c:pt idx="117">
                  <c:v>0.80789975564694</c:v>
                </c:pt>
                <c:pt idx="118">
                  <c:v>0.817057156679798</c:v>
                </c:pt>
                <c:pt idx="119">
                  <c:v>0.634760244380966</c:v>
                </c:pt>
                <c:pt idx="120">
                  <c:v>0.819754933599327</c:v>
                </c:pt>
                <c:pt idx="121">
                  <c:v>0.76395202020202</c:v>
                </c:pt>
                <c:pt idx="122">
                  <c:v>0.728349570500733</c:v>
                </c:pt>
                <c:pt idx="123">
                  <c:v>0.646321269522675</c:v>
                </c:pt>
                <c:pt idx="124">
                  <c:v>0.773931623931624</c:v>
                </c:pt>
                <c:pt idx="125">
                  <c:v>0.840661293303197</c:v>
                </c:pt>
                <c:pt idx="126">
                  <c:v>0.656420782888372</c:v>
                </c:pt>
                <c:pt idx="127">
                  <c:v>0.75955255023646</c:v>
                </c:pt>
                <c:pt idx="128">
                  <c:v>0.702075098814229</c:v>
                </c:pt>
                <c:pt idx="129">
                  <c:v>0.86634460547504</c:v>
                </c:pt>
                <c:pt idx="130">
                  <c:v>0.851119205383552</c:v>
                </c:pt>
                <c:pt idx="131">
                  <c:v>0.713089150826927</c:v>
                </c:pt>
                <c:pt idx="132">
                  <c:v>0.610739364735498</c:v>
                </c:pt>
                <c:pt idx="133">
                  <c:v>0.756692913385827</c:v>
                </c:pt>
                <c:pt idx="134">
                  <c:v>0.790909567863451</c:v>
                </c:pt>
                <c:pt idx="135">
                  <c:v>0.802416611442456</c:v>
                </c:pt>
                <c:pt idx="136">
                  <c:v>0.83158205949803</c:v>
                </c:pt>
                <c:pt idx="137">
                  <c:v>0.637722611980572</c:v>
                </c:pt>
                <c:pt idx="138">
                  <c:v>0.75497398832453</c:v>
                </c:pt>
                <c:pt idx="139">
                  <c:v>0.742803671687015</c:v>
                </c:pt>
                <c:pt idx="140">
                  <c:v>0.819931286967061</c:v>
                </c:pt>
                <c:pt idx="141">
                  <c:v>0.808049505645105</c:v>
                </c:pt>
                <c:pt idx="142">
                  <c:v>0.747731822529905</c:v>
                </c:pt>
                <c:pt idx="143">
                  <c:v>0.763903258954267</c:v>
                </c:pt>
                <c:pt idx="144">
                  <c:v>0.947893081761006</c:v>
                </c:pt>
                <c:pt idx="145">
                  <c:v>0.770975609756098</c:v>
                </c:pt>
                <c:pt idx="146">
                  <c:v>0.732115458381281</c:v>
                </c:pt>
                <c:pt idx="147">
                  <c:v>0.607830642877372</c:v>
                </c:pt>
                <c:pt idx="148">
                  <c:v>0.636710773503226</c:v>
                </c:pt>
                <c:pt idx="149">
                  <c:v>0.735485621269669</c:v>
                </c:pt>
                <c:pt idx="150">
                  <c:v>0.848579024097419</c:v>
                </c:pt>
                <c:pt idx="151">
                  <c:v>0.830510864236299</c:v>
                </c:pt>
                <c:pt idx="152">
                  <c:v>0.705547929170391</c:v>
                </c:pt>
                <c:pt idx="153">
                  <c:v>0.723536317909843</c:v>
                </c:pt>
                <c:pt idx="154">
                  <c:v>0.69109755327636</c:v>
                </c:pt>
                <c:pt idx="155">
                  <c:v>0.608969420410098</c:v>
                </c:pt>
                <c:pt idx="156">
                  <c:v>0.772347216815882</c:v>
                </c:pt>
                <c:pt idx="157">
                  <c:v>0.635334593607558</c:v>
                </c:pt>
                <c:pt idx="158">
                  <c:v>0.747102752907706</c:v>
                </c:pt>
                <c:pt idx="159">
                  <c:v>0.659031545107494</c:v>
                </c:pt>
                <c:pt idx="160">
                  <c:v>0.723968463098898</c:v>
                </c:pt>
                <c:pt idx="161">
                  <c:v>0.67608884829259</c:v>
                </c:pt>
                <c:pt idx="162">
                  <c:v>0.799223300970874</c:v>
                </c:pt>
                <c:pt idx="163">
                  <c:v>0.636680919213743</c:v>
                </c:pt>
                <c:pt idx="164">
                  <c:v>0.77366769005178</c:v>
                </c:pt>
                <c:pt idx="165">
                  <c:v>0.761972130685576</c:v>
                </c:pt>
                <c:pt idx="166">
                  <c:v>0.708215713469854</c:v>
                </c:pt>
                <c:pt idx="167">
                  <c:v>0.916605123719249</c:v>
                </c:pt>
                <c:pt idx="168">
                  <c:v>0.812934362934363</c:v>
                </c:pt>
                <c:pt idx="169">
                  <c:v>0.685037273695421</c:v>
                </c:pt>
                <c:pt idx="170">
                  <c:v>0.872047436072481</c:v>
                </c:pt>
                <c:pt idx="171">
                  <c:v>0.684755157842406</c:v>
                </c:pt>
                <c:pt idx="172">
                  <c:v>0.652603685622554</c:v>
                </c:pt>
                <c:pt idx="173">
                  <c:v>0.740484043847703</c:v>
                </c:pt>
                <c:pt idx="174">
                  <c:v>0.656667825280964</c:v>
                </c:pt>
                <c:pt idx="175">
                  <c:v>0.793520970359614</c:v>
                </c:pt>
                <c:pt idx="176">
                  <c:v>0.554962780889069</c:v>
                </c:pt>
                <c:pt idx="177">
                  <c:v>0.856966326845845</c:v>
                </c:pt>
                <c:pt idx="178">
                  <c:v>0.808501794440277</c:v>
                </c:pt>
                <c:pt idx="179">
                  <c:v>0.841424910771484</c:v>
                </c:pt>
                <c:pt idx="180">
                  <c:v>0.790608282147811</c:v>
                </c:pt>
                <c:pt idx="181">
                  <c:v>0.68309402501158</c:v>
                </c:pt>
                <c:pt idx="182">
                  <c:v>0.72889676257965</c:v>
                </c:pt>
                <c:pt idx="183">
                  <c:v>0.791698251300416</c:v>
                </c:pt>
                <c:pt idx="184">
                  <c:v>0.525817610062893</c:v>
                </c:pt>
                <c:pt idx="185">
                  <c:v>0.747424767216949</c:v>
                </c:pt>
                <c:pt idx="186">
                  <c:v>0.707254212182929</c:v>
                </c:pt>
                <c:pt idx="187">
                  <c:v>0.811071097288154</c:v>
                </c:pt>
                <c:pt idx="188">
                  <c:v>0.733678458441185</c:v>
                </c:pt>
                <c:pt idx="189">
                  <c:v>0.822100903614458</c:v>
                </c:pt>
                <c:pt idx="190">
                  <c:v>0.758245580934637</c:v>
                </c:pt>
                <c:pt idx="191">
                  <c:v>0.736205441466061</c:v>
                </c:pt>
                <c:pt idx="192">
                  <c:v>0.861426697608718</c:v>
                </c:pt>
                <c:pt idx="193">
                  <c:v>0.629085339611655</c:v>
                </c:pt>
                <c:pt idx="194">
                  <c:v>0.689753349965279</c:v>
                </c:pt>
                <c:pt idx="195">
                  <c:v>0.87202531014345</c:v>
                </c:pt>
                <c:pt idx="196">
                  <c:v>0.717332014741445</c:v>
                </c:pt>
                <c:pt idx="197">
                  <c:v>0.640297876622723</c:v>
                </c:pt>
                <c:pt idx="198">
                  <c:v>0.751935644886067</c:v>
                </c:pt>
                <c:pt idx="199">
                  <c:v>0.80189701897019</c:v>
                </c:pt>
                <c:pt idx="200">
                  <c:v>0.628902355073023</c:v>
                </c:pt>
                <c:pt idx="201">
                  <c:v>0.88047138047138</c:v>
                </c:pt>
                <c:pt idx="202">
                  <c:v>0.675833051090327</c:v>
                </c:pt>
                <c:pt idx="203">
                  <c:v>0.645515218355258</c:v>
                </c:pt>
                <c:pt idx="204">
                  <c:v>0.850866671761153</c:v>
                </c:pt>
                <c:pt idx="205">
                  <c:v>0.763474224052467</c:v>
                </c:pt>
                <c:pt idx="206">
                  <c:v>0.608883248730964</c:v>
                </c:pt>
                <c:pt idx="207">
                  <c:v>0.739155432196669</c:v>
                </c:pt>
                <c:pt idx="208">
                  <c:v>0.856283372984404</c:v>
                </c:pt>
                <c:pt idx="209">
                  <c:v>0.808984992101106</c:v>
                </c:pt>
                <c:pt idx="210">
                  <c:v>0.78836451844344</c:v>
                </c:pt>
                <c:pt idx="211">
                  <c:v>0.736832878846903</c:v>
                </c:pt>
                <c:pt idx="212">
                  <c:v>0.727275858110435</c:v>
                </c:pt>
                <c:pt idx="213">
                  <c:v>0.702028008869282</c:v>
                </c:pt>
                <c:pt idx="214">
                  <c:v>0.772161422708618</c:v>
                </c:pt>
                <c:pt idx="215">
                  <c:v>0.836795739925054</c:v>
                </c:pt>
                <c:pt idx="216">
                  <c:v>0.693489870879059</c:v>
                </c:pt>
                <c:pt idx="217">
                  <c:v>0.775912826160624</c:v>
                </c:pt>
                <c:pt idx="218">
                  <c:v>0.830612244897959</c:v>
                </c:pt>
                <c:pt idx="219">
                  <c:v>0.704853094300331</c:v>
                </c:pt>
                <c:pt idx="220">
                  <c:v>0.787427626137304</c:v>
                </c:pt>
                <c:pt idx="221">
                  <c:v>0.743928462044415</c:v>
                </c:pt>
                <c:pt idx="222">
                  <c:v>0.674012214882214</c:v>
                </c:pt>
                <c:pt idx="223">
                  <c:v>0.968452864964493</c:v>
                </c:pt>
                <c:pt idx="224">
                  <c:v>0.594474010184888</c:v>
                </c:pt>
                <c:pt idx="225">
                  <c:v>0.872924187725632</c:v>
                </c:pt>
                <c:pt idx="226">
                  <c:v>0.873227752639517</c:v>
                </c:pt>
                <c:pt idx="227">
                  <c:v>0.809727527374586</c:v>
                </c:pt>
                <c:pt idx="228">
                  <c:v>0.724729827777141</c:v>
                </c:pt>
                <c:pt idx="229">
                  <c:v>0.808108590149161</c:v>
                </c:pt>
                <c:pt idx="230">
                  <c:v>0.62495418728239</c:v>
                </c:pt>
                <c:pt idx="231">
                  <c:v>0.683433219178082</c:v>
                </c:pt>
                <c:pt idx="232">
                  <c:v>0.834851395905975</c:v>
                </c:pt>
                <c:pt idx="233">
                  <c:v>0.694537203527699</c:v>
                </c:pt>
                <c:pt idx="234">
                  <c:v>0.833170632499492</c:v>
                </c:pt>
                <c:pt idx="235">
                  <c:v>0.891205201995559</c:v>
                </c:pt>
                <c:pt idx="236">
                  <c:v>0.804155892025134</c:v>
                </c:pt>
                <c:pt idx="237">
                  <c:v>0.866855558234869</c:v>
                </c:pt>
                <c:pt idx="238">
                  <c:v>0.70126421140424</c:v>
                </c:pt>
                <c:pt idx="239">
                  <c:v>0.760266948550873</c:v>
                </c:pt>
                <c:pt idx="240">
                  <c:v>0.656649448770334</c:v>
                </c:pt>
                <c:pt idx="241">
                  <c:v>0.667028640375945</c:v>
                </c:pt>
                <c:pt idx="242">
                  <c:v>0.827281283259399</c:v>
                </c:pt>
                <c:pt idx="243">
                  <c:v>0.651275696628856</c:v>
                </c:pt>
                <c:pt idx="244">
                  <c:v>0.838771462725494</c:v>
                </c:pt>
                <c:pt idx="245">
                  <c:v>0.778824946051957</c:v>
                </c:pt>
                <c:pt idx="246">
                  <c:v>0.717217771513225</c:v>
                </c:pt>
                <c:pt idx="247">
                  <c:v>1.01345040778742</c:v>
                </c:pt>
                <c:pt idx="248">
                  <c:v>0.518270142180095</c:v>
                </c:pt>
                <c:pt idx="249">
                  <c:v>0.774287732517071</c:v>
                </c:pt>
                <c:pt idx="250">
                  <c:v>0.668182599556535</c:v>
                </c:pt>
                <c:pt idx="251">
                  <c:v>0.803212851405623</c:v>
                </c:pt>
                <c:pt idx="252">
                  <c:v>0.648058540287958</c:v>
                </c:pt>
                <c:pt idx="253">
                  <c:v>0.725718627326833</c:v>
                </c:pt>
                <c:pt idx="254">
                  <c:v>0.830395545863449</c:v>
                </c:pt>
                <c:pt idx="255">
                  <c:v>0.757363253856943</c:v>
                </c:pt>
                <c:pt idx="256">
                  <c:v>0.772791479820628</c:v>
                </c:pt>
                <c:pt idx="257">
                  <c:v>0.861740698115341</c:v>
                </c:pt>
                <c:pt idx="258">
                  <c:v>0.894538768709242</c:v>
                </c:pt>
                <c:pt idx="259">
                  <c:v>0.642284896791335</c:v>
                </c:pt>
                <c:pt idx="260">
                  <c:v>0.673937784522003</c:v>
                </c:pt>
                <c:pt idx="261">
                  <c:v>0.766600050364068</c:v>
                </c:pt>
                <c:pt idx="262">
                  <c:v>0.8196066184902</c:v>
                </c:pt>
                <c:pt idx="263">
                  <c:v>0.742895712483004</c:v>
                </c:pt>
                <c:pt idx="264">
                  <c:v>0.750470334511082</c:v>
                </c:pt>
                <c:pt idx="265">
                  <c:v>0.786892917308606</c:v>
                </c:pt>
                <c:pt idx="266">
                  <c:v>0.698662298662299</c:v>
                </c:pt>
                <c:pt idx="267">
                  <c:v>0.768547077922078</c:v>
                </c:pt>
                <c:pt idx="268">
                  <c:v>0.808584474885845</c:v>
                </c:pt>
                <c:pt idx="269">
                  <c:v>0.765447171294955</c:v>
                </c:pt>
                <c:pt idx="270">
                  <c:v>0.924034308948958</c:v>
                </c:pt>
                <c:pt idx="271">
                  <c:v>0.884819599481584</c:v>
                </c:pt>
                <c:pt idx="272">
                  <c:v>0.664269716227548</c:v>
                </c:pt>
                <c:pt idx="273">
                  <c:v>0.803392857142857</c:v>
                </c:pt>
                <c:pt idx="274">
                  <c:v>0.670624339445182</c:v>
                </c:pt>
                <c:pt idx="275">
                  <c:v>0.708290155440415</c:v>
                </c:pt>
                <c:pt idx="276">
                  <c:v>0.876068673712803</c:v>
                </c:pt>
                <c:pt idx="277">
                  <c:v>0.812917521272477</c:v>
                </c:pt>
                <c:pt idx="278">
                  <c:v>0.663570691434469</c:v>
                </c:pt>
                <c:pt idx="279">
                  <c:v>0.704924242424242</c:v>
                </c:pt>
                <c:pt idx="280">
                  <c:v>0.637075098814229</c:v>
                </c:pt>
                <c:pt idx="281">
                  <c:v>0.611662727516386</c:v>
                </c:pt>
                <c:pt idx="282">
                  <c:v>0.621895215051109</c:v>
                </c:pt>
                <c:pt idx="283">
                  <c:v>0.774356770385651</c:v>
                </c:pt>
                <c:pt idx="284">
                  <c:v>0.68641218692209</c:v>
                </c:pt>
                <c:pt idx="285">
                  <c:v>0.757162192646064</c:v>
                </c:pt>
                <c:pt idx="286">
                  <c:v>0.772012257405516</c:v>
                </c:pt>
                <c:pt idx="287">
                  <c:v>0.70264962256397</c:v>
                </c:pt>
                <c:pt idx="288">
                  <c:v>0.837600717913469</c:v>
                </c:pt>
                <c:pt idx="289">
                  <c:v>0.787423935091278</c:v>
                </c:pt>
                <c:pt idx="290">
                  <c:v>0.642352251739135</c:v>
                </c:pt>
                <c:pt idx="291">
                  <c:v>0.687645051194539</c:v>
                </c:pt>
                <c:pt idx="292">
                  <c:v>0.674692315647947</c:v>
                </c:pt>
                <c:pt idx="293">
                  <c:v>0.687817856576772</c:v>
                </c:pt>
                <c:pt idx="294">
                  <c:v>0.719204457833486</c:v>
                </c:pt>
                <c:pt idx="295">
                  <c:v>0.649421091655735</c:v>
                </c:pt>
                <c:pt idx="296">
                  <c:v>0.599305517232597</c:v>
                </c:pt>
                <c:pt idx="297">
                  <c:v>0.63234441437959</c:v>
                </c:pt>
                <c:pt idx="298">
                  <c:v>0.787985935136622</c:v>
                </c:pt>
                <c:pt idx="299">
                  <c:v>0.808146493257799</c:v>
                </c:pt>
              </c:numCache>
            </c:numRef>
          </c:yVal>
          <c:smooth val="1"/>
        </c:ser>
        <c:axId val="39521185"/>
        <c:axId val="4280565"/>
      </c:scatterChart>
      <c:valAx>
        <c:axId val="395211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全壘打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0565"/>
        <c:crosses val="autoZero"/>
        <c:crossBetween val="midCat"/>
      </c:valAx>
      <c:valAx>
        <c:axId val="4280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2118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樣本打者全壘打合計 三季趨勢（模擬）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年度關鍵指標!$A$17:$A$19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年度關鍵指標!$D$17:$D$19</c:f>
              <c:numCache>
                <c:formatCode>#,##0</c:formatCode>
                <c:ptCount val="3"/>
                <c:pt idx="0">
                  <c:v>4523</c:v>
                </c:pt>
                <c:pt idx="1">
                  <c:v>4417</c:v>
                </c:pt>
                <c:pt idx="2">
                  <c:v>4374</c:v>
                </c:pt>
              </c:numCache>
            </c:numRef>
          </c:val>
        </c:ser>
        <c:gapWidth val="150"/>
        <c:overlap val="0"/>
        <c:axId val="79353258"/>
        <c:axId val="2441068"/>
      </c:barChart>
      <c:catAx>
        <c:axId val="7935325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1068"/>
        <c:crosses val="autoZero"/>
        <c:auto val="1"/>
        <c:lblAlgn val="ctr"/>
        <c:lblOffset val="100"/>
        <c:noMultiLvlLbl val="0"/>
      </c:catAx>
      <c:valAx>
        <c:axId val="2441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支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532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11</xdr:col>
      <xdr:colOff>113040</xdr:colOff>
      <xdr:row>36</xdr:row>
      <xdr:rowOff>2520</xdr:rowOff>
    </xdr:to>
    <xdr:graphicFrame>
      <xdr:nvGraphicFramePr>
        <xdr:cNvPr id="0" name="Chart 1"/>
        <xdr:cNvGraphicFramePr/>
      </xdr:nvGraphicFramePr>
      <xdr:xfrm>
        <a:off x="0" y="380880"/>
        <a:ext cx="683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</xdr:row>
      <xdr:rowOff>0</xdr:rowOff>
    </xdr:from>
    <xdr:to>
      <xdr:col>23</xdr:col>
      <xdr:colOff>113400</xdr:colOff>
      <xdr:row>24</xdr:row>
      <xdr:rowOff>128520</xdr:rowOff>
    </xdr:to>
    <xdr:graphicFrame>
      <xdr:nvGraphicFramePr>
        <xdr:cNvPr id="1" name="Chart 2"/>
        <xdr:cNvGraphicFramePr/>
      </xdr:nvGraphicFramePr>
      <xdr:xfrm>
        <a:off x="7338240" y="380880"/>
        <a:ext cx="68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27</xdr:row>
      <xdr:rowOff>0</xdr:rowOff>
    </xdr:from>
    <xdr:to>
      <xdr:col>23</xdr:col>
      <xdr:colOff>113400</xdr:colOff>
      <xdr:row>47</xdr:row>
      <xdr:rowOff>149760</xdr:rowOff>
    </xdr:to>
    <xdr:graphicFrame>
      <xdr:nvGraphicFramePr>
        <xdr:cNvPr id="2" name="Chart 3"/>
        <xdr:cNvGraphicFramePr/>
      </xdr:nvGraphicFramePr>
      <xdr:xfrm>
        <a:off x="7338240" y="514368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agg_team_season" displayName="tbl_agg_team_season" ref="A1:X91" headerRowCount="1" totalsRowCount="0" totalsRowShown="0">
  <autoFilter ref="A1:X91"/>
  <tableColumns count="24">
    <tableColumn id="1" name="球季"/>
    <tableColumn id="2" name="球隊代號"/>
    <tableColumn id="3" name="球隊中文名"/>
    <tableColumn id="4" name="聯盟"/>
    <tableColumn id="5" name="分區"/>
    <tableColumn id="6" name="勝場"/>
    <tableColumn id="7" name="勝率"/>
    <tableColumn id="8" name="樣本打者數"/>
    <tableColumn id="9" name="打席合計"/>
    <tableColumn id="10" name="打數合計"/>
    <tableColumn id="11" name="安打合計"/>
    <tableColumn id="12" name="壘打數合計"/>
    <tableColumn id="13" name="全壘打合計"/>
    <tableColumn id="14" name="打點合計"/>
    <tableColumn id="15" name="盜壘成功合計"/>
    <tableColumn id="16" name="團隊打擊率"/>
    <tableColumn id="17" name="團隊長打率"/>
    <tableColumn id="18" name="樣本投手數"/>
    <tableColumn id="19" name="投球出局數合計"/>
    <tableColumn id="20" name="投球局數合計"/>
    <tableColumn id="21" name="三振合計"/>
    <tableColumn id="22" name="自責分合計"/>
    <tableColumn id="23" name="團隊防禦率"/>
    <tableColumn id="24" name="團隊每九局三振"/>
  </tableColumns>
</table>
</file>

<file path=xl/tables/table2.xml><?xml version="1.0" encoding="utf-8"?>
<table xmlns="http://schemas.openxmlformats.org/spreadsheetml/2006/main" id="2" name="tbl_data_dict" displayName="tbl_data_dict" ref="A1:G134" headerRowCount="1" totalsRowCount="0" totalsRowShown="0">
  <autoFilter ref="A1:G134"/>
  <tableColumns count="7">
    <tableColumn id="1" name="工作表"/>
    <tableColumn id="2" name="欄位位置"/>
    <tableColumn id="3" name="欄位代碼"/>
    <tableColumn id="4" name="中文欄名"/>
    <tableColumn id="5" name="資料型別"/>
    <tableColumn id="6" name="單位"/>
    <tableColumn id="7" name="資料來源"/>
  </tableColumns>
</table>
</file>

<file path=xl/tables/table3.xml><?xml version="1.0" encoding="utf-8"?>
<table xmlns="http://schemas.openxmlformats.org/spreadsheetml/2006/main" id="3" name="tbl_dim_player" displayName="tbl_dim_player" ref="A1:M749" headerRowCount="1" totalsRowCount="0" totalsRowShown="0">
  <autoFilter ref="A1:M749"/>
  <tableColumns count="13">
    <tableColumn id="1" name="球員代號"/>
    <tableColumn id="2" name="球員姓名"/>
    <tableColumn id="3" name="球員類別"/>
    <tableColumn id="4" name="主要守備位置"/>
    <tableColumn id="5" name="打擊慣用手"/>
    <tableColumn id="6" name="投球慣用手"/>
    <tableColumn id="7" name="出生日期"/>
    <tableColumn id="8" name="身高"/>
    <tableColumn id="9" name="體重"/>
    <tableColumn id="10" name="大聯盟初登板年"/>
    <tableColumn id="11" name="最新所屬球隊代號"/>
    <tableColumn id="12" name="最新所屬球隊"/>
    <tableColumn id="13" name="出賽球季數"/>
  </tableColumns>
</table>
</file>

<file path=xl/tables/table4.xml><?xml version="1.0" encoding="utf-8"?>
<table xmlns="http://schemas.openxmlformats.org/spreadsheetml/2006/main" id="4" name="tbl_dim_team" displayName="tbl_dim_team" ref="A1:F31" headerRowCount="1" totalsRowCount="0" totalsRowShown="0">
  <autoFilter ref="A1:F31"/>
  <tableColumns count="6">
    <tableColumn id="1" name="球隊代號"/>
    <tableColumn id="2" name="球隊英文名"/>
    <tableColumn id="3" name="球隊中文名"/>
    <tableColumn id="4" name="聯盟"/>
    <tableColumn id="5" name="分區"/>
    <tableColumn id="6" name="所在地"/>
  </tableColumns>
</table>
</file>

<file path=xl/tables/table5.xml><?xml version="1.0" encoding="utf-8"?>
<table xmlns="http://schemas.openxmlformats.org/spreadsheetml/2006/main" id="5" name="tbl_fact_batting" displayName="tbl_fact_batting" ref="A1:AG901" headerRowCount="1" totalsRowCount="0" totalsRowShown="0">
  <autoFilter ref="A1:AG901"/>
  <tableColumns count="33">
    <tableColumn id="1" name="球季"/>
    <tableColumn id="2" name="球員代號"/>
    <tableColumn id="3" name="球員姓名"/>
    <tableColumn id="4" name="球隊代號"/>
    <tableColumn id="5" name="球隊中文名"/>
    <tableColumn id="6" name="聯盟"/>
    <tableColumn id="7" name="該季守備位置"/>
    <tableColumn id="8" name="球季年齡"/>
    <tableColumn id="9" name="出賽數"/>
    <tableColumn id="10" name="打席"/>
    <tableColumn id="11" name="打數"/>
    <tableColumn id="12" name="得分"/>
    <tableColumn id="13" name="安打"/>
    <tableColumn id="14" name="二壘打"/>
    <tableColumn id="15" name="三壘打"/>
    <tableColumn id="16" name="全壘打"/>
    <tableColumn id="17" name="打點"/>
    <tableColumn id="18" name="保送"/>
    <tableColumn id="19" name="三振"/>
    <tableColumn id="20" name="觸身球"/>
    <tableColumn id="21" name="高飛犧牲打"/>
    <tableColumn id="22" name="盜壘成功"/>
    <tableColumn id="23" name="盜壘失敗"/>
    <tableColumn id="24" name="壘打數"/>
    <tableColumn id="25" name="打擊率"/>
    <tableColumn id="26" name="上壘率"/>
    <tableColumn id="27" name="長打率"/>
    <tableColumn id="28" name="整體攻擊指數"/>
    <tableColumn id="29" name="純長打率"/>
    <tableColumn id="30" name="場內安打率"/>
    <tableColumn id="31" name="保送率"/>
    <tableColumn id="32" name="三振率"/>
    <tableColumn id="33" name="是否合格打者"/>
  </tableColumns>
</table>
</file>

<file path=xl/tables/table6.xml><?xml version="1.0" encoding="utf-8"?>
<table xmlns="http://schemas.openxmlformats.org/spreadsheetml/2006/main" id="6" name="tbl_fact_pitching" displayName="tbl_fact_pitching" ref="A1:AE901" headerRowCount="1" totalsRowCount="0" totalsRowShown="0">
  <autoFilter ref="A1:AE901"/>
  <tableColumns count="31">
    <tableColumn id="1" name="球季"/>
    <tableColumn id="2" name="球員代號"/>
    <tableColumn id="3" name="球員姓名"/>
    <tableColumn id="4" name="球隊代號"/>
    <tableColumn id="5" name="球隊中文名"/>
    <tableColumn id="6" name="聯盟"/>
    <tableColumn id="7" name="投手角色"/>
    <tableColumn id="8" name="球季年齡"/>
    <tableColumn id="9" name="勝投"/>
    <tableColumn id="10" name="敗投"/>
    <tableColumn id="11" name="救援成功"/>
    <tableColumn id="12" name="中繼成功"/>
    <tableColumn id="13" name="出賽數"/>
    <tableColumn id="14" name="先發場次"/>
    <tableColumn id="15" name="投球出局數"/>
    <tableColumn id="16" name="投球局數"/>
    <tableColumn id="17" name="局數顯示"/>
    <tableColumn id="18" name="被安打"/>
    <tableColumn id="19" name="失分"/>
    <tableColumn id="20" name="自責分"/>
    <tableColumn id="21" name="被全壘打"/>
    <tableColumn id="22" name="保送"/>
    <tableColumn id="23" name="三振"/>
    <tableColumn id="24" name="觸身球"/>
    <tableColumn id="25" name="防禦率"/>
    <tableColumn id="26" name="每局被上壘率"/>
    <tableColumn id="27" name="每九局三振"/>
    <tableColumn id="28" name="每九局保送"/>
    <tableColumn id="29" name="三振保送比"/>
    <tableColumn id="30" name="獨立投球防禦率"/>
    <tableColumn id="31" name="是否合格投手"/>
  </tableColumns>
</table>
</file>

<file path=xl/tables/table7.xml><?xml version="1.0" encoding="utf-8"?>
<table xmlns="http://schemas.openxmlformats.org/spreadsheetml/2006/main" id="7" name="tbl_kpi" displayName="tbl_kpi" ref="A1:E55" headerRowCount="1" totalsRowCount="0" totalsRowShown="0">
  <autoFilter ref="A1:E55"/>
  <tableColumns count="5">
    <tableColumn id="1" name="球季"/>
    <tableColumn id="2" name="指標代碼"/>
    <tableColumn id="3" name="指標名稱"/>
    <tableColumn id="4" name="數值"/>
    <tableColumn id="5" name="單位"/>
  </tableColumns>
</table>
</file>

<file path=xl/tables/table8.xml><?xml version="1.0" encoding="utf-8"?>
<table xmlns="http://schemas.openxmlformats.org/spreadsheetml/2006/main" id="8" name="tbl_readme" displayName="tbl_readme" ref="A1:B35" headerRowCount="1" totalsRowCount="0" totalsRowShown="0">
  <autoFilter ref="A1:B35"/>
  <tableColumns count="2">
    <tableColumn id="1" name="類別"/>
    <tableColumn id="2" name="說明"/>
  </tableColumns>
</table>
</file>

<file path=xl/tables/table9.xml><?xml version="1.0" encoding="utf-8"?>
<table xmlns="http://schemas.openxmlformats.org/spreadsheetml/2006/main" id="9" name="tbl_season_params" displayName="tbl_season_params" ref="A1:F4" headerRowCount="1" totalsRowCount="0" totalsRowShown="0">
  <autoFilter ref="A1:F4"/>
  <tableColumns count="6">
    <tableColumn id="1" name="球季"/>
    <tableColumn id="2" name="例行賽場次"/>
    <tableColumn id="3" name="FIP 常數"/>
    <tableColumn id="4" name="畢氏勝率指數"/>
    <tableColumn id="5" name="打者合格打席門檻"/>
    <tableColumn id="6" name="投手合格局數門檻"/>
  </tableColumns>
</table>
</file>

<file path=xl/tables/table10.xml><?xml version="1.0" encoding="utf-8"?>
<table xmlns="http://schemas.openxmlformats.org/spreadsheetml/2006/main" id="10" name="tbl_standings" displayName="tbl_standings" ref="A1:O91" headerRowCount="1" totalsRowCount="0" totalsRowShown="0">
  <autoFilter ref="A1:O91"/>
  <tableColumns count="15">
    <tableColumn id="1" name="球季"/>
    <tableColumn id="2" name="球隊代號"/>
    <tableColumn id="3" name="球隊中文名"/>
    <tableColumn id="4" name="聯盟"/>
    <tableColumn id="5" name="分區"/>
    <tableColumn id="6" name="勝場"/>
    <tableColumn id="7" name="敗場"/>
    <tableColumn id="8" name="勝率"/>
    <tableColumn id="9" name="分區勝差"/>
    <tableColumn id="10" name="得分"/>
    <tableColumn id="11" name="失分"/>
    <tableColumn id="12" name="得失分差"/>
    <tableColumn id="13" name="畢氏勝率"/>
    <tableColumn id="14" name="畢氏預期勝場"/>
    <tableColumn id="15" name="實際減預期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8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2</v>
      </c>
      <c r="B3" s="2" t="s">
        <v>4</v>
      </c>
    </row>
    <row r="4" customFormat="false" ht="15" hidden="false" customHeight="false" outlineLevel="0" collapsed="false">
      <c r="A4" s="2" t="s">
        <v>2</v>
      </c>
      <c r="B4" s="2" t="s">
        <v>5</v>
      </c>
    </row>
    <row r="5" customFormat="false" ht="15" hidden="false" customHeight="false" outlineLevel="0" collapsed="false">
      <c r="A5" s="2" t="s">
        <v>6</v>
      </c>
      <c r="B5" s="2" t="s">
        <v>7</v>
      </c>
    </row>
    <row r="6" customFormat="false" ht="15" hidden="false" customHeight="false" outlineLevel="0" collapsed="false">
      <c r="A6" s="2" t="s">
        <v>6</v>
      </c>
      <c r="B6" s="2" t="s">
        <v>8</v>
      </c>
    </row>
    <row r="7" customFormat="false" ht="15" hidden="false" customHeight="false" outlineLevel="0" collapsed="false">
      <c r="A7" s="2" t="s">
        <v>9</v>
      </c>
      <c r="B7" s="2" t="s">
        <v>10</v>
      </c>
    </row>
    <row r="8" customFormat="false" ht="15" hidden="false" customHeight="false" outlineLevel="0" collapsed="false">
      <c r="A8" s="2" t="s">
        <v>9</v>
      </c>
      <c r="B8" s="2" t="s">
        <v>11</v>
      </c>
    </row>
    <row r="9" customFormat="false" ht="15" hidden="false" customHeight="false" outlineLevel="0" collapsed="false">
      <c r="A9" s="2" t="s">
        <v>9</v>
      </c>
      <c r="B9" s="2" t="s">
        <v>12</v>
      </c>
    </row>
    <row r="10" customFormat="false" ht="15" hidden="false" customHeight="false" outlineLevel="0" collapsed="false">
      <c r="A10" s="2" t="s">
        <v>9</v>
      </c>
      <c r="B10" s="2" t="s">
        <v>13</v>
      </c>
    </row>
    <row r="11" customFormat="false" ht="15" hidden="false" customHeight="false" outlineLevel="0" collapsed="false">
      <c r="A11" s="2" t="s">
        <v>14</v>
      </c>
      <c r="B11" s="2" t="s">
        <v>15</v>
      </c>
    </row>
    <row r="12" customFormat="false" ht="15" hidden="false" customHeight="false" outlineLevel="0" collapsed="false">
      <c r="A12" s="2" t="s">
        <v>14</v>
      </c>
      <c r="B12" s="2" t="s">
        <v>16</v>
      </c>
    </row>
    <row r="13" customFormat="false" ht="15" hidden="false" customHeight="false" outlineLevel="0" collapsed="false">
      <c r="A13" s="2" t="s">
        <v>14</v>
      </c>
      <c r="B13" s="2" t="s">
        <v>17</v>
      </c>
    </row>
    <row r="14" customFormat="false" ht="15" hidden="false" customHeight="false" outlineLevel="0" collapsed="false">
      <c r="A14" s="2" t="s">
        <v>14</v>
      </c>
      <c r="B14" s="2" t="s">
        <v>18</v>
      </c>
    </row>
    <row r="15" customFormat="false" ht="15" hidden="false" customHeight="false" outlineLevel="0" collapsed="false">
      <c r="A15" s="2" t="s">
        <v>14</v>
      </c>
      <c r="B15" s="2" t="s">
        <v>19</v>
      </c>
    </row>
    <row r="16" customFormat="false" ht="15" hidden="false" customHeight="false" outlineLevel="0" collapsed="false">
      <c r="A16" s="2" t="s">
        <v>14</v>
      </c>
      <c r="B16" s="2" t="s">
        <v>20</v>
      </c>
    </row>
    <row r="17" customFormat="false" ht="15" hidden="false" customHeight="false" outlineLevel="0" collapsed="false">
      <c r="A17" s="2" t="s">
        <v>14</v>
      </c>
      <c r="B17" s="2" t="s">
        <v>21</v>
      </c>
    </row>
    <row r="18" customFormat="false" ht="15" hidden="false" customHeight="false" outlineLevel="0" collapsed="false">
      <c r="A18" s="2" t="s">
        <v>22</v>
      </c>
      <c r="B18" s="2" t="s">
        <v>23</v>
      </c>
    </row>
    <row r="19" customFormat="false" ht="15" hidden="false" customHeight="false" outlineLevel="0" collapsed="false">
      <c r="A19" s="2" t="s">
        <v>22</v>
      </c>
      <c r="B19" s="2" t="s">
        <v>24</v>
      </c>
    </row>
    <row r="20" customFormat="false" ht="15" hidden="false" customHeight="false" outlineLevel="0" collapsed="false">
      <c r="A20" s="2" t="s">
        <v>22</v>
      </c>
      <c r="B20" s="2" t="s">
        <v>25</v>
      </c>
    </row>
    <row r="21" customFormat="false" ht="15" hidden="false" customHeight="false" outlineLevel="0" collapsed="false">
      <c r="A21" s="2" t="s">
        <v>22</v>
      </c>
      <c r="B21" s="2" t="s">
        <v>26</v>
      </c>
    </row>
    <row r="22" customFormat="false" ht="15" hidden="false" customHeight="false" outlineLevel="0" collapsed="false">
      <c r="A22" s="2" t="s">
        <v>27</v>
      </c>
      <c r="B22" s="2" t="s">
        <v>28</v>
      </c>
    </row>
    <row r="23" customFormat="false" ht="15" hidden="false" customHeight="false" outlineLevel="0" collapsed="false">
      <c r="A23" s="2" t="s">
        <v>27</v>
      </c>
      <c r="B23" s="2" t="s">
        <v>29</v>
      </c>
    </row>
    <row r="24" customFormat="false" ht="15" hidden="false" customHeight="false" outlineLevel="0" collapsed="false">
      <c r="A24" s="2" t="s">
        <v>27</v>
      </c>
      <c r="B24" s="2" t="s">
        <v>30</v>
      </c>
    </row>
    <row r="25" customFormat="false" ht="15" hidden="false" customHeight="false" outlineLevel="0" collapsed="false">
      <c r="A25" s="2" t="s">
        <v>27</v>
      </c>
      <c r="B25" s="2" t="s">
        <v>31</v>
      </c>
    </row>
    <row r="26" customFormat="false" ht="15" hidden="false" customHeight="false" outlineLevel="0" collapsed="false">
      <c r="A26" s="2" t="s">
        <v>32</v>
      </c>
      <c r="B26" s="2" t="s">
        <v>33</v>
      </c>
    </row>
    <row r="27" customFormat="false" ht="15" hidden="false" customHeight="false" outlineLevel="0" collapsed="false">
      <c r="A27" s="2" t="s">
        <v>32</v>
      </c>
      <c r="B27" s="2" t="s">
        <v>34</v>
      </c>
    </row>
    <row r="28" customFormat="false" ht="15" hidden="false" customHeight="false" outlineLevel="0" collapsed="false">
      <c r="A28" s="2" t="s">
        <v>35</v>
      </c>
      <c r="B28" s="3" t="s">
        <v>36</v>
      </c>
    </row>
    <row r="29" customFormat="false" ht="15" hidden="false" customHeight="false" outlineLevel="0" collapsed="false">
      <c r="A29" s="2" t="s">
        <v>35</v>
      </c>
      <c r="B29" s="3" t="s">
        <v>37</v>
      </c>
    </row>
    <row r="30" customFormat="false" ht="15" hidden="false" customHeight="false" outlineLevel="0" collapsed="false">
      <c r="A30" s="2" t="s">
        <v>35</v>
      </c>
      <c r="B30" s="3" t="s">
        <v>38</v>
      </c>
    </row>
    <row r="31" customFormat="false" ht="15" hidden="false" customHeight="false" outlineLevel="0" collapsed="false">
      <c r="A31" s="2" t="s">
        <v>35</v>
      </c>
      <c r="B31" s="2" t="s">
        <v>39</v>
      </c>
    </row>
    <row r="32" customFormat="false" ht="15" hidden="false" customHeight="false" outlineLevel="0" collapsed="false">
      <c r="A32" s="2" t="s">
        <v>35</v>
      </c>
      <c r="B32" s="2" t="s">
        <v>40</v>
      </c>
    </row>
    <row r="33" customFormat="false" ht="15" hidden="false" customHeight="false" outlineLevel="0" collapsed="false">
      <c r="A33" s="2" t="s">
        <v>35</v>
      </c>
      <c r="B33" s="2" t="s">
        <v>41</v>
      </c>
    </row>
    <row r="34" customFormat="false" ht="15" hidden="false" customHeight="false" outlineLevel="0" collapsed="false">
      <c r="A34" s="2" t="s">
        <v>42</v>
      </c>
      <c r="B34" s="2" t="s">
        <v>43</v>
      </c>
    </row>
    <row r="35" customFormat="false" ht="15" hidden="false" customHeight="false" outlineLevel="0" collapsed="false">
      <c r="A35" s="2" t="s">
        <v>44</v>
      </c>
      <c r="B35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27</v>
      </c>
      <c r="F1" s="1" t="s">
        <v>50</v>
      </c>
      <c r="G1" s="1" t="s">
        <v>51</v>
      </c>
    </row>
    <row r="2" customFormat="false" ht="15" hidden="false" customHeight="false" outlineLevel="0" collapsed="false">
      <c r="A2" s="2" t="s">
        <v>52</v>
      </c>
      <c r="B2" s="3" t="s">
        <v>53</v>
      </c>
      <c r="C2" s="3" t="s">
        <v>54</v>
      </c>
      <c r="D2" s="2" t="s">
        <v>55</v>
      </c>
      <c r="E2" s="2" t="s">
        <v>56</v>
      </c>
      <c r="F2" s="2" t="s">
        <v>57</v>
      </c>
      <c r="G2" s="2" t="s">
        <v>58</v>
      </c>
    </row>
    <row r="3" customFormat="false" ht="15" hidden="false" customHeight="false" outlineLevel="0" collapsed="false">
      <c r="A3" s="2" t="s">
        <v>52</v>
      </c>
      <c r="B3" s="3" t="s">
        <v>59</v>
      </c>
      <c r="C3" s="3" t="s">
        <v>60</v>
      </c>
      <c r="D3" s="2" t="s">
        <v>61</v>
      </c>
      <c r="E3" s="2" t="s">
        <v>56</v>
      </c>
      <c r="F3" s="2" t="s">
        <v>62</v>
      </c>
      <c r="G3" s="2" t="s">
        <v>58</v>
      </c>
    </row>
    <row r="4" customFormat="false" ht="15" hidden="false" customHeight="false" outlineLevel="0" collapsed="false">
      <c r="A4" s="2" t="s">
        <v>52</v>
      </c>
      <c r="B4" s="3" t="s">
        <v>63</v>
      </c>
      <c r="C4" s="3" t="s">
        <v>64</v>
      </c>
      <c r="D4" s="3" t="s">
        <v>65</v>
      </c>
      <c r="E4" s="2" t="s">
        <v>66</v>
      </c>
      <c r="F4" s="2"/>
      <c r="G4" s="2" t="s">
        <v>58</v>
      </c>
    </row>
    <row r="5" customFormat="false" ht="15" hidden="false" customHeight="false" outlineLevel="0" collapsed="false">
      <c r="A5" s="2" t="s">
        <v>52</v>
      </c>
      <c r="B5" s="3" t="s">
        <v>67</v>
      </c>
      <c r="C5" s="3" t="s">
        <v>68</v>
      </c>
      <c r="D5" s="2" t="s">
        <v>69</v>
      </c>
      <c r="E5" s="2" t="s">
        <v>66</v>
      </c>
      <c r="F5" s="2"/>
      <c r="G5" s="2" t="s">
        <v>58</v>
      </c>
    </row>
    <row r="6" customFormat="false" ht="15" hidden="false" customHeight="false" outlineLevel="0" collapsed="false">
      <c r="A6" s="2" t="s">
        <v>52</v>
      </c>
      <c r="B6" s="3" t="s">
        <v>70</v>
      </c>
      <c r="C6" s="3" t="s">
        <v>71</v>
      </c>
      <c r="D6" s="2" t="s">
        <v>72</v>
      </c>
      <c r="E6" s="2" t="s">
        <v>56</v>
      </c>
      <c r="F6" s="2" t="s">
        <v>73</v>
      </c>
      <c r="G6" s="2" t="s">
        <v>58</v>
      </c>
    </row>
    <row r="7" customFormat="false" ht="15" hidden="false" customHeight="false" outlineLevel="0" collapsed="false">
      <c r="A7" s="2" t="s">
        <v>52</v>
      </c>
      <c r="B7" s="3" t="s">
        <v>74</v>
      </c>
      <c r="C7" s="3" t="s">
        <v>75</v>
      </c>
      <c r="D7" s="2" t="s">
        <v>76</v>
      </c>
      <c r="E7" s="2" t="s">
        <v>56</v>
      </c>
      <c r="F7" s="2" t="s">
        <v>77</v>
      </c>
      <c r="G7" s="2" t="s">
        <v>58</v>
      </c>
    </row>
    <row r="8" customFormat="false" ht="15" hidden="false" customHeight="false" outlineLevel="0" collapsed="false">
      <c r="A8" s="2" t="s">
        <v>78</v>
      </c>
      <c r="B8" s="3" t="s">
        <v>53</v>
      </c>
      <c r="C8" s="3" t="s">
        <v>79</v>
      </c>
      <c r="D8" s="2" t="s">
        <v>80</v>
      </c>
      <c r="E8" s="2" t="s">
        <v>81</v>
      </c>
      <c r="F8" s="2"/>
      <c r="G8" s="2" t="s">
        <v>58</v>
      </c>
    </row>
    <row r="9" customFormat="false" ht="15" hidden="false" customHeight="false" outlineLevel="0" collapsed="false">
      <c r="A9" s="2" t="s">
        <v>78</v>
      </c>
      <c r="B9" s="3" t="s">
        <v>59</v>
      </c>
      <c r="C9" s="3" t="s">
        <v>82</v>
      </c>
      <c r="D9" s="2" t="s">
        <v>83</v>
      </c>
      <c r="E9" s="2" t="s">
        <v>81</v>
      </c>
      <c r="F9" s="2"/>
      <c r="G9" s="2" t="s">
        <v>58</v>
      </c>
    </row>
    <row r="10" customFormat="false" ht="15" hidden="false" customHeight="false" outlineLevel="0" collapsed="false">
      <c r="A10" s="2" t="s">
        <v>78</v>
      </c>
      <c r="B10" s="3" t="s">
        <v>63</v>
      </c>
      <c r="C10" s="3" t="s">
        <v>84</v>
      </c>
      <c r="D10" s="2" t="s">
        <v>85</v>
      </c>
      <c r="E10" s="2" t="s">
        <v>81</v>
      </c>
      <c r="F10" s="2"/>
      <c r="G10" s="2" t="s">
        <v>58</v>
      </c>
    </row>
    <row r="11" customFormat="false" ht="15" hidden="false" customHeight="false" outlineLevel="0" collapsed="false">
      <c r="A11" s="2" t="s">
        <v>78</v>
      </c>
      <c r="B11" s="3" t="s">
        <v>67</v>
      </c>
      <c r="C11" s="3" t="s">
        <v>86</v>
      </c>
      <c r="D11" s="2" t="s">
        <v>87</v>
      </c>
      <c r="E11" s="2" t="s">
        <v>81</v>
      </c>
      <c r="F11" s="2"/>
      <c r="G11" s="2" t="s">
        <v>58</v>
      </c>
    </row>
    <row r="12" customFormat="false" ht="15" hidden="false" customHeight="false" outlineLevel="0" collapsed="false">
      <c r="A12" s="2" t="s">
        <v>78</v>
      </c>
      <c r="B12" s="3" t="s">
        <v>70</v>
      </c>
      <c r="C12" s="3" t="s">
        <v>88</v>
      </c>
      <c r="D12" s="2" t="s">
        <v>89</v>
      </c>
      <c r="E12" s="2" t="s">
        <v>81</v>
      </c>
      <c r="F12" s="2"/>
      <c r="G12" s="2" t="s">
        <v>58</v>
      </c>
    </row>
    <row r="13" customFormat="false" ht="15" hidden="false" customHeight="false" outlineLevel="0" collapsed="false">
      <c r="A13" s="2" t="s">
        <v>78</v>
      </c>
      <c r="B13" s="3" t="s">
        <v>74</v>
      </c>
      <c r="C13" s="3" t="s">
        <v>90</v>
      </c>
      <c r="D13" s="2" t="s">
        <v>91</v>
      </c>
      <c r="E13" s="2" t="s">
        <v>81</v>
      </c>
      <c r="F13" s="2"/>
      <c r="G13" s="2" t="s">
        <v>58</v>
      </c>
    </row>
    <row r="14" customFormat="false" ht="15" hidden="false" customHeight="false" outlineLevel="0" collapsed="false">
      <c r="A14" s="2" t="s">
        <v>92</v>
      </c>
      <c r="B14" s="3" t="s">
        <v>53</v>
      </c>
      <c r="C14" s="3" t="s">
        <v>93</v>
      </c>
      <c r="D14" s="2" t="s">
        <v>94</v>
      </c>
      <c r="E14" s="2" t="s">
        <v>81</v>
      </c>
      <c r="F14" s="2"/>
      <c r="G14" s="2" t="s">
        <v>58</v>
      </c>
    </row>
    <row r="15" customFormat="false" ht="15" hidden="false" customHeight="false" outlineLevel="0" collapsed="false">
      <c r="A15" s="2" t="s">
        <v>92</v>
      </c>
      <c r="B15" s="3" t="s">
        <v>59</v>
      </c>
      <c r="C15" s="3" t="s">
        <v>95</v>
      </c>
      <c r="D15" s="2" t="s">
        <v>96</v>
      </c>
      <c r="E15" s="2" t="s">
        <v>81</v>
      </c>
      <c r="F15" s="2"/>
      <c r="G15" s="2" t="s">
        <v>58</v>
      </c>
    </row>
    <row r="16" customFormat="false" ht="15" hidden="false" customHeight="false" outlineLevel="0" collapsed="false">
      <c r="A16" s="2" t="s">
        <v>92</v>
      </c>
      <c r="B16" s="3" t="s">
        <v>63</v>
      </c>
      <c r="C16" s="3" t="s">
        <v>97</v>
      </c>
      <c r="D16" s="2" t="s">
        <v>98</v>
      </c>
      <c r="E16" s="2" t="s">
        <v>81</v>
      </c>
      <c r="F16" s="2" t="s">
        <v>99</v>
      </c>
      <c r="G16" s="2" t="s">
        <v>58</v>
      </c>
    </row>
    <row r="17" customFormat="false" ht="15" hidden="false" customHeight="false" outlineLevel="0" collapsed="false">
      <c r="A17" s="2" t="s">
        <v>92</v>
      </c>
      <c r="B17" s="3" t="s">
        <v>67</v>
      </c>
      <c r="C17" s="3" t="s">
        <v>100</v>
      </c>
      <c r="D17" s="2" t="s">
        <v>101</v>
      </c>
      <c r="E17" s="2" t="s">
        <v>81</v>
      </c>
      <c r="F17" s="2"/>
      <c r="G17" s="2" t="s">
        <v>58</v>
      </c>
    </row>
    <row r="18" customFormat="false" ht="15" hidden="false" customHeight="false" outlineLevel="0" collapsed="false">
      <c r="A18" s="2" t="s">
        <v>92</v>
      </c>
      <c r="B18" s="3" t="s">
        <v>70</v>
      </c>
      <c r="C18" s="3" t="s">
        <v>102</v>
      </c>
      <c r="D18" s="2" t="s">
        <v>103</v>
      </c>
      <c r="E18" s="2" t="s">
        <v>81</v>
      </c>
      <c r="F18" s="3" t="s">
        <v>104</v>
      </c>
      <c r="G18" s="2" t="s">
        <v>58</v>
      </c>
    </row>
    <row r="19" customFormat="false" ht="15" hidden="false" customHeight="false" outlineLevel="0" collapsed="false">
      <c r="A19" s="2" t="s">
        <v>92</v>
      </c>
      <c r="B19" s="3" t="s">
        <v>74</v>
      </c>
      <c r="C19" s="3" t="s">
        <v>105</v>
      </c>
      <c r="D19" s="2" t="s">
        <v>106</v>
      </c>
      <c r="E19" s="2" t="s">
        <v>81</v>
      </c>
      <c r="F19" s="3" t="s">
        <v>107</v>
      </c>
      <c r="G19" s="2" t="s">
        <v>58</v>
      </c>
    </row>
    <row r="20" customFormat="false" ht="15" hidden="false" customHeight="false" outlineLevel="0" collapsed="false">
      <c r="A20" s="2" t="s">
        <v>92</v>
      </c>
      <c r="B20" s="3" t="s">
        <v>108</v>
      </c>
      <c r="C20" s="3" t="s">
        <v>109</v>
      </c>
      <c r="D20" s="2" t="s">
        <v>110</v>
      </c>
      <c r="E20" s="2" t="s">
        <v>111</v>
      </c>
      <c r="F20" s="2"/>
      <c r="G20" s="2" t="s">
        <v>58</v>
      </c>
    </row>
    <row r="21" customFormat="false" ht="15" hidden="false" customHeight="false" outlineLevel="0" collapsed="false">
      <c r="A21" s="2" t="s">
        <v>92</v>
      </c>
      <c r="B21" s="3" t="s">
        <v>112</v>
      </c>
      <c r="C21" s="3" t="s">
        <v>113</v>
      </c>
      <c r="D21" s="2" t="s">
        <v>114</v>
      </c>
      <c r="E21" s="2" t="s">
        <v>56</v>
      </c>
      <c r="F21" s="2" t="s">
        <v>115</v>
      </c>
      <c r="G21" s="2" t="s">
        <v>58</v>
      </c>
    </row>
    <row r="22" customFormat="false" ht="15" hidden="false" customHeight="false" outlineLevel="0" collapsed="false">
      <c r="A22" s="2" t="s">
        <v>92</v>
      </c>
      <c r="B22" s="3" t="s">
        <v>116</v>
      </c>
      <c r="C22" s="3" t="s">
        <v>117</v>
      </c>
      <c r="D22" s="2" t="s">
        <v>118</v>
      </c>
      <c r="E22" s="2" t="s">
        <v>56</v>
      </c>
      <c r="F22" s="2" t="s">
        <v>119</v>
      </c>
      <c r="G22" s="2" t="s">
        <v>58</v>
      </c>
    </row>
    <row r="23" customFormat="false" ht="15" hidden="false" customHeight="false" outlineLevel="0" collapsed="false">
      <c r="A23" s="2" t="s">
        <v>92</v>
      </c>
      <c r="B23" s="3" t="s">
        <v>120</v>
      </c>
      <c r="C23" s="3" t="s">
        <v>121</v>
      </c>
      <c r="D23" s="2" t="s">
        <v>122</v>
      </c>
      <c r="E23" s="2" t="s">
        <v>56</v>
      </c>
      <c r="F23" s="2" t="s">
        <v>57</v>
      </c>
      <c r="G23" s="2" t="s">
        <v>58</v>
      </c>
    </row>
    <row r="24" customFormat="false" ht="15" hidden="false" customHeight="false" outlineLevel="0" collapsed="false">
      <c r="A24" s="2" t="s">
        <v>92</v>
      </c>
      <c r="B24" s="3" t="s">
        <v>123</v>
      </c>
      <c r="C24" s="3" t="s">
        <v>124</v>
      </c>
      <c r="D24" s="2" t="s">
        <v>125</v>
      </c>
      <c r="E24" s="2" t="s">
        <v>81</v>
      </c>
      <c r="F24" s="2"/>
      <c r="G24" s="2" t="s">
        <v>58</v>
      </c>
    </row>
    <row r="25" customFormat="false" ht="15" hidden="false" customHeight="false" outlineLevel="0" collapsed="false">
      <c r="A25" s="2" t="s">
        <v>92</v>
      </c>
      <c r="B25" s="3" t="s">
        <v>126</v>
      </c>
      <c r="C25" s="3" t="s">
        <v>127</v>
      </c>
      <c r="D25" s="2" t="s">
        <v>128</v>
      </c>
      <c r="E25" s="2" t="s">
        <v>81</v>
      </c>
      <c r="F25" s="2"/>
      <c r="G25" s="2" t="s">
        <v>129</v>
      </c>
    </row>
    <row r="26" customFormat="false" ht="15" hidden="false" customHeight="false" outlineLevel="0" collapsed="false">
      <c r="A26" s="2" t="s">
        <v>92</v>
      </c>
      <c r="B26" s="3" t="s">
        <v>130</v>
      </c>
      <c r="C26" s="3" t="s">
        <v>131</v>
      </c>
      <c r="D26" s="2" t="s">
        <v>132</v>
      </c>
      <c r="E26" s="2" t="s">
        <v>56</v>
      </c>
      <c r="F26" s="2" t="s">
        <v>133</v>
      </c>
      <c r="G26" s="2" t="s">
        <v>134</v>
      </c>
    </row>
    <row r="27" customFormat="false" ht="15" hidden="false" customHeight="false" outlineLevel="0" collapsed="false">
      <c r="A27" s="2" t="s">
        <v>135</v>
      </c>
      <c r="B27" s="3" t="s">
        <v>53</v>
      </c>
      <c r="C27" s="3" t="s">
        <v>54</v>
      </c>
      <c r="D27" s="2" t="s">
        <v>55</v>
      </c>
      <c r="E27" s="2" t="s">
        <v>56</v>
      </c>
      <c r="F27" s="2" t="s">
        <v>57</v>
      </c>
      <c r="G27" s="2" t="s">
        <v>58</v>
      </c>
    </row>
    <row r="28" customFormat="false" ht="15" hidden="false" customHeight="false" outlineLevel="0" collapsed="false">
      <c r="A28" s="2" t="s">
        <v>135</v>
      </c>
      <c r="B28" s="3" t="s">
        <v>59</v>
      </c>
      <c r="C28" s="3" t="s">
        <v>93</v>
      </c>
      <c r="D28" s="2" t="s">
        <v>94</v>
      </c>
      <c r="E28" s="2" t="s">
        <v>81</v>
      </c>
      <c r="F28" s="2"/>
      <c r="G28" s="2" t="s">
        <v>58</v>
      </c>
    </row>
    <row r="29" customFormat="false" ht="15" hidden="false" customHeight="false" outlineLevel="0" collapsed="false">
      <c r="A29" s="2" t="s">
        <v>135</v>
      </c>
      <c r="B29" s="3" t="s">
        <v>63</v>
      </c>
      <c r="C29" s="3" t="s">
        <v>95</v>
      </c>
      <c r="D29" s="2" t="s">
        <v>96</v>
      </c>
      <c r="E29" s="2" t="s">
        <v>81</v>
      </c>
      <c r="F29" s="2"/>
      <c r="G29" s="2" t="s">
        <v>136</v>
      </c>
    </row>
    <row r="30" customFormat="false" ht="15" hidden="false" customHeight="false" outlineLevel="0" collapsed="false">
      <c r="A30" s="2" t="s">
        <v>135</v>
      </c>
      <c r="B30" s="3" t="s">
        <v>67</v>
      </c>
      <c r="C30" s="3" t="s">
        <v>79</v>
      </c>
      <c r="D30" s="2" t="s">
        <v>80</v>
      </c>
      <c r="E30" s="2" t="s">
        <v>81</v>
      </c>
      <c r="F30" s="2"/>
      <c r="G30" s="2" t="s">
        <v>58</v>
      </c>
    </row>
    <row r="31" customFormat="false" ht="15" hidden="false" customHeight="false" outlineLevel="0" collapsed="false">
      <c r="A31" s="2" t="s">
        <v>135</v>
      </c>
      <c r="B31" s="3" t="s">
        <v>70</v>
      </c>
      <c r="C31" s="3" t="s">
        <v>137</v>
      </c>
      <c r="D31" s="2" t="s">
        <v>85</v>
      </c>
      <c r="E31" s="2" t="s">
        <v>81</v>
      </c>
      <c r="F31" s="2"/>
      <c r="G31" s="2" t="s">
        <v>129</v>
      </c>
    </row>
    <row r="32" customFormat="false" ht="15" hidden="false" customHeight="false" outlineLevel="0" collapsed="false">
      <c r="A32" s="2" t="s">
        <v>135</v>
      </c>
      <c r="B32" s="3" t="s">
        <v>74</v>
      </c>
      <c r="C32" s="3" t="s">
        <v>86</v>
      </c>
      <c r="D32" s="2" t="s">
        <v>87</v>
      </c>
      <c r="E32" s="2" t="s">
        <v>81</v>
      </c>
      <c r="F32" s="2"/>
      <c r="G32" s="2" t="s">
        <v>129</v>
      </c>
    </row>
    <row r="33" customFormat="false" ht="15" hidden="false" customHeight="false" outlineLevel="0" collapsed="false">
      <c r="A33" s="2" t="s">
        <v>135</v>
      </c>
      <c r="B33" s="3" t="s">
        <v>108</v>
      </c>
      <c r="C33" s="3" t="s">
        <v>138</v>
      </c>
      <c r="D33" s="2" t="s">
        <v>139</v>
      </c>
      <c r="E33" s="2" t="s">
        <v>81</v>
      </c>
      <c r="F33" s="2"/>
      <c r="G33" s="2" t="s">
        <v>58</v>
      </c>
    </row>
    <row r="34" customFormat="false" ht="15" hidden="false" customHeight="false" outlineLevel="0" collapsed="false">
      <c r="A34" s="2" t="s">
        <v>135</v>
      </c>
      <c r="B34" s="3" t="s">
        <v>112</v>
      </c>
      <c r="C34" s="3" t="s">
        <v>140</v>
      </c>
      <c r="D34" s="2" t="s">
        <v>141</v>
      </c>
      <c r="E34" s="2" t="s">
        <v>56</v>
      </c>
      <c r="F34" s="2" t="s">
        <v>142</v>
      </c>
      <c r="G34" s="2" t="s">
        <v>134</v>
      </c>
    </row>
    <row r="35" customFormat="false" ht="15" hidden="false" customHeight="false" outlineLevel="0" collapsed="false">
      <c r="A35" s="2" t="s">
        <v>135</v>
      </c>
      <c r="B35" s="3" t="s">
        <v>116</v>
      </c>
      <c r="C35" s="3" t="s">
        <v>143</v>
      </c>
      <c r="D35" s="2" t="s">
        <v>144</v>
      </c>
      <c r="E35" s="2" t="s">
        <v>56</v>
      </c>
      <c r="F35" s="3" t="s">
        <v>108</v>
      </c>
      <c r="G35" s="2" t="s">
        <v>58</v>
      </c>
    </row>
    <row r="36" customFormat="false" ht="15" hidden="false" customHeight="false" outlineLevel="0" collapsed="false">
      <c r="A36" s="2" t="s">
        <v>135</v>
      </c>
      <c r="B36" s="3" t="s">
        <v>120</v>
      </c>
      <c r="C36" s="3" t="s">
        <v>145</v>
      </c>
      <c r="D36" s="2" t="s">
        <v>73</v>
      </c>
      <c r="E36" s="2" t="s">
        <v>56</v>
      </c>
      <c r="F36" s="3" t="s">
        <v>146</v>
      </c>
      <c r="G36" s="2" t="s">
        <v>58</v>
      </c>
    </row>
    <row r="37" customFormat="false" ht="15" hidden="false" customHeight="false" outlineLevel="0" collapsed="false">
      <c r="A37" s="2" t="s">
        <v>135</v>
      </c>
      <c r="B37" s="3" t="s">
        <v>123</v>
      </c>
      <c r="C37" s="3" t="s">
        <v>147</v>
      </c>
      <c r="D37" s="2" t="s">
        <v>148</v>
      </c>
      <c r="E37" s="2" t="s">
        <v>56</v>
      </c>
      <c r="F37" s="3" t="s">
        <v>149</v>
      </c>
      <c r="G37" s="2" t="s">
        <v>58</v>
      </c>
    </row>
    <row r="38" customFormat="false" ht="15" hidden="false" customHeight="false" outlineLevel="0" collapsed="false">
      <c r="A38" s="2" t="s">
        <v>135</v>
      </c>
      <c r="B38" s="3" t="s">
        <v>126</v>
      </c>
      <c r="C38" s="3" t="s">
        <v>150</v>
      </c>
      <c r="D38" s="2" t="s">
        <v>151</v>
      </c>
      <c r="E38" s="2" t="s">
        <v>56</v>
      </c>
      <c r="F38" s="3" t="s">
        <v>152</v>
      </c>
      <c r="G38" s="2" t="s">
        <v>58</v>
      </c>
    </row>
    <row r="39" customFormat="false" ht="15" hidden="false" customHeight="false" outlineLevel="0" collapsed="false">
      <c r="A39" s="2" t="s">
        <v>135</v>
      </c>
      <c r="B39" s="3" t="s">
        <v>130</v>
      </c>
      <c r="C39" s="3" t="s">
        <v>153</v>
      </c>
      <c r="D39" s="2" t="s">
        <v>154</v>
      </c>
      <c r="E39" s="2" t="s">
        <v>56</v>
      </c>
      <c r="F39" s="3" t="s">
        <v>112</v>
      </c>
      <c r="G39" s="2" t="s">
        <v>58</v>
      </c>
    </row>
    <row r="40" customFormat="false" ht="15" hidden="false" customHeight="false" outlineLevel="0" collapsed="false">
      <c r="A40" s="2" t="s">
        <v>135</v>
      </c>
      <c r="B40" s="3" t="s">
        <v>155</v>
      </c>
      <c r="C40" s="3" t="s">
        <v>156</v>
      </c>
      <c r="D40" s="2" t="s">
        <v>157</v>
      </c>
      <c r="E40" s="2" t="s">
        <v>56</v>
      </c>
      <c r="F40" s="3" t="s">
        <v>158</v>
      </c>
      <c r="G40" s="2" t="s">
        <v>58</v>
      </c>
    </row>
    <row r="41" customFormat="false" ht="15" hidden="false" customHeight="false" outlineLevel="0" collapsed="false">
      <c r="A41" s="2" t="s">
        <v>135</v>
      </c>
      <c r="B41" s="3" t="s">
        <v>159</v>
      </c>
      <c r="C41" s="3" t="s">
        <v>160</v>
      </c>
      <c r="D41" s="2" t="s">
        <v>161</v>
      </c>
      <c r="E41" s="2" t="s">
        <v>56</v>
      </c>
      <c r="F41" s="3" t="s">
        <v>162</v>
      </c>
      <c r="G41" s="2" t="s">
        <v>58</v>
      </c>
    </row>
    <row r="42" customFormat="false" ht="15" hidden="false" customHeight="false" outlineLevel="0" collapsed="false">
      <c r="A42" s="2" t="s">
        <v>135</v>
      </c>
      <c r="B42" s="3" t="s">
        <v>163</v>
      </c>
      <c r="C42" s="3" t="s">
        <v>164</v>
      </c>
      <c r="D42" s="2" t="s">
        <v>165</v>
      </c>
      <c r="E42" s="2" t="s">
        <v>56</v>
      </c>
      <c r="F42" s="3" t="s">
        <v>166</v>
      </c>
      <c r="G42" s="2" t="s">
        <v>58</v>
      </c>
    </row>
    <row r="43" customFormat="false" ht="15" hidden="false" customHeight="false" outlineLevel="0" collapsed="false">
      <c r="A43" s="2" t="s">
        <v>135</v>
      </c>
      <c r="B43" s="3" t="s">
        <v>167</v>
      </c>
      <c r="C43" s="3" t="s">
        <v>168</v>
      </c>
      <c r="D43" s="2" t="s">
        <v>169</v>
      </c>
      <c r="E43" s="2" t="s">
        <v>56</v>
      </c>
      <c r="F43" s="3" t="s">
        <v>170</v>
      </c>
      <c r="G43" s="2" t="s">
        <v>58</v>
      </c>
    </row>
    <row r="44" customFormat="false" ht="15" hidden="false" customHeight="false" outlineLevel="0" collapsed="false">
      <c r="A44" s="2" t="s">
        <v>135</v>
      </c>
      <c r="B44" s="3" t="s">
        <v>152</v>
      </c>
      <c r="C44" s="3" t="s">
        <v>171</v>
      </c>
      <c r="D44" s="2" t="s">
        <v>172</v>
      </c>
      <c r="E44" s="2" t="s">
        <v>56</v>
      </c>
      <c r="F44" s="3" t="s">
        <v>173</v>
      </c>
      <c r="G44" s="2" t="s">
        <v>58</v>
      </c>
    </row>
    <row r="45" customFormat="false" ht="15" hidden="false" customHeight="false" outlineLevel="0" collapsed="false">
      <c r="A45" s="2" t="s">
        <v>135</v>
      </c>
      <c r="B45" s="3" t="s">
        <v>174</v>
      </c>
      <c r="C45" s="3" t="s">
        <v>175</v>
      </c>
      <c r="D45" s="2" t="s">
        <v>176</v>
      </c>
      <c r="E45" s="2" t="s">
        <v>56</v>
      </c>
      <c r="F45" s="3" t="s">
        <v>177</v>
      </c>
      <c r="G45" s="2" t="s">
        <v>58</v>
      </c>
    </row>
    <row r="46" customFormat="false" ht="15" hidden="false" customHeight="false" outlineLevel="0" collapsed="false">
      <c r="A46" s="2" t="s">
        <v>135</v>
      </c>
      <c r="B46" s="3" t="s">
        <v>178</v>
      </c>
      <c r="C46" s="3" t="s">
        <v>179</v>
      </c>
      <c r="D46" s="2" t="s">
        <v>180</v>
      </c>
      <c r="E46" s="2" t="s">
        <v>56</v>
      </c>
      <c r="F46" s="3" t="s">
        <v>181</v>
      </c>
      <c r="G46" s="2" t="s">
        <v>58</v>
      </c>
    </row>
    <row r="47" customFormat="false" ht="15" hidden="false" customHeight="false" outlineLevel="0" collapsed="false">
      <c r="A47" s="2" t="s">
        <v>135</v>
      </c>
      <c r="B47" s="3" t="s">
        <v>182</v>
      </c>
      <c r="C47" s="3" t="s">
        <v>183</v>
      </c>
      <c r="D47" s="2" t="s">
        <v>184</v>
      </c>
      <c r="E47" s="2" t="s">
        <v>56</v>
      </c>
      <c r="F47" s="3" t="s">
        <v>185</v>
      </c>
      <c r="G47" s="2" t="s">
        <v>58</v>
      </c>
    </row>
    <row r="48" customFormat="false" ht="15" hidden="false" customHeight="false" outlineLevel="0" collapsed="false">
      <c r="A48" s="2" t="s">
        <v>135</v>
      </c>
      <c r="B48" s="3" t="s">
        <v>186</v>
      </c>
      <c r="C48" s="3" t="s">
        <v>187</v>
      </c>
      <c r="D48" s="2" t="s">
        <v>188</v>
      </c>
      <c r="E48" s="2" t="s">
        <v>56</v>
      </c>
      <c r="F48" s="3" t="s">
        <v>189</v>
      </c>
      <c r="G48" s="2" t="s">
        <v>58</v>
      </c>
    </row>
    <row r="49" customFormat="false" ht="15" hidden="false" customHeight="false" outlineLevel="0" collapsed="false">
      <c r="A49" s="2" t="s">
        <v>135</v>
      </c>
      <c r="B49" s="3" t="s">
        <v>190</v>
      </c>
      <c r="C49" s="3" t="s">
        <v>191</v>
      </c>
      <c r="D49" s="2" t="s">
        <v>192</v>
      </c>
      <c r="E49" s="2" t="s">
        <v>56</v>
      </c>
      <c r="F49" s="3" t="s">
        <v>193</v>
      </c>
      <c r="G49" s="2" t="s">
        <v>58</v>
      </c>
    </row>
    <row r="50" customFormat="false" ht="15" hidden="false" customHeight="false" outlineLevel="0" collapsed="false">
      <c r="A50" s="2" t="s">
        <v>135</v>
      </c>
      <c r="B50" s="3" t="s">
        <v>194</v>
      </c>
      <c r="C50" s="3" t="s">
        <v>195</v>
      </c>
      <c r="D50" s="2" t="s">
        <v>196</v>
      </c>
      <c r="E50" s="2" t="s">
        <v>56</v>
      </c>
      <c r="F50" s="3" t="s">
        <v>197</v>
      </c>
      <c r="G50" s="2" t="s">
        <v>134</v>
      </c>
    </row>
    <row r="51" customFormat="false" ht="15" hidden="false" customHeight="false" outlineLevel="0" collapsed="false">
      <c r="A51" s="2" t="s">
        <v>135</v>
      </c>
      <c r="B51" s="3" t="s">
        <v>198</v>
      </c>
      <c r="C51" s="3" t="s">
        <v>199</v>
      </c>
      <c r="D51" s="2" t="s">
        <v>200</v>
      </c>
      <c r="E51" s="2" t="s">
        <v>66</v>
      </c>
      <c r="F51" s="2" t="s">
        <v>201</v>
      </c>
      <c r="G51" s="2" t="s">
        <v>134</v>
      </c>
    </row>
    <row r="52" customFormat="false" ht="15" hidden="false" customHeight="false" outlineLevel="0" collapsed="false">
      <c r="A52" s="2" t="s">
        <v>135</v>
      </c>
      <c r="B52" s="3" t="s">
        <v>202</v>
      </c>
      <c r="C52" s="3" t="s">
        <v>203</v>
      </c>
      <c r="D52" s="2" t="s">
        <v>204</v>
      </c>
      <c r="E52" s="2" t="s">
        <v>66</v>
      </c>
      <c r="F52" s="2" t="s">
        <v>201</v>
      </c>
      <c r="G52" s="2" t="s">
        <v>134</v>
      </c>
    </row>
    <row r="53" customFormat="false" ht="15" hidden="false" customHeight="false" outlineLevel="0" collapsed="false">
      <c r="A53" s="2" t="s">
        <v>135</v>
      </c>
      <c r="B53" s="3" t="s">
        <v>205</v>
      </c>
      <c r="C53" s="3" t="s">
        <v>206</v>
      </c>
      <c r="D53" s="2" t="s">
        <v>207</v>
      </c>
      <c r="E53" s="2" t="s">
        <v>66</v>
      </c>
      <c r="F53" s="2" t="s">
        <v>201</v>
      </c>
      <c r="G53" s="2" t="s">
        <v>134</v>
      </c>
    </row>
    <row r="54" customFormat="false" ht="15" hidden="false" customHeight="false" outlineLevel="0" collapsed="false">
      <c r="A54" s="2" t="s">
        <v>135</v>
      </c>
      <c r="B54" s="3" t="s">
        <v>149</v>
      </c>
      <c r="C54" s="3" t="s">
        <v>208</v>
      </c>
      <c r="D54" s="2" t="s">
        <v>209</v>
      </c>
      <c r="E54" s="2" t="s">
        <v>66</v>
      </c>
      <c r="F54" s="2" t="s">
        <v>201</v>
      </c>
      <c r="G54" s="2" t="s">
        <v>134</v>
      </c>
    </row>
    <row r="55" customFormat="false" ht="15" hidden="false" customHeight="false" outlineLevel="0" collapsed="false">
      <c r="A55" s="2" t="s">
        <v>135</v>
      </c>
      <c r="B55" s="3" t="s">
        <v>210</v>
      </c>
      <c r="C55" s="3" t="s">
        <v>211</v>
      </c>
      <c r="D55" s="2" t="s">
        <v>212</v>
      </c>
      <c r="E55" s="2" t="s">
        <v>66</v>
      </c>
      <c r="F55" s="2" t="s">
        <v>201</v>
      </c>
      <c r="G55" s="2" t="s">
        <v>134</v>
      </c>
    </row>
    <row r="56" customFormat="false" ht="15" hidden="false" customHeight="false" outlineLevel="0" collapsed="false">
      <c r="A56" s="2" t="s">
        <v>135</v>
      </c>
      <c r="B56" s="3" t="s">
        <v>213</v>
      </c>
      <c r="C56" s="3" t="s">
        <v>214</v>
      </c>
      <c r="D56" s="2" t="s">
        <v>215</v>
      </c>
      <c r="E56" s="2" t="s">
        <v>66</v>
      </c>
      <c r="F56" s="2" t="s">
        <v>201</v>
      </c>
      <c r="G56" s="2" t="s">
        <v>134</v>
      </c>
    </row>
    <row r="57" customFormat="false" ht="15" hidden="false" customHeight="false" outlineLevel="0" collapsed="false">
      <c r="A57" s="2" t="s">
        <v>135</v>
      </c>
      <c r="B57" s="3" t="s">
        <v>216</v>
      </c>
      <c r="C57" s="3" t="s">
        <v>217</v>
      </c>
      <c r="D57" s="2" t="s">
        <v>218</v>
      </c>
      <c r="E57" s="2" t="s">
        <v>219</v>
      </c>
      <c r="F57" s="2" t="s">
        <v>201</v>
      </c>
      <c r="G57" s="2" t="s">
        <v>134</v>
      </c>
    </row>
    <row r="58" customFormat="false" ht="15" hidden="false" customHeight="false" outlineLevel="0" collapsed="false">
      <c r="A58" s="2" t="s">
        <v>135</v>
      </c>
      <c r="B58" s="3" t="s">
        <v>220</v>
      </c>
      <c r="C58" s="3" t="s">
        <v>221</v>
      </c>
      <c r="D58" s="2" t="s">
        <v>222</v>
      </c>
      <c r="E58" s="2" t="s">
        <v>219</v>
      </c>
      <c r="F58" s="2" t="s">
        <v>201</v>
      </c>
      <c r="G58" s="2" t="s">
        <v>134</v>
      </c>
    </row>
    <row r="59" customFormat="false" ht="15" hidden="false" customHeight="false" outlineLevel="0" collapsed="false">
      <c r="A59" s="2" t="s">
        <v>135</v>
      </c>
      <c r="B59" s="3" t="s">
        <v>223</v>
      </c>
      <c r="C59" s="3" t="s">
        <v>224</v>
      </c>
      <c r="D59" s="2" t="s">
        <v>225</v>
      </c>
      <c r="E59" s="2" t="s">
        <v>56</v>
      </c>
      <c r="F59" s="3" t="s">
        <v>226</v>
      </c>
      <c r="G59" s="2" t="s">
        <v>134</v>
      </c>
    </row>
    <row r="60" customFormat="false" ht="15" hidden="false" customHeight="false" outlineLevel="0" collapsed="false">
      <c r="A60" s="2" t="s">
        <v>227</v>
      </c>
      <c r="B60" s="3" t="s">
        <v>53</v>
      </c>
      <c r="C60" s="3" t="s">
        <v>54</v>
      </c>
      <c r="D60" s="2" t="s">
        <v>55</v>
      </c>
      <c r="E60" s="2" t="s">
        <v>56</v>
      </c>
      <c r="F60" s="2" t="s">
        <v>57</v>
      </c>
      <c r="G60" s="2" t="s">
        <v>58</v>
      </c>
    </row>
    <row r="61" customFormat="false" ht="15" hidden="false" customHeight="false" outlineLevel="0" collapsed="false">
      <c r="A61" s="2" t="s">
        <v>227</v>
      </c>
      <c r="B61" s="3" t="s">
        <v>59</v>
      </c>
      <c r="C61" s="3" t="s">
        <v>93</v>
      </c>
      <c r="D61" s="2" t="s">
        <v>94</v>
      </c>
      <c r="E61" s="2" t="s">
        <v>81</v>
      </c>
      <c r="F61" s="2"/>
      <c r="G61" s="2" t="s">
        <v>58</v>
      </c>
    </row>
    <row r="62" customFormat="false" ht="15" hidden="false" customHeight="false" outlineLevel="0" collapsed="false">
      <c r="A62" s="2" t="s">
        <v>227</v>
      </c>
      <c r="B62" s="3" t="s">
        <v>63</v>
      </c>
      <c r="C62" s="3" t="s">
        <v>95</v>
      </c>
      <c r="D62" s="2" t="s">
        <v>96</v>
      </c>
      <c r="E62" s="2" t="s">
        <v>81</v>
      </c>
      <c r="F62" s="2"/>
      <c r="G62" s="2" t="s">
        <v>136</v>
      </c>
    </row>
    <row r="63" customFormat="false" ht="15" hidden="false" customHeight="false" outlineLevel="0" collapsed="false">
      <c r="A63" s="2" t="s">
        <v>227</v>
      </c>
      <c r="B63" s="3" t="s">
        <v>67</v>
      </c>
      <c r="C63" s="3" t="s">
        <v>79</v>
      </c>
      <c r="D63" s="2" t="s">
        <v>80</v>
      </c>
      <c r="E63" s="2" t="s">
        <v>81</v>
      </c>
      <c r="F63" s="2"/>
      <c r="G63" s="2" t="s">
        <v>58</v>
      </c>
    </row>
    <row r="64" customFormat="false" ht="15" hidden="false" customHeight="false" outlineLevel="0" collapsed="false">
      <c r="A64" s="2" t="s">
        <v>227</v>
      </c>
      <c r="B64" s="3" t="s">
        <v>70</v>
      </c>
      <c r="C64" s="3" t="s">
        <v>137</v>
      </c>
      <c r="D64" s="2" t="s">
        <v>85</v>
      </c>
      <c r="E64" s="2" t="s">
        <v>81</v>
      </c>
      <c r="F64" s="2"/>
      <c r="G64" s="2" t="s">
        <v>129</v>
      </c>
    </row>
    <row r="65" customFormat="false" ht="15" hidden="false" customHeight="false" outlineLevel="0" collapsed="false">
      <c r="A65" s="2" t="s">
        <v>227</v>
      </c>
      <c r="B65" s="3" t="s">
        <v>74</v>
      </c>
      <c r="C65" s="3" t="s">
        <v>86</v>
      </c>
      <c r="D65" s="2" t="s">
        <v>87</v>
      </c>
      <c r="E65" s="2" t="s">
        <v>81</v>
      </c>
      <c r="F65" s="2"/>
      <c r="G65" s="2" t="s">
        <v>129</v>
      </c>
    </row>
    <row r="66" customFormat="false" ht="15" hidden="false" customHeight="false" outlineLevel="0" collapsed="false">
      <c r="A66" s="2" t="s">
        <v>227</v>
      </c>
      <c r="B66" s="3" t="s">
        <v>108</v>
      </c>
      <c r="C66" s="3" t="s">
        <v>228</v>
      </c>
      <c r="D66" s="2" t="s">
        <v>229</v>
      </c>
      <c r="E66" s="2" t="s">
        <v>81</v>
      </c>
      <c r="F66" s="3" t="s">
        <v>230</v>
      </c>
      <c r="G66" s="2" t="s">
        <v>58</v>
      </c>
    </row>
    <row r="67" customFormat="false" ht="15" hidden="false" customHeight="false" outlineLevel="0" collapsed="false">
      <c r="A67" s="2" t="s">
        <v>227</v>
      </c>
      <c r="B67" s="3" t="s">
        <v>112</v>
      </c>
      <c r="C67" s="3" t="s">
        <v>140</v>
      </c>
      <c r="D67" s="2" t="s">
        <v>141</v>
      </c>
      <c r="E67" s="2" t="s">
        <v>56</v>
      </c>
      <c r="F67" s="2" t="s">
        <v>142</v>
      </c>
      <c r="G67" s="2" t="s">
        <v>134</v>
      </c>
    </row>
    <row r="68" customFormat="false" ht="15" hidden="false" customHeight="false" outlineLevel="0" collapsed="false">
      <c r="A68" s="2" t="s">
        <v>227</v>
      </c>
      <c r="B68" s="3" t="s">
        <v>116</v>
      </c>
      <c r="C68" s="3" t="s">
        <v>231</v>
      </c>
      <c r="D68" s="2" t="s">
        <v>232</v>
      </c>
      <c r="E68" s="2" t="s">
        <v>56</v>
      </c>
      <c r="F68" s="3" t="s">
        <v>190</v>
      </c>
      <c r="G68" s="2" t="s">
        <v>58</v>
      </c>
    </row>
    <row r="69" customFormat="false" ht="15" hidden="false" customHeight="false" outlineLevel="0" collapsed="false">
      <c r="A69" s="2" t="s">
        <v>227</v>
      </c>
      <c r="B69" s="3" t="s">
        <v>120</v>
      </c>
      <c r="C69" s="3" t="s">
        <v>233</v>
      </c>
      <c r="D69" s="2" t="s">
        <v>234</v>
      </c>
      <c r="E69" s="2" t="s">
        <v>56</v>
      </c>
      <c r="F69" s="3" t="s">
        <v>126</v>
      </c>
      <c r="G69" s="2" t="s">
        <v>58</v>
      </c>
    </row>
    <row r="70" customFormat="false" ht="15" hidden="false" customHeight="false" outlineLevel="0" collapsed="false">
      <c r="A70" s="2" t="s">
        <v>227</v>
      </c>
      <c r="B70" s="3" t="s">
        <v>123</v>
      </c>
      <c r="C70" s="3" t="s">
        <v>235</v>
      </c>
      <c r="D70" s="2" t="s">
        <v>236</v>
      </c>
      <c r="E70" s="2" t="s">
        <v>56</v>
      </c>
      <c r="F70" s="3" t="s">
        <v>237</v>
      </c>
      <c r="G70" s="2" t="s">
        <v>58</v>
      </c>
    </row>
    <row r="71" customFormat="false" ht="15" hidden="false" customHeight="false" outlineLevel="0" collapsed="false">
      <c r="A71" s="2" t="s">
        <v>227</v>
      </c>
      <c r="B71" s="3" t="s">
        <v>126</v>
      </c>
      <c r="C71" s="3" t="s">
        <v>238</v>
      </c>
      <c r="D71" s="2" t="s">
        <v>239</v>
      </c>
      <c r="E71" s="2" t="s">
        <v>56</v>
      </c>
      <c r="F71" s="3" t="s">
        <v>240</v>
      </c>
      <c r="G71" s="2" t="s">
        <v>58</v>
      </c>
    </row>
    <row r="72" customFormat="false" ht="15" hidden="false" customHeight="false" outlineLevel="0" collapsed="false">
      <c r="A72" s="2" t="s">
        <v>227</v>
      </c>
      <c r="B72" s="3" t="s">
        <v>130</v>
      </c>
      <c r="C72" s="3" t="s">
        <v>143</v>
      </c>
      <c r="D72" s="2" t="s">
        <v>144</v>
      </c>
      <c r="E72" s="2" t="s">
        <v>56</v>
      </c>
      <c r="F72" s="3" t="s">
        <v>108</v>
      </c>
      <c r="G72" s="2" t="s">
        <v>58</v>
      </c>
    </row>
    <row r="73" customFormat="false" ht="15" hidden="false" customHeight="false" outlineLevel="0" collapsed="false">
      <c r="A73" s="2" t="s">
        <v>227</v>
      </c>
      <c r="B73" s="3" t="s">
        <v>155</v>
      </c>
      <c r="C73" s="3" t="s">
        <v>241</v>
      </c>
      <c r="D73" s="2" t="s">
        <v>242</v>
      </c>
      <c r="E73" s="2" t="s">
        <v>56</v>
      </c>
      <c r="F73" s="3" t="s">
        <v>243</v>
      </c>
      <c r="G73" s="2" t="s">
        <v>58</v>
      </c>
    </row>
    <row r="74" customFormat="false" ht="15" hidden="false" customHeight="false" outlineLevel="0" collapsed="false">
      <c r="A74" s="2" t="s">
        <v>227</v>
      </c>
      <c r="B74" s="3" t="s">
        <v>159</v>
      </c>
      <c r="C74" s="3" t="s">
        <v>244</v>
      </c>
      <c r="D74" s="2" t="s">
        <v>245</v>
      </c>
      <c r="E74" s="2" t="s">
        <v>56</v>
      </c>
      <c r="F74" s="2" t="s">
        <v>246</v>
      </c>
      <c r="G74" s="2" t="s">
        <v>58</v>
      </c>
    </row>
    <row r="75" customFormat="false" ht="15" hidden="false" customHeight="false" outlineLevel="0" collapsed="false">
      <c r="A75" s="2" t="s">
        <v>227</v>
      </c>
      <c r="B75" s="3" t="s">
        <v>163</v>
      </c>
      <c r="C75" s="3" t="s">
        <v>247</v>
      </c>
      <c r="D75" s="2" t="s">
        <v>248</v>
      </c>
      <c r="E75" s="2" t="s">
        <v>66</v>
      </c>
      <c r="F75" s="2" t="s">
        <v>77</v>
      </c>
      <c r="G75" s="2" t="s">
        <v>134</v>
      </c>
    </row>
    <row r="76" customFormat="false" ht="15" hidden="false" customHeight="false" outlineLevel="0" collapsed="false">
      <c r="A76" s="2" t="s">
        <v>227</v>
      </c>
      <c r="B76" s="3" t="s">
        <v>167</v>
      </c>
      <c r="C76" s="3" t="s">
        <v>249</v>
      </c>
      <c r="D76" s="2" t="s">
        <v>250</v>
      </c>
      <c r="E76" s="2" t="s">
        <v>81</v>
      </c>
      <c r="F76" s="3" t="s">
        <v>251</v>
      </c>
      <c r="G76" s="2" t="s">
        <v>134</v>
      </c>
    </row>
    <row r="77" customFormat="false" ht="15" hidden="false" customHeight="false" outlineLevel="0" collapsed="false">
      <c r="A77" s="2" t="s">
        <v>227</v>
      </c>
      <c r="B77" s="3" t="s">
        <v>152</v>
      </c>
      <c r="C77" s="3" t="s">
        <v>153</v>
      </c>
      <c r="D77" s="2" t="s">
        <v>252</v>
      </c>
      <c r="E77" s="2" t="s">
        <v>56</v>
      </c>
      <c r="F77" s="3" t="s">
        <v>112</v>
      </c>
      <c r="G77" s="2" t="s">
        <v>58</v>
      </c>
    </row>
    <row r="78" customFormat="false" ht="15" hidden="false" customHeight="false" outlineLevel="0" collapsed="false">
      <c r="A78" s="2" t="s">
        <v>227</v>
      </c>
      <c r="B78" s="3" t="s">
        <v>174</v>
      </c>
      <c r="C78" s="3" t="s">
        <v>150</v>
      </c>
      <c r="D78" s="2" t="s">
        <v>253</v>
      </c>
      <c r="E78" s="2" t="s">
        <v>56</v>
      </c>
      <c r="F78" s="3" t="s">
        <v>152</v>
      </c>
      <c r="G78" s="2" t="s">
        <v>58</v>
      </c>
    </row>
    <row r="79" customFormat="false" ht="15" hidden="false" customHeight="false" outlineLevel="0" collapsed="false">
      <c r="A79" s="2" t="s">
        <v>227</v>
      </c>
      <c r="B79" s="3" t="s">
        <v>178</v>
      </c>
      <c r="C79" s="3" t="s">
        <v>254</v>
      </c>
      <c r="D79" s="2" t="s">
        <v>255</v>
      </c>
      <c r="E79" s="2" t="s">
        <v>56</v>
      </c>
      <c r="F79" s="3" t="s">
        <v>256</v>
      </c>
      <c r="G79" s="2" t="s">
        <v>58</v>
      </c>
    </row>
    <row r="80" customFormat="false" ht="15" hidden="false" customHeight="false" outlineLevel="0" collapsed="false">
      <c r="A80" s="2" t="s">
        <v>227</v>
      </c>
      <c r="B80" s="3" t="s">
        <v>182</v>
      </c>
      <c r="C80" s="3" t="s">
        <v>164</v>
      </c>
      <c r="D80" s="2" t="s">
        <v>257</v>
      </c>
      <c r="E80" s="2" t="s">
        <v>56</v>
      </c>
      <c r="F80" s="3" t="s">
        <v>166</v>
      </c>
      <c r="G80" s="2" t="s">
        <v>58</v>
      </c>
    </row>
    <row r="81" customFormat="false" ht="15" hidden="false" customHeight="false" outlineLevel="0" collapsed="false">
      <c r="A81" s="2" t="s">
        <v>227</v>
      </c>
      <c r="B81" s="3" t="s">
        <v>186</v>
      </c>
      <c r="C81" s="3" t="s">
        <v>171</v>
      </c>
      <c r="D81" s="2" t="s">
        <v>172</v>
      </c>
      <c r="E81" s="2" t="s">
        <v>56</v>
      </c>
      <c r="F81" s="3" t="s">
        <v>173</v>
      </c>
      <c r="G81" s="2" t="s">
        <v>58</v>
      </c>
    </row>
    <row r="82" customFormat="false" ht="15" hidden="false" customHeight="false" outlineLevel="0" collapsed="false">
      <c r="A82" s="2" t="s">
        <v>227</v>
      </c>
      <c r="B82" s="3" t="s">
        <v>190</v>
      </c>
      <c r="C82" s="3" t="s">
        <v>175</v>
      </c>
      <c r="D82" s="2" t="s">
        <v>176</v>
      </c>
      <c r="E82" s="2" t="s">
        <v>56</v>
      </c>
      <c r="F82" s="3" t="s">
        <v>177</v>
      </c>
      <c r="G82" s="2" t="s">
        <v>58</v>
      </c>
    </row>
    <row r="83" customFormat="false" ht="15" hidden="false" customHeight="false" outlineLevel="0" collapsed="false">
      <c r="A83" s="2" t="s">
        <v>227</v>
      </c>
      <c r="B83" s="3" t="s">
        <v>194</v>
      </c>
      <c r="C83" s="3" t="s">
        <v>179</v>
      </c>
      <c r="D83" s="2" t="s">
        <v>180</v>
      </c>
      <c r="E83" s="2" t="s">
        <v>56</v>
      </c>
      <c r="F83" s="3" t="s">
        <v>181</v>
      </c>
      <c r="G83" s="2" t="s">
        <v>58</v>
      </c>
    </row>
    <row r="84" customFormat="false" ht="15" hidden="false" customHeight="false" outlineLevel="0" collapsed="false">
      <c r="A84" s="2" t="s">
        <v>227</v>
      </c>
      <c r="B84" s="3" t="s">
        <v>198</v>
      </c>
      <c r="C84" s="3" t="s">
        <v>258</v>
      </c>
      <c r="D84" s="2" t="s">
        <v>259</v>
      </c>
      <c r="E84" s="2" t="s">
        <v>66</v>
      </c>
      <c r="F84" s="2"/>
      <c r="G84" s="2" t="s">
        <v>134</v>
      </c>
    </row>
    <row r="85" customFormat="false" ht="15" hidden="false" customHeight="false" outlineLevel="0" collapsed="false">
      <c r="A85" s="2" t="s">
        <v>227</v>
      </c>
      <c r="B85" s="3" t="s">
        <v>202</v>
      </c>
      <c r="C85" s="3" t="s">
        <v>260</v>
      </c>
      <c r="D85" s="2" t="s">
        <v>261</v>
      </c>
      <c r="E85" s="2" t="s">
        <v>66</v>
      </c>
      <c r="F85" s="2"/>
      <c r="G85" s="2" t="s">
        <v>134</v>
      </c>
    </row>
    <row r="86" customFormat="false" ht="15" hidden="false" customHeight="false" outlineLevel="0" collapsed="false">
      <c r="A86" s="2" t="s">
        <v>227</v>
      </c>
      <c r="B86" s="3" t="s">
        <v>205</v>
      </c>
      <c r="C86" s="3" t="s">
        <v>262</v>
      </c>
      <c r="D86" s="2" t="s">
        <v>263</v>
      </c>
      <c r="E86" s="2" t="s">
        <v>66</v>
      </c>
      <c r="F86" s="3" t="s">
        <v>264</v>
      </c>
      <c r="G86" s="2" t="s">
        <v>134</v>
      </c>
    </row>
    <row r="87" customFormat="false" ht="15" hidden="false" customHeight="false" outlineLevel="0" collapsed="false">
      <c r="A87" s="2" t="s">
        <v>227</v>
      </c>
      <c r="B87" s="3" t="s">
        <v>149</v>
      </c>
      <c r="C87" s="3" t="s">
        <v>265</v>
      </c>
      <c r="D87" s="2" t="s">
        <v>266</v>
      </c>
      <c r="E87" s="2" t="s">
        <v>66</v>
      </c>
      <c r="F87" s="3" t="s">
        <v>267</v>
      </c>
      <c r="G87" s="2" t="s">
        <v>134</v>
      </c>
    </row>
    <row r="88" customFormat="false" ht="15" hidden="false" customHeight="false" outlineLevel="0" collapsed="false">
      <c r="A88" s="2" t="s">
        <v>227</v>
      </c>
      <c r="B88" s="3" t="s">
        <v>210</v>
      </c>
      <c r="C88" s="3" t="s">
        <v>268</v>
      </c>
      <c r="D88" s="2" t="s">
        <v>269</v>
      </c>
      <c r="E88" s="2" t="s">
        <v>66</v>
      </c>
      <c r="F88" s="3" t="s">
        <v>270</v>
      </c>
      <c r="G88" s="2" t="s">
        <v>134</v>
      </c>
    </row>
    <row r="89" customFormat="false" ht="15" hidden="false" customHeight="false" outlineLevel="0" collapsed="false">
      <c r="A89" s="2" t="s">
        <v>227</v>
      </c>
      <c r="B89" s="3" t="s">
        <v>213</v>
      </c>
      <c r="C89" s="3" t="s">
        <v>271</v>
      </c>
      <c r="D89" s="2" t="s">
        <v>272</v>
      </c>
      <c r="E89" s="2" t="s">
        <v>66</v>
      </c>
      <c r="F89" s="3" t="s">
        <v>273</v>
      </c>
      <c r="G89" s="2" t="s">
        <v>134</v>
      </c>
    </row>
    <row r="90" customFormat="false" ht="15" hidden="false" customHeight="false" outlineLevel="0" collapsed="false">
      <c r="A90" s="2" t="s">
        <v>227</v>
      </c>
      <c r="B90" s="3" t="s">
        <v>216</v>
      </c>
      <c r="C90" s="3" t="s">
        <v>224</v>
      </c>
      <c r="D90" s="2" t="s">
        <v>274</v>
      </c>
      <c r="E90" s="2" t="s">
        <v>56</v>
      </c>
      <c r="F90" s="3" t="s">
        <v>226</v>
      </c>
      <c r="G90" s="2" t="s">
        <v>134</v>
      </c>
    </row>
    <row r="91" customFormat="false" ht="15" hidden="false" customHeight="false" outlineLevel="0" collapsed="false">
      <c r="A91" s="2" t="s">
        <v>275</v>
      </c>
      <c r="B91" s="3" t="s">
        <v>53</v>
      </c>
      <c r="C91" s="3" t="s">
        <v>54</v>
      </c>
      <c r="D91" s="2" t="s">
        <v>55</v>
      </c>
      <c r="E91" s="2" t="s">
        <v>56</v>
      </c>
      <c r="F91" s="2" t="s">
        <v>57</v>
      </c>
      <c r="G91" s="2" t="s">
        <v>58</v>
      </c>
    </row>
    <row r="92" customFormat="false" ht="15" hidden="false" customHeight="false" outlineLevel="0" collapsed="false">
      <c r="A92" s="2" t="s">
        <v>275</v>
      </c>
      <c r="B92" s="3" t="s">
        <v>59</v>
      </c>
      <c r="C92" s="3" t="s">
        <v>79</v>
      </c>
      <c r="D92" s="2" t="s">
        <v>80</v>
      </c>
      <c r="E92" s="2" t="s">
        <v>81</v>
      </c>
      <c r="F92" s="2"/>
      <c r="G92" s="2" t="s">
        <v>58</v>
      </c>
    </row>
    <row r="93" customFormat="false" ht="15" hidden="false" customHeight="false" outlineLevel="0" collapsed="false">
      <c r="A93" s="2" t="s">
        <v>275</v>
      </c>
      <c r="B93" s="3" t="s">
        <v>63</v>
      </c>
      <c r="C93" s="3" t="s">
        <v>137</v>
      </c>
      <c r="D93" s="2" t="s">
        <v>85</v>
      </c>
      <c r="E93" s="2" t="s">
        <v>81</v>
      </c>
      <c r="F93" s="2"/>
      <c r="G93" s="2" t="s">
        <v>129</v>
      </c>
    </row>
    <row r="94" customFormat="false" ht="15" hidden="false" customHeight="false" outlineLevel="0" collapsed="false">
      <c r="A94" s="2" t="s">
        <v>275</v>
      </c>
      <c r="B94" s="3" t="s">
        <v>67</v>
      </c>
      <c r="C94" s="3" t="s">
        <v>86</v>
      </c>
      <c r="D94" s="2" t="s">
        <v>87</v>
      </c>
      <c r="E94" s="2" t="s">
        <v>81</v>
      </c>
      <c r="F94" s="2"/>
      <c r="G94" s="2" t="s">
        <v>129</v>
      </c>
    </row>
    <row r="95" customFormat="false" ht="15" hidden="false" customHeight="false" outlineLevel="0" collapsed="false">
      <c r="A95" s="2" t="s">
        <v>275</v>
      </c>
      <c r="B95" s="3" t="s">
        <v>70</v>
      </c>
      <c r="C95" s="3" t="s">
        <v>88</v>
      </c>
      <c r="D95" s="2" t="s">
        <v>89</v>
      </c>
      <c r="E95" s="2" t="s">
        <v>81</v>
      </c>
      <c r="F95" s="2"/>
      <c r="G95" s="2" t="s">
        <v>129</v>
      </c>
    </row>
    <row r="96" customFormat="false" ht="15" hidden="false" customHeight="false" outlineLevel="0" collapsed="false">
      <c r="A96" s="2" t="s">
        <v>275</v>
      </c>
      <c r="B96" s="3" t="s">
        <v>74</v>
      </c>
      <c r="C96" s="3" t="s">
        <v>231</v>
      </c>
      <c r="D96" s="2" t="s">
        <v>276</v>
      </c>
      <c r="E96" s="2" t="s">
        <v>56</v>
      </c>
      <c r="F96" s="3" t="s">
        <v>190</v>
      </c>
      <c r="G96" s="2" t="s">
        <v>58</v>
      </c>
    </row>
    <row r="97" customFormat="false" ht="15" hidden="false" customHeight="false" outlineLevel="0" collapsed="false">
      <c r="A97" s="2" t="s">
        <v>275</v>
      </c>
      <c r="B97" s="3" t="s">
        <v>108</v>
      </c>
      <c r="C97" s="3" t="s">
        <v>233</v>
      </c>
      <c r="D97" s="2" t="s">
        <v>277</v>
      </c>
      <c r="E97" s="2" t="s">
        <v>56</v>
      </c>
      <c r="F97" s="3" t="s">
        <v>126</v>
      </c>
      <c r="G97" s="2" t="s">
        <v>134</v>
      </c>
    </row>
    <row r="98" customFormat="false" ht="15" hidden="false" customHeight="false" outlineLevel="0" collapsed="false">
      <c r="A98" s="2" t="s">
        <v>275</v>
      </c>
      <c r="B98" s="3" t="s">
        <v>112</v>
      </c>
      <c r="C98" s="3" t="s">
        <v>278</v>
      </c>
      <c r="D98" s="2" t="s">
        <v>279</v>
      </c>
      <c r="E98" s="2" t="s">
        <v>66</v>
      </c>
      <c r="F98" s="2" t="s">
        <v>201</v>
      </c>
      <c r="G98" s="2" t="s">
        <v>134</v>
      </c>
    </row>
    <row r="99" customFormat="false" ht="15" hidden="false" customHeight="false" outlineLevel="0" collapsed="false">
      <c r="A99" s="2" t="s">
        <v>275</v>
      </c>
      <c r="B99" s="3" t="s">
        <v>116</v>
      </c>
      <c r="C99" s="3" t="s">
        <v>280</v>
      </c>
      <c r="D99" s="2" t="s">
        <v>281</v>
      </c>
      <c r="E99" s="2" t="s">
        <v>66</v>
      </c>
      <c r="F99" s="2" t="s">
        <v>62</v>
      </c>
      <c r="G99" s="2" t="s">
        <v>134</v>
      </c>
    </row>
    <row r="100" customFormat="false" ht="15" hidden="false" customHeight="false" outlineLevel="0" collapsed="false">
      <c r="A100" s="2" t="s">
        <v>275</v>
      </c>
      <c r="B100" s="3" t="s">
        <v>120</v>
      </c>
      <c r="C100" s="3" t="s">
        <v>282</v>
      </c>
      <c r="D100" s="2" t="s">
        <v>151</v>
      </c>
      <c r="E100" s="2" t="s">
        <v>56</v>
      </c>
      <c r="F100" s="3" t="s">
        <v>283</v>
      </c>
      <c r="G100" s="2" t="s">
        <v>58</v>
      </c>
    </row>
    <row r="101" customFormat="false" ht="15" hidden="false" customHeight="false" outlineLevel="0" collapsed="false">
      <c r="A101" s="2" t="s">
        <v>275</v>
      </c>
      <c r="B101" s="3" t="s">
        <v>123</v>
      </c>
      <c r="C101" s="3" t="s">
        <v>284</v>
      </c>
      <c r="D101" s="2" t="s">
        <v>253</v>
      </c>
      <c r="E101" s="2" t="s">
        <v>56</v>
      </c>
      <c r="F101" s="3" t="s">
        <v>285</v>
      </c>
      <c r="G101" s="2" t="s">
        <v>58</v>
      </c>
    </row>
    <row r="102" customFormat="false" ht="15" hidden="false" customHeight="false" outlineLevel="0" collapsed="false">
      <c r="A102" s="2" t="s">
        <v>275</v>
      </c>
      <c r="B102" s="3" t="s">
        <v>126</v>
      </c>
      <c r="C102" s="3" t="s">
        <v>286</v>
      </c>
      <c r="D102" s="2" t="s">
        <v>287</v>
      </c>
      <c r="E102" s="2" t="s">
        <v>56</v>
      </c>
      <c r="F102" s="2"/>
      <c r="G102" s="2" t="s">
        <v>134</v>
      </c>
    </row>
    <row r="103" customFormat="false" ht="15" hidden="false" customHeight="false" outlineLevel="0" collapsed="false">
      <c r="A103" s="2" t="s">
        <v>275</v>
      </c>
      <c r="B103" s="3" t="s">
        <v>130</v>
      </c>
      <c r="C103" s="3" t="s">
        <v>288</v>
      </c>
      <c r="D103" s="2" t="s">
        <v>289</v>
      </c>
      <c r="E103" s="2" t="s">
        <v>66</v>
      </c>
      <c r="F103" s="2" t="s">
        <v>201</v>
      </c>
      <c r="G103" s="2" t="s">
        <v>134</v>
      </c>
    </row>
    <row r="104" customFormat="false" ht="15" hidden="false" customHeight="false" outlineLevel="0" collapsed="false">
      <c r="A104" s="2" t="s">
        <v>275</v>
      </c>
      <c r="B104" s="3" t="s">
        <v>155</v>
      </c>
      <c r="C104" s="3" t="s">
        <v>290</v>
      </c>
      <c r="D104" s="2" t="s">
        <v>291</v>
      </c>
      <c r="E104" s="2" t="s">
        <v>66</v>
      </c>
      <c r="F104" s="2" t="s">
        <v>62</v>
      </c>
      <c r="G104" s="2" t="s">
        <v>134</v>
      </c>
    </row>
    <row r="105" customFormat="false" ht="15" hidden="false" customHeight="false" outlineLevel="0" collapsed="false">
      <c r="A105" s="2" t="s">
        <v>275</v>
      </c>
      <c r="B105" s="3" t="s">
        <v>159</v>
      </c>
      <c r="C105" s="3" t="s">
        <v>292</v>
      </c>
      <c r="D105" s="2" t="s">
        <v>293</v>
      </c>
      <c r="E105" s="2" t="s">
        <v>66</v>
      </c>
      <c r="F105" s="2" t="s">
        <v>62</v>
      </c>
      <c r="G105" s="2" t="s">
        <v>134</v>
      </c>
    </row>
    <row r="106" customFormat="false" ht="15" hidden="false" customHeight="false" outlineLevel="0" collapsed="false">
      <c r="A106" s="2" t="s">
        <v>294</v>
      </c>
      <c r="B106" s="3" t="s">
        <v>53</v>
      </c>
      <c r="C106" s="3" t="s">
        <v>54</v>
      </c>
      <c r="D106" s="2" t="s">
        <v>55</v>
      </c>
      <c r="E106" s="2" t="s">
        <v>56</v>
      </c>
      <c r="F106" s="2" t="s">
        <v>57</v>
      </c>
      <c r="G106" s="2" t="s">
        <v>58</v>
      </c>
    </row>
    <row r="107" customFormat="false" ht="15" hidden="false" customHeight="false" outlineLevel="0" collapsed="false">
      <c r="A107" s="2" t="s">
        <v>294</v>
      </c>
      <c r="B107" s="3" t="s">
        <v>59</v>
      </c>
      <c r="C107" s="3" t="s">
        <v>79</v>
      </c>
      <c r="D107" s="2" t="s">
        <v>80</v>
      </c>
      <c r="E107" s="2" t="s">
        <v>81</v>
      </c>
      <c r="F107" s="2"/>
      <c r="G107" s="2" t="s">
        <v>58</v>
      </c>
    </row>
    <row r="108" customFormat="false" ht="15" hidden="false" customHeight="false" outlineLevel="0" collapsed="false">
      <c r="A108" s="2" t="s">
        <v>294</v>
      </c>
      <c r="B108" s="3" t="s">
        <v>63</v>
      </c>
      <c r="C108" s="3" t="s">
        <v>137</v>
      </c>
      <c r="D108" s="2" t="s">
        <v>85</v>
      </c>
      <c r="E108" s="2" t="s">
        <v>81</v>
      </c>
      <c r="F108" s="2"/>
      <c r="G108" s="2" t="s">
        <v>129</v>
      </c>
    </row>
    <row r="109" customFormat="false" ht="15" hidden="false" customHeight="false" outlineLevel="0" collapsed="false">
      <c r="A109" s="2" t="s">
        <v>294</v>
      </c>
      <c r="B109" s="3" t="s">
        <v>67</v>
      </c>
      <c r="C109" s="3" t="s">
        <v>86</v>
      </c>
      <c r="D109" s="2" t="s">
        <v>87</v>
      </c>
      <c r="E109" s="2" t="s">
        <v>81</v>
      </c>
      <c r="F109" s="2"/>
      <c r="G109" s="2" t="s">
        <v>129</v>
      </c>
    </row>
    <row r="110" customFormat="false" ht="15" hidden="false" customHeight="false" outlineLevel="0" collapsed="false">
      <c r="A110" s="2" t="s">
        <v>294</v>
      </c>
      <c r="B110" s="3" t="s">
        <v>70</v>
      </c>
      <c r="C110" s="3" t="s">
        <v>88</v>
      </c>
      <c r="D110" s="2" t="s">
        <v>89</v>
      </c>
      <c r="E110" s="2" t="s">
        <v>81</v>
      </c>
      <c r="F110" s="2"/>
      <c r="G110" s="2" t="s">
        <v>129</v>
      </c>
    </row>
    <row r="111" customFormat="false" ht="15" hidden="false" customHeight="false" outlineLevel="0" collapsed="false">
      <c r="A111" s="2" t="s">
        <v>294</v>
      </c>
      <c r="B111" s="3" t="s">
        <v>74</v>
      </c>
      <c r="C111" s="3" t="s">
        <v>231</v>
      </c>
      <c r="D111" s="2" t="s">
        <v>276</v>
      </c>
      <c r="E111" s="2" t="s">
        <v>56</v>
      </c>
      <c r="F111" s="3" t="s">
        <v>190</v>
      </c>
      <c r="G111" s="2" t="s">
        <v>295</v>
      </c>
    </row>
    <row r="112" customFormat="false" ht="15" hidden="false" customHeight="false" outlineLevel="0" collapsed="false">
      <c r="A112" s="2" t="s">
        <v>294</v>
      </c>
      <c r="B112" s="3" t="s">
        <v>108</v>
      </c>
      <c r="C112" s="3" t="s">
        <v>278</v>
      </c>
      <c r="D112" s="2" t="s">
        <v>279</v>
      </c>
      <c r="E112" s="2" t="s">
        <v>66</v>
      </c>
      <c r="F112" s="2" t="s">
        <v>201</v>
      </c>
      <c r="G112" s="2" t="s">
        <v>134</v>
      </c>
    </row>
    <row r="113" customFormat="false" ht="15" hidden="false" customHeight="false" outlineLevel="0" collapsed="false">
      <c r="A113" s="2" t="s">
        <v>294</v>
      </c>
      <c r="B113" s="3" t="s">
        <v>112</v>
      </c>
      <c r="C113" s="3" t="s">
        <v>296</v>
      </c>
      <c r="D113" s="2" t="s">
        <v>297</v>
      </c>
      <c r="E113" s="2" t="s">
        <v>56</v>
      </c>
      <c r="F113" s="2" t="s">
        <v>298</v>
      </c>
      <c r="G113" s="2" t="s">
        <v>134</v>
      </c>
    </row>
    <row r="114" customFormat="false" ht="15" hidden="false" customHeight="false" outlineLevel="0" collapsed="false">
      <c r="A114" s="2" t="s">
        <v>294</v>
      </c>
      <c r="B114" s="3" t="s">
        <v>116</v>
      </c>
      <c r="C114" s="3" t="s">
        <v>299</v>
      </c>
      <c r="D114" s="2" t="s">
        <v>300</v>
      </c>
      <c r="E114" s="2" t="s">
        <v>56</v>
      </c>
      <c r="F114" s="3" t="s">
        <v>146</v>
      </c>
      <c r="G114" s="2" t="s">
        <v>134</v>
      </c>
    </row>
    <row r="115" customFormat="false" ht="15" hidden="false" customHeight="false" outlineLevel="0" collapsed="false">
      <c r="A115" s="2" t="s">
        <v>294</v>
      </c>
      <c r="B115" s="3" t="s">
        <v>120</v>
      </c>
      <c r="C115" s="3" t="s">
        <v>301</v>
      </c>
      <c r="D115" s="2" t="s">
        <v>302</v>
      </c>
      <c r="E115" s="2" t="s">
        <v>56</v>
      </c>
      <c r="F115" s="3" t="s">
        <v>149</v>
      </c>
      <c r="G115" s="2" t="s">
        <v>134</v>
      </c>
    </row>
    <row r="116" customFormat="false" ht="15" hidden="false" customHeight="false" outlineLevel="0" collapsed="false">
      <c r="A116" s="2" t="s">
        <v>294</v>
      </c>
      <c r="B116" s="3" t="s">
        <v>123</v>
      </c>
      <c r="C116" s="3" t="s">
        <v>303</v>
      </c>
      <c r="D116" s="2" t="s">
        <v>304</v>
      </c>
      <c r="E116" s="2" t="s">
        <v>56</v>
      </c>
      <c r="F116" s="3" t="s">
        <v>112</v>
      </c>
      <c r="G116" s="2" t="s">
        <v>134</v>
      </c>
    </row>
    <row r="117" customFormat="false" ht="15" hidden="false" customHeight="false" outlineLevel="0" collapsed="false">
      <c r="A117" s="2" t="s">
        <v>294</v>
      </c>
      <c r="B117" s="3" t="s">
        <v>126</v>
      </c>
      <c r="C117" s="3" t="s">
        <v>305</v>
      </c>
      <c r="D117" s="2" t="s">
        <v>306</v>
      </c>
      <c r="E117" s="2" t="s">
        <v>56</v>
      </c>
      <c r="F117" s="3" t="s">
        <v>197</v>
      </c>
      <c r="G117" s="2" t="s">
        <v>134</v>
      </c>
    </row>
    <row r="118" customFormat="false" ht="15" hidden="false" customHeight="false" outlineLevel="0" collapsed="false">
      <c r="A118" s="2" t="s">
        <v>294</v>
      </c>
      <c r="B118" s="3" t="s">
        <v>130</v>
      </c>
      <c r="C118" s="3" t="s">
        <v>307</v>
      </c>
      <c r="D118" s="2" t="s">
        <v>308</v>
      </c>
      <c r="E118" s="2" t="s">
        <v>56</v>
      </c>
      <c r="F118" s="3" t="s">
        <v>166</v>
      </c>
      <c r="G118" s="2" t="s">
        <v>134</v>
      </c>
    </row>
    <row r="119" customFormat="false" ht="15" hidden="false" customHeight="false" outlineLevel="0" collapsed="false">
      <c r="A119" s="2" t="s">
        <v>294</v>
      </c>
      <c r="B119" s="3" t="s">
        <v>155</v>
      </c>
      <c r="C119" s="3" t="s">
        <v>309</v>
      </c>
      <c r="D119" s="2" t="s">
        <v>310</v>
      </c>
      <c r="E119" s="2" t="s">
        <v>56</v>
      </c>
      <c r="F119" s="3" t="s">
        <v>170</v>
      </c>
      <c r="G119" s="2" t="s">
        <v>134</v>
      </c>
    </row>
    <row r="120" customFormat="false" ht="15" hidden="false" customHeight="false" outlineLevel="0" collapsed="false">
      <c r="A120" s="2" t="s">
        <v>294</v>
      </c>
      <c r="B120" s="3" t="s">
        <v>159</v>
      </c>
      <c r="C120" s="3" t="s">
        <v>311</v>
      </c>
      <c r="D120" s="2" t="s">
        <v>312</v>
      </c>
      <c r="E120" s="2" t="s">
        <v>56</v>
      </c>
      <c r="F120" s="3" t="s">
        <v>189</v>
      </c>
      <c r="G120" s="2" t="s">
        <v>134</v>
      </c>
    </row>
    <row r="121" customFormat="false" ht="15" hidden="false" customHeight="false" outlineLevel="0" collapsed="false">
      <c r="A121" s="2" t="s">
        <v>294</v>
      </c>
      <c r="B121" s="3" t="s">
        <v>163</v>
      </c>
      <c r="C121" s="3" t="s">
        <v>313</v>
      </c>
      <c r="D121" s="2" t="s">
        <v>314</v>
      </c>
      <c r="E121" s="2" t="s">
        <v>66</v>
      </c>
      <c r="F121" s="2" t="s">
        <v>201</v>
      </c>
      <c r="G121" s="2" t="s">
        <v>134</v>
      </c>
    </row>
    <row r="122" customFormat="false" ht="15" hidden="false" customHeight="false" outlineLevel="0" collapsed="false">
      <c r="A122" s="2" t="s">
        <v>294</v>
      </c>
      <c r="B122" s="3" t="s">
        <v>167</v>
      </c>
      <c r="C122" s="3" t="s">
        <v>315</v>
      </c>
      <c r="D122" s="2" t="s">
        <v>316</v>
      </c>
      <c r="E122" s="2" t="s">
        <v>66</v>
      </c>
      <c r="F122" s="2" t="s">
        <v>201</v>
      </c>
      <c r="G122" s="2" t="s">
        <v>134</v>
      </c>
    </row>
    <row r="123" customFormat="false" ht="15" hidden="false" customHeight="false" outlineLevel="0" collapsed="false">
      <c r="A123" s="2" t="s">
        <v>294</v>
      </c>
      <c r="B123" s="3" t="s">
        <v>152</v>
      </c>
      <c r="C123" s="3" t="s">
        <v>317</v>
      </c>
      <c r="D123" s="2" t="s">
        <v>318</v>
      </c>
      <c r="E123" s="2" t="s">
        <v>56</v>
      </c>
      <c r="F123" s="2" t="s">
        <v>298</v>
      </c>
      <c r="G123" s="2" t="s">
        <v>134</v>
      </c>
    </row>
    <row r="124" customFormat="false" ht="15" hidden="false" customHeight="false" outlineLevel="0" collapsed="false">
      <c r="A124" s="2" t="s">
        <v>294</v>
      </c>
      <c r="B124" s="3" t="s">
        <v>174</v>
      </c>
      <c r="C124" s="3" t="s">
        <v>319</v>
      </c>
      <c r="D124" s="2" t="s">
        <v>320</v>
      </c>
      <c r="E124" s="2" t="s">
        <v>56</v>
      </c>
      <c r="F124" s="2" t="s">
        <v>246</v>
      </c>
      <c r="G124" s="2" t="s">
        <v>134</v>
      </c>
    </row>
    <row r="125" customFormat="false" ht="15" hidden="false" customHeight="false" outlineLevel="0" collapsed="false">
      <c r="A125" s="2" t="s">
        <v>294</v>
      </c>
      <c r="B125" s="3" t="s">
        <v>178</v>
      </c>
      <c r="C125" s="3" t="s">
        <v>321</v>
      </c>
      <c r="D125" s="2" t="s">
        <v>322</v>
      </c>
      <c r="E125" s="2" t="s">
        <v>66</v>
      </c>
      <c r="F125" s="2" t="s">
        <v>77</v>
      </c>
      <c r="G125" s="2" t="s">
        <v>134</v>
      </c>
    </row>
    <row r="126" customFormat="false" ht="15" hidden="false" customHeight="false" outlineLevel="0" collapsed="false">
      <c r="A126" s="2" t="s">
        <v>294</v>
      </c>
      <c r="B126" s="3" t="s">
        <v>182</v>
      </c>
      <c r="C126" s="3" t="s">
        <v>323</v>
      </c>
      <c r="D126" s="2" t="s">
        <v>324</v>
      </c>
      <c r="E126" s="2" t="s">
        <v>56</v>
      </c>
      <c r="F126" s="3" t="s">
        <v>177</v>
      </c>
      <c r="G126" s="2" t="s">
        <v>134</v>
      </c>
    </row>
    <row r="127" customFormat="false" ht="15" hidden="false" customHeight="false" outlineLevel="0" collapsed="false">
      <c r="A127" s="2" t="s">
        <v>294</v>
      </c>
      <c r="B127" s="3" t="s">
        <v>186</v>
      </c>
      <c r="C127" s="3" t="s">
        <v>325</v>
      </c>
      <c r="D127" s="2" t="s">
        <v>326</v>
      </c>
      <c r="E127" s="2" t="s">
        <v>56</v>
      </c>
      <c r="F127" s="3" t="s">
        <v>256</v>
      </c>
      <c r="G127" s="2" t="s">
        <v>134</v>
      </c>
    </row>
    <row r="128" customFormat="false" ht="15" hidden="false" customHeight="false" outlineLevel="0" collapsed="false">
      <c r="A128" s="2" t="s">
        <v>294</v>
      </c>
      <c r="B128" s="3" t="s">
        <v>190</v>
      </c>
      <c r="C128" s="3" t="s">
        <v>327</v>
      </c>
      <c r="D128" s="2" t="s">
        <v>328</v>
      </c>
      <c r="E128" s="2" t="s">
        <v>66</v>
      </c>
      <c r="F128" s="2"/>
      <c r="G128" s="2" t="s">
        <v>134</v>
      </c>
    </row>
    <row r="129" customFormat="false" ht="15" hidden="false" customHeight="false" outlineLevel="0" collapsed="false">
      <c r="A129" s="2" t="s">
        <v>294</v>
      </c>
      <c r="B129" s="3" t="s">
        <v>194</v>
      </c>
      <c r="C129" s="3" t="s">
        <v>329</v>
      </c>
      <c r="D129" s="2" t="s">
        <v>330</v>
      </c>
      <c r="E129" s="2" t="s">
        <v>66</v>
      </c>
      <c r="F129" s="3" t="s">
        <v>264</v>
      </c>
      <c r="G129" s="2" t="s">
        <v>134</v>
      </c>
    </row>
    <row r="130" customFormat="false" ht="15" hidden="false" customHeight="false" outlineLevel="0" collapsed="false">
      <c r="A130" s="2" t="s">
        <v>331</v>
      </c>
      <c r="B130" s="3" t="s">
        <v>53</v>
      </c>
      <c r="C130" s="3" t="s">
        <v>54</v>
      </c>
      <c r="D130" s="2" t="s">
        <v>55</v>
      </c>
      <c r="E130" s="2" t="s">
        <v>56</v>
      </c>
      <c r="F130" s="2" t="s">
        <v>57</v>
      </c>
      <c r="G130" s="2" t="s">
        <v>58</v>
      </c>
    </row>
    <row r="131" customFormat="false" ht="15" hidden="false" customHeight="false" outlineLevel="0" collapsed="false">
      <c r="A131" s="2" t="s">
        <v>331</v>
      </c>
      <c r="B131" s="3" t="s">
        <v>59</v>
      </c>
      <c r="C131" s="3" t="s">
        <v>332</v>
      </c>
      <c r="D131" s="2" t="s">
        <v>333</v>
      </c>
      <c r="E131" s="2" t="s">
        <v>81</v>
      </c>
      <c r="F131" s="2"/>
      <c r="G131" s="2" t="s">
        <v>58</v>
      </c>
    </row>
    <row r="132" customFormat="false" ht="15" hidden="false" customHeight="false" outlineLevel="0" collapsed="false">
      <c r="A132" s="2" t="s">
        <v>331</v>
      </c>
      <c r="B132" s="3" t="s">
        <v>63</v>
      </c>
      <c r="C132" s="3" t="s">
        <v>334</v>
      </c>
      <c r="D132" s="2" t="s">
        <v>335</v>
      </c>
      <c r="E132" s="2" t="s">
        <v>81</v>
      </c>
      <c r="F132" s="2"/>
      <c r="G132" s="2" t="s">
        <v>58</v>
      </c>
    </row>
    <row r="133" customFormat="false" ht="15" hidden="false" customHeight="false" outlineLevel="0" collapsed="false">
      <c r="A133" s="2" t="s">
        <v>331</v>
      </c>
      <c r="B133" s="3" t="s">
        <v>67</v>
      </c>
      <c r="C133" s="3" t="s">
        <v>336</v>
      </c>
      <c r="D133" s="2" t="s">
        <v>66</v>
      </c>
      <c r="E133" s="2" t="s">
        <v>66</v>
      </c>
      <c r="F133" s="2" t="s">
        <v>337</v>
      </c>
      <c r="G133" s="2" t="s">
        <v>134</v>
      </c>
    </row>
    <row r="134" customFormat="false" ht="15" hidden="false" customHeight="false" outlineLevel="0" collapsed="false">
      <c r="A134" s="2" t="s">
        <v>331</v>
      </c>
      <c r="B134" s="3" t="s">
        <v>70</v>
      </c>
      <c r="C134" s="3" t="s">
        <v>338</v>
      </c>
      <c r="D134" s="2" t="s">
        <v>50</v>
      </c>
      <c r="E134" s="2" t="s">
        <v>81</v>
      </c>
      <c r="F134" s="2"/>
      <c r="G134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6"/>
  </cols>
  <sheetData>
    <row r="1" customFormat="false" ht="31.5" hidden="false" customHeight="true" outlineLevel="0" collapsed="false">
      <c r="A1" s="1" t="s">
        <v>55</v>
      </c>
      <c r="B1" s="1" t="s">
        <v>61</v>
      </c>
      <c r="C1" s="4" t="s">
        <v>339</v>
      </c>
      <c r="D1" s="1" t="s">
        <v>69</v>
      </c>
      <c r="E1" s="1" t="s">
        <v>72</v>
      </c>
      <c r="F1" s="1" t="s">
        <v>76</v>
      </c>
    </row>
    <row r="2" customFormat="false" ht="15" hidden="false" customHeight="false" outlineLevel="0" collapsed="false">
      <c r="A2" s="5" t="n">
        <v>2024</v>
      </c>
      <c r="B2" s="5" t="n">
        <v>162</v>
      </c>
      <c r="C2" s="6" t="n">
        <v>3.13</v>
      </c>
      <c r="D2" s="6" t="n">
        <v>1.83</v>
      </c>
      <c r="E2" s="5" t="n">
        <v>502</v>
      </c>
      <c r="F2" s="5" t="n">
        <v>162</v>
      </c>
    </row>
    <row r="3" customFormat="false" ht="15" hidden="false" customHeight="false" outlineLevel="0" collapsed="false">
      <c r="A3" s="5" t="n">
        <v>2025</v>
      </c>
      <c r="B3" s="5" t="n">
        <v>162</v>
      </c>
      <c r="C3" s="6" t="n">
        <v>3.1</v>
      </c>
      <c r="D3" s="6" t="n">
        <v>1.83</v>
      </c>
      <c r="E3" s="5" t="n">
        <v>502</v>
      </c>
      <c r="F3" s="5" t="n">
        <v>162</v>
      </c>
    </row>
    <row r="4" customFormat="false" ht="15" hidden="false" customHeight="false" outlineLevel="0" collapsed="false">
      <c r="A4" s="5" t="n">
        <v>2026</v>
      </c>
      <c r="B4" s="5" t="n">
        <v>162</v>
      </c>
      <c r="C4" s="6" t="n">
        <v>3.08</v>
      </c>
      <c r="D4" s="6" t="n">
        <v>1.83</v>
      </c>
      <c r="E4" s="5" t="n">
        <v>502</v>
      </c>
      <c r="F4" s="5" t="n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8"/>
    <col collapsed="false" customWidth="true" hidden="false" outlineLevel="0" max="6" min="6" style="0" width="22"/>
  </cols>
  <sheetData>
    <row r="1" customFormat="false" ht="31.5" hidden="false" customHeight="true" outlineLevel="0" collapsed="false">
      <c r="A1" s="1" t="s">
        <v>80</v>
      </c>
      <c r="B1" s="1" t="s">
        <v>83</v>
      </c>
      <c r="C1" s="1" t="s">
        <v>85</v>
      </c>
      <c r="D1" s="1" t="s">
        <v>87</v>
      </c>
      <c r="E1" s="1" t="s">
        <v>89</v>
      </c>
      <c r="F1" s="1" t="s">
        <v>91</v>
      </c>
    </row>
    <row r="2" customFormat="false" ht="15" hidden="false" customHeight="false" outlineLevel="0" collapsed="false">
      <c r="A2" s="7" t="s">
        <v>340</v>
      </c>
      <c r="B2" s="7" t="s">
        <v>341</v>
      </c>
      <c r="C2" s="8" t="s">
        <v>342</v>
      </c>
      <c r="D2" s="8" t="s">
        <v>343</v>
      </c>
      <c r="E2" s="8" t="s">
        <v>344</v>
      </c>
      <c r="F2" s="7" t="s">
        <v>345</v>
      </c>
    </row>
    <row r="3" customFormat="false" ht="15" hidden="false" customHeight="false" outlineLevel="0" collapsed="false">
      <c r="A3" s="7" t="s">
        <v>346</v>
      </c>
      <c r="B3" s="7" t="s">
        <v>347</v>
      </c>
      <c r="C3" s="8" t="s">
        <v>348</v>
      </c>
      <c r="D3" s="8" t="s">
        <v>343</v>
      </c>
      <c r="E3" s="8" t="s">
        <v>344</v>
      </c>
      <c r="F3" s="7" t="s">
        <v>349</v>
      </c>
    </row>
    <row r="4" customFormat="false" ht="15" hidden="false" customHeight="false" outlineLevel="0" collapsed="false">
      <c r="A4" s="7" t="s">
        <v>350</v>
      </c>
      <c r="B4" s="7" t="s">
        <v>351</v>
      </c>
      <c r="C4" s="8" t="s">
        <v>352</v>
      </c>
      <c r="D4" s="8" t="s">
        <v>343</v>
      </c>
      <c r="E4" s="8" t="s">
        <v>344</v>
      </c>
      <c r="F4" s="7" t="s">
        <v>353</v>
      </c>
    </row>
    <row r="5" customFormat="false" ht="15" hidden="false" customHeight="false" outlineLevel="0" collapsed="false">
      <c r="A5" s="7" t="s">
        <v>354</v>
      </c>
      <c r="B5" s="7" t="s">
        <v>355</v>
      </c>
      <c r="C5" s="8" t="s">
        <v>356</v>
      </c>
      <c r="D5" s="8" t="s">
        <v>343</v>
      </c>
      <c r="E5" s="8" t="s">
        <v>344</v>
      </c>
      <c r="F5" s="7" t="s">
        <v>357</v>
      </c>
    </row>
    <row r="6" customFormat="false" ht="15" hidden="false" customHeight="false" outlineLevel="0" collapsed="false">
      <c r="A6" s="7" t="s">
        <v>358</v>
      </c>
      <c r="B6" s="7" t="s">
        <v>359</v>
      </c>
      <c r="C6" s="8" t="s">
        <v>360</v>
      </c>
      <c r="D6" s="8" t="s">
        <v>343</v>
      </c>
      <c r="E6" s="8" t="s">
        <v>344</v>
      </c>
      <c r="F6" s="7" t="s">
        <v>361</v>
      </c>
    </row>
    <row r="7" customFormat="false" ht="15" hidden="false" customHeight="false" outlineLevel="0" collapsed="false">
      <c r="A7" s="7" t="s">
        <v>362</v>
      </c>
      <c r="B7" s="7" t="s">
        <v>363</v>
      </c>
      <c r="C7" s="8" t="s">
        <v>364</v>
      </c>
      <c r="D7" s="8" t="s">
        <v>343</v>
      </c>
      <c r="E7" s="8" t="s">
        <v>365</v>
      </c>
      <c r="F7" s="7" t="s">
        <v>366</v>
      </c>
    </row>
    <row r="8" customFormat="false" ht="15" hidden="false" customHeight="false" outlineLevel="0" collapsed="false">
      <c r="A8" s="7" t="s">
        <v>367</v>
      </c>
      <c r="B8" s="7" t="s">
        <v>368</v>
      </c>
      <c r="C8" s="8" t="s">
        <v>369</v>
      </c>
      <c r="D8" s="8" t="s">
        <v>343</v>
      </c>
      <c r="E8" s="8" t="s">
        <v>365</v>
      </c>
      <c r="F8" s="7" t="s">
        <v>370</v>
      </c>
    </row>
    <row r="9" customFormat="false" ht="15" hidden="false" customHeight="false" outlineLevel="0" collapsed="false">
      <c r="A9" s="7" t="s">
        <v>371</v>
      </c>
      <c r="B9" s="7" t="s">
        <v>372</v>
      </c>
      <c r="C9" s="8" t="s">
        <v>373</v>
      </c>
      <c r="D9" s="8" t="s">
        <v>343</v>
      </c>
      <c r="E9" s="8" t="s">
        <v>365</v>
      </c>
      <c r="F9" s="7" t="s">
        <v>374</v>
      </c>
    </row>
    <row r="10" customFormat="false" ht="15" hidden="false" customHeight="false" outlineLevel="0" collapsed="false">
      <c r="A10" s="7" t="s">
        <v>375</v>
      </c>
      <c r="B10" s="7" t="s">
        <v>376</v>
      </c>
      <c r="C10" s="8" t="s">
        <v>377</v>
      </c>
      <c r="D10" s="8" t="s">
        <v>343</v>
      </c>
      <c r="E10" s="8" t="s">
        <v>365</v>
      </c>
      <c r="F10" s="7" t="s">
        <v>378</v>
      </c>
    </row>
    <row r="11" customFormat="false" ht="15" hidden="false" customHeight="false" outlineLevel="0" collapsed="false">
      <c r="A11" s="7" t="s">
        <v>379</v>
      </c>
      <c r="B11" s="7" t="s">
        <v>380</v>
      </c>
      <c r="C11" s="8" t="s">
        <v>381</v>
      </c>
      <c r="D11" s="8" t="s">
        <v>343</v>
      </c>
      <c r="E11" s="8" t="s">
        <v>365</v>
      </c>
      <c r="F11" s="7" t="s">
        <v>382</v>
      </c>
    </row>
    <row r="12" customFormat="false" ht="15" hidden="false" customHeight="false" outlineLevel="0" collapsed="false">
      <c r="A12" s="7" t="s">
        <v>383</v>
      </c>
      <c r="B12" s="7" t="s">
        <v>384</v>
      </c>
      <c r="C12" s="8" t="s">
        <v>385</v>
      </c>
      <c r="D12" s="8" t="s">
        <v>343</v>
      </c>
      <c r="E12" s="8" t="s">
        <v>386</v>
      </c>
      <c r="F12" s="7" t="s">
        <v>387</v>
      </c>
    </row>
    <row r="13" customFormat="false" ht="15" hidden="false" customHeight="false" outlineLevel="0" collapsed="false">
      <c r="A13" s="7" t="s">
        <v>388</v>
      </c>
      <c r="B13" s="7" t="s">
        <v>389</v>
      </c>
      <c r="C13" s="8" t="s">
        <v>390</v>
      </c>
      <c r="D13" s="8" t="s">
        <v>343</v>
      </c>
      <c r="E13" s="8" t="s">
        <v>386</v>
      </c>
      <c r="F13" s="7" t="s">
        <v>391</v>
      </c>
    </row>
    <row r="14" customFormat="false" ht="15" hidden="false" customHeight="false" outlineLevel="0" collapsed="false">
      <c r="A14" s="7" t="s">
        <v>392</v>
      </c>
      <c r="B14" s="7" t="s">
        <v>393</v>
      </c>
      <c r="C14" s="8" t="s">
        <v>394</v>
      </c>
      <c r="D14" s="8" t="s">
        <v>343</v>
      </c>
      <c r="E14" s="8" t="s">
        <v>386</v>
      </c>
      <c r="F14" s="7" t="s">
        <v>395</v>
      </c>
    </row>
    <row r="15" customFormat="false" ht="15" hidden="false" customHeight="false" outlineLevel="0" collapsed="false">
      <c r="A15" s="7" t="s">
        <v>396</v>
      </c>
      <c r="B15" s="7" t="s">
        <v>397</v>
      </c>
      <c r="C15" s="8" t="s">
        <v>398</v>
      </c>
      <c r="D15" s="8" t="s">
        <v>343</v>
      </c>
      <c r="E15" s="8" t="s">
        <v>386</v>
      </c>
      <c r="F15" s="7" t="s">
        <v>399</v>
      </c>
    </row>
    <row r="16" customFormat="false" ht="15" hidden="false" customHeight="false" outlineLevel="0" collapsed="false">
      <c r="A16" s="7" t="s">
        <v>400</v>
      </c>
      <c r="B16" s="7" t="s">
        <v>401</v>
      </c>
      <c r="C16" s="8" t="s">
        <v>402</v>
      </c>
      <c r="D16" s="8" t="s">
        <v>343</v>
      </c>
      <c r="E16" s="8" t="s">
        <v>386</v>
      </c>
      <c r="F16" s="7" t="s">
        <v>403</v>
      </c>
    </row>
    <row r="17" customFormat="false" ht="15" hidden="false" customHeight="false" outlineLevel="0" collapsed="false">
      <c r="A17" s="7" t="s">
        <v>404</v>
      </c>
      <c r="B17" s="7" t="s">
        <v>405</v>
      </c>
      <c r="C17" s="8" t="s">
        <v>406</v>
      </c>
      <c r="D17" s="8" t="s">
        <v>407</v>
      </c>
      <c r="E17" s="8" t="s">
        <v>408</v>
      </c>
      <c r="F17" s="7" t="s">
        <v>409</v>
      </c>
    </row>
    <row r="18" customFormat="false" ht="15" hidden="false" customHeight="false" outlineLevel="0" collapsed="false">
      <c r="A18" s="7" t="s">
        <v>410</v>
      </c>
      <c r="B18" s="7" t="s">
        <v>411</v>
      </c>
      <c r="C18" s="8" t="s">
        <v>412</v>
      </c>
      <c r="D18" s="8" t="s">
        <v>407</v>
      </c>
      <c r="E18" s="8" t="s">
        <v>408</v>
      </c>
      <c r="F18" s="7" t="s">
        <v>413</v>
      </c>
    </row>
    <row r="19" customFormat="false" ht="15" hidden="false" customHeight="false" outlineLevel="0" collapsed="false">
      <c r="A19" s="7" t="s">
        <v>414</v>
      </c>
      <c r="B19" s="7" t="s">
        <v>415</v>
      </c>
      <c r="C19" s="8" t="s">
        <v>416</v>
      </c>
      <c r="D19" s="8" t="s">
        <v>407</v>
      </c>
      <c r="E19" s="8" t="s">
        <v>408</v>
      </c>
      <c r="F19" s="7" t="s">
        <v>417</v>
      </c>
    </row>
    <row r="20" customFormat="false" ht="15" hidden="false" customHeight="false" outlineLevel="0" collapsed="false">
      <c r="A20" s="7" t="s">
        <v>418</v>
      </c>
      <c r="B20" s="7" t="s">
        <v>419</v>
      </c>
      <c r="C20" s="8" t="s">
        <v>420</v>
      </c>
      <c r="D20" s="8" t="s">
        <v>407</v>
      </c>
      <c r="E20" s="8" t="s">
        <v>408</v>
      </c>
      <c r="F20" s="7" t="s">
        <v>421</v>
      </c>
    </row>
    <row r="21" customFormat="false" ht="15" hidden="false" customHeight="false" outlineLevel="0" collapsed="false">
      <c r="A21" s="7" t="s">
        <v>422</v>
      </c>
      <c r="B21" s="7" t="s">
        <v>423</v>
      </c>
      <c r="C21" s="8" t="s">
        <v>424</v>
      </c>
      <c r="D21" s="8" t="s">
        <v>407</v>
      </c>
      <c r="E21" s="8" t="s">
        <v>408</v>
      </c>
      <c r="F21" s="7" t="s">
        <v>425</v>
      </c>
    </row>
    <row r="22" customFormat="false" ht="15" hidden="false" customHeight="false" outlineLevel="0" collapsed="false">
      <c r="A22" s="7" t="s">
        <v>426</v>
      </c>
      <c r="B22" s="7" t="s">
        <v>427</v>
      </c>
      <c r="C22" s="8" t="s">
        <v>428</v>
      </c>
      <c r="D22" s="8" t="s">
        <v>407</v>
      </c>
      <c r="E22" s="8" t="s">
        <v>429</v>
      </c>
      <c r="F22" s="7" t="s">
        <v>366</v>
      </c>
    </row>
    <row r="23" customFormat="false" ht="15" hidden="false" customHeight="false" outlineLevel="0" collapsed="false">
      <c r="A23" s="7" t="s">
        <v>430</v>
      </c>
      <c r="B23" s="7" t="s">
        <v>431</v>
      </c>
      <c r="C23" s="8" t="s">
        <v>432</v>
      </c>
      <c r="D23" s="8" t="s">
        <v>407</v>
      </c>
      <c r="E23" s="8" t="s">
        <v>429</v>
      </c>
      <c r="F23" s="7" t="s">
        <v>433</v>
      </c>
    </row>
    <row r="24" customFormat="false" ht="15" hidden="false" customHeight="false" outlineLevel="0" collapsed="false">
      <c r="A24" s="7" t="s">
        <v>434</v>
      </c>
      <c r="B24" s="7" t="s">
        <v>435</v>
      </c>
      <c r="C24" s="8" t="s">
        <v>436</v>
      </c>
      <c r="D24" s="8" t="s">
        <v>407</v>
      </c>
      <c r="E24" s="8" t="s">
        <v>429</v>
      </c>
      <c r="F24" s="7" t="s">
        <v>437</v>
      </c>
    </row>
    <row r="25" customFormat="false" ht="15" hidden="false" customHeight="false" outlineLevel="0" collapsed="false">
      <c r="A25" s="7" t="s">
        <v>438</v>
      </c>
      <c r="B25" s="7" t="s">
        <v>439</v>
      </c>
      <c r="C25" s="8" t="s">
        <v>440</v>
      </c>
      <c r="D25" s="8" t="s">
        <v>407</v>
      </c>
      <c r="E25" s="8" t="s">
        <v>429</v>
      </c>
      <c r="F25" s="7" t="s">
        <v>441</v>
      </c>
    </row>
    <row r="26" customFormat="false" ht="15" hidden="false" customHeight="false" outlineLevel="0" collapsed="false">
      <c r="A26" s="7" t="s">
        <v>442</v>
      </c>
      <c r="B26" s="7" t="s">
        <v>443</v>
      </c>
      <c r="C26" s="8" t="s">
        <v>444</v>
      </c>
      <c r="D26" s="8" t="s">
        <v>407</v>
      </c>
      <c r="E26" s="8" t="s">
        <v>429</v>
      </c>
      <c r="F26" s="7" t="s">
        <v>445</v>
      </c>
    </row>
    <row r="27" customFormat="false" ht="15" hidden="false" customHeight="false" outlineLevel="0" collapsed="false">
      <c r="A27" s="7" t="s">
        <v>446</v>
      </c>
      <c r="B27" s="7" t="s">
        <v>447</v>
      </c>
      <c r="C27" s="8" t="s">
        <v>448</v>
      </c>
      <c r="D27" s="8" t="s">
        <v>407</v>
      </c>
      <c r="E27" s="8" t="s">
        <v>449</v>
      </c>
      <c r="F27" s="7" t="s">
        <v>450</v>
      </c>
    </row>
    <row r="28" customFormat="false" ht="15" hidden="false" customHeight="false" outlineLevel="0" collapsed="false">
      <c r="A28" s="7" t="s">
        <v>451</v>
      </c>
      <c r="B28" s="7" t="s">
        <v>452</v>
      </c>
      <c r="C28" s="8" t="s">
        <v>453</v>
      </c>
      <c r="D28" s="8" t="s">
        <v>407</v>
      </c>
      <c r="E28" s="8" t="s">
        <v>449</v>
      </c>
      <c r="F28" s="7" t="s">
        <v>454</v>
      </c>
    </row>
    <row r="29" customFormat="false" ht="15" hidden="false" customHeight="false" outlineLevel="0" collapsed="false">
      <c r="A29" s="7" t="s">
        <v>455</v>
      </c>
      <c r="B29" s="7" t="s">
        <v>456</v>
      </c>
      <c r="C29" s="8" t="s">
        <v>457</v>
      </c>
      <c r="D29" s="8" t="s">
        <v>407</v>
      </c>
      <c r="E29" s="8" t="s">
        <v>449</v>
      </c>
      <c r="F29" s="7" t="s">
        <v>458</v>
      </c>
    </row>
    <row r="30" customFormat="false" ht="15" hidden="false" customHeight="false" outlineLevel="0" collapsed="false">
      <c r="A30" s="7" t="s">
        <v>459</v>
      </c>
      <c r="B30" s="7" t="s">
        <v>460</v>
      </c>
      <c r="C30" s="8" t="s">
        <v>461</v>
      </c>
      <c r="D30" s="8" t="s">
        <v>407</v>
      </c>
      <c r="E30" s="8" t="s">
        <v>449</v>
      </c>
      <c r="F30" s="7" t="s">
        <v>462</v>
      </c>
    </row>
    <row r="31" customFormat="false" ht="15" hidden="false" customHeight="false" outlineLevel="0" collapsed="false">
      <c r="A31" s="7" t="s">
        <v>463</v>
      </c>
      <c r="B31" s="7" t="s">
        <v>464</v>
      </c>
      <c r="C31" s="8" t="s">
        <v>465</v>
      </c>
      <c r="D31" s="8" t="s">
        <v>407</v>
      </c>
      <c r="E31" s="8" t="s">
        <v>449</v>
      </c>
      <c r="F31" s="7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7" min="5" style="0" width="12"/>
    <col collapsed="false" customWidth="true" hidden="false" outlineLevel="0" max="9" min="8" style="0" width="9"/>
    <col collapsed="false" customWidth="true" hidden="false" outlineLevel="0" max="10" min="10" style="0" width="15"/>
    <col collapsed="false" customWidth="true" hidden="false" outlineLevel="0" max="12" min="11" style="0" width="16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1" t="s">
        <v>94</v>
      </c>
      <c r="B1" s="1" t="s">
        <v>96</v>
      </c>
      <c r="C1" s="1" t="s">
        <v>98</v>
      </c>
      <c r="D1" s="1" t="s">
        <v>101</v>
      </c>
      <c r="E1" s="1" t="s">
        <v>103</v>
      </c>
      <c r="F1" s="1" t="s">
        <v>106</v>
      </c>
      <c r="G1" s="1" t="s">
        <v>110</v>
      </c>
      <c r="H1" s="1" t="s">
        <v>114</v>
      </c>
      <c r="I1" s="1" t="s">
        <v>118</v>
      </c>
      <c r="J1" s="1" t="s">
        <v>122</v>
      </c>
      <c r="K1" s="1" t="s">
        <v>125</v>
      </c>
      <c r="L1" s="1" t="s">
        <v>128</v>
      </c>
      <c r="M1" s="1" t="s">
        <v>132</v>
      </c>
    </row>
    <row r="2" customFormat="false" ht="15" hidden="false" customHeight="false" outlineLevel="0" collapsed="false">
      <c r="A2" s="7" t="s">
        <v>467</v>
      </c>
      <c r="B2" s="7" t="s">
        <v>468</v>
      </c>
      <c r="C2" s="8" t="s">
        <v>469</v>
      </c>
      <c r="D2" s="7" t="s">
        <v>470</v>
      </c>
      <c r="E2" s="7" t="s">
        <v>152</v>
      </c>
      <c r="F2" s="7" t="s">
        <v>152</v>
      </c>
      <c r="G2" s="9" t="n">
        <v>35447</v>
      </c>
      <c r="H2" s="5" t="n">
        <v>185</v>
      </c>
      <c r="I2" s="5" t="n">
        <v>93</v>
      </c>
      <c r="J2" s="5" t="n">
        <v>2022</v>
      </c>
      <c r="K2" s="7" t="s">
        <v>392</v>
      </c>
      <c r="L2" s="10" t="str">
        <f aca="false">INDEX(球隊主檔!$C$2:$C$31,MATCH($K2,球隊主檔!$A$2:$A$31,0))</f>
        <v>洛杉磯天使</v>
      </c>
      <c r="M2" s="11" t="n">
        <f aca="false">IF($C2="打者",COUNTIF(打擊成績!$B:$B,$A2),COUNTIF(投手成績!$B:$B,$A2))</f>
        <v>3</v>
      </c>
    </row>
    <row r="3" customFormat="false" ht="15" hidden="false" customHeight="false" outlineLevel="0" collapsed="false">
      <c r="A3" s="7" t="s">
        <v>471</v>
      </c>
      <c r="B3" s="7" t="s">
        <v>472</v>
      </c>
      <c r="C3" s="8" t="s">
        <v>469</v>
      </c>
      <c r="D3" s="7" t="s">
        <v>473</v>
      </c>
      <c r="E3" s="7" t="s">
        <v>152</v>
      </c>
      <c r="F3" s="7" t="s">
        <v>152</v>
      </c>
      <c r="G3" s="9" t="n">
        <v>34985</v>
      </c>
      <c r="H3" s="5" t="n">
        <v>186</v>
      </c>
      <c r="I3" s="5" t="n">
        <v>85</v>
      </c>
      <c r="J3" s="5" t="n">
        <v>2015</v>
      </c>
      <c r="K3" s="7" t="s">
        <v>340</v>
      </c>
      <c r="L3" s="10" t="str">
        <f aca="false">INDEX(球隊主檔!$C$2:$C$31,MATCH($K3,球隊主檔!$A$2:$A$31,0))</f>
        <v>巴爾的摩金鶯</v>
      </c>
      <c r="M3" s="11" t="n">
        <f aca="false">IF($C3="打者",COUNTIF(打擊成績!$B:$B,$A3),COUNTIF(投手成績!$B:$B,$A3))</f>
        <v>3</v>
      </c>
    </row>
    <row r="4" customFormat="false" ht="15" hidden="false" customHeight="false" outlineLevel="0" collapsed="false">
      <c r="A4" s="7" t="s">
        <v>474</v>
      </c>
      <c r="B4" s="7" t="s">
        <v>475</v>
      </c>
      <c r="C4" s="8" t="s">
        <v>469</v>
      </c>
      <c r="D4" s="7" t="s">
        <v>162</v>
      </c>
      <c r="E4" s="7" t="s">
        <v>152</v>
      </c>
      <c r="F4" s="7" t="s">
        <v>152</v>
      </c>
      <c r="G4" s="9" t="n">
        <v>36627</v>
      </c>
      <c r="H4" s="5" t="n">
        <v>197</v>
      </c>
      <c r="I4" s="5" t="n">
        <v>90</v>
      </c>
      <c r="J4" s="5" t="n">
        <v>2023</v>
      </c>
      <c r="K4" s="7" t="s">
        <v>340</v>
      </c>
      <c r="L4" s="10" t="str">
        <f aca="false">INDEX(球隊主檔!$C$2:$C$31,MATCH($K4,球隊主檔!$A$2:$A$31,0))</f>
        <v>巴爾的摩金鶯</v>
      </c>
      <c r="M4" s="11" t="n">
        <f aca="false">IF($C4="打者",COUNTIF(打擊成績!$B:$B,$A4),COUNTIF(投手成績!$B:$B,$A4))</f>
        <v>3</v>
      </c>
    </row>
    <row r="5" customFormat="false" ht="15" hidden="false" customHeight="false" outlineLevel="0" collapsed="false">
      <c r="A5" s="7" t="s">
        <v>476</v>
      </c>
      <c r="B5" s="7" t="s">
        <v>477</v>
      </c>
      <c r="C5" s="8" t="s">
        <v>469</v>
      </c>
      <c r="D5" s="7" t="s">
        <v>478</v>
      </c>
      <c r="E5" s="7" t="s">
        <v>152</v>
      </c>
      <c r="F5" s="7" t="s">
        <v>126</v>
      </c>
      <c r="G5" s="9" t="n">
        <v>36784</v>
      </c>
      <c r="H5" s="5" t="n">
        <v>175</v>
      </c>
      <c r="I5" s="5" t="n">
        <v>80</v>
      </c>
      <c r="J5" s="5" t="n">
        <v>2022</v>
      </c>
      <c r="K5" s="7" t="s">
        <v>340</v>
      </c>
      <c r="L5" s="10" t="str">
        <f aca="false">INDEX(球隊主檔!$C$2:$C$31,MATCH($K5,球隊主檔!$A$2:$A$31,0))</f>
        <v>巴爾的摩金鶯</v>
      </c>
      <c r="M5" s="11" t="n">
        <f aca="false">IF($C5="打者",COUNTIF(打擊成績!$B:$B,$A5),COUNTIF(投手成績!$B:$B,$A5))</f>
        <v>3</v>
      </c>
    </row>
    <row r="6" customFormat="false" ht="15" hidden="false" customHeight="false" outlineLevel="0" collapsed="false">
      <c r="A6" s="7" t="s">
        <v>479</v>
      </c>
      <c r="B6" s="7" t="s">
        <v>480</v>
      </c>
      <c r="C6" s="8" t="s">
        <v>469</v>
      </c>
      <c r="D6" s="7" t="s">
        <v>473</v>
      </c>
      <c r="E6" s="7" t="s">
        <v>152</v>
      </c>
      <c r="F6" s="7" t="s">
        <v>152</v>
      </c>
      <c r="G6" s="9" t="n">
        <v>33266</v>
      </c>
      <c r="H6" s="5" t="n">
        <v>187</v>
      </c>
      <c r="I6" s="5" t="n">
        <v>79</v>
      </c>
      <c r="J6" s="5" t="n">
        <v>2012</v>
      </c>
      <c r="K6" s="7" t="s">
        <v>340</v>
      </c>
      <c r="L6" s="10" t="str">
        <f aca="false">INDEX(球隊主檔!$C$2:$C$31,MATCH($K6,球隊主檔!$A$2:$A$31,0))</f>
        <v>巴爾的摩金鶯</v>
      </c>
      <c r="M6" s="11" t="n">
        <f aca="false">IF($C6="打者",COUNTIF(打擊成績!$B:$B,$A6),COUNTIF(投手成績!$B:$B,$A6))</f>
        <v>1</v>
      </c>
    </row>
    <row r="7" customFormat="false" ht="15" hidden="false" customHeight="false" outlineLevel="0" collapsed="false">
      <c r="A7" s="7" t="s">
        <v>481</v>
      </c>
      <c r="B7" s="7" t="s">
        <v>482</v>
      </c>
      <c r="C7" s="8" t="s">
        <v>469</v>
      </c>
      <c r="D7" s="7" t="s">
        <v>483</v>
      </c>
      <c r="E7" s="7" t="s">
        <v>152</v>
      </c>
      <c r="F7" s="7" t="s">
        <v>126</v>
      </c>
      <c r="G7" s="9" t="n">
        <v>35313</v>
      </c>
      <c r="H7" s="5" t="n">
        <v>195</v>
      </c>
      <c r="I7" s="5" t="n">
        <v>92</v>
      </c>
      <c r="J7" s="5" t="n">
        <v>2016</v>
      </c>
      <c r="K7" s="7" t="s">
        <v>340</v>
      </c>
      <c r="L7" s="10" t="str">
        <f aca="false">INDEX(球隊主檔!$C$2:$C$31,MATCH($K7,球隊主檔!$A$2:$A$31,0))</f>
        <v>巴爾的摩金鶯</v>
      </c>
      <c r="M7" s="11" t="n">
        <f aca="false">IF($C7="打者",COUNTIF(打擊成績!$B:$B,$A7),COUNTIF(投手成績!$B:$B,$A7))</f>
        <v>3</v>
      </c>
    </row>
    <row r="8" customFormat="false" ht="15" hidden="false" customHeight="false" outlineLevel="0" collapsed="false">
      <c r="A8" s="7" t="s">
        <v>484</v>
      </c>
      <c r="B8" s="7" t="s">
        <v>485</v>
      </c>
      <c r="C8" s="8" t="s">
        <v>469</v>
      </c>
      <c r="D8" s="7" t="s">
        <v>486</v>
      </c>
      <c r="E8" s="7" t="s">
        <v>126</v>
      </c>
      <c r="F8" s="7" t="s">
        <v>152</v>
      </c>
      <c r="G8" s="9" t="n">
        <v>36897</v>
      </c>
      <c r="H8" s="5" t="n">
        <v>191</v>
      </c>
      <c r="I8" s="5" t="n">
        <v>111</v>
      </c>
      <c r="J8" s="5" t="n">
        <v>2024</v>
      </c>
      <c r="K8" s="7" t="s">
        <v>340</v>
      </c>
      <c r="L8" s="10" t="str">
        <f aca="false">INDEX(球隊主檔!$C$2:$C$31,MATCH($K8,球隊主檔!$A$2:$A$31,0))</f>
        <v>巴爾的摩金鶯</v>
      </c>
      <c r="M8" s="11" t="n">
        <f aca="false">IF($C8="打者",COUNTIF(打擊成績!$B:$B,$A8),COUNTIF(投手成績!$B:$B,$A8))</f>
        <v>1</v>
      </c>
    </row>
    <row r="9" customFormat="false" ht="15" hidden="false" customHeight="false" outlineLevel="0" collapsed="false">
      <c r="A9" s="7" t="s">
        <v>487</v>
      </c>
      <c r="B9" s="7" t="s">
        <v>488</v>
      </c>
      <c r="C9" s="8" t="s">
        <v>469</v>
      </c>
      <c r="D9" s="7" t="s">
        <v>486</v>
      </c>
      <c r="E9" s="7" t="s">
        <v>152</v>
      </c>
      <c r="F9" s="7" t="s">
        <v>126</v>
      </c>
      <c r="G9" s="9" t="n">
        <v>35631</v>
      </c>
      <c r="H9" s="5" t="n">
        <v>201</v>
      </c>
      <c r="I9" s="5" t="n">
        <v>110</v>
      </c>
      <c r="J9" s="5" t="n">
        <v>2018</v>
      </c>
      <c r="K9" s="7" t="s">
        <v>340</v>
      </c>
      <c r="L9" s="10" t="str">
        <f aca="false">INDEX(球隊主檔!$C$2:$C$31,MATCH($K9,球隊主檔!$A$2:$A$31,0))</f>
        <v>巴爾的摩金鶯</v>
      </c>
      <c r="M9" s="11" t="n">
        <f aca="false">IF($C9="打者",COUNTIF(打擊成績!$B:$B,$A9),COUNTIF(投手成績!$B:$B,$A9))</f>
        <v>1</v>
      </c>
    </row>
    <row r="10" customFormat="false" ht="15" hidden="false" customHeight="false" outlineLevel="0" collapsed="false">
      <c r="A10" s="7" t="s">
        <v>489</v>
      </c>
      <c r="B10" s="7" t="s">
        <v>490</v>
      </c>
      <c r="C10" s="8" t="s">
        <v>469</v>
      </c>
      <c r="D10" s="7" t="s">
        <v>486</v>
      </c>
      <c r="E10" s="7" t="s">
        <v>152</v>
      </c>
      <c r="F10" s="7" t="s">
        <v>126</v>
      </c>
      <c r="G10" s="9" t="n">
        <v>35171</v>
      </c>
      <c r="H10" s="5" t="n">
        <v>197</v>
      </c>
      <c r="I10" s="5" t="n">
        <v>90</v>
      </c>
      <c r="J10" s="5" t="n">
        <v>2018</v>
      </c>
      <c r="K10" s="7" t="s">
        <v>422</v>
      </c>
      <c r="L10" s="10" t="str">
        <f aca="false">INDEX(球隊主檔!$C$2:$C$31,MATCH($K10,球隊主檔!$A$2:$A$31,0))</f>
        <v>華盛頓國民</v>
      </c>
      <c r="M10" s="11" t="n">
        <f aca="false">IF($C10="打者",COUNTIF(打擊成績!$B:$B,$A10),COUNTIF(投手成績!$B:$B,$A10))</f>
        <v>3</v>
      </c>
    </row>
    <row r="11" customFormat="false" ht="15" hidden="false" customHeight="false" outlineLevel="0" collapsed="false">
      <c r="A11" s="7" t="s">
        <v>491</v>
      </c>
      <c r="B11" s="7" t="s">
        <v>492</v>
      </c>
      <c r="C11" s="8" t="s">
        <v>469</v>
      </c>
      <c r="D11" s="7" t="s">
        <v>162</v>
      </c>
      <c r="E11" s="7" t="s">
        <v>126</v>
      </c>
      <c r="F11" s="7" t="s">
        <v>152</v>
      </c>
      <c r="G11" s="9" t="n">
        <v>35439</v>
      </c>
      <c r="H11" s="5" t="n">
        <v>193</v>
      </c>
      <c r="I11" s="5" t="n">
        <v>83</v>
      </c>
      <c r="J11" s="5" t="n">
        <v>2018</v>
      </c>
      <c r="K11" s="7" t="s">
        <v>430</v>
      </c>
      <c r="L11" s="10" t="str">
        <f aca="false">INDEX(球隊主檔!$C$2:$C$31,MATCH($K11,球隊主檔!$A$2:$A$31,0))</f>
        <v>辛辛那提紅人</v>
      </c>
      <c r="M11" s="11" t="n">
        <f aca="false">IF($C11="打者",COUNTIF(打擊成績!$B:$B,$A11),COUNTIF(投手成績!$B:$B,$A11))</f>
        <v>3</v>
      </c>
    </row>
    <row r="12" customFormat="false" ht="15" hidden="false" customHeight="false" outlineLevel="0" collapsed="false">
      <c r="A12" s="7" t="s">
        <v>493</v>
      </c>
      <c r="B12" s="7" t="s">
        <v>494</v>
      </c>
      <c r="C12" s="8" t="s">
        <v>495</v>
      </c>
      <c r="D12" s="7" t="s">
        <v>496</v>
      </c>
      <c r="E12" s="7" t="s">
        <v>152</v>
      </c>
      <c r="F12" s="7" t="s">
        <v>126</v>
      </c>
      <c r="G12" s="9" t="n">
        <v>36295</v>
      </c>
      <c r="H12" s="5" t="n">
        <v>197</v>
      </c>
      <c r="I12" s="5" t="n">
        <v>109</v>
      </c>
      <c r="J12" s="5" t="n">
        <v>2020</v>
      </c>
      <c r="K12" s="7" t="s">
        <v>340</v>
      </c>
      <c r="L12" s="10" t="str">
        <f aca="false">INDEX(球隊主檔!$C$2:$C$31,MATCH($K12,球隊主檔!$A$2:$A$31,0))</f>
        <v>巴爾的摩金鶯</v>
      </c>
      <c r="M12" s="11" t="n">
        <f aca="false">IF($C12="打者",COUNTIF(打擊成績!$B:$B,$A12),COUNTIF(投手成績!$B:$B,$A12))</f>
        <v>3</v>
      </c>
    </row>
    <row r="13" customFormat="false" ht="15" hidden="false" customHeight="false" outlineLevel="0" collapsed="false">
      <c r="A13" s="7" t="s">
        <v>497</v>
      </c>
      <c r="B13" s="7" t="s">
        <v>498</v>
      </c>
      <c r="C13" s="8" t="s">
        <v>495</v>
      </c>
      <c r="D13" s="7" t="s">
        <v>496</v>
      </c>
      <c r="E13" s="7" t="s">
        <v>152</v>
      </c>
      <c r="F13" s="7" t="s">
        <v>126</v>
      </c>
      <c r="G13" s="9" t="n">
        <v>34367</v>
      </c>
      <c r="H13" s="5" t="n">
        <v>194</v>
      </c>
      <c r="I13" s="5" t="n">
        <v>111</v>
      </c>
      <c r="J13" s="5" t="n">
        <v>2016</v>
      </c>
      <c r="K13" s="7" t="s">
        <v>340</v>
      </c>
      <c r="L13" s="10" t="str">
        <f aca="false">INDEX(球隊主檔!$C$2:$C$31,MATCH($K13,球隊主檔!$A$2:$A$31,0))</f>
        <v>巴爾的摩金鶯</v>
      </c>
      <c r="M13" s="11" t="n">
        <f aca="false">IF($C13="打者",COUNTIF(打擊成績!$B:$B,$A13),COUNTIF(投手成績!$B:$B,$A13))</f>
        <v>3</v>
      </c>
    </row>
    <row r="14" customFormat="false" ht="15" hidden="false" customHeight="false" outlineLevel="0" collapsed="false">
      <c r="A14" s="7" t="s">
        <v>499</v>
      </c>
      <c r="B14" s="7" t="s">
        <v>500</v>
      </c>
      <c r="C14" s="8" t="s">
        <v>495</v>
      </c>
      <c r="D14" s="7" t="s">
        <v>496</v>
      </c>
      <c r="E14" s="7" t="s">
        <v>152</v>
      </c>
      <c r="F14" s="7" t="s">
        <v>152</v>
      </c>
      <c r="G14" s="9" t="n">
        <v>35596</v>
      </c>
      <c r="H14" s="5" t="n">
        <v>201</v>
      </c>
      <c r="I14" s="5" t="n">
        <v>99</v>
      </c>
      <c r="J14" s="5" t="n">
        <v>2019</v>
      </c>
      <c r="K14" s="7" t="s">
        <v>340</v>
      </c>
      <c r="L14" s="10" t="str">
        <f aca="false">INDEX(球隊主檔!$C$2:$C$31,MATCH($K14,球隊主檔!$A$2:$A$31,0))</f>
        <v>巴爾的摩金鶯</v>
      </c>
      <c r="M14" s="11" t="n">
        <f aca="false">IF($C14="打者",COUNTIF(打擊成績!$B:$B,$A14),COUNTIF(投手成績!$B:$B,$A14))</f>
        <v>3</v>
      </c>
    </row>
    <row r="15" customFormat="false" ht="15" hidden="false" customHeight="false" outlineLevel="0" collapsed="false">
      <c r="A15" s="7" t="s">
        <v>501</v>
      </c>
      <c r="B15" s="7" t="s">
        <v>502</v>
      </c>
      <c r="C15" s="8" t="s">
        <v>495</v>
      </c>
      <c r="D15" s="7" t="s">
        <v>496</v>
      </c>
      <c r="E15" s="7" t="s">
        <v>126</v>
      </c>
      <c r="F15" s="7" t="s">
        <v>152</v>
      </c>
      <c r="G15" s="9" t="n">
        <v>36662</v>
      </c>
      <c r="H15" s="5" t="n">
        <v>175</v>
      </c>
      <c r="I15" s="5" t="n">
        <v>81</v>
      </c>
      <c r="J15" s="5" t="n">
        <v>2022</v>
      </c>
      <c r="K15" s="7" t="s">
        <v>340</v>
      </c>
      <c r="L15" s="10" t="str">
        <f aca="false">INDEX(球隊主檔!$C$2:$C$31,MATCH($K15,球隊主檔!$A$2:$A$31,0))</f>
        <v>巴爾的摩金鶯</v>
      </c>
      <c r="M15" s="11" t="n">
        <f aca="false">IF($C15="打者",COUNTIF(打擊成績!$B:$B,$A15),COUNTIF(投手成績!$B:$B,$A15))</f>
        <v>3</v>
      </c>
    </row>
    <row r="16" customFormat="false" ht="15" hidden="false" customHeight="false" outlineLevel="0" collapsed="false">
      <c r="A16" s="7" t="s">
        <v>503</v>
      </c>
      <c r="B16" s="7" t="s">
        <v>504</v>
      </c>
      <c r="C16" s="8" t="s">
        <v>495</v>
      </c>
      <c r="D16" s="7" t="s">
        <v>496</v>
      </c>
      <c r="E16" s="7" t="s">
        <v>126</v>
      </c>
      <c r="F16" s="7" t="s">
        <v>152</v>
      </c>
      <c r="G16" s="9" t="n">
        <v>34992</v>
      </c>
      <c r="H16" s="5" t="n">
        <v>180</v>
      </c>
      <c r="I16" s="5" t="n">
        <v>91</v>
      </c>
      <c r="J16" s="5" t="n">
        <v>2017</v>
      </c>
      <c r="K16" s="7" t="s">
        <v>392</v>
      </c>
      <c r="L16" s="10" t="str">
        <f aca="false">INDEX(球隊主檔!$C$2:$C$31,MATCH($K16,球隊主檔!$A$2:$A$31,0))</f>
        <v>洛杉磯天使</v>
      </c>
      <c r="M16" s="11" t="n">
        <f aca="false">IF($C16="打者",COUNTIF(打擊成績!$B:$B,$A16),COUNTIF(投手成績!$B:$B,$A16))</f>
        <v>3</v>
      </c>
    </row>
    <row r="17" customFormat="false" ht="15" hidden="false" customHeight="false" outlineLevel="0" collapsed="false">
      <c r="A17" s="7" t="s">
        <v>505</v>
      </c>
      <c r="B17" s="7" t="s">
        <v>506</v>
      </c>
      <c r="C17" s="8" t="s">
        <v>495</v>
      </c>
      <c r="D17" s="7" t="s">
        <v>507</v>
      </c>
      <c r="E17" s="7" t="s">
        <v>152</v>
      </c>
      <c r="F17" s="7" t="s">
        <v>152</v>
      </c>
      <c r="G17" s="9" t="n">
        <v>34368</v>
      </c>
      <c r="H17" s="5" t="n">
        <v>185</v>
      </c>
      <c r="I17" s="5" t="n">
        <v>107</v>
      </c>
      <c r="J17" s="5" t="n">
        <v>2014</v>
      </c>
      <c r="K17" s="7" t="s">
        <v>340</v>
      </c>
      <c r="L17" s="10" t="str">
        <f aca="false">INDEX(球隊主檔!$C$2:$C$31,MATCH($K17,球隊主檔!$A$2:$A$31,0))</f>
        <v>巴爾的摩金鶯</v>
      </c>
      <c r="M17" s="11" t="n">
        <f aca="false">IF($C17="打者",COUNTIF(打擊成績!$B:$B,$A17),COUNTIF(投手成績!$B:$B,$A17))</f>
        <v>3</v>
      </c>
    </row>
    <row r="18" customFormat="false" ht="15" hidden="false" customHeight="false" outlineLevel="0" collapsed="false">
      <c r="A18" s="7" t="s">
        <v>508</v>
      </c>
      <c r="B18" s="7" t="s">
        <v>509</v>
      </c>
      <c r="C18" s="8" t="s">
        <v>495</v>
      </c>
      <c r="D18" s="7" t="s">
        <v>507</v>
      </c>
      <c r="E18" s="7" t="s">
        <v>126</v>
      </c>
      <c r="F18" s="7" t="s">
        <v>152</v>
      </c>
      <c r="G18" s="9" t="n">
        <v>35624</v>
      </c>
      <c r="H18" s="5" t="n">
        <v>181</v>
      </c>
      <c r="I18" s="5" t="n">
        <v>107</v>
      </c>
      <c r="J18" s="5" t="n">
        <v>2019</v>
      </c>
      <c r="K18" s="7" t="s">
        <v>340</v>
      </c>
      <c r="L18" s="10" t="str">
        <f aca="false">INDEX(球隊主檔!$C$2:$C$31,MATCH($K18,球隊主檔!$A$2:$A$31,0))</f>
        <v>巴爾的摩金鶯</v>
      </c>
      <c r="M18" s="11" t="n">
        <f aca="false">IF($C18="打者",COUNTIF(打擊成績!$B:$B,$A18),COUNTIF(投手成績!$B:$B,$A18))</f>
        <v>3</v>
      </c>
    </row>
    <row r="19" customFormat="false" ht="15" hidden="false" customHeight="false" outlineLevel="0" collapsed="false">
      <c r="A19" s="7" t="s">
        <v>510</v>
      </c>
      <c r="B19" s="7" t="s">
        <v>511</v>
      </c>
      <c r="C19" s="8" t="s">
        <v>495</v>
      </c>
      <c r="D19" s="7" t="s">
        <v>507</v>
      </c>
      <c r="E19" s="7" t="s">
        <v>152</v>
      </c>
      <c r="F19" s="7" t="s">
        <v>152</v>
      </c>
      <c r="G19" s="9" t="n">
        <v>34657</v>
      </c>
      <c r="H19" s="5" t="n">
        <v>185</v>
      </c>
      <c r="I19" s="5" t="n">
        <v>79</v>
      </c>
      <c r="J19" s="5" t="n">
        <v>2018</v>
      </c>
      <c r="K19" s="7" t="s">
        <v>340</v>
      </c>
      <c r="L19" s="10" t="str">
        <f aca="false">INDEX(球隊主檔!$C$2:$C$31,MATCH($K19,球隊主檔!$A$2:$A$31,0))</f>
        <v>巴爾的摩金鶯</v>
      </c>
      <c r="M19" s="11" t="n">
        <f aca="false">IF($C19="打者",COUNTIF(打擊成績!$B:$B,$A19),COUNTIF(投手成績!$B:$B,$A19))</f>
        <v>3</v>
      </c>
    </row>
    <row r="20" customFormat="false" ht="15" hidden="false" customHeight="false" outlineLevel="0" collapsed="false">
      <c r="A20" s="7" t="s">
        <v>512</v>
      </c>
      <c r="B20" s="7" t="s">
        <v>513</v>
      </c>
      <c r="C20" s="8" t="s">
        <v>495</v>
      </c>
      <c r="D20" s="7" t="s">
        <v>507</v>
      </c>
      <c r="E20" s="7" t="s">
        <v>152</v>
      </c>
      <c r="F20" s="7" t="s">
        <v>152</v>
      </c>
      <c r="G20" s="9" t="n">
        <v>35991</v>
      </c>
      <c r="H20" s="5" t="n">
        <v>198</v>
      </c>
      <c r="I20" s="5" t="n">
        <v>88</v>
      </c>
      <c r="J20" s="5" t="n">
        <v>2022</v>
      </c>
      <c r="K20" s="7" t="s">
        <v>340</v>
      </c>
      <c r="L20" s="10" t="str">
        <f aca="false">INDEX(球隊主檔!$C$2:$C$31,MATCH($K20,球隊主檔!$A$2:$A$31,0))</f>
        <v>巴爾的摩金鶯</v>
      </c>
      <c r="M20" s="11" t="n">
        <f aca="false">IF($C20="打者",COUNTIF(打擊成績!$B:$B,$A20),COUNTIF(投手成績!$B:$B,$A20))</f>
        <v>3</v>
      </c>
    </row>
    <row r="21" customFormat="false" ht="15" hidden="false" customHeight="false" outlineLevel="0" collapsed="false">
      <c r="A21" s="7" t="s">
        <v>514</v>
      </c>
      <c r="B21" s="7" t="s">
        <v>515</v>
      </c>
      <c r="C21" s="8" t="s">
        <v>495</v>
      </c>
      <c r="D21" s="7" t="s">
        <v>507</v>
      </c>
      <c r="E21" s="7" t="s">
        <v>174</v>
      </c>
      <c r="F21" s="7" t="s">
        <v>126</v>
      </c>
      <c r="G21" s="9" t="n">
        <v>35516</v>
      </c>
      <c r="H21" s="5" t="n">
        <v>186</v>
      </c>
      <c r="I21" s="5" t="n">
        <v>86</v>
      </c>
      <c r="J21" s="5" t="n">
        <v>2022</v>
      </c>
      <c r="K21" s="7" t="s">
        <v>340</v>
      </c>
      <c r="L21" s="10" t="str">
        <f aca="false">INDEX(球隊主檔!$C$2:$C$31,MATCH($K21,球隊主檔!$A$2:$A$31,0))</f>
        <v>巴爾的摩金鶯</v>
      </c>
      <c r="M21" s="11" t="n">
        <f aca="false">IF($C21="打者",COUNTIF(打擊成績!$B:$B,$A21),COUNTIF(投手成績!$B:$B,$A21))</f>
        <v>3</v>
      </c>
    </row>
    <row r="22" customFormat="false" ht="15" hidden="false" customHeight="false" outlineLevel="0" collapsed="false">
      <c r="A22" s="7" t="s">
        <v>516</v>
      </c>
      <c r="B22" s="7" t="s">
        <v>517</v>
      </c>
      <c r="C22" s="8" t="s">
        <v>469</v>
      </c>
      <c r="D22" s="7" t="s">
        <v>473</v>
      </c>
      <c r="E22" s="7" t="s">
        <v>152</v>
      </c>
      <c r="F22" s="7" t="s">
        <v>152</v>
      </c>
      <c r="G22" s="9" t="n">
        <v>36590</v>
      </c>
      <c r="H22" s="5" t="n">
        <v>179</v>
      </c>
      <c r="I22" s="5" t="n">
        <v>104</v>
      </c>
      <c r="J22" s="5" t="n">
        <v>2022</v>
      </c>
      <c r="K22" s="7" t="s">
        <v>346</v>
      </c>
      <c r="L22" s="10" t="str">
        <f aca="false">INDEX(球隊主檔!$C$2:$C$31,MATCH($K22,球隊主檔!$A$2:$A$31,0))</f>
        <v>波士頓紅襪</v>
      </c>
      <c r="M22" s="11" t="n">
        <f aca="false">IF($C22="打者",COUNTIF(打擊成績!$B:$B,$A22),COUNTIF(投手成績!$B:$B,$A22))</f>
        <v>3</v>
      </c>
    </row>
    <row r="23" customFormat="false" ht="15" hidden="false" customHeight="false" outlineLevel="0" collapsed="false">
      <c r="A23" s="7" t="s">
        <v>518</v>
      </c>
      <c r="B23" s="7" t="s">
        <v>519</v>
      </c>
      <c r="C23" s="8" t="s">
        <v>469</v>
      </c>
      <c r="D23" s="7" t="s">
        <v>483</v>
      </c>
      <c r="E23" s="7" t="s">
        <v>152</v>
      </c>
      <c r="F23" s="7" t="s">
        <v>152</v>
      </c>
      <c r="G23" s="9" t="n">
        <v>36861</v>
      </c>
      <c r="H23" s="5" t="n">
        <v>186</v>
      </c>
      <c r="I23" s="5" t="n">
        <v>103</v>
      </c>
      <c r="J23" s="5" t="n">
        <v>2024</v>
      </c>
      <c r="K23" s="7" t="s">
        <v>346</v>
      </c>
      <c r="L23" s="10" t="str">
        <f aca="false">INDEX(球隊主檔!$C$2:$C$31,MATCH($K23,球隊主檔!$A$2:$A$31,0))</f>
        <v>波士頓紅襪</v>
      </c>
      <c r="M23" s="11" t="n">
        <f aca="false">IF($C23="打者",COUNTIF(打擊成績!$B:$B,$A23),COUNTIF(投手成績!$B:$B,$A23))</f>
        <v>3</v>
      </c>
    </row>
    <row r="24" customFormat="false" ht="15" hidden="false" customHeight="false" outlineLevel="0" collapsed="false">
      <c r="A24" s="7" t="s">
        <v>520</v>
      </c>
      <c r="B24" s="7" t="s">
        <v>521</v>
      </c>
      <c r="C24" s="8" t="s">
        <v>469</v>
      </c>
      <c r="D24" s="7" t="s">
        <v>522</v>
      </c>
      <c r="E24" s="7" t="s">
        <v>152</v>
      </c>
      <c r="F24" s="7" t="s">
        <v>152</v>
      </c>
      <c r="G24" s="9" t="n">
        <v>36422</v>
      </c>
      <c r="H24" s="5" t="n">
        <v>189</v>
      </c>
      <c r="I24" s="5" t="n">
        <v>109</v>
      </c>
      <c r="J24" s="5" t="n">
        <v>2021</v>
      </c>
      <c r="K24" s="7" t="s">
        <v>346</v>
      </c>
      <c r="L24" s="10" t="str">
        <f aca="false">INDEX(球隊主檔!$C$2:$C$31,MATCH($K24,球隊主檔!$A$2:$A$31,0))</f>
        <v>波士頓紅襪</v>
      </c>
      <c r="M24" s="11" t="n">
        <f aca="false">IF($C24="打者",COUNTIF(打擊成績!$B:$B,$A24),COUNTIF(投手成績!$B:$B,$A24))</f>
        <v>3</v>
      </c>
    </row>
    <row r="25" customFormat="false" ht="15" hidden="false" customHeight="false" outlineLevel="0" collapsed="false">
      <c r="A25" s="7" t="s">
        <v>523</v>
      </c>
      <c r="B25" s="7" t="s">
        <v>524</v>
      </c>
      <c r="C25" s="8" t="s">
        <v>469</v>
      </c>
      <c r="D25" s="7" t="s">
        <v>486</v>
      </c>
      <c r="E25" s="7" t="s">
        <v>152</v>
      </c>
      <c r="F25" s="7" t="s">
        <v>152</v>
      </c>
      <c r="G25" s="9" t="n">
        <v>34662</v>
      </c>
      <c r="H25" s="5" t="n">
        <v>176</v>
      </c>
      <c r="I25" s="5" t="n">
        <v>89</v>
      </c>
      <c r="J25" s="5" t="n">
        <v>2014</v>
      </c>
      <c r="K25" s="7" t="s">
        <v>346</v>
      </c>
      <c r="L25" s="10" t="str">
        <f aca="false">INDEX(球隊主檔!$C$2:$C$31,MATCH($K25,球隊主檔!$A$2:$A$31,0))</f>
        <v>波士頓紅襪</v>
      </c>
      <c r="M25" s="11" t="n">
        <f aca="false">IF($C25="打者",COUNTIF(打擊成績!$B:$B,$A25),COUNTIF(投手成績!$B:$B,$A25))</f>
        <v>3</v>
      </c>
    </row>
    <row r="26" customFormat="false" ht="15" hidden="false" customHeight="false" outlineLevel="0" collapsed="false">
      <c r="A26" s="7" t="s">
        <v>525</v>
      </c>
      <c r="B26" s="7" t="s">
        <v>526</v>
      </c>
      <c r="C26" s="8" t="s">
        <v>469</v>
      </c>
      <c r="D26" s="7" t="s">
        <v>473</v>
      </c>
      <c r="E26" s="7" t="s">
        <v>152</v>
      </c>
      <c r="F26" s="7" t="s">
        <v>126</v>
      </c>
      <c r="G26" s="9" t="n">
        <v>37418</v>
      </c>
      <c r="H26" s="5" t="n">
        <v>196</v>
      </c>
      <c r="I26" s="5" t="n">
        <v>106</v>
      </c>
      <c r="J26" s="5" t="n">
        <v>2024</v>
      </c>
      <c r="K26" s="7" t="s">
        <v>346</v>
      </c>
      <c r="L26" s="10" t="str">
        <f aca="false">INDEX(球隊主檔!$C$2:$C$31,MATCH($K26,球隊主檔!$A$2:$A$31,0))</f>
        <v>波士頓紅襪</v>
      </c>
      <c r="M26" s="11" t="n">
        <f aca="false">IF($C26="打者",COUNTIF(打擊成績!$B:$B,$A26),COUNTIF(投手成績!$B:$B,$A26))</f>
        <v>3</v>
      </c>
    </row>
    <row r="27" customFormat="false" ht="15" hidden="false" customHeight="false" outlineLevel="0" collapsed="false">
      <c r="A27" s="7" t="s">
        <v>527</v>
      </c>
      <c r="B27" s="7" t="s">
        <v>528</v>
      </c>
      <c r="C27" s="8" t="s">
        <v>469</v>
      </c>
      <c r="D27" s="7" t="s">
        <v>473</v>
      </c>
      <c r="E27" s="7" t="s">
        <v>152</v>
      </c>
      <c r="F27" s="7" t="s">
        <v>152</v>
      </c>
      <c r="G27" s="9" t="n">
        <v>35360</v>
      </c>
      <c r="H27" s="5" t="n">
        <v>192</v>
      </c>
      <c r="I27" s="5" t="n">
        <v>85</v>
      </c>
      <c r="J27" s="5" t="n">
        <v>2020</v>
      </c>
      <c r="K27" s="7" t="s">
        <v>346</v>
      </c>
      <c r="L27" s="10" t="str">
        <f aca="false">INDEX(球隊主檔!$C$2:$C$31,MATCH($K27,球隊主檔!$A$2:$A$31,0))</f>
        <v>波士頓紅襪</v>
      </c>
      <c r="M27" s="11" t="n">
        <f aca="false">IF($C27="打者",COUNTIF(打擊成績!$B:$B,$A27),COUNTIF(投手成績!$B:$B,$A27))</f>
        <v>3</v>
      </c>
    </row>
    <row r="28" customFormat="false" ht="15" hidden="false" customHeight="false" outlineLevel="0" collapsed="false">
      <c r="A28" s="7" t="s">
        <v>529</v>
      </c>
      <c r="B28" s="7" t="s">
        <v>530</v>
      </c>
      <c r="C28" s="8" t="s">
        <v>469</v>
      </c>
      <c r="D28" s="7" t="s">
        <v>473</v>
      </c>
      <c r="E28" s="7" t="s">
        <v>152</v>
      </c>
      <c r="F28" s="7" t="s">
        <v>152</v>
      </c>
      <c r="G28" s="9" t="n">
        <v>35327</v>
      </c>
      <c r="H28" s="5" t="n">
        <v>179</v>
      </c>
      <c r="I28" s="5" t="n">
        <v>88</v>
      </c>
      <c r="J28" s="5" t="n">
        <v>2021</v>
      </c>
      <c r="K28" s="7" t="s">
        <v>346</v>
      </c>
      <c r="L28" s="10" t="str">
        <f aca="false">INDEX(球隊主檔!$C$2:$C$31,MATCH($K28,球隊主檔!$A$2:$A$31,0))</f>
        <v>波士頓紅襪</v>
      </c>
      <c r="M28" s="11" t="n">
        <f aca="false">IF($C28="打者",COUNTIF(打擊成績!$B:$B,$A28),COUNTIF(投手成績!$B:$B,$A28))</f>
        <v>2</v>
      </c>
    </row>
    <row r="29" customFormat="false" ht="15" hidden="false" customHeight="false" outlineLevel="0" collapsed="false">
      <c r="A29" s="7" t="s">
        <v>531</v>
      </c>
      <c r="B29" s="7" t="s">
        <v>532</v>
      </c>
      <c r="C29" s="8" t="s">
        <v>469</v>
      </c>
      <c r="D29" s="7" t="s">
        <v>483</v>
      </c>
      <c r="E29" s="7" t="s">
        <v>126</v>
      </c>
      <c r="F29" s="7" t="s">
        <v>126</v>
      </c>
      <c r="G29" s="9" t="n">
        <v>36583</v>
      </c>
      <c r="H29" s="5" t="n">
        <v>187</v>
      </c>
      <c r="I29" s="5" t="n">
        <v>86</v>
      </c>
      <c r="J29" s="5" t="n">
        <v>2023</v>
      </c>
      <c r="K29" s="7" t="s">
        <v>388</v>
      </c>
      <c r="L29" s="10" t="str">
        <f aca="false">INDEX(球隊主檔!$C$2:$C$31,MATCH($K29,球隊主檔!$A$2:$A$31,0))</f>
        <v>休士頓太空人</v>
      </c>
      <c r="M29" s="11" t="n">
        <f aca="false">IF($C29="打者",COUNTIF(打擊成績!$B:$B,$A29),COUNTIF(投手成績!$B:$B,$A29))</f>
        <v>3</v>
      </c>
    </row>
    <row r="30" customFormat="false" ht="15" hidden="false" customHeight="false" outlineLevel="0" collapsed="false">
      <c r="A30" s="7" t="s">
        <v>533</v>
      </c>
      <c r="B30" s="7" t="s">
        <v>534</v>
      </c>
      <c r="C30" s="8" t="s">
        <v>469</v>
      </c>
      <c r="D30" s="7" t="s">
        <v>473</v>
      </c>
      <c r="E30" s="7" t="s">
        <v>152</v>
      </c>
      <c r="F30" s="7" t="s">
        <v>126</v>
      </c>
      <c r="G30" s="9" t="n">
        <v>34337</v>
      </c>
      <c r="H30" s="5" t="n">
        <v>176</v>
      </c>
      <c r="I30" s="5" t="n">
        <v>97</v>
      </c>
      <c r="J30" s="5" t="n">
        <v>2018</v>
      </c>
      <c r="K30" s="7" t="s">
        <v>346</v>
      </c>
      <c r="L30" s="10" t="str">
        <f aca="false">INDEX(球隊主檔!$C$2:$C$31,MATCH($K30,球隊主檔!$A$2:$A$31,0))</f>
        <v>波士頓紅襪</v>
      </c>
      <c r="M30" s="11" t="n">
        <f aca="false">IF($C30="打者",COUNTIF(打擊成績!$B:$B,$A30),COUNTIF(投手成績!$B:$B,$A30))</f>
        <v>2</v>
      </c>
    </row>
    <row r="31" customFormat="false" ht="15" hidden="false" customHeight="false" outlineLevel="0" collapsed="false">
      <c r="A31" s="7" t="s">
        <v>535</v>
      </c>
      <c r="B31" s="7" t="s">
        <v>536</v>
      </c>
      <c r="C31" s="8" t="s">
        <v>469</v>
      </c>
      <c r="D31" s="7" t="s">
        <v>470</v>
      </c>
      <c r="E31" s="7" t="s">
        <v>152</v>
      </c>
      <c r="F31" s="7" t="s">
        <v>152</v>
      </c>
      <c r="G31" s="9" t="n">
        <v>36878</v>
      </c>
      <c r="H31" s="5" t="n">
        <v>194</v>
      </c>
      <c r="I31" s="5" t="n">
        <v>96</v>
      </c>
      <c r="J31" s="5" t="n">
        <v>2022</v>
      </c>
      <c r="K31" s="7" t="s">
        <v>346</v>
      </c>
      <c r="L31" s="10" t="str">
        <f aca="false">INDEX(球隊主檔!$C$2:$C$31,MATCH($K31,球隊主檔!$A$2:$A$31,0))</f>
        <v>波士頓紅襪</v>
      </c>
      <c r="M31" s="11" t="n">
        <f aca="false">IF($C31="打者",COUNTIF(打擊成績!$B:$B,$A31),COUNTIF(投手成績!$B:$B,$A31))</f>
        <v>1</v>
      </c>
    </row>
    <row r="32" customFormat="false" ht="15" hidden="false" customHeight="false" outlineLevel="0" collapsed="false">
      <c r="A32" s="7" t="s">
        <v>537</v>
      </c>
      <c r="B32" s="7" t="s">
        <v>538</v>
      </c>
      <c r="C32" s="8" t="s">
        <v>495</v>
      </c>
      <c r="D32" s="7" t="s">
        <v>496</v>
      </c>
      <c r="E32" s="7" t="s">
        <v>174</v>
      </c>
      <c r="F32" s="7" t="s">
        <v>152</v>
      </c>
      <c r="G32" s="9" t="n">
        <v>33451</v>
      </c>
      <c r="H32" s="5" t="n">
        <v>181</v>
      </c>
      <c r="I32" s="5" t="n">
        <v>89</v>
      </c>
      <c r="J32" s="5" t="n">
        <v>2014</v>
      </c>
      <c r="K32" s="7" t="s">
        <v>346</v>
      </c>
      <c r="L32" s="10" t="str">
        <f aca="false">INDEX(球隊主檔!$C$2:$C$31,MATCH($K32,球隊主檔!$A$2:$A$31,0))</f>
        <v>波士頓紅襪</v>
      </c>
      <c r="M32" s="11" t="n">
        <f aca="false">IF($C32="打者",COUNTIF(打擊成績!$B:$B,$A32),COUNTIF(投手成績!$B:$B,$A32))</f>
        <v>3</v>
      </c>
    </row>
    <row r="33" customFormat="false" ht="15" hidden="false" customHeight="false" outlineLevel="0" collapsed="false">
      <c r="A33" s="7" t="s">
        <v>539</v>
      </c>
      <c r="B33" s="7" t="s">
        <v>540</v>
      </c>
      <c r="C33" s="8" t="s">
        <v>495</v>
      </c>
      <c r="D33" s="7" t="s">
        <v>496</v>
      </c>
      <c r="E33" s="7" t="s">
        <v>152</v>
      </c>
      <c r="F33" s="7" t="s">
        <v>152</v>
      </c>
      <c r="G33" s="9" t="n">
        <v>35133</v>
      </c>
      <c r="H33" s="5" t="n">
        <v>199</v>
      </c>
      <c r="I33" s="5" t="n">
        <v>90</v>
      </c>
      <c r="J33" s="5" t="n">
        <v>2020</v>
      </c>
      <c r="K33" s="7" t="s">
        <v>346</v>
      </c>
      <c r="L33" s="10" t="str">
        <f aca="false">INDEX(球隊主檔!$C$2:$C$31,MATCH($K33,球隊主檔!$A$2:$A$31,0))</f>
        <v>波士頓紅襪</v>
      </c>
      <c r="M33" s="11" t="n">
        <f aca="false">IF($C33="打者",COUNTIF(打擊成績!$B:$B,$A33),COUNTIF(投手成績!$B:$B,$A33))</f>
        <v>3</v>
      </c>
    </row>
    <row r="34" customFormat="false" ht="15" hidden="false" customHeight="false" outlineLevel="0" collapsed="false">
      <c r="A34" s="7" t="s">
        <v>541</v>
      </c>
      <c r="B34" s="7" t="s">
        <v>542</v>
      </c>
      <c r="C34" s="8" t="s">
        <v>495</v>
      </c>
      <c r="D34" s="7" t="s">
        <v>496</v>
      </c>
      <c r="E34" s="7" t="s">
        <v>126</v>
      </c>
      <c r="F34" s="7" t="s">
        <v>152</v>
      </c>
      <c r="G34" s="9" t="n">
        <v>36898</v>
      </c>
      <c r="H34" s="5" t="n">
        <v>183</v>
      </c>
      <c r="I34" s="5" t="n">
        <v>108</v>
      </c>
      <c r="J34" s="5" t="n">
        <v>2024</v>
      </c>
      <c r="K34" s="7" t="s">
        <v>346</v>
      </c>
      <c r="L34" s="10" t="str">
        <f aca="false">INDEX(球隊主檔!$C$2:$C$31,MATCH($K34,球隊主檔!$A$2:$A$31,0))</f>
        <v>波士頓紅襪</v>
      </c>
      <c r="M34" s="11" t="n">
        <f aca="false">IF($C34="打者",COUNTIF(打擊成績!$B:$B,$A34),COUNTIF(投手成績!$B:$B,$A34))</f>
        <v>1</v>
      </c>
    </row>
    <row r="35" customFormat="false" ht="15" hidden="false" customHeight="false" outlineLevel="0" collapsed="false">
      <c r="A35" s="7" t="s">
        <v>543</v>
      </c>
      <c r="B35" s="7" t="s">
        <v>544</v>
      </c>
      <c r="C35" s="8" t="s">
        <v>495</v>
      </c>
      <c r="D35" s="7" t="s">
        <v>496</v>
      </c>
      <c r="E35" s="7" t="s">
        <v>126</v>
      </c>
      <c r="F35" s="7" t="s">
        <v>152</v>
      </c>
      <c r="G35" s="9" t="n">
        <v>34829</v>
      </c>
      <c r="H35" s="5" t="n">
        <v>196</v>
      </c>
      <c r="I35" s="5" t="n">
        <v>83</v>
      </c>
      <c r="J35" s="5" t="n">
        <v>2017</v>
      </c>
      <c r="K35" s="7" t="s">
        <v>346</v>
      </c>
      <c r="L35" s="10" t="str">
        <f aca="false">INDEX(球隊主檔!$C$2:$C$31,MATCH($K35,球隊主檔!$A$2:$A$31,0))</f>
        <v>波士頓紅襪</v>
      </c>
      <c r="M35" s="11" t="n">
        <f aca="false">IF($C35="打者",COUNTIF(打擊成績!$B:$B,$A35),COUNTIF(投手成績!$B:$B,$A35))</f>
        <v>3</v>
      </c>
    </row>
    <row r="36" customFormat="false" ht="15" hidden="false" customHeight="false" outlineLevel="0" collapsed="false">
      <c r="A36" s="7" t="s">
        <v>545</v>
      </c>
      <c r="B36" s="7" t="s">
        <v>546</v>
      </c>
      <c r="C36" s="8" t="s">
        <v>495</v>
      </c>
      <c r="D36" s="7" t="s">
        <v>496</v>
      </c>
      <c r="E36" s="7" t="s">
        <v>126</v>
      </c>
      <c r="F36" s="7" t="s">
        <v>152</v>
      </c>
      <c r="G36" s="9" t="n">
        <v>36218</v>
      </c>
      <c r="H36" s="5" t="n">
        <v>187</v>
      </c>
      <c r="I36" s="5" t="n">
        <v>87</v>
      </c>
      <c r="J36" s="5" t="n">
        <v>2020</v>
      </c>
      <c r="K36" s="7" t="s">
        <v>346</v>
      </c>
      <c r="L36" s="10" t="str">
        <f aca="false">INDEX(球隊主檔!$C$2:$C$31,MATCH($K36,球隊主檔!$A$2:$A$31,0))</f>
        <v>波士頓紅襪</v>
      </c>
      <c r="M36" s="11" t="n">
        <f aca="false">IF($C36="打者",COUNTIF(打擊成績!$B:$B,$A36),COUNTIF(投手成績!$B:$B,$A36))</f>
        <v>3</v>
      </c>
    </row>
    <row r="37" customFormat="false" ht="15" hidden="false" customHeight="false" outlineLevel="0" collapsed="false">
      <c r="A37" s="7" t="s">
        <v>547</v>
      </c>
      <c r="B37" s="7" t="s">
        <v>548</v>
      </c>
      <c r="C37" s="8" t="s">
        <v>495</v>
      </c>
      <c r="D37" s="7" t="s">
        <v>507</v>
      </c>
      <c r="E37" s="7" t="s">
        <v>174</v>
      </c>
      <c r="F37" s="7" t="s">
        <v>152</v>
      </c>
      <c r="G37" s="9" t="n">
        <v>36680</v>
      </c>
      <c r="H37" s="5" t="n">
        <v>179</v>
      </c>
      <c r="I37" s="5" t="n">
        <v>103</v>
      </c>
      <c r="J37" s="5" t="n">
        <v>2021</v>
      </c>
      <c r="K37" s="7" t="s">
        <v>346</v>
      </c>
      <c r="L37" s="10" t="str">
        <f aca="false">INDEX(球隊主檔!$C$2:$C$31,MATCH($K37,球隊主檔!$A$2:$A$31,0))</f>
        <v>波士頓紅襪</v>
      </c>
      <c r="M37" s="11" t="n">
        <f aca="false">IF($C37="打者",COUNTIF(打擊成績!$B:$B,$A37),COUNTIF(投手成績!$B:$B,$A37))</f>
        <v>3</v>
      </c>
    </row>
    <row r="38" customFormat="false" ht="15" hidden="false" customHeight="false" outlineLevel="0" collapsed="false">
      <c r="A38" s="7" t="s">
        <v>549</v>
      </c>
      <c r="B38" s="7" t="s">
        <v>550</v>
      </c>
      <c r="C38" s="8" t="s">
        <v>495</v>
      </c>
      <c r="D38" s="7" t="s">
        <v>507</v>
      </c>
      <c r="E38" s="7" t="s">
        <v>126</v>
      </c>
      <c r="F38" s="7" t="s">
        <v>152</v>
      </c>
      <c r="G38" s="9" t="n">
        <v>36752</v>
      </c>
      <c r="H38" s="5" t="n">
        <v>185</v>
      </c>
      <c r="I38" s="5" t="n">
        <v>101</v>
      </c>
      <c r="J38" s="5" t="n">
        <v>2023</v>
      </c>
      <c r="K38" s="7" t="s">
        <v>346</v>
      </c>
      <c r="L38" s="10" t="str">
        <f aca="false">INDEX(球隊主檔!$C$2:$C$31,MATCH($K38,球隊主檔!$A$2:$A$31,0))</f>
        <v>波士頓紅襪</v>
      </c>
      <c r="M38" s="11" t="n">
        <f aca="false">IF($C38="打者",COUNTIF(打擊成績!$B:$B,$A38),COUNTIF(投手成績!$B:$B,$A38))</f>
        <v>3</v>
      </c>
    </row>
    <row r="39" customFormat="false" ht="15" hidden="false" customHeight="false" outlineLevel="0" collapsed="false">
      <c r="A39" s="7" t="s">
        <v>551</v>
      </c>
      <c r="B39" s="7" t="s">
        <v>552</v>
      </c>
      <c r="C39" s="8" t="s">
        <v>495</v>
      </c>
      <c r="D39" s="7" t="s">
        <v>507</v>
      </c>
      <c r="E39" s="7" t="s">
        <v>126</v>
      </c>
      <c r="F39" s="7" t="s">
        <v>152</v>
      </c>
      <c r="G39" s="9" t="n">
        <v>35333</v>
      </c>
      <c r="H39" s="5" t="n">
        <v>193</v>
      </c>
      <c r="I39" s="5" t="n">
        <v>104</v>
      </c>
      <c r="J39" s="5" t="n">
        <v>2019</v>
      </c>
      <c r="K39" s="7" t="s">
        <v>346</v>
      </c>
      <c r="L39" s="10" t="str">
        <f aca="false">INDEX(球隊主檔!$C$2:$C$31,MATCH($K39,球隊主檔!$A$2:$A$31,0))</f>
        <v>波士頓紅襪</v>
      </c>
      <c r="M39" s="11" t="n">
        <f aca="false">IF($C39="打者",COUNTIF(打擊成績!$B:$B,$A39),COUNTIF(投手成績!$B:$B,$A39))</f>
        <v>3</v>
      </c>
    </row>
    <row r="40" customFormat="false" ht="15" hidden="false" customHeight="false" outlineLevel="0" collapsed="false">
      <c r="A40" s="7" t="s">
        <v>553</v>
      </c>
      <c r="B40" s="7" t="s">
        <v>554</v>
      </c>
      <c r="C40" s="8" t="s">
        <v>495</v>
      </c>
      <c r="D40" s="7" t="s">
        <v>507</v>
      </c>
      <c r="E40" s="7" t="s">
        <v>152</v>
      </c>
      <c r="F40" s="7" t="s">
        <v>126</v>
      </c>
      <c r="G40" s="9" t="n">
        <v>35343</v>
      </c>
      <c r="H40" s="5" t="n">
        <v>179</v>
      </c>
      <c r="I40" s="5" t="n">
        <v>83</v>
      </c>
      <c r="J40" s="5" t="n">
        <v>2019</v>
      </c>
      <c r="K40" s="7" t="s">
        <v>346</v>
      </c>
      <c r="L40" s="10" t="str">
        <f aca="false">INDEX(球隊主檔!$C$2:$C$31,MATCH($K40,球隊主檔!$A$2:$A$31,0))</f>
        <v>波士頓紅襪</v>
      </c>
      <c r="M40" s="11" t="n">
        <f aca="false">IF($C40="打者",COUNTIF(打擊成績!$B:$B,$A40),COUNTIF(投手成績!$B:$B,$A40))</f>
        <v>1</v>
      </c>
    </row>
    <row r="41" customFormat="false" ht="15" hidden="false" customHeight="false" outlineLevel="0" collapsed="false">
      <c r="A41" s="7" t="s">
        <v>555</v>
      </c>
      <c r="B41" s="7" t="s">
        <v>556</v>
      </c>
      <c r="C41" s="8" t="s">
        <v>495</v>
      </c>
      <c r="D41" s="7" t="s">
        <v>507</v>
      </c>
      <c r="E41" s="7" t="s">
        <v>126</v>
      </c>
      <c r="F41" s="7" t="s">
        <v>152</v>
      </c>
      <c r="G41" s="9" t="n">
        <v>34613</v>
      </c>
      <c r="H41" s="5" t="n">
        <v>175</v>
      </c>
      <c r="I41" s="5" t="n">
        <v>100</v>
      </c>
      <c r="J41" s="5" t="n">
        <v>2019</v>
      </c>
      <c r="K41" s="7" t="s">
        <v>346</v>
      </c>
      <c r="L41" s="10" t="str">
        <f aca="false">INDEX(球隊主檔!$C$2:$C$31,MATCH($K41,球隊主檔!$A$2:$A$31,0))</f>
        <v>波士頓紅襪</v>
      </c>
      <c r="M41" s="11" t="n">
        <f aca="false">IF($C41="打者",COUNTIF(打擊成績!$B:$B,$A41),COUNTIF(投手成績!$B:$B,$A41))</f>
        <v>3</v>
      </c>
    </row>
    <row r="42" customFormat="false" ht="15" hidden="false" customHeight="false" outlineLevel="0" collapsed="false">
      <c r="A42" s="7" t="s">
        <v>557</v>
      </c>
      <c r="B42" s="7" t="s">
        <v>558</v>
      </c>
      <c r="C42" s="8" t="s">
        <v>469</v>
      </c>
      <c r="D42" s="7" t="s">
        <v>522</v>
      </c>
      <c r="E42" s="7" t="s">
        <v>152</v>
      </c>
      <c r="F42" s="7" t="s">
        <v>152</v>
      </c>
      <c r="G42" s="9" t="n">
        <v>33309</v>
      </c>
      <c r="H42" s="5" t="n">
        <v>196</v>
      </c>
      <c r="I42" s="5" t="n">
        <v>96</v>
      </c>
      <c r="J42" s="5" t="n">
        <v>2011</v>
      </c>
      <c r="K42" s="7" t="s">
        <v>367</v>
      </c>
      <c r="L42" s="10" t="str">
        <f aca="false">INDEX(球隊主檔!$C$2:$C$31,MATCH($K42,球隊主檔!$A$2:$A$31,0))</f>
        <v>克里夫蘭守護者</v>
      </c>
      <c r="M42" s="11" t="n">
        <f aca="false">IF($C42="打者",COUNTIF(打擊成績!$B:$B,$A42),COUNTIF(投手成績!$B:$B,$A42))</f>
        <v>3</v>
      </c>
    </row>
    <row r="43" customFormat="false" ht="15" hidden="false" customHeight="false" outlineLevel="0" collapsed="false">
      <c r="A43" s="7" t="s">
        <v>559</v>
      </c>
      <c r="B43" s="7" t="s">
        <v>560</v>
      </c>
      <c r="C43" s="8" t="s">
        <v>469</v>
      </c>
      <c r="D43" s="7" t="s">
        <v>63</v>
      </c>
      <c r="E43" s="7" t="s">
        <v>126</v>
      </c>
      <c r="F43" s="7" t="s">
        <v>152</v>
      </c>
      <c r="G43" s="9" t="n">
        <v>36539</v>
      </c>
      <c r="H43" s="5" t="n">
        <v>201</v>
      </c>
      <c r="I43" s="5" t="n">
        <v>96</v>
      </c>
      <c r="J43" s="5" t="n">
        <v>2024</v>
      </c>
      <c r="K43" s="7" t="s">
        <v>350</v>
      </c>
      <c r="L43" s="10" t="str">
        <f aca="false">INDEX(球隊主檔!$C$2:$C$31,MATCH($K43,球隊主檔!$A$2:$A$31,0))</f>
        <v>紐約洋基</v>
      </c>
      <c r="M43" s="11" t="n">
        <f aca="false">IF($C43="打者",COUNTIF(打擊成績!$B:$B,$A43),COUNTIF(投手成績!$B:$B,$A43))</f>
        <v>1</v>
      </c>
    </row>
    <row r="44" customFormat="false" ht="15" hidden="false" customHeight="false" outlineLevel="0" collapsed="false">
      <c r="A44" s="7" t="s">
        <v>561</v>
      </c>
      <c r="B44" s="7" t="s">
        <v>562</v>
      </c>
      <c r="C44" s="8" t="s">
        <v>469</v>
      </c>
      <c r="D44" s="7" t="s">
        <v>483</v>
      </c>
      <c r="E44" s="7" t="s">
        <v>126</v>
      </c>
      <c r="F44" s="7" t="s">
        <v>152</v>
      </c>
      <c r="G44" s="9" t="n">
        <v>36400</v>
      </c>
      <c r="H44" s="5" t="n">
        <v>197</v>
      </c>
      <c r="I44" s="5" t="n">
        <v>86</v>
      </c>
      <c r="J44" s="5" t="n">
        <v>2024</v>
      </c>
      <c r="K44" s="7" t="s">
        <v>350</v>
      </c>
      <c r="L44" s="10" t="str">
        <f aca="false">INDEX(球隊主檔!$C$2:$C$31,MATCH($K44,球隊主檔!$A$2:$A$31,0))</f>
        <v>紐約洋基</v>
      </c>
      <c r="M44" s="11" t="n">
        <f aca="false">IF($C44="打者",COUNTIF(打擊成績!$B:$B,$A44),COUNTIF(投手成績!$B:$B,$A44))</f>
        <v>1</v>
      </c>
    </row>
    <row r="45" customFormat="false" ht="15" hidden="false" customHeight="false" outlineLevel="0" collapsed="false">
      <c r="A45" s="7" t="s">
        <v>563</v>
      </c>
      <c r="B45" s="7" t="s">
        <v>564</v>
      </c>
      <c r="C45" s="8" t="s">
        <v>469</v>
      </c>
      <c r="D45" s="7" t="s">
        <v>158</v>
      </c>
      <c r="E45" s="7" t="s">
        <v>152</v>
      </c>
      <c r="F45" s="7" t="s">
        <v>126</v>
      </c>
      <c r="G45" s="9" t="n">
        <v>33792</v>
      </c>
      <c r="H45" s="5" t="n">
        <v>175</v>
      </c>
      <c r="I45" s="5" t="n">
        <v>89</v>
      </c>
      <c r="J45" s="5" t="n">
        <v>2014</v>
      </c>
      <c r="K45" s="7" t="s">
        <v>350</v>
      </c>
      <c r="L45" s="10" t="str">
        <f aca="false">INDEX(球隊主檔!$C$2:$C$31,MATCH($K45,球隊主檔!$A$2:$A$31,0))</f>
        <v>紐約洋基</v>
      </c>
      <c r="M45" s="11" t="n">
        <f aca="false">IF($C45="打者",COUNTIF(打擊成績!$B:$B,$A45),COUNTIF(投手成績!$B:$B,$A45))</f>
        <v>3</v>
      </c>
    </row>
    <row r="46" customFormat="false" ht="15" hidden="false" customHeight="false" outlineLevel="0" collapsed="false">
      <c r="A46" s="7" t="s">
        <v>565</v>
      </c>
      <c r="B46" s="7" t="s">
        <v>566</v>
      </c>
      <c r="C46" s="8" t="s">
        <v>469</v>
      </c>
      <c r="D46" s="7" t="s">
        <v>473</v>
      </c>
      <c r="E46" s="7" t="s">
        <v>152</v>
      </c>
      <c r="F46" s="7" t="s">
        <v>152</v>
      </c>
      <c r="G46" s="9" t="n">
        <v>34643</v>
      </c>
      <c r="H46" s="5" t="n">
        <v>175</v>
      </c>
      <c r="I46" s="5" t="n">
        <v>79</v>
      </c>
      <c r="J46" s="5" t="n">
        <v>2019</v>
      </c>
      <c r="K46" s="7" t="s">
        <v>350</v>
      </c>
      <c r="L46" s="10" t="str">
        <f aca="false">INDEX(球隊主檔!$C$2:$C$31,MATCH($K46,球隊主檔!$A$2:$A$31,0))</f>
        <v>紐約洋基</v>
      </c>
      <c r="M46" s="11" t="n">
        <f aca="false">IF($C46="打者",COUNTIF(打擊成績!$B:$B,$A46),COUNTIF(投手成績!$B:$B,$A46))</f>
        <v>3</v>
      </c>
    </row>
    <row r="47" customFormat="false" ht="15" hidden="false" customHeight="false" outlineLevel="0" collapsed="false">
      <c r="A47" s="7" t="s">
        <v>567</v>
      </c>
      <c r="B47" s="7" t="s">
        <v>568</v>
      </c>
      <c r="C47" s="8" t="s">
        <v>469</v>
      </c>
      <c r="D47" s="7" t="s">
        <v>162</v>
      </c>
      <c r="E47" s="7" t="s">
        <v>152</v>
      </c>
      <c r="F47" s="7" t="s">
        <v>126</v>
      </c>
      <c r="G47" s="9" t="n">
        <v>36306</v>
      </c>
      <c r="H47" s="5" t="n">
        <v>186</v>
      </c>
      <c r="I47" s="5" t="n">
        <v>88</v>
      </c>
      <c r="J47" s="5" t="n">
        <v>2024</v>
      </c>
      <c r="K47" s="7" t="s">
        <v>350</v>
      </c>
      <c r="L47" s="10" t="str">
        <f aca="false">INDEX(球隊主檔!$C$2:$C$31,MATCH($K47,球隊主檔!$A$2:$A$31,0))</f>
        <v>紐約洋基</v>
      </c>
      <c r="M47" s="11" t="n">
        <f aca="false">IF($C47="打者",COUNTIF(打擊成績!$B:$B,$A47),COUNTIF(投手成績!$B:$B,$A47))</f>
        <v>3</v>
      </c>
    </row>
    <row r="48" customFormat="false" ht="15" hidden="false" customHeight="false" outlineLevel="0" collapsed="false">
      <c r="A48" s="7" t="s">
        <v>569</v>
      </c>
      <c r="B48" s="7" t="s">
        <v>570</v>
      </c>
      <c r="C48" s="8" t="s">
        <v>469</v>
      </c>
      <c r="D48" s="7" t="s">
        <v>473</v>
      </c>
      <c r="E48" s="7" t="s">
        <v>174</v>
      </c>
      <c r="F48" s="7" t="s">
        <v>152</v>
      </c>
      <c r="G48" s="9" t="n">
        <v>35615</v>
      </c>
      <c r="H48" s="5" t="n">
        <v>177</v>
      </c>
      <c r="I48" s="5" t="n">
        <v>102</v>
      </c>
      <c r="J48" s="5" t="n">
        <v>2017</v>
      </c>
      <c r="K48" s="7" t="s">
        <v>350</v>
      </c>
      <c r="L48" s="10" t="str">
        <f aca="false">INDEX(球隊主檔!$C$2:$C$31,MATCH($K48,球隊主檔!$A$2:$A$31,0))</f>
        <v>紐約洋基</v>
      </c>
      <c r="M48" s="11" t="n">
        <f aca="false">IF($C48="打者",COUNTIF(打擊成績!$B:$B,$A48),COUNTIF(投手成績!$B:$B,$A48))</f>
        <v>3</v>
      </c>
    </row>
    <row r="49" customFormat="false" ht="15" hidden="false" customHeight="false" outlineLevel="0" collapsed="false">
      <c r="A49" s="7" t="s">
        <v>571</v>
      </c>
      <c r="B49" s="7" t="s">
        <v>572</v>
      </c>
      <c r="C49" s="8" t="s">
        <v>469</v>
      </c>
      <c r="D49" s="7" t="s">
        <v>473</v>
      </c>
      <c r="E49" s="7" t="s">
        <v>152</v>
      </c>
      <c r="F49" s="7" t="s">
        <v>152</v>
      </c>
      <c r="G49" s="9" t="n">
        <v>34871</v>
      </c>
      <c r="H49" s="5" t="n">
        <v>193</v>
      </c>
      <c r="I49" s="5" t="n">
        <v>103</v>
      </c>
      <c r="J49" s="5" t="n">
        <v>2019</v>
      </c>
      <c r="K49" s="7" t="s">
        <v>350</v>
      </c>
      <c r="L49" s="10" t="str">
        <f aca="false">INDEX(球隊主檔!$C$2:$C$31,MATCH($K49,球隊主檔!$A$2:$A$31,0))</f>
        <v>紐約洋基</v>
      </c>
      <c r="M49" s="11" t="n">
        <f aca="false">IF($C49="打者",COUNTIF(打擊成績!$B:$B,$A49),COUNTIF(投手成績!$B:$B,$A49))</f>
        <v>3</v>
      </c>
    </row>
    <row r="50" customFormat="false" ht="15" hidden="false" customHeight="false" outlineLevel="0" collapsed="false">
      <c r="A50" s="7" t="s">
        <v>573</v>
      </c>
      <c r="B50" s="7" t="s">
        <v>574</v>
      </c>
      <c r="C50" s="8" t="s">
        <v>469</v>
      </c>
      <c r="D50" s="7" t="s">
        <v>473</v>
      </c>
      <c r="E50" s="7" t="s">
        <v>126</v>
      </c>
      <c r="F50" s="7" t="s">
        <v>152</v>
      </c>
      <c r="G50" s="9" t="n">
        <v>36012</v>
      </c>
      <c r="H50" s="5" t="n">
        <v>181</v>
      </c>
      <c r="I50" s="5" t="n">
        <v>89</v>
      </c>
      <c r="J50" s="5" t="n">
        <v>2020</v>
      </c>
      <c r="K50" s="7" t="s">
        <v>350</v>
      </c>
      <c r="L50" s="10" t="str">
        <f aca="false">INDEX(球隊主檔!$C$2:$C$31,MATCH($K50,球隊主檔!$A$2:$A$31,0))</f>
        <v>紐約洋基</v>
      </c>
      <c r="M50" s="11" t="n">
        <f aca="false">IF($C50="打者",COUNTIF(打擊成績!$B:$B,$A50),COUNTIF(投手成績!$B:$B,$A50))</f>
        <v>3</v>
      </c>
    </row>
    <row r="51" customFormat="false" ht="15" hidden="false" customHeight="false" outlineLevel="0" collapsed="false">
      <c r="A51" s="7" t="s">
        <v>575</v>
      </c>
      <c r="B51" s="7" t="s">
        <v>576</v>
      </c>
      <c r="C51" s="8" t="s">
        <v>469</v>
      </c>
      <c r="D51" s="7" t="s">
        <v>478</v>
      </c>
      <c r="E51" s="7" t="s">
        <v>152</v>
      </c>
      <c r="F51" s="7" t="s">
        <v>126</v>
      </c>
      <c r="G51" s="9" t="n">
        <v>34433</v>
      </c>
      <c r="H51" s="5" t="n">
        <v>185</v>
      </c>
      <c r="I51" s="5" t="n">
        <v>98</v>
      </c>
      <c r="J51" s="5" t="n">
        <v>2017</v>
      </c>
      <c r="K51" s="7" t="s">
        <v>350</v>
      </c>
      <c r="L51" s="10" t="str">
        <f aca="false">INDEX(球隊主檔!$C$2:$C$31,MATCH($K51,球隊主檔!$A$2:$A$31,0))</f>
        <v>紐約洋基</v>
      </c>
      <c r="M51" s="11" t="n">
        <f aca="false">IF($C51="打者",COUNTIF(打擊成績!$B:$B,$A51),COUNTIF(投手成績!$B:$B,$A51))</f>
        <v>3</v>
      </c>
    </row>
    <row r="52" customFormat="false" ht="15" hidden="false" customHeight="false" outlineLevel="0" collapsed="false">
      <c r="A52" s="7" t="s">
        <v>577</v>
      </c>
      <c r="B52" s="7" t="s">
        <v>578</v>
      </c>
      <c r="C52" s="8" t="s">
        <v>495</v>
      </c>
      <c r="D52" s="7" t="s">
        <v>496</v>
      </c>
      <c r="E52" s="7" t="s">
        <v>152</v>
      </c>
      <c r="F52" s="7" t="s">
        <v>152</v>
      </c>
      <c r="G52" s="9" t="n">
        <v>36055</v>
      </c>
      <c r="H52" s="5" t="n">
        <v>197</v>
      </c>
      <c r="I52" s="5" t="n">
        <v>94</v>
      </c>
      <c r="J52" s="5" t="n">
        <v>2019</v>
      </c>
      <c r="K52" s="7" t="s">
        <v>350</v>
      </c>
      <c r="L52" s="10" t="str">
        <f aca="false">INDEX(球隊主檔!$C$2:$C$31,MATCH($K52,球隊主檔!$A$2:$A$31,0))</f>
        <v>紐約洋基</v>
      </c>
      <c r="M52" s="11" t="n">
        <f aca="false">IF($C52="打者",COUNTIF(打擊成績!$B:$B,$A52),COUNTIF(投手成績!$B:$B,$A52))</f>
        <v>1</v>
      </c>
    </row>
    <row r="53" customFormat="false" ht="15" hidden="false" customHeight="false" outlineLevel="0" collapsed="false">
      <c r="A53" s="7" t="s">
        <v>579</v>
      </c>
      <c r="B53" s="7" t="s">
        <v>580</v>
      </c>
      <c r="C53" s="8" t="s">
        <v>495</v>
      </c>
      <c r="D53" s="7" t="s">
        <v>496</v>
      </c>
      <c r="E53" s="7" t="s">
        <v>126</v>
      </c>
      <c r="F53" s="7" t="s">
        <v>126</v>
      </c>
      <c r="G53" s="9" t="n">
        <v>36624</v>
      </c>
      <c r="H53" s="5" t="n">
        <v>183</v>
      </c>
      <c r="I53" s="5" t="n">
        <v>97</v>
      </c>
      <c r="J53" s="5" t="n">
        <v>2022</v>
      </c>
      <c r="K53" s="7" t="s">
        <v>350</v>
      </c>
      <c r="L53" s="10" t="str">
        <f aca="false">INDEX(球隊主檔!$C$2:$C$31,MATCH($K53,球隊主檔!$A$2:$A$31,0))</f>
        <v>紐約洋基</v>
      </c>
      <c r="M53" s="11" t="n">
        <f aca="false">IF($C53="打者",COUNTIF(打擊成績!$B:$B,$A53),COUNTIF(投手成績!$B:$B,$A53))</f>
        <v>3</v>
      </c>
    </row>
    <row r="54" customFormat="false" ht="15" hidden="false" customHeight="false" outlineLevel="0" collapsed="false">
      <c r="A54" s="7" t="s">
        <v>581</v>
      </c>
      <c r="B54" s="7" t="s">
        <v>582</v>
      </c>
      <c r="C54" s="8" t="s">
        <v>495</v>
      </c>
      <c r="D54" s="7" t="s">
        <v>496</v>
      </c>
      <c r="E54" s="7" t="s">
        <v>152</v>
      </c>
      <c r="F54" s="7" t="s">
        <v>126</v>
      </c>
      <c r="G54" s="9" t="n">
        <v>34004</v>
      </c>
      <c r="H54" s="5" t="n">
        <v>201</v>
      </c>
      <c r="I54" s="5" t="n">
        <v>107</v>
      </c>
      <c r="J54" s="5" t="n">
        <v>2015</v>
      </c>
      <c r="K54" s="7" t="s">
        <v>350</v>
      </c>
      <c r="L54" s="10" t="str">
        <f aca="false">INDEX(球隊主檔!$C$2:$C$31,MATCH($K54,球隊主檔!$A$2:$A$31,0))</f>
        <v>紐約洋基</v>
      </c>
      <c r="M54" s="11" t="n">
        <f aca="false">IF($C54="打者",COUNTIF(打擊成績!$B:$B,$A54),COUNTIF(投手成績!$B:$B,$A54))</f>
        <v>3</v>
      </c>
    </row>
    <row r="55" customFormat="false" ht="15" hidden="false" customHeight="false" outlineLevel="0" collapsed="false">
      <c r="A55" s="7" t="s">
        <v>583</v>
      </c>
      <c r="B55" s="7" t="s">
        <v>584</v>
      </c>
      <c r="C55" s="8" t="s">
        <v>495</v>
      </c>
      <c r="D55" s="7" t="s">
        <v>496</v>
      </c>
      <c r="E55" s="7" t="s">
        <v>174</v>
      </c>
      <c r="F55" s="7" t="s">
        <v>152</v>
      </c>
      <c r="G55" s="9" t="n">
        <v>36369</v>
      </c>
      <c r="H55" s="5" t="n">
        <v>186</v>
      </c>
      <c r="I55" s="5" t="n">
        <v>90</v>
      </c>
      <c r="J55" s="5" t="n">
        <v>2021</v>
      </c>
      <c r="K55" s="7" t="s">
        <v>350</v>
      </c>
      <c r="L55" s="10" t="str">
        <f aca="false">INDEX(球隊主檔!$C$2:$C$31,MATCH($K55,球隊主檔!$A$2:$A$31,0))</f>
        <v>紐約洋基</v>
      </c>
      <c r="M55" s="11" t="n">
        <f aca="false">IF($C55="打者",COUNTIF(打擊成績!$B:$B,$A55),COUNTIF(投手成績!$B:$B,$A55))</f>
        <v>3</v>
      </c>
    </row>
    <row r="56" customFormat="false" ht="15" hidden="false" customHeight="false" outlineLevel="0" collapsed="false">
      <c r="A56" s="7" t="s">
        <v>585</v>
      </c>
      <c r="B56" s="7" t="s">
        <v>586</v>
      </c>
      <c r="C56" s="8" t="s">
        <v>495</v>
      </c>
      <c r="D56" s="7" t="s">
        <v>496</v>
      </c>
      <c r="E56" s="7" t="s">
        <v>152</v>
      </c>
      <c r="F56" s="7" t="s">
        <v>152</v>
      </c>
      <c r="G56" s="9" t="n">
        <v>34073</v>
      </c>
      <c r="H56" s="5" t="n">
        <v>181</v>
      </c>
      <c r="I56" s="5" t="n">
        <v>109</v>
      </c>
      <c r="J56" s="5" t="n">
        <v>2014</v>
      </c>
      <c r="K56" s="7" t="s">
        <v>350</v>
      </c>
      <c r="L56" s="10" t="str">
        <f aca="false">INDEX(球隊主檔!$C$2:$C$31,MATCH($K56,球隊主檔!$A$2:$A$31,0))</f>
        <v>紐約洋基</v>
      </c>
      <c r="M56" s="11" t="n">
        <f aca="false">IF($C56="打者",COUNTIF(打擊成績!$B:$B,$A56),COUNTIF(投手成績!$B:$B,$A56))</f>
        <v>2</v>
      </c>
    </row>
    <row r="57" customFormat="false" ht="15" hidden="false" customHeight="false" outlineLevel="0" collapsed="false">
      <c r="A57" s="7" t="s">
        <v>587</v>
      </c>
      <c r="B57" s="7" t="s">
        <v>588</v>
      </c>
      <c r="C57" s="8" t="s">
        <v>495</v>
      </c>
      <c r="D57" s="7" t="s">
        <v>507</v>
      </c>
      <c r="E57" s="7" t="s">
        <v>152</v>
      </c>
      <c r="F57" s="7" t="s">
        <v>152</v>
      </c>
      <c r="G57" s="9" t="n">
        <v>35425</v>
      </c>
      <c r="H57" s="5" t="n">
        <v>180</v>
      </c>
      <c r="I57" s="5" t="n">
        <v>112</v>
      </c>
      <c r="J57" s="5" t="n">
        <v>2020</v>
      </c>
      <c r="K57" s="7" t="s">
        <v>350</v>
      </c>
      <c r="L57" s="10" t="str">
        <f aca="false">INDEX(球隊主檔!$C$2:$C$31,MATCH($K57,球隊主檔!$A$2:$A$31,0))</f>
        <v>紐約洋基</v>
      </c>
      <c r="M57" s="11" t="n">
        <f aca="false">IF($C57="打者",COUNTIF(打擊成績!$B:$B,$A57),COUNTIF(投手成績!$B:$B,$A57))</f>
        <v>3</v>
      </c>
    </row>
    <row r="58" customFormat="false" ht="15" hidden="false" customHeight="false" outlineLevel="0" collapsed="false">
      <c r="A58" s="7" t="s">
        <v>589</v>
      </c>
      <c r="B58" s="7" t="s">
        <v>590</v>
      </c>
      <c r="C58" s="8" t="s">
        <v>495</v>
      </c>
      <c r="D58" s="7" t="s">
        <v>507</v>
      </c>
      <c r="E58" s="7" t="s">
        <v>152</v>
      </c>
      <c r="F58" s="7" t="s">
        <v>126</v>
      </c>
      <c r="G58" s="9" t="n">
        <v>34199</v>
      </c>
      <c r="H58" s="5" t="n">
        <v>181</v>
      </c>
      <c r="I58" s="5" t="n">
        <v>82</v>
      </c>
      <c r="J58" s="5" t="n">
        <v>2018</v>
      </c>
      <c r="K58" s="7" t="s">
        <v>350</v>
      </c>
      <c r="L58" s="10" t="str">
        <f aca="false">INDEX(球隊主檔!$C$2:$C$31,MATCH($K58,球隊主檔!$A$2:$A$31,0))</f>
        <v>紐約洋基</v>
      </c>
      <c r="M58" s="11" t="n">
        <f aca="false">IF($C58="打者",COUNTIF(打擊成績!$B:$B,$A58),COUNTIF(投手成績!$B:$B,$A58))</f>
        <v>3</v>
      </c>
    </row>
    <row r="59" customFormat="false" ht="15" hidden="false" customHeight="false" outlineLevel="0" collapsed="false">
      <c r="A59" s="7" t="s">
        <v>591</v>
      </c>
      <c r="B59" s="7" t="s">
        <v>592</v>
      </c>
      <c r="C59" s="8" t="s">
        <v>495</v>
      </c>
      <c r="D59" s="7" t="s">
        <v>507</v>
      </c>
      <c r="E59" s="7" t="s">
        <v>174</v>
      </c>
      <c r="F59" s="7" t="s">
        <v>152</v>
      </c>
      <c r="G59" s="9" t="n">
        <v>35188</v>
      </c>
      <c r="H59" s="5" t="n">
        <v>188</v>
      </c>
      <c r="I59" s="5" t="n">
        <v>81</v>
      </c>
      <c r="J59" s="5" t="n">
        <v>2021</v>
      </c>
      <c r="K59" s="7" t="s">
        <v>350</v>
      </c>
      <c r="L59" s="10" t="str">
        <f aca="false">INDEX(球隊主檔!$C$2:$C$31,MATCH($K59,球隊主檔!$A$2:$A$31,0))</f>
        <v>紐約洋基</v>
      </c>
      <c r="M59" s="11" t="n">
        <f aca="false">IF($C59="打者",COUNTIF(打擊成績!$B:$B,$A59),COUNTIF(投手成績!$B:$B,$A59))</f>
        <v>2</v>
      </c>
    </row>
    <row r="60" customFormat="false" ht="15" hidden="false" customHeight="false" outlineLevel="0" collapsed="false">
      <c r="A60" s="7" t="s">
        <v>593</v>
      </c>
      <c r="B60" s="7" t="s">
        <v>594</v>
      </c>
      <c r="C60" s="8" t="s">
        <v>495</v>
      </c>
      <c r="D60" s="7" t="s">
        <v>507</v>
      </c>
      <c r="E60" s="7" t="s">
        <v>152</v>
      </c>
      <c r="F60" s="7" t="s">
        <v>152</v>
      </c>
      <c r="G60" s="9" t="n">
        <v>35921</v>
      </c>
      <c r="H60" s="5" t="n">
        <v>197</v>
      </c>
      <c r="I60" s="5" t="n">
        <v>98</v>
      </c>
      <c r="J60" s="5" t="n">
        <v>2021</v>
      </c>
      <c r="K60" s="7" t="s">
        <v>350</v>
      </c>
      <c r="L60" s="10" t="str">
        <f aca="false">INDEX(球隊主檔!$C$2:$C$31,MATCH($K60,球隊主檔!$A$2:$A$31,0))</f>
        <v>紐約洋基</v>
      </c>
      <c r="M60" s="11" t="n">
        <f aca="false">IF($C60="打者",COUNTIF(打擊成績!$B:$B,$A60),COUNTIF(投手成績!$B:$B,$A60))</f>
        <v>3</v>
      </c>
    </row>
    <row r="61" customFormat="false" ht="15" hidden="false" customHeight="false" outlineLevel="0" collapsed="false">
      <c r="A61" s="7" t="s">
        <v>595</v>
      </c>
      <c r="B61" s="7" t="s">
        <v>596</v>
      </c>
      <c r="C61" s="8" t="s">
        <v>495</v>
      </c>
      <c r="D61" s="7" t="s">
        <v>507</v>
      </c>
      <c r="E61" s="7" t="s">
        <v>152</v>
      </c>
      <c r="F61" s="7" t="s">
        <v>152</v>
      </c>
      <c r="G61" s="9" t="n">
        <v>34944</v>
      </c>
      <c r="H61" s="5" t="n">
        <v>187</v>
      </c>
      <c r="I61" s="5" t="n">
        <v>82</v>
      </c>
      <c r="J61" s="5" t="n">
        <v>2015</v>
      </c>
      <c r="K61" s="7" t="s">
        <v>350</v>
      </c>
      <c r="L61" s="10" t="str">
        <f aca="false">INDEX(球隊主檔!$C$2:$C$31,MATCH($K61,球隊主檔!$A$2:$A$31,0))</f>
        <v>紐約洋基</v>
      </c>
      <c r="M61" s="11" t="n">
        <f aca="false">IF($C61="打者",COUNTIF(打擊成績!$B:$B,$A61),COUNTIF(投手成績!$B:$B,$A61))</f>
        <v>3</v>
      </c>
    </row>
    <row r="62" customFormat="false" ht="15" hidden="false" customHeight="false" outlineLevel="0" collapsed="false">
      <c r="A62" s="7" t="s">
        <v>597</v>
      </c>
      <c r="B62" s="7" t="s">
        <v>598</v>
      </c>
      <c r="C62" s="8" t="s">
        <v>469</v>
      </c>
      <c r="D62" s="7" t="s">
        <v>486</v>
      </c>
      <c r="E62" s="7" t="s">
        <v>152</v>
      </c>
      <c r="F62" s="7" t="s">
        <v>152</v>
      </c>
      <c r="G62" s="9" t="n">
        <v>34169</v>
      </c>
      <c r="H62" s="5" t="n">
        <v>195</v>
      </c>
      <c r="I62" s="5" t="n">
        <v>95</v>
      </c>
      <c r="J62" s="5" t="n">
        <v>2013</v>
      </c>
      <c r="K62" s="7" t="s">
        <v>354</v>
      </c>
      <c r="L62" s="10" t="str">
        <f aca="false">INDEX(球隊主檔!$C$2:$C$31,MATCH($K62,球隊主檔!$A$2:$A$31,0))</f>
        <v>坦帕灣光芒</v>
      </c>
      <c r="M62" s="11" t="n">
        <f aca="false">IF($C62="打者",COUNTIF(打擊成績!$B:$B,$A62),COUNTIF(投手成績!$B:$B,$A62))</f>
        <v>2</v>
      </c>
    </row>
    <row r="63" customFormat="false" ht="15" hidden="false" customHeight="false" outlineLevel="0" collapsed="false">
      <c r="A63" s="7" t="s">
        <v>599</v>
      </c>
      <c r="B63" s="7" t="s">
        <v>600</v>
      </c>
      <c r="C63" s="8" t="s">
        <v>469</v>
      </c>
      <c r="D63" s="7" t="s">
        <v>63</v>
      </c>
      <c r="E63" s="7" t="s">
        <v>152</v>
      </c>
      <c r="F63" s="7" t="s">
        <v>126</v>
      </c>
      <c r="G63" s="9" t="n">
        <v>34265</v>
      </c>
      <c r="H63" s="5" t="n">
        <v>200</v>
      </c>
      <c r="I63" s="5" t="n">
        <v>85</v>
      </c>
      <c r="J63" s="5" t="n">
        <v>2015</v>
      </c>
      <c r="K63" s="7" t="s">
        <v>367</v>
      </c>
      <c r="L63" s="10" t="str">
        <f aca="false">INDEX(球隊主檔!$C$2:$C$31,MATCH($K63,球隊主檔!$A$2:$A$31,0))</f>
        <v>克里夫蘭守護者</v>
      </c>
      <c r="M63" s="11" t="n">
        <f aca="false">IF($C63="打者",COUNTIF(打擊成績!$B:$B,$A63),COUNTIF(投手成績!$B:$B,$A63))</f>
        <v>3</v>
      </c>
    </row>
    <row r="64" customFormat="false" ht="15" hidden="false" customHeight="false" outlineLevel="0" collapsed="false">
      <c r="A64" s="7" t="s">
        <v>601</v>
      </c>
      <c r="B64" s="7" t="s">
        <v>602</v>
      </c>
      <c r="C64" s="8" t="s">
        <v>469</v>
      </c>
      <c r="D64" s="7" t="s">
        <v>473</v>
      </c>
      <c r="E64" s="7" t="s">
        <v>152</v>
      </c>
      <c r="F64" s="7" t="s">
        <v>152</v>
      </c>
      <c r="G64" s="9" t="n">
        <v>34844</v>
      </c>
      <c r="H64" s="5" t="n">
        <v>183</v>
      </c>
      <c r="I64" s="5" t="n">
        <v>109</v>
      </c>
      <c r="J64" s="5" t="n">
        <v>2019</v>
      </c>
      <c r="K64" s="7" t="s">
        <v>430</v>
      </c>
      <c r="L64" s="10" t="str">
        <f aca="false">INDEX(球隊主檔!$C$2:$C$31,MATCH($K64,球隊主檔!$A$2:$A$31,0))</f>
        <v>辛辛那提紅人</v>
      </c>
      <c r="M64" s="11" t="n">
        <f aca="false">IF($C64="打者",COUNTIF(打擊成績!$B:$B,$A64),COUNTIF(投手成績!$B:$B,$A64))</f>
        <v>3</v>
      </c>
    </row>
    <row r="65" customFormat="false" ht="15" hidden="false" customHeight="false" outlineLevel="0" collapsed="false">
      <c r="A65" s="7" t="s">
        <v>603</v>
      </c>
      <c r="B65" s="7" t="s">
        <v>604</v>
      </c>
      <c r="C65" s="8" t="s">
        <v>469</v>
      </c>
      <c r="D65" s="7" t="s">
        <v>63</v>
      </c>
      <c r="E65" s="7" t="s">
        <v>174</v>
      </c>
      <c r="F65" s="7" t="s">
        <v>152</v>
      </c>
      <c r="G65" s="9" t="n">
        <v>32329</v>
      </c>
      <c r="H65" s="5" t="n">
        <v>179</v>
      </c>
      <c r="I65" s="5" t="n">
        <v>110</v>
      </c>
      <c r="J65" s="5" t="n">
        <v>2008</v>
      </c>
      <c r="K65" s="7" t="s">
        <v>354</v>
      </c>
      <c r="L65" s="10" t="str">
        <f aca="false">INDEX(球隊主檔!$C$2:$C$31,MATCH($K65,球隊主檔!$A$2:$A$31,0))</f>
        <v>坦帕灣光芒</v>
      </c>
      <c r="M65" s="11" t="n">
        <f aca="false">IF($C65="打者",COUNTIF(打擊成績!$B:$B,$A65),COUNTIF(投手成績!$B:$B,$A65))</f>
        <v>3</v>
      </c>
    </row>
    <row r="66" customFormat="false" ht="15" hidden="false" customHeight="false" outlineLevel="0" collapsed="false">
      <c r="A66" s="7" t="s">
        <v>605</v>
      </c>
      <c r="B66" s="7" t="s">
        <v>606</v>
      </c>
      <c r="C66" s="8" t="s">
        <v>469</v>
      </c>
      <c r="D66" s="7" t="s">
        <v>158</v>
      </c>
      <c r="E66" s="7" t="s">
        <v>126</v>
      </c>
      <c r="F66" s="7" t="s">
        <v>152</v>
      </c>
      <c r="G66" s="9" t="n">
        <v>34899</v>
      </c>
      <c r="H66" s="5" t="n">
        <v>180</v>
      </c>
      <c r="I66" s="5" t="n">
        <v>82</v>
      </c>
      <c r="J66" s="5" t="n">
        <v>2020</v>
      </c>
      <c r="K66" s="7" t="s">
        <v>371</v>
      </c>
      <c r="L66" s="10" t="str">
        <f aca="false">INDEX(球隊主檔!$C$2:$C$31,MATCH($K66,球隊主檔!$A$2:$A$31,0))</f>
        <v>底特律老虎</v>
      </c>
      <c r="M66" s="11" t="n">
        <f aca="false">IF($C66="打者",COUNTIF(打擊成績!$B:$B,$A66),COUNTIF(投手成績!$B:$B,$A66))</f>
        <v>3</v>
      </c>
    </row>
    <row r="67" customFormat="false" ht="15" hidden="false" customHeight="false" outlineLevel="0" collapsed="false">
      <c r="A67" s="7" t="s">
        <v>607</v>
      </c>
      <c r="B67" s="7" t="s">
        <v>608</v>
      </c>
      <c r="C67" s="8" t="s">
        <v>469</v>
      </c>
      <c r="D67" s="7" t="s">
        <v>162</v>
      </c>
      <c r="E67" s="7" t="s">
        <v>126</v>
      </c>
      <c r="F67" s="7" t="s">
        <v>126</v>
      </c>
      <c r="G67" s="9" t="n">
        <v>36703</v>
      </c>
      <c r="H67" s="5" t="n">
        <v>181</v>
      </c>
      <c r="I67" s="5" t="n">
        <v>86</v>
      </c>
      <c r="J67" s="5" t="n">
        <v>2024</v>
      </c>
      <c r="K67" s="7" t="s">
        <v>354</v>
      </c>
      <c r="L67" s="10" t="str">
        <f aca="false">INDEX(球隊主檔!$C$2:$C$31,MATCH($K67,球隊主檔!$A$2:$A$31,0))</f>
        <v>坦帕灣光芒</v>
      </c>
      <c r="M67" s="11" t="n">
        <f aca="false">IF($C67="打者",COUNTIF(打擊成績!$B:$B,$A67),COUNTIF(投手成績!$B:$B,$A67))</f>
        <v>3</v>
      </c>
    </row>
    <row r="68" customFormat="false" ht="15" hidden="false" customHeight="false" outlineLevel="0" collapsed="false">
      <c r="A68" s="7" t="s">
        <v>609</v>
      </c>
      <c r="B68" s="7" t="s">
        <v>610</v>
      </c>
      <c r="C68" s="8" t="s">
        <v>469</v>
      </c>
      <c r="D68" s="7" t="s">
        <v>486</v>
      </c>
      <c r="E68" s="7" t="s">
        <v>174</v>
      </c>
      <c r="F68" s="7" t="s">
        <v>126</v>
      </c>
      <c r="G68" s="9" t="n">
        <v>36212</v>
      </c>
      <c r="H68" s="5" t="n">
        <v>191</v>
      </c>
      <c r="I68" s="5" t="n">
        <v>104</v>
      </c>
      <c r="J68" s="5" t="n">
        <v>2022</v>
      </c>
      <c r="K68" s="7" t="s">
        <v>354</v>
      </c>
      <c r="L68" s="10" t="str">
        <f aca="false">INDEX(球隊主檔!$C$2:$C$31,MATCH($K68,球隊主檔!$A$2:$A$31,0))</f>
        <v>坦帕灣光芒</v>
      </c>
      <c r="M68" s="11" t="n">
        <f aca="false">IF($C68="打者",COUNTIF(打擊成績!$B:$B,$A68),COUNTIF(投手成績!$B:$B,$A68))</f>
        <v>1</v>
      </c>
    </row>
    <row r="69" customFormat="false" ht="15" hidden="false" customHeight="false" outlineLevel="0" collapsed="false">
      <c r="A69" s="7" t="s">
        <v>611</v>
      </c>
      <c r="B69" s="7" t="s">
        <v>612</v>
      </c>
      <c r="C69" s="8" t="s">
        <v>469</v>
      </c>
      <c r="D69" s="7" t="s">
        <v>483</v>
      </c>
      <c r="E69" s="7" t="s">
        <v>126</v>
      </c>
      <c r="F69" s="7" t="s">
        <v>126</v>
      </c>
      <c r="G69" s="9" t="n">
        <v>36631</v>
      </c>
      <c r="H69" s="5" t="n">
        <v>182</v>
      </c>
      <c r="I69" s="5" t="n">
        <v>80</v>
      </c>
      <c r="J69" s="5" t="n">
        <v>2024</v>
      </c>
      <c r="K69" s="7" t="s">
        <v>354</v>
      </c>
      <c r="L69" s="10" t="str">
        <f aca="false">INDEX(球隊主檔!$C$2:$C$31,MATCH($K69,球隊主檔!$A$2:$A$31,0))</f>
        <v>坦帕灣光芒</v>
      </c>
      <c r="M69" s="11" t="n">
        <f aca="false">IF($C69="打者",COUNTIF(打擊成績!$B:$B,$A69),COUNTIF(投手成績!$B:$B,$A69))</f>
        <v>1</v>
      </c>
    </row>
    <row r="70" customFormat="false" ht="15" hidden="false" customHeight="false" outlineLevel="0" collapsed="false">
      <c r="A70" s="7" t="s">
        <v>613</v>
      </c>
      <c r="B70" s="7" t="s">
        <v>614</v>
      </c>
      <c r="C70" s="8" t="s">
        <v>469</v>
      </c>
      <c r="D70" s="7" t="s">
        <v>473</v>
      </c>
      <c r="E70" s="7" t="s">
        <v>152</v>
      </c>
      <c r="F70" s="7" t="s">
        <v>152</v>
      </c>
      <c r="G70" s="9" t="n">
        <v>33182</v>
      </c>
      <c r="H70" s="5" t="n">
        <v>196</v>
      </c>
      <c r="I70" s="5" t="n">
        <v>81</v>
      </c>
      <c r="J70" s="5" t="n">
        <v>2014</v>
      </c>
      <c r="K70" s="7" t="s">
        <v>354</v>
      </c>
      <c r="L70" s="10" t="str">
        <f aca="false">INDEX(球隊主檔!$C$2:$C$31,MATCH($K70,球隊主檔!$A$2:$A$31,0))</f>
        <v>坦帕灣光芒</v>
      </c>
      <c r="M70" s="11" t="n">
        <f aca="false">IF($C70="打者",COUNTIF(打擊成績!$B:$B,$A70),COUNTIF(投手成績!$B:$B,$A70))</f>
        <v>2</v>
      </c>
    </row>
    <row r="71" customFormat="false" ht="15" hidden="false" customHeight="false" outlineLevel="0" collapsed="false">
      <c r="A71" s="7" t="s">
        <v>615</v>
      </c>
      <c r="B71" s="7" t="s">
        <v>616</v>
      </c>
      <c r="C71" s="8" t="s">
        <v>469</v>
      </c>
      <c r="D71" s="7" t="s">
        <v>486</v>
      </c>
      <c r="E71" s="7" t="s">
        <v>152</v>
      </c>
      <c r="F71" s="7" t="s">
        <v>152</v>
      </c>
      <c r="G71" s="9" t="n">
        <v>34523</v>
      </c>
      <c r="H71" s="5" t="n">
        <v>201</v>
      </c>
      <c r="I71" s="5" t="n">
        <v>108</v>
      </c>
      <c r="J71" s="5" t="n">
        <v>2014</v>
      </c>
      <c r="K71" s="7" t="s">
        <v>354</v>
      </c>
      <c r="L71" s="10" t="str">
        <f aca="false">INDEX(球隊主檔!$C$2:$C$31,MATCH($K71,球隊主檔!$A$2:$A$31,0))</f>
        <v>坦帕灣光芒</v>
      </c>
      <c r="M71" s="11" t="n">
        <f aca="false">IF($C71="打者",COUNTIF(打擊成績!$B:$B,$A71),COUNTIF(投手成績!$B:$B,$A71))</f>
        <v>3</v>
      </c>
    </row>
    <row r="72" customFormat="false" ht="15" hidden="false" customHeight="false" outlineLevel="0" collapsed="false">
      <c r="A72" s="7" t="s">
        <v>617</v>
      </c>
      <c r="B72" s="7" t="s">
        <v>618</v>
      </c>
      <c r="C72" s="8" t="s">
        <v>495</v>
      </c>
      <c r="D72" s="7" t="s">
        <v>496</v>
      </c>
      <c r="E72" s="7" t="s">
        <v>152</v>
      </c>
      <c r="F72" s="7" t="s">
        <v>152</v>
      </c>
      <c r="G72" s="9" t="n">
        <v>34171</v>
      </c>
      <c r="H72" s="5" t="n">
        <v>198</v>
      </c>
      <c r="I72" s="5" t="n">
        <v>101</v>
      </c>
      <c r="J72" s="5" t="n">
        <v>2017</v>
      </c>
      <c r="K72" s="7" t="s">
        <v>383</v>
      </c>
      <c r="L72" s="10" t="str">
        <f aca="false">INDEX(球隊主檔!$C$2:$C$31,MATCH($K72,球隊主檔!$A$2:$A$31,0))</f>
        <v>運動家</v>
      </c>
      <c r="M72" s="11" t="n">
        <f aca="false">IF($C72="打者",COUNTIF(打擊成績!$B:$B,$A72),COUNTIF(投手成績!$B:$B,$A72))</f>
        <v>3</v>
      </c>
    </row>
    <row r="73" customFormat="false" ht="15" hidden="false" customHeight="false" outlineLevel="0" collapsed="false">
      <c r="A73" s="7" t="s">
        <v>619</v>
      </c>
      <c r="B73" s="7" t="s">
        <v>620</v>
      </c>
      <c r="C73" s="8" t="s">
        <v>495</v>
      </c>
      <c r="D73" s="7" t="s">
        <v>496</v>
      </c>
      <c r="E73" s="7" t="s">
        <v>174</v>
      </c>
      <c r="F73" s="7" t="s">
        <v>152</v>
      </c>
      <c r="G73" s="9" t="n">
        <v>32723</v>
      </c>
      <c r="H73" s="5" t="n">
        <v>184</v>
      </c>
      <c r="I73" s="5" t="n">
        <v>99</v>
      </c>
      <c r="J73" s="5" t="n">
        <v>2010</v>
      </c>
      <c r="K73" s="7" t="s">
        <v>463</v>
      </c>
      <c r="L73" s="10" t="str">
        <f aca="false">INDEX(球隊主檔!$C$2:$C$31,MATCH($K73,球隊主檔!$A$2:$A$31,0))</f>
        <v>舊金山巨人</v>
      </c>
      <c r="M73" s="11" t="n">
        <f aca="false">IF($C73="打者",COUNTIF(打擊成績!$B:$B,$A73),COUNTIF(投手成績!$B:$B,$A73))</f>
        <v>3</v>
      </c>
    </row>
    <row r="74" customFormat="false" ht="15" hidden="false" customHeight="false" outlineLevel="0" collapsed="false">
      <c r="A74" s="7" t="s">
        <v>621</v>
      </c>
      <c r="B74" s="7" t="s">
        <v>622</v>
      </c>
      <c r="C74" s="8" t="s">
        <v>495</v>
      </c>
      <c r="D74" s="7" t="s">
        <v>496</v>
      </c>
      <c r="E74" s="7" t="s">
        <v>126</v>
      </c>
      <c r="F74" s="7" t="s">
        <v>126</v>
      </c>
      <c r="G74" s="9" t="n">
        <v>33008</v>
      </c>
      <c r="H74" s="5" t="n">
        <v>182</v>
      </c>
      <c r="I74" s="5" t="n">
        <v>88</v>
      </c>
      <c r="J74" s="5" t="n">
        <v>2015</v>
      </c>
      <c r="K74" s="7" t="s">
        <v>430</v>
      </c>
      <c r="L74" s="10" t="str">
        <f aca="false">INDEX(球隊主檔!$C$2:$C$31,MATCH($K74,球隊主檔!$A$2:$A$31,0))</f>
        <v>辛辛那提紅人</v>
      </c>
      <c r="M74" s="11" t="n">
        <f aca="false">IF($C74="打者",COUNTIF(打擊成績!$B:$B,$A74),COUNTIF(投手成績!$B:$B,$A74))</f>
        <v>2</v>
      </c>
    </row>
    <row r="75" customFormat="false" ht="15" hidden="false" customHeight="false" outlineLevel="0" collapsed="false">
      <c r="A75" s="7" t="s">
        <v>623</v>
      </c>
      <c r="B75" s="7" t="s">
        <v>624</v>
      </c>
      <c r="C75" s="8" t="s">
        <v>495</v>
      </c>
      <c r="D75" s="7" t="s">
        <v>496</v>
      </c>
      <c r="E75" s="7" t="s">
        <v>152</v>
      </c>
      <c r="F75" s="7" t="s">
        <v>152</v>
      </c>
      <c r="G75" s="9" t="n">
        <v>35746</v>
      </c>
      <c r="H75" s="5" t="n">
        <v>193</v>
      </c>
      <c r="I75" s="5" t="n">
        <v>87</v>
      </c>
      <c r="J75" s="5" t="n">
        <v>2017</v>
      </c>
      <c r="K75" s="7" t="s">
        <v>354</v>
      </c>
      <c r="L75" s="10" t="str">
        <f aca="false">INDEX(球隊主檔!$C$2:$C$31,MATCH($K75,球隊主檔!$A$2:$A$31,0))</f>
        <v>坦帕灣光芒</v>
      </c>
      <c r="M75" s="11" t="n">
        <f aca="false">IF($C75="打者",COUNTIF(打擊成績!$B:$B,$A75),COUNTIF(投手成績!$B:$B,$A75))</f>
        <v>3</v>
      </c>
    </row>
    <row r="76" customFormat="false" ht="15" hidden="false" customHeight="false" outlineLevel="0" collapsed="false">
      <c r="A76" s="7" t="s">
        <v>625</v>
      </c>
      <c r="B76" s="7" t="s">
        <v>626</v>
      </c>
      <c r="C76" s="8" t="s">
        <v>495</v>
      </c>
      <c r="D76" s="7" t="s">
        <v>496</v>
      </c>
      <c r="E76" s="7" t="s">
        <v>152</v>
      </c>
      <c r="F76" s="7" t="s">
        <v>152</v>
      </c>
      <c r="G76" s="9" t="n">
        <v>34506</v>
      </c>
      <c r="H76" s="5" t="n">
        <v>196</v>
      </c>
      <c r="I76" s="5" t="n">
        <v>80</v>
      </c>
      <c r="J76" s="5" t="n">
        <v>2014</v>
      </c>
      <c r="K76" s="7" t="s">
        <v>354</v>
      </c>
      <c r="L76" s="10" t="str">
        <f aca="false">INDEX(球隊主檔!$C$2:$C$31,MATCH($K76,球隊主檔!$A$2:$A$31,0))</f>
        <v>坦帕灣光芒</v>
      </c>
      <c r="M76" s="11" t="n">
        <f aca="false">IF($C76="打者",COUNTIF(打擊成績!$B:$B,$A76),COUNTIF(投手成績!$B:$B,$A76))</f>
        <v>3</v>
      </c>
    </row>
    <row r="77" customFormat="false" ht="15" hidden="false" customHeight="false" outlineLevel="0" collapsed="false">
      <c r="A77" s="7" t="s">
        <v>627</v>
      </c>
      <c r="B77" s="7" t="s">
        <v>628</v>
      </c>
      <c r="C77" s="8" t="s">
        <v>495</v>
      </c>
      <c r="D77" s="7" t="s">
        <v>507</v>
      </c>
      <c r="E77" s="7" t="s">
        <v>152</v>
      </c>
      <c r="F77" s="7" t="s">
        <v>152</v>
      </c>
      <c r="G77" s="9" t="n">
        <v>35894</v>
      </c>
      <c r="H77" s="5" t="n">
        <v>199</v>
      </c>
      <c r="I77" s="5" t="n">
        <v>104</v>
      </c>
      <c r="J77" s="5" t="n">
        <v>2022</v>
      </c>
      <c r="K77" s="7" t="s">
        <v>354</v>
      </c>
      <c r="L77" s="10" t="str">
        <f aca="false">INDEX(球隊主檔!$C$2:$C$31,MATCH($K77,球隊主檔!$A$2:$A$31,0))</f>
        <v>坦帕灣光芒</v>
      </c>
      <c r="M77" s="11" t="n">
        <f aca="false">IF($C77="打者",COUNTIF(打擊成績!$B:$B,$A77),COUNTIF(投手成績!$B:$B,$A77))</f>
        <v>3</v>
      </c>
    </row>
    <row r="78" customFormat="false" ht="15" hidden="false" customHeight="false" outlineLevel="0" collapsed="false">
      <c r="A78" s="7" t="s">
        <v>629</v>
      </c>
      <c r="B78" s="7" t="s">
        <v>630</v>
      </c>
      <c r="C78" s="8" t="s">
        <v>495</v>
      </c>
      <c r="D78" s="7" t="s">
        <v>507</v>
      </c>
      <c r="E78" s="7" t="s">
        <v>152</v>
      </c>
      <c r="F78" s="7" t="s">
        <v>126</v>
      </c>
      <c r="G78" s="9" t="n">
        <v>36379</v>
      </c>
      <c r="H78" s="5" t="n">
        <v>180</v>
      </c>
      <c r="I78" s="5" t="n">
        <v>83</v>
      </c>
      <c r="J78" s="5" t="n">
        <v>2022</v>
      </c>
      <c r="K78" s="7" t="s">
        <v>354</v>
      </c>
      <c r="L78" s="10" t="str">
        <f aca="false">INDEX(球隊主檔!$C$2:$C$31,MATCH($K78,球隊主檔!$A$2:$A$31,0))</f>
        <v>坦帕灣光芒</v>
      </c>
      <c r="M78" s="11" t="n">
        <f aca="false">IF($C78="打者",COUNTIF(打擊成績!$B:$B,$A78),COUNTIF(投手成績!$B:$B,$A78))</f>
        <v>3</v>
      </c>
    </row>
    <row r="79" customFormat="false" ht="15" hidden="false" customHeight="false" outlineLevel="0" collapsed="false">
      <c r="A79" s="7" t="s">
        <v>631</v>
      </c>
      <c r="B79" s="7" t="s">
        <v>632</v>
      </c>
      <c r="C79" s="8" t="s">
        <v>495</v>
      </c>
      <c r="D79" s="7" t="s">
        <v>507</v>
      </c>
      <c r="E79" s="7" t="s">
        <v>152</v>
      </c>
      <c r="F79" s="7" t="s">
        <v>152</v>
      </c>
      <c r="G79" s="9" t="n">
        <v>34109</v>
      </c>
      <c r="H79" s="5" t="n">
        <v>182</v>
      </c>
      <c r="I79" s="5" t="n">
        <v>105</v>
      </c>
      <c r="J79" s="5" t="n">
        <v>2016</v>
      </c>
      <c r="K79" s="7" t="s">
        <v>418</v>
      </c>
      <c r="L79" s="10" t="str">
        <f aca="false">INDEX(球隊主檔!$C$2:$C$31,MATCH($K79,球隊主檔!$A$2:$A$31,0))</f>
        <v>費城費城人</v>
      </c>
      <c r="M79" s="11" t="n">
        <f aca="false">IF($C79="打者",COUNTIF(打擊成績!$B:$B,$A79),COUNTIF(投手成績!$B:$B,$A79))</f>
        <v>3</v>
      </c>
    </row>
    <row r="80" customFormat="false" ht="15" hidden="false" customHeight="false" outlineLevel="0" collapsed="false">
      <c r="A80" s="7" t="s">
        <v>633</v>
      </c>
      <c r="B80" s="7" t="s">
        <v>634</v>
      </c>
      <c r="C80" s="8" t="s">
        <v>495</v>
      </c>
      <c r="D80" s="7" t="s">
        <v>507</v>
      </c>
      <c r="E80" s="7" t="s">
        <v>126</v>
      </c>
      <c r="F80" s="7" t="s">
        <v>152</v>
      </c>
      <c r="G80" s="9" t="n">
        <v>35563</v>
      </c>
      <c r="H80" s="5" t="n">
        <v>201</v>
      </c>
      <c r="I80" s="5" t="n">
        <v>82</v>
      </c>
      <c r="J80" s="5" t="n">
        <v>2017</v>
      </c>
      <c r="K80" s="7" t="s">
        <v>354</v>
      </c>
      <c r="L80" s="10" t="str">
        <f aca="false">INDEX(球隊主檔!$C$2:$C$31,MATCH($K80,球隊主檔!$A$2:$A$31,0))</f>
        <v>坦帕灣光芒</v>
      </c>
      <c r="M80" s="11" t="n">
        <f aca="false">IF($C80="打者",COUNTIF(打擊成績!$B:$B,$A80),COUNTIF(投手成績!$B:$B,$A80))</f>
        <v>3</v>
      </c>
    </row>
    <row r="81" customFormat="false" ht="15" hidden="false" customHeight="false" outlineLevel="0" collapsed="false">
      <c r="A81" s="7" t="s">
        <v>635</v>
      </c>
      <c r="B81" s="7" t="s">
        <v>636</v>
      </c>
      <c r="C81" s="8" t="s">
        <v>495</v>
      </c>
      <c r="D81" s="7" t="s">
        <v>507</v>
      </c>
      <c r="E81" s="7" t="s">
        <v>174</v>
      </c>
      <c r="F81" s="7" t="s">
        <v>152</v>
      </c>
      <c r="G81" s="9" t="n">
        <v>35503</v>
      </c>
      <c r="H81" s="5" t="n">
        <v>193</v>
      </c>
      <c r="I81" s="5" t="n">
        <v>84</v>
      </c>
      <c r="J81" s="5" t="n">
        <v>2019</v>
      </c>
      <c r="K81" s="7" t="s">
        <v>354</v>
      </c>
      <c r="L81" s="10" t="str">
        <f aca="false">INDEX(球隊主檔!$C$2:$C$31,MATCH($K81,球隊主檔!$A$2:$A$31,0))</f>
        <v>坦帕灣光芒</v>
      </c>
      <c r="M81" s="11" t="n">
        <f aca="false">IF($C81="打者",COUNTIF(打擊成績!$B:$B,$A81),COUNTIF(投手成績!$B:$B,$A81))</f>
        <v>3</v>
      </c>
    </row>
    <row r="82" customFormat="false" ht="15" hidden="false" customHeight="false" outlineLevel="0" collapsed="false">
      <c r="A82" s="7" t="s">
        <v>637</v>
      </c>
      <c r="B82" s="7" t="s">
        <v>638</v>
      </c>
      <c r="C82" s="8" t="s">
        <v>469</v>
      </c>
      <c r="D82" s="7" t="s">
        <v>470</v>
      </c>
      <c r="E82" s="7" t="s">
        <v>152</v>
      </c>
      <c r="F82" s="7" t="s">
        <v>126</v>
      </c>
      <c r="G82" s="9" t="n">
        <v>35113</v>
      </c>
      <c r="H82" s="5" t="n">
        <v>201</v>
      </c>
      <c r="I82" s="5" t="n">
        <v>84</v>
      </c>
      <c r="J82" s="5" t="n">
        <v>2016</v>
      </c>
      <c r="K82" s="7" t="s">
        <v>358</v>
      </c>
      <c r="L82" s="10" t="str">
        <f aca="false">INDEX(球隊主檔!$C$2:$C$31,MATCH($K82,球隊主檔!$A$2:$A$31,0))</f>
        <v>多倫多藍鳥</v>
      </c>
      <c r="M82" s="11" t="n">
        <f aca="false">IF($C82="打者",COUNTIF(打擊成績!$B:$B,$A82),COUNTIF(投手成績!$B:$B,$A82))</f>
        <v>3</v>
      </c>
    </row>
    <row r="83" customFormat="false" ht="15" hidden="false" customHeight="false" outlineLevel="0" collapsed="false">
      <c r="A83" s="7" t="s">
        <v>639</v>
      </c>
      <c r="B83" s="7" t="s">
        <v>640</v>
      </c>
      <c r="C83" s="8" t="s">
        <v>469</v>
      </c>
      <c r="D83" s="7" t="s">
        <v>63</v>
      </c>
      <c r="E83" s="7" t="s">
        <v>152</v>
      </c>
      <c r="F83" s="7" t="s">
        <v>152</v>
      </c>
      <c r="G83" s="9" t="n">
        <v>36084</v>
      </c>
      <c r="H83" s="5" t="n">
        <v>191</v>
      </c>
      <c r="I83" s="5" t="n">
        <v>110</v>
      </c>
      <c r="J83" s="5" t="n">
        <v>2021</v>
      </c>
      <c r="K83" s="7" t="s">
        <v>358</v>
      </c>
      <c r="L83" s="10" t="str">
        <f aca="false">INDEX(球隊主檔!$C$2:$C$31,MATCH($K83,球隊主檔!$A$2:$A$31,0))</f>
        <v>多倫多藍鳥</v>
      </c>
      <c r="M83" s="11" t="n">
        <f aca="false">IF($C83="打者",COUNTIF(打擊成績!$B:$B,$A83),COUNTIF(投手成績!$B:$B,$A83))</f>
        <v>2</v>
      </c>
    </row>
    <row r="84" customFormat="false" ht="15" hidden="false" customHeight="false" outlineLevel="0" collapsed="false">
      <c r="A84" s="7" t="s">
        <v>641</v>
      </c>
      <c r="B84" s="7" t="s">
        <v>642</v>
      </c>
      <c r="C84" s="8" t="s">
        <v>469</v>
      </c>
      <c r="D84" s="7" t="s">
        <v>478</v>
      </c>
      <c r="E84" s="7" t="s">
        <v>152</v>
      </c>
      <c r="F84" s="7" t="s">
        <v>152</v>
      </c>
      <c r="G84" s="9" t="n">
        <v>37089</v>
      </c>
      <c r="H84" s="5" t="n">
        <v>189</v>
      </c>
      <c r="I84" s="5" t="n">
        <v>90</v>
      </c>
      <c r="J84" s="5" t="n">
        <v>2023</v>
      </c>
      <c r="K84" s="7" t="s">
        <v>358</v>
      </c>
      <c r="L84" s="10" t="str">
        <f aca="false">INDEX(球隊主檔!$C$2:$C$31,MATCH($K84,球隊主檔!$A$2:$A$31,0))</f>
        <v>多倫多藍鳥</v>
      </c>
      <c r="M84" s="11" t="n">
        <f aca="false">IF($C84="打者",COUNTIF(打擊成績!$B:$B,$A84),COUNTIF(投手成績!$B:$B,$A84))</f>
        <v>2</v>
      </c>
    </row>
    <row r="85" customFormat="false" ht="15" hidden="false" customHeight="false" outlineLevel="0" collapsed="false">
      <c r="A85" s="7" t="s">
        <v>643</v>
      </c>
      <c r="B85" s="7" t="s">
        <v>644</v>
      </c>
      <c r="C85" s="8" t="s">
        <v>469</v>
      </c>
      <c r="D85" s="7" t="s">
        <v>470</v>
      </c>
      <c r="E85" s="7" t="s">
        <v>152</v>
      </c>
      <c r="F85" s="7" t="s">
        <v>152</v>
      </c>
      <c r="G85" s="9" t="n">
        <v>37056</v>
      </c>
      <c r="H85" s="5" t="n">
        <v>176</v>
      </c>
      <c r="I85" s="5" t="n">
        <v>95</v>
      </c>
      <c r="J85" s="5" t="n">
        <v>2024</v>
      </c>
      <c r="K85" s="7" t="s">
        <v>358</v>
      </c>
      <c r="L85" s="10" t="str">
        <f aca="false">INDEX(球隊主檔!$C$2:$C$31,MATCH($K85,球隊主檔!$A$2:$A$31,0))</f>
        <v>多倫多藍鳥</v>
      </c>
      <c r="M85" s="11" t="n">
        <f aca="false">IF($C85="打者",COUNTIF(打擊成績!$B:$B,$A85),COUNTIF(投手成績!$B:$B,$A85))</f>
        <v>1</v>
      </c>
    </row>
    <row r="86" customFormat="false" ht="15" hidden="false" customHeight="false" outlineLevel="0" collapsed="false">
      <c r="A86" s="7" t="s">
        <v>645</v>
      </c>
      <c r="B86" s="7" t="s">
        <v>646</v>
      </c>
      <c r="C86" s="8" t="s">
        <v>469</v>
      </c>
      <c r="D86" s="7" t="s">
        <v>478</v>
      </c>
      <c r="E86" s="7" t="s">
        <v>152</v>
      </c>
      <c r="F86" s="7" t="s">
        <v>152</v>
      </c>
      <c r="G86" s="9" t="n">
        <v>35198</v>
      </c>
      <c r="H86" s="5" t="n">
        <v>200</v>
      </c>
      <c r="I86" s="5" t="n">
        <v>100</v>
      </c>
      <c r="J86" s="5" t="n">
        <v>2016</v>
      </c>
      <c r="K86" s="7" t="s">
        <v>358</v>
      </c>
      <c r="L86" s="10" t="str">
        <f aca="false">INDEX(球隊主檔!$C$2:$C$31,MATCH($K86,球隊主檔!$A$2:$A$31,0))</f>
        <v>多倫多藍鳥</v>
      </c>
      <c r="M86" s="11" t="n">
        <f aca="false">IF($C86="打者",COUNTIF(打擊成績!$B:$B,$A86),COUNTIF(投手成績!$B:$B,$A86))</f>
        <v>2</v>
      </c>
    </row>
    <row r="87" customFormat="false" ht="15" hidden="false" customHeight="false" outlineLevel="0" collapsed="false">
      <c r="A87" s="7" t="s">
        <v>647</v>
      </c>
      <c r="B87" s="7" t="s">
        <v>648</v>
      </c>
      <c r="C87" s="8" t="s">
        <v>469</v>
      </c>
      <c r="D87" s="7" t="s">
        <v>158</v>
      </c>
      <c r="E87" s="7" t="s">
        <v>152</v>
      </c>
      <c r="F87" s="7" t="s">
        <v>152</v>
      </c>
      <c r="G87" s="9" t="n">
        <v>34885</v>
      </c>
      <c r="H87" s="5" t="n">
        <v>187</v>
      </c>
      <c r="I87" s="5" t="n">
        <v>111</v>
      </c>
      <c r="J87" s="5" t="n">
        <v>2019</v>
      </c>
      <c r="K87" s="7" t="s">
        <v>358</v>
      </c>
      <c r="L87" s="10" t="str">
        <f aca="false">INDEX(球隊主檔!$C$2:$C$31,MATCH($K87,球隊主檔!$A$2:$A$31,0))</f>
        <v>多倫多藍鳥</v>
      </c>
      <c r="M87" s="11" t="n">
        <f aca="false">IF($C87="打者",COUNTIF(打擊成績!$B:$B,$A87),COUNTIF(投手成績!$B:$B,$A87))</f>
        <v>3</v>
      </c>
    </row>
    <row r="88" customFormat="false" ht="15" hidden="false" customHeight="false" outlineLevel="0" collapsed="false">
      <c r="A88" s="7" t="s">
        <v>649</v>
      </c>
      <c r="B88" s="7" t="s">
        <v>650</v>
      </c>
      <c r="C88" s="8" t="s">
        <v>469</v>
      </c>
      <c r="D88" s="7" t="s">
        <v>483</v>
      </c>
      <c r="E88" s="7" t="s">
        <v>152</v>
      </c>
      <c r="F88" s="7" t="s">
        <v>152</v>
      </c>
      <c r="G88" s="9" t="n">
        <v>33392</v>
      </c>
      <c r="H88" s="5" t="n">
        <v>182</v>
      </c>
      <c r="I88" s="5" t="n">
        <v>98</v>
      </c>
      <c r="J88" s="5" t="n">
        <v>2015</v>
      </c>
      <c r="K88" s="7" t="s">
        <v>358</v>
      </c>
      <c r="L88" s="10" t="str">
        <f aca="false">INDEX(球隊主檔!$C$2:$C$31,MATCH($K88,球隊主檔!$A$2:$A$31,0))</f>
        <v>多倫多藍鳥</v>
      </c>
      <c r="M88" s="11" t="n">
        <f aca="false">IF($C88="打者",COUNTIF(打擊成績!$B:$B,$A88),COUNTIF(投手成績!$B:$B,$A88))</f>
        <v>3</v>
      </c>
    </row>
    <row r="89" customFormat="false" ht="15" hidden="false" customHeight="false" outlineLevel="0" collapsed="false">
      <c r="A89" s="7" t="s">
        <v>651</v>
      </c>
      <c r="B89" s="7" t="s">
        <v>652</v>
      </c>
      <c r="C89" s="8" t="s">
        <v>469</v>
      </c>
      <c r="D89" s="7" t="s">
        <v>473</v>
      </c>
      <c r="E89" s="7" t="s">
        <v>152</v>
      </c>
      <c r="F89" s="7" t="s">
        <v>152</v>
      </c>
      <c r="G89" s="9" t="n">
        <v>36111</v>
      </c>
      <c r="H89" s="5" t="n">
        <v>190</v>
      </c>
      <c r="I89" s="5" t="n">
        <v>84</v>
      </c>
      <c r="J89" s="5" t="n">
        <v>2018</v>
      </c>
      <c r="K89" s="7" t="s">
        <v>418</v>
      </c>
      <c r="L89" s="10" t="str">
        <f aca="false">INDEX(球隊主檔!$C$2:$C$31,MATCH($K89,球隊主檔!$A$2:$A$31,0))</f>
        <v>費城費城人</v>
      </c>
      <c r="M89" s="11" t="n">
        <f aca="false">IF($C89="打者",COUNTIF(打擊成績!$B:$B,$A89),COUNTIF(投手成績!$B:$B,$A89))</f>
        <v>3</v>
      </c>
    </row>
    <row r="90" customFormat="false" ht="15" hidden="false" customHeight="false" outlineLevel="0" collapsed="false">
      <c r="A90" s="7" t="s">
        <v>653</v>
      </c>
      <c r="B90" s="7" t="s">
        <v>654</v>
      </c>
      <c r="C90" s="8" t="s">
        <v>469</v>
      </c>
      <c r="D90" s="7" t="s">
        <v>158</v>
      </c>
      <c r="E90" s="7" t="s">
        <v>152</v>
      </c>
      <c r="F90" s="7" t="s">
        <v>152</v>
      </c>
      <c r="G90" s="9" t="n">
        <v>33362</v>
      </c>
      <c r="H90" s="5" t="n">
        <v>188</v>
      </c>
      <c r="I90" s="5" t="n">
        <v>106</v>
      </c>
      <c r="J90" s="5" t="n">
        <v>2013</v>
      </c>
      <c r="K90" s="7" t="s">
        <v>358</v>
      </c>
      <c r="L90" s="10" t="str">
        <f aca="false">INDEX(球隊主檔!$C$2:$C$31,MATCH($K90,球隊主檔!$A$2:$A$31,0))</f>
        <v>多倫多藍鳥</v>
      </c>
      <c r="M90" s="11" t="n">
        <f aca="false">IF($C90="打者",COUNTIF(打擊成績!$B:$B,$A90),COUNTIF(投手成績!$B:$B,$A90))</f>
        <v>3</v>
      </c>
    </row>
    <row r="91" customFormat="false" ht="15" hidden="false" customHeight="false" outlineLevel="0" collapsed="false">
      <c r="A91" s="7" t="s">
        <v>655</v>
      </c>
      <c r="B91" s="7" t="s">
        <v>656</v>
      </c>
      <c r="C91" s="8" t="s">
        <v>469</v>
      </c>
      <c r="D91" s="7" t="s">
        <v>522</v>
      </c>
      <c r="E91" s="7" t="s">
        <v>152</v>
      </c>
      <c r="F91" s="7" t="s">
        <v>152</v>
      </c>
      <c r="G91" s="9" t="n">
        <v>33498</v>
      </c>
      <c r="H91" s="5" t="n">
        <v>201</v>
      </c>
      <c r="I91" s="5" t="n">
        <v>79</v>
      </c>
      <c r="J91" s="5" t="n">
        <v>2014</v>
      </c>
      <c r="K91" s="7" t="s">
        <v>358</v>
      </c>
      <c r="L91" s="10" t="str">
        <f aca="false">INDEX(球隊主檔!$C$2:$C$31,MATCH($K91,球隊主檔!$A$2:$A$31,0))</f>
        <v>多倫多藍鳥</v>
      </c>
      <c r="M91" s="11" t="n">
        <f aca="false">IF($C91="打者",COUNTIF(打擊成績!$B:$B,$A91),COUNTIF(投手成績!$B:$B,$A91))</f>
        <v>3</v>
      </c>
    </row>
    <row r="92" customFormat="false" ht="15" hidden="false" customHeight="false" outlineLevel="0" collapsed="false">
      <c r="A92" s="7" t="s">
        <v>657</v>
      </c>
      <c r="B92" s="7" t="s">
        <v>658</v>
      </c>
      <c r="C92" s="8" t="s">
        <v>495</v>
      </c>
      <c r="D92" s="7" t="s">
        <v>496</v>
      </c>
      <c r="E92" s="7" t="s">
        <v>174</v>
      </c>
      <c r="F92" s="7" t="s">
        <v>152</v>
      </c>
      <c r="G92" s="9" t="n">
        <v>34929</v>
      </c>
      <c r="H92" s="5" t="n">
        <v>188</v>
      </c>
      <c r="I92" s="5" t="n">
        <v>97</v>
      </c>
      <c r="J92" s="5" t="n">
        <v>2015</v>
      </c>
      <c r="K92" s="7" t="s">
        <v>350</v>
      </c>
      <c r="L92" s="10" t="str">
        <f aca="false">INDEX(球隊主檔!$C$2:$C$31,MATCH($K92,球隊主檔!$A$2:$A$31,0))</f>
        <v>紐約洋基</v>
      </c>
      <c r="M92" s="11" t="n">
        <f aca="false">IF($C92="打者",COUNTIF(打擊成績!$B:$B,$A92),COUNTIF(投手成績!$B:$B,$A92))</f>
        <v>3</v>
      </c>
    </row>
    <row r="93" customFormat="false" ht="15" hidden="false" customHeight="false" outlineLevel="0" collapsed="false">
      <c r="A93" s="7" t="s">
        <v>659</v>
      </c>
      <c r="B93" s="7" t="s">
        <v>660</v>
      </c>
      <c r="C93" s="8" t="s">
        <v>495</v>
      </c>
      <c r="D93" s="7" t="s">
        <v>496</v>
      </c>
      <c r="E93" s="7" t="s">
        <v>152</v>
      </c>
      <c r="F93" s="7" t="s">
        <v>152</v>
      </c>
      <c r="G93" s="9" t="n">
        <v>35930</v>
      </c>
      <c r="H93" s="5" t="n">
        <v>196</v>
      </c>
      <c r="I93" s="5" t="n">
        <v>106</v>
      </c>
      <c r="J93" s="5" t="n">
        <v>2021</v>
      </c>
      <c r="K93" s="7" t="s">
        <v>358</v>
      </c>
      <c r="L93" s="10" t="str">
        <f aca="false">INDEX(球隊主檔!$C$2:$C$31,MATCH($K93,球隊主檔!$A$2:$A$31,0))</f>
        <v>多倫多藍鳥</v>
      </c>
      <c r="M93" s="11" t="n">
        <f aca="false">IF($C93="打者",COUNTIF(打擊成績!$B:$B,$A93),COUNTIF(投手成績!$B:$B,$A93))</f>
        <v>1</v>
      </c>
    </row>
    <row r="94" customFormat="false" ht="15" hidden="false" customHeight="false" outlineLevel="0" collapsed="false">
      <c r="A94" s="7" t="s">
        <v>661</v>
      </c>
      <c r="B94" s="7" t="s">
        <v>662</v>
      </c>
      <c r="C94" s="8" t="s">
        <v>495</v>
      </c>
      <c r="D94" s="7" t="s">
        <v>496</v>
      </c>
      <c r="E94" s="7" t="s">
        <v>126</v>
      </c>
      <c r="F94" s="7" t="s">
        <v>152</v>
      </c>
      <c r="G94" s="9" t="n">
        <v>36502</v>
      </c>
      <c r="H94" s="5" t="n">
        <v>197</v>
      </c>
      <c r="I94" s="5" t="n">
        <v>103</v>
      </c>
      <c r="J94" s="5" t="n">
        <v>2019</v>
      </c>
      <c r="K94" s="7" t="s">
        <v>358</v>
      </c>
      <c r="L94" s="10" t="str">
        <f aca="false">INDEX(球隊主檔!$C$2:$C$31,MATCH($K94,球隊主檔!$A$2:$A$31,0))</f>
        <v>多倫多藍鳥</v>
      </c>
      <c r="M94" s="11" t="n">
        <f aca="false">IF($C94="打者",COUNTIF(打擊成績!$B:$B,$A94),COUNTIF(投手成績!$B:$B,$A94))</f>
        <v>3</v>
      </c>
    </row>
    <row r="95" customFormat="false" ht="15" hidden="false" customHeight="false" outlineLevel="0" collapsed="false">
      <c r="A95" s="7" t="s">
        <v>663</v>
      </c>
      <c r="B95" s="7" t="s">
        <v>664</v>
      </c>
      <c r="C95" s="8" t="s">
        <v>495</v>
      </c>
      <c r="D95" s="7" t="s">
        <v>496</v>
      </c>
      <c r="E95" s="7" t="s">
        <v>152</v>
      </c>
      <c r="F95" s="7" t="s">
        <v>152</v>
      </c>
      <c r="G95" s="9" t="n">
        <v>35330</v>
      </c>
      <c r="H95" s="5" t="n">
        <v>177</v>
      </c>
      <c r="I95" s="5" t="n">
        <v>102</v>
      </c>
      <c r="J95" s="5" t="n">
        <v>2018</v>
      </c>
      <c r="K95" s="7" t="s">
        <v>358</v>
      </c>
      <c r="L95" s="10" t="str">
        <f aca="false">INDEX(球隊主檔!$C$2:$C$31,MATCH($K95,球隊主檔!$A$2:$A$31,0))</f>
        <v>多倫多藍鳥</v>
      </c>
      <c r="M95" s="11" t="n">
        <f aca="false">IF($C95="打者",COUNTIF(打擊成績!$B:$B,$A95),COUNTIF(投手成績!$B:$B,$A95))</f>
        <v>3</v>
      </c>
    </row>
    <row r="96" customFormat="false" ht="15" hidden="false" customHeight="false" outlineLevel="0" collapsed="false">
      <c r="A96" s="7" t="s">
        <v>665</v>
      </c>
      <c r="B96" s="7" t="s">
        <v>666</v>
      </c>
      <c r="C96" s="8" t="s">
        <v>495</v>
      </c>
      <c r="D96" s="7" t="s">
        <v>496</v>
      </c>
      <c r="E96" s="7" t="s">
        <v>152</v>
      </c>
      <c r="F96" s="7" t="s">
        <v>152</v>
      </c>
      <c r="G96" s="9" t="n">
        <v>36021</v>
      </c>
      <c r="H96" s="5" t="n">
        <v>198</v>
      </c>
      <c r="I96" s="5" t="n">
        <v>107</v>
      </c>
      <c r="J96" s="5" t="n">
        <v>2023</v>
      </c>
      <c r="K96" s="7" t="s">
        <v>358</v>
      </c>
      <c r="L96" s="10" t="str">
        <f aca="false">INDEX(球隊主檔!$C$2:$C$31,MATCH($K96,球隊主檔!$A$2:$A$31,0))</f>
        <v>多倫多藍鳥</v>
      </c>
      <c r="M96" s="11" t="n">
        <f aca="false">IF($C96="打者",COUNTIF(打擊成績!$B:$B,$A96),COUNTIF(投手成績!$B:$B,$A96))</f>
        <v>3</v>
      </c>
    </row>
    <row r="97" customFormat="false" ht="15" hidden="false" customHeight="false" outlineLevel="0" collapsed="false">
      <c r="A97" s="7" t="s">
        <v>667</v>
      </c>
      <c r="B97" s="7" t="s">
        <v>668</v>
      </c>
      <c r="C97" s="8" t="s">
        <v>495</v>
      </c>
      <c r="D97" s="7" t="s">
        <v>507</v>
      </c>
      <c r="E97" s="7" t="s">
        <v>126</v>
      </c>
      <c r="F97" s="7" t="s">
        <v>152</v>
      </c>
      <c r="G97" s="9" t="n">
        <v>36133</v>
      </c>
      <c r="H97" s="5" t="n">
        <v>191</v>
      </c>
      <c r="I97" s="5" t="n">
        <v>87</v>
      </c>
      <c r="J97" s="5" t="n">
        <v>2018</v>
      </c>
      <c r="K97" s="7" t="s">
        <v>383</v>
      </c>
      <c r="L97" s="10" t="str">
        <f aca="false">INDEX(球隊主檔!$C$2:$C$31,MATCH($K97,球隊主檔!$A$2:$A$31,0))</f>
        <v>運動家</v>
      </c>
      <c r="M97" s="11" t="n">
        <f aca="false">IF($C97="打者",COUNTIF(打擊成績!$B:$B,$A97),COUNTIF(投手成績!$B:$B,$A97))</f>
        <v>3</v>
      </c>
    </row>
    <row r="98" customFormat="false" ht="15" hidden="false" customHeight="false" outlineLevel="0" collapsed="false">
      <c r="A98" s="7" t="s">
        <v>669</v>
      </c>
      <c r="B98" s="7" t="s">
        <v>670</v>
      </c>
      <c r="C98" s="8" t="s">
        <v>495</v>
      </c>
      <c r="D98" s="7" t="s">
        <v>507</v>
      </c>
      <c r="E98" s="7" t="s">
        <v>126</v>
      </c>
      <c r="F98" s="7" t="s">
        <v>152</v>
      </c>
      <c r="G98" s="9" t="n">
        <v>33982</v>
      </c>
      <c r="H98" s="5" t="n">
        <v>178</v>
      </c>
      <c r="I98" s="5" t="n">
        <v>108</v>
      </c>
      <c r="J98" s="5" t="n">
        <v>2014</v>
      </c>
      <c r="K98" s="7" t="s">
        <v>358</v>
      </c>
      <c r="L98" s="10" t="str">
        <f aca="false">INDEX(球隊主檔!$C$2:$C$31,MATCH($K98,球隊主檔!$A$2:$A$31,0))</f>
        <v>多倫多藍鳥</v>
      </c>
      <c r="M98" s="11" t="n">
        <f aca="false">IF($C98="打者",COUNTIF(打擊成績!$B:$B,$A98),COUNTIF(投手成績!$B:$B,$A98))</f>
        <v>3</v>
      </c>
    </row>
    <row r="99" customFormat="false" ht="15" hidden="false" customHeight="false" outlineLevel="0" collapsed="false">
      <c r="A99" s="7" t="s">
        <v>671</v>
      </c>
      <c r="B99" s="7" t="s">
        <v>672</v>
      </c>
      <c r="C99" s="8" t="s">
        <v>495</v>
      </c>
      <c r="D99" s="7" t="s">
        <v>507</v>
      </c>
      <c r="E99" s="7" t="s">
        <v>152</v>
      </c>
      <c r="F99" s="7" t="s">
        <v>152</v>
      </c>
      <c r="G99" s="9" t="n">
        <v>35274</v>
      </c>
      <c r="H99" s="5" t="n">
        <v>183</v>
      </c>
      <c r="I99" s="5" t="n">
        <v>106</v>
      </c>
      <c r="J99" s="5" t="n">
        <v>2018</v>
      </c>
      <c r="K99" s="7" t="s">
        <v>358</v>
      </c>
      <c r="L99" s="10" t="str">
        <f aca="false">INDEX(球隊主檔!$C$2:$C$31,MATCH($K99,球隊主檔!$A$2:$A$31,0))</f>
        <v>多倫多藍鳥</v>
      </c>
      <c r="M99" s="11" t="n">
        <f aca="false">IF($C99="打者",COUNTIF(打擊成績!$B:$B,$A99),COUNTIF(投手成績!$B:$B,$A99))</f>
        <v>3</v>
      </c>
    </row>
    <row r="100" customFormat="false" ht="15" hidden="false" customHeight="false" outlineLevel="0" collapsed="false">
      <c r="A100" s="7" t="s">
        <v>673</v>
      </c>
      <c r="B100" s="7" t="s">
        <v>674</v>
      </c>
      <c r="C100" s="8" t="s">
        <v>495</v>
      </c>
      <c r="D100" s="7" t="s">
        <v>507</v>
      </c>
      <c r="E100" s="7" t="s">
        <v>152</v>
      </c>
      <c r="F100" s="7" t="s">
        <v>152</v>
      </c>
      <c r="G100" s="9" t="n">
        <v>34888</v>
      </c>
      <c r="H100" s="5" t="n">
        <v>193</v>
      </c>
      <c r="I100" s="5" t="n">
        <v>108</v>
      </c>
      <c r="J100" s="5" t="n">
        <v>2018</v>
      </c>
      <c r="K100" s="7" t="s">
        <v>358</v>
      </c>
      <c r="L100" s="10" t="str">
        <f aca="false">INDEX(球隊主檔!$C$2:$C$31,MATCH($K100,球隊主檔!$A$2:$A$31,0))</f>
        <v>多倫多藍鳥</v>
      </c>
      <c r="M100" s="11" t="n">
        <f aca="false">IF($C100="打者",COUNTIF(打擊成績!$B:$B,$A100),COUNTIF(投手成績!$B:$B,$A100))</f>
        <v>3</v>
      </c>
    </row>
    <row r="101" customFormat="false" ht="15" hidden="false" customHeight="false" outlineLevel="0" collapsed="false">
      <c r="A101" s="7" t="s">
        <v>675</v>
      </c>
      <c r="B101" s="7" t="s">
        <v>676</v>
      </c>
      <c r="C101" s="8" t="s">
        <v>495</v>
      </c>
      <c r="D101" s="7" t="s">
        <v>507</v>
      </c>
      <c r="E101" s="7" t="s">
        <v>152</v>
      </c>
      <c r="F101" s="7" t="s">
        <v>152</v>
      </c>
      <c r="G101" s="9" t="n">
        <v>34783</v>
      </c>
      <c r="H101" s="5" t="n">
        <v>193</v>
      </c>
      <c r="I101" s="5" t="n">
        <v>79</v>
      </c>
      <c r="J101" s="5" t="n">
        <v>2017</v>
      </c>
      <c r="K101" s="7" t="s">
        <v>358</v>
      </c>
      <c r="L101" s="10" t="str">
        <f aca="false">INDEX(球隊主檔!$C$2:$C$31,MATCH($K101,球隊主檔!$A$2:$A$31,0))</f>
        <v>多倫多藍鳥</v>
      </c>
      <c r="M101" s="11" t="n">
        <f aca="false">IF($C101="打者",COUNTIF(打擊成績!$B:$B,$A101),COUNTIF(投手成績!$B:$B,$A101))</f>
        <v>3</v>
      </c>
    </row>
    <row r="102" customFormat="false" ht="15" hidden="false" customHeight="false" outlineLevel="0" collapsed="false">
      <c r="A102" s="7" t="s">
        <v>677</v>
      </c>
      <c r="B102" s="7" t="s">
        <v>678</v>
      </c>
      <c r="C102" s="8" t="s">
        <v>469</v>
      </c>
      <c r="D102" s="7" t="s">
        <v>478</v>
      </c>
      <c r="E102" s="7" t="s">
        <v>152</v>
      </c>
      <c r="F102" s="7" t="s">
        <v>152</v>
      </c>
      <c r="G102" s="9" t="n">
        <v>34448</v>
      </c>
      <c r="H102" s="5" t="n">
        <v>194</v>
      </c>
      <c r="I102" s="5" t="n">
        <v>88</v>
      </c>
      <c r="J102" s="5" t="n">
        <v>2018</v>
      </c>
      <c r="K102" s="7" t="s">
        <v>362</v>
      </c>
      <c r="L102" s="10" t="str">
        <f aca="false">INDEX(球隊主檔!$C$2:$C$31,MATCH($K102,球隊主檔!$A$2:$A$31,0))</f>
        <v>芝加哥白襪</v>
      </c>
      <c r="M102" s="11" t="n">
        <f aca="false">IF($C102="打者",COUNTIF(打擊成績!$B:$B,$A102),COUNTIF(投手成績!$B:$B,$A102))</f>
        <v>3</v>
      </c>
    </row>
    <row r="103" customFormat="false" ht="15" hidden="false" customHeight="false" outlineLevel="0" collapsed="false">
      <c r="A103" s="7" t="s">
        <v>679</v>
      </c>
      <c r="B103" s="7" t="s">
        <v>680</v>
      </c>
      <c r="C103" s="8" t="s">
        <v>469</v>
      </c>
      <c r="D103" s="7" t="s">
        <v>162</v>
      </c>
      <c r="E103" s="7" t="s">
        <v>126</v>
      </c>
      <c r="F103" s="7" t="s">
        <v>152</v>
      </c>
      <c r="G103" s="9" t="n">
        <v>34222</v>
      </c>
      <c r="H103" s="5" t="n">
        <v>187</v>
      </c>
      <c r="I103" s="5" t="n">
        <v>86</v>
      </c>
      <c r="J103" s="5" t="n">
        <v>2015</v>
      </c>
      <c r="K103" s="7" t="s">
        <v>362</v>
      </c>
      <c r="L103" s="10" t="str">
        <f aca="false">INDEX(球隊主檔!$C$2:$C$31,MATCH($K103,球隊主檔!$A$2:$A$31,0))</f>
        <v>芝加哥白襪</v>
      </c>
      <c r="M103" s="11" t="n">
        <f aca="false">IF($C103="打者",COUNTIF(打擊成績!$B:$B,$A103),COUNTIF(投手成績!$B:$B,$A103))</f>
        <v>3</v>
      </c>
    </row>
    <row r="104" customFormat="false" ht="15" hidden="false" customHeight="false" outlineLevel="0" collapsed="false">
      <c r="A104" s="7" t="s">
        <v>681</v>
      </c>
      <c r="B104" s="7" t="s">
        <v>682</v>
      </c>
      <c r="C104" s="8" t="s">
        <v>469</v>
      </c>
      <c r="D104" s="7" t="s">
        <v>63</v>
      </c>
      <c r="E104" s="7" t="s">
        <v>126</v>
      </c>
      <c r="F104" s="7" t="s">
        <v>152</v>
      </c>
      <c r="G104" s="9" t="n">
        <v>35342</v>
      </c>
      <c r="H104" s="5" t="n">
        <v>196</v>
      </c>
      <c r="I104" s="5" t="n">
        <v>105</v>
      </c>
      <c r="J104" s="5" t="n">
        <v>2018</v>
      </c>
      <c r="K104" s="7" t="s">
        <v>362</v>
      </c>
      <c r="L104" s="10" t="str">
        <f aca="false">INDEX(球隊主檔!$C$2:$C$31,MATCH($K104,球隊主檔!$A$2:$A$31,0))</f>
        <v>芝加哥白襪</v>
      </c>
      <c r="M104" s="11" t="n">
        <f aca="false">IF($C104="打者",COUNTIF(打擊成績!$B:$B,$A104),COUNTIF(投手成績!$B:$B,$A104))</f>
        <v>3</v>
      </c>
    </row>
    <row r="105" customFormat="false" ht="15" hidden="false" customHeight="false" outlineLevel="0" collapsed="false">
      <c r="A105" s="7" t="s">
        <v>683</v>
      </c>
      <c r="B105" s="7" t="s">
        <v>684</v>
      </c>
      <c r="C105" s="8" t="s">
        <v>469</v>
      </c>
      <c r="D105" s="7" t="s">
        <v>470</v>
      </c>
      <c r="E105" s="7" t="s">
        <v>126</v>
      </c>
      <c r="F105" s="7" t="s">
        <v>152</v>
      </c>
      <c r="G105" s="9" t="n">
        <v>34991</v>
      </c>
      <c r="H105" s="5" t="n">
        <v>181</v>
      </c>
      <c r="I105" s="5" t="n">
        <v>88</v>
      </c>
      <c r="J105" s="5" t="n">
        <v>2019</v>
      </c>
      <c r="K105" s="7" t="s">
        <v>463</v>
      </c>
      <c r="L105" s="10" t="str">
        <f aca="false">INDEX(球隊主檔!$C$2:$C$31,MATCH($K105,球隊主檔!$A$2:$A$31,0))</f>
        <v>舊金山巨人</v>
      </c>
      <c r="M105" s="11" t="n">
        <f aca="false">IF($C105="打者",COUNTIF(打擊成績!$B:$B,$A105),COUNTIF(投手成績!$B:$B,$A105))</f>
        <v>3</v>
      </c>
    </row>
    <row r="106" customFormat="false" ht="15" hidden="false" customHeight="false" outlineLevel="0" collapsed="false">
      <c r="A106" s="7" t="s">
        <v>685</v>
      </c>
      <c r="B106" s="7" t="s">
        <v>686</v>
      </c>
      <c r="C106" s="8" t="s">
        <v>469</v>
      </c>
      <c r="D106" s="7" t="s">
        <v>63</v>
      </c>
      <c r="E106" s="7" t="s">
        <v>152</v>
      </c>
      <c r="F106" s="7" t="s">
        <v>152</v>
      </c>
      <c r="G106" s="9" t="n">
        <v>32877</v>
      </c>
      <c r="H106" s="5" t="n">
        <v>184</v>
      </c>
      <c r="I106" s="5" t="n">
        <v>85</v>
      </c>
      <c r="J106" s="5" t="n">
        <v>2015</v>
      </c>
      <c r="K106" s="7" t="s">
        <v>354</v>
      </c>
      <c r="L106" s="10" t="str">
        <f aca="false">INDEX(球隊主檔!$C$2:$C$31,MATCH($K106,球隊主檔!$A$2:$A$31,0))</f>
        <v>坦帕灣光芒</v>
      </c>
      <c r="M106" s="11" t="n">
        <f aca="false">IF($C106="打者",COUNTIF(打擊成績!$B:$B,$A106),COUNTIF(投手成績!$B:$B,$A106))</f>
        <v>3</v>
      </c>
    </row>
    <row r="107" customFormat="false" ht="15" hidden="false" customHeight="false" outlineLevel="0" collapsed="false">
      <c r="A107" s="7" t="s">
        <v>687</v>
      </c>
      <c r="B107" s="7" t="s">
        <v>688</v>
      </c>
      <c r="C107" s="8" t="s">
        <v>469</v>
      </c>
      <c r="D107" s="7" t="s">
        <v>486</v>
      </c>
      <c r="E107" s="7" t="s">
        <v>152</v>
      </c>
      <c r="F107" s="7" t="s">
        <v>152</v>
      </c>
      <c r="G107" s="9" t="n">
        <v>35817</v>
      </c>
      <c r="H107" s="5" t="n">
        <v>176</v>
      </c>
      <c r="I107" s="5" t="n">
        <v>103</v>
      </c>
      <c r="J107" s="5" t="n">
        <v>2018</v>
      </c>
      <c r="K107" s="7" t="s">
        <v>362</v>
      </c>
      <c r="L107" s="10" t="str">
        <f aca="false">INDEX(球隊主檔!$C$2:$C$31,MATCH($K107,球隊主檔!$A$2:$A$31,0))</f>
        <v>芝加哥白襪</v>
      </c>
      <c r="M107" s="11" t="n">
        <f aca="false">IF($C107="打者",COUNTIF(打擊成績!$B:$B,$A107),COUNTIF(投手成績!$B:$B,$A107))</f>
        <v>3</v>
      </c>
    </row>
    <row r="108" customFormat="false" ht="15" hidden="false" customHeight="false" outlineLevel="0" collapsed="false">
      <c r="A108" s="7" t="s">
        <v>689</v>
      </c>
      <c r="B108" s="7" t="s">
        <v>690</v>
      </c>
      <c r="C108" s="8" t="s">
        <v>469</v>
      </c>
      <c r="D108" s="7" t="s">
        <v>522</v>
      </c>
      <c r="E108" s="7" t="s">
        <v>152</v>
      </c>
      <c r="F108" s="7" t="s">
        <v>126</v>
      </c>
      <c r="G108" s="9" t="n">
        <v>35331</v>
      </c>
      <c r="H108" s="5" t="n">
        <v>193</v>
      </c>
      <c r="I108" s="5" t="n">
        <v>92</v>
      </c>
      <c r="J108" s="5" t="n">
        <v>2018</v>
      </c>
      <c r="K108" s="7" t="s">
        <v>362</v>
      </c>
      <c r="L108" s="10" t="str">
        <f aca="false">INDEX(球隊主檔!$C$2:$C$31,MATCH($K108,球隊主檔!$A$2:$A$31,0))</f>
        <v>芝加哥白襪</v>
      </c>
      <c r="M108" s="11" t="n">
        <f aca="false">IF($C108="打者",COUNTIF(打擊成績!$B:$B,$A108),COUNTIF(投手成績!$B:$B,$A108))</f>
        <v>3</v>
      </c>
    </row>
    <row r="109" customFormat="false" ht="15" hidden="false" customHeight="false" outlineLevel="0" collapsed="false">
      <c r="A109" s="7" t="s">
        <v>691</v>
      </c>
      <c r="B109" s="7" t="s">
        <v>692</v>
      </c>
      <c r="C109" s="8" t="s">
        <v>469</v>
      </c>
      <c r="D109" s="7" t="s">
        <v>470</v>
      </c>
      <c r="E109" s="7" t="s">
        <v>152</v>
      </c>
      <c r="F109" s="7" t="s">
        <v>152</v>
      </c>
      <c r="G109" s="9" t="n">
        <v>37094</v>
      </c>
      <c r="H109" s="5" t="n">
        <v>180</v>
      </c>
      <c r="I109" s="5" t="n">
        <v>112</v>
      </c>
      <c r="J109" s="5" t="n">
        <v>2024</v>
      </c>
      <c r="K109" s="7" t="s">
        <v>362</v>
      </c>
      <c r="L109" s="10" t="str">
        <f aca="false">INDEX(球隊主檔!$C$2:$C$31,MATCH($K109,球隊主檔!$A$2:$A$31,0))</f>
        <v>芝加哥白襪</v>
      </c>
      <c r="M109" s="11" t="n">
        <f aca="false">IF($C109="打者",COUNTIF(打擊成績!$B:$B,$A109),COUNTIF(投手成績!$B:$B,$A109))</f>
        <v>2</v>
      </c>
    </row>
    <row r="110" customFormat="false" ht="15" hidden="false" customHeight="false" outlineLevel="0" collapsed="false">
      <c r="A110" s="7" t="s">
        <v>693</v>
      </c>
      <c r="B110" s="7" t="s">
        <v>694</v>
      </c>
      <c r="C110" s="8" t="s">
        <v>469</v>
      </c>
      <c r="D110" s="7" t="s">
        <v>162</v>
      </c>
      <c r="E110" s="7" t="s">
        <v>126</v>
      </c>
      <c r="F110" s="7" t="s">
        <v>152</v>
      </c>
      <c r="G110" s="9" t="n">
        <v>37359</v>
      </c>
      <c r="H110" s="5" t="n">
        <v>196</v>
      </c>
      <c r="I110" s="5" t="n">
        <v>110</v>
      </c>
      <c r="J110" s="5" t="n">
        <v>2024</v>
      </c>
      <c r="K110" s="7" t="s">
        <v>362</v>
      </c>
      <c r="L110" s="10" t="str">
        <f aca="false">INDEX(球隊主檔!$C$2:$C$31,MATCH($K110,球隊主檔!$A$2:$A$31,0))</f>
        <v>芝加哥白襪</v>
      </c>
      <c r="M110" s="11" t="n">
        <f aca="false">IF($C110="打者",COUNTIF(打擊成績!$B:$B,$A110),COUNTIF(投手成績!$B:$B,$A110))</f>
        <v>3</v>
      </c>
    </row>
    <row r="111" customFormat="false" ht="15" hidden="false" customHeight="false" outlineLevel="0" collapsed="false">
      <c r="A111" s="7" t="s">
        <v>695</v>
      </c>
      <c r="B111" s="7" t="s">
        <v>696</v>
      </c>
      <c r="C111" s="8" t="s">
        <v>469</v>
      </c>
      <c r="D111" s="7" t="s">
        <v>162</v>
      </c>
      <c r="E111" s="7" t="s">
        <v>152</v>
      </c>
      <c r="F111" s="7" t="s">
        <v>152</v>
      </c>
      <c r="G111" s="9" t="n">
        <v>35393</v>
      </c>
      <c r="H111" s="5" t="n">
        <v>175</v>
      </c>
      <c r="I111" s="5" t="n">
        <v>97</v>
      </c>
      <c r="J111" s="5" t="n">
        <v>2020</v>
      </c>
      <c r="K111" s="7" t="s">
        <v>362</v>
      </c>
      <c r="L111" s="10" t="str">
        <f aca="false">INDEX(球隊主檔!$C$2:$C$31,MATCH($K111,球隊主檔!$A$2:$A$31,0))</f>
        <v>芝加哥白襪</v>
      </c>
      <c r="M111" s="11" t="n">
        <f aca="false">IF($C111="打者",COUNTIF(打擊成績!$B:$B,$A111),COUNTIF(投手成績!$B:$B,$A111))</f>
        <v>3</v>
      </c>
    </row>
    <row r="112" customFormat="false" ht="15" hidden="false" customHeight="false" outlineLevel="0" collapsed="false">
      <c r="A112" s="7" t="s">
        <v>697</v>
      </c>
      <c r="B112" s="7" t="s">
        <v>698</v>
      </c>
      <c r="C112" s="8" t="s">
        <v>495</v>
      </c>
      <c r="D112" s="7" t="s">
        <v>496</v>
      </c>
      <c r="E112" s="7" t="s">
        <v>152</v>
      </c>
      <c r="F112" s="7" t="s">
        <v>152</v>
      </c>
      <c r="G112" s="9" t="n">
        <v>36435</v>
      </c>
      <c r="H112" s="5" t="n">
        <v>184</v>
      </c>
      <c r="I112" s="5" t="n">
        <v>97</v>
      </c>
      <c r="J112" s="5" t="n">
        <v>2023</v>
      </c>
      <c r="K112" s="7" t="s">
        <v>430</v>
      </c>
      <c r="L112" s="10" t="str">
        <f aca="false">INDEX(球隊主檔!$C$2:$C$31,MATCH($K112,球隊主檔!$A$2:$A$31,0))</f>
        <v>辛辛那提紅人</v>
      </c>
      <c r="M112" s="11" t="n">
        <f aca="false">IF($C112="打者",COUNTIF(打擊成績!$B:$B,$A112),COUNTIF(投手成績!$B:$B,$A112))</f>
        <v>3</v>
      </c>
    </row>
    <row r="113" customFormat="false" ht="15" hidden="false" customHeight="false" outlineLevel="0" collapsed="false">
      <c r="A113" s="7" t="s">
        <v>699</v>
      </c>
      <c r="B113" s="7" t="s">
        <v>700</v>
      </c>
      <c r="C113" s="8" t="s">
        <v>495</v>
      </c>
      <c r="D113" s="7" t="s">
        <v>496</v>
      </c>
      <c r="E113" s="7" t="s">
        <v>126</v>
      </c>
      <c r="F113" s="7" t="s">
        <v>126</v>
      </c>
      <c r="G113" s="9" t="n">
        <v>34710</v>
      </c>
      <c r="H113" s="5" t="n">
        <v>187</v>
      </c>
      <c r="I113" s="5" t="n">
        <v>81</v>
      </c>
      <c r="J113" s="5" t="n">
        <v>2015</v>
      </c>
      <c r="K113" s="7" t="s">
        <v>362</v>
      </c>
      <c r="L113" s="10" t="str">
        <f aca="false">INDEX(球隊主檔!$C$2:$C$31,MATCH($K113,球隊主檔!$A$2:$A$31,0))</f>
        <v>芝加哥白襪</v>
      </c>
      <c r="M113" s="11" t="n">
        <f aca="false">IF($C113="打者",COUNTIF(打擊成績!$B:$B,$A113),COUNTIF(投手成績!$B:$B,$A113))</f>
        <v>3</v>
      </c>
    </row>
    <row r="114" customFormat="false" ht="15" hidden="false" customHeight="false" outlineLevel="0" collapsed="false">
      <c r="A114" s="7" t="s">
        <v>701</v>
      </c>
      <c r="B114" s="7" t="s">
        <v>702</v>
      </c>
      <c r="C114" s="8" t="s">
        <v>495</v>
      </c>
      <c r="D114" s="7" t="s">
        <v>496</v>
      </c>
      <c r="E114" s="7" t="s">
        <v>126</v>
      </c>
      <c r="F114" s="7" t="s">
        <v>152</v>
      </c>
      <c r="G114" s="9" t="n">
        <v>34976</v>
      </c>
      <c r="H114" s="5" t="n">
        <v>200</v>
      </c>
      <c r="I114" s="5" t="n">
        <v>99</v>
      </c>
      <c r="J114" s="5" t="n">
        <v>2018</v>
      </c>
      <c r="K114" s="7" t="s">
        <v>362</v>
      </c>
      <c r="L114" s="10" t="str">
        <f aca="false">INDEX(球隊主檔!$C$2:$C$31,MATCH($K114,球隊主檔!$A$2:$A$31,0))</f>
        <v>芝加哥白襪</v>
      </c>
      <c r="M114" s="11" t="n">
        <f aca="false">IF($C114="打者",COUNTIF(打擊成績!$B:$B,$A114),COUNTIF(投手成績!$B:$B,$A114))</f>
        <v>3</v>
      </c>
    </row>
    <row r="115" customFormat="false" ht="15" hidden="false" customHeight="false" outlineLevel="0" collapsed="false">
      <c r="A115" s="7" t="s">
        <v>703</v>
      </c>
      <c r="B115" s="7" t="s">
        <v>704</v>
      </c>
      <c r="C115" s="8" t="s">
        <v>495</v>
      </c>
      <c r="D115" s="7" t="s">
        <v>496</v>
      </c>
      <c r="E115" s="7" t="s">
        <v>152</v>
      </c>
      <c r="F115" s="7" t="s">
        <v>152</v>
      </c>
      <c r="G115" s="9" t="n">
        <v>34265</v>
      </c>
      <c r="H115" s="5" t="n">
        <v>183</v>
      </c>
      <c r="I115" s="5" t="n">
        <v>109</v>
      </c>
      <c r="J115" s="5" t="n">
        <v>2015</v>
      </c>
      <c r="K115" s="7" t="s">
        <v>362</v>
      </c>
      <c r="L115" s="10" t="str">
        <f aca="false">INDEX(球隊主檔!$C$2:$C$31,MATCH($K115,球隊主檔!$A$2:$A$31,0))</f>
        <v>芝加哥白襪</v>
      </c>
      <c r="M115" s="11" t="n">
        <f aca="false">IF($C115="打者",COUNTIF(打擊成績!$B:$B,$A115),COUNTIF(投手成績!$B:$B,$A115))</f>
        <v>3</v>
      </c>
    </row>
    <row r="116" customFormat="false" ht="15" hidden="false" customHeight="false" outlineLevel="0" collapsed="false">
      <c r="A116" s="7" t="s">
        <v>705</v>
      </c>
      <c r="B116" s="7" t="s">
        <v>706</v>
      </c>
      <c r="C116" s="8" t="s">
        <v>495</v>
      </c>
      <c r="D116" s="7" t="s">
        <v>496</v>
      </c>
      <c r="E116" s="7" t="s">
        <v>152</v>
      </c>
      <c r="F116" s="7" t="s">
        <v>126</v>
      </c>
      <c r="G116" s="9" t="n">
        <v>35381</v>
      </c>
      <c r="H116" s="5" t="n">
        <v>185</v>
      </c>
      <c r="I116" s="5" t="n">
        <v>91</v>
      </c>
      <c r="J116" s="5" t="n">
        <v>2019</v>
      </c>
      <c r="K116" s="7" t="s">
        <v>362</v>
      </c>
      <c r="L116" s="10" t="str">
        <f aca="false">INDEX(球隊主檔!$C$2:$C$31,MATCH($K116,球隊主檔!$A$2:$A$31,0))</f>
        <v>芝加哥白襪</v>
      </c>
      <c r="M116" s="11" t="n">
        <f aca="false">IF($C116="打者",COUNTIF(打擊成績!$B:$B,$A116),COUNTIF(投手成績!$B:$B,$A116))</f>
        <v>3</v>
      </c>
    </row>
    <row r="117" customFormat="false" ht="15" hidden="false" customHeight="false" outlineLevel="0" collapsed="false">
      <c r="A117" s="7" t="s">
        <v>707</v>
      </c>
      <c r="B117" s="7" t="s">
        <v>708</v>
      </c>
      <c r="C117" s="8" t="s">
        <v>495</v>
      </c>
      <c r="D117" s="7" t="s">
        <v>507</v>
      </c>
      <c r="E117" s="7" t="s">
        <v>126</v>
      </c>
      <c r="F117" s="7" t="s">
        <v>152</v>
      </c>
      <c r="G117" s="9" t="n">
        <v>34834</v>
      </c>
      <c r="H117" s="5" t="n">
        <v>177</v>
      </c>
      <c r="I117" s="5" t="n">
        <v>86</v>
      </c>
      <c r="J117" s="5" t="n">
        <v>2016</v>
      </c>
      <c r="K117" s="7" t="s">
        <v>362</v>
      </c>
      <c r="L117" s="10" t="str">
        <f aca="false">INDEX(球隊主檔!$C$2:$C$31,MATCH($K117,球隊主檔!$A$2:$A$31,0))</f>
        <v>芝加哥白襪</v>
      </c>
      <c r="M117" s="11" t="n">
        <f aca="false">IF($C117="打者",COUNTIF(打擊成績!$B:$B,$A117),COUNTIF(投手成績!$B:$B,$A117))</f>
        <v>3</v>
      </c>
    </row>
    <row r="118" customFormat="false" ht="15" hidden="false" customHeight="false" outlineLevel="0" collapsed="false">
      <c r="A118" s="7" t="s">
        <v>709</v>
      </c>
      <c r="B118" s="7" t="s">
        <v>710</v>
      </c>
      <c r="C118" s="8" t="s">
        <v>495</v>
      </c>
      <c r="D118" s="7" t="s">
        <v>507</v>
      </c>
      <c r="E118" s="7" t="s">
        <v>126</v>
      </c>
      <c r="F118" s="7" t="s">
        <v>152</v>
      </c>
      <c r="G118" s="9" t="n">
        <v>34356</v>
      </c>
      <c r="H118" s="5" t="n">
        <v>177</v>
      </c>
      <c r="I118" s="5" t="n">
        <v>110</v>
      </c>
      <c r="J118" s="5" t="n">
        <v>2018</v>
      </c>
      <c r="K118" s="7" t="s">
        <v>362</v>
      </c>
      <c r="L118" s="10" t="str">
        <f aca="false">INDEX(球隊主檔!$C$2:$C$31,MATCH($K118,球隊主檔!$A$2:$A$31,0))</f>
        <v>芝加哥白襪</v>
      </c>
      <c r="M118" s="11" t="n">
        <f aca="false">IF($C118="打者",COUNTIF(打擊成績!$B:$B,$A118),COUNTIF(投手成績!$B:$B,$A118))</f>
        <v>3</v>
      </c>
    </row>
    <row r="119" customFormat="false" ht="15" hidden="false" customHeight="false" outlineLevel="0" collapsed="false">
      <c r="A119" s="7" t="s">
        <v>711</v>
      </c>
      <c r="B119" s="7" t="s">
        <v>712</v>
      </c>
      <c r="C119" s="8" t="s">
        <v>495</v>
      </c>
      <c r="D119" s="7" t="s">
        <v>507</v>
      </c>
      <c r="E119" s="7" t="s">
        <v>152</v>
      </c>
      <c r="F119" s="7" t="s">
        <v>152</v>
      </c>
      <c r="G119" s="9" t="n">
        <v>35105</v>
      </c>
      <c r="H119" s="5" t="n">
        <v>191</v>
      </c>
      <c r="I119" s="5" t="n">
        <v>83</v>
      </c>
      <c r="J119" s="5" t="n">
        <v>2017</v>
      </c>
      <c r="K119" s="7" t="s">
        <v>362</v>
      </c>
      <c r="L119" s="10" t="str">
        <f aca="false">INDEX(球隊主檔!$C$2:$C$31,MATCH($K119,球隊主檔!$A$2:$A$31,0))</f>
        <v>芝加哥白襪</v>
      </c>
      <c r="M119" s="11" t="n">
        <f aca="false">IF($C119="打者",COUNTIF(打擊成績!$B:$B,$A119),COUNTIF(投手成績!$B:$B,$A119))</f>
        <v>3</v>
      </c>
    </row>
    <row r="120" customFormat="false" ht="15" hidden="false" customHeight="false" outlineLevel="0" collapsed="false">
      <c r="A120" s="7" t="s">
        <v>713</v>
      </c>
      <c r="B120" s="7" t="s">
        <v>714</v>
      </c>
      <c r="C120" s="8" t="s">
        <v>495</v>
      </c>
      <c r="D120" s="7" t="s">
        <v>507</v>
      </c>
      <c r="E120" s="7" t="s">
        <v>126</v>
      </c>
      <c r="F120" s="7" t="s">
        <v>152</v>
      </c>
      <c r="G120" s="9" t="n">
        <v>35777</v>
      </c>
      <c r="H120" s="5" t="n">
        <v>201</v>
      </c>
      <c r="I120" s="5" t="n">
        <v>105</v>
      </c>
      <c r="J120" s="5" t="n">
        <v>2018</v>
      </c>
      <c r="K120" s="7" t="s">
        <v>362</v>
      </c>
      <c r="L120" s="10" t="str">
        <f aca="false">INDEX(球隊主檔!$C$2:$C$31,MATCH($K120,球隊主檔!$A$2:$A$31,0))</f>
        <v>芝加哥白襪</v>
      </c>
      <c r="M120" s="11" t="n">
        <f aca="false">IF($C120="打者",COUNTIF(打擊成績!$B:$B,$A120),COUNTIF(投手成績!$B:$B,$A120))</f>
        <v>2</v>
      </c>
    </row>
    <row r="121" customFormat="false" ht="15" hidden="false" customHeight="false" outlineLevel="0" collapsed="false">
      <c r="A121" s="7" t="s">
        <v>715</v>
      </c>
      <c r="B121" s="7" t="s">
        <v>716</v>
      </c>
      <c r="C121" s="8" t="s">
        <v>495</v>
      </c>
      <c r="D121" s="7" t="s">
        <v>507</v>
      </c>
      <c r="E121" s="7" t="s">
        <v>152</v>
      </c>
      <c r="F121" s="7" t="s">
        <v>152</v>
      </c>
      <c r="G121" s="9" t="n">
        <v>36057</v>
      </c>
      <c r="H121" s="5" t="n">
        <v>193</v>
      </c>
      <c r="I121" s="5" t="n">
        <v>86</v>
      </c>
      <c r="J121" s="5" t="n">
        <v>2022</v>
      </c>
      <c r="K121" s="7" t="s">
        <v>362</v>
      </c>
      <c r="L121" s="10" t="str">
        <f aca="false">INDEX(球隊主檔!$C$2:$C$31,MATCH($K121,球隊主檔!$A$2:$A$31,0))</f>
        <v>芝加哥白襪</v>
      </c>
      <c r="M121" s="11" t="n">
        <f aca="false">IF($C121="打者",COUNTIF(打擊成績!$B:$B,$A121),COUNTIF(投手成績!$B:$B,$A121))</f>
        <v>3</v>
      </c>
    </row>
    <row r="122" customFormat="false" ht="15" hidden="false" customHeight="false" outlineLevel="0" collapsed="false">
      <c r="A122" s="7" t="s">
        <v>717</v>
      </c>
      <c r="B122" s="7" t="s">
        <v>718</v>
      </c>
      <c r="C122" s="8" t="s">
        <v>469</v>
      </c>
      <c r="D122" s="7" t="s">
        <v>470</v>
      </c>
      <c r="E122" s="7" t="s">
        <v>174</v>
      </c>
      <c r="F122" s="7" t="s">
        <v>152</v>
      </c>
      <c r="G122" s="9" t="n">
        <v>36693</v>
      </c>
      <c r="H122" s="5" t="n">
        <v>185</v>
      </c>
      <c r="I122" s="5" t="n">
        <v>89</v>
      </c>
      <c r="J122" s="5" t="n">
        <v>2024</v>
      </c>
      <c r="K122" s="7" t="s">
        <v>354</v>
      </c>
      <c r="L122" s="10" t="str">
        <f aca="false">INDEX(球隊主檔!$C$2:$C$31,MATCH($K122,球隊主檔!$A$2:$A$31,0))</f>
        <v>坦帕灣光芒</v>
      </c>
      <c r="M122" s="11" t="n">
        <f aca="false">IF($C122="打者",COUNTIF(打擊成績!$B:$B,$A122),COUNTIF(投手成績!$B:$B,$A122))</f>
        <v>3</v>
      </c>
    </row>
    <row r="123" customFormat="false" ht="15" hidden="false" customHeight="false" outlineLevel="0" collapsed="false">
      <c r="A123" s="7" t="s">
        <v>719</v>
      </c>
      <c r="B123" s="7" t="s">
        <v>720</v>
      </c>
      <c r="C123" s="8" t="s">
        <v>469</v>
      </c>
      <c r="D123" s="7" t="s">
        <v>63</v>
      </c>
      <c r="E123" s="7" t="s">
        <v>152</v>
      </c>
      <c r="F123" s="7" t="s">
        <v>126</v>
      </c>
      <c r="G123" s="9" t="n">
        <v>33256</v>
      </c>
      <c r="H123" s="5" t="n">
        <v>186</v>
      </c>
      <c r="I123" s="5" t="n">
        <v>110</v>
      </c>
      <c r="J123" s="5" t="n">
        <v>2016</v>
      </c>
      <c r="K123" s="7" t="s">
        <v>459</v>
      </c>
      <c r="L123" s="10" t="str">
        <f aca="false">INDEX(球隊主檔!$C$2:$C$31,MATCH($K123,球隊主檔!$A$2:$A$31,0))</f>
        <v>聖地牙哥教士</v>
      </c>
      <c r="M123" s="11" t="n">
        <f aca="false">IF($C123="打者",COUNTIF(打擊成績!$B:$B,$A123),COUNTIF(投手成績!$B:$B,$A123))</f>
        <v>2</v>
      </c>
    </row>
    <row r="124" customFormat="false" ht="15" hidden="false" customHeight="false" outlineLevel="0" collapsed="false">
      <c r="A124" s="7" t="s">
        <v>721</v>
      </c>
      <c r="B124" s="7" t="s">
        <v>722</v>
      </c>
      <c r="C124" s="8" t="s">
        <v>469</v>
      </c>
      <c r="D124" s="7" t="s">
        <v>470</v>
      </c>
      <c r="E124" s="7" t="s">
        <v>152</v>
      </c>
      <c r="F124" s="7" t="s">
        <v>152</v>
      </c>
      <c r="G124" s="9" t="n">
        <v>37302</v>
      </c>
      <c r="H124" s="5" t="n">
        <v>199</v>
      </c>
      <c r="I124" s="5" t="n">
        <v>108</v>
      </c>
      <c r="J124" s="5" t="n">
        <v>2022</v>
      </c>
      <c r="K124" s="7" t="s">
        <v>367</v>
      </c>
      <c r="L124" s="10" t="str">
        <f aca="false">INDEX(球隊主檔!$C$2:$C$31,MATCH($K124,球隊主檔!$A$2:$A$31,0))</f>
        <v>克里夫蘭守護者</v>
      </c>
      <c r="M124" s="11" t="n">
        <f aca="false">IF($C124="打者",COUNTIF(打擊成績!$B:$B,$A124),COUNTIF(投手成績!$B:$B,$A124))</f>
        <v>3</v>
      </c>
    </row>
    <row r="125" customFormat="false" ht="15" hidden="false" customHeight="false" outlineLevel="0" collapsed="false">
      <c r="A125" s="7" t="s">
        <v>723</v>
      </c>
      <c r="B125" s="7" t="s">
        <v>724</v>
      </c>
      <c r="C125" s="8" t="s">
        <v>469</v>
      </c>
      <c r="D125" s="7" t="s">
        <v>478</v>
      </c>
      <c r="E125" s="7" t="s">
        <v>174</v>
      </c>
      <c r="F125" s="7" t="s">
        <v>126</v>
      </c>
      <c r="G125" s="9" t="n">
        <v>33037</v>
      </c>
      <c r="H125" s="5" t="n">
        <v>178</v>
      </c>
      <c r="I125" s="5" t="n">
        <v>106</v>
      </c>
      <c r="J125" s="5" t="n">
        <v>2011</v>
      </c>
      <c r="K125" s="7" t="s">
        <v>426</v>
      </c>
      <c r="L125" s="10" t="str">
        <f aca="false">INDEX(球隊主檔!$C$2:$C$31,MATCH($K125,球隊主檔!$A$2:$A$31,0))</f>
        <v>芝加哥小熊</v>
      </c>
      <c r="M125" s="11" t="n">
        <f aca="false">IF($C125="打者",COUNTIF(打擊成績!$B:$B,$A125),COUNTIF(投手成績!$B:$B,$A125))</f>
        <v>3</v>
      </c>
    </row>
    <row r="126" customFormat="false" ht="15" hidden="false" customHeight="false" outlineLevel="0" collapsed="false">
      <c r="A126" s="7" t="s">
        <v>725</v>
      </c>
      <c r="B126" s="7" t="s">
        <v>726</v>
      </c>
      <c r="C126" s="8" t="s">
        <v>469</v>
      </c>
      <c r="D126" s="7" t="s">
        <v>158</v>
      </c>
      <c r="E126" s="7" t="s">
        <v>126</v>
      </c>
      <c r="F126" s="7" t="s">
        <v>152</v>
      </c>
      <c r="G126" s="9" t="n">
        <v>34111</v>
      </c>
      <c r="H126" s="5" t="n">
        <v>189</v>
      </c>
      <c r="I126" s="5" t="n">
        <v>102</v>
      </c>
      <c r="J126" s="5" t="n">
        <v>2013</v>
      </c>
      <c r="K126" s="7" t="s">
        <v>367</v>
      </c>
      <c r="L126" s="10" t="str">
        <f aca="false">INDEX(球隊主檔!$C$2:$C$31,MATCH($K126,球隊主檔!$A$2:$A$31,0))</f>
        <v>克里夫蘭守護者</v>
      </c>
      <c r="M126" s="11" t="n">
        <f aca="false">IF($C126="打者",COUNTIF(打擊成績!$B:$B,$A126),COUNTIF(投手成績!$B:$B,$A126))</f>
        <v>3</v>
      </c>
    </row>
    <row r="127" customFormat="false" ht="15" hidden="false" customHeight="false" outlineLevel="0" collapsed="false">
      <c r="A127" s="7" t="s">
        <v>727</v>
      </c>
      <c r="B127" s="7" t="s">
        <v>728</v>
      </c>
      <c r="C127" s="8" t="s">
        <v>469</v>
      </c>
      <c r="D127" s="7" t="s">
        <v>522</v>
      </c>
      <c r="E127" s="7" t="s">
        <v>126</v>
      </c>
      <c r="F127" s="7" t="s">
        <v>152</v>
      </c>
      <c r="G127" s="9" t="n">
        <v>35644</v>
      </c>
      <c r="H127" s="5" t="n">
        <v>179</v>
      </c>
      <c r="I127" s="5" t="n">
        <v>95</v>
      </c>
      <c r="J127" s="5" t="n">
        <v>2022</v>
      </c>
      <c r="K127" s="7" t="s">
        <v>367</v>
      </c>
      <c r="L127" s="10" t="str">
        <f aca="false">INDEX(球隊主檔!$C$2:$C$31,MATCH($K127,球隊主檔!$A$2:$A$31,0))</f>
        <v>克里夫蘭守護者</v>
      </c>
      <c r="M127" s="11" t="n">
        <f aca="false">IF($C127="打者",COUNTIF(打擊成績!$B:$B,$A127),COUNTIF(投手成績!$B:$B,$A127))</f>
        <v>1</v>
      </c>
    </row>
    <row r="128" customFormat="false" ht="15" hidden="false" customHeight="false" outlineLevel="0" collapsed="false">
      <c r="A128" s="7" t="s">
        <v>729</v>
      </c>
      <c r="B128" s="7" t="s">
        <v>730</v>
      </c>
      <c r="C128" s="8" t="s">
        <v>469</v>
      </c>
      <c r="D128" s="7" t="s">
        <v>486</v>
      </c>
      <c r="E128" s="7" t="s">
        <v>152</v>
      </c>
      <c r="F128" s="7" t="s">
        <v>152</v>
      </c>
      <c r="G128" s="9" t="n">
        <v>34997</v>
      </c>
      <c r="H128" s="5" t="n">
        <v>188</v>
      </c>
      <c r="I128" s="5" t="n">
        <v>98</v>
      </c>
      <c r="J128" s="5" t="n">
        <v>2020</v>
      </c>
      <c r="K128" s="7" t="s">
        <v>367</v>
      </c>
      <c r="L128" s="10" t="str">
        <f aca="false">INDEX(球隊主檔!$C$2:$C$31,MATCH($K128,球隊主檔!$A$2:$A$31,0))</f>
        <v>克里夫蘭守護者</v>
      </c>
      <c r="M128" s="11" t="n">
        <f aca="false">IF($C128="打者",COUNTIF(打擊成績!$B:$B,$A128),COUNTIF(投手成績!$B:$B,$A128))</f>
        <v>3</v>
      </c>
    </row>
    <row r="129" customFormat="false" ht="15" hidden="false" customHeight="false" outlineLevel="0" collapsed="false">
      <c r="A129" s="7" t="s">
        <v>731</v>
      </c>
      <c r="B129" s="7" t="s">
        <v>732</v>
      </c>
      <c r="C129" s="8" t="s">
        <v>469</v>
      </c>
      <c r="D129" s="7" t="s">
        <v>478</v>
      </c>
      <c r="E129" s="7" t="s">
        <v>152</v>
      </c>
      <c r="F129" s="7" t="s">
        <v>152</v>
      </c>
      <c r="G129" s="9" t="n">
        <v>37556</v>
      </c>
      <c r="H129" s="5" t="n">
        <v>197</v>
      </c>
      <c r="I129" s="5" t="n">
        <v>100</v>
      </c>
      <c r="J129" s="5" t="n">
        <v>2024</v>
      </c>
      <c r="K129" s="7" t="s">
        <v>367</v>
      </c>
      <c r="L129" s="10" t="str">
        <f aca="false">INDEX(球隊主檔!$C$2:$C$31,MATCH($K129,球隊主檔!$A$2:$A$31,0))</f>
        <v>克里夫蘭守護者</v>
      </c>
      <c r="M129" s="11" t="n">
        <f aca="false">IF($C129="打者",COUNTIF(打擊成績!$B:$B,$A129),COUNTIF(投手成績!$B:$B,$A129))</f>
        <v>3</v>
      </c>
    </row>
    <row r="130" customFormat="false" ht="15" hidden="false" customHeight="false" outlineLevel="0" collapsed="false">
      <c r="A130" s="7" t="s">
        <v>733</v>
      </c>
      <c r="B130" s="7" t="s">
        <v>734</v>
      </c>
      <c r="C130" s="8" t="s">
        <v>469</v>
      </c>
      <c r="D130" s="7" t="s">
        <v>470</v>
      </c>
      <c r="E130" s="7" t="s">
        <v>126</v>
      </c>
      <c r="F130" s="7" t="s">
        <v>152</v>
      </c>
      <c r="G130" s="9" t="n">
        <v>33304</v>
      </c>
      <c r="H130" s="5" t="n">
        <v>183</v>
      </c>
      <c r="I130" s="5" t="n">
        <v>97</v>
      </c>
      <c r="J130" s="5" t="n">
        <v>2014</v>
      </c>
      <c r="K130" s="7" t="s">
        <v>367</v>
      </c>
      <c r="L130" s="10" t="str">
        <f aca="false">INDEX(球隊主檔!$C$2:$C$31,MATCH($K130,球隊主檔!$A$2:$A$31,0))</f>
        <v>克里夫蘭守護者</v>
      </c>
      <c r="M130" s="11" t="n">
        <f aca="false">IF($C130="打者",COUNTIF(打擊成績!$B:$B,$A130),COUNTIF(投手成績!$B:$B,$A130))</f>
        <v>3</v>
      </c>
    </row>
    <row r="131" customFormat="false" ht="15" hidden="false" customHeight="false" outlineLevel="0" collapsed="false">
      <c r="A131" s="7" t="s">
        <v>735</v>
      </c>
      <c r="B131" s="7" t="s">
        <v>736</v>
      </c>
      <c r="C131" s="8" t="s">
        <v>469</v>
      </c>
      <c r="D131" s="7" t="s">
        <v>483</v>
      </c>
      <c r="E131" s="7" t="s">
        <v>174</v>
      </c>
      <c r="F131" s="7" t="s">
        <v>152</v>
      </c>
      <c r="G131" s="9" t="n">
        <v>35911</v>
      </c>
      <c r="H131" s="5" t="n">
        <v>197</v>
      </c>
      <c r="I131" s="5" t="n">
        <v>110</v>
      </c>
      <c r="J131" s="5" t="n">
        <v>2019</v>
      </c>
      <c r="K131" s="7" t="s">
        <v>367</v>
      </c>
      <c r="L131" s="10" t="str">
        <f aca="false">INDEX(球隊主檔!$C$2:$C$31,MATCH($K131,球隊主檔!$A$2:$A$31,0))</f>
        <v>克里夫蘭守護者</v>
      </c>
      <c r="M131" s="11" t="n">
        <f aca="false">IF($C131="打者",COUNTIF(打擊成績!$B:$B,$A131),COUNTIF(投手成績!$B:$B,$A131))</f>
        <v>3</v>
      </c>
    </row>
    <row r="132" customFormat="false" ht="15" hidden="false" customHeight="false" outlineLevel="0" collapsed="false">
      <c r="A132" s="7" t="s">
        <v>737</v>
      </c>
      <c r="B132" s="7" t="s">
        <v>738</v>
      </c>
      <c r="C132" s="8" t="s">
        <v>495</v>
      </c>
      <c r="D132" s="7" t="s">
        <v>496</v>
      </c>
      <c r="E132" s="7" t="s">
        <v>152</v>
      </c>
      <c r="F132" s="7" t="s">
        <v>152</v>
      </c>
      <c r="G132" s="9" t="n">
        <v>34369</v>
      </c>
      <c r="H132" s="5" t="n">
        <v>199</v>
      </c>
      <c r="I132" s="5" t="n">
        <v>80</v>
      </c>
      <c r="J132" s="5" t="n">
        <v>2015</v>
      </c>
      <c r="K132" s="7" t="s">
        <v>463</v>
      </c>
      <c r="L132" s="10" t="str">
        <f aca="false">INDEX(球隊主檔!$C$2:$C$31,MATCH($K132,球隊主檔!$A$2:$A$31,0))</f>
        <v>舊金山巨人</v>
      </c>
      <c r="M132" s="11" t="n">
        <f aca="false">IF($C132="打者",COUNTIF(打擊成績!$B:$B,$A132),COUNTIF(投手成績!$B:$B,$A132))</f>
        <v>3</v>
      </c>
    </row>
    <row r="133" customFormat="false" ht="15" hidden="false" customHeight="false" outlineLevel="0" collapsed="false">
      <c r="A133" s="7" t="s">
        <v>739</v>
      </c>
      <c r="B133" s="7" t="s">
        <v>740</v>
      </c>
      <c r="C133" s="8" t="s">
        <v>495</v>
      </c>
      <c r="D133" s="7" t="s">
        <v>496</v>
      </c>
      <c r="E133" s="7" t="s">
        <v>152</v>
      </c>
      <c r="F133" s="7" t="s">
        <v>152</v>
      </c>
      <c r="G133" s="9" t="n">
        <v>33892</v>
      </c>
      <c r="H133" s="5" t="n">
        <v>175</v>
      </c>
      <c r="I133" s="5" t="n">
        <v>90</v>
      </c>
      <c r="J133" s="5" t="n">
        <v>2016</v>
      </c>
      <c r="K133" s="7" t="s">
        <v>367</v>
      </c>
      <c r="L133" s="10" t="str">
        <f aca="false">INDEX(球隊主檔!$C$2:$C$31,MATCH($K133,球隊主檔!$A$2:$A$31,0))</f>
        <v>克里夫蘭守護者</v>
      </c>
      <c r="M133" s="11" t="n">
        <f aca="false">IF($C133="打者",COUNTIF(打擊成績!$B:$B,$A133),COUNTIF(投手成績!$B:$B,$A133))</f>
        <v>3</v>
      </c>
    </row>
    <row r="134" customFormat="false" ht="15" hidden="false" customHeight="false" outlineLevel="0" collapsed="false">
      <c r="A134" s="7" t="s">
        <v>741</v>
      </c>
      <c r="B134" s="7" t="s">
        <v>742</v>
      </c>
      <c r="C134" s="8" t="s">
        <v>495</v>
      </c>
      <c r="D134" s="7" t="s">
        <v>496</v>
      </c>
      <c r="E134" s="7" t="s">
        <v>126</v>
      </c>
      <c r="F134" s="7" t="s">
        <v>152</v>
      </c>
      <c r="G134" s="9" t="n">
        <v>32618</v>
      </c>
      <c r="H134" s="5" t="n">
        <v>189</v>
      </c>
      <c r="I134" s="5" t="n">
        <v>79</v>
      </c>
      <c r="J134" s="5" t="n">
        <v>2014</v>
      </c>
      <c r="K134" s="7" t="s">
        <v>367</v>
      </c>
      <c r="L134" s="10" t="str">
        <f aca="false">INDEX(球隊主檔!$C$2:$C$31,MATCH($K134,球隊主檔!$A$2:$A$31,0))</f>
        <v>克里夫蘭守護者</v>
      </c>
      <c r="M134" s="11" t="n">
        <f aca="false">IF($C134="打者",COUNTIF(打擊成績!$B:$B,$A134),COUNTIF(投手成績!$B:$B,$A134))</f>
        <v>3</v>
      </c>
    </row>
    <row r="135" customFormat="false" ht="15" hidden="false" customHeight="false" outlineLevel="0" collapsed="false">
      <c r="A135" s="7" t="s">
        <v>743</v>
      </c>
      <c r="B135" s="7" t="s">
        <v>744</v>
      </c>
      <c r="C135" s="8" t="s">
        <v>495</v>
      </c>
      <c r="D135" s="7" t="s">
        <v>496</v>
      </c>
      <c r="E135" s="7" t="s">
        <v>152</v>
      </c>
      <c r="F135" s="7" t="s">
        <v>152</v>
      </c>
      <c r="G135" s="9" t="n">
        <v>36681</v>
      </c>
      <c r="H135" s="5" t="n">
        <v>195</v>
      </c>
      <c r="I135" s="5" t="n">
        <v>94</v>
      </c>
      <c r="J135" s="5" t="n">
        <v>2021</v>
      </c>
      <c r="K135" s="7" t="s">
        <v>367</v>
      </c>
      <c r="L135" s="10" t="str">
        <f aca="false">INDEX(球隊主檔!$C$2:$C$31,MATCH($K135,球隊主檔!$A$2:$A$31,0))</f>
        <v>克里夫蘭守護者</v>
      </c>
      <c r="M135" s="11" t="n">
        <f aca="false">IF($C135="打者",COUNTIF(打擊成績!$B:$B,$A135),COUNTIF(投手成績!$B:$B,$A135))</f>
        <v>3</v>
      </c>
    </row>
    <row r="136" customFormat="false" ht="15" hidden="false" customHeight="false" outlineLevel="0" collapsed="false">
      <c r="A136" s="7" t="s">
        <v>745</v>
      </c>
      <c r="B136" s="7" t="s">
        <v>746</v>
      </c>
      <c r="C136" s="8" t="s">
        <v>495</v>
      </c>
      <c r="D136" s="7" t="s">
        <v>496</v>
      </c>
      <c r="E136" s="7" t="s">
        <v>126</v>
      </c>
      <c r="F136" s="7" t="s">
        <v>152</v>
      </c>
      <c r="G136" s="9" t="n">
        <v>34648</v>
      </c>
      <c r="H136" s="5" t="n">
        <v>186</v>
      </c>
      <c r="I136" s="5" t="n">
        <v>105</v>
      </c>
      <c r="J136" s="5" t="n">
        <v>2015</v>
      </c>
      <c r="K136" s="7" t="s">
        <v>367</v>
      </c>
      <c r="L136" s="10" t="str">
        <f aca="false">INDEX(球隊主檔!$C$2:$C$31,MATCH($K136,球隊主檔!$A$2:$A$31,0))</f>
        <v>克里夫蘭守護者</v>
      </c>
      <c r="M136" s="11" t="n">
        <f aca="false">IF($C136="打者",COUNTIF(打擊成績!$B:$B,$A136),COUNTIF(投手成績!$B:$B,$A136))</f>
        <v>3</v>
      </c>
    </row>
    <row r="137" customFormat="false" ht="15" hidden="false" customHeight="false" outlineLevel="0" collapsed="false">
      <c r="A137" s="7" t="s">
        <v>747</v>
      </c>
      <c r="B137" s="7" t="s">
        <v>748</v>
      </c>
      <c r="C137" s="8" t="s">
        <v>495</v>
      </c>
      <c r="D137" s="7" t="s">
        <v>507</v>
      </c>
      <c r="E137" s="7" t="s">
        <v>152</v>
      </c>
      <c r="F137" s="7" t="s">
        <v>152</v>
      </c>
      <c r="G137" s="9" t="n">
        <v>35675</v>
      </c>
      <c r="H137" s="5" t="n">
        <v>192</v>
      </c>
      <c r="I137" s="5" t="n">
        <v>112</v>
      </c>
      <c r="J137" s="5" t="n">
        <v>2021</v>
      </c>
      <c r="K137" s="7" t="s">
        <v>455</v>
      </c>
      <c r="L137" s="10" t="str">
        <f aca="false">INDEX(球隊主檔!$C$2:$C$31,MATCH($K137,球隊主檔!$A$2:$A$31,0))</f>
        <v>洛杉磯道奇</v>
      </c>
      <c r="M137" s="11" t="n">
        <f aca="false">IF($C137="打者",COUNTIF(打擊成績!$B:$B,$A137),COUNTIF(投手成績!$B:$B,$A137))</f>
        <v>3</v>
      </c>
    </row>
    <row r="138" customFormat="false" ht="15" hidden="false" customHeight="false" outlineLevel="0" collapsed="false">
      <c r="A138" s="7" t="s">
        <v>749</v>
      </c>
      <c r="B138" s="7" t="s">
        <v>750</v>
      </c>
      <c r="C138" s="8" t="s">
        <v>495</v>
      </c>
      <c r="D138" s="7" t="s">
        <v>507</v>
      </c>
      <c r="E138" s="7" t="s">
        <v>152</v>
      </c>
      <c r="F138" s="7" t="s">
        <v>152</v>
      </c>
      <c r="G138" s="9" t="n">
        <v>35718</v>
      </c>
      <c r="H138" s="5" t="n">
        <v>194</v>
      </c>
      <c r="I138" s="5" t="n">
        <v>87</v>
      </c>
      <c r="J138" s="5" t="n">
        <v>2019</v>
      </c>
      <c r="K138" s="7" t="s">
        <v>446</v>
      </c>
      <c r="L138" s="10" t="str">
        <f aca="false">INDEX(球隊主檔!$C$2:$C$31,MATCH($K138,球隊主檔!$A$2:$A$31,0))</f>
        <v>亞利桑那響尾蛇</v>
      </c>
      <c r="M138" s="11" t="n">
        <f aca="false">IF($C138="打者",COUNTIF(打擊成績!$B:$B,$A138),COUNTIF(投手成績!$B:$B,$A138))</f>
        <v>3</v>
      </c>
    </row>
    <row r="139" customFormat="false" ht="15" hidden="false" customHeight="false" outlineLevel="0" collapsed="false">
      <c r="A139" s="7" t="s">
        <v>751</v>
      </c>
      <c r="B139" s="7" t="s">
        <v>752</v>
      </c>
      <c r="C139" s="8" t="s">
        <v>495</v>
      </c>
      <c r="D139" s="7" t="s">
        <v>507</v>
      </c>
      <c r="E139" s="7" t="s">
        <v>126</v>
      </c>
      <c r="F139" s="7" t="s">
        <v>152</v>
      </c>
      <c r="G139" s="9" t="n">
        <v>36619</v>
      </c>
      <c r="H139" s="5" t="n">
        <v>199</v>
      </c>
      <c r="I139" s="5" t="n">
        <v>98</v>
      </c>
      <c r="J139" s="5" t="n">
        <v>2021</v>
      </c>
      <c r="K139" s="7" t="s">
        <v>367</v>
      </c>
      <c r="L139" s="10" t="str">
        <f aca="false">INDEX(球隊主檔!$C$2:$C$31,MATCH($K139,球隊主檔!$A$2:$A$31,0))</f>
        <v>克里夫蘭守護者</v>
      </c>
      <c r="M139" s="11" t="n">
        <f aca="false">IF($C139="打者",COUNTIF(打擊成績!$B:$B,$A139),COUNTIF(投手成績!$B:$B,$A139))</f>
        <v>3</v>
      </c>
    </row>
    <row r="140" customFormat="false" ht="15" hidden="false" customHeight="false" outlineLevel="0" collapsed="false">
      <c r="A140" s="7" t="s">
        <v>753</v>
      </c>
      <c r="B140" s="7" t="s">
        <v>754</v>
      </c>
      <c r="C140" s="8" t="s">
        <v>495</v>
      </c>
      <c r="D140" s="7" t="s">
        <v>507</v>
      </c>
      <c r="E140" s="7" t="s">
        <v>152</v>
      </c>
      <c r="F140" s="7" t="s">
        <v>152</v>
      </c>
      <c r="G140" s="9" t="n">
        <v>34719</v>
      </c>
      <c r="H140" s="5" t="n">
        <v>178</v>
      </c>
      <c r="I140" s="5" t="n">
        <v>91</v>
      </c>
      <c r="J140" s="5" t="n">
        <v>2016</v>
      </c>
      <c r="K140" s="7" t="s">
        <v>367</v>
      </c>
      <c r="L140" s="10" t="str">
        <f aca="false">INDEX(球隊主檔!$C$2:$C$31,MATCH($K140,球隊主檔!$A$2:$A$31,0))</f>
        <v>克里夫蘭守護者</v>
      </c>
      <c r="M140" s="11" t="n">
        <f aca="false">IF($C140="打者",COUNTIF(打擊成績!$B:$B,$A140),COUNTIF(投手成績!$B:$B,$A140))</f>
        <v>3</v>
      </c>
    </row>
    <row r="141" customFormat="false" ht="15" hidden="false" customHeight="false" outlineLevel="0" collapsed="false">
      <c r="A141" s="7" t="s">
        <v>755</v>
      </c>
      <c r="B141" s="7" t="s">
        <v>756</v>
      </c>
      <c r="C141" s="8" t="s">
        <v>495</v>
      </c>
      <c r="D141" s="7" t="s">
        <v>507</v>
      </c>
      <c r="E141" s="7" t="s">
        <v>126</v>
      </c>
      <c r="F141" s="7" t="s">
        <v>152</v>
      </c>
      <c r="G141" s="9" t="n">
        <v>33065</v>
      </c>
      <c r="H141" s="5" t="n">
        <v>185</v>
      </c>
      <c r="I141" s="5" t="n">
        <v>108</v>
      </c>
      <c r="J141" s="5" t="n">
        <v>2015</v>
      </c>
      <c r="K141" s="7" t="s">
        <v>367</v>
      </c>
      <c r="L141" s="10" t="str">
        <f aca="false">INDEX(球隊主檔!$C$2:$C$31,MATCH($K141,球隊主檔!$A$2:$A$31,0))</f>
        <v>克里夫蘭守護者</v>
      </c>
      <c r="M141" s="11" t="n">
        <f aca="false">IF($C141="打者",COUNTIF(打擊成績!$B:$B,$A141),COUNTIF(投手成績!$B:$B,$A141))</f>
        <v>2</v>
      </c>
    </row>
    <row r="142" customFormat="false" ht="15" hidden="false" customHeight="false" outlineLevel="0" collapsed="false">
      <c r="A142" s="7" t="s">
        <v>757</v>
      </c>
      <c r="B142" s="7" t="s">
        <v>758</v>
      </c>
      <c r="C142" s="8" t="s">
        <v>469</v>
      </c>
      <c r="D142" s="7" t="s">
        <v>486</v>
      </c>
      <c r="E142" s="7" t="s">
        <v>126</v>
      </c>
      <c r="F142" s="7" t="s">
        <v>152</v>
      </c>
      <c r="G142" s="9" t="n">
        <v>36142</v>
      </c>
      <c r="H142" s="5" t="n">
        <v>183</v>
      </c>
      <c r="I142" s="5" t="n">
        <v>81</v>
      </c>
      <c r="J142" s="5" t="n">
        <v>2022</v>
      </c>
      <c r="K142" s="7" t="s">
        <v>371</v>
      </c>
      <c r="L142" s="10" t="str">
        <f aca="false">INDEX(球隊主檔!$C$2:$C$31,MATCH($K142,球隊主檔!$A$2:$A$31,0))</f>
        <v>底特律老虎</v>
      </c>
      <c r="M142" s="11" t="n">
        <f aca="false">IF($C142="打者",COUNTIF(打擊成績!$B:$B,$A142),COUNTIF(投手成績!$B:$B,$A142))</f>
        <v>3</v>
      </c>
    </row>
    <row r="143" customFormat="false" ht="15" hidden="false" customHeight="false" outlineLevel="0" collapsed="false">
      <c r="A143" s="7" t="s">
        <v>759</v>
      </c>
      <c r="B143" s="7" t="s">
        <v>760</v>
      </c>
      <c r="C143" s="8" t="s">
        <v>469</v>
      </c>
      <c r="D143" s="7" t="s">
        <v>158</v>
      </c>
      <c r="E143" s="7" t="s">
        <v>152</v>
      </c>
      <c r="F143" s="7" t="s">
        <v>152</v>
      </c>
      <c r="G143" s="9" t="n">
        <v>32915</v>
      </c>
      <c r="H143" s="5" t="n">
        <v>179</v>
      </c>
      <c r="I143" s="5" t="n">
        <v>96</v>
      </c>
      <c r="J143" s="5" t="n">
        <v>2010</v>
      </c>
      <c r="K143" s="7" t="s">
        <v>388</v>
      </c>
      <c r="L143" s="10" t="str">
        <f aca="false">INDEX(球隊主檔!$C$2:$C$31,MATCH($K143,球隊主檔!$A$2:$A$31,0))</f>
        <v>休士頓太空人</v>
      </c>
      <c r="M143" s="11" t="n">
        <f aca="false">IF($C143="打者",COUNTIF(打擊成績!$B:$B,$A143),COUNTIF(投手成績!$B:$B,$A143))</f>
        <v>3</v>
      </c>
    </row>
    <row r="144" customFormat="false" ht="15" hidden="false" customHeight="false" outlineLevel="0" collapsed="false">
      <c r="A144" s="7" t="s">
        <v>761</v>
      </c>
      <c r="B144" s="7" t="s">
        <v>762</v>
      </c>
      <c r="C144" s="8" t="s">
        <v>469</v>
      </c>
      <c r="D144" s="7" t="s">
        <v>473</v>
      </c>
      <c r="E144" s="7" t="s">
        <v>152</v>
      </c>
      <c r="F144" s="7" t="s">
        <v>152</v>
      </c>
      <c r="G144" s="9" t="n">
        <v>34287</v>
      </c>
      <c r="H144" s="5" t="n">
        <v>175</v>
      </c>
      <c r="I144" s="5" t="n">
        <v>82</v>
      </c>
      <c r="J144" s="5" t="n">
        <v>2013</v>
      </c>
      <c r="K144" s="7" t="s">
        <v>371</v>
      </c>
      <c r="L144" s="10" t="str">
        <f aca="false">INDEX(球隊主檔!$C$2:$C$31,MATCH($K144,球隊主檔!$A$2:$A$31,0))</f>
        <v>底特律老虎</v>
      </c>
      <c r="M144" s="11" t="n">
        <f aca="false">IF($C144="打者",COUNTIF(打擊成績!$B:$B,$A144),COUNTIF(投手成績!$B:$B,$A144))</f>
        <v>3</v>
      </c>
    </row>
    <row r="145" customFormat="false" ht="15" hidden="false" customHeight="false" outlineLevel="0" collapsed="false">
      <c r="A145" s="7" t="s">
        <v>763</v>
      </c>
      <c r="B145" s="7" t="s">
        <v>764</v>
      </c>
      <c r="C145" s="8" t="s">
        <v>469</v>
      </c>
      <c r="D145" s="7" t="s">
        <v>470</v>
      </c>
      <c r="E145" s="7" t="s">
        <v>152</v>
      </c>
      <c r="F145" s="7" t="s">
        <v>126</v>
      </c>
      <c r="G145" s="9" t="n">
        <v>34444</v>
      </c>
      <c r="H145" s="5" t="n">
        <v>181</v>
      </c>
      <c r="I145" s="5" t="n">
        <v>108</v>
      </c>
      <c r="J145" s="5" t="n">
        <v>2016</v>
      </c>
      <c r="K145" s="7" t="s">
        <v>442</v>
      </c>
      <c r="L145" s="10" t="str">
        <f aca="false">INDEX(球隊主檔!$C$2:$C$31,MATCH($K145,球隊主檔!$A$2:$A$31,0))</f>
        <v>聖路易紅雀</v>
      </c>
      <c r="M145" s="11" t="n">
        <f aca="false">IF($C145="打者",COUNTIF(打擊成績!$B:$B,$A145),COUNTIF(投手成績!$B:$B,$A145))</f>
        <v>3</v>
      </c>
    </row>
    <row r="146" customFormat="false" ht="15" hidden="false" customHeight="false" outlineLevel="0" collapsed="false">
      <c r="A146" s="7" t="s">
        <v>765</v>
      </c>
      <c r="B146" s="7" t="s">
        <v>766</v>
      </c>
      <c r="C146" s="8" t="s">
        <v>469</v>
      </c>
      <c r="D146" s="7" t="s">
        <v>63</v>
      </c>
      <c r="E146" s="7" t="s">
        <v>126</v>
      </c>
      <c r="F146" s="7" t="s">
        <v>152</v>
      </c>
      <c r="G146" s="9" t="n">
        <v>36162</v>
      </c>
      <c r="H146" s="5" t="n">
        <v>185</v>
      </c>
      <c r="I146" s="5" t="n">
        <v>91</v>
      </c>
      <c r="J146" s="5" t="n">
        <v>2022</v>
      </c>
      <c r="K146" s="7" t="s">
        <v>371</v>
      </c>
      <c r="L146" s="10" t="str">
        <f aca="false">INDEX(球隊主檔!$C$2:$C$31,MATCH($K146,球隊主檔!$A$2:$A$31,0))</f>
        <v>底特律老虎</v>
      </c>
      <c r="M146" s="11" t="n">
        <f aca="false">IF($C146="打者",COUNTIF(打擊成績!$B:$B,$A146),COUNTIF(投手成績!$B:$B,$A146))</f>
        <v>3</v>
      </c>
    </row>
    <row r="147" customFormat="false" ht="15" hidden="false" customHeight="false" outlineLevel="0" collapsed="false">
      <c r="A147" s="7" t="s">
        <v>767</v>
      </c>
      <c r="B147" s="7" t="s">
        <v>768</v>
      </c>
      <c r="C147" s="8" t="s">
        <v>469</v>
      </c>
      <c r="D147" s="7" t="s">
        <v>483</v>
      </c>
      <c r="E147" s="7" t="s">
        <v>126</v>
      </c>
      <c r="F147" s="7" t="s">
        <v>126</v>
      </c>
      <c r="G147" s="9" t="n">
        <v>35633</v>
      </c>
      <c r="H147" s="5" t="n">
        <v>181</v>
      </c>
      <c r="I147" s="5" t="n">
        <v>108</v>
      </c>
      <c r="J147" s="5" t="n">
        <v>2020</v>
      </c>
      <c r="K147" s="7" t="s">
        <v>371</v>
      </c>
      <c r="L147" s="10" t="str">
        <f aca="false">INDEX(球隊主檔!$C$2:$C$31,MATCH($K147,球隊主檔!$A$2:$A$31,0))</f>
        <v>底特律老虎</v>
      </c>
      <c r="M147" s="11" t="n">
        <f aca="false">IF($C147="打者",COUNTIF(打擊成績!$B:$B,$A147),COUNTIF(投手成績!$B:$B,$A147))</f>
        <v>3</v>
      </c>
    </row>
    <row r="148" customFormat="false" ht="15" hidden="false" customHeight="false" outlineLevel="0" collapsed="false">
      <c r="A148" s="7" t="s">
        <v>769</v>
      </c>
      <c r="B148" s="7" t="s">
        <v>770</v>
      </c>
      <c r="C148" s="8" t="s">
        <v>469</v>
      </c>
      <c r="D148" s="7" t="s">
        <v>473</v>
      </c>
      <c r="E148" s="7" t="s">
        <v>174</v>
      </c>
      <c r="F148" s="7" t="s">
        <v>152</v>
      </c>
      <c r="G148" s="9" t="n">
        <v>35858</v>
      </c>
      <c r="H148" s="5" t="n">
        <v>181</v>
      </c>
      <c r="I148" s="5" t="n">
        <v>81</v>
      </c>
      <c r="J148" s="5" t="n">
        <v>2020</v>
      </c>
      <c r="K148" s="7" t="s">
        <v>371</v>
      </c>
      <c r="L148" s="10" t="str">
        <f aca="false">INDEX(球隊主檔!$C$2:$C$31,MATCH($K148,球隊主檔!$A$2:$A$31,0))</f>
        <v>底特律老虎</v>
      </c>
      <c r="M148" s="11" t="n">
        <f aca="false">IF($C148="打者",COUNTIF(打擊成績!$B:$B,$A148),COUNTIF(投手成績!$B:$B,$A148))</f>
        <v>2</v>
      </c>
    </row>
    <row r="149" customFormat="false" ht="15" hidden="false" customHeight="false" outlineLevel="0" collapsed="false">
      <c r="A149" s="7" t="s">
        <v>771</v>
      </c>
      <c r="B149" s="7" t="s">
        <v>772</v>
      </c>
      <c r="C149" s="8" t="s">
        <v>469</v>
      </c>
      <c r="D149" s="7" t="s">
        <v>473</v>
      </c>
      <c r="E149" s="7" t="s">
        <v>174</v>
      </c>
      <c r="F149" s="7" t="s">
        <v>152</v>
      </c>
      <c r="G149" s="9" t="n">
        <v>36164</v>
      </c>
      <c r="H149" s="5" t="n">
        <v>182</v>
      </c>
      <c r="I149" s="5" t="n">
        <v>82</v>
      </c>
      <c r="J149" s="5" t="n">
        <v>2019</v>
      </c>
      <c r="K149" s="7" t="s">
        <v>371</v>
      </c>
      <c r="L149" s="10" t="str">
        <f aca="false">INDEX(球隊主檔!$C$2:$C$31,MATCH($K149,球隊主檔!$A$2:$A$31,0))</f>
        <v>底特律老虎</v>
      </c>
      <c r="M149" s="11" t="n">
        <f aca="false">IF($C149="打者",COUNTIF(打擊成績!$B:$B,$A149),COUNTIF(投手成績!$B:$B,$A149))</f>
        <v>2</v>
      </c>
    </row>
    <row r="150" customFormat="false" ht="15" hidden="false" customHeight="false" outlineLevel="0" collapsed="false">
      <c r="A150" s="7" t="s">
        <v>773</v>
      </c>
      <c r="B150" s="7" t="s">
        <v>774</v>
      </c>
      <c r="C150" s="8" t="s">
        <v>469</v>
      </c>
      <c r="D150" s="7" t="s">
        <v>483</v>
      </c>
      <c r="E150" s="7" t="s">
        <v>126</v>
      </c>
      <c r="F150" s="7" t="s">
        <v>152</v>
      </c>
      <c r="G150" s="9" t="n">
        <v>33618</v>
      </c>
      <c r="H150" s="5" t="n">
        <v>188</v>
      </c>
      <c r="I150" s="5" t="n">
        <v>100</v>
      </c>
      <c r="J150" s="5" t="n">
        <v>2017</v>
      </c>
      <c r="K150" s="7" t="s">
        <v>379</v>
      </c>
      <c r="L150" s="10" t="str">
        <f aca="false">INDEX(球隊主檔!$C$2:$C$31,MATCH($K150,球隊主檔!$A$2:$A$31,0))</f>
        <v>明尼蘇達雙城</v>
      </c>
      <c r="M150" s="11" t="n">
        <f aca="false">IF($C150="打者",COUNTIF(打擊成績!$B:$B,$A150),COUNTIF(投手成績!$B:$B,$A150))</f>
        <v>2</v>
      </c>
    </row>
    <row r="151" customFormat="false" ht="15" hidden="false" customHeight="false" outlineLevel="0" collapsed="false">
      <c r="A151" s="7" t="s">
        <v>775</v>
      </c>
      <c r="B151" s="7" t="s">
        <v>776</v>
      </c>
      <c r="C151" s="8" t="s">
        <v>469</v>
      </c>
      <c r="D151" s="7" t="s">
        <v>473</v>
      </c>
      <c r="E151" s="7" t="s">
        <v>126</v>
      </c>
      <c r="F151" s="7" t="s">
        <v>152</v>
      </c>
      <c r="G151" s="9" t="n">
        <v>35508</v>
      </c>
      <c r="H151" s="5" t="n">
        <v>178</v>
      </c>
      <c r="I151" s="5" t="n">
        <v>104</v>
      </c>
      <c r="J151" s="5" t="n">
        <v>2018</v>
      </c>
      <c r="K151" s="7" t="s">
        <v>371</v>
      </c>
      <c r="L151" s="10" t="str">
        <f aca="false">INDEX(球隊主檔!$C$2:$C$31,MATCH($K151,球隊主檔!$A$2:$A$31,0))</f>
        <v>底特律老虎</v>
      </c>
      <c r="M151" s="11" t="n">
        <f aca="false">IF($C151="打者",COUNTIF(打擊成績!$B:$B,$A151),COUNTIF(投手成績!$B:$B,$A151))</f>
        <v>3</v>
      </c>
    </row>
    <row r="152" customFormat="false" ht="15" hidden="false" customHeight="false" outlineLevel="0" collapsed="false">
      <c r="A152" s="7" t="s">
        <v>777</v>
      </c>
      <c r="B152" s="7" t="s">
        <v>778</v>
      </c>
      <c r="C152" s="8" t="s">
        <v>495</v>
      </c>
      <c r="D152" s="7" t="s">
        <v>496</v>
      </c>
      <c r="E152" s="7" t="s">
        <v>152</v>
      </c>
      <c r="F152" s="7" t="s">
        <v>126</v>
      </c>
      <c r="G152" s="9" t="n">
        <v>37079</v>
      </c>
      <c r="H152" s="5" t="n">
        <v>199</v>
      </c>
      <c r="I152" s="5" t="n">
        <v>91</v>
      </c>
      <c r="J152" s="5" t="n">
        <v>2024</v>
      </c>
      <c r="K152" s="7" t="s">
        <v>371</v>
      </c>
      <c r="L152" s="10" t="str">
        <f aca="false">INDEX(球隊主檔!$C$2:$C$31,MATCH($K152,球隊主檔!$A$2:$A$31,0))</f>
        <v>底特律老虎</v>
      </c>
      <c r="M152" s="11" t="n">
        <f aca="false">IF($C152="打者",COUNTIF(打擊成績!$B:$B,$A152),COUNTIF(投手成績!$B:$B,$A152))</f>
        <v>3</v>
      </c>
    </row>
    <row r="153" customFormat="false" ht="15" hidden="false" customHeight="false" outlineLevel="0" collapsed="false">
      <c r="A153" s="7" t="s">
        <v>779</v>
      </c>
      <c r="B153" s="7" t="s">
        <v>780</v>
      </c>
      <c r="C153" s="8" t="s">
        <v>495</v>
      </c>
      <c r="D153" s="7" t="s">
        <v>496</v>
      </c>
      <c r="E153" s="7" t="s">
        <v>152</v>
      </c>
      <c r="F153" s="7" t="s">
        <v>152</v>
      </c>
      <c r="G153" s="9" t="n">
        <v>35077</v>
      </c>
      <c r="H153" s="5" t="n">
        <v>192</v>
      </c>
      <c r="I153" s="5" t="n">
        <v>90</v>
      </c>
      <c r="J153" s="5" t="n">
        <v>2021</v>
      </c>
      <c r="K153" s="7" t="s">
        <v>371</v>
      </c>
      <c r="L153" s="10" t="str">
        <f aca="false">INDEX(球隊主檔!$C$2:$C$31,MATCH($K153,球隊主檔!$A$2:$A$31,0))</f>
        <v>底特律老虎</v>
      </c>
      <c r="M153" s="11" t="n">
        <f aca="false">IF($C153="打者",COUNTIF(打擊成績!$B:$B,$A153),COUNTIF(投手成績!$B:$B,$A153))</f>
        <v>3</v>
      </c>
    </row>
    <row r="154" customFormat="false" ht="15" hidden="false" customHeight="false" outlineLevel="0" collapsed="false">
      <c r="A154" s="7" t="s">
        <v>781</v>
      </c>
      <c r="B154" s="7" t="s">
        <v>782</v>
      </c>
      <c r="C154" s="8" t="s">
        <v>495</v>
      </c>
      <c r="D154" s="7" t="s">
        <v>496</v>
      </c>
      <c r="E154" s="7" t="s">
        <v>174</v>
      </c>
      <c r="F154" s="7" t="s">
        <v>152</v>
      </c>
      <c r="G154" s="9" t="n">
        <v>35950</v>
      </c>
      <c r="H154" s="5" t="n">
        <v>188</v>
      </c>
      <c r="I154" s="5" t="n">
        <v>91</v>
      </c>
      <c r="J154" s="5" t="n">
        <v>2020</v>
      </c>
      <c r="K154" s="7" t="s">
        <v>371</v>
      </c>
      <c r="L154" s="10" t="str">
        <f aca="false">INDEX(球隊主檔!$C$2:$C$31,MATCH($K154,球隊主檔!$A$2:$A$31,0))</f>
        <v>底特律老虎</v>
      </c>
      <c r="M154" s="11" t="n">
        <f aca="false">IF($C154="打者",COUNTIF(打擊成績!$B:$B,$A154),COUNTIF(投手成績!$B:$B,$A154))</f>
        <v>3</v>
      </c>
    </row>
    <row r="155" customFormat="false" ht="15" hidden="false" customHeight="false" outlineLevel="0" collapsed="false">
      <c r="A155" s="7" t="s">
        <v>783</v>
      </c>
      <c r="B155" s="7" t="s">
        <v>784</v>
      </c>
      <c r="C155" s="8" t="s">
        <v>495</v>
      </c>
      <c r="D155" s="7" t="s">
        <v>496</v>
      </c>
      <c r="E155" s="7" t="s">
        <v>126</v>
      </c>
      <c r="F155" s="7" t="s">
        <v>126</v>
      </c>
      <c r="G155" s="9" t="n">
        <v>33697</v>
      </c>
      <c r="H155" s="5" t="n">
        <v>200</v>
      </c>
      <c r="I155" s="5" t="n">
        <v>95</v>
      </c>
      <c r="J155" s="5" t="n">
        <v>2016</v>
      </c>
      <c r="K155" s="7" t="s">
        <v>367</v>
      </c>
      <c r="L155" s="10" t="str">
        <f aca="false">INDEX(球隊主檔!$C$2:$C$31,MATCH($K155,球隊主檔!$A$2:$A$31,0))</f>
        <v>克里夫蘭守護者</v>
      </c>
      <c r="M155" s="11" t="n">
        <f aca="false">IF($C155="打者",COUNTIF(打擊成績!$B:$B,$A155),COUNTIF(投手成績!$B:$B,$A155))</f>
        <v>3</v>
      </c>
    </row>
    <row r="156" customFormat="false" ht="15" hidden="false" customHeight="false" outlineLevel="0" collapsed="false">
      <c r="A156" s="7" t="s">
        <v>785</v>
      </c>
      <c r="B156" s="7" t="s">
        <v>786</v>
      </c>
      <c r="C156" s="8" t="s">
        <v>495</v>
      </c>
      <c r="D156" s="7" t="s">
        <v>496</v>
      </c>
      <c r="E156" s="7" t="s">
        <v>152</v>
      </c>
      <c r="F156" s="7" t="s">
        <v>152</v>
      </c>
      <c r="G156" s="9" t="n">
        <v>34487</v>
      </c>
      <c r="H156" s="5" t="n">
        <v>181</v>
      </c>
      <c r="I156" s="5" t="n">
        <v>95</v>
      </c>
      <c r="J156" s="5" t="n">
        <v>2014</v>
      </c>
      <c r="K156" s="7" t="s">
        <v>371</v>
      </c>
      <c r="L156" s="10" t="str">
        <f aca="false">INDEX(球隊主檔!$C$2:$C$31,MATCH($K156,球隊主檔!$A$2:$A$31,0))</f>
        <v>底特律老虎</v>
      </c>
      <c r="M156" s="11" t="n">
        <f aca="false">IF($C156="打者",COUNTIF(打擊成績!$B:$B,$A156),COUNTIF(投手成績!$B:$B,$A156))</f>
        <v>3</v>
      </c>
    </row>
    <row r="157" customFormat="false" ht="15" hidden="false" customHeight="false" outlineLevel="0" collapsed="false">
      <c r="A157" s="7" t="s">
        <v>787</v>
      </c>
      <c r="B157" s="7" t="s">
        <v>788</v>
      </c>
      <c r="C157" s="8" t="s">
        <v>495</v>
      </c>
      <c r="D157" s="7" t="s">
        <v>507</v>
      </c>
      <c r="E157" s="7" t="s">
        <v>152</v>
      </c>
      <c r="F157" s="7" t="s">
        <v>152</v>
      </c>
      <c r="G157" s="9" t="n">
        <v>35831</v>
      </c>
      <c r="H157" s="5" t="n">
        <v>182</v>
      </c>
      <c r="I157" s="5" t="n">
        <v>98</v>
      </c>
      <c r="J157" s="5" t="n">
        <v>2019</v>
      </c>
      <c r="K157" s="7" t="s">
        <v>371</v>
      </c>
      <c r="L157" s="10" t="str">
        <f aca="false">INDEX(球隊主檔!$C$2:$C$31,MATCH($K157,球隊主檔!$A$2:$A$31,0))</f>
        <v>底特律老虎</v>
      </c>
      <c r="M157" s="11" t="n">
        <f aca="false">IF($C157="打者",COUNTIF(打擊成績!$B:$B,$A157),COUNTIF(投手成績!$B:$B,$A157))</f>
        <v>1</v>
      </c>
    </row>
    <row r="158" customFormat="false" ht="15" hidden="false" customHeight="false" outlineLevel="0" collapsed="false">
      <c r="A158" s="7" t="s">
        <v>789</v>
      </c>
      <c r="B158" s="7" t="s">
        <v>790</v>
      </c>
      <c r="C158" s="8" t="s">
        <v>495</v>
      </c>
      <c r="D158" s="7" t="s">
        <v>507</v>
      </c>
      <c r="E158" s="7" t="s">
        <v>152</v>
      </c>
      <c r="F158" s="7" t="s">
        <v>126</v>
      </c>
      <c r="G158" s="9" t="n">
        <v>34934</v>
      </c>
      <c r="H158" s="5" t="n">
        <v>180</v>
      </c>
      <c r="I158" s="5" t="n">
        <v>93</v>
      </c>
      <c r="J158" s="5" t="n">
        <v>2019</v>
      </c>
      <c r="K158" s="7" t="s">
        <v>371</v>
      </c>
      <c r="L158" s="10" t="str">
        <f aca="false">INDEX(球隊主檔!$C$2:$C$31,MATCH($K158,球隊主檔!$A$2:$A$31,0))</f>
        <v>底特律老虎</v>
      </c>
      <c r="M158" s="11" t="n">
        <f aca="false">IF($C158="打者",COUNTIF(打擊成績!$B:$B,$A158),COUNTIF(投手成績!$B:$B,$A158))</f>
        <v>3</v>
      </c>
    </row>
    <row r="159" customFormat="false" ht="15" hidden="false" customHeight="false" outlineLevel="0" collapsed="false">
      <c r="A159" s="7" t="s">
        <v>791</v>
      </c>
      <c r="B159" s="7" t="s">
        <v>792</v>
      </c>
      <c r="C159" s="8" t="s">
        <v>495</v>
      </c>
      <c r="D159" s="7" t="s">
        <v>507</v>
      </c>
      <c r="E159" s="7" t="s">
        <v>152</v>
      </c>
      <c r="F159" s="7" t="s">
        <v>152</v>
      </c>
      <c r="G159" s="9" t="n">
        <v>36693</v>
      </c>
      <c r="H159" s="5" t="n">
        <v>191</v>
      </c>
      <c r="I159" s="5" t="n">
        <v>98</v>
      </c>
      <c r="J159" s="5" t="n">
        <v>2022</v>
      </c>
      <c r="K159" s="7" t="s">
        <v>371</v>
      </c>
      <c r="L159" s="10" t="str">
        <f aca="false">INDEX(球隊主檔!$C$2:$C$31,MATCH($K159,球隊主檔!$A$2:$A$31,0))</f>
        <v>底特律老虎</v>
      </c>
      <c r="M159" s="11" t="n">
        <f aca="false">IF($C159="打者",COUNTIF(打擊成績!$B:$B,$A159),COUNTIF(投手成績!$B:$B,$A159))</f>
        <v>3</v>
      </c>
    </row>
    <row r="160" customFormat="false" ht="15" hidden="false" customHeight="false" outlineLevel="0" collapsed="false">
      <c r="A160" s="7" t="s">
        <v>793</v>
      </c>
      <c r="B160" s="7" t="s">
        <v>794</v>
      </c>
      <c r="C160" s="8" t="s">
        <v>495</v>
      </c>
      <c r="D160" s="7" t="s">
        <v>507</v>
      </c>
      <c r="E160" s="7" t="s">
        <v>174</v>
      </c>
      <c r="F160" s="7" t="s">
        <v>126</v>
      </c>
      <c r="G160" s="9" t="n">
        <v>34025</v>
      </c>
      <c r="H160" s="5" t="n">
        <v>182</v>
      </c>
      <c r="I160" s="5" t="n">
        <v>88</v>
      </c>
      <c r="J160" s="5" t="n">
        <v>2014</v>
      </c>
      <c r="K160" s="7" t="s">
        <v>371</v>
      </c>
      <c r="L160" s="10" t="str">
        <f aca="false">INDEX(球隊主檔!$C$2:$C$31,MATCH($K160,球隊主檔!$A$2:$A$31,0))</f>
        <v>底特律老虎</v>
      </c>
      <c r="M160" s="11" t="n">
        <f aca="false">IF($C160="打者",COUNTIF(打擊成績!$B:$B,$A160),COUNTIF(投手成績!$B:$B,$A160))</f>
        <v>1</v>
      </c>
    </row>
    <row r="161" customFormat="false" ht="15" hidden="false" customHeight="false" outlineLevel="0" collapsed="false">
      <c r="A161" s="7" t="s">
        <v>795</v>
      </c>
      <c r="B161" s="7" t="s">
        <v>796</v>
      </c>
      <c r="C161" s="8" t="s">
        <v>495</v>
      </c>
      <c r="D161" s="7" t="s">
        <v>507</v>
      </c>
      <c r="E161" s="7" t="s">
        <v>152</v>
      </c>
      <c r="F161" s="7" t="s">
        <v>152</v>
      </c>
      <c r="G161" s="9" t="n">
        <v>34876</v>
      </c>
      <c r="H161" s="5" t="n">
        <v>188</v>
      </c>
      <c r="I161" s="5" t="n">
        <v>91</v>
      </c>
      <c r="J161" s="5" t="n">
        <v>2015</v>
      </c>
      <c r="K161" s="7" t="s">
        <v>371</v>
      </c>
      <c r="L161" s="10" t="str">
        <f aca="false">INDEX(球隊主檔!$C$2:$C$31,MATCH($K161,球隊主檔!$A$2:$A$31,0))</f>
        <v>底特律老虎</v>
      </c>
      <c r="M161" s="11" t="n">
        <f aca="false">IF($C161="打者",COUNTIF(打擊成績!$B:$B,$A161),COUNTIF(投手成績!$B:$B,$A161))</f>
        <v>3</v>
      </c>
    </row>
    <row r="162" customFormat="false" ht="15" hidden="false" customHeight="false" outlineLevel="0" collapsed="false">
      <c r="A162" s="7" t="s">
        <v>797</v>
      </c>
      <c r="B162" s="7" t="s">
        <v>798</v>
      </c>
      <c r="C162" s="8" t="s">
        <v>469</v>
      </c>
      <c r="D162" s="7" t="s">
        <v>483</v>
      </c>
      <c r="E162" s="7" t="s">
        <v>126</v>
      </c>
      <c r="F162" s="7" t="s">
        <v>152</v>
      </c>
      <c r="G162" s="9" t="n">
        <v>35329</v>
      </c>
      <c r="H162" s="5" t="n">
        <v>177</v>
      </c>
      <c r="I162" s="5" t="n">
        <v>82</v>
      </c>
      <c r="J162" s="5" t="n">
        <v>2018</v>
      </c>
      <c r="K162" s="7" t="s">
        <v>375</v>
      </c>
      <c r="L162" s="10" t="str">
        <f aca="false">INDEX(球隊主檔!$C$2:$C$31,MATCH($K162,球隊主檔!$A$2:$A$31,0))</f>
        <v>堪薩斯市皇家</v>
      </c>
      <c r="M162" s="11" t="n">
        <f aca="false">IF($C162="打者",COUNTIF(打擊成績!$B:$B,$A162),COUNTIF(投手成績!$B:$B,$A162))</f>
        <v>2</v>
      </c>
    </row>
    <row r="163" customFormat="false" ht="15" hidden="false" customHeight="false" outlineLevel="0" collapsed="false">
      <c r="A163" s="7" t="s">
        <v>799</v>
      </c>
      <c r="B163" s="7" t="s">
        <v>800</v>
      </c>
      <c r="C163" s="8" t="s">
        <v>469</v>
      </c>
      <c r="D163" s="7" t="s">
        <v>483</v>
      </c>
      <c r="E163" s="7" t="s">
        <v>152</v>
      </c>
      <c r="F163" s="7" t="s">
        <v>152</v>
      </c>
      <c r="G163" s="9" t="n">
        <v>35592</v>
      </c>
      <c r="H163" s="5" t="n">
        <v>201</v>
      </c>
      <c r="I163" s="5" t="n">
        <v>87</v>
      </c>
      <c r="J163" s="5" t="n">
        <v>2022</v>
      </c>
      <c r="K163" s="7" t="s">
        <v>375</v>
      </c>
      <c r="L163" s="10" t="str">
        <f aca="false">INDEX(球隊主檔!$C$2:$C$31,MATCH($K163,球隊主檔!$A$2:$A$31,0))</f>
        <v>堪薩斯市皇家</v>
      </c>
      <c r="M163" s="11" t="n">
        <f aca="false">IF($C163="打者",COUNTIF(打擊成績!$B:$B,$A163),COUNTIF(投手成績!$B:$B,$A163))</f>
        <v>3</v>
      </c>
    </row>
    <row r="164" customFormat="false" ht="15" hidden="false" customHeight="false" outlineLevel="0" collapsed="false">
      <c r="A164" s="7" t="s">
        <v>801</v>
      </c>
      <c r="B164" s="7" t="s">
        <v>802</v>
      </c>
      <c r="C164" s="8" t="s">
        <v>469</v>
      </c>
      <c r="D164" s="7" t="s">
        <v>483</v>
      </c>
      <c r="E164" s="7" t="s">
        <v>152</v>
      </c>
      <c r="F164" s="7" t="s">
        <v>152</v>
      </c>
      <c r="G164" s="9" t="n">
        <v>34720</v>
      </c>
      <c r="H164" s="5" t="n">
        <v>184</v>
      </c>
      <c r="I164" s="5" t="n">
        <v>86</v>
      </c>
      <c r="J164" s="5" t="n">
        <v>2020</v>
      </c>
      <c r="K164" s="7" t="s">
        <v>422</v>
      </c>
      <c r="L164" s="10" t="str">
        <f aca="false">INDEX(球隊主檔!$C$2:$C$31,MATCH($K164,球隊主檔!$A$2:$A$31,0))</f>
        <v>華盛頓國民</v>
      </c>
      <c r="M164" s="11" t="n">
        <f aca="false">IF($C164="打者",COUNTIF(打擊成績!$B:$B,$A164),COUNTIF(投手成績!$B:$B,$A164))</f>
        <v>3</v>
      </c>
    </row>
    <row r="165" customFormat="false" ht="15" hidden="false" customHeight="false" outlineLevel="0" collapsed="false">
      <c r="A165" s="7" t="s">
        <v>803</v>
      </c>
      <c r="B165" s="7" t="s">
        <v>804</v>
      </c>
      <c r="C165" s="8" t="s">
        <v>469</v>
      </c>
      <c r="D165" s="7" t="s">
        <v>483</v>
      </c>
      <c r="E165" s="7" t="s">
        <v>126</v>
      </c>
      <c r="F165" s="7" t="s">
        <v>152</v>
      </c>
      <c r="G165" s="9" t="n">
        <v>36088</v>
      </c>
      <c r="H165" s="5" t="n">
        <v>181</v>
      </c>
      <c r="I165" s="5" t="n">
        <v>94</v>
      </c>
      <c r="J165" s="5" t="n">
        <v>2018</v>
      </c>
      <c r="K165" s="7" t="s">
        <v>375</v>
      </c>
      <c r="L165" s="10" t="str">
        <f aca="false">INDEX(球隊主檔!$C$2:$C$31,MATCH($K165,球隊主檔!$A$2:$A$31,0))</f>
        <v>堪薩斯市皇家</v>
      </c>
      <c r="M165" s="11" t="n">
        <f aca="false">IF($C165="打者",COUNTIF(打擊成績!$B:$B,$A165),COUNTIF(投手成績!$B:$B,$A165))</f>
        <v>3</v>
      </c>
    </row>
    <row r="166" customFormat="false" ht="15" hidden="false" customHeight="false" outlineLevel="0" collapsed="false">
      <c r="A166" s="7" t="s">
        <v>805</v>
      </c>
      <c r="B166" s="7" t="s">
        <v>806</v>
      </c>
      <c r="C166" s="8" t="s">
        <v>469</v>
      </c>
      <c r="D166" s="7" t="s">
        <v>473</v>
      </c>
      <c r="E166" s="7" t="s">
        <v>152</v>
      </c>
      <c r="F166" s="7" t="s">
        <v>152</v>
      </c>
      <c r="G166" s="9" t="n">
        <v>36113</v>
      </c>
      <c r="H166" s="5" t="n">
        <v>190</v>
      </c>
      <c r="I166" s="5" t="n">
        <v>97</v>
      </c>
      <c r="J166" s="5" t="n">
        <v>2020</v>
      </c>
      <c r="K166" s="7" t="s">
        <v>375</v>
      </c>
      <c r="L166" s="10" t="str">
        <f aca="false">INDEX(球隊主檔!$C$2:$C$31,MATCH($K166,球隊主檔!$A$2:$A$31,0))</f>
        <v>堪薩斯市皇家</v>
      </c>
      <c r="M166" s="11" t="n">
        <f aca="false">IF($C166="打者",COUNTIF(打擊成績!$B:$B,$A166),COUNTIF(投手成績!$B:$B,$A166))</f>
        <v>3</v>
      </c>
    </row>
    <row r="167" customFormat="false" ht="15" hidden="false" customHeight="false" outlineLevel="0" collapsed="false">
      <c r="A167" s="7" t="s">
        <v>807</v>
      </c>
      <c r="B167" s="7" t="s">
        <v>808</v>
      </c>
      <c r="C167" s="8" t="s">
        <v>469</v>
      </c>
      <c r="D167" s="7" t="s">
        <v>470</v>
      </c>
      <c r="E167" s="7" t="s">
        <v>152</v>
      </c>
      <c r="F167" s="7" t="s">
        <v>152</v>
      </c>
      <c r="G167" s="9" t="n">
        <v>35582</v>
      </c>
      <c r="H167" s="5" t="n">
        <v>181</v>
      </c>
      <c r="I167" s="5" t="n">
        <v>96</v>
      </c>
      <c r="J167" s="5" t="n">
        <v>2022</v>
      </c>
      <c r="K167" s="7" t="s">
        <v>375</v>
      </c>
      <c r="L167" s="10" t="str">
        <f aca="false">INDEX(球隊主檔!$C$2:$C$31,MATCH($K167,球隊主檔!$A$2:$A$31,0))</f>
        <v>堪薩斯市皇家</v>
      </c>
      <c r="M167" s="11" t="n">
        <f aca="false">IF($C167="打者",COUNTIF(打擊成績!$B:$B,$A167),COUNTIF(投手成績!$B:$B,$A167))</f>
        <v>3</v>
      </c>
    </row>
    <row r="168" customFormat="false" ht="15" hidden="false" customHeight="false" outlineLevel="0" collapsed="false">
      <c r="A168" s="7" t="s">
        <v>809</v>
      </c>
      <c r="B168" s="7" t="s">
        <v>810</v>
      </c>
      <c r="C168" s="8" t="s">
        <v>469</v>
      </c>
      <c r="D168" s="7" t="s">
        <v>162</v>
      </c>
      <c r="E168" s="7" t="s">
        <v>126</v>
      </c>
      <c r="F168" s="7" t="s">
        <v>152</v>
      </c>
      <c r="G168" s="9" t="n">
        <v>34354</v>
      </c>
      <c r="H168" s="5" t="n">
        <v>181</v>
      </c>
      <c r="I168" s="5" t="n">
        <v>110</v>
      </c>
      <c r="J168" s="5" t="n">
        <v>2014</v>
      </c>
      <c r="K168" s="7" t="s">
        <v>375</v>
      </c>
      <c r="L168" s="10" t="str">
        <f aca="false">INDEX(球隊主檔!$C$2:$C$31,MATCH($K168,球隊主檔!$A$2:$A$31,0))</f>
        <v>堪薩斯市皇家</v>
      </c>
      <c r="M168" s="11" t="n">
        <f aca="false">IF($C168="打者",COUNTIF(打擊成績!$B:$B,$A168),COUNTIF(投手成績!$B:$B,$A168))</f>
        <v>3</v>
      </c>
    </row>
    <row r="169" customFormat="false" ht="15" hidden="false" customHeight="false" outlineLevel="0" collapsed="false">
      <c r="A169" s="7" t="s">
        <v>811</v>
      </c>
      <c r="B169" s="7" t="s">
        <v>812</v>
      </c>
      <c r="C169" s="8" t="s">
        <v>469</v>
      </c>
      <c r="D169" s="7" t="s">
        <v>473</v>
      </c>
      <c r="E169" s="7" t="s">
        <v>152</v>
      </c>
      <c r="F169" s="7" t="s">
        <v>126</v>
      </c>
      <c r="G169" s="9" t="n">
        <v>33875</v>
      </c>
      <c r="H169" s="5" t="n">
        <v>198</v>
      </c>
      <c r="I169" s="5" t="n">
        <v>84</v>
      </c>
      <c r="J169" s="5" t="n">
        <v>2012</v>
      </c>
      <c r="K169" s="7" t="s">
        <v>375</v>
      </c>
      <c r="L169" s="10" t="str">
        <f aca="false">INDEX(球隊主檔!$C$2:$C$31,MATCH($K169,球隊主檔!$A$2:$A$31,0))</f>
        <v>堪薩斯市皇家</v>
      </c>
      <c r="M169" s="11" t="n">
        <f aca="false">IF($C169="打者",COUNTIF(打擊成績!$B:$B,$A169),COUNTIF(投手成績!$B:$B,$A169))</f>
        <v>3</v>
      </c>
    </row>
    <row r="170" customFormat="false" ht="15" hidden="false" customHeight="false" outlineLevel="0" collapsed="false">
      <c r="A170" s="7" t="s">
        <v>813</v>
      </c>
      <c r="B170" s="7" t="s">
        <v>814</v>
      </c>
      <c r="C170" s="8" t="s">
        <v>469</v>
      </c>
      <c r="D170" s="7" t="s">
        <v>63</v>
      </c>
      <c r="E170" s="7" t="s">
        <v>152</v>
      </c>
      <c r="F170" s="7" t="s">
        <v>126</v>
      </c>
      <c r="G170" s="9" t="n">
        <v>35397</v>
      </c>
      <c r="H170" s="5" t="n">
        <v>191</v>
      </c>
      <c r="I170" s="5" t="n">
        <v>79</v>
      </c>
      <c r="J170" s="5" t="n">
        <v>2020</v>
      </c>
      <c r="K170" s="7" t="s">
        <v>346</v>
      </c>
      <c r="L170" s="10" t="str">
        <f aca="false">INDEX(球隊主檔!$C$2:$C$31,MATCH($K170,球隊主檔!$A$2:$A$31,0))</f>
        <v>波士頓紅襪</v>
      </c>
      <c r="M170" s="11" t="n">
        <f aca="false">IF($C170="打者",COUNTIF(打擊成績!$B:$B,$A170),COUNTIF(投手成績!$B:$B,$A170))</f>
        <v>3</v>
      </c>
    </row>
    <row r="171" customFormat="false" ht="15" hidden="false" customHeight="false" outlineLevel="0" collapsed="false">
      <c r="A171" s="7" t="s">
        <v>815</v>
      </c>
      <c r="B171" s="7" t="s">
        <v>816</v>
      </c>
      <c r="C171" s="8" t="s">
        <v>469</v>
      </c>
      <c r="D171" s="7" t="s">
        <v>486</v>
      </c>
      <c r="E171" s="7" t="s">
        <v>152</v>
      </c>
      <c r="F171" s="7" t="s">
        <v>152</v>
      </c>
      <c r="G171" s="9" t="n">
        <v>35603</v>
      </c>
      <c r="H171" s="5" t="n">
        <v>183</v>
      </c>
      <c r="I171" s="5" t="n">
        <v>108</v>
      </c>
      <c r="J171" s="5" t="n">
        <v>2019</v>
      </c>
      <c r="K171" s="7" t="s">
        <v>375</v>
      </c>
      <c r="L171" s="10" t="str">
        <f aca="false">INDEX(球隊主檔!$C$2:$C$31,MATCH($K171,球隊主檔!$A$2:$A$31,0))</f>
        <v>堪薩斯市皇家</v>
      </c>
      <c r="M171" s="11" t="n">
        <f aca="false">IF($C171="打者",COUNTIF(打擊成績!$B:$B,$A171),COUNTIF(投手成績!$B:$B,$A171))</f>
        <v>3</v>
      </c>
    </row>
    <row r="172" customFormat="false" ht="15" hidden="false" customHeight="false" outlineLevel="0" collapsed="false">
      <c r="A172" s="7" t="s">
        <v>817</v>
      </c>
      <c r="B172" s="7" t="s">
        <v>818</v>
      </c>
      <c r="C172" s="8" t="s">
        <v>495</v>
      </c>
      <c r="D172" s="7" t="s">
        <v>496</v>
      </c>
      <c r="E172" s="7" t="s">
        <v>126</v>
      </c>
      <c r="F172" s="7" t="s">
        <v>152</v>
      </c>
      <c r="G172" s="9" t="n">
        <v>33963</v>
      </c>
      <c r="H172" s="5" t="n">
        <v>179</v>
      </c>
      <c r="I172" s="5" t="n">
        <v>90</v>
      </c>
      <c r="J172" s="5" t="n">
        <v>2014</v>
      </c>
      <c r="K172" s="7" t="s">
        <v>375</v>
      </c>
      <c r="L172" s="10" t="str">
        <f aca="false">INDEX(球隊主檔!$C$2:$C$31,MATCH($K172,球隊主檔!$A$2:$A$31,0))</f>
        <v>堪薩斯市皇家</v>
      </c>
      <c r="M172" s="11" t="n">
        <f aca="false">IF($C172="打者",COUNTIF(打擊成績!$B:$B,$A172),COUNTIF(投手成績!$B:$B,$A172))</f>
        <v>2</v>
      </c>
    </row>
    <row r="173" customFormat="false" ht="15" hidden="false" customHeight="false" outlineLevel="0" collapsed="false">
      <c r="A173" s="7" t="s">
        <v>819</v>
      </c>
      <c r="B173" s="7" t="s">
        <v>820</v>
      </c>
      <c r="C173" s="8" t="s">
        <v>495</v>
      </c>
      <c r="D173" s="7" t="s">
        <v>496</v>
      </c>
      <c r="E173" s="7" t="s">
        <v>126</v>
      </c>
      <c r="F173" s="7" t="s">
        <v>126</v>
      </c>
      <c r="G173" s="9" t="n">
        <v>35026</v>
      </c>
      <c r="H173" s="5" t="n">
        <v>177</v>
      </c>
      <c r="I173" s="5" t="n">
        <v>112</v>
      </c>
      <c r="J173" s="5" t="n">
        <v>2015</v>
      </c>
      <c r="K173" s="7" t="s">
        <v>375</v>
      </c>
      <c r="L173" s="10" t="str">
        <f aca="false">INDEX(球隊主檔!$C$2:$C$31,MATCH($K173,球隊主檔!$A$2:$A$31,0))</f>
        <v>堪薩斯市皇家</v>
      </c>
      <c r="M173" s="11" t="n">
        <f aca="false">IF($C173="打者",COUNTIF(打擊成績!$B:$B,$A173),COUNTIF(投手成績!$B:$B,$A173))</f>
        <v>3</v>
      </c>
    </row>
    <row r="174" customFormat="false" ht="15" hidden="false" customHeight="false" outlineLevel="0" collapsed="false">
      <c r="A174" s="7" t="s">
        <v>821</v>
      </c>
      <c r="B174" s="7" t="s">
        <v>822</v>
      </c>
      <c r="C174" s="8" t="s">
        <v>495</v>
      </c>
      <c r="D174" s="7" t="s">
        <v>496</v>
      </c>
      <c r="E174" s="7" t="s">
        <v>174</v>
      </c>
      <c r="F174" s="7" t="s">
        <v>152</v>
      </c>
      <c r="G174" s="9" t="n">
        <v>34516</v>
      </c>
      <c r="H174" s="5" t="n">
        <v>177</v>
      </c>
      <c r="I174" s="5" t="n">
        <v>99</v>
      </c>
      <c r="J174" s="5" t="n">
        <v>2015</v>
      </c>
      <c r="K174" s="7" t="s">
        <v>388</v>
      </c>
      <c r="L174" s="10" t="str">
        <f aca="false">INDEX(球隊主檔!$C$2:$C$31,MATCH($K174,球隊主檔!$A$2:$A$31,0))</f>
        <v>休士頓太空人</v>
      </c>
      <c r="M174" s="11" t="n">
        <f aca="false">IF($C174="打者",COUNTIF(打擊成績!$B:$B,$A174),COUNTIF(投手成績!$B:$B,$A174))</f>
        <v>3</v>
      </c>
    </row>
    <row r="175" customFormat="false" ht="15" hidden="false" customHeight="false" outlineLevel="0" collapsed="false">
      <c r="A175" s="7" t="s">
        <v>823</v>
      </c>
      <c r="B175" s="7" t="s">
        <v>824</v>
      </c>
      <c r="C175" s="8" t="s">
        <v>495</v>
      </c>
      <c r="D175" s="7" t="s">
        <v>496</v>
      </c>
      <c r="E175" s="7" t="s">
        <v>126</v>
      </c>
      <c r="F175" s="7" t="s">
        <v>152</v>
      </c>
      <c r="G175" s="9" t="n">
        <v>33121</v>
      </c>
      <c r="H175" s="5" t="n">
        <v>199</v>
      </c>
      <c r="I175" s="5" t="n">
        <v>101</v>
      </c>
      <c r="J175" s="5" t="n">
        <v>2012</v>
      </c>
      <c r="K175" s="7" t="s">
        <v>404</v>
      </c>
      <c r="L175" s="10" t="str">
        <f aca="false">INDEX(球隊主檔!$C$2:$C$31,MATCH($K175,球隊主檔!$A$2:$A$31,0))</f>
        <v>亞特蘭大勇士</v>
      </c>
      <c r="M175" s="11" t="n">
        <f aca="false">IF($C175="打者",COUNTIF(打擊成績!$B:$B,$A175),COUNTIF(投手成績!$B:$B,$A175))</f>
        <v>3</v>
      </c>
    </row>
    <row r="176" customFormat="false" ht="15" hidden="false" customHeight="false" outlineLevel="0" collapsed="false">
      <c r="A176" s="7" t="s">
        <v>825</v>
      </c>
      <c r="B176" s="7" t="s">
        <v>826</v>
      </c>
      <c r="C176" s="8" t="s">
        <v>495</v>
      </c>
      <c r="D176" s="7" t="s">
        <v>496</v>
      </c>
      <c r="E176" s="7" t="s">
        <v>126</v>
      </c>
      <c r="F176" s="7" t="s">
        <v>152</v>
      </c>
      <c r="G176" s="9" t="n">
        <v>33456</v>
      </c>
      <c r="H176" s="5" t="n">
        <v>192</v>
      </c>
      <c r="I176" s="5" t="n">
        <v>82</v>
      </c>
      <c r="J176" s="5" t="n">
        <v>2016</v>
      </c>
      <c r="K176" s="7" t="s">
        <v>375</v>
      </c>
      <c r="L176" s="10" t="str">
        <f aca="false">INDEX(球隊主檔!$C$2:$C$31,MATCH($K176,球隊主檔!$A$2:$A$31,0))</f>
        <v>堪薩斯市皇家</v>
      </c>
      <c r="M176" s="11" t="n">
        <f aca="false">IF($C176="打者",COUNTIF(打擊成績!$B:$B,$A176),COUNTIF(投手成績!$B:$B,$A176))</f>
        <v>2</v>
      </c>
    </row>
    <row r="177" customFormat="false" ht="15" hidden="false" customHeight="false" outlineLevel="0" collapsed="false">
      <c r="A177" s="7" t="s">
        <v>827</v>
      </c>
      <c r="B177" s="7" t="s">
        <v>828</v>
      </c>
      <c r="C177" s="8" t="s">
        <v>495</v>
      </c>
      <c r="D177" s="7" t="s">
        <v>507</v>
      </c>
      <c r="E177" s="7" t="s">
        <v>152</v>
      </c>
      <c r="F177" s="7" t="s">
        <v>152</v>
      </c>
      <c r="G177" s="9" t="n">
        <v>32574</v>
      </c>
      <c r="H177" s="5" t="n">
        <v>199</v>
      </c>
      <c r="I177" s="5" t="n">
        <v>79</v>
      </c>
      <c r="J177" s="5" t="n">
        <v>2013</v>
      </c>
      <c r="K177" s="7" t="s">
        <v>383</v>
      </c>
      <c r="L177" s="10" t="str">
        <f aca="false">INDEX(球隊主檔!$C$2:$C$31,MATCH($K177,球隊主檔!$A$2:$A$31,0))</f>
        <v>運動家</v>
      </c>
      <c r="M177" s="11" t="n">
        <f aca="false">IF($C177="打者",COUNTIF(打擊成績!$B:$B,$A177),COUNTIF(投手成績!$B:$B,$A177))</f>
        <v>3</v>
      </c>
    </row>
    <row r="178" customFormat="false" ht="15" hidden="false" customHeight="false" outlineLevel="0" collapsed="false">
      <c r="A178" s="7" t="s">
        <v>829</v>
      </c>
      <c r="B178" s="7" t="s">
        <v>830</v>
      </c>
      <c r="C178" s="8" t="s">
        <v>495</v>
      </c>
      <c r="D178" s="7" t="s">
        <v>507</v>
      </c>
      <c r="E178" s="7" t="s">
        <v>126</v>
      </c>
      <c r="F178" s="7" t="s">
        <v>152</v>
      </c>
      <c r="G178" s="9" t="n">
        <v>36864</v>
      </c>
      <c r="H178" s="5" t="n">
        <v>175</v>
      </c>
      <c r="I178" s="5" t="n">
        <v>99</v>
      </c>
      <c r="J178" s="5" t="n">
        <v>2020</v>
      </c>
      <c r="K178" s="7" t="s">
        <v>375</v>
      </c>
      <c r="L178" s="10" t="str">
        <f aca="false">INDEX(球隊主檔!$C$2:$C$31,MATCH($K178,球隊主檔!$A$2:$A$31,0))</f>
        <v>堪薩斯市皇家</v>
      </c>
      <c r="M178" s="11" t="n">
        <f aca="false">IF($C178="打者",COUNTIF(打擊成績!$B:$B,$A178),COUNTIF(投手成績!$B:$B,$A178))</f>
        <v>3</v>
      </c>
    </row>
    <row r="179" customFormat="false" ht="15" hidden="false" customHeight="false" outlineLevel="0" collapsed="false">
      <c r="A179" s="7" t="s">
        <v>831</v>
      </c>
      <c r="B179" s="7" t="s">
        <v>832</v>
      </c>
      <c r="C179" s="8" t="s">
        <v>495</v>
      </c>
      <c r="D179" s="7" t="s">
        <v>507</v>
      </c>
      <c r="E179" s="7" t="s">
        <v>152</v>
      </c>
      <c r="F179" s="7" t="s">
        <v>126</v>
      </c>
      <c r="G179" s="9" t="n">
        <v>35288</v>
      </c>
      <c r="H179" s="5" t="n">
        <v>194</v>
      </c>
      <c r="I179" s="5" t="n">
        <v>81</v>
      </c>
      <c r="J179" s="5" t="n">
        <v>2018</v>
      </c>
      <c r="K179" s="7" t="s">
        <v>375</v>
      </c>
      <c r="L179" s="10" t="str">
        <f aca="false">INDEX(球隊主檔!$C$2:$C$31,MATCH($K179,球隊主檔!$A$2:$A$31,0))</f>
        <v>堪薩斯市皇家</v>
      </c>
      <c r="M179" s="11" t="n">
        <f aca="false">IF($C179="打者",COUNTIF(打擊成績!$B:$B,$A179),COUNTIF(投手成績!$B:$B,$A179))</f>
        <v>3</v>
      </c>
    </row>
    <row r="180" customFormat="false" ht="15" hidden="false" customHeight="false" outlineLevel="0" collapsed="false">
      <c r="A180" s="7" t="s">
        <v>833</v>
      </c>
      <c r="B180" s="7" t="s">
        <v>834</v>
      </c>
      <c r="C180" s="8" t="s">
        <v>495</v>
      </c>
      <c r="D180" s="7" t="s">
        <v>507</v>
      </c>
      <c r="E180" s="7" t="s">
        <v>152</v>
      </c>
      <c r="F180" s="7" t="s">
        <v>126</v>
      </c>
      <c r="G180" s="9" t="n">
        <v>35692</v>
      </c>
      <c r="H180" s="5" t="n">
        <v>182</v>
      </c>
      <c r="I180" s="5" t="n">
        <v>112</v>
      </c>
      <c r="J180" s="5" t="n">
        <v>2019</v>
      </c>
      <c r="K180" s="7" t="s">
        <v>375</v>
      </c>
      <c r="L180" s="10" t="str">
        <f aca="false">INDEX(球隊主檔!$C$2:$C$31,MATCH($K180,球隊主檔!$A$2:$A$31,0))</f>
        <v>堪薩斯市皇家</v>
      </c>
      <c r="M180" s="11" t="n">
        <f aca="false">IF($C180="打者",COUNTIF(打擊成績!$B:$B,$A180),COUNTIF(投手成績!$B:$B,$A180))</f>
        <v>3</v>
      </c>
    </row>
    <row r="181" customFormat="false" ht="15" hidden="false" customHeight="false" outlineLevel="0" collapsed="false">
      <c r="A181" s="7" t="s">
        <v>835</v>
      </c>
      <c r="B181" s="7" t="s">
        <v>836</v>
      </c>
      <c r="C181" s="8" t="s">
        <v>495</v>
      </c>
      <c r="D181" s="7" t="s">
        <v>507</v>
      </c>
      <c r="E181" s="7" t="s">
        <v>126</v>
      </c>
      <c r="F181" s="7" t="s">
        <v>152</v>
      </c>
      <c r="G181" s="9" t="n">
        <v>32555</v>
      </c>
      <c r="H181" s="5" t="n">
        <v>182</v>
      </c>
      <c r="I181" s="5" t="n">
        <v>82</v>
      </c>
      <c r="J181" s="5" t="n">
        <v>2011</v>
      </c>
      <c r="K181" s="7" t="s">
        <v>375</v>
      </c>
      <c r="L181" s="10" t="str">
        <f aca="false">INDEX(球隊主檔!$C$2:$C$31,MATCH($K181,球隊主檔!$A$2:$A$31,0))</f>
        <v>堪薩斯市皇家</v>
      </c>
      <c r="M181" s="11" t="n">
        <f aca="false">IF($C181="打者",COUNTIF(打擊成績!$B:$B,$A181),COUNTIF(投手成績!$B:$B,$A181))</f>
        <v>1</v>
      </c>
    </row>
    <row r="182" customFormat="false" ht="15" hidden="false" customHeight="false" outlineLevel="0" collapsed="false">
      <c r="A182" s="7" t="s">
        <v>837</v>
      </c>
      <c r="B182" s="7" t="s">
        <v>838</v>
      </c>
      <c r="C182" s="8" t="s">
        <v>469</v>
      </c>
      <c r="D182" s="7" t="s">
        <v>522</v>
      </c>
      <c r="E182" s="7" t="s">
        <v>126</v>
      </c>
      <c r="F182" s="7" t="s">
        <v>126</v>
      </c>
      <c r="G182" s="9" t="n">
        <v>33165</v>
      </c>
      <c r="H182" s="5" t="n">
        <v>194</v>
      </c>
      <c r="I182" s="5" t="n">
        <v>82</v>
      </c>
      <c r="J182" s="5" t="n">
        <v>2010</v>
      </c>
      <c r="K182" s="7" t="s">
        <v>367</v>
      </c>
      <c r="L182" s="10" t="str">
        <f aca="false">INDEX(球隊主檔!$C$2:$C$31,MATCH($K182,球隊主檔!$A$2:$A$31,0))</f>
        <v>克里夫蘭守護者</v>
      </c>
      <c r="M182" s="11" t="n">
        <f aca="false">IF($C182="打者",COUNTIF(打擊成績!$B:$B,$A182),COUNTIF(投手成績!$B:$B,$A182))</f>
        <v>3</v>
      </c>
    </row>
    <row r="183" customFormat="false" ht="15" hidden="false" customHeight="false" outlineLevel="0" collapsed="false">
      <c r="A183" s="7" t="s">
        <v>839</v>
      </c>
      <c r="B183" s="7" t="s">
        <v>840</v>
      </c>
      <c r="C183" s="8" t="s">
        <v>469</v>
      </c>
      <c r="D183" s="7" t="s">
        <v>158</v>
      </c>
      <c r="E183" s="7" t="s">
        <v>126</v>
      </c>
      <c r="F183" s="7" t="s">
        <v>152</v>
      </c>
      <c r="G183" s="9" t="n">
        <v>35176</v>
      </c>
      <c r="H183" s="5" t="n">
        <v>179</v>
      </c>
      <c r="I183" s="5" t="n">
        <v>84</v>
      </c>
      <c r="J183" s="5" t="n">
        <v>2019</v>
      </c>
      <c r="K183" s="7" t="s">
        <v>379</v>
      </c>
      <c r="L183" s="10" t="str">
        <f aca="false">INDEX(球隊主檔!$C$2:$C$31,MATCH($K183,球隊主檔!$A$2:$A$31,0))</f>
        <v>明尼蘇達雙城</v>
      </c>
      <c r="M183" s="11" t="n">
        <f aca="false">IF($C183="打者",COUNTIF(打擊成績!$B:$B,$A183),COUNTIF(投手成績!$B:$B,$A183))</f>
        <v>3</v>
      </c>
    </row>
    <row r="184" customFormat="false" ht="15" hidden="false" customHeight="false" outlineLevel="0" collapsed="false">
      <c r="A184" s="7" t="s">
        <v>841</v>
      </c>
      <c r="B184" s="7" t="s">
        <v>842</v>
      </c>
      <c r="C184" s="8" t="s">
        <v>469</v>
      </c>
      <c r="D184" s="7" t="s">
        <v>470</v>
      </c>
      <c r="E184" s="7" t="s">
        <v>126</v>
      </c>
      <c r="F184" s="7" t="s">
        <v>126</v>
      </c>
      <c r="G184" s="9" t="n">
        <v>34331</v>
      </c>
      <c r="H184" s="5" t="n">
        <v>188</v>
      </c>
      <c r="I184" s="5" t="n">
        <v>105</v>
      </c>
      <c r="J184" s="5" t="n">
        <v>2015</v>
      </c>
      <c r="K184" s="7" t="s">
        <v>426</v>
      </c>
      <c r="L184" s="10" t="str">
        <f aca="false">INDEX(球隊主檔!$C$2:$C$31,MATCH($K184,球隊主檔!$A$2:$A$31,0))</f>
        <v>芝加哥小熊</v>
      </c>
      <c r="M184" s="11" t="n">
        <f aca="false">IF($C184="打者",COUNTIF(打擊成績!$B:$B,$A184),COUNTIF(投手成績!$B:$B,$A184))</f>
        <v>3</v>
      </c>
    </row>
    <row r="185" customFormat="false" ht="15" hidden="false" customHeight="false" outlineLevel="0" collapsed="false">
      <c r="A185" s="7" t="s">
        <v>843</v>
      </c>
      <c r="B185" s="7" t="s">
        <v>844</v>
      </c>
      <c r="C185" s="8" t="s">
        <v>469</v>
      </c>
      <c r="D185" s="7" t="s">
        <v>162</v>
      </c>
      <c r="E185" s="7" t="s">
        <v>152</v>
      </c>
      <c r="F185" s="7" t="s">
        <v>152</v>
      </c>
      <c r="G185" s="9" t="n">
        <v>35010</v>
      </c>
      <c r="H185" s="5" t="n">
        <v>180</v>
      </c>
      <c r="I185" s="5" t="n">
        <v>83</v>
      </c>
      <c r="J185" s="5" t="n">
        <v>2018</v>
      </c>
      <c r="K185" s="7" t="s">
        <v>379</v>
      </c>
      <c r="L185" s="10" t="str">
        <f aca="false">INDEX(球隊主檔!$C$2:$C$31,MATCH($K185,球隊主檔!$A$2:$A$31,0))</f>
        <v>明尼蘇達雙城</v>
      </c>
      <c r="M185" s="11" t="n">
        <f aca="false">IF($C185="打者",COUNTIF(打擊成績!$B:$B,$A185),COUNTIF(投手成績!$B:$B,$A185))</f>
        <v>3</v>
      </c>
    </row>
    <row r="186" customFormat="false" ht="15" hidden="false" customHeight="false" outlineLevel="0" collapsed="false">
      <c r="A186" s="7" t="s">
        <v>845</v>
      </c>
      <c r="B186" s="7" t="s">
        <v>846</v>
      </c>
      <c r="C186" s="8" t="s">
        <v>469</v>
      </c>
      <c r="D186" s="7" t="s">
        <v>158</v>
      </c>
      <c r="E186" s="7" t="s">
        <v>152</v>
      </c>
      <c r="F186" s="7" t="s">
        <v>126</v>
      </c>
      <c r="G186" s="9" t="n">
        <v>36329</v>
      </c>
      <c r="H186" s="5" t="n">
        <v>185</v>
      </c>
      <c r="I186" s="5" t="n">
        <v>83</v>
      </c>
      <c r="J186" s="5" t="n">
        <v>2023</v>
      </c>
      <c r="K186" s="7" t="s">
        <v>379</v>
      </c>
      <c r="L186" s="10" t="str">
        <f aca="false">INDEX(球隊主檔!$C$2:$C$31,MATCH($K186,球隊主檔!$A$2:$A$31,0))</f>
        <v>明尼蘇達雙城</v>
      </c>
      <c r="M186" s="11" t="n">
        <f aca="false">IF($C186="打者",COUNTIF(打擊成績!$B:$B,$A186),COUNTIF(投手成績!$B:$B,$A186))</f>
        <v>3</v>
      </c>
    </row>
    <row r="187" customFormat="false" ht="15" hidden="false" customHeight="false" outlineLevel="0" collapsed="false">
      <c r="A187" s="7" t="s">
        <v>847</v>
      </c>
      <c r="B187" s="7" t="s">
        <v>848</v>
      </c>
      <c r="C187" s="8" t="s">
        <v>469</v>
      </c>
      <c r="D187" s="7" t="s">
        <v>483</v>
      </c>
      <c r="E187" s="7" t="s">
        <v>126</v>
      </c>
      <c r="F187" s="7" t="s">
        <v>152</v>
      </c>
      <c r="G187" s="9" t="n">
        <v>35431</v>
      </c>
      <c r="H187" s="5" t="n">
        <v>182</v>
      </c>
      <c r="I187" s="5" t="n">
        <v>89</v>
      </c>
      <c r="J187" s="5" t="n">
        <v>2018</v>
      </c>
      <c r="K187" s="7" t="s">
        <v>379</v>
      </c>
      <c r="L187" s="10" t="str">
        <f aca="false">INDEX(球隊主檔!$C$2:$C$31,MATCH($K187,球隊主檔!$A$2:$A$31,0))</f>
        <v>明尼蘇達雙城</v>
      </c>
      <c r="M187" s="11" t="n">
        <f aca="false">IF($C187="打者",COUNTIF(打擊成績!$B:$B,$A187),COUNTIF(投手成績!$B:$B,$A187))</f>
        <v>3</v>
      </c>
    </row>
    <row r="188" customFormat="false" ht="15" hidden="false" customHeight="false" outlineLevel="0" collapsed="false">
      <c r="A188" s="7" t="s">
        <v>849</v>
      </c>
      <c r="B188" s="7" t="s">
        <v>850</v>
      </c>
      <c r="C188" s="8" t="s">
        <v>469</v>
      </c>
      <c r="D188" s="7" t="s">
        <v>486</v>
      </c>
      <c r="E188" s="7" t="s">
        <v>152</v>
      </c>
      <c r="F188" s="7" t="s">
        <v>152</v>
      </c>
      <c r="G188" s="9" t="n">
        <v>35130</v>
      </c>
      <c r="H188" s="5" t="n">
        <v>198</v>
      </c>
      <c r="I188" s="5" t="n">
        <v>93</v>
      </c>
      <c r="J188" s="5" t="n">
        <v>2019</v>
      </c>
      <c r="K188" s="7" t="s">
        <v>404</v>
      </c>
      <c r="L188" s="10" t="str">
        <f aca="false">INDEX(球隊主檔!$C$2:$C$31,MATCH($K188,球隊主檔!$A$2:$A$31,0))</f>
        <v>亞特蘭大勇士</v>
      </c>
      <c r="M188" s="11" t="n">
        <f aca="false">IF($C188="打者",COUNTIF(打擊成績!$B:$B,$A188),COUNTIF(投手成績!$B:$B,$A188))</f>
        <v>3</v>
      </c>
    </row>
    <row r="189" customFormat="false" ht="15" hidden="false" customHeight="false" outlineLevel="0" collapsed="false">
      <c r="A189" s="7" t="s">
        <v>851</v>
      </c>
      <c r="B189" s="7" t="s">
        <v>852</v>
      </c>
      <c r="C189" s="8" t="s">
        <v>469</v>
      </c>
      <c r="D189" s="7" t="s">
        <v>473</v>
      </c>
      <c r="E189" s="7" t="s">
        <v>126</v>
      </c>
      <c r="F189" s="7" t="s">
        <v>152</v>
      </c>
      <c r="G189" s="9" t="n">
        <v>37292</v>
      </c>
      <c r="H189" s="5" t="n">
        <v>197</v>
      </c>
      <c r="I189" s="5" t="n">
        <v>80</v>
      </c>
      <c r="J189" s="5" t="n">
        <v>2024</v>
      </c>
      <c r="K189" s="7" t="s">
        <v>379</v>
      </c>
      <c r="L189" s="10" t="str">
        <f aca="false">INDEX(球隊主檔!$C$2:$C$31,MATCH($K189,球隊主檔!$A$2:$A$31,0))</f>
        <v>明尼蘇達雙城</v>
      </c>
      <c r="M189" s="11" t="n">
        <f aca="false">IF($C189="打者",COUNTIF(打擊成績!$B:$B,$A189),COUNTIF(投手成績!$B:$B,$A189))</f>
        <v>3</v>
      </c>
    </row>
    <row r="190" customFormat="false" ht="15" hidden="false" customHeight="false" outlineLevel="0" collapsed="false">
      <c r="A190" s="7" t="s">
        <v>853</v>
      </c>
      <c r="B190" s="7" t="s">
        <v>854</v>
      </c>
      <c r="C190" s="8" t="s">
        <v>469</v>
      </c>
      <c r="D190" s="7" t="s">
        <v>478</v>
      </c>
      <c r="E190" s="7" t="s">
        <v>152</v>
      </c>
      <c r="F190" s="7" t="s">
        <v>152</v>
      </c>
      <c r="G190" s="9" t="n">
        <v>36196</v>
      </c>
      <c r="H190" s="5" t="n">
        <v>194</v>
      </c>
      <c r="I190" s="5" t="n">
        <v>108</v>
      </c>
      <c r="J190" s="5" t="n">
        <v>2021</v>
      </c>
      <c r="K190" s="7" t="s">
        <v>379</v>
      </c>
      <c r="L190" s="10" t="str">
        <f aca="false">INDEX(球隊主檔!$C$2:$C$31,MATCH($K190,球隊主檔!$A$2:$A$31,0))</f>
        <v>明尼蘇達雙城</v>
      </c>
      <c r="M190" s="11" t="n">
        <f aca="false">IF($C190="打者",COUNTIF(打擊成績!$B:$B,$A190),COUNTIF(投手成績!$B:$B,$A190))</f>
        <v>3</v>
      </c>
    </row>
    <row r="191" customFormat="false" ht="15" hidden="false" customHeight="false" outlineLevel="0" collapsed="false">
      <c r="A191" s="7" t="s">
        <v>855</v>
      </c>
      <c r="B191" s="7" t="s">
        <v>856</v>
      </c>
      <c r="C191" s="8" t="s">
        <v>469</v>
      </c>
      <c r="D191" s="7" t="s">
        <v>522</v>
      </c>
      <c r="E191" s="7" t="s">
        <v>152</v>
      </c>
      <c r="F191" s="7" t="s">
        <v>126</v>
      </c>
      <c r="G191" s="9" t="n">
        <v>35803</v>
      </c>
      <c r="H191" s="5" t="n">
        <v>187</v>
      </c>
      <c r="I191" s="5" t="n">
        <v>88</v>
      </c>
      <c r="J191" s="5" t="n">
        <v>2021</v>
      </c>
      <c r="K191" s="7" t="s">
        <v>379</v>
      </c>
      <c r="L191" s="10" t="str">
        <f aca="false">INDEX(球隊主檔!$C$2:$C$31,MATCH($K191,球隊主檔!$A$2:$A$31,0))</f>
        <v>明尼蘇達雙城</v>
      </c>
      <c r="M191" s="11" t="n">
        <f aca="false">IF($C191="打者",COUNTIF(打擊成績!$B:$B,$A191),COUNTIF(投手成績!$B:$B,$A191))</f>
        <v>3</v>
      </c>
    </row>
    <row r="192" customFormat="false" ht="15" hidden="false" customHeight="false" outlineLevel="0" collapsed="false">
      <c r="A192" s="7" t="s">
        <v>857</v>
      </c>
      <c r="B192" s="7" t="s">
        <v>858</v>
      </c>
      <c r="C192" s="8" t="s">
        <v>495</v>
      </c>
      <c r="D192" s="7" t="s">
        <v>496</v>
      </c>
      <c r="E192" s="7" t="s">
        <v>174</v>
      </c>
      <c r="F192" s="7" t="s">
        <v>152</v>
      </c>
      <c r="G192" s="9" t="n">
        <v>35212</v>
      </c>
      <c r="H192" s="5" t="n">
        <v>193</v>
      </c>
      <c r="I192" s="5" t="n">
        <v>112</v>
      </c>
      <c r="J192" s="5" t="n">
        <v>2019</v>
      </c>
      <c r="K192" s="7" t="s">
        <v>379</v>
      </c>
      <c r="L192" s="10" t="str">
        <f aca="false">INDEX(球隊主檔!$C$2:$C$31,MATCH($K192,球隊主檔!$A$2:$A$31,0))</f>
        <v>明尼蘇達雙城</v>
      </c>
      <c r="M192" s="11" t="n">
        <f aca="false">IF($C192="打者",COUNTIF(打擊成績!$B:$B,$A192),COUNTIF(投手成績!$B:$B,$A192))</f>
        <v>3</v>
      </c>
    </row>
    <row r="193" customFormat="false" ht="15" hidden="false" customHeight="false" outlineLevel="0" collapsed="false">
      <c r="A193" s="7" t="s">
        <v>859</v>
      </c>
      <c r="B193" s="7" t="s">
        <v>860</v>
      </c>
      <c r="C193" s="8" t="s">
        <v>495</v>
      </c>
      <c r="D193" s="7" t="s">
        <v>496</v>
      </c>
      <c r="E193" s="7" t="s">
        <v>126</v>
      </c>
      <c r="F193" s="7" t="s">
        <v>152</v>
      </c>
      <c r="G193" s="9" t="n">
        <v>34162</v>
      </c>
      <c r="H193" s="5" t="n">
        <v>184</v>
      </c>
      <c r="I193" s="5" t="n">
        <v>108</v>
      </c>
      <c r="J193" s="5" t="n">
        <v>2014</v>
      </c>
      <c r="K193" s="7" t="s">
        <v>379</v>
      </c>
      <c r="L193" s="10" t="str">
        <f aca="false">INDEX(球隊主檔!$C$2:$C$31,MATCH($K193,球隊主檔!$A$2:$A$31,0))</f>
        <v>明尼蘇達雙城</v>
      </c>
      <c r="M193" s="11" t="n">
        <f aca="false">IF($C193="打者",COUNTIF(打擊成績!$B:$B,$A193),COUNTIF(投手成績!$B:$B,$A193))</f>
        <v>3</v>
      </c>
    </row>
    <row r="194" customFormat="false" ht="15" hidden="false" customHeight="false" outlineLevel="0" collapsed="false">
      <c r="A194" s="7" t="s">
        <v>861</v>
      </c>
      <c r="B194" s="7" t="s">
        <v>862</v>
      </c>
      <c r="C194" s="8" t="s">
        <v>495</v>
      </c>
      <c r="D194" s="7" t="s">
        <v>496</v>
      </c>
      <c r="E194" s="7" t="s">
        <v>152</v>
      </c>
      <c r="F194" s="7" t="s">
        <v>152</v>
      </c>
      <c r="G194" s="9" t="n">
        <v>35576</v>
      </c>
      <c r="H194" s="5" t="n">
        <v>181</v>
      </c>
      <c r="I194" s="5" t="n">
        <v>109</v>
      </c>
      <c r="J194" s="5" t="n">
        <v>2020</v>
      </c>
      <c r="K194" s="7" t="s">
        <v>379</v>
      </c>
      <c r="L194" s="10" t="str">
        <f aca="false">INDEX(球隊主檔!$C$2:$C$31,MATCH($K194,球隊主檔!$A$2:$A$31,0))</f>
        <v>明尼蘇達雙城</v>
      </c>
      <c r="M194" s="11" t="n">
        <f aca="false">IF($C194="打者",COUNTIF(打擊成績!$B:$B,$A194),COUNTIF(投手成績!$B:$B,$A194))</f>
        <v>1</v>
      </c>
    </row>
    <row r="195" customFormat="false" ht="15" hidden="false" customHeight="false" outlineLevel="0" collapsed="false">
      <c r="A195" s="7" t="s">
        <v>863</v>
      </c>
      <c r="B195" s="7" t="s">
        <v>864</v>
      </c>
      <c r="C195" s="8" t="s">
        <v>495</v>
      </c>
      <c r="D195" s="7" t="s">
        <v>496</v>
      </c>
      <c r="E195" s="7" t="s">
        <v>152</v>
      </c>
      <c r="F195" s="7" t="s">
        <v>126</v>
      </c>
      <c r="G195" s="9" t="n">
        <v>33820</v>
      </c>
      <c r="H195" s="5" t="n">
        <v>177</v>
      </c>
      <c r="I195" s="5" t="n">
        <v>102</v>
      </c>
      <c r="J195" s="5" t="n">
        <v>2016</v>
      </c>
      <c r="K195" s="7" t="s">
        <v>354</v>
      </c>
      <c r="L195" s="10" t="str">
        <f aca="false">INDEX(球隊主檔!$C$2:$C$31,MATCH($K195,球隊主檔!$A$2:$A$31,0))</f>
        <v>坦帕灣光芒</v>
      </c>
      <c r="M195" s="11" t="n">
        <f aca="false">IF($C195="打者",COUNTIF(打擊成績!$B:$B,$A195),COUNTIF(投手成績!$B:$B,$A195))</f>
        <v>3</v>
      </c>
    </row>
    <row r="196" customFormat="false" ht="15" hidden="false" customHeight="false" outlineLevel="0" collapsed="false">
      <c r="A196" s="7" t="s">
        <v>865</v>
      </c>
      <c r="B196" s="7" t="s">
        <v>866</v>
      </c>
      <c r="C196" s="8" t="s">
        <v>495</v>
      </c>
      <c r="D196" s="7" t="s">
        <v>496</v>
      </c>
      <c r="E196" s="7" t="s">
        <v>152</v>
      </c>
      <c r="F196" s="7" t="s">
        <v>126</v>
      </c>
      <c r="G196" s="9" t="n">
        <v>33835</v>
      </c>
      <c r="H196" s="5" t="n">
        <v>201</v>
      </c>
      <c r="I196" s="5" t="n">
        <v>81</v>
      </c>
      <c r="J196" s="5" t="n">
        <v>2016</v>
      </c>
      <c r="K196" s="7" t="s">
        <v>379</v>
      </c>
      <c r="L196" s="10" t="str">
        <f aca="false">INDEX(球隊主檔!$C$2:$C$31,MATCH($K196,球隊主檔!$A$2:$A$31,0))</f>
        <v>明尼蘇達雙城</v>
      </c>
      <c r="M196" s="11" t="n">
        <f aca="false">IF($C196="打者",COUNTIF(打擊成績!$B:$B,$A196),COUNTIF(投手成績!$B:$B,$A196))</f>
        <v>3</v>
      </c>
    </row>
    <row r="197" customFormat="false" ht="15" hidden="false" customHeight="false" outlineLevel="0" collapsed="false">
      <c r="A197" s="7" t="s">
        <v>867</v>
      </c>
      <c r="B197" s="7" t="s">
        <v>868</v>
      </c>
      <c r="C197" s="8" t="s">
        <v>495</v>
      </c>
      <c r="D197" s="7" t="s">
        <v>507</v>
      </c>
      <c r="E197" s="7" t="s">
        <v>152</v>
      </c>
      <c r="F197" s="7" t="s">
        <v>152</v>
      </c>
      <c r="G197" s="9" t="n">
        <v>35521</v>
      </c>
      <c r="H197" s="5" t="n">
        <v>200</v>
      </c>
      <c r="I197" s="5" t="n">
        <v>111</v>
      </c>
      <c r="J197" s="5" t="n">
        <v>2021</v>
      </c>
      <c r="K197" s="7" t="s">
        <v>379</v>
      </c>
      <c r="L197" s="10" t="str">
        <f aca="false">INDEX(球隊主檔!$C$2:$C$31,MATCH($K197,球隊主檔!$A$2:$A$31,0))</f>
        <v>明尼蘇達雙城</v>
      </c>
      <c r="M197" s="11" t="n">
        <f aca="false">IF($C197="打者",COUNTIF(打擊成績!$B:$B,$A197),COUNTIF(投手成績!$B:$B,$A197))</f>
        <v>3</v>
      </c>
    </row>
    <row r="198" customFormat="false" ht="15" hidden="false" customHeight="false" outlineLevel="0" collapsed="false">
      <c r="A198" s="7" t="s">
        <v>869</v>
      </c>
      <c r="B198" s="7" t="s">
        <v>870</v>
      </c>
      <c r="C198" s="8" t="s">
        <v>495</v>
      </c>
      <c r="D198" s="7" t="s">
        <v>507</v>
      </c>
      <c r="E198" s="7" t="s">
        <v>126</v>
      </c>
      <c r="F198" s="7" t="s">
        <v>152</v>
      </c>
      <c r="G198" s="9" t="n">
        <v>35731</v>
      </c>
      <c r="H198" s="5" t="n">
        <v>185</v>
      </c>
      <c r="I198" s="5" t="n">
        <v>109</v>
      </c>
      <c r="J198" s="5" t="n">
        <v>2017</v>
      </c>
      <c r="K198" s="7" t="s">
        <v>379</v>
      </c>
      <c r="L198" s="10" t="str">
        <f aca="false">INDEX(球隊主檔!$C$2:$C$31,MATCH($K198,球隊主檔!$A$2:$A$31,0))</f>
        <v>明尼蘇達雙城</v>
      </c>
      <c r="M198" s="11" t="n">
        <f aca="false">IF($C198="打者",COUNTIF(打擊成績!$B:$B,$A198),COUNTIF(投手成績!$B:$B,$A198))</f>
        <v>2</v>
      </c>
    </row>
    <row r="199" customFormat="false" ht="15" hidden="false" customHeight="false" outlineLevel="0" collapsed="false">
      <c r="A199" s="7" t="s">
        <v>871</v>
      </c>
      <c r="B199" s="7" t="s">
        <v>872</v>
      </c>
      <c r="C199" s="8" t="s">
        <v>495</v>
      </c>
      <c r="D199" s="7" t="s">
        <v>507</v>
      </c>
      <c r="E199" s="7" t="s">
        <v>152</v>
      </c>
      <c r="F199" s="7" t="s">
        <v>152</v>
      </c>
      <c r="G199" s="9" t="n">
        <v>35078</v>
      </c>
      <c r="H199" s="5" t="n">
        <v>195</v>
      </c>
      <c r="I199" s="5" t="n">
        <v>104</v>
      </c>
      <c r="J199" s="5" t="n">
        <v>2017</v>
      </c>
      <c r="K199" s="7" t="s">
        <v>379</v>
      </c>
      <c r="L199" s="10" t="str">
        <f aca="false">INDEX(球隊主檔!$C$2:$C$31,MATCH($K199,球隊主檔!$A$2:$A$31,0))</f>
        <v>明尼蘇達雙城</v>
      </c>
      <c r="M199" s="11" t="n">
        <f aca="false">IF($C199="打者",COUNTIF(打擊成績!$B:$B,$A199),COUNTIF(投手成績!$B:$B,$A199))</f>
        <v>3</v>
      </c>
    </row>
    <row r="200" customFormat="false" ht="15" hidden="false" customHeight="false" outlineLevel="0" collapsed="false">
      <c r="A200" s="7" t="s">
        <v>873</v>
      </c>
      <c r="B200" s="7" t="s">
        <v>874</v>
      </c>
      <c r="C200" s="8" t="s">
        <v>495</v>
      </c>
      <c r="D200" s="7" t="s">
        <v>507</v>
      </c>
      <c r="E200" s="7" t="s">
        <v>152</v>
      </c>
      <c r="F200" s="7" t="s">
        <v>152</v>
      </c>
      <c r="G200" s="9" t="n">
        <v>35163</v>
      </c>
      <c r="H200" s="5" t="n">
        <v>201</v>
      </c>
      <c r="I200" s="5" t="n">
        <v>79</v>
      </c>
      <c r="J200" s="5" t="n">
        <v>2020</v>
      </c>
      <c r="K200" s="7" t="s">
        <v>379</v>
      </c>
      <c r="L200" s="10" t="str">
        <f aca="false">INDEX(球隊主檔!$C$2:$C$31,MATCH($K200,球隊主檔!$A$2:$A$31,0))</f>
        <v>明尼蘇達雙城</v>
      </c>
      <c r="M200" s="11" t="n">
        <f aca="false">IF($C200="打者",COUNTIF(打擊成績!$B:$B,$A200),COUNTIF(投手成績!$B:$B,$A200))</f>
        <v>2</v>
      </c>
    </row>
    <row r="201" customFormat="false" ht="15" hidden="false" customHeight="false" outlineLevel="0" collapsed="false">
      <c r="A201" s="7" t="s">
        <v>875</v>
      </c>
      <c r="B201" s="7" t="s">
        <v>876</v>
      </c>
      <c r="C201" s="8" t="s">
        <v>495</v>
      </c>
      <c r="D201" s="7" t="s">
        <v>507</v>
      </c>
      <c r="E201" s="7" t="s">
        <v>126</v>
      </c>
      <c r="F201" s="7" t="s">
        <v>126</v>
      </c>
      <c r="G201" s="9" t="n">
        <v>37008</v>
      </c>
      <c r="H201" s="5" t="n">
        <v>186</v>
      </c>
      <c r="I201" s="5" t="n">
        <v>112</v>
      </c>
      <c r="J201" s="5" t="n">
        <v>2021</v>
      </c>
      <c r="K201" s="7" t="s">
        <v>446</v>
      </c>
      <c r="L201" s="10" t="str">
        <f aca="false">INDEX(球隊主檔!$C$2:$C$31,MATCH($K201,球隊主檔!$A$2:$A$31,0))</f>
        <v>亞利桑那響尾蛇</v>
      </c>
      <c r="M201" s="11" t="n">
        <f aca="false">IF($C201="打者",COUNTIF(打擊成績!$B:$B,$A201),COUNTIF(投手成績!$B:$B,$A201))</f>
        <v>3</v>
      </c>
    </row>
    <row r="202" customFormat="false" ht="15" hidden="false" customHeight="false" outlineLevel="0" collapsed="false">
      <c r="A202" s="7" t="s">
        <v>877</v>
      </c>
      <c r="B202" s="7" t="s">
        <v>878</v>
      </c>
      <c r="C202" s="8" t="s">
        <v>469</v>
      </c>
      <c r="D202" s="7" t="s">
        <v>162</v>
      </c>
      <c r="E202" s="7" t="s">
        <v>126</v>
      </c>
      <c r="F202" s="7" t="s">
        <v>152</v>
      </c>
      <c r="G202" s="9" t="n">
        <v>35593</v>
      </c>
      <c r="H202" s="5" t="n">
        <v>185</v>
      </c>
      <c r="I202" s="5" t="n">
        <v>80</v>
      </c>
      <c r="J202" s="5" t="n">
        <v>2020</v>
      </c>
      <c r="K202" s="7" t="s">
        <v>383</v>
      </c>
      <c r="L202" s="10" t="str">
        <f aca="false">INDEX(球隊主檔!$C$2:$C$31,MATCH($K202,球隊主檔!$A$2:$A$31,0))</f>
        <v>運動家</v>
      </c>
      <c r="M202" s="11" t="n">
        <f aca="false">IF($C202="打者",COUNTIF(打擊成績!$B:$B,$A202),COUNTIF(投手成績!$B:$B,$A202))</f>
        <v>3</v>
      </c>
    </row>
    <row r="203" customFormat="false" ht="15" hidden="false" customHeight="false" outlineLevel="0" collapsed="false">
      <c r="A203" s="7" t="s">
        <v>879</v>
      </c>
      <c r="B203" s="7" t="s">
        <v>880</v>
      </c>
      <c r="C203" s="8" t="s">
        <v>469</v>
      </c>
      <c r="D203" s="7" t="s">
        <v>522</v>
      </c>
      <c r="E203" s="7" t="s">
        <v>126</v>
      </c>
      <c r="F203" s="7" t="s">
        <v>152</v>
      </c>
      <c r="G203" s="9" t="n">
        <v>35662</v>
      </c>
      <c r="H203" s="5" t="n">
        <v>200</v>
      </c>
      <c r="I203" s="5" t="n">
        <v>93</v>
      </c>
      <c r="J203" s="5" t="n">
        <v>2018</v>
      </c>
      <c r="K203" s="7" t="s">
        <v>383</v>
      </c>
      <c r="L203" s="10" t="str">
        <f aca="false">INDEX(球隊主檔!$C$2:$C$31,MATCH($K203,球隊主檔!$A$2:$A$31,0))</f>
        <v>運動家</v>
      </c>
      <c r="M203" s="11" t="n">
        <f aca="false">IF($C203="打者",COUNTIF(打擊成績!$B:$B,$A203),COUNTIF(投手成績!$B:$B,$A203))</f>
        <v>2</v>
      </c>
    </row>
    <row r="204" customFormat="false" ht="15" hidden="false" customHeight="false" outlineLevel="0" collapsed="false">
      <c r="A204" s="7" t="s">
        <v>881</v>
      </c>
      <c r="B204" s="7" t="s">
        <v>882</v>
      </c>
      <c r="C204" s="8" t="s">
        <v>469</v>
      </c>
      <c r="D204" s="7" t="s">
        <v>473</v>
      </c>
      <c r="E204" s="7" t="s">
        <v>152</v>
      </c>
      <c r="F204" s="7" t="s">
        <v>152</v>
      </c>
      <c r="G204" s="9" t="n">
        <v>35268</v>
      </c>
      <c r="H204" s="5" t="n">
        <v>182</v>
      </c>
      <c r="I204" s="5" t="n">
        <v>82</v>
      </c>
      <c r="J204" s="5" t="n">
        <v>2020</v>
      </c>
      <c r="K204" s="7" t="s">
        <v>383</v>
      </c>
      <c r="L204" s="10" t="str">
        <f aca="false">INDEX(球隊主檔!$C$2:$C$31,MATCH($K204,球隊主檔!$A$2:$A$31,0))</f>
        <v>運動家</v>
      </c>
      <c r="M204" s="11" t="n">
        <f aca="false">IF($C204="打者",COUNTIF(打擊成績!$B:$B,$A204),COUNTIF(投手成績!$B:$B,$A204))</f>
        <v>3</v>
      </c>
    </row>
    <row r="205" customFormat="false" ht="15" hidden="false" customHeight="false" outlineLevel="0" collapsed="false">
      <c r="A205" s="7" t="s">
        <v>883</v>
      </c>
      <c r="B205" s="7" t="s">
        <v>884</v>
      </c>
      <c r="C205" s="8" t="s">
        <v>469</v>
      </c>
      <c r="D205" s="7" t="s">
        <v>470</v>
      </c>
      <c r="E205" s="7" t="s">
        <v>152</v>
      </c>
      <c r="F205" s="7" t="s">
        <v>152</v>
      </c>
      <c r="G205" s="9" t="n">
        <v>35861</v>
      </c>
      <c r="H205" s="5" t="n">
        <v>188</v>
      </c>
      <c r="I205" s="5" t="n">
        <v>81</v>
      </c>
      <c r="J205" s="5" t="n">
        <v>2022</v>
      </c>
      <c r="K205" s="7" t="s">
        <v>396</v>
      </c>
      <c r="L205" s="10" t="str">
        <f aca="false">INDEX(球隊主檔!$C$2:$C$31,MATCH($K205,球隊主檔!$A$2:$A$31,0))</f>
        <v>西雅圖水手</v>
      </c>
      <c r="M205" s="11" t="n">
        <f aca="false">IF($C205="打者",COUNTIF(打擊成績!$B:$B,$A205),COUNTIF(投手成績!$B:$B,$A205))</f>
        <v>3</v>
      </c>
    </row>
    <row r="206" customFormat="false" ht="15" hidden="false" customHeight="false" outlineLevel="0" collapsed="false">
      <c r="A206" s="7" t="s">
        <v>885</v>
      </c>
      <c r="B206" s="7" t="s">
        <v>886</v>
      </c>
      <c r="C206" s="8" t="s">
        <v>469</v>
      </c>
      <c r="D206" s="7" t="s">
        <v>478</v>
      </c>
      <c r="E206" s="7" t="s">
        <v>126</v>
      </c>
      <c r="F206" s="7" t="s">
        <v>126</v>
      </c>
      <c r="G206" s="9" t="n">
        <v>37147</v>
      </c>
      <c r="H206" s="5" t="n">
        <v>186</v>
      </c>
      <c r="I206" s="5" t="n">
        <v>91</v>
      </c>
      <c r="J206" s="5" t="n">
        <v>2022</v>
      </c>
      <c r="K206" s="7" t="s">
        <v>383</v>
      </c>
      <c r="L206" s="10" t="str">
        <f aca="false">INDEX(球隊主檔!$C$2:$C$31,MATCH($K206,球隊主檔!$A$2:$A$31,0))</f>
        <v>運動家</v>
      </c>
      <c r="M206" s="11" t="n">
        <f aca="false">IF($C206="打者",COUNTIF(打擊成績!$B:$B,$A206),COUNTIF(投手成績!$B:$B,$A206))</f>
        <v>3</v>
      </c>
    </row>
    <row r="207" customFormat="false" ht="15" hidden="false" customHeight="false" outlineLevel="0" collapsed="false">
      <c r="A207" s="7" t="s">
        <v>887</v>
      </c>
      <c r="B207" s="7" t="s">
        <v>888</v>
      </c>
      <c r="C207" s="8" t="s">
        <v>469</v>
      </c>
      <c r="D207" s="7" t="s">
        <v>478</v>
      </c>
      <c r="E207" s="7" t="s">
        <v>152</v>
      </c>
      <c r="F207" s="7" t="s">
        <v>152</v>
      </c>
      <c r="G207" s="9" t="n">
        <v>35694</v>
      </c>
      <c r="H207" s="5" t="n">
        <v>198</v>
      </c>
      <c r="I207" s="5" t="n">
        <v>106</v>
      </c>
      <c r="J207" s="5" t="n">
        <v>2018</v>
      </c>
      <c r="K207" s="7" t="s">
        <v>383</v>
      </c>
      <c r="L207" s="10" t="str">
        <f aca="false">INDEX(球隊主檔!$C$2:$C$31,MATCH($K207,球隊主檔!$A$2:$A$31,0))</f>
        <v>運動家</v>
      </c>
      <c r="M207" s="11" t="n">
        <f aca="false">IF($C207="打者",COUNTIF(打擊成績!$B:$B,$A207),COUNTIF(投手成績!$B:$B,$A207))</f>
        <v>3</v>
      </c>
    </row>
    <row r="208" customFormat="false" ht="15" hidden="false" customHeight="false" outlineLevel="0" collapsed="false">
      <c r="A208" s="7" t="s">
        <v>889</v>
      </c>
      <c r="B208" s="7" t="s">
        <v>890</v>
      </c>
      <c r="C208" s="8" t="s">
        <v>469</v>
      </c>
      <c r="D208" s="7" t="s">
        <v>158</v>
      </c>
      <c r="E208" s="7" t="s">
        <v>174</v>
      </c>
      <c r="F208" s="7" t="s">
        <v>152</v>
      </c>
      <c r="G208" s="9" t="n">
        <v>35846</v>
      </c>
      <c r="H208" s="5" t="n">
        <v>181</v>
      </c>
      <c r="I208" s="5" t="n">
        <v>90</v>
      </c>
      <c r="J208" s="5" t="n">
        <v>2018</v>
      </c>
      <c r="K208" s="7" t="s">
        <v>418</v>
      </c>
      <c r="L208" s="10" t="str">
        <f aca="false">INDEX(球隊主檔!$C$2:$C$31,MATCH($K208,球隊主檔!$A$2:$A$31,0))</f>
        <v>費城費城人</v>
      </c>
      <c r="M208" s="11" t="n">
        <f aca="false">IF($C208="打者",COUNTIF(打擊成績!$B:$B,$A208),COUNTIF(投手成績!$B:$B,$A208))</f>
        <v>3</v>
      </c>
    </row>
    <row r="209" customFormat="false" ht="15" hidden="false" customHeight="false" outlineLevel="0" collapsed="false">
      <c r="A209" s="7" t="s">
        <v>891</v>
      </c>
      <c r="B209" s="7" t="s">
        <v>892</v>
      </c>
      <c r="C209" s="8" t="s">
        <v>469</v>
      </c>
      <c r="D209" s="7" t="s">
        <v>470</v>
      </c>
      <c r="E209" s="7" t="s">
        <v>152</v>
      </c>
      <c r="F209" s="7" t="s">
        <v>152</v>
      </c>
      <c r="G209" s="9" t="n">
        <v>36441</v>
      </c>
      <c r="H209" s="5" t="n">
        <v>201</v>
      </c>
      <c r="I209" s="5" t="n">
        <v>80</v>
      </c>
      <c r="J209" s="5" t="n">
        <v>2023</v>
      </c>
      <c r="K209" s="7" t="s">
        <v>410</v>
      </c>
      <c r="L209" s="10" t="str">
        <f aca="false">INDEX(球隊主檔!$C$2:$C$31,MATCH($K209,球隊主檔!$A$2:$A$31,0))</f>
        <v>邁阿密馬林魚</v>
      </c>
      <c r="M209" s="11" t="n">
        <f aca="false">IF($C209="打者",COUNTIF(打擊成績!$B:$B,$A209),COUNTIF(投手成績!$B:$B,$A209))</f>
        <v>3</v>
      </c>
    </row>
    <row r="210" customFormat="false" ht="15" hidden="false" customHeight="false" outlineLevel="0" collapsed="false">
      <c r="A210" s="7" t="s">
        <v>893</v>
      </c>
      <c r="B210" s="7" t="s">
        <v>894</v>
      </c>
      <c r="C210" s="8" t="s">
        <v>469</v>
      </c>
      <c r="D210" s="7" t="s">
        <v>478</v>
      </c>
      <c r="E210" s="7" t="s">
        <v>152</v>
      </c>
      <c r="F210" s="7" t="s">
        <v>152</v>
      </c>
      <c r="G210" s="9" t="n">
        <v>34408</v>
      </c>
      <c r="H210" s="5" t="n">
        <v>188</v>
      </c>
      <c r="I210" s="5" t="n">
        <v>103</v>
      </c>
      <c r="J210" s="5" t="n">
        <v>2014</v>
      </c>
      <c r="K210" s="7" t="s">
        <v>383</v>
      </c>
      <c r="L210" s="10" t="str">
        <f aca="false">INDEX(球隊主檔!$C$2:$C$31,MATCH($K210,球隊主檔!$A$2:$A$31,0))</f>
        <v>運動家</v>
      </c>
      <c r="M210" s="11" t="n">
        <f aca="false">IF($C210="打者",COUNTIF(打擊成績!$B:$B,$A210),COUNTIF(投手成績!$B:$B,$A210))</f>
        <v>3</v>
      </c>
    </row>
    <row r="211" customFormat="false" ht="15" hidden="false" customHeight="false" outlineLevel="0" collapsed="false">
      <c r="A211" s="7" t="s">
        <v>895</v>
      </c>
      <c r="B211" s="7" t="s">
        <v>896</v>
      </c>
      <c r="C211" s="8" t="s">
        <v>469</v>
      </c>
      <c r="D211" s="7" t="s">
        <v>158</v>
      </c>
      <c r="E211" s="7" t="s">
        <v>152</v>
      </c>
      <c r="F211" s="7" t="s">
        <v>126</v>
      </c>
      <c r="G211" s="9" t="n">
        <v>35281</v>
      </c>
      <c r="H211" s="5" t="n">
        <v>189</v>
      </c>
      <c r="I211" s="5" t="n">
        <v>99</v>
      </c>
      <c r="J211" s="5" t="n">
        <v>2018</v>
      </c>
      <c r="K211" s="7" t="s">
        <v>340</v>
      </c>
      <c r="L211" s="10" t="str">
        <f aca="false">INDEX(球隊主檔!$C$2:$C$31,MATCH($K211,球隊主檔!$A$2:$A$31,0))</f>
        <v>巴爾的摩金鶯</v>
      </c>
      <c r="M211" s="11" t="n">
        <f aca="false">IF($C211="打者",COUNTIF(打擊成績!$B:$B,$A211),COUNTIF(投手成績!$B:$B,$A211))</f>
        <v>3</v>
      </c>
    </row>
    <row r="212" customFormat="false" ht="15" hidden="false" customHeight="false" outlineLevel="0" collapsed="false">
      <c r="A212" s="7" t="s">
        <v>897</v>
      </c>
      <c r="B212" s="7" t="s">
        <v>898</v>
      </c>
      <c r="C212" s="8" t="s">
        <v>495</v>
      </c>
      <c r="D212" s="7" t="s">
        <v>496</v>
      </c>
      <c r="E212" s="7" t="s">
        <v>126</v>
      </c>
      <c r="F212" s="7" t="s">
        <v>126</v>
      </c>
      <c r="G212" s="9" t="n">
        <v>37531</v>
      </c>
      <c r="H212" s="5" t="n">
        <v>201</v>
      </c>
      <c r="I212" s="5" t="n">
        <v>84</v>
      </c>
      <c r="J212" s="5" t="n">
        <v>2022</v>
      </c>
      <c r="K212" s="7" t="s">
        <v>383</v>
      </c>
      <c r="L212" s="10" t="str">
        <f aca="false">INDEX(球隊主檔!$C$2:$C$31,MATCH($K212,球隊主檔!$A$2:$A$31,0))</f>
        <v>運動家</v>
      </c>
      <c r="M212" s="11" t="n">
        <f aca="false">IF($C212="打者",COUNTIF(打擊成績!$B:$B,$A212),COUNTIF(投手成績!$B:$B,$A212))</f>
        <v>3</v>
      </c>
    </row>
    <row r="213" customFormat="false" ht="15" hidden="false" customHeight="false" outlineLevel="0" collapsed="false">
      <c r="A213" s="7" t="s">
        <v>899</v>
      </c>
      <c r="B213" s="7" t="s">
        <v>900</v>
      </c>
      <c r="C213" s="8" t="s">
        <v>495</v>
      </c>
      <c r="D213" s="7" t="s">
        <v>496</v>
      </c>
      <c r="E213" s="7" t="s">
        <v>126</v>
      </c>
      <c r="F213" s="7" t="s">
        <v>152</v>
      </c>
      <c r="G213" s="9" t="n">
        <v>35904</v>
      </c>
      <c r="H213" s="5" t="n">
        <v>183</v>
      </c>
      <c r="I213" s="5" t="n">
        <v>80</v>
      </c>
      <c r="J213" s="5" t="n">
        <v>2022</v>
      </c>
      <c r="K213" s="7" t="s">
        <v>383</v>
      </c>
      <c r="L213" s="10" t="str">
        <f aca="false">INDEX(球隊主檔!$C$2:$C$31,MATCH($K213,球隊主檔!$A$2:$A$31,0))</f>
        <v>運動家</v>
      </c>
      <c r="M213" s="11" t="n">
        <f aca="false">IF($C213="打者",COUNTIF(打擊成績!$B:$B,$A213),COUNTIF(投手成績!$B:$B,$A213))</f>
        <v>3</v>
      </c>
    </row>
    <row r="214" customFormat="false" ht="15" hidden="false" customHeight="false" outlineLevel="0" collapsed="false">
      <c r="A214" s="7" t="s">
        <v>901</v>
      </c>
      <c r="B214" s="7" t="s">
        <v>902</v>
      </c>
      <c r="C214" s="8" t="s">
        <v>495</v>
      </c>
      <c r="D214" s="7" t="s">
        <v>496</v>
      </c>
      <c r="E214" s="7" t="s">
        <v>126</v>
      </c>
      <c r="F214" s="7" t="s">
        <v>152</v>
      </c>
      <c r="G214" s="9" t="n">
        <v>33324</v>
      </c>
      <c r="H214" s="5" t="n">
        <v>198</v>
      </c>
      <c r="I214" s="5" t="n">
        <v>92</v>
      </c>
      <c r="J214" s="5" t="n">
        <v>2015</v>
      </c>
      <c r="K214" s="7" t="s">
        <v>383</v>
      </c>
      <c r="L214" s="10" t="str">
        <f aca="false">INDEX(球隊主檔!$C$2:$C$31,MATCH($K214,球隊主檔!$A$2:$A$31,0))</f>
        <v>運動家</v>
      </c>
      <c r="M214" s="11" t="n">
        <f aca="false">IF($C214="打者",COUNTIF(打擊成績!$B:$B,$A214),COUNTIF(投手成績!$B:$B,$A214))</f>
        <v>2</v>
      </c>
    </row>
    <row r="215" customFormat="false" ht="15" hidden="false" customHeight="false" outlineLevel="0" collapsed="false">
      <c r="A215" s="7" t="s">
        <v>903</v>
      </c>
      <c r="B215" s="7" t="s">
        <v>904</v>
      </c>
      <c r="C215" s="8" t="s">
        <v>495</v>
      </c>
      <c r="D215" s="7" t="s">
        <v>496</v>
      </c>
      <c r="E215" s="7" t="s">
        <v>152</v>
      </c>
      <c r="F215" s="7" t="s">
        <v>152</v>
      </c>
      <c r="G215" s="9" t="n">
        <v>36317</v>
      </c>
      <c r="H215" s="5" t="n">
        <v>176</v>
      </c>
      <c r="I215" s="5" t="n">
        <v>100</v>
      </c>
      <c r="J215" s="5" t="n">
        <v>2019</v>
      </c>
      <c r="K215" s="7" t="s">
        <v>396</v>
      </c>
      <c r="L215" s="10" t="str">
        <f aca="false">INDEX(球隊主檔!$C$2:$C$31,MATCH($K215,球隊主檔!$A$2:$A$31,0))</f>
        <v>西雅圖水手</v>
      </c>
      <c r="M215" s="11" t="n">
        <f aca="false">IF($C215="打者",COUNTIF(打擊成績!$B:$B,$A215),COUNTIF(投手成績!$B:$B,$A215))</f>
        <v>3</v>
      </c>
    </row>
    <row r="216" customFormat="false" ht="15" hidden="false" customHeight="false" outlineLevel="0" collapsed="false">
      <c r="A216" s="7" t="s">
        <v>905</v>
      </c>
      <c r="B216" s="7" t="s">
        <v>906</v>
      </c>
      <c r="C216" s="8" t="s">
        <v>495</v>
      </c>
      <c r="D216" s="7" t="s">
        <v>496</v>
      </c>
      <c r="E216" s="7" t="s">
        <v>126</v>
      </c>
      <c r="F216" s="7" t="s">
        <v>152</v>
      </c>
      <c r="G216" s="9" t="n">
        <v>35180</v>
      </c>
      <c r="H216" s="5" t="n">
        <v>197</v>
      </c>
      <c r="I216" s="5" t="n">
        <v>81</v>
      </c>
      <c r="J216" s="5" t="n">
        <v>2018</v>
      </c>
      <c r="K216" s="7" t="s">
        <v>383</v>
      </c>
      <c r="L216" s="10" t="str">
        <f aca="false">INDEX(球隊主檔!$C$2:$C$31,MATCH($K216,球隊主檔!$A$2:$A$31,0))</f>
        <v>運動家</v>
      </c>
      <c r="M216" s="11" t="n">
        <f aca="false">IF($C216="打者",COUNTIF(打擊成績!$B:$B,$A216),COUNTIF(投手成績!$B:$B,$A216))</f>
        <v>1</v>
      </c>
    </row>
    <row r="217" customFormat="false" ht="15" hidden="false" customHeight="false" outlineLevel="0" collapsed="false">
      <c r="A217" s="7" t="s">
        <v>907</v>
      </c>
      <c r="B217" s="7" t="s">
        <v>908</v>
      </c>
      <c r="C217" s="8" t="s">
        <v>495</v>
      </c>
      <c r="D217" s="7" t="s">
        <v>507</v>
      </c>
      <c r="E217" s="7" t="s">
        <v>126</v>
      </c>
      <c r="F217" s="7" t="s">
        <v>126</v>
      </c>
      <c r="G217" s="9" t="n">
        <v>36196</v>
      </c>
      <c r="H217" s="5" t="n">
        <v>178</v>
      </c>
      <c r="I217" s="5" t="n">
        <v>86</v>
      </c>
      <c r="J217" s="5" t="n">
        <v>2020</v>
      </c>
      <c r="K217" s="7" t="s">
        <v>383</v>
      </c>
      <c r="L217" s="10" t="str">
        <f aca="false">INDEX(球隊主檔!$C$2:$C$31,MATCH($K217,球隊主檔!$A$2:$A$31,0))</f>
        <v>運動家</v>
      </c>
      <c r="M217" s="11" t="n">
        <f aca="false">IF($C217="打者",COUNTIF(打擊成績!$B:$B,$A217),COUNTIF(投手成績!$B:$B,$A217))</f>
        <v>3</v>
      </c>
    </row>
    <row r="218" customFormat="false" ht="15" hidden="false" customHeight="false" outlineLevel="0" collapsed="false">
      <c r="A218" s="7" t="s">
        <v>909</v>
      </c>
      <c r="B218" s="7" t="s">
        <v>910</v>
      </c>
      <c r="C218" s="8" t="s">
        <v>495</v>
      </c>
      <c r="D218" s="7" t="s">
        <v>507</v>
      </c>
      <c r="E218" s="7" t="s">
        <v>126</v>
      </c>
      <c r="F218" s="7" t="s">
        <v>152</v>
      </c>
      <c r="G218" s="9" t="n">
        <v>34748</v>
      </c>
      <c r="H218" s="5" t="n">
        <v>188</v>
      </c>
      <c r="I218" s="5" t="n">
        <v>104</v>
      </c>
      <c r="J218" s="5" t="n">
        <v>2016</v>
      </c>
      <c r="K218" s="7" t="s">
        <v>383</v>
      </c>
      <c r="L218" s="10" t="str">
        <f aca="false">INDEX(球隊主檔!$C$2:$C$31,MATCH($K218,球隊主檔!$A$2:$A$31,0))</f>
        <v>運動家</v>
      </c>
      <c r="M218" s="11" t="n">
        <f aca="false">IF($C218="打者",COUNTIF(打擊成績!$B:$B,$A218),COUNTIF(投手成績!$B:$B,$A218))</f>
        <v>2</v>
      </c>
    </row>
    <row r="219" customFormat="false" ht="15" hidden="false" customHeight="false" outlineLevel="0" collapsed="false">
      <c r="A219" s="7" t="s">
        <v>911</v>
      </c>
      <c r="B219" s="7" t="s">
        <v>912</v>
      </c>
      <c r="C219" s="8" t="s">
        <v>495</v>
      </c>
      <c r="D219" s="7" t="s">
        <v>507</v>
      </c>
      <c r="E219" s="7" t="s">
        <v>152</v>
      </c>
      <c r="F219" s="7" t="s">
        <v>126</v>
      </c>
      <c r="G219" s="9" t="n">
        <v>36791</v>
      </c>
      <c r="H219" s="5" t="n">
        <v>186</v>
      </c>
      <c r="I219" s="5" t="n">
        <v>99</v>
      </c>
      <c r="J219" s="5" t="n">
        <v>2023</v>
      </c>
      <c r="K219" s="7" t="s">
        <v>383</v>
      </c>
      <c r="L219" s="10" t="str">
        <f aca="false">INDEX(球隊主檔!$C$2:$C$31,MATCH($K219,球隊主檔!$A$2:$A$31,0))</f>
        <v>運動家</v>
      </c>
      <c r="M219" s="11" t="n">
        <f aca="false">IF($C219="打者",COUNTIF(打擊成績!$B:$B,$A219),COUNTIF(投手成績!$B:$B,$A219))</f>
        <v>3</v>
      </c>
    </row>
    <row r="220" customFormat="false" ht="15" hidden="false" customHeight="false" outlineLevel="0" collapsed="false">
      <c r="A220" s="7" t="s">
        <v>913</v>
      </c>
      <c r="B220" s="7" t="s">
        <v>914</v>
      </c>
      <c r="C220" s="8" t="s">
        <v>495</v>
      </c>
      <c r="D220" s="7" t="s">
        <v>507</v>
      </c>
      <c r="E220" s="7" t="s">
        <v>152</v>
      </c>
      <c r="F220" s="7" t="s">
        <v>152</v>
      </c>
      <c r="G220" s="9" t="n">
        <v>34855</v>
      </c>
      <c r="H220" s="5" t="n">
        <v>181</v>
      </c>
      <c r="I220" s="5" t="n">
        <v>88</v>
      </c>
      <c r="J220" s="5" t="n">
        <v>2016</v>
      </c>
      <c r="K220" s="7" t="s">
        <v>383</v>
      </c>
      <c r="L220" s="10" t="str">
        <f aca="false">INDEX(球隊主檔!$C$2:$C$31,MATCH($K220,球隊主檔!$A$2:$A$31,0))</f>
        <v>運動家</v>
      </c>
      <c r="M220" s="11" t="n">
        <f aca="false">IF($C220="打者",COUNTIF(打擊成績!$B:$B,$A220),COUNTIF(投手成績!$B:$B,$A220))</f>
        <v>3</v>
      </c>
    </row>
    <row r="221" customFormat="false" ht="15" hidden="false" customHeight="false" outlineLevel="0" collapsed="false">
      <c r="A221" s="7" t="s">
        <v>915</v>
      </c>
      <c r="B221" s="7" t="s">
        <v>916</v>
      </c>
      <c r="C221" s="8" t="s">
        <v>495</v>
      </c>
      <c r="D221" s="7" t="s">
        <v>507</v>
      </c>
      <c r="E221" s="7" t="s">
        <v>152</v>
      </c>
      <c r="F221" s="7" t="s">
        <v>126</v>
      </c>
      <c r="G221" s="9" t="n">
        <v>35587</v>
      </c>
      <c r="H221" s="5" t="n">
        <v>192</v>
      </c>
      <c r="I221" s="5" t="n">
        <v>112</v>
      </c>
      <c r="J221" s="5" t="n">
        <v>2022</v>
      </c>
      <c r="K221" s="7" t="s">
        <v>340</v>
      </c>
      <c r="L221" s="10" t="str">
        <f aca="false">INDEX(球隊主檔!$C$2:$C$31,MATCH($K221,球隊主檔!$A$2:$A$31,0))</f>
        <v>巴爾的摩金鶯</v>
      </c>
      <c r="M221" s="11" t="n">
        <f aca="false">IF($C221="打者",COUNTIF(打擊成績!$B:$B,$A221),COUNTIF(投手成績!$B:$B,$A221))</f>
        <v>3</v>
      </c>
    </row>
    <row r="222" customFormat="false" ht="15" hidden="false" customHeight="false" outlineLevel="0" collapsed="false">
      <c r="A222" s="7" t="s">
        <v>917</v>
      </c>
      <c r="B222" s="7" t="s">
        <v>918</v>
      </c>
      <c r="C222" s="8" t="s">
        <v>469</v>
      </c>
      <c r="D222" s="7" t="s">
        <v>473</v>
      </c>
      <c r="E222" s="7" t="s">
        <v>126</v>
      </c>
      <c r="F222" s="7" t="s">
        <v>152</v>
      </c>
      <c r="G222" s="9" t="n">
        <v>36600</v>
      </c>
      <c r="H222" s="5" t="n">
        <v>192</v>
      </c>
      <c r="I222" s="5" t="n">
        <v>112</v>
      </c>
      <c r="J222" s="5" t="n">
        <v>2024</v>
      </c>
      <c r="K222" s="7" t="s">
        <v>388</v>
      </c>
      <c r="L222" s="10" t="str">
        <f aca="false">INDEX(球隊主檔!$C$2:$C$31,MATCH($K222,球隊主檔!$A$2:$A$31,0))</f>
        <v>休士頓太空人</v>
      </c>
      <c r="M222" s="11" t="n">
        <f aca="false">IF($C222="打者",COUNTIF(打擊成績!$B:$B,$A222),COUNTIF(投手成績!$B:$B,$A222))</f>
        <v>1</v>
      </c>
    </row>
    <row r="223" customFormat="false" ht="15" hidden="false" customHeight="false" outlineLevel="0" collapsed="false">
      <c r="A223" s="7" t="s">
        <v>919</v>
      </c>
      <c r="B223" s="7" t="s">
        <v>920</v>
      </c>
      <c r="C223" s="8" t="s">
        <v>469</v>
      </c>
      <c r="D223" s="7" t="s">
        <v>470</v>
      </c>
      <c r="E223" s="7" t="s">
        <v>126</v>
      </c>
      <c r="F223" s="7" t="s">
        <v>152</v>
      </c>
      <c r="G223" s="9" t="n">
        <v>35482</v>
      </c>
      <c r="H223" s="5" t="n">
        <v>178</v>
      </c>
      <c r="I223" s="5" t="n">
        <v>104</v>
      </c>
      <c r="J223" s="5" t="n">
        <v>2020</v>
      </c>
      <c r="K223" s="7" t="s">
        <v>418</v>
      </c>
      <c r="L223" s="10" t="str">
        <f aca="false">INDEX(球隊主檔!$C$2:$C$31,MATCH($K223,球隊主檔!$A$2:$A$31,0))</f>
        <v>費城費城人</v>
      </c>
      <c r="M223" s="11" t="n">
        <f aca="false">IF($C223="打者",COUNTIF(打擊成績!$B:$B,$A223),COUNTIF(投手成績!$B:$B,$A223))</f>
        <v>3</v>
      </c>
    </row>
    <row r="224" customFormat="false" ht="15" hidden="false" customHeight="false" outlineLevel="0" collapsed="false">
      <c r="A224" s="7" t="s">
        <v>921</v>
      </c>
      <c r="B224" s="7" t="s">
        <v>922</v>
      </c>
      <c r="C224" s="8" t="s">
        <v>469</v>
      </c>
      <c r="D224" s="7" t="s">
        <v>158</v>
      </c>
      <c r="E224" s="7" t="s">
        <v>152</v>
      </c>
      <c r="F224" s="7" t="s">
        <v>152</v>
      </c>
      <c r="G224" s="9" t="n">
        <v>35050</v>
      </c>
      <c r="H224" s="5" t="n">
        <v>189</v>
      </c>
      <c r="I224" s="5" t="n">
        <v>93</v>
      </c>
      <c r="J224" s="5" t="n">
        <v>2017</v>
      </c>
      <c r="K224" s="7" t="s">
        <v>388</v>
      </c>
      <c r="L224" s="10" t="str">
        <f aca="false">INDEX(球隊主檔!$C$2:$C$31,MATCH($K224,球隊主檔!$A$2:$A$31,0))</f>
        <v>休士頓太空人</v>
      </c>
      <c r="M224" s="11" t="n">
        <f aca="false">IF($C224="打者",COUNTIF(打擊成績!$B:$B,$A224),COUNTIF(投手成績!$B:$B,$A224))</f>
        <v>3</v>
      </c>
    </row>
    <row r="225" customFormat="false" ht="15" hidden="false" customHeight="false" outlineLevel="0" collapsed="false">
      <c r="A225" s="7" t="s">
        <v>923</v>
      </c>
      <c r="B225" s="7" t="s">
        <v>924</v>
      </c>
      <c r="C225" s="8" t="s">
        <v>469</v>
      </c>
      <c r="D225" s="7" t="s">
        <v>486</v>
      </c>
      <c r="E225" s="7" t="s">
        <v>174</v>
      </c>
      <c r="F225" s="7" t="s">
        <v>152</v>
      </c>
      <c r="G225" s="9" t="n">
        <v>36841</v>
      </c>
      <c r="H225" s="5" t="n">
        <v>185</v>
      </c>
      <c r="I225" s="5" t="n">
        <v>93</v>
      </c>
      <c r="J225" s="5" t="n">
        <v>2022</v>
      </c>
      <c r="K225" s="7" t="s">
        <v>446</v>
      </c>
      <c r="L225" s="10" t="str">
        <f aca="false">INDEX(球隊主檔!$C$2:$C$31,MATCH($K225,球隊主檔!$A$2:$A$31,0))</f>
        <v>亞利桑那響尾蛇</v>
      </c>
      <c r="M225" s="11" t="n">
        <f aca="false">IF($C225="打者",COUNTIF(打擊成績!$B:$B,$A225),COUNTIF(投手成績!$B:$B,$A225))</f>
        <v>3</v>
      </c>
    </row>
    <row r="226" customFormat="false" ht="15" hidden="false" customHeight="false" outlineLevel="0" collapsed="false">
      <c r="A226" s="7" t="s">
        <v>925</v>
      </c>
      <c r="B226" s="7" t="s">
        <v>926</v>
      </c>
      <c r="C226" s="8" t="s">
        <v>469</v>
      </c>
      <c r="D226" s="7" t="s">
        <v>162</v>
      </c>
      <c r="E226" s="7" t="s">
        <v>126</v>
      </c>
      <c r="F226" s="7" t="s">
        <v>152</v>
      </c>
      <c r="G226" s="9" t="n">
        <v>35537</v>
      </c>
      <c r="H226" s="5" t="n">
        <v>184</v>
      </c>
      <c r="I226" s="5" t="n">
        <v>103</v>
      </c>
      <c r="J226" s="5" t="n">
        <v>2017</v>
      </c>
      <c r="K226" s="7" t="s">
        <v>379</v>
      </c>
      <c r="L226" s="10" t="str">
        <f aca="false">INDEX(球隊主檔!$C$2:$C$31,MATCH($K226,球隊主檔!$A$2:$A$31,0))</f>
        <v>明尼蘇達雙城</v>
      </c>
      <c r="M226" s="11" t="n">
        <f aca="false">IF($C226="打者",COUNTIF(打擊成績!$B:$B,$A226),COUNTIF(投手成績!$B:$B,$A226))</f>
        <v>3</v>
      </c>
    </row>
    <row r="227" customFormat="false" ht="15" hidden="false" customHeight="false" outlineLevel="0" collapsed="false">
      <c r="A227" s="7" t="s">
        <v>927</v>
      </c>
      <c r="B227" s="7" t="s">
        <v>928</v>
      </c>
      <c r="C227" s="8" t="s">
        <v>469</v>
      </c>
      <c r="D227" s="7" t="s">
        <v>63</v>
      </c>
      <c r="E227" s="7" t="s">
        <v>152</v>
      </c>
      <c r="F227" s="7" t="s">
        <v>126</v>
      </c>
      <c r="G227" s="9" t="n">
        <v>35341</v>
      </c>
      <c r="H227" s="5" t="n">
        <v>199</v>
      </c>
      <c r="I227" s="5" t="n">
        <v>103</v>
      </c>
      <c r="J227" s="5" t="n">
        <v>2019</v>
      </c>
      <c r="K227" s="7" t="s">
        <v>388</v>
      </c>
      <c r="L227" s="10" t="str">
        <f aca="false">INDEX(球隊主檔!$C$2:$C$31,MATCH($K227,球隊主檔!$A$2:$A$31,0))</f>
        <v>休士頓太空人</v>
      </c>
      <c r="M227" s="11" t="n">
        <f aca="false">IF($C227="打者",COUNTIF(打擊成績!$B:$B,$A227),COUNTIF(投手成績!$B:$B,$A227))</f>
        <v>3</v>
      </c>
    </row>
    <row r="228" customFormat="false" ht="15" hidden="false" customHeight="false" outlineLevel="0" collapsed="false">
      <c r="A228" s="7" t="s">
        <v>929</v>
      </c>
      <c r="B228" s="7" t="s">
        <v>930</v>
      </c>
      <c r="C228" s="8" t="s">
        <v>469</v>
      </c>
      <c r="D228" s="7" t="s">
        <v>486</v>
      </c>
      <c r="E228" s="7" t="s">
        <v>152</v>
      </c>
      <c r="F228" s="7" t="s">
        <v>126</v>
      </c>
      <c r="G228" s="9" t="n">
        <v>35780</v>
      </c>
      <c r="H228" s="5" t="n">
        <v>198</v>
      </c>
      <c r="I228" s="5" t="n">
        <v>111</v>
      </c>
      <c r="J228" s="5" t="n">
        <v>2019</v>
      </c>
      <c r="K228" s="7" t="s">
        <v>388</v>
      </c>
      <c r="L228" s="10" t="str">
        <f aca="false">INDEX(球隊主檔!$C$2:$C$31,MATCH($K228,球隊主檔!$A$2:$A$31,0))</f>
        <v>休士頓太空人</v>
      </c>
      <c r="M228" s="11" t="n">
        <f aca="false">IF($C228="打者",COUNTIF(打擊成績!$B:$B,$A228),COUNTIF(投手成績!$B:$B,$A228))</f>
        <v>3</v>
      </c>
    </row>
    <row r="229" customFormat="false" ht="15" hidden="false" customHeight="false" outlineLevel="0" collapsed="false">
      <c r="A229" s="7" t="s">
        <v>931</v>
      </c>
      <c r="B229" s="7" t="s">
        <v>932</v>
      </c>
      <c r="C229" s="8" t="s">
        <v>469</v>
      </c>
      <c r="D229" s="7" t="s">
        <v>158</v>
      </c>
      <c r="E229" s="7" t="s">
        <v>126</v>
      </c>
      <c r="F229" s="7" t="s">
        <v>126</v>
      </c>
      <c r="G229" s="9" t="n">
        <v>34410</v>
      </c>
      <c r="H229" s="5" t="n">
        <v>195</v>
      </c>
      <c r="I229" s="5" t="n">
        <v>105</v>
      </c>
      <c r="J229" s="5" t="n">
        <v>2016</v>
      </c>
      <c r="K229" s="7" t="s">
        <v>388</v>
      </c>
      <c r="L229" s="10" t="str">
        <f aca="false">INDEX(球隊主檔!$C$2:$C$31,MATCH($K229,球隊主檔!$A$2:$A$31,0))</f>
        <v>休士頓太空人</v>
      </c>
      <c r="M229" s="11" t="n">
        <f aca="false">IF($C229="打者",COUNTIF(打擊成績!$B:$B,$A229),COUNTIF(投手成績!$B:$B,$A229))</f>
        <v>2</v>
      </c>
    </row>
    <row r="230" customFormat="false" ht="15" hidden="false" customHeight="false" outlineLevel="0" collapsed="false">
      <c r="A230" s="7" t="s">
        <v>933</v>
      </c>
      <c r="B230" s="7" t="s">
        <v>934</v>
      </c>
      <c r="C230" s="8" t="s">
        <v>469</v>
      </c>
      <c r="D230" s="7" t="s">
        <v>483</v>
      </c>
      <c r="E230" s="7" t="s">
        <v>174</v>
      </c>
      <c r="F230" s="7" t="s">
        <v>152</v>
      </c>
      <c r="G230" s="9" t="n">
        <v>36182</v>
      </c>
      <c r="H230" s="5" t="n">
        <v>194</v>
      </c>
      <c r="I230" s="5" t="n">
        <v>100</v>
      </c>
      <c r="J230" s="5" t="n">
        <v>2024</v>
      </c>
      <c r="K230" s="7" t="s">
        <v>442</v>
      </c>
      <c r="L230" s="10" t="str">
        <f aca="false">INDEX(球隊主檔!$C$2:$C$31,MATCH($K230,球隊主檔!$A$2:$A$31,0))</f>
        <v>聖路易紅雀</v>
      </c>
      <c r="M230" s="11" t="n">
        <f aca="false">IF($C230="打者",COUNTIF(打擊成績!$B:$B,$A230),COUNTIF(投手成績!$B:$B,$A230))</f>
        <v>3</v>
      </c>
    </row>
    <row r="231" customFormat="false" ht="15" hidden="false" customHeight="false" outlineLevel="0" collapsed="false">
      <c r="A231" s="7" t="s">
        <v>935</v>
      </c>
      <c r="B231" s="7" t="s">
        <v>936</v>
      </c>
      <c r="C231" s="8" t="s">
        <v>469</v>
      </c>
      <c r="D231" s="7" t="s">
        <v>486</v>
      </c>
      <c r="E231" s="7" t="s">
        <v>174</v>
      </c>
      <c r="F231" s="7" t="s">
        <v>126</v>
      </c>
      <c r="G231" s="9" t="n">
        <v>33667</v>
      </c>
      <c r="H231" s="5" t="n">
        <v>176</v>
      </c>
      <c r="I231" s="5" t="n">
        <v>89</v>
      </c>
      <c r="J231" s="5" t="n">
        <v>2015</v>
      </c>
      <c r="K231" s="7" t="s">
        <v>388</v>
      </c>
      <c r="L231" s="10" t="str">
        <f aca="false">INDEX(球隊主檔!$C$2:$C$31,MATCH($K231,球隊主檔!$A$2:$A$31,0))</f>
        <v>休士頓太空人</v>
      </c>
      <c r="M231" s="11" t="n">
        <f aca="false">IF($C231="打者",COUNTIF(打擊成績!$B:$B,$A231),COUNTIF(投手成績!$B:$B,$A231))</f>
        <v>3</v>
      </c>
    </row>
    <row r="232" customFormat="false" ht="15" hidden="false" customHeight="false" outlineLevel="0" collapsed="false">
      <c r="A232" s="7" t="s">
        <v>937</v>
      </c>
      <c r="B232" s="7" t="s">
        <v>938</v>
      </c>
      <c r="C232" s="8" t="s">
        <v>495</v>
      </c>
      <c r="D232" s="7" t="s">
        <v>496</v>
      </c>
      <c r="E232" s="7" t="s">
        <v>174</v>
      </c>
      <c r="F232" s="7" t="s">
        <v>126</v>
      </c>
      <c r="G232" s="9" t="n">
        <v>34760</v>
      </c>
      <c r="H232" s="5" t="n">
        <v>193</v>
      </c>
      <c r="I232" s="5" t="n">
        <v>98</v>
      </c>
      <c r="J232" s="5" t="n">
        <v>2018</v>
      </c>
      <c r="K232" s="7" t="s">
        <v>422</v>
      </c>
      <c r="L232" s="10" t="str">
        <f aca="false">INDEX(球隊主檔!$C$2:$C$31,MATCH($K232,球隊主檔!$A$2:$A$31,0))</f>
        <v>華盛頓國民</v>
      </c>
      <c r="M232" s="11" t="n">
        <f aca="false">IF($C232="打者",COUNTIF(打擊成績!$B:$B,$A232),COUNTIF(投手成績!$B:$B,$A232))</f>
        <v>3</v>
      </c>
    </row>
    <row r="233" customFormat="false" ht="15" hidden="false" customHeight="false" outlineLevel="0" collapsed="false">
      <c r="A233" s="7" t="s">
        <v>939</v>
      </c>
      <c r="B233" s="7" t="s">
        <v>940</v>
      </c>
      <c r="C233" s="8" t="s">
        <v>495</v>
      </c>
      <c r="D233" s="7" t="s">
        <v>496</v>
      </c>
      <c r="E233" s="7" t="s">
        <v>126</v>
      </c>
      <c r="F233" s="7" t="s">
        <v>126</v>
      </c>
      <c r="G233" s="9" t="n">
        <v>34542</v>
      </c>
      <c r="H233" s="5" t="n">
        <v>181</v>
      </c>
      <c r="I233" s="5" t="n">
        <v>93</v>
      </c>
      <c r="J233" s="5" t="n">
        <v>2019</v>
      </c>
      <c r="K233" s="7" t="s">
        <v>388</v>
      </c>
      <c r="L233" s="10" t="str">
        <f aca="false">INDEX(球隊主檔!$C$2:$C$31,MATCH($K233,球隊主檔!$A$2:$A$31,0))</f>
        <v>休士頓太空人</v>
      </c>
      <c r="M233" s="11" t="n">
        <f aca="false">IF($C233="打者",COUNTIF(打擊成績!$B:$B,$A233),COUNTIF(投手成績!$B:$B,$A233))</f>
        <v>2</v>
      </c>
    </row>
    <row r="234" customFormat="false" ht="15" hidden="false" customHeight="false" outlineLevel="0" collapsed="false">
      <c r="A234" s="7" t="s">
        <v>941</v>
      </c>
      <c r="B234" s="7" t="s">
        <v>942</v>
      </c>
      <c r="C234" s="8" t="s">
        <v>495</v>
      </c>
      <c r="D234" s="7" t="s">
        <v>496</v>
      </c>
      <c r="E234" s="7" t="s">
        <v>174</v>
      </c>
      <c r="F234" s="7" t="s">
        <v>126</v>
      </c>
      <c r="G234" s="9" t="n">
        <v>35807</v>
      </c>
      <c r="H234" s="5" t="n">
        <v>200</v>
      </c>
      <c r="I234" s="5" t="n">
        <v>98</v>
      </c>
      <c r="J234" s="5" t="n">
        <v>2023</v>
      </c>
      <c r="K234" s="7" t="s">
        <v>388</v>
      </c>
      <c r="L234" s="10" t="str">
        <f aca="false">INDEX(球隊主檔!$C$2:$C$31,MATCH($K234,球隊主檔!$A$2:$A$31,0))</f>
        <v>休士頓太空人</v>
      </c>
      <c r="M234" s="11" t="n">
        <f aca="false">IF($C234="打者",COUNTIF(打擊成績!$B:$B,$A234),COUNTIF(投手成績!$B:$B,$A234))</f>
        <v>3</v>
      </c>
    </row>
    <row r="235" customFormat="false" ht="15" hidden="false" customHeight="false" outlineLevel="0" collapsed="false">
      <c r="A235" s="7" t="s">
        <v>943</v>
      </c>
      <c r="B235" s="7" t="s">
        <v>944</v>
      </c>
      <c r="C235" s="8" t="s">
        <v>495</v>
      </c>
      <c r="D235" s="7" t="s">
        <v>496</v>
      </c>
      <c r="E235" s="7" t="s">
        <v>152</v>
      </c>
      <c r="F235" s="7" t="s">
        <v>126</v>
      </c>
      <c r="G235" s="9" t="n">
        <v>36601</v>
      </c>
      <c r="H235" s="5" t="n">
        <v>186</v>
      </c>
      <c r="I235" s="5" t="n">
        <v>106</v>
      </c>
      <c r="J235" s="5" t="n">
        <v>2024</v>
      </c>
      <c r="K235" s="7" t="s">
        <v>388</v>
      </c>
      <c r="L235" s="10" t="str">
        <f aca="false">INDEX(球隊主檔!$C$2:$C$31,MATCH($K235,球隊主檔!$A$2:$A$31,0))</f>
        <v>休士頓太空人</v>
      </c>
      <c r="M235" s="11" t="n">
        <f aca="false">IF($C235="打者",COUNTIF(打擊成績!$B:$B,$A235),COUNTIF(投手成績!$B:$B,$A235))</f>
        <v>3</v>
      </c>
    </row>
    <row r="236" customFormat="false" ht="15" hidden="false" customHeight="false" outlineLevel="0" collapsed="false">
      <c r="A236" s="7" t="s">
        <v>945</v>
      </c>
      <c r="B236" s="7" t="s">
        <v>946</v>
      </c>
      <c r="C236" s="8" t="s">
        <v>495</v>
      </c>
      <c r="D236" s="7" t="s">
        <v>496</v>
      </c>
      <c r="E236" s="7" t="s">
        <v>126</v>
      </c>
      <c r="F236" s="7" t="s">
        <v>126</v>
      </c>
      <c r="G236" s="9" t="n">
        <v>35667</v>
      </c>
      <c r="H236" s="5" t="n">
        <v>183</v>
      </c>
      <c r="I236" s="5" t="n">
        <v>96</v>
      </c>
      <c r="J236" s="5" t="n">
        <v>2020</v>
      </c>
      <c r="K236" s="7" t="s">
        <v>388</v>
      </c>
      <c r="L236" s="10" t="str">
        <f aca="false">INDEX(球隊主檔!$C$2:$C$31,MATCH($K236,球隊主檔!$A$2:$A$31,0))</f>
        <v>休士頓太空人</v>
      </c>
      <c r="M236" s="11" t="n">
        <f aca="false">IF($C236="打者",COUNTIF(打擊成績!$B:$B,$A236),COUNTIF(投手成績!$B:$B,$A236))</f>
        <v>3</v>
      </c>
    </row>
    <row r="237" customFormat="false" ht="15" hidden="false" customHeight="false" outlineLevel="0" collapsed="false">
      <c r="A237" s="7" t="s">
        <v>947</v>
      </c>
      <c r="B237" s="7" t="s">
        <v>948</v>
      </c>
      <c r="C237" s="8" t="s">
        <v>495</v>
      </c>
      <c r="D237" s="7" t="s">
        <v>507</v>
      </c>
      <c r="E237" s="7" t="s">
        <v>152</v>
      </c>
      <c r="F237" s="7" t="s">
        <v>152</v>
      </c>
      <c r="G237" s="9" t="n">
        <v>32928</v>
      </c>
      <c r="H237" s="5" t="n">
        <v>186</v>
      </c>
      <c r="I237" s="5" t="n">
        <v>92</v>
      </c>
      <c r="J237" s="5" t="n">
        <v>2015</v>
      </c>
      <c r="K237" s="7" t="s">
        <v>426</v>
      </c>
      <c r="L237" s="10" t="str">
        <f aca="false">INDEX(球隊主檔!$C$2:$C$31,MATCH($K237,球隊主檔!$A$2:$A$31,0))</f>
        <v>芝加哥小熊</v>
      </c>
      <c r="M237" s="11" t="n">
        <f aca="false">IF($C237="打者",COUNTIF(打擊成績!$B:$B,$A237),COUNTIF(投手成績!$B:$B,$A237))</f>
        <v>3</v>
      </c>
    </row>
    <row r="238" customFormat="false" ht="15" hidden="false" customHeight="false" outlineLevel="0" collapsed="false">
      <c r="A238" s="7" t="s">
        <v>949</v>
      </c>
      <c r="B238" s="7" t="s">
        <v>950</v>
      </c>
      <c r="C238" s="8" t="s">
        <v>495</v>
      </c>
      <c r="D238" s="7" t="s">
        <v>507</v>
      </c>
      <c r="E238" s="7" t="s">
        <v>152</v>
      </c>
      <c r="F238" s="7" t="s">
        <v>152</v>
      </c>
      <c r="G238" s="9" t="n">
        <v>33484</v>
      </c>
      <c r="H238" s="5" t="n">
        <v>199</v>
      </c>
      <c r="I238" s="5" t="n">
        <v>82</v>
      </c>
      <c r="J238" s="5" t="n">
        <v>2016</v>
      </c>
      <c r="K238" s="7" t="s">
        <v>388</v>
      </c>
      <c r="L238" s="10" t="str">
        <f aca="false">INDEX(球隊主檔!$C$2:$C$31,MATCH($K238,球隊主檔!$A$2:$A$31,0))</f>
        <v>休士頓太空人</v>
      </c>
      <c r="M238" s="11" t="n">
        <f aca="false">IF($C238="打者",COUNTIF(打擊成績!$B:$B,$A238),COUNTIF(投手成績!$B:$B,$A238))</f>
        <v>3</v>
      </c>
    </row>
    <row r="239" customFormat="false" ht="15" hidden="false" customHeight="false" outlineLevel="0" collapsed="false">
      <c r="A239" s="7" t="s">
        <v>951</v>
      </c>
      <c r="B239" s="7" t="s">
        <v>952</v>
      </c>
      <c r="C239" s="8" t="s">
        <v>495</v>
      </c>
      <c r="D239" s="7" t="s">
        <v>507</v>
      </c>
      <c r="E239" s="7" t="s">
        <v>152</v>
      </c>
      <c r="F239" s="7" t="s">
        <v>152</v>
      </c>
      <c r="G239" s="9" t="n">
        <v>35187</v>
      </c>
      <c r="H239" s="5" t="n">
        <v>200</v>
      </c>
      <c r="I239" s="5" t="n">
        <v>100</v>
      </c>
      <c r="J239" s="5" t="n">
        <v>2018</v>
      </c>
      <c r="K239" s="7" t="s">
        <v>422</v>
      </c>
      <c r="L239" s="10" t="str">
        <f aca="false">INDEX(球隊主檔!$C$2:$C$31,MATCH($K239,球隊主檔!$A$2:$A$31,0))</f>
        <v>華盛頓國民</v>
      </c>
      <c r="M239" s="11" t="n">
        <f aca="false">IF($C239="打者",COUNTIF(打擊成績!$B:$B,$A239),COUNTIF(投手成績!$B:$B,$A239))</f>
        <v>3</v>
      </c>
    </row>
    <row r="240" customFormat="false" ht="15" hidden="false" customHeight="false" outlineLevel="0" collapsed="false">
      <c r="A240" s="7" t="s">
        <v>953</v>
      </c>
      <c r="B240" s="7" t="s">
        <v>954</v>
      </c>
      <c r="C240" s="8" t="s">
        <v>495</v>
      </c>
      <c r="D240" s="7" t="s">
        <v>507</v>
      </c>
      <c r="E240" s="7" t="s">
        <v>126</v>
      </c>
      <c r="F240" s="7" t="s">
        <v>152</v>
      </c>
      <c r="G240" s="9" t="n">
        <v>33034</v>
      </c>
      <c r="H240" s="5" t="n">
        <v>177</v>
      </c>
      <c r="I240" s="5" t="n">
        <v>104</v>
      </c>
      <c r="J240" s="5" t="n">
        <v>2014</v>
      </c>
      <c r="K240" s="7" t="s">
        <v>388</v>
      </c>
      <c r="L240" s="10" t="str">
        <f aca="false">INDEX(球隊主檔!$C$2:$C$31,MATCH($K240,球隊主檔!$A$2:$A$31,0))</f>
        <v>休士頓太空人</v>
      </c>
      <c r="M240" s="11" t="n">
        <f aca="false">IF($C240="打者",COUNTIF(打擊成績!$B:$B,$A240),COUNTIF(投手成績!$B:$B,$A240))</f>
        <v>1</v>
      </c>
    </row>
    <row r="241" customFormat="false" ht="15" hidden="false" customHeight="false" outlineLevel="0" collapsed="false">
      <c r="A241" s="7" t="s">
        <v>955</v>
      </c>
      <c r="B241" s="7" t="s">
        <v>956</v>
      </c>
      <c r="C241" s="8" t="s">
        <v>495</v>
      </c>
      <c r="D241" s="7" t="s">
        <v>507</v>
      </c>
      <c r="E241" s="7" t="s">
        <v>152</v>
      </c>
      <c r="F241" s="7" t="s">
        <v>152</v>
      </c>
      <c r="G241" s="9" t="n">
        <v>36937</v>
      </c>
      <c r="H241" s="5" t="n">
        <v>177</v>
      </c>
      <c r="I241" s="5" t="n">
        <v>83</v>
      </c>
      <c r="J241" s="5" t="n">
        <v>2021</v>
      </c>
      <c r="K241" s="7" t="s">
        <v>388</v>
      </c>
      <c r="L241" s="10" t="str">
        <f aca="false">INDEX(球隊主檔!$C$2:$C$31,MATCH($K241,球隊主檔!$A$2:$A$31,0))</f>
        <v>休士頓太空人</v>
      </c>
      <c r="M241" s="11" t="n">
        <f aca="false">IF($C241="打者",COUNTIF(打擊成績!$B:$B,$A241),COUNTIF(投手成績!$B:$B,$A241))</f>
        <v>3</v>
      </c>
    </row>
    <row r="242" customFormat="false" ht="15" hidden="false" customHeight="false" outlineLevel="0" collapsed="false">
      <c r="A242" s="7" t="s">
        <v>957</v>
      </c>
      <c r="B242" s="7" t="s">
        <v>958</v>
      </c>
      <c r="C242" s="8" t="s">
        <v>469</v>
      </c>
      <c r="D242" s="7" t="s">
        <v>473</v>
      </c>
      <c r="E242" s="7" t="s">
        <v>126</v>
      </c>
      <c r="F242" s="7" t="s">
        <v>152</v>
      </c>
      <c r="G242" s="9" t="n">
        <v>35097</v>
      </c>
      <c r="H242" s="5" t="n">
        <v>175</v>
      </c>
      <c r="I242" s="5" t="n">
        <v>85</v>
      </c>
      <c r="J242" s="5" t="n">
        <v>2020</v>
      </c>
      <c r="K242" s="7" t="s">
        <v>392</v>
      </c>
      <c r="L242" s="10" t="str">
        <f aca="false">INDEX(球隊主檔!$C$2:$C$31,MATCH($K242,球隊主檔!$A$2:$A$31,0))</f>
        <v>洛杉磯天使</v>
      </c>
      <c r="M242" s="11" t="n">
        <f aca="false">IF($C242="打者",COUNTIF(打擊成績!$B:$B,$A242),COUNTIF(投手成績!$B:$B,$A242))</f>
        <v>3</v>
      </c>
    </row>
    <row r="243" customFormat="false" ht="15" hidden="false" customHeight="false" outlineLevel="0" collapsed="false">
      <c r="A243" s="7" t="s">
        <v>959</v>
      </c>
      <c r="B243" s="7" t="s">
        <v>960</v>
      </c>
      <c r="C243" s="8" t="s">
        <v>469</v>
      </c>
      <c r="D243" s="7" t="s">
        <v>483</v>
      </c>
      <c r="E243" s="7" t="s">
        <v>152</v>
      </c>
      <c r="F243" s="7" t="s">
        <v>126</v>
      </c>
      <c r="G243" s="9" t="n">
        <v>35835</v>
      </c>
      <c r="H243" s="5" t="n">
        <v>177</v>
      </c>
      <c r="I243" s="5" t="n">
        <v>89</v>
      </c>
      <c r="J243" s="5" t="n">
        <v>2023</v>
      </c>
      <c r="K243" s="7" t="s">
        <v>446</v>
      </c>
      <c r="L243" s="10" t="str">
        <f aca="false">INDEX(球隊主檔!$C$2:$C$31,MATCH($K243,球隊主檔!$A$2:$A$31,0))</f>
        <v>亞利桑那響尾蛇</v>
      </c>
      <c r="M243" s="11" t="n">
        <f aca="false">IF($C243="打者",COUNTIF(打擊成績!$B:$B,$A243),COUNTIF(投手成績!$B:$B,$A243))</f>
        <v>3</v>
      </c>
    </row>
    <row r="244" customFormat="false" ht="15" hidden="false" customHeight="false" outlineLevel="0" collapsed="false">
      <c r="A244" s="7" t="s">
        <v>961</v>
      </c>
      <c r="B244" s="7" t="s">
        <v>962</v>
      </c>
      <c r="C244" s="8" t="s">
        <v>469</v>
      </c>
      <c r="D244" s="7" t="s">
        <v>522</v>
      </c>
      <c r="E244" s="7" t="s">
        <v>126</v>
      </c>
      <c r="F244" s="7" t="s">
        <v>152</v>
      </c>
      <c r="G244" s="9" t="n">
        <v>34531</v>
      </c>
      <c r="H244" s="5" t="n">
        <v>197</v>
      </c>
      <c r="I244" s="5" t="n">
        <v>84</v>
      </c>
      <c r="J244" s="5" t="n">
        <v>2017</v>
      </c>
      <c r="K244" s="7" t="s">
        <v>392</v>
      </c>
      <c r="L244" s="10" t="str">
        <f aca="false">INDEX(球隊主檔!$C$2:$C$31,MATCH($K244,球隊主檔!$A$2:$A$31,0))</f>
        <v>洛杉磯天使</v>
      </c>
      <c r="M244" s="11" t="n">
        <f aca="false">IF($C244="打者",COUNTIF(打擊成績!$B:$B,$A244),COUNTIF(投手成績!$B:$B,$A244))</f>
        <v>3</v>
      </c>
    </row>
    <row r="245" customFormat="false" ht="15" hidden="false" customHeight="false" outlineLevel="0" collapsed="false">
      <c r="A245" s="7" t="s">
        <v>963</v>
      </c>
      <c r="B245" s="7" t="s">
        <v>964</v>
      </c>
      <c r="C245" s="8" t="s">
        <v>469</v>
      </c>
      <c r="D245" s="7" t="s">
        <v>478</v>
      </c>
      <c r="E245" s="7" t="s">
        <v>152</v>
      </c>
      <c r="F245" s="7" t="s">
        <v>152</v>
      </c>
      <c r="G245" s="9" t="n">
        <v>36563</v>
      </c>
      <c r="H245" s="5" t="n">
        <v>189</v>
      </c>
      <c r="I245" s="5" t="n">
        <v>96</v>
      </c>
      <c r="J245" s="5" t="n">
        <v>2024</v>
      </c>
      <c r="K245" s="7" t="s">
        <v>410</v>
      </c>
      <c r="L245" s="10" t="str">
        <f aca="false">INDEX(球隊主檔!$C$2:$C$31,MATCH($K245,球隊主檔!$A$2:$A$31,0))</f>
        <v>邁阿密馬林魚</v>
      </c>
      <c r="M245" s="11" t="n">
        <f aca="false">IF($C245="打者",COUNTIF(打擊成績!$B:$B,$A245),COUNTIF(投手成績!$B:$B,$A245))</f>
        <v>3</v>
      </c>
    </row>
    <row r="246" customFormat="false" ht="15" hidden="false" customHeight="false" outlineLevel="0" collapsed="false">
      <c r="A246" s="7" t="s">
        <v>965</v>
      </c>
      <c r="B246" s="7" t="s">
        <v>966</v>
      </c>
      <c r="C246" s="8" t="s">
        <v>469</v>
      </c>
      <c r="D246" s="7" t="s">
        <v>470</v>
      </c>
      <c r="E246" s="7" t="s">
        <v>152</v>
      </c>
      <c r="F246" s="7" t="s">
        <v>126</v>
      </c>
      <c r="G246" s="9" t="n">
        <v>35108</v>
      </c>
      <c r="H246" s="5" t="n">
        <v>185</v>
      </c>
      <c r="I246" s="5" t="n">
        <v>108</v>
      </c>
      <c r="J246" s="5" t="n">
        <v>2020</v>
      </c>
      <c r="K246" s="7" t="s">
        <v>392</v>
      </c>
      <c r="L246" s="10" t="str">
        <f aca="false">INDEX(球隊主檔!$C$2:$C$31,MATCH($K246,球隊主檔!$A$2:$A$31,0))</f>
        <v>洛杉磯天使</v>
      </c>
      <c r="M246" s="11" t="n">
        <f aca="false">IF($C246="打者",COUNTIF(打擊成績!$B:$B,$A246),COUNTIF(投手成績!$B:$B,$A246))</f>
        <v>1</v>
      </c>
    </row>
    <row r="247" customFormat="false" ht="15" hidden="false" customHeight="false" outlineLevel="0" collapsed="false">
      <c r="A247" s="7" t="s">
        <v>967</v>
      </c>
      <c r="B247" s="7" t="s">
        <v>968</v>
      </c>
      <c r="C247" s="8" t="s">
        <v>469</v>
      </c>
      <c r="D247" s="7" t="s">
        <v>473</v>
      </c>
      <c r="E247" s="7" t="s">
        <v>126</v>
      </c>
      <c r="F247" s="7" t="s">
        <v>152</v>
      </c>
      <c r="G247" s="9" t="n">
        <v>36043</v>
      </c>
      <c r="H247" s="5" t="n">
        <v>179</v>
      </c>
      <c r="I247" s="5" t="n">
        <v>92</v>
      </c>
      <c r="J247" s="5" t="n">
        <v>2018</v>
      </c>
      <c r="K247" s="7" t="s">
        <v>434</v>
      </c>
      <c r="L247" s="10" t="str">
        <f aca="false">INDEX(球隊主檔!$C$2:$C$31,MATCH($K247,球隊主檔!$A$2:$A$31,0))</f>
        <v>密爾瓦基釀酒人</v>
      </c>
      <c r="M247" s="11" t="n">
        <f aca="false">IF($C247="打者",COUNTIF(打擊成績!$B:$B,$A247),COUNTIF(投手成績!$B:$B,$A247))</f>
        <v>3</v>
      </c>
    </row>
    <row r="248" customFormat="false" ht="15" hidden="false" customHeight="false" outlineLevel="0" collapsed="false">
      <c r="A248" s="7" t="s">
        <v>969</v>
      </c>
      <c r="B248" s="7" t="s">
        <v>970</v>
      </c>
      <c r="C248" s="8" t="s">
        <v>469</v>
      </c>
      <c r="D248" s="7" t="s">
        <v>63</v>
      </c>
      <c r="E248" s="7" t="s">
        <v>152</v>
      </c>
      <c r="F248" s="7" t="s">
        <v>152</v>
      </c>
      <c r="G248" s="9" t="n">
        <v>36804</v>
      </c>
      <c r="H248" s="5" t="n">
        <v>198</v>
      </c>
      <c r="I248" s="5" t="n">
        <v>93</v>
      </c>
      <c r="J248" s="5" t="n">
        <v>2024</v>
      </c>
      <c r="K248" s="7" t="s">
        <v>392</v>
      </c>
      <c r="L248" s="10" t="str">
        <f aca="false">INDEX(球隊主檔!$C$2:$C$31,MATCH($K248,球隊主檔!$A$2:$A$31,0))</f>
        <v>洛杉磯天使</v>
      </c>
      <c r="M248" s="11" t="n">
        <f aca="false">IF($C248="打者",COUNTIF(打擊成績!$B:$B,$A248),COUNTIF(投手成績!$B:$B,$A248))</f>
        <v>3</v>
      </c>
    </row>
    <row r="249" customFormat="false" ht="15" hidden="false" customHeight="false" outlineLevel="0" collapsed="false">
      <c r="A249" s="7" t="s">
        <v>971</v>
      </c>
      <c r="B249" s="7" t="s">
        <v>972</v>
      </c>
      <c r="C249" s="8" t="s">
        <v>469</v>
      </c>
      <c r="D249" s="7" t="s">
        <v>486</v>
      </c>
      <c r="E249" s="7" t="s">
        <v>174</v>
      </c>
      <c r="F249" s="7" t="s">
        <v>152</v>
      </c>
      <c r="G249" s="9" t="n">
        <v>34906</v>
      </c>
      <c r="H249" s="5" t="n">
        <v>176</v>
      </c>
      <c r="I249" s="5" t="n">
        <v>90</v>
      </c>
      <c r="J249" s="5" t="n">
        <v>2016</v>
      </c>
      <c r="K249" s="7" t="s">
        <v>392</v>
      </c>
      <c r="L249" s="10" t="str">
        <f aca="false">INDEX(球隊主檔!$C$2:$C$31,MATCH($K249,球隊主檔!$A$2:$A$31,0))</f>
        <v>洛杉磯天使</v>
      </c>
      <c r="M249" s="11" t="n">
        <f aca="false">IF($C249="打者",COUNTIF(打擊成績!$B:$B,$A249),COUNTIF(投手成績!$B:$B,$A249))</f>
        <v>3</v>
      </c>
    </row>
    <row r="250" customFormat="false" ht="15" hidden="false" customHeight="false" outlineLevel="0" collapsed="false">
      <c r="A250" s="7" t="s">
        <v>973</v>
      </c>
      <c r="B250" s="7" t="s">
        <v>974</v>
      </c>
      <c r="C250" s="8" t="s">
        <v>469</v>
      </c>
      <c r="D250" s="7" t="s">
        <v>470</v>
      </c>
      <c r="E250" s="7" t="s">
        <v>126</v>
      </c>
      <c r="F250" s="7" t="s">
        <v>126</v>
      </c>
      <c r="G250" s="9" t="n">
        <v>36096</v>
      </c>
      <c r="H250" s="5" t="n">
        <v>198</v>
      </c>
      <c r="I250" s="5" t="n">
        <v>110</v>
      </c>
      <c r="J250" s="5" t="n">
        <v>2019</v>
      </c>
      <c r="K250" s="7" t="s">
        <v>392</v>
      </c>
      <c r="L250" s="10" t="str">
        <f aca="false">INDEX(球隊主檔!$C$2:$C$31,MATCH($K250,球隊主檔!$A$2:$A$31,0))</f>
        <v>洛杉磯天使</v>
      </c>
      <c r="M250" s="11" t="n">
        <f aca="false">IF($C250="打者",COUNTIF(打擊成績!$B:$B,$A250),COUNTIF(投手成績!$B:$B,$A250))</f>
        <v>3</v>
      </c>
    </row>
    <row r="251" customFormat="false" ht="15" hidden="false" customHeight="false" outlineLevel="0" collapsed="false">
      <c r="A251" s="7" t="s">
        <v>975</v>
      </c>
      <c r="B251" s="7" t="s">
        <v>976</v>
      </c>
      <c r="C251" s="8" t="s">
        <v>469</v>
      </c>
      <c r="D251" s="7" t="s">
        <v>478</v>
      </c>
      <c r="E251" s="7" t="s">
        <v>152</v>
      </c>
      <c r="F251" s="7" t="s">
        <v>126</v>
      </c>
      <c r="G251" s="9" t="n">
        <v>35988</v>
      </c>
      <c r="H251" s="5" t="n">
        <v>198</v>
      </c>
      <c r="I251" s="5" t="n">
        <v>92</v>
      </c>
      <c r="J251" s="5" t="n">
        <v>2022</v>
      </c>
      <c r="K251" s="7" t="s">
        <v>392</v>
      </c>
      <c r="L251" s="10" t="str">
        <f aca="false">INDEX(球隊主檔!$C$2:$C$31,MATCH($K251,球隊主檔!$A$2:$A$31,0))</f>
        <v>洛杉磯天使</v>
      </c>
      <c r="M251" s="11" t="n">
        <f aca="false">IF($C251="打者",COUNTIF(打擊成績!$B:$B,$A251),COUNTIF(投手成績!$B:$B,$A251))</f>
        <v>3</v>
      </c>
    </row>
    <row r="252" customFormat="false" ht="15" hidden="false" customHeight="false" outlineLevel="0" collapsed="false">
      <c r="A252" s="7" t="s">
        <v>977</v>
      </c>
      <c r="B252" s="7" t="s">
        <v>978</v>
      </c>
      <c r="C252" s="8" t="s">
        <v>495</v>
      </c>
      <c r="D252" s="7" t="s">
        <v>496</v>
      </c>
      <c r="E252" s="7" t="s">
        <v>174</v>
      </c>
      <c r="F252" s="7" t="s">
        <v>152</v>
      </c>
      <c r="G252" s="9" t="n">
        <v>35145</v>
      </c>
      <c r="H252" s="5" t="n">
        <v>198</v>
      </c>
      <c r="I252" s="5" t="n">
        <v>101</v>
      </c>
      <c r="J252" s="5" t="n">
        <v>2017</v>
      </c>
      <c r="K252" s="7" t="s">
        <v>392</v>
      </c>
      <c r="L252" s="10" t="str">
        <f aca="false">INDEX(球隊主檔!$C$2:$C$31,MATCH($K252,球隊主檔!$A$2:$A$31,0))</f>
        <v>洛杉磯天使</v>
      </c>
      <c r="M252" s="11" t="n">
        <f aca="false">IF($C252="打者",COUNTIF(打擊成績!$B:$B,$A252),COUNTIF(投手成績!$B:$B,$A252))</f>
        <v>2</v>
      </c>
    </row>
    <row r="253" customFormat="false" ht="15" hidden="false" customHeight="false" outlineLevel="0" collapsed="false">
      <c r="A253" s="7" t="s">
        <v>979</v>
      </c>
      <c r="B253" s="7" t="s">
        <v>980</v>
      </c>
      <c r="C253" s="8" t="s">
        <v>495</v>
      </c>
      <c r="D253" s="7" t="s">
        <v>496</v>
      </c>
      <c r="E253" s="7" t="s">
        <v>152</v>
      </c>
      <c r="F253" s="7" t="s">
        <v>126</v>
      </c>
      <c r="G253" s="9" t="n">
        <v>36023</v>
      </c>
      <c r="H253" s="5" t="n">
        <v>192</v>
      </c>
      <c r="I253" s="5" t="n">
        <v>79</v>
      </c>
      <c r="J253" s="5" t="n">
        <v>2023</v>
      </c>
      <c r="K253" s="7" t="s">
        <v>392</v>
      </c>
      <c r="L253" s="10" t="str">
        <f aca="false">INDEX(球隊主檔!$C$2:$C$31,MATCH($K253,球隊主檔!$A$2:$A$31,0))</f>
        <v>洛杉磯天使</v>
      </c>
      <c r="M253" s="11" t="n">
        <f aca="false">IF($C253="打者",COUNTIF(打擊成績!$B:$B,$A253),COUNTIF(投手成績!$B:$B,$A253))</f>
        <v>2</v>
      </c>
    </row>
    <row r="254" customFormat="false" ht="15" hidden="false" customHeight="false" outlineLevel="0" collapsed="false">
      <c r="A254" s="7" t="s">
        <v>981</v>
      </c>
      <c r="B254" s="7" t="s">
        <v>982</v>
      </c>
      <c r="C254" s="8" t="s">
        <v>495</v>
      </c>
      <c r="D254" s="7" t="s">
        <v>496</v>
      </c>
      <c r="E254" s="7" t="s">
        <v>152</v>
      </c>
      <c r="F254" s="7" t="s">
        <v>126</v>
      </c>
      <c r="G254" s="9" t="n">
        <v>32936</v>
      </c>
      <c r="H254" s="5" t="n">
        <v>201</v>
      </c>
      <c r="I254" s="5" t="n">
        <v>99</v>
      </c>
      <c r="J254" s="5" t="n">
        <v>2012</v>
      </c>
      <c r="K254" s="7" t="s">
        <v>459</v>
      </c>
      <c r="L254" s="10" t="str">
        <f aca="false">INDEX(球隊主檔!$C$2:$C$31,MATCH($K254,球隊主檔!$A$2:$A$31,0))</f>
        <v>聖地牙哥教士</v>
      </c>
      <c r="M254" s="11" t="n">
        <f aca="false">IF($C254="打者",COUNTIF(打擊成績!$B:$B,$A254),COUNTIF(投手成績!$B:$B,$A254))</f>
        <v>2</v>
      </c>
    </row>
    <row r="255" customFormat="false" ht="15" hidden="false" customHeight="false" outlineLevel="0" collapsed="false">
      <c r="A255" s="7" t="s">
        <v>983</v>
      </c>
      <c r="B255" s="7" t="s">
        <v>984</v>
      </c>
      <c r="C255" s="8" t="s">
        <v>495</v>
      </c>
      <c r="D255" s="7" t="s">
        <v>496</v>
      </c>
      <c r="E255" s="7" t="s">
        <v>152</v>
      </c>
      <c r="F255" s="7" t="s">
        <v>152</v>
      </c>
      <c r="G255" s="9" t="n">
        <v>33092</v>
      </c>
      <c r="H255" s="5" t="n">
        <v>201</v>
      </c>
      <c r="I255" s="5" t="n">
        <v>86</v>
      </c>
      <c r="J255" s="5" t="n">
        <v>2015</v>
      </c>
      <c r="K255" s="7" t="s">
        <v>392</v>
      </c>
      <c r="L255" s="10" t="str">
        <f aca="false">INDEX(球隊主檔!$C$2:$C$31,MATCH($K255,球隊主檔!$A$2:$A$31,0))</f>
        <v>洛杉磯天使</v>
      </c>
      <c r="M255" s="11" t="n">
        <f aca="false">IF($C255="打者",COUNTIF(打擊成績!$B:$B,$A255),COUNTIF(投手成績!$B:$B,$A255))</f>
        <v>2</v>
      </c>
    </row>
    <row r="256" customFormat="false" ht="15" hidden="false" customHeight="false" outlineLevel="0" collapsed="false">
      <c r="A256" s="7" t="s">
        <v>985</v>
      </c>
      <c r="B256" s="7" t="s">
        <v>986</v>
      </c>
      <c r="C256" s="8" t="s">
        <v>495</v>
      </c>
      <c r="D256" s="7" t="s">
        <v>496</v>
      </c>
      <c r="E256" s="7" t="s">
        <v>152</v>
      </c>
      <c r="F256" s="7" t="s">
        <v>126</v>
      </c>
      <c r="G256" s="9" t="n">
        <v>36610</v>
      </c>
      <c r="H256" s="5" t="n">
        <v>179</v>
      </c>
      <c r="I256" s="5" t="n">
        <v>98</v>
      </c>
      <c r="J256" s="5" t="n">
        <v>2024</v>
      </c>
      <c r="K256" s="7" t="s">
        <v>392</v>
      </c>
      <c r="L256" s="10" t="str">
        <f aca="false">INDEX(球隊主檔!$C$2:$C$31,MATCH($K256,球隊主檔!$A$2:$A$31,0))</f>
        <v>洛杉磯天使</v>
      </c>
      <c r="M256" s="11" t="n">
        <f aca="false">IF($C256="打者",COUNTIF(打擊成績!$B:$B,$A256),COUNTIF(投手成績!$B:$B,$A256))</f>
        <v>2</v>
      </c>
    </row>
    <row r="257" customFormat="false" ht="15" hidden="false" customHeight="false" outlineLevel="0" collapsed="false">
      <c r="A257" s="7" t="s">
        <v>987</v>
      </c>
      <c r="B257" s="7" t="s">
        <v>988</v>
      </c>
      <c r="C257" s="8" t="s">
        <v>495</v>
      </c>
      <c r="D257" s="7" t="s">
        <v>507</v>
      </c>
      <c r="E257" s="7" t="s">
        <v>152</v>
      </c>
      <c r="F257" s="7" t="s">
        <v>152</v>
      </c>
      <c r="G257" s="9" t="n">
        <v>36574</v>
      </c>
      <c r="H257" s="5" t="n">
        <v>182</v>
      </c>
      <c r="I257" s="5" t="n">
        <v>99</v>
      </c>
      <c r="J257" s="5" t="n">
        <v>2024</v>
      </c>
      <c r="K257" s="7" t="s">
        <v>459</v>
      </c>
      <c r="L257" s="10" t="str">
        <f aca="false">INDEX(球隊主檔!$C$2:$C$31,MATCH($K257,球隊主檔!$A$2:$A$31,0))</f>
        <v>聖地牙哥教士</v>
      </c>
      <c r="M257" s="11" t="n">
        <f aca="false">IF($C257="打者",COUNTIF(打擊成績!$B:$B,$A257),COUNTIF(投手成績!$B:$B,$A257))</f>
        <v>3</v>
      </c>
    </row>
    <row r="258" customFormat="false" ht="15" hidden="false" customHeight="false" outlineLevel="0" collapsed="false">
      <c r="A258" s="7" t="s">
        <v>989</v>
      </c>
      <c r="B258" s="7" t="s">
        <v>990</v>
      </c>
      <c r="C258" s="8" t="s">
        <v>495</v>
      </c>
      <c r="D258" s="7" t="s">
        <v>507</v>
      </c>
      <c r="E258" s="7" t="s">
        <v>152</v>
      </c>
      <c r="F258" s="7" t="s">
        <v>152</v>
      </c>
      <c r="G258" s="9" t="n">
        <v>34695</v>
      </c>
      <c r="H258" s="5" t="n">
        <v>191</v>
      </c>
      <c r="I258" s="5" t="n">
        <v>90</v>
      </c>
      <c r="J258" s="5" t="n">
        <v>2017</v>
      </c>
      <c r="K258" s="7" t="s">
        <v>392</v>
      </c>
      <c r="L258" s="10" t="str">
        <f aca="false">INDEX(球隊主檔!$C$2:$C$31,MATCH($K258,球隊主檔!$A$2:$A$31,0))</f>
        <v>洛杉磯天使</v>
      </c>
      <c r="M258" s="11" t="n">
        <f aca="false">IF($C258="打者",COUNTIF(打擊成績!$B:$B,$A258),COUNTIF(投手成績!$B:$B,$A258))</f>
        <v>1</v>
      </c>
    </row>
    <row r="259" customFormat="false" ht="15" hidden="false" customHeight="false" outlineLevel="0" collapsed="false">
      <c r="A259" s="7" t="s">
        <v>991</v>
      </c>
      <c r="B259" s="7" t="s">
        <v>992</v>
      </c>
      <c r="C259" s="8" t="s">
        <v>495</v>
      </c>
      <c r="D259" s="7" t="s">
        <v>507</v>
      </c>
      <c r="E259" s="7" t="s">
        <v>152</v>
      </c>
      <c r="F259" s="7" t="s">
        <v>126</v>
      </c>
      <c r="G259" s="9" t="n">
        <v>36152</v>
      </c>
      <c r="H259" s="5" t="n">
        <v>198</v>
      </c>
      <c r="I259" s="5" t="n">
        <v>98</v>
      </c>
      <c r="J259" s="5" t="n">
        <v>2019</v>
      </c>
      <c r="K259" s="7" t="s">
        <v>430</v>
      </c>
      <c r="L259" s="10" t="str">
        <f aca="false">INDEX(球隊主檔!$C$2:$C$31,MATCH($K259,球隊主檔!$A$2:$A$31,0))</f>
        <v>辛辛那提紅人</v>
      </c>
      <c r="M259" s="11" t="n">
        <f aca="false">IF($C259="打者",COUNTIF(打擊成績!$B:$B,$A259),COUNTIF(投手成績!$B:$B,$A259))</f>
        <v>3</v>
      </c>
    </row>
    <row r="260" customFormat="false" ht="15" hidden="false" customHeight="false" outlineLevel="0" collapsed="false">
      <c r="A260" s="7" t="s">
        <v>993</v>
      </c>
      <c r="B260" s="7" t="s">
        <v>994</v>
      </c>
      <c r="C260" s="8" t="s">
        <v>495</v>
      </c>
      <c r="D260" s="7" t="s">
        <v>507</v>
      </c>
      <c r="E260" s="7" t="s">
        <v>152</v>
      </c>
      <c r="F260" s="7" t="s">
        <v>152</v>
      </c>
      <c r="G260" s="9" t="n">
        <v>35319</v>
      </c>
      <c r="H260" s="5" t="n">
        <v>192</v>
      </c>
      <c r="I260" s="5" t="n">
        <v>96</v>
      </c>
      <c r="J260" s="5" t="n">
        <v>2017</v>
      </c>
      <c r="K260" s="7" t="s">
        <v>392</v>
      </c>
      <c r="L260" s="10" t="str">
        <f aca="false">INDEX(球隊主檔!$C$2:$C$31,MATCH($K260,球隊主檔!$A$2:$A$31,0))</f>
        <v>洛杉磯天使</v>
      </c>
      <c r="M260" s="11" t="n">
        <f aca="false">IF($C260="打者",COUNTIF(打擊成績!$B:$B,$A260),COUNTIF(投手成績!$B:$B,$A260))</f>
        <v>3</v>
      </c>
    </row>
    <row r="261" customFormat="false" ht="15" hidden="false" customHeight="false" outlineLevel="0" collapsed="false">
      <c r="A261" s="7" t="s">
        <v>995</v>
      </c>
      <c r="B261" s="7" t="s">
        <v>996</v>
      </c>
      <c r="C261" s="8" t="s">
        <v>495</v>
      </c>
      <c r="D261" s="7" t="s">
        <v>507</v>
      </c>
      <c r="E261" s="7" t="s">
        <v>152</v>
      </c>
      <c r="F261" s="7" t="s">
        <v>152</v>
      </c>
      <c r="G261" s="9" t="n">
        <v>35729</v>
      </c>
      <c r="H261" s="5" t="n">
        <v>185</v>
      </c>
      <c r="I261" s="5" t="n">
        <v>84</v>
      </c>
      <c r="J261" s="5" t="n">
        <v>2021</v>
      </c>
      <c r="K261" s="7" t="s">
        <v>392</v>
      </c>
      <c r="L261" s="10" t="str">
        <f aca="false">INDEX(球隊主檔!$C$2:$C$31,MATCH($K261,球隊主檔!$A$2:$A$31,0))</f>
        <v>洛杉磯天使</v>
      </c>
      <c r="M261" s="11" t="n">
        <f aca="false">IF($C261="打者",COUNTIF(打擊成績!$B:$B,$A261),COUNTIF(投手成績!$B:$B,$A261))</f>
        <v>3</v>
      </c>
    </row>
    <row r="262" customFormat="false" ht="15" hidden="false" customHeight="false" outlineLevel="0" collapsed="false">
      <c r="A262" s="7" t="s">
        <v>997</v>
      </c>
      <c r="B262" s="7" t="s">
        <v>998</v>
      </c>
      <c r="C262" s="8" t="s">
        <v>469</v>
      </c>
      <c r="D262" s="7" t="s">
        <v>522</v>
      </c>
      <c r="E262" s="7" t="s">
        <v>152</v>
      </c>
      <c r="F262" s="7" t="s">
        <v>152</v>
      </c>
      <c r="G262" s="9" t="n">
        <v>35651</v>
      </c>
      <c r="H262" s="5" t="n">
        <v>196</v>
      </c>
      <c r="I262" s="5" t="n">
        <v>100</v>
      </c>
      <c r="J262" s="5" t="n">
        <v>2021</v>
      </c>
      <c r="K262" s="7" t="s">
        <v>396</v>
      </c>
      <c r="L262" s="10" t="str">
        <f aca="false">INDEX(球隊主檔!$C$2:$C$31,MATCH($K262,球隊主檔!$A$2:$A$31,0))</f>
        <v>西雅圖水手</v>
      </c>
      <c r="M262" s="11" t="n">
        <f aca="false">IF($C262="打者",COUNTIF(打擊成績!$B:$B,$A262),COUNTIF(投手成績!$B:$B,$A262))</f>
        <v>3</v>
      </c>
    </row>
    <row r="263" customFormat="false" ht="15" hidden="false" customHeight="false" outlineLevel="0" collapsed="false">
      <c r="A263" s="7" t="s">
        <v>999</v>
      </c>
      <c r="B263" s="7" t="s">
        <v>1000</v>
      </c>
      <c r="C263" s="8" t="s">
        <v>469</v>
      </c>
      <c r="D263" s="7" t="s">
        <v>158</v>
      </c>
      <c r="E263" s="7" t="s">
        <v>152</v>
      </c>
      <c r="F263" s="7" t="s">
        <v>152</v>
      </c>
      <c r="G263" s="9" t="n">
        <v>35607</v>
      </c>
      <c r="H263" s="5" t="n">
        <v>186</v>
      </c>
      <c r="I263" s="5" t="n">
        <v>80</v>
      </c>
      <c r="J263" s="5" t="n">
        <v>2020</v>
      </c>
      <c r="K263" s="7" t="s">
        <v>396</v>
      </c>
      <c r="L263" s="10" t="str">
        <f aca="false">INDEX(球隊主檔!$C$2:$C$31,MATCH($K263,球隊主檔!$A$2:$A$31,0))</f>
        <v>西雅圖水手</v>
      </c>
      <c r="M263" s="11" t="n">
        <f aca="false">IF($C263="打者",COUNTIF(打擊成績!$B:$B,$A263),COUNTIF(投手成績!$B:$B,$A263))</f>
        <v>3</v>
      </c>
    </row>
    <row r="264" customFormat="false" ht="15" hidden="false" customHeight="false" outlineLevel="0" collapsed="false">
      <c r="A264" s="7" t="s">
        <v>1001</v>
      </c>
      <c r="B264" s="7" t="s">
        <v>1002</v>
      </c>
      <c r="C264" s="8" t="s">
        <v>469</v>
      </c>
      <c r="D264" s="7" t="s">
        <v>486</v>
      </c>
      <c r="E264" s="7" t="s">
        <v>126</v>
      </c>
      <c r="F264" s="7" t="s">
        <v>152</v>
      </c>
      <c r="G264" s="9" t="n">
        <v>34346</v>
      </c>
      <c r="H264" s="5" t="n">
        <v>188</v>
      </c>
      <c r="I264" s="5" t="n">
        <v>88</v>
      </c>
      <c r="J264" s="5" t="n">
        <v>2018</v>
      </c>
      <c r="K264" s="7" t="s">
        <v>396</v>
      </c>
      <c r="L264" s="10" t="str">
        <f aca="false">INDEX(球隊主檔!$C$2:$C$31,MATCH($K264,球隊主檔!$A$2:$A$31,0))</f>
        <v>西雅圖水手</v>
      </c>
      <c r="M264" s="11" t="n">
        <f aca="false">IF($C264="打者",COUNTIF(打擊成績!$B:$B,$A264),COUNTIF(投手成績!$B:$B,$A264))</f>
        <v>2</v>
      </c>
    </row>
    <row r="265" customFormat="false" ht="15" hidden="false" customHeight="false" outlineLevel="0" collapsed="false">
      <c r="A265" s="7" t="s">
        <v>1003</v>
      </c>
      <c r="B265" s="7" t="s">
        <v>1004</v>
      </c>
      <c r="C265" s="8" t="s">
        <v>469</v>
      </c>
      <c r="D265" s="7" t="s">
        <v>470</v>
      </c>
      <c r="E265" s="7" t="s">
        <v>126</v>
      </c>
      <c r="F265" s="7" t="s">
        <v>152</v>
      </c>
      <c r="G265" s="9" t="n">
        <v>35601</v>
      </c>
      <c r="H265" s="5" t="n">
        <v>184</v>
      </c>
      <c r="I265" s="5" t="n">
        <v>84</v>
      </c>
      <c r="J265" s="5" t="n">
        <v>2017</v>
      </c>
      <c r="K265" s="7" t="s">
        <v>396</v>
      </c>
      <c r="L265" s="10" t="str">
        <f aca="false">INDEX(球隊主檔!$C$2:$C$31,MATCH($K265,球隊主檔!$A$2:$A$31,0))</f>
        <v>西雅圖水手</v>
      </c>
      <c r="M265" s="11" t="n">
        <f aca="false">IF($C265="打者",COUNTIF(打擊成績!$B:$B,$A265),COUNTIF(投手成績!$B:$B,$A265))</f>
        <v>3</v>
      </c>
    </row>
    <row r="266" customFormat="false" ht="15" hidden="false" customHeight="false" outlineLevel="0" collapsed="false">
      <c r="A266" s="7" t="s">
        <v>1005</v>
      </c>
      <c r="B266" s="7" t="s">
        <v>1006</v>
      </c>
      <c r="C266" s="8" t="s">
        <v>469</v>
      </c>
      <c r="D266" s="7" t="s">
        <v>473</v>
      </c>
      <c r="E266" s="7" t="s">
        <v>152</v>
      </c>
      <c r="F266" s="7" t="s">
        <v>126</v>
      </c>
      <c r="G266" s="9" t="n">
        <v>35687</v>
      </c>
      <c r="H266" s="5" t="n">
        <v>193</v>
      </c>
      <c r="I266" s="5" t="n">
        <v>91</v>
      </c>
      <c r="J266" s="5" t="n">
        <v>2020</v>
      </c>
      <c r="K266" s="7" t="s">
        <v>396</v>
      </c>
      <c r="L266" s="10" t="str">
        <f aca="false">INDEX(球隊主檔!$C$2:$C$31,MATCH($K266,球隊主檔!$A$2:$A$31,0))</f>
        <v>西雅圖水手</v>
      </c>
      <c r="M266" s="11" t="n">
        <f aca="false">IF($C266="打者",COUNTIF(打擊成績!$B:$B,$A266),COUNTIF(投手成績!$B:$B,$A266))</f>
        <v>1</v>
      </c>
    </row>
    <row r="267" customFormat="false" ht="15" hidden="false" customHeight="false" outlineLevel="0" collapsed="false">
      <c r="A267" s="7" t="s">
        <v>1007</v>
      </c>
      <c r="B267" s="7" t="s">
        <v>1008</v>
      </c>
      <c r="C267" s="8" t="s">
        <v>469</v>
      </c>
      <c r="D267" s="7" t="s">
        <v>63</v>
      </c>
      <c r="E267" s="7" t="s">
        <v>174</v>
      </c>
      <c r="F267" s="7" t="s">
        <v>152</v>
      </c>
      <c r="G267" s="9" t="n">
        <v>35714</v>
      </c>
      <c r="H267" s="5" t="n">
        <v>177</v>
      </c>
      <c r="I267" s="5" t="n">
        <v>89</v>
      </c>
      <c r="J267" s="5" t="n">
        <v>2022</v>
      </c>
      <c r="K267" s="7" t="s">
        <v>396</v>
      </c>
      <c r="L267" s="10" t="str">
        <f aca="false">INDEX(球隊主檔!$C$2:$C$31,MATCH($K267,球隊主檔!$A$2:$A$31,0))</f>
        <v>西雅圖水手</v>
      </c>
      <c r="M267" s="11" t="n">
        <f aca="false">IF($C267="打者",COUNTIF(打擊成績!$B:$B,$A267),COUNTIF(投手成績!$B:$B,$A267))</f>
        <v>3</v>
      </c>
    </row>
    <row r="268" customFormat="false" ht="15" hidden="false" customHeight="false" outlineLevel="0" collapsed="false">
      <c r="A268" s="7" t="s">
        <v>1009</v>
      </c>
      <c r="B268" s="7" t="s">
        <v>1010</v>
      </c>
      <c r="C268" s="8" t="s">
        <v>469</v>
      </c>
      <c r="D268" s="7" t="s">
        <v>483</v>
      </c>
      <c r="E268" s="7" t="s">
        <v>152</v>
      </c>
      <c r="F268" s="7" t="s">
        <v>126</v>
      </c>
      <c r="G268" s="9" t="n">
        <v>36284</v>
      </c>
      <c r="H268" s="5" t="n">
        <v>177</v>
      </c>
      <c r="I268" s="5" t="n">
        <v>103</v>
      </c>
      <c r="J268" s="5" t="n">
        <v>2022</v>
      </c>
      <c r="K268" s="7" t="s">
        <v>396</v>
      </c>
      <c r="L268" s="10" t="str">
        <f aca="false">INDEX(球隊主檔!$C$2:$C$31,MATCH($K268,球隊主檔!$A$2:$A$31,0))</f>
        <v>西雅圖水手</v>
      </c>
      <c r="M268" s="11" t="n">
        <f aca="false">IF($C268="打者",COUNTIF(打擊成績!$B:$B,$A268),COUNTIF(投手成績!$B:$B,$A268))</f>
        <v>3</v>
      </c>
    </row>
    <row r="269" customFormat="false" ht="15" hidden="false" customHeight="false" outlineLevel="0" collapsed="false">
      <c r="A269" s="7" t="s">
        <v>1011</v>
      </c>
      <c r="B269" s="7" t="s">
        <v>1012</v>
      </c>
      <c r="C269" s="8" t="s">
        <v>469</v>
      </c>
      <c r="D269" s="7" t="s">
        <v>470</v>
      </c>
      <c r="E269" s="7" t="s">
        <v>174</v>
      </c>
      <c r="F269" s="7" t="s">
        <v>126</v>
      </c>
      <c r="G269" s="9" t="n">
        <v>36149</v>
      </c>
      <c r="H269" s="5" t="n">
        <v>195</v>
      </c>
      <c r="I269" s="5" t="n">
        <v>107</v>
      </c>
      <c r="J269" s="5" t="n">
        <v>2022</v>
      </c>
      <c r="K269" s="7" t="s">
        <v>396</v>
      </c>
      <c r="L269" s="10" t="str">
        <f aca="false">INDEX(球隊主檔!$C$2:$C$31,MATCH($K269,球隊主檔!$A$2:$A$31,0))</f>
        <v>西雅圖水手</v>
      </c>
      <c r="M269" s="11" t="n">
        <f aca="false">IF($C269="打者",COUNTIF(打擊成績!$B:$B,$A269),COUNTIF(投手成績!$B:$B,$A269))</f>
        <v>2</v>
      </c>
    </row>
    <row r="270" customFormat="false" ht="15" hidden="false" customHeight="false" outlineLevel="0" collapsed="false">
      <c r="A270" s="7" t="s">
        <v>1013</v>
      </c>
      <c r="B270" s="7" t="s">
        <v>1014</v>
      </c>
      <c r="C270" s="8" t="s">
        <v>469</v>
      </c>
      <c r="D270" s="7" t="s">
        <v>522</v>
      </c>
      <c r="E270" s="7" t="s">
        <v>152</v>
      </c>
      <c r="F270" s="7" t="s">
        <v>126</v>
      </c>
      <c r="G270" s="9" t="n">
        <v>35051</v>
      </c>
      <c r="H270" s="5" t="n">
        <v>190</v>
      </c>
      <c r="I270" s="5" t="n">
        <v>85</v>
      </c>
      <c r="J270" s="5" t="n">
        <v>2016</v>
      </c>
      <c r="K270" s="7" t="s">
        <v>396</v>
      </c>
      <c r="L270" s="10" t="str">
        <f aca="false">INDEX(球隊主檔!$C$2:$C$31,MATCH($K270,球隊主檔!$A$2:$A$31,0))</f>
        <v>西雅圖水手</v>
      </c>
      <c r="M270" s="11" t="n">
        <f aca="false">IF($C270="打者",COUNTIF(打擊成績!$B:$B,$A270),COUNTIF(投手成績!$B:$B,$A270))</f>
        <v>3</v>
      </c>
    </row>
    <row r="271" customFormat="false" ht="15" hidden="false" customHeight="false" outlineLevel="0" collapsed="false">
      <c r="A271" s="7" t="s">
        <v>1015</v>
      </c>
      <c r="B271" s="7" t="s">
        <v>1016</v>
      </c>
      <c r="C271" s="8" t="s">
        <v>469</v>
      </c>
      <c r="D271" s="7" t="s">
        <v>478</v>
      </c>
      <c r="E271" s="7" t="s">
        <v>152</v>
      </c>
      <c r="F271" s="7" t="s">
        <v>152</v>
      </c>
      <c r="G271" s="9" t="n">
        <v>35512</v>
      </c>
      <c r="H271" s="5" t="n">
        <v>185</v>
      </c>
      <c r="I271" s="5" t="n">
        <v>85</v>
      </c>
      <c r="J271" s="5" t="n">
        <v>2018</v>
      </c>
      <c r="K271" s="7" t="s">
        <v>396</v>
      </c>
      <c r="L271" s="10" t="str">
        <f aca="false">INDEX(球隊主檔!$C$2:$C$31,MATCH($K271,球隊主檔!$A$2:$A$31,0))</f>
        <v>西雅圖水手</v>
      </c>
      <c r="M271" s="11" t="n">
        <f aca="false">IF($C271="打者",COUNTIF(打擊成績!$B:$B,$A271),COUNTIF(投手成績!$B:$B,$A271))</f>
        <v>2</v>
      </c>
    </row>
    <row r="272" customFormat="false" ht="15" hidden="false" customHeight="false" outlineLevel="0" collapsed="false">
      <c r="A272" s="7" t="s">
        <v>1017</v>
      </c>
      <c r="B272" s="7" t="s">
        <v>1018</v>
      </c>
      <c r="C272" s="8" t="s">
        <v>495</v>
      </c>
      <c r="D272" s="7" t="s">
        <v>496</v>
      </c>
      <c r="E272" s="7" t="s">
        <v>152</v>
      </c>
      <c r="F272" s="7" t="s">
        <v>152</v>
      </c>
      <c r="G272" s="9" t="n">
        <v>34469</v>
      </c>
      <c r="H272" s="5" t="n">
        <v>200</v>
      </c>
      <c r="I272" s="5" t="n">
        <v>86</v>
      </c>
      <c r="J272" s="5" t="n">
        <v>2014</v>
      </c>
      <c r="K272" s="7" t="s">
        <v>396</v>
      </c>
      <c r="L272" s="10" t="str">
        <f aca="false">INDEX(球隊主檔!$C$2:$C$31,MATCH($K272,球隊主檔!$A$2:$A$31,0))</f>
        <v>西雅圖水手</v>
      </c>
      <c r="M272" s="11" t="n">
        <f aca="false">IF($C272="打者",COUNTIF(打擊成績!$B:$B,$A272),COUNTIF(投手成績!$B:$B,$A272))</f>
        <v>2</v>
      </c>
    </row>
    <row r="273" customFormat="false" ht="15" hidden="false" customHeight="false" outlineLevel="0" collapsed="false">
      <c r="A273" s="7" t="s">
        <v>1019</v>
      </c>
      <c r="B273" s="7" t="s">
        <v>1020</v>
      </c>
      <c r="C273" s="8" t="s">
        <v>495</v>
      </c>
      <c r="D273" s="7" t="s">
        <v>496</v>
      </c>
      <c r="E273" s="7" t="s">
        <v>152</v>
      </c>
      <c r="F273" s="7" t="s">
        <v>126</v>
      </c>
      <c r="G273" s="9" t="n">
        <v>33831</v>
      </c>
      <c r="H273" s="5" t="n">
        <v>177</v>
      </c>
      <c r="I273" s="5" t="n">
        <v>109</v>
      </c>
      <c r="J273" s="5" t="n">
        <v>2016</v>
      </c>
      <c r="K273" s="7" t="s">
        <v>418</v>
      </c>
      <c r="L273" s="10" t="str">
        <f aca="false">INDEX(球隊主檔!$C$2:$C$31,MATCH($K273,球隊主檔!$A$2:$A$31,0))</f>
        <v>費城費城人</v>
      </c>
      <c r="M273" s="11" t="n">
        <f aca="false">IF($C273="打者",COUNTIF(打擊成績!$B:$B,$A273),COUNTIF(投手成績!$B:$B,$A273))</f>
        <v>3</v>
      </c>
    </row>
    <row r="274" customFormat="false" ht="15" hidden="false" customHeight="false" outlineLevel="0" collapsed="false">
      <c r="A274" s="7" t="s">
        <v>1021</v>
      </c>
      <c r="B274" s="7" t="s">
        <v>1022</v>
      </c>
      <c r="C274" s="8" t="s">
        <v>495</v>
      </c>
      <c r="D274" s="7" t="s">
        <v>496</v>
      </c>
      <c r="E274" s="7" t="s">
        <v>126</v>
      </c>
      <c r="F274" s="7" t="s">
        <v>126</v>
      </c>
      <c r="G274" s="9" t="n">
        <v>36714</v>
      </c>
      <c r="H274" s="5" t="n">
        <v>195</v>
      </c>
      <c r="I274" s="5" t="n">
        <v>86</v>
      </c>
      <c r="J274" s="5" t="n">
        <v>2023</v>
      </c>
      <c r="K274" s="7" t="s">
        <v>442</v>
      </c>
      <c r="L274" s="10" t="str">
        <f aca="false">INDEX(球隊主檔!$C$2:$C$31,MATCH($K274,球隊主檔!$A$2:$A$31,0))</f>
        <v>聖路易紅雀</v>
      </c>
      <c r="M274" s="11" t="n">
        <f aca="false">IF($C274="打者",COUNTIF(打擊成績!$B:$B,$A274),COUNTIF(投手成績!$B:$B,$A274))</f>
        <v>3</v>
      </c>
    </row>
    <row r="275" customFormat="false" ht="15" hidden="false" customHeight="false" outlineLevel="0" collapsed="false">
      <c r="A275" s="7" t="s">
        <v>1023</v>
      </c>
      <c r="B275" s="7" t="s">
        <v>1024</v>
      </c>
      <c r="C275" s="8" t="s">
        <v>495</v>
      </c>
      <c r="D275" s="7" t="s">
        <v>496</v>
      </c>
      <c r="E275" s="7" t="s">
        <v>152</v>
      </c>
      <c r="F275" s="7" t="s">
        <v>152</v>
      </c>
      <c r="G275" s="9" t="n">
        <v>33989</v>
      </c>
      <c r="H275" s="5" t="n">
        <v>191</v>
      </c>
      <c r="I275" s="5" t="n">
        <v>88</v>
      </c>
      <c r="J275" s="5" t="n">
        <v>2016</v>
      </c>
      <c r="K275" s="7" t="s">
        <v>396</v>
      </c>
      <c r="L275" s="10" t="str">
        <f aca="false">INDEX(球隊主檔!$C$2:$C$31,MATCH($K275,球隊主檔!$A$2:$A$31,0))</f>
        <v>西雅圖水手</v>
      </c>
      <c r="M275" s="11" t="n">
        <f aca="false">IF($C275="打者",COUNTIF(打擊成績!$B:$B,$A275),COUNTIF(投手成績!$B:$B,$A275))</f>
        <v>3</v>
      </c>
    </row>
    <row r="276" customFormat="false" ht="15" hidden="false" customHeight="false" outlineLevel="0" collapsed="false">
      <c r="A276" s="7" t="s">
        <v>1025</v>
      </c>
      <c r="B276" s="7" t="s">
        <v>1026</v>
      </c>
      <c r="C276" s="8" t="s">
        <v>495</v>
      </c>
      <c r="D276" s="7" t="s">
        <v>496</v>
      </c>
      <c r="E276" s="7" t="s">
        <v>126</v>
      </c>
      <c r="F276" s="7" t="s">
        <v>152</v>
      </c>
      <c r="G276" s="9" t="n">
        <v>34530</v>
      </c>
      <c r="H276" s="5" t="n">
        <v>191</v>
      </c>
      <c r="I276" s="5" t="n">
        <v>88</v>
      </c>
      <c r="J276" s="5" t="n">
        <v>2016</v>
      </c>
      <c r="K276" s="7" t="s">
        <v>396</v>
      </c>
      <c r="L276" s="10" t="str">
        <f aca="false">INDEX(球隊主檔!$C$2:$C$31,MATCH($K276,球隊主檔!$A$2:$A$31,0))</f>
        <v>西雅圖水手</v>
      </c>
      <c r="M276" s="11" t="n">
        <f aca="false">IF($C276="打者",COUNTIF(打擊成績!$B:$B,$A276),COUNTIF(投手成績!$B:$B,$A276))</f>
        <v>3</v>
      </c>
    </row>
    <row r="277" customFormat="false" ht="15" hidden="false" customHeight="false" outlineLevel="0" collapsed="false">
      <c r="A277" s="7" t="s">
        <v>1027</v>
      </c>
      <c r="B277" s="7" t="s">
        <v>1028</v>
      </c>
      <c r="C277" s="8" t="s">
        <v>495</v>
      </c>
      <c r="D277" s="7" t="s">
        <v>507</v>
      </c>
      <c r="E277" s="7" t="s">
        <v>152</v>
      </c>
      <c r="F277" s="7" t="s">
        <v>152</v>
      </c>
      <c r="G277" s="9" t="n">
        <v>35274</v>
      </c>
      <c r="H277" s="5" t="n">
        <v>191</v>
      </c>
      <c r="I277" s="5" t="n">
        <v>100</v>
      </c>
      <c r="J277" s="5" t="n">
        <v>2016</v>
      </c>
      <c r="K277" s="7" t="s">
        <v>400</v>
      </c>
      <c r="L277" s="10" t="str">
        <f aca="false">INDEX(球隊主檔!$C$2:$C$31,MATCH($K277,球隊主檔!$A$2:$A$31,0))</f>
        <v>德州遊騎兵</v>
      </c>
      <c r="M277" s="11" t="n">
        <f aca="false">IF($C277="打者",COUNTIF(打擊成績!$B:$B,$A277),COUNTIF(投手成績!$B:$B,$A277))</f>
        <v>3</v>
      </c>
    </row>
    <row r="278" customFormat="false" ht="15" hidden="false" customHeight="false" outlineLevel="0" collapsed="false">
      <c r="A278" s="7" t="s">
        <v>1029</v>
      </c>
      <c r="B278" s="7" t="s">
        <v>1030</v>
      </c>
      <c r="C278" s="8" t="s">
        <v>495</v>
      </c>
      <c r="D278" s="7" t="s">
        <v>507</v>
      </c>
      <c r="E278" s="7" t="s">
        <v>152</v>
      </c>
      <c r="F278" s="7" t="s">
        <v>152</v>
      </c>
      <c r="G278" s="9" t="n">
        <v>35374</v>
      </c>
      <c r="H278" s="5" t="n">
        <v>179</v>
      </c>
      <c r="I278" s="5" t="n">
        <v>94</v>
      </c>
      <c r="J278" s="5" t="n">
        <v>2016</v>
      </c>
      <c r="K278" s="7" t="s">
        <v>396</v>
      </c>
      <c r="L278" s="10" t="str">
        <f aca="false">INDEX(球隊主檔!$C$2:$C$31,MATCH($K278,球隊主檔!$A$2:$A$31,0))</f>
        <v>西雅圖水手</v>
      </c>
      <c r="M278" s="11" t="n">
        <f aca="false">IF($C278="打者",COUNTIF(打擊成績!$B:$B,$A278),COUNTIF(投手成績!$B:$B,$A278))</f>
        <v>1</v>
      </c>
    </row>
    <row r="279" customFormat="false" ht="15" hidden="false" customHeight="false" outlineLevel="0" collapsed="false">
      <c r="A279" s="7" t="s">
        <v>1031</v>
      </c>
      <c r="B279" s="7" t="s">
        <v>1032</v>
      </c>
      <c r="C279" s="8" t="s">
        <v>495</v>
      </c>
      <c r="D279" s="7" t="s">
        <v>507</v>
      </c>
      <c r="E279" s="7" t="s">
        <v>126</v>
      </c>
      <c r="F279" s="7" t="s">
        <v>152</v>
      </c>
      <c r="G279" s="9" t="n">
        <v>35839</v>
      </c>
      <c r="H279" s="5" t="n">
        <v>190</v>
      </c>
      <c r="I279" s="5" t="n">
        <v>83</v>
      </c>
      <c r="J279" s="5" t="n">
        <v>2022</v>
      </c>
      <c r="K279" s="7" t="s">
        <v>396</v>
      </c>
      <c r="L279" s="10" t="str">
        <f aca="false">INDEX(球隊主檔!$C$2:$C$31,MATCH($K279,球隊主檔!$A$2:$A$31,0))</f>
        <v>西雅圖水手</v>
      </c>
      <c r="M279" s="11" t="n">
        <f aca="false">IF($C279="打者",COUNTIF(打擊成績!$B:$B,$A279),COUNTIF(投手成績!$B:$B,$A279))</f>
        <v>3</v>
      </c>
    </row>
    <row r="280" customFormat="false" ht="15" hidden="false" customHeight="false" outlineLevel="0" collapsed="false">
      <c r="A280" s="7" t="s">
        <v>1033</v>
      </c>
      <c r="B280" s="7" t="s">
        <v>1034</v>
      </c>
      <c r="C280" s="8" t="s">
        <v>495</v>
      </c>
      <c r="D280" s="7" t="s">
        <v>507</v>
      </c>
      <c r="E280" s="7" t="s">
        <v>152</v>
      </c>
      <c r="F280" s="7" t="s">
        <v>152</v>
      </c>
      <c r="G280" s="9" t="n">
        <v>35382</v>
      </c>
      <c r="H280" s="5" t="n">
        <v>180</v>
      </c>
      <c r="I280" s="5" t="n">
        <v>112</v>
      </c>
      <c r="J280" s="5" t="n">
        <v>2019</v>
      </c>
      <c r="K280" s="7" t="s">
        <v>396</v>
      </c>
      <c r="L280" s="10" t="str">
        <f aca="false">INDEX(球隊主檔!$C$2:$C$31,MATCH($K280,球隊主檔!$A$2:$A$31,0))</f>
        <v>西雅圖水手</v>
      </c>
      <c r="M280" s="11" t="n">
        <f aca="false">IF($C280="打者",COUNTIF(打擊成績!$B:$B,$A280),COUNTIF(投手成績!$B:$B,$A280))</f>
        <v>1</v>
      </c>
    </row>
    <row r="281" customFormat="false" ht="15" hidden="false" customHeight="false" outlineLevel="0" collapsed="false">
      <c r="A281" s="7" t="s">
        <v>1035</v>
      </c>
      <c r="B281" s="7" t="s">
        <v>1036</v>
      </c>
      <c r="C281" s="8" t="s">
        <v>495</v>
      </c>
      <c r="D281" s="7" t="s">
        <v>507</v>
      </c>
      <c r="E281" s="7" t="s">
        <v>174</v>
      </c>
      <c r="F281" s="7" t="s">
        <v>152</v>
      </c>
      <c r="G281" s="9" t="n">
        <v>32984</v>
      </c>
      <c r="H281" s="5" t="n">
        <v>192</v>
      </c>
      <c r="I281" s="5" t="n">
        <v>90</v>
      </c>
      <c r="J281" s="5" t="n">
        <v>2014</v>
      </c>
      <c r="K281" s="7" t="s">
        <v>396</v>
      </c>
      <c r="L281" s="10" t="str">
        <f aca="false">INDEX(球隊主檔!$C$2:$C$31,MATCH($K281,球隊主檔!$A$2:$A$31,0))</f>
        <v>西雅圖水手</v>
      </c>
      <c r="M281" s="11" t="n">
        <f aca="false">IF($C281="打者",COUNTIF(打擊成績!$B:$B,$A281),COUNTIF(投手成績!$B:$B,$A281))</f>
        <v>1</v>
      </c>
    </row>
    <row r="282" customFormat="false" ht="15" hidden="false" customHeight="false" outlineLevel="0" collapsed="false">
      <c r="A282" s="7" t="s">
        <v>1037</v>
      </c>
      <c r="B282" s="7" t="s">
        <v>1038</v>
      </c>
      <c r="C282" s="8" t="s">
        <v>469</v>
      </c>
      <c r="D282" s="7" t="s">
        <v>162</v>
      </c>
      <c r="E282" s="7" t="s">
        <v>126</v>
      </c>
      <c r="F282" s="7" t="s">
        <v>152</v>
      </c>
      <c r="G282" s="9" t="n">
        <v>36325</v>
      </c>
      <c r="H282" s="5" t="n">
        <v>201</v>
      </c>
      <c r="I282" s="5" t="n">
        <v>108</v>
      </c>
      <c r="J282" s="5" t="n">
        <v>2019</v>
      </c>
      <c r="K282" s="7" t="s">
        <v>400</v>
      </c>
      <c r="L282" s="10" t="str">
        <f aca="false">INDEX(球隊主檔!$C$2:$C$31,MATCH($K282,球隊主檔!$A$2:$A$31,0))</f>
        <v>德州遊騎兵</v>
      </c>
      <c r="M282" s="11" t="n">
        <f aca="false">IF($C282="打者",COUNTIF(打擊成績!$B:$B,$A282),COUNTIF(投手成績!$B:$B,$A282))</f>
        <v>3</v>
      </c>
    </row>
    <row r="283" customFormat="false" ht="15" hidden="false" customHeight="false" outlineLevel="0" collapsed="false">
      <c r="A283" s="7" t="s">
        <v>1039</v>
      </c>
      <c r="B283" s="7" t="s">
        <v>1040</v>
      </c>
      <c r="C283" s="8" t="s">
        <v>469</v>
      </c>
      <c r="D283" s="7" t="s">
        <v>63</v>
      </c>
      <c r="E283" s="7" t="s">
        <v>152</v>
      </c>
      <c r="F283" s="7" t="s">
        <v>126</v>
      </c>
      <c r="G283" s="9" t="n">
        <v>35231</v>
      </c>
      <c r="H283" s="5" t="n">
        <v>200</v>
      </c>
      <c r="I283" s="5" t="n">
        <v>93</v>
      </c>
      <c r="J283" s="5" t="n">
        <v>2018</v>
      </c>
      <c r="K283" s="7" t="s">
        <v>400</v>
      </c>
      <c r="L283" s="10" t="str">
        <f aca="false">INDEX(球隊主檔!$C$2:$C$31,MATCH($K283,球隊主檔!$A$2:$A$31,0))</f>
        <v>德州遊騎兵</v>
      </c>
      <c r="M283" s="11" t="n">
        <f aca="false">IF($C283="打者",COUNTIF(打擊成績!$B:$B,$A283),COUNTIF(投手成績!$B:$B,$A283))</f>
        <v>3</v>
      </c>
    </row>
    <row r="284" customFormat="false" ht="15" hidden="false" customHeight="false" outlineLevel="0" collapsed="false">
      <c r="A284" s="7" t="s">
        <v>1041</v>
      </c>
      <c r="B284" s="7" t="s">
        <v>1042</v>
      </c>
      <c r="C284" s="8" t="s">
        <v>469</v>
      </c>
      <c r="D284" s="7" t="s">
        <v>162</v>
      </c>
      <c r="E284" s="7" t="s">
        <v>152</v>
      </c>
      <c r="F284" s="7" t="s">
        <v>152</v>
      </c>
      <c r="G284" s="9" t="n">
        <v>34234</v>
      </c>
      <c r="H284" s="5" t="n">
        <v>176</v>
      </c>
      <c r="I284" s="5" t="n">
        <v>95</v>
      </c>
      <c r="J284" s="5" t="n">
        <v>2017</v>
      </c>
      <c r="K284" s="7" t="s">
        <v>400</v>
      </c>
      <c r="L284" s="10" t="str">
        <f aca="false">INDEX(球隊主檔!$C$2:$C$31,MATCH($K284,球隊主檔!$A$2:$A$31,0))</f>
        <v>德州遊騎兵</v>
      </c>
      <c r="M284" s="11" t="n">
        <f aca="false">IF($C284="打者",COUNTIF(打擊成績!$B:$B,$A284),COUNTIF(投手成績!$B:$B,$A284))</f>
        <v>3</v>
      </c>
    </row>
    <row r="285" customFormat="false" ht="15" hidden="false" customHeight="false" outlineLevel="0" collapsed="false">
      <c r="A285" s="7" t="s">
        <v>1043</v>
      </c>
      <c r="B285" s="7" t="s">
        <v>1044</v>
      </c>
      <c r="C285" s="8" t="s">
        <v>469</v>
      </c>
      <c r="D285" s="7" t="s">
        <v>478</v>
      </c>
      <c r="E285" s="7" t="s">
        <v>126</v>
      </c>
      <c r="F285" s="7" t="s">
        <v>152</v>
      </c>
      <c r="G285" s="9" t="n">
        <v>35434</v>
      </c>
      <c r="H285" s="5" t="n">
        <v>196</v>
      </c>
      <c r="I285" s="5" t="n">
        <v>98</v>
      </c>
      <c r="J285" s="5" t="n">
        <v>2020</v>
      </c>
      <c r="K285" s="7" t="s">
        <v>400</v>
      </c>
      <c r="L285" s="10" t="str">
        <f aca="false">INDEX(球隊主檔!$C$2:$C$31,MATCH($K285,球隊主檔!$A$2:$A$31,0))</f>
        <v>德州遊騎兵</v>
      </c>
      <c r="M285" s="11" t="n">
        <f aca="false">IF($C285="打者",COUNTIF(打擊成績!$B:$B,$A285),COUNTIF(投手成績!$B:$B,$A285))</f>
        <v>1</v>
      </c>
    </row>
    <row r="286" customFormat="false" ht="15" hidden="false" customHeight="false" outlineLevel="0" collapsed="false">
      <c r="A286" s="7" t="s">
        <v>1045</v>
      </c>
      <c r="B286" s="7" t="s">
        <v>1046</v>
      </c>
      <c r="C286" s="8" t="s">
        <v>469</v>
      </c>
      <c r="D286" s="7" t="s">
        <v>158</v>
      </c>
      <c r="E286" s="7" t="s">
        <v>126</v>
      </c>
      <c r="F286" s="7" t="s">
        <v>152</v>
      </c>
      <c r="G286" s="9" t="n">
        <v>36338</v>
      </c>
      <c r="H286" s="5" t="n">
        <v>194</v>
      </c>
      <c r="I286" s="5" t="n">
        <v>83</v>
      </c>
      <c r="J286" s="5" t="n">
        <v>2023</v>
      </c>
      <c r="K286" s="7" t="s">
        <v>400</v>
      </c>
      <c r="L286" s="10" t="str">
        <f aca="false">INDEX(球隊主檔!$C$2:$C$31,MATCH($K286,球隊主檔!$A$2:$A$31,0))</f>
        <v>德州遊騎兵</v>
      </c>
      <c r="M286" s="11" t="n">
        <f aca="false">IF($C286="打者",COUNTIF(打擊成績!$B:$B,$A286),COUNTIF(投手成績!$B:$B,$A286))</f>
        <v>3</v>
      </c>
    </row>
    <row r="287" customFormat="false" ht="15" hidden="false" customHeight="false" outlineLevel="0" collapsed="false">
      <c r="A287" s="7" t="s">
        <v>1047</v>
      </c>
      <c r="B287" s="7" t="s">
        <v>1048</v>
      </c>
      <c r="C287" s="8" t="s">
        <v>469</v>
      </c>
      <c r="D287" s="7" t="s">
        <v>63</v>
      </c>
      <c r="E287" s="7" t="s">
        <v>152</v>
      </c>
      <c r="F287" s="7" t="s">
        <v>152</v>
      </c>
      <c r="G287" s="9" t="n">
        <v>34648</v>
      </c>
      <c r="H287" s="5" t="n">
        <v>192</v>
      </c>
      <c r="I287" s="5" t="n">
        <v>110</v>
      </c>
      <c r="J287" s="5" t="n">
        <v>2018</v>
      </c>
      <c r="K287" s="7" t="s">
        <v>414</v>
      </c>
      <c r="L287" s="10" t="str">
        <f aca="false">INDEX(球隊主檔!$C$2:$C$31,MATCH($K287,球隊主檔!$A$2:$A$31,0))</f>
        <v>紐約大都會</v>
      </c>
      <c r="M287" s="11" t="n">
        <f aca="false">IF($C287="打者",COUNTIF(打擊成績!$B:$B,$A287),COUNTIF(投手成績!$B:$B,$A287))</f>
        <v>3</v>
      </c>
    </row>
    <row r="288" customFormat="false" ht="15" hidden="false" customHeight="false" outlineLevel="0" collapsed="false">
      <c r="A288" s="7" t="s">
        <v>1049</v>
      </c>
      <c r="B288" s="7" t="s">
        <v>1050</v>
      </c>
      <c r="C288" s="8" t="s">
        <v>469</v>
      </c>
      <c r="D288" s="7" t="s">
        <v>63</v>
      </c>
      <c r="E288" s="7" t="s">
        <v>174</v>
      </c>
      <c r="F288" s="7" t="s">
        <v>152</v>
      </c>
      <c r="G288" s="9" t="n">
        <v>34139</v>
      </c>
      <c r="H288" s="5" t="n">
        <v>190</v>
      </c>
      <c r="I288" s="5" t="n">
        <v>98</v>
      </c>
      <c r="J288" s="5" t="n">
        <v>2017</v>
      </c>
      <c r="K288" s="7" t="s">
        <v>400</v>
      </c>
      <c r="L288" s="10" t="str">
        <f aca="false">INDEX(球隊主檔!$C$2:$C$31,MATCH($K288,球隊主檔!$A$2:$A$31,0))</f>
        <v>德州遊騎兵</v>
      </c>
      <c r="M288" s="11" t="n">
        <f aca="false">IF($C288="打者",COUNTIF(打擊成績!$B:$B,$A288),COUNTIF(投手成績!$B:$B,$A288))</f>
        <v>3</v>
      </c>
    </row>
    <row r="289" customFormat="false" ht="15" hidden="false" customHeight="false" outlineLevel="0" collapsed="false">
      <c r="A289" s="7" t="s">
        <v>1051</v>
      </c>
      <c r="B289" s="7" t="s">
        <v>1052</v>
      </c>
      <c r="C289" s="8" t="s">
        <v>469</v>
      </c>
      <c r="D289" s="7" t="s">
        <v>478</v>
      </c>
      <c r="E289" s="7" t="s">
        <v>126</v>
      </c>
      <c r="F289" s="7" t="s">
        <v>126</v>
      </c>
      <c r="G289" s="9" t="n">
        <v>33886</v>
      </c>
      <c r="H289" s="5" t="n">
        <v>189</v>
      </c>
      <c r="I289" s="5" t="n">
        <v>80</v>
      </c>
      <c r="J289" s="5" t="n">
        <v>2014</v>
      </c>
      <c r="K289" s="7" t="s">
        <v>400</v>
      </c>
      <c r="L289" s="10" t="str">
        <f aca="false">INDEX(球隊主檔!$C$2:$C$31,MATCH($K289,球隊主檔!$A$2:$A$31,0))</f>
        <v>德州遊騎兵</v>
      </c>
      <c r="M289" s="11" t="n">
        <f aca="false">IF($C289="打者",COUNTIF(打擊成績!$B:$B,$A289),COUNTIF(投手成績!$B:$B,$A289))</f>
        <v>2</v>
      </c>
    </row>
    <row r="290" customFormat="false" ht="15" hidden="false" customHeight="false" outlineLevel="0" collapsed="false">
      <c r="A290" s="7" t="s">
        <v>1053</v>
      </c>
      <c r="B290" s="7" t="s">
        <v>1054</v>
      </c>
      <c r="C290" s="8" t="s">
        <v>469</v>
      </c>
      <c r="D290" s="7" t="s">
        <v>478</v>
      </c>
      <c r="E290" s="7" t="s">
        <v>152</v>
      </c>
      <c r="F290" s="7" t="s">
        <v>152</v>
      </c>
      <c r="G290" s="9" t="n">
        <v>37315</v>
      </c>
      <c r="H290" s="5" t="n">
        <v>185</v>
      </c>
      <c r="I290" s="5" t="n">
        <v>84</v>
      </c>
      <c r="J290" s="5" t="n">
        <v>2023</v>
      </c>
      <c r="K290" s="7" t="s">
        <v>400</v>
      </c>
      <c r="L290" s="10" t="str">
        <f aca="false">INDEX(球隊主檔!$C$2:$C$31,MATCH($K290,球隊主檔!$A$2:$A$31,0))</f>
        <v>德州遊騎兵</v>
      </c>
      <c r="M290" s="11" t="n">
        <f aca="false">IF($C290="打者",COUNTIF(打擊成績!$B:$B,$A290),COUNTIF(投手成績!$B:$B,$A290))</f>
        <v>2</v>
      </c>
    </row>
    <row r="291" customFormat="false" ht="15" hidden="false" customHeight="false" outlineLevel="0" collapsed="false">
      <c r="A291" s="7" t="s">
        <v>1055</v>
      </c>
      <c r="B291" s="7" t="s">
        <v>1056</v>
      </c>
      <c r="C291" s="8" t="s">
        <v>469</v>
      </c>
      <c r="D291" s="7" t="s">
        <v>470</v>
      </c>
      <c r="E291" s="7" t="s">
        <v>152</v>
      </c>
      <c r="F291" s="7" t="s">
        <v>152</v>
      </c>
      <c r="G291" s="9" t="n">
        <v>35223</v>
      </c>
      <c r="H291" s="5" t="n">
        <v>199</v>
      </c>
      <c r="I291" s="5" t="n">
        <v>81</v>
      </c>
      <c r="J291" s="5" t="n">
        <v>2017</v>
      </c>
      <c r="K291" s="7" t="s">
        <v>400</v>
      </c>
      <c r="L291" s="10" t="str">
        <f aca="false">INDEX(球隊主檔!$C$2:$C$31,MATCH($K291,球隊主檔!$A$2:$A$31,0))</f>
        <v>德州遊騎兵</v>
      </c>
      <c r="M291" s="11" t="n">
        <f aca="false">IF($C291="打者",COUNTIF(打擊成績!$B:$B,$A291),COUNTIF(投手成績!$B:$B,$A291))</f>
        <v>2</v>
      </c>
    </row>
    <row r="292" customFormat="false" ht="15" hidden="false" customHeight="false" outlineLevel="0" collapsed="false">
      <c r="A292" s="7" t="s">
        <v>1057</v>
      </c>
      <c r="B292" s="7" t="s">
        <v>1058</v>
      </c>
      <c r="C292" s="8" t="s">
        <v>495</v>
      </c>
      <c r="D292" s="7" t="s">
        <v>496</v>
      </c>
      <c r="E292" s="7" t="s">
        <v>152</v>
      </c>
      <c r="F292" s="7" t="s">
        <v>152</v>
      </c>
      <c r="G292" s="9" t="n">
        <v>34947</v>
      </c>
      <c r="H292" s="5" t="n">
        <v>200</v>
      </c>
      <c r="I292" s="5" t="n">
        <v>89</v>
      </c>
      <c r="J292" s="5" t="n">
        <v>2018</v>
      </c>
      <c r="K292" s="7" t="s">
        <v>400</v>
      </c>
      <c r="L292" s="10" t="str">
        <f aca="false">INDEX(球隊主檔!$C$2:$C$31,MATCH($K292,球隊主檔!$A$2:$A$31,0))</f>
        <v>德州遊騎兵</v>
      </c>
      <c r="M292" s="11" t="n">
        <f aca="false">IF($C292="打者",COUNTIF(打擊成績!$B:$B,$A292),COUNTIF(投手成績!$B:$B,$A292))</f>
        <v>3</v>
      </c>
    </row>
    <row r="293" customFormat="false" ht="15" hidden="false" customHeight="false" outlineLevel="0" collapsed="false">
      <c r="A293" s="7" t="s">
        <v>1059</v>
      </c>
      <c r="B293" s="7" t="s">
        <v>1060</v>
      </c>
      <c r="C293" s="8" t="s">
        <v>495</v>
      </c>
      <c r="D293" s="7" t="s">
        <v>496</v>
      </c>
      <c r="E293" s="7" t="s">
        <v>126</v>
      </c>
      <c r="F293" s="7" t="s">
        <v>126</v>
      </c>
      <c r="G293" s="9" t="n">
        <v>36741</v>
      </c>
      <c r="H293" s="5" t="n">
        <v>187</v>
      </c>
      <c r="I293" s="5" t="n">
        <v>90</v>
      </c>
      <c r="J293" s="5" t="n">
        <v>2024</v>
      </c>
      <c r="K293" s="7" t="s">
        <v>400</v>
      </c>
      <c r="L293" s="10" t="str">
        <f aca="false">INDEX(球隊主檔!$C$2:$C$31,MATCH($K293,球隊主檔!$A$2:$A$31,0))</f>
        <v>德州遊騎兵</v>
      </c>
      <c r="M293" s="11" t="n">
        <f aca="false">IF($C293="打者",COUNTIF(打擊成績!$B:$B,$A293),COUNTIF(投手成績!$B:$B,$A293))</f>
        <v>3</v>
      </c>
    </row>
    <row r="294" customFormat="false" ht="15" hidden="false" customHeight="false" outlineLevel="0" collapsed="false">
      <c r="A294" s="7" t="s">
        <v>1061</v>
      </c>
      <c r="B294" s="7" t="s">
        <v>1062</v>
      </c>
      <c r="C294" s="8" t="s">
        <v>495</v>
      </c>
      <c r="D294" s="7" t="s">
        <v>496</v>
      </c>
      <c r="E294" s="7" t="s">
        <v>126</v>
      </c>
      <c r="F294" s="7" t="s">
        <v>152</v>
      </c>
      <c r="G294" s="9" t="n">
        <v>36742</v>
      </c>
      <c r="H294" s="5" t="n">
        <v>176</v>
      </c>
      <c r="I294" s="5" t="n">
        <v>95</v>
      </c>
      <c r="J294" s="5" t="n">
        <v>2024</v>
      </c>
      <c r="K294" s="7" t="s">
        <v>400</v>
      </c>
      <c r="L294" s="10" t="str">
        <f aca="false">INDEX(球隊主檔!$C$2:$C$31,MATCH($K294,球隊主檔!$A$2:$A$31,0))</f>
        <v>德州遊騎兵</v>
      </c>
      <c r="M294" s="11" t="n">
        <f aca="false">IF($C294="打者",COUNTIF(打擊成績!$B:$B,$A294),COUNTIF(投手成績!$B:$B,$A294))</f>
        <v>3</v>
      </c>
    </row>
    <row r="295" customFormat="false" ht="15" hidden="false" customHeight="false" outlineLevel="0" collapsed="false">
      <c r="A295" s="7" t="s">
        <v>1063</v>
      </c>
      <c r="B295" s="7" t="s">
        <v>1064</v>
      </c>
      <c r="C295" s="8" t="s">
        <v>495</v>
      </c>
      <c r="D295" s="7" t="s">
        <v>496</v>
      </c>
      <c r="E295" s="7" t="s">
        <v>152</v>
      </c>
      <c r="F295" s="7" t="s">
        <v>152</v>
      </c>
      <c r="G295" s="9" t="n">
        <v>34079</v>
      </c>
      <c r="H295" s="5" t="n">
        <v>182</v>
      </c>
      <c r="I295" s="5" t="n">
        <v>108</v>
      </c>
      <c r="J295" s="5" t="n">
        <v>2014</v>
      </c>
      <c r="K295" s="7" t="s">
        <v>354</v>
      </c>
      <c r="L295" s="10" t="str">
        <f aca="false">INDEX(球隊主檔!$C$2:$C$31,MATCH($K295,球隊主檔!$A$2:$A$31,0))</f>
        <v>坦帕灣光芒</v>
      </c>
      <c r="M295" s="11" t="n">
        <f aca="false">IF($C295="打者",COUNTIF(打擊成績!$B:$B,$A295),COUNTIF(投手成績!$B:$B,$A295))</f>
        <v>3</v>
      </c>
    </row>
    <row r="296" customFormat="false" ht="15" hidden="false" customHeight="false" outlineLevel="0" collapsed="false">
      <c r="A296" s="7" t="s">
        <v>1065</v>
      </c>
      <c r="B296" s="7" t="s">
        <v>1066</v>
      </c>
      <c r="C296" s="8" t="s">
        <v>495</v>
      </c>
      <c r="D296" s="7" t="s">
        <v>496</v>
      </c>
      <c r="E296" s="7" t="s">
        <v>152</v>
      </c>
      <c r="F296" s="7" t="s">
        <v>152</v>
      </c>
      <c r="G296" s="9" t="n">
        <v>34932</v>
      </c>
      <c r="H296" s="5" t="n">
        <v>192</v>
      </c>
      <c r="I296" s="5" t="n">
        <v>108</v>
      </c>
      <c r="J296" s="5" t="n">
        <v>2019</v>
      </c>
      <c r="K296" s="7" t="s">
        <v>392</v>
      </c>
      <c r="L296" s="10" t="str">
        <f aca="false">INDEX(球隊主檔!$C$2:$C$31,MATCH($K296,球隊主檔!$A$2:$A$31,0))</f>
        <v>洛杉磯天使</v>
      </c>
      <c r="M296" s="11" t="n">
        <f aca="false">IF($C296="打者",COUNTIF(打擊成績!$B:$B,$A296),COUNTIF(投手成績!$B:$B,$A296))</f>
        <v>3</v>
      </c>
    </row>
    <row r="297" customFormat="false" ht="15" hidden="false" customHeight="false" outlineLevel="0" collapsed="false">
      <c r="A297" s="7" t="s">
        <v>1067</v>
      </c>
      <c r="B297" s="7" t="s">
        <v>1068</v>
      </c>
      <c r="C297" s="8" t="s">
        <v>495</v>
      </c>
      <c r="D297" s="7" t="s">
        <v>507</v>
      </c>
      <c r="E297" s="7" t="s">
        <v>126</v>
      </c>
      <c r="F297" s="7" t="s">
        <v>126</v>
      </c>
      <c r="G297" s="9" t="n">
        <v>36352</v>
      </c>
      <c r="H297" s="5" t="n">
        <v>183</v>
      </c>
      <c r="I297" s="5" t="n">
        <v>101</v>
      </c>
      <c r="J297" s="5" t="n">
        <v>2024</v>
      </c>
      <c r="K297" s="7" t="s">
        <v>400</v>
      </c>
      <c r="L297" s="10" t="str">
        <f aca="false">INDEX(球隊主檔!$C$2:$C$31,MATCH($K297,球隊主檔!$A$2:$A$31,0))</f>
        <v>德州遊騎兵</v>
      </c>
      <c r="M297" s="11" t="n">
        <f aca="false">IF($C297="打者",COUNTIF(打擊成績!$B:$B,$A297),COUNTIF(投手成績!$B:$B,$A297))</f>
        <v>3</v>
      </c>
    </row>
    <row r="298" customFormat="false" ht="15" hidden="false" customHeight="false" outlineLevel="0" collapsed="false">
      <c r="A298" s="7" t="s">
        <v>1069</v>
      </c>
      <c r="B298" s="7" t="s">
        <v>1070</v>
      </c>
      <c r="C298" s="8" t="s">
        <v>495</v>
      </c>
      <c r="D298" s="7" t="s">
        <v>507</v>
      </c>
      <c r="E298" s="7" t="s">
        <v>126</v>
      </c>
      <c r="F298" s="7" t="s">
        <v>152</v>
      </c>
      <c r="G298" s="9" t="n">
        <v>33496</v>
      </c>
      <c r="H298" s="5" t="n">
        <v>197</v>
      </c>
      <c r="I298" s="5" t="n">
        <v>96</v>
      </c>
      <c r="J298" s="5" t="n">
        <v>2011</v>
      </c>
      <c r="K298" s="7" t="s">
        <v>434</v>
      </c>
      <c r="L298" s="10" t="str">
        <f aca="false">INDEX(球隊主檔!$C$2:$C$31,MATCH($K298,球隊主檔!$A$2:$A$31,0))</f>
        <v>密爾瓦基釀酒人</v>
      </c>
      <c r="M298" s="11" t="n">
        <f aca="false">IF($C298="打者",COUNTIF(打擊成績!$B:$B,$A298),COUNTIF(投手成績!$B:$B,$A298))</f>
        <v>3</v>
      </c>
    </row>
    <row r="299" customFormat="false" ht="15" hidden="false" customHeight="false" outlineLevel="0" collapsed="false">
      <c r="A299" s="7" t="s">
        <v>1071</v>
      </c>
      <c r="B299" s="7" t="s">
        <v>1072</v>
      </c>
      <c r="C299" s="8" t="s">
        <v>495</v>
      </c>
      <c r="D299" s="7" t="s">
        <v>507</v>
      </c>
      <c r="E299" s="7" t="s">
        <v>152</v>
      </c>
      <c r="F299" s="7" t="s">
        <v>152</v>
      </c>
      <c r="G299" s="9" t="n">
        <v>36117</v>
      </c>
      <c r="H299" s="5" t="n">
        <v>175</v>
      </c>
      <c r="I299" s="5" t="n">
        <v>83</v>
      </c>
      <c r="J299" s="5" t="n">
        <v>2021</v>
      </c>
      <c r="K299" s="7" t="s">
        <v>400</v>
      </c>
      <c r="L299" s="10" t="str">
        <f aca="false">INDEX(球隊主檔!$C$2:$C$31,MATCH($K299,球隊主檔!$A$2:$A$31,0))</f>
        <v>德州遊騎兵</v>
      </c>
      <c r="M299" s="11" t="n">
        <f aca="false">IF($C299="打者",COUNTIF(打擊成績!$B:$B,$A299),COUNTIF(投手成績!$B:$B,$A299))</f>
        <v>2</v>
      </c>
    </row>
    <row r="300" customFormat="false" ht="15" hidden="false" customHeight="false" outlineLevel="0" collapsed="false">
      <c r="A300" s="7" t="s">
        <v>1073</v>
      </c>
      <c r="B300" s="7" t="s">
        <v>1074</v>
      </c>
      <c r="C300" s="8" t="s">
        <v>495</v>
      </c>
      <c r="D300" s="7" t="s">
        <v>507</v>
      </c>
      <c r="E300" s="7" t="s">
        <v>152</v>
      </c>
      <c r="F300" s="7" t="s">
        <v>152</v>
      </c>
      <c r="G300" s="9" t="n">
        <v>35302</v>
      </c>
      <c r="H300" s="5" t="n">
        <v>201</v>
      </c>
      <c r="I300" s="5" t="n">
        <v>112</v>
      </c>
      <c r="J300" s="5" t="n">
        <v>2019</v>
      </c>
      <c r="K300" s="7" t="s">
        <v>400</v>
      </c>
      <c r="L300" s="10" t="str">
        <f aca="false">INDEX(球隊主檔!$C$2:$C$31,MATCH($K300,球隊主檔!$A$2:$A$31,0))</f>
        <v>德州遊騎兵</v>
      </c>
      <c r="M300" s="11" t="n">
        <f aca="false">IF($C300="打者",COUNTIF(打擊成績!$B:$B,$A300),COUNTIF(投手成績!$B:$B,$A300))</f>
        <v>3</v>
      </c>
    </row>
    <row r="301" customFormat="false" ht="15" hidden="false" customHeight="false" outlineLevel="0" collapsed="false">
      <c r="A301" s="7" t="s">
        <v>1075</v>
      </c>
      <c r="B301" s="7" t="s">
        <v>1076</v>
      </c>
      <c r="C301" s="8" t="s">
        <v>495</v>
      </c>
      <c r="D301" s="7" t="s">
        <v>507</v>
      </c>
      <c r="E301" s="7" t="s">
        <v>152</v>
      </c>
      <c r="F301" s="7" t="s">
        <v>126</v>
      </c>
      <c r="G301" s="9" t="n">
        <v>37252</v>
      </c>
      <c r="H301" s="5" t="n">
        <v>197</v>
      </c>
      <c r="I301" s="5" t="n">
        <v>106</v>
      </c>
      <c r="J301" s="5" t="n">
        <v>2021</v>
      </c>
      <c r="K301" s="7" t="s">
        <v>400</v>
      </c>
      <c r="L301" s="10" t="str">
        <f aca="false">INDEX(球隊主檔!$C$2:$C$31,MATCH($K301,球隊主檔!$A$2:$A$31,0))</f>
        <v>德州遊騎兵</v>
      </c>
      <c r="M301" s="11" t="n">
        <f aca="false">IF($C301="打者",COUNTIF(打擊成績!$B:$B,$A301),COUNTIF(投手成績!$B:$B,$A301))</f>
        <v>3</v>
      </c>
    </row>
    <row r="302" customFormat="false" ht="15" hidden="false" customHeight="false" outlineLevel="0" collapsed="false">
      <c r="A302" s="7" t="s">
        <v>1077</v>
      </c>
      <c r="B302" s="7" t="s">
        <v>1078</v>
      </c>
      <c r="C302" s="8" t="s">
        <v>469</v>
      </c>
      <c r="D302" s="7" t="s">
        <v>470</v>
      </c>
      <c r="E302" s="7" t="s">
        <v>126</v>
      </c>
      <c r="F302" s="7" t="s">
        <v>152</v>
      </c>
      <c r="G302" s="9" t="n">
        <v>36511</v>
      </c>
      <c r="H302" s="5" t="n">
        <v>193</v>
      </c>
      <c r="I302" s="5" t="n">
        <v>110</v>
      </c>
      <c r="J302" s="5" t="n">
        <v>2024</v>
      </c>
      <c r="K302" s="7" t="s">
        <v>404</v>
      </c>
      <c r="L302" s="10" t="str">
        <f aca="false">INDEX(球隊主檔!$C$2:$C$31,MATCH($K302,球隊主檔!$A$2:$A$31,0))</f>
        <v>亞特蘭大勇士</v>
      </c>
      <c r="M302" s="11" t="n">
        <f aca="false">IF($C302="打者",COUNTIF(打擊成績!$B:$B,$A302),COUNTIF(投手成績!$B:$B,$A302))</f>
        <v>3</v>
      </c>
    </row>
    <row r="303" customFormat="false" ht="15" hidden="false" customHeight="false" outlineLevel="0" collapsed="false">
      <c r="A303" s="7" t="s">
        <v>1079</v>
      </c>
      <c r="B303" s="7" t="s">
        <v>1080</v>
      </c>
      <c r="C303" s="8" t="s">
        <v>469</v>
      </c>
      <c r="D303" s="7" t="s">
        <v>483</v>
      </c>
      <c r="E303" s="7" t="s">
        <v>152</v>
      </c>
      <c r="F303" s="7" t="s">
        <v>152</v>
      </c>
      <c r="G303" s="9" t="n">
        <v>35298</v>
      </c>
      <c r="H303" s="5" t="n">
        <v>185</v>
      </c>
      <c r="I303" s="5" t="n">
        <v>84</v>
      </c>
      <c r="J303" s="5" t="n">
        <v>2017</v>
      </c>
      <c r="K303" s="7" t="s">
        <v>404</v>
      </c>
      <c r="L303" s="10" t="str">
        <f aca="false">INDEX(球隊主檔!$C$2:$C$31,MATCH($K303,球隊主檔!$A$2:$A$31,0))</f>
        <v>亞特蘭大勇士</v>
      </c>
      <c r="M303" s="11" t="n">
        <f aca="false">IF($C303="打者",COUNTIF(打擊成績!$B:$B,$A303),COUNTIF(投手成績!$B:$B,$A303))</f>
        <v>3</v>
      </c>
    </row>
    <row r="304" customFormat="false" ht="15" hidden="false" customHeight="false" outlineLevel="0" collapsed="false">
      <c r="A304" s="7" t="s">
        <v>1081</v>
      </c>
      <c r="B304" s="7" t="s">
        <v>1082</v>
      </c>
      <c r="C304" s="8" t="s">
        <v>469</v>
      </c>
      <c r="D304" s="7" t="s">
        <v>522</v>
      </c>
      <c r="E304" s="7" t="s">
        <v>152</v>
      </c>
      <c r="F304" s="7" t="s">
        <v>152</v>
      </c>
      <c r="G304" s="9" t="n">
        <v>36472</v>
      </c>
      <c r="H304" s="5" t="n">
        <v>193</v>
      </c>
      <c r="I304" s="5" t="n">
        <v>97</v>
      </c>
      <c r="J304" s="5" t="n">
        <v>2019</v>
      </c>
      <c r="K304" s="7" t="s">
        <v>404</v>
      </c>
      <c r="L304" s="10" t="str">
        <f aca="false">INDEX(球隊主檔!$C$2:$C$31,MATCH($K304,球隊主檔!$A$2:$A$31,0))</f>
        <v>亞特蘭大勇士</v>
      </c>
      <c r="M304" s="11" t="n">
        <f aca="false">IF($C304="打者",COUNTIF(打擊成績!$B:$B,$A304),COUNTIF(投手成績!$B:$B,$A304))</f>
        <v>3</v>
      </c>
    </row>
    <row r="305" customFormat="false" ht="15" hidden="false" customHeight="false" outlineLevel="0" collapsed="false">
      <c r="A305" s="7" t="s">
        <v>1083</v>
      </c>
      <c r="B305" s="7" t="s">
        <v>1084</v>
      </c>
      <c r="C305" s="8" t="s">
        <v>469</v>
      </c>
      <c r="D305" s="7" t="s">
        <v>473</v>
      </c>
      <c r="E305" s="7" t="s">
        <v>152</v>
      </c>
      <c r="F305" s="7" t="s">
        <v>152</v>
      </c>
      <c r="G305" s="9" t="n">
        <v>35843</v>
      </c>
      <c r="H305" s="5" t="n">
        <v>185</v>
      </c>
      <c r="I305" s="5" t="n">
        <v>90</v>
      </c>
      <c r="J305" s="5" t="n">
        <v>2018</v>
      </c>
      <c r="K305" s="7" t="s">
        <v>404</v>
      </c>
      <c r="L305" s="10" t="str">
        <f aca="false">INDEX(球隊主檔!$C$2:$C$31,MATCH($K305,球隊主檔!$A$2:$A$31,0))</f>
        <v>亞特蘭大勇士</v>
      </c>
      <c r="M305" s="11" t="n">
        <f aca="false">IF($C305="打者",COUNTIF(打擊成績!$B:$B,$A305),COUNTIF(投手成績!$B:$B,$A305))</f>
        <v>3</v>
      </c>
    </row>
    <row r="306" customFormat="false" ht="15" hidden="false" customHeight="false" outlineLevel="0" collapsed="false">
      <c r="A306" s="7" t="s">
        <v>1085</v>
      </c>
      <c r="B306" s="7" t="s">
        <v>1086</v>
      </c>
      <c r="C306" s="8" t="s">
        <v>469</v>
      </c>
      <c r="D306" s="7" t="s">
        <v>522</v>
      </c>
      <c r="E306" s="7" t="s">
        <v>174</v>
      </c>
      <c r="F306" s="7" t="s">
        <v>126</v>
      </c>
      <c r="G306" s="9" t="n">
        <v>33408</v>
      </c>
      <c r="H306" s="5" t="n">
        <v>185</v>
      </c>
      <c r="I306" s="5" t="n">
        <v>111</v>
      </c>
      <c r="J306" s="5" t="n">
        <v>2012</v>
      </c>
      <c r="K306" s="7" t="s">
        <v>404</v>
      </c>
      <c r="L306" s="10" t="str">
        <f aca="false">INDEX(球隊主檔!$C$2:$C$31,MATCH($K306,球隊主檔!$A$2:$A$31,0))</f>
        <v>亞特蘭大勇士</v>
      </c>
      <c r="M306" s="11" t="n">
        <f aca="false">IF($C306="打者",COUNTIF(打擊成績!$B:$B,$A306),COUNTIF(投手成績!$B:$B,$A306))</f>
        <v>1</v>
      </c>
    </row>
    <row r="307" customFormat="false" ht="15" hidden="false" customHeight="false" outlineLevel="0" collapsed="false">
      <c r="A307" s="7" t="s">
        <v>1087</v>
      </c>
      <c r="B307" s="7" t="s">
        <v>1088</v>
      </c>
      <c r="C307" s="8" t="s">
        <v>469</v>
      </c>
      <c r="D307" s="7" t="s">
        <v>162</v>
      </c>
      <c r="E307" s="7" t="s">
        <v>174</v>
      </c>
      <c r="F307" s="7" t="s">
        <v>152</v>
      </c>
      <c r="G307" s="9" t="n">
        <v>36277</v>
      </c>
      <c r="H307" s="5" t="n">
        <v>191</v>
      </c>
      <c r="I307" s="5" t="n">
        <v>84</v>
      </c>
      <c r="J307" s="5" t="n">
        <v>2023</v>
      </c>
      <c r="K307" s="7" t="s">
        <v>358</v>
      </c>
      <c r="L307" s="10" t="str">
        <f aca="false">INDEX(球隊主檔!$C$2:$C$31,MATCH($K307,球隊主檔!$A$2:$A$31,0))</f>
        <v>多倫多藍鳥</v>
      </c>
      <c r="M307" s="11" t="n">
        <f aca="false">IF($C307="打者",COUNTIF(打擊成績!$B:$B,$A307),COUNTIF(投手成績!$B:$B,$A307))</f>
        <v>3</v>
      </c>
    </row>
    <row r="308" customFormat="false" ht="15" hidden="false" customHeight="false" outlineLevel="0" collapsed="false">
      <c r="A308" s="7" t="s">
        <v>1089</v>
      </c>
      <c r="B308" s="7" t="s">
        <v>1090</v>
      </c>
      <c r="C308" s="8" t="s">
        <v>469</v>
      </c>
      <c r="D308" s="7" t="s">
        <v>63</v>
      </c>
      <c r="E308" s="7" t="s">
        <v>152</v>
      </c>
      <c r="F308" s="7" t="s">
        <v>126</v>
      </c>
      <c r="G308" s="9" t="n">
        <v>35464</v>
      </c>
      <c r="H308" s="5" t="n">
        <v>192</v>
      </c>
      <c r="I308" s="5" t="n">
        <v>106</v>
      </c>
      <c r="J308" s="5" t="n">
        <v>2018</v>
      </c>
      <c r="K308" s="7" t="s">
        <v>404</v>
      </c>
      <c r="L308" s="10" t="str">
        <f aca="false">INDEX(球隊主檔!$C$2:$C$31,MATCH($K308,球隊主檔!$A$2:$A$31,0))</f>
        <v>亞特蘭大勇士</v>
      </c>
      <c r="M308" s="11" t="n">
        <f aca="false">IF($C308="打者",COUNTIF(打擊成績!$B:$B,$A308),COUNTIF(投手成績!$B:$B,$A308))</f>
        <v>3</v>
      </c>
    </row>
    <row r="309" customFormat="false" ht="15" hidden="false" customHeight="false" outlineLevel="0" collapsed="false">
      <c r="A309" s="7" t="s">
        <v>1091</v>
      </c>
      <c r="B309" s="7" t="s">
        <v>1092</v>
      </c>
      <c r="C309" s="8" t="s">
        <v>469</v>
      </c>
      <c r="D309" s="7" t="s">
        <v>478</v>
      </c>
      <c r="E309" s="7" t="s">
        <v>126</v>
      </c>
      <c r="F309" s="7" t="s">
        <v>152</v>
      </c>
      <c r="G309" s="9" t="n">
        <v>35011</v>
      </c>
      <c r="H309" s="5" t="n">
        <v>196</v>
      </c>
      <c r="I309" s="5" t="n">
        <v>82</v>
      </c>
      <c r="J309" s="5" t="n">
        <v>2020</v>
      </c>
      <c r="K309" s="7" t="s">
        <v>404</v>
      </c>
      <c r="L309" s="10" t="str">
        <f aca="false">INDEX(球隊主檔!$C$2:$C$31,MATCH($K309,球隊主檔!$A$2:$A$31,0))</f>
        <v>亞特蘭大勇士</v>
      </c>
      <c r="M309" s="11" t="n">
        <f aca="false">IF($C309="打者",COUNTIF(打擊成績!$B:$B,$A309),COUNTIF(投手成績!$B:$B,$A309))</f>
        <v>3</v>
      </c>
    </row>
    <row r="310" customFormat="false" ht="15" hidden="false" customHeight="false" outlineLevel="0" collapsed="false">
      <c r="A310" s="7" t="s">
        <v>1093</v>
      </c>
      <c r="B310" s="7" t="s">
        <v>1094</v>
      </c>
      <c r="C310" s="8" t="s">
        <v>469</v>
      </c>
      <c r="D310" s="7" t="s">
        <v>470</v>
      </c>
      <c r="E310" s="7" t="s">
        <v>126</v>
      </c>
      <c r="F310" s="7" t="s">
        <v>152</v>
      </c>
      <c r="G310" s="9" t="n">
        <v>35631</v>
      </c>
      <c r="H310" s="5" t="n">
        <v>185</v>
      </c>
      <c r="I310" s="5" t="n">
        <v>86</v>
      </c>
      <c r="J310" s="5" t="n">
        <v>2019</v>
      </c>
      <c r="K310" s="7" t="s">
        <v>404</v>
      </c>
      <c r="L310" s="10" t="str">
        <f aca="false">INDEX(球隊主檔!$C$2:$C$31,MATCH($K310,球隊主檔!$A$2:$A$31,0))</f>
        <v>亞特蘭大勇士</v>
      </c>
      <c r="M310" s="11" t="n">
        <f aca="false">IF($C310="打者",COUNTIF(打擊成績!$B:$B,$A310),COUNTIF(投手成績!$B:$B,$A310))</f>
        <v>3</v>
      </c>
    </row>
    <row r="311" customFormat="false" ht="15" hidden="false" customHeight="false" outlineLevel="0" collapsed="false">
      <c r="A311" s="7" t="s">
        <v>1095</v>
      </c>
      <c r="B311" s="7" t="s">
        <v>1096</v>
      </c>
      <c r="C311" s="8" t="s">
        <v>469</v>
      </c>
      <c r="D311" s="7" t="s">
        <v>162</v>
      </c>
      <c r="E311" s="7" t="s">
        <v>126</v>
      </c>
      <c r="F311" s="7" t="s">
        <v>126</v>
      </c>
      <c r="G311" s="9" t="n">
        <v>35845</v>
      </c>
      <c r="H311" s="5" t="n">
        <v>195</v>
      </c>
      <c r="I311" s="5" t="n">
        <v>81</v>
      </c>
      <c r="J311" s="5" t="n">
        <v>2022</v>
      </c>
      <c r="K311" s="7" t="s">
        <v>371</v>
      </c>
      <c r="L311" s="10" t="str">
        <f aca="false">INDEX(球隊主檔!$C$2:$C$31,MATCH($K311,球隊主檔!$A$2:$A$31,0))</f>
        <v>底特律老虎</v>
      </c>
      <c r="M311" s="11" t="n">
        <f aca="false">IF($C311="打者",COUNTIF(打擊成績!$B:$B,$A311),COUNTIF(投手成績!$B:$B,$A311))</f>
        <v>3</v>
      </c>
    </row>
    <row r="312" customFormat="false" ht="15" hidden="false" customHeight="false" outlineLevel="0" collapsed="false">
      <c r="A312" s="7" t="s">
        <v>1097</v>
      </c>
      <c r="B312" s="7" t="s">
        <v>1098</v>
      </c>
      <c r="C312" s="8" t="s">
        <v>495</v>
      </c>
      <c r="D312" s="7" t="s">
        <v>496</v>
      </c>
      <c r="E312" s="7" t="s">
        <v>152</v>
      </c>
      <c r="F312" s="7" t="s">
        <v>152</v>
      </c>
      <c r="G312" s="9" t="n">
        <v>34245</v>
      </c>
      <c r="H312" s="5" t="n">
        <v>181</v>
      </c>
      <c r="I312" s="5" t="n">
        <v>86</v>
      </c>
      <c r="J312" s="5" t="n">
        <v>2017</v>
      </c>
      <c r="K312" s="7" t="s">
        <v>404</v>
      </c>
      <c r="L312" s="10" t="str">
        <f aca="false">INDEX(球隊主檔!$C$2:$C$31,MATCH($K312,球隊主檔!$A$2:$A$31,0))</f>
        <v>亞特蘭大勇士</v>
      </c>
      <c r="M312" s="11" t="n">
        <f aca="false">IF($C312="打者",COUNTIF(打擊成績!$B:$B,$A312),COUNTIF(投手成績!$B:$B,$A312))</f>
        <v>3</v>
      </c>
    </row>
    <row r="313" customFormat="false" ht="15" hidden="false" customHeight="false" outlineLevel="0" collapsed="false">
      <c r="A313" s="7" t="s">
        <v>1099</v>
      </c>
      <c r="B313" s="7" t="s">
        <v>1100</v>
      </c>
      <c r="C313" s="8" t="s">
        <v>495</v>
      </c>
      <c r="D313" s="7" t="s">
        <v>496</v>
      </c>
      <c r="E313" s="7" t="s">
        <v>152</v>
      </c>
      <c r="F313" s="7" t="s">
        <v>152</v>
      </c>
      <c r="G313" s="9" t="n">
        <v>36100</v>
      </c>
      <c r="H313" s="5" t="n">
        <v>179</v>
      </c>
      <c r="I313" s="5" t="n">
        <v>105</v>
      </c>
      <c r="J313" s="5" t="n">
        <v>2019</v>
      </c>
      <c r="K313" s="7" t="s">
        <v>404</v>
      </c>
      <c r="L313" s="10" t="str">
        <f aca="false">INDEX(球隊主檔!$C$2:$C$31,MATCH($K313,球隊主檔!$A$2:$A$31,0))</f>
        <v>亞特蘭大勇士</v>
      </c>
      <c r="M313" s="11" t="n">
        <f aca="false">IF($C313="打者",COUNTIF(打擊成績!$B:$B,$A313),COUNTIF(投手成績!$B:$B,$A313))</f>
        <v>1</v>
      </c>
    </row>
    <row r="314" customFormat="false" ht="15" hidden="false" customHeight="false" outlineLevel="0" collapsed="false">
      <c r="A314" s="7" t="s">
        <v>1101</v>
      </c>
      <c r="B314" s="7" t="s">
        <v>1102</v>
      </c>
      <c r="C314" s="8" t="s">
        <v>495</v>
      </c>
      <c r="D314" s="7" t="s">
        <v>496</v>
      </c>
      <c r="E314" s="7" t="s">
        <v>152</v>
      </c>
      <c r="F314" s="7" t="s">
        <v>152</v>
      </c>
      <c r="G314" s="9" t="n">
        <v>35770</v>
      </c>
      <c r="H314" s="5" t="n">
        <v>188</v>
      </c>
      <c r="I314" s="5" t="n">
        <v>105</v>
      </c>
      <c r="J314" s="5" t="n">
        <v>2018</v>
      </c>
      <c r="K314" s="7" t="s">
        <v>396</v>
      </c>
      <c r="L314" s="10" t="str">
        <f aca="false">INDEX(球隊主檔!$C$2:$C$31,MATCH($K314,球隊主檔!$A$2:$A$31,0))</f>
        <v>西雅圖水手</v>
      </c>
      <c r="M314" s="11" t="n">
        <f aca="false">IF($C314="打者",COUNTIF(打擊成績!$B:$B,$A314),COUNTIF(投手成績!$B:$B,$A314))</f>
        <v>3</v>
      </c>
    </row>
    <row r="315" customFormat="false" ht="15" hidden="false" customHeight="false" outlineLevel="0" collapsed="false">
      <c r="A315" s="7" t="s">
        <v>1103</v>
      </c>
      <c r="B315" s="7" t="s">
        <v>1104</v>
      </c>
      <c r="C315" s="8" t="s">
        <v>495</v>
      </c>
      <c r="D315" s="7" t="s">
        <v>496</v>
      </c>
      <c r="E315" s="7" t="s">
        <v>152</v>
      </c>
      <c r="F315" s="7" t="s">
        <v>152</v>
      </c>
      <c r="G315" s="9" t="n">
        <v>35686</v>
      </c>
      <c r="H315" s="5" t="n">
        <v>181</v>
      </c>
      <c r="I315" s="5" t="n">
        <v>89</v>
      </c>
      <c r="J315" s="5" t="n">
        <v>2017</v>
      </c>
      <c r="K315" s="7" t="s">
        <v>404</v>
      </c>
      <c r="L315" s="10" t="str">
        <f aca="false">INDEX(球隊主檔!$C$2:$C$31,MATCH($K315,球隊主檔!$A$2:$A$31,0))</f>
        <v>亞特蘭大勇士</v>
      </c>
      <c r="M315" s="11" t="n">
        <f aca="false">IF($C315="打者",COUNTIF(打擊成績!$B:$B,$A315),COUNTIF(投手成績!$B:$B,$A315))</f>
        <v>3</v>
      </c>
    </row>
    <row r="316" customFormat="false" ht="15" hidden="false" customHeight="false" outlineLevel="0" collapsed="false">
      <c r="A316" s="7" t="s">
        <v>1105</v>
      </c>
      <c r="B316" s="7" t="s">
        <v>1106</v>
      </c>
      <c r="C316" s="8" t="s">
        <v>495</v>
      </c>
      <c r="D316" s="7" t="s">
        <v>496</v>
      </c>
      <c r="E316" s="7" t="s">
        <v>152</v>
      </c>
      <c r="F316" s="7" t="s">
        <v>152</v>
      </c>
      <c r="G316" s="9" t="n">
        <v>35202</v>
      </c>
      <c r="H316" s="5" t="n">
        <v>196</v>
      </c>
      <c r="I316" s="5" t="n">
        <v>111</v>
      </c>
      <c r="J316" s="5" t="n">
        <v>2017</v>
      </c>
      <c r="K316" s="7" t="s">
        <v>404</v>
      </c>
      <c r="L316" s="10" t="str">
        <f aca="false">INDEX(球隊主檔!$C$2:$C$31,MATCH($K316,球隊主檔!$A$2:$A$31,0))</f>
        <v>亞特蘭大勇士</v>
      </c>
      <c r="M316" s="11" t="n">
        <f aca="false">IF($C316="打者",COUNTIF(打擊成績!$B:$B,$A316),COUNTIF(投手成績!$B:$B,$A316))</f>
        <v>3</v>
      </c>
    </row>
    <row r="317" customFormat="false" ht="15" hidden="false" customHeight="false" outlineLevel="0" collapsed="false">
      <c r="A317" s="7" t="s">
        <v>1107</v>
      </c>
      <c r="B317" s="7" t="s">
        <v>1108</v>
      </c>
      <c r="C317" s="8" t="s">
        <v>495</v>
      </c>
      <c r="D317" s="7" t="s">
        <v>507</v>
      </c>
      <c r="E317" s="7" t="s">
        <v>126</v>
      </c>
      <c r="F317" s="7" t="s">
        <v>152</v>
      </c>
      <c r="G317" s="9" t="n">
        <v>35862</v>
      </c>
      <c r="H317" s="5" t="n">
        <v>184</v>
      </c>
      <c r="I317" s="5" t="n">
        <v>80</v>
      </c>
      <c r="J317" s="5" t="n">
        <v>2022</v>
      </c>
      <c r="K317" s="7" t="s">
        <v>404</v>
      </c>
      <c r="L317" s="10" t="str">
        <f aca="false">INDEX(球隊主檔!$C$2:$C$31,MATCH($K317,球隊主檔!$A$2:$A$31,0))</f>
        <v>亞特蘭大勇士</v>
      </c>
      <c r="M317" s="11" t="n">
        <f aca="false">IF($C317="打者",COUNTIF(打擊成績!$B:$B,$A317),COUNTIF(投手成績!$B:$B,$A317))</f>
        <v>3</v>
      </c>
    </row>
    <row r="318" customFormat="false" ht="15" hidden="false" customHeight="false" outlineLevel="0" collapsed="false">
      <c r="A318" s="7" t="s">
        <v>1109</v>
      </c>
      <c r="B318" s="7" t="s">
        <v>1110</v>
      </c>
      <c r="C318" s="8" t="s">
        <v>495</v>
      </c>
      <c r="D318" s="7" t="s">
        <v>507</v>
      </c>
      <c r="E318" s="7" t="s">
        <v>152</v>
      </c>
      <c r="F318" s="7" t="s">
        <v>152</v>
      </c>
      <c r="G318" s="9" t="n">
        <v>34318</v>
      </c>
      <c r="H318" s="5" t="n">
        <v>197</v>
      </c>
      <c r="I318" s="5" t="n">
        <v>94</v>
      </c>
      <c r="J318" s="5" t="n">
        <v>2017</v>
      </c>
      <c r="K318" s="7" t="s">
        <v>404</v>
      </c>
      <c r="L318" s="10" t="str">
        <f aca="false">INDEX(球隊主檔!$C$2:$C$31,MATCH($K318,球隊主檔!$A$2:$A$31,0))</f>
        <v>亞特蘭大勇士</v>
      </c>
      <c r="M318" s="11" t="n">
        <f aca="false">IF($C318="打者",COUNTIF(打擊成績!$B:$B,$A318),COUNTIF(投手成績!$B:$B,$A318))</f>
        <v>3</v>
      </c>
    </row>
    <row r="319" customFormat="false" ht="15" hidden="false" customHeight="false" outlineLevel="0" collapsed="false">
      <c r="A319" s="7" t="s">
        <v>1111</v>
      </c>
      <c r="B319" s="7" t="s">
        <v>1112</v>
      </c>
      <c r="C319" s="8" t="s">
        <v>495</v>
      </c>
      <c r="D319" s="7" t="s">
        <v>507</v>
      </c>
      <c r="E319" s="7" t="s">
        <v>152</v>
      </c>
      <c r="F319" s="7" t="s">
        <v>152</v>
      </c>
      <c r="G319" s="9" t="n">
        <v>33614</v>
      </c>
      <c r="H319" s="5" t="n">
        <v>193</v>
      </c>
      <c r="I319" s="5" t="n">
        <v>98</v>
      </c>
      <c r="J319" s="5" t="n">
        <v>2015</v>
      </c>
      <c r="K319" s="7" t="s">
        <v>404</v>
      </c>
      <c r="L319" s="10" t="str">
        <f aca="false">INDEX(球隊主檔!$C$2:$C$31,MATCH($K319,球隊主檔!$A$2:$A$31,0))</f>
        <v>亞特蘭大勇士</v>
      </c>
      <c r="M319" s="11" t="n">
        <f aca="false">IF($C319="打者",COUNTIF(打擊成績!$B:$B,$A319),COUNTIF(投手成績!$B:$B,$A319))</f>
        <v>3</v>
      </c>
    </row>
    <row r="320" customFormat="false" ht="15" hidden="false" customHeight="false" outlineLevel="0" collapsed="false">
      <c r="A320" s="7" t="s">
        <v>1113</v>
      </c>
      <c r="B320" s="7" t="s">
        <v>1114</v>
      </c>
      <c r="C320" s="8" t="s">
        <v>495</v>
      </c>
      <c r="D320" s="7" t="s">
        <v>507</v>
      </c>
      <c r="E320" s="7" t="s">
        <v>152</v>
      </c>
      <c r="F320" s="7" t="s">
        <v>152</v>
      </c>
      <c r="G320" s="9" t="n">
        <v>35232</v>
      </c>
      <c r="H320" s="5" t="n">
        <v>200</v>
      </c>
      <c r="I320" s="5" t="n">
        <v>110</v>
      </c>
      <c r="J320" s="5" t="n">
        <v>2016</v>
      </c>
      <c r="K320" s="7" t="s">
        <v>400</v>
      </c>
      <c r="L320" s="10" t="str">
        <f aca="false">INDEX(球隊主檔!$C$2:$C$31,MATCH($K320,球隊主檔!$A$2:$A$31,0))</f>
        <v>德州遊騎兵</v>
      </c>
      <c r="M320" s="11" t="n">
        <f aca="false">IF($C320="打者",COUNTIF(打擊成績!$B:$B,$A320),COUNTIF(投手成績!$B:$B,$A320))</f>
        <v>3</v>
      </c>
    </row>
    <row r="321" customFormat="false" ht="15" hidden="false" customHeight="false" outlineLevel="0" collapsed="false">
      <c r="A321" s="7" t="s">
        <v>1115</v>
      </c>
      <c r="B321" s="7" t="s">
        <v>1116</v>
      </c>
      <c r="C321" s="8" t="s">
        <v>495</v>
      </c>
      <c r="D321" s="7" t="s">
        <v>507</v>
      </c>
      <c r="E321" s="7" t="s">
        <v>152</v>
      </c>
      <c r="F321" s="7" t="s">
        <v>152</v>
      </c>
      <c r="G321" s="9" t="n">
        <v>34283</v>
      </c>
      <c r="H321" s="5" t="n">
        <v>199</v>
      </c>
      <c r="I321" s="5" t="n">
        <v>85</v>
      </c>
      <c r="J321" s="5" t="n">
        <v>2018</v>
      </c>
      <c r="K321" s="7" t="s">
        <v>422</v>
      </c>
      <c r="L321" s="10" t="str">
        <f aca="false">INDEX(球隊主檔!$C$2:$C$31,MATCH($K321,球隊主檔!$A$2:$A$31,0))</f>
        <v>華盛頓國民</v>
      </c>
      <c r="M321" s="11" t="n">
        <f aca="false">IF($C321="打者",COUNTIF(打擊成績!$B:$B,$A321),COUNTIF(投手成績!$B:$B,$A321))</f>
        <v>3</v>
      </c>
    </row>
    <row r="322" customFormat="false" ht="15" hidden="false" customHeight="false" outlineLevel="0" collapsed="false">
      <c r="A322" s="7" t="s">
        <v>1117</v>
      </c>
      <c r="B322" s="7" t="s">
        <v>1118</v>
      </c>
      <c r="C322" s="8" t="s">
        <v>469</v>
      </c>
      <c r="D322" s="7" t="s">
        <v>470</v>
      </c>
      <c r="E322" s="7" t="s">
        <v>152</v>
      </c>
      <c r="F322" s="7" t="s">
        <v>126</v>
      </c>
      <c r="G322" s="9" t="n">
        <v>33853</v>
      </c>
      <c r="H322" s="5" t="n">
        <v>189</v>
      </c>
      <c r="I322" s="5" t="n">
        <v>96</v>
      </c>
      <c r="J322" s="5" t="n">
        <v>2017</v>
      </c>
      <c r="K322" s="7" t="s">
        <v>410</v>
      </c>
      <c r="L322" s="10" t="str">
        <f aca="false">INDEX(球隊主檔!$C$2:$C$31,MATCH($K322,球隊主檔!$A$2:$A$31,0))</f>
        <v>邁阿密馬林魚</v>
      </c>
      <c r="M322" s="11" t="n">
        <f aca="false">IF($C322="打者",COUNTIF(打擊成績!$B:$B,$A322),COUNTIF(投手成績!$B:$B,$A322))</f>
        <v>1</v>
      </c>
    </row>
    <row r="323" customFormat="false" ht="15" hidden="false" customHeight="false" outlineLevel="0" collapsed="false">
      <c r="A323" s="7" t="s">
        <v>1119</v>
      </c>
      <c r="B323" s="7" t="s">
        <v>1120</v>
      </c>
      <c r="C323" s="8" t="s">
        <v>469</v>
      </c>
      <c r="D323" s="7" t="s">
        <v>522</v>
      </c>
      <c r="E323" s="7" t="s">
        <v>152</v>
      </c>
      <c r="F323" s="7" t="s">
        <v>152</v>
      </c>
      <c r="G323" s="9" t="n">
        <v>37190</v>
      </c>
      <c r="H323" s="5" t="n">
        <v>190</v>
      </c>
      <c r="I323" s="5" t="n">
        <v>80</v>
      </c>
      <c r="J323" s="5" t="n">
        <v>2021</v>
      </c>
      <c r="K323" s="7" t="s">
        <v>410</v>
      </c>
      <c r="L323" s="10" t="str">
        <f aca="false">INDEX(球隊主檔!$C$2:$C$31,MATCH($K323,球隊主檔!$A$2:$A$31,0))</f>
        <v>邁阿密馬林魚</v>
      </c>
      <c r="M323" s="11" t="n">
        <f aca="false">IF($C323="打者",COUNTIF(打擊成績!$B:$B,$A323),COUNTIF(投手成績!$B:$B,$A323))</f>
        <v>2</v>
      </c>
    </row>
    <row r="324" customFormat="false" ht="15" hidden="false" customHeight="false" outlineLevel="0" collapsed="false">
      <c r="A324" s="7" t="s">
        <v>1121</v>
      </c>
      <c r="B324" s="7" t="s">
        <v>1122</v>
      </c>
      <c r="C324" s="8" t="s">
        <v>469</v>
      </c>
      <c r="D324" s="7" t="s">
        <v>483</v>
      </c>
      <c r="E324" s="7" t="s">
        <v>152</v>
      </c>
      <c r="F324" s="7" t="s">
        <v>126</v>
      </c>
      <c r="G324" s="9" t="n">
        <v>35141</v>
      </c>
      <c r="H324" s="5" t="n">
        <v>189</v>
      </c>
      <c r="I324" s="5" t="n">
        <v>96</v>
      </c>
      <c r="J324" s="5" t="n">
        <v>2019</v>
      </c>
      <c r="K324" s="7" t="s">
        <v>410</v>
      </c>
      <c r="L324" s="10" t="str">
        <f aca="false">INDEX(球隊主檔!$C$2:$C$31,MATCH($K324,球隊主檔!$A$2:$A$31,0))</f>
        <v>邁阿密馬林魚</v>
      </c>
      <c r="M324" s="11" t="n">
        <f aca="false">IF($C324="打者",COUNTIF(打擊成績!$B:$B,$A324),COUNTIF(投手成績!$B:$B,$A324))</f>
        <v>1</v>
      </c>
    </row>
    <row r="325" customFormat="false" ht="15" hidden="false" customHeight="false" outlineLevel="0" collapsed="false">
      <c r="A325" s="7" t="s">
        <v>1123</v>
      </c>
      <c r="B325" s="7" t="s">
        <v>1124</v>
      </c>
      <c r="C325" s="8" t="s">
        <v>469</v>
      </c>
      <c r="D325" s="7" t="s">
        <v>63</v>
      </c>
      <c r="E325" s="7" t="s">
        <v>152</v>
      </c>
      <c r="F325" s="7" t="s">
        <v>152</v>
      </c>
      <c r="G325" s="9" t="n">
        <v>35478</v>
      </c>
      <c r="H325" s="5" t="n">
        <v>180</v>
      </c>
      <c r="I325" s="5" t="n">
        <v>101</v>
      </c>
      <c r="J325" s="5" t="n">
        <v>2021</v>
      </c>
      <c r="K325" s="7" t="s">
        <v>410</v>
      </c>
      <c r="L325" s="10" t="str">
        <f aca="false">INDEX(球隊主檔!$C$2:$C$31,MATCH($K325,球隊主檔!$A$2:$A$31,0))</f>
        <v>邁阿密馬林魚</v>
      </c>
      <c r="M325" s="11" t="n">
        <f aca="false">IF($C325="打者",COUNTIF(打擊成績!$B:$B,$A325),COUNTIF(投手成績!$B:$B,$A325))</f>
        <v>1</v>
      </c>
    </row>
    <row r="326" customFormat="false" ht="15" hidden="false" customHeight="false" outlineLevel="0" collapsed="false">
      <c r="A326" s="7" t="s">
        <v>1125</v>
      </c>
      <c r="B326" s="7" t="s">
        <v>1126</v>
      </c>
      <c r="C326" s="8" t="s">
        <v>469</v>
      </c>
      <c r="D326" s="7" t="s">
        <v>473</v>
      </c>
      <c r="E326" s="7" t="s">
        <v>126</v>
      </c>
      <c r="F326" s="7" t="s">
        <v>152</v>
      </c>
      <c r="G326" s="9" t="n">
        <v>35831</v>
      </c>
      <c r="H326" s="5" t="n">
        <v>183</v>
      </c>
      <c r="I326" s="5" t="n">
        <v>97</v>
      </c>
      <c r="J326" s="5" t="n">
        <v>2022</v>
      </c>
      <c r="K326" s="7" t="s">
        <v>410</v>
      </c>
      <c r="L326" s="10" t="str">
        <f aca="false">INDEX(球隊主檔!$C$2:$C$31,MATCH($K326,球隊主檔!$A$2:$A$31,0))</f>
        <v>邁阿密馬林魚</v>
      </c>
      <c r="M326" s="11" t="n">
        <f aca="false">IF($C326="打者",COUNTIF(打擊成績!$B:$B,$A326),COUNTIF(投手成績!$B:$B,$A326))</f>
        <v>3</v>
      </c>
    </row>
    <row r="327" customFormat="false" ht="15" hidden="false" customHeight="false" outlineLevel="0" collapsed="false">
      <c r="A327" s="7" t="s">
        <v>1127</v>
      </c>
      <c r="B327" s="7" t="s">
        <v>1128</v>
      </c>
      <c r="C327" s="8" t="s">
        <v>469</v>
      </c>
      <c r="D327" s="7" t="s">
        <v>478</v>
      </c>
      <c r="E327" s="7" t="s">
        <v>126</v>
      </c>
      <c r="F327" s="7" t="s">
        <v>152</v>
      </c>
      <c r="G327" s="9" t="n">
        <v>34252</v>
      </c>
      <c r="H327" s="5" t="n">
        <v>180</v>
      </c>
      <c r="I327" s="5" t="n">
        <v>81</v>
      </c>
      <c r="J327" s="5" t="n">
        <v>2018</v>
      </c>
      <c r="K327" s="7" t="s">
        <v>410</v>
      </c>
      <c r="L327" s="10" t="str">
        <f aca="false">INDEX(球隊主檔!$C$2:$C$31,MATCH($K327,球隊主檔!$A$2:$A$31,0))</f>
        <v>邁阿密馬林魚</v>
      </c>
      <c r="M327" s="11" t="n">
        <f aca="false">IF($C327="打者",COUNTIF(打擊成績!$B:$B,$A327),COUNTIF(投手成績!$B:$B,$A327))</f>
        <v>2</v>
      </c>
    </row>
    <row r="328" customFormat="false" ht="15" hidden="false" customHeight="false" outlineLevel="0" collapsed="false">
      <c r="A328" s="7" t="s">
        <v>1129</v>
      </c>
      <c r="B328" s="7" t="s">
        <v>1130</v>
      </c>
      <c r="C328" s="8" t="s">
        <v>469</v>
      </c>
      <c r="D328" s="7" t="s">
        <v>478</v>
      </c>
      <c r="E328" s="7" t="s">
        <v>152</v>
      </c>
      <c r="F328" s="7" t="s">
        <v>152</v>
      </c>
      <c r="G328" s="9" t="n">
        <v>34990</v>
      </c>
      <c r="H328" s="5" t="n">
        <v>186</v>
      </c>
      <c r="I328" s="5" t="n">
        <v>107</v>
      </c>
      <c r="J328" s="5" t="n">
        <v>2015</v>
      </c>
      <c r="K328" s="7" t="s">
        <v>410</v>
      </c>
      <c r="L328" s="10" t="str">
        <f aca="false">INDEX(球隊主檔!$C$2:$C$31,MATCH($K328,球隊主檔!$A$2:$A$31,0))</f>
        <v>邁阿密馬林魚</v>
      </c>
      <c r="M328" s="11" t="n">
        <f aca="false">IF($C328="打者",COUNTIF(打擊成績!$B:$B,$A328),COUNTIF(投手成績!$B:$B,$A328))</f>
        <v>3</v>
      </c>
    </row>
    <row r="329" customFormat="false" ht="15" hidden="false" customHeight="false" outlineLevel="0" collapsed="false">
      <c r="A329" s="7" t="s">
        <v>1131</v>
      </c>
      <c r="B329" s="7" t="s">
        <v>1132</v>
      </c>
      <c r="C329" s="8" t="s">
        <v>469</v>
      </c>
      <c r="D329" s="7" t="s">
        <v>478</v>
      </c>
      <c r="E329" s="7" t="s">
        <v>126</v>
      </c>
      <c r="F329" s="7" t="s">
        <v>152</v>
      </c>
      <c r="G329" s="9" t="n">
        <v>34627</v>
      </c>
      <c r="H329" s="5" t="n">
        <v>184</v>
      </c>
      <c r="I329" s="5" t="n">
        <v>87</v>
      </c>
      <c r="J329" s="5" t="n">
        <v>2019</v>
      </c>
      <c r="K329" s="7" t="s">
        <v>414</v>
      </c>
      <c r="L329" s="10" t="str">
        <f aca="false">INDEX(球隊主檔!$C$2:$C$31,MATCH($K329,球隊主檔!$A$2:$A$31,0))</f>
        <v>紐約大都會</v>
      </c>
      <c r="M329" s="11" t="n">
        <f aca="false">IF($C329="打者",COUNTIF(打擊成績!$B:$B,$A329),COUNTIF(投手成績!$B:$B,$A329))</f>
        <v>3</v>
      </c>
    </row>
    <row r="330" customFormat="false" ht="15" hidden="false" customHeight="false" outlineLevel="0" collapsed="false">
      <c r="A330" s="7" t="s">
        <v>1133</v>
      </c>
      <c r="B330" s="7" t="s">
        <v>1134</v>
      </c>
      <c r="C330" s="8" t="s">
        <v>469</v>
      </c>
      <c r="D330" s="7" t="s">
        <v>162</v>
      </c>
      <c r="E330" s="7" t="s">
        <v>126</v>
      </c>
      <c r="F330" s="7" t="s">
        <v>152</v>
      </c>
      <c r="G330" s="9" t="n">
        <v>36746</v>
      </c>
      <c r="H330" s="5" t="n">
        <v>176</v>
      </c>
      <c r="I330" s="5" t="n">
        <v>104</v>
      </c>
      <c r="J330" s="5" t="n">
        <v>2022</v>
      </c>
      <c r="K330" s="7" t="s">
        <v>410</v>
      </c>
      <c r="L330" s="10" t="str">
        <f aca="false">INDEX(球隊主檔!$C$2:$C$31,MATCH($K330,球隊主檔!$A$2:$A$31,0))</f>
        <v>邁阿密馬林魚</v>
      </c>
      <c r="M330" s="11" t="n">
        <f aca="false">IF($C330="打者",COUNTIF(打擊成績!$B:$B,$A330),COUNTIF(投手成績!$B:$B,$A330))</f>
        <v>3</v>
      </c>
    </row>
    <row r="331" customFormat="false" ht="15" hidden="false" customHeight="false" outlineLevel="0" collapsed="false">
      <c r="A331" s="7" t="s">
        <v>1135</v>
      </c>
      <c r="B331" s="7" t="s">
        <v>1136</v>
      </c>
      <c r="C331" s="8" t="s">
        <v>469</v>
      </c>
      <c r="D331" s="7" t="s">
        <v>522</v>
      </c>
      <c r="E331" s="7" t="s">
        <v>174</v>
      </c>
      <c r="F331" s="7" t="s">
        <v>152</v>
      </c>
      <c r="G331" s="9" t="n">
        <v>33009</v>
      </c>
      <c r="H331" s="5" t="n">
        <v>185</v>
      </c>
      <c r="I331" s="5" t="n">
        <v>99</v>
      </c>
      <c r="J331" s="5" t="n">
        <v>2010</v>
      </c>
      <c r="K331" s="7" t="s">
        <v>414</v>
      </c>
      <c r="L331" s="10" t="str">
        <f aca="false">INDEX(球隊主檔!$C$2:$C$31,MATCH($K331,球隊主檔!$A$2:$A$31,0))</f>
        <v>紐約大都會</v>
      </c>
      <c r="M331" s="11" t="n">
        <f aca="false">IF($C331="打者",COUNTIF(打擊成績!$B:$B,$A331),COUNTIF(投手成績!$B:$B,$A331))</f>
        <v>3</v>
      </c>
    </row>
    <row r="332" customFormat="false" ht="15" hidden="false" customHeight="false" outlineLevel="0" collapsed="false">
      <c r="A332" s="7" t="s">
        <v>1137</v>
      </c>
      <c r="B332" s="7" t="s">
        <v>1138</v>
      </c>
      <c r="C332" s="8" t="s">
        <v>495</v>
      </c>
      <c r="D332" s="7" t="s">
        <v>496</v>
      </c>
      <c r="E332" s="7" t="s">
        <v>126</v>
      </c>
      <c r="F332" s="7" t="s">
        <v>152</v>
      </c>
      <c r="G332" s="9" t="n">
        <v>36057</v>
      </c>
      <c r="H332" s="5" t="n">
        <v>182</v>
      </c>
      <c r="I332" s="5" t="n">
        <v>111</v>
      </c>
      <c r="J332" s="5" t="n">
        <v>2019</v>
      </c>
      <c r="K332" s="7" t="s">
        <v>410</v>
      </c>
      <c r="L332" s="10" t="str">
        <f aca="false">INDEX(球隊主檔!$C$2:$C$31,MATCH($K332,球隊主檔!$A$2:$A$31,0))</f>
        <v>邁阿密馬林魚</v>
      </c>
      <c r="M332" s="11" t="n">
        <f aca="false">IF($C332="打者",COUNTIF(打擊成績!$B:$B,$A332),COUNTIF(投手成績!$B:$B,$A332))</f>
        <v>3</v>
      </c>
    </row>
    <row r="333" customFormat="false" ht="15" hidden="false" customHeight="false" outlineLevel="0" collapsed="false">
      <c r="A333" s="7" t="s">
        <v>1139</v>
      </c>
      <c r="B333" s="7" t="s">
        <v>1140</v>
      </c>
      <c r="C333" s="8" t="s">
        <v>495</v>
      </c>
      <c r="D333" s="7" t="s">
        <v>496</v>
      </c>
      <c r="E333" s="7" t="s">
        <v>152</v>
      </c>
      <c r="F333" s="7" t="s">
        <v>152</v>
      </c>
      <c r="G333" s="9" t="n">
        <v>33394</v>
      </c>
      <c r="H333" s="5" t="n">
        <v>181</v>
      </c>
      <c r="I333" s="5" t="n">
        <v>85</v>
      </c>
      <c r="J333" s="5" t="n">
        <v>2015</v>
      </c>
      <c r="K333" s="7" t="s">
        <v>410</v>
      </c>
      <c r="L333" s="10" t="str">
        <f aca="false">INDEX(球隊主檔!$C$2:$C$31,MATCH($K333,球隊主檔!$A$2:$A$31,0))</f>
        <v>邁阿密馬林魚</v>
      </c>
      <c r="M333" s="11" t="n">
        <f aca="false">IF($C333="打者",COUNTIF(打擊成績!$B:$B,$A333),COUNTIF(投手成績!$B:$B,$A333))</f>
        <v>1</v>
      </c>
    </row>
    <row r="334" customFormat="false" ht="15" hidden="false" customHeight="false" outlineLevel="0" collapsed="false">
      <c r="A334" s="7" t="s">
        <v>1141</v>
      </c>
      <c r="B334" s="7" t="s">
        <v>1142</v>
      </c>
      <c r="C334" s="8" t="s">
        <v>495</v>
      </c>
      <c r="D334" s="7" t="s">
        <v>496</v>
      </c>
      <c r="E334" s="7" t="s">
        <v>152</v>
      </c>
      <c r="F334" s="7" t="s">
        <v>152</v>
      </c>
      <c r="G334" s="9" t="n">
        <v>34290</v>
      </c>
      <c r="H334" s="5" t="n">
        <v>194</v>
      </c>
      <c r="I334" s="5" t="n">
        <v>87</v>
      </c>
      <c r="J334" s="5" t="n">
        <v>2018</v>
      </c>
      <c r="K334" s="7" t="s">
        <v>410</v>
      </c>
      <c r="L334" s="10" t="str">
        <f aca="false">INDEX(球隊主檔!$C$2:$C$31,MATCH($K334,球隊主檔!$A$2:$A$31,0))</f>
        <v>邁阿密馬林魚</v>
      </c>
      <c r="M334" s="11" t="n">
        <f aca="false">IF($C334="打者",COUNTIF(打擊成績!$B:$B,$A334),COUNTIF(投手成績!$B:$B,$A334))</f>
        <v>3</v>
      </c>
    </row>
    <row r="335" customFormat="false" ht="15" hidden="false" customHeight="false" outlineLevel="0" collapsed="false">
      <c r="A335" s="7" t="s">
        <v>1143</v>
      </c>
      <c r="B335" s="7" t="s">
        <v>1144</v>
      </c>
      <c r="C335" s="8" t="s">
        <v>495</v>
      </c>
      <c r="D335" s="7" t="s">
        <v>496</v>
      </c>
      <c r="E335" s="7" t="s">
        <v>126</v>
      </c>
      <c r="F335" s="7" t="s">
        <v>152</v>
      </c>
      <c r="G335" s="9" t="n">
        <v>36991</v>
      </c>
      <c r="H335" s="5" t="n">
        <v>196</v>
      </c>
      <c r="I335" s="5" t="n">
        <v>109</v>
      </c>
      <c r="J335" s="5" t="n">
        <v>2021</v>
      </c>
      <c r="K335" s="7" t="s">
        <v>410</v>
      </c>
      <c r="L335" s="10" t="str">
        <f aca="false">INDEX(球隊主檔!$C$2:$C$31,MATCH($K335,球隊主檔!$A$2:$A$31,0))</f>
        <v>邁阿密馬林魚</v>
      </c>
      <c r="M335" s="11" t="n">
        <f aca="false">IF($C335="打者",COUNTIF(打擊成績!$B:$B,$A335),COUNTIF(投手成績!$B:$B,$A335))</f>
        <v>3</v>
      </c>
    </row>
    <row r="336" customFormat="false" ht="15" hidden="false" customHeight="false" outlineLevel="0" collapsed="false">
      <c r="A336" s="7" t="s">
        <v>1145</v>
      </c>
      <c r="B336" s="7" t="s">
        <v>1146</v>
      </c>
      <c r="C336" s="8" t="s">
        <v>495</v>
      </c>
      <c r="D336" s="7" t="s">
        <v>496</v>
      </c>
      <c r="E336" s="7" t="s">
        <v>152</v>
      </c>
      <c r="F336" s="7" t="s">
        <v>152</v>
      </c>
      <c r="G336" s="9" t="n">
        <v>34465</v>
      </c>
      <c r="H336" s="5" t="n">
        <v>201</v>
      </c>
      <c r="I336" s="5" t="n">
        <v>84</v>
      </c>
      <c r="J336" s="5" t="n">
        <v>2016</v>
      </c>
      <c r="K336" s="7" t="s">
        <v>392</v>
      </c>
      <c r="L336" s="10" t="str">
        <f aca="false">INDEX(球隊主檔!$C$2:$C$31,MATCH($K336,球隊主檔!$A$2:$A$31,0))</f>
        <v>洛杉磯天使</v>
      </c>
      <c r="M336" s="11" t="n">
        <f aca="false">IF($C336="打者",COUNTIF(打擊成績!$B:$B,$A336),COUNTIF(投手成績!$B:$B,$A336))</f>
        <v>3</v>
      </c>
    </row>
    <row r="337" customFormat="false" ht="15" hidden="false" customHeight="false" outlineLevel="0" collapsed="false">
      <c r="A337" s="7" t="s">
        <v>1147</v>
      </c>
      <c r="B337" s="7" t="s">
        <v>1148</v>
      </c>
      <c r="C337" s="8" t="s">
        <v>495</v>
      </c>
      <c r="D337" s="7" t="s">
        <v>507</v>
      </c>
      <c r="E337" s="7" t="s">
        <v>152</v>
      </c>
      <c r="F337" s="7" t="s">
        <v>152</v>
      </c>
      <c r="G337" s="9" t="n">
        <v>34374</v>
      </c>
      <c r="H337" s="5" t="n">
        <v>179</v>
      </c>
      <c r="I337" s="5" t="n">
        <v>87</v>
      </c>
      <c r="J337" s="5" t="n">
        <v>2017</v>
      </c>
      <c r="K337" s="7" t="s">
        <v>410</v>
      </c>
      <c r="L337" s="10" t="str">
        <f aca="false">INDEX(球隊主檔!$C$2:$C$31,MATCH($K337,球隊主檔!$A$2:$A$31,0))</f>
        <v>邁阿密馬林魚</v>
      </c>
      <c r="M337" s="11" t="n">
        <f aca="false">IF($C337="打者",COUNTIF(打擊成績!$B:$B,$A337),COUNTIF(投手成績!$B:$B,$A337))</f>
        <v>2</v>
      </c>
    </row>
    <row r="338" customFormat="false" ht="15" hidden="false" customHeight="false" outlineLevel="0" collapsed="false">
      <c r="A338" s="7" t="s">
        <v>1149</v>
      </c>
      <c r="B338" s="7" t="s">
        <v>1150</v>
      </c>
      <c r="C338" s="8" t="s">
        <v>495</v>
      </c>
      <c r="D338" s="7" t="s">
        <v>507</v>
      </c>
      <c r="E338" s="7" t="s">
        <v>126</v>
      </c>
      <c r="F338" s="7" t="s">
        <v>152</v>
      </c>
      <c r="G338" s="9" t="n">
        <v>35813</v>
      </c>
      <c r="H338" s="5" t="n">
        <v>181</v>
      </c>
      <c r="I338" s="5" t="n">
        <v>96</v>
      </c>
      <c r="J338" s="5" t="n">
        <v>2023</v>
      </c>
      <c r="K338" s="7" t="s">
        <v>410</v>
      </c>
      <c r="L338" s="10" t="str">
        <f aca="false">INDEX(球隊主檔!$C$2:$C$31,MATCH($K338,球隊主檔!$A$2:$A$31,0))</f>
        <v>邁阿密馬林魚</v>
      </c>
      <c r="M338" s="11" t="n">
        <f aca="false">IF($C338="打者",COUNTIF(打擊成績!$B:$B,$A338),COUNTIF(投手成績!$B:$B,$A338))</f>
        <v>3</v>
      </c>
    </row>
    <row r="339" customFormat="false" ht="15" hidden="false" customHeight="false" outlineLevel="0" collapsed="false">
      <c r="A339" s="7" t="s">
        <v>1151</v>
      </c>
      <c r="B339" s="7" t="s">
        <v>1152</v>
      </c>
      <c r="C339" s="8" t="s">
        <v>495</v>
      </c>
      <c r="D339" s="7" t="s">
        <v>507</v>
      </c>
      <c r="E339" s="7" t="s">
        <v>152</v>
      </c>
      <c r="F339" s="7" t="s">
        <v>126</v>
      </c>
      <c r="G339" s="9" t="n">
        <v>33677</v>
      </c>
      <c r="H339" s="5" t="n">
        <v>185</v>
      </c>
      <c r="I339" s="5" t="n">
        <v>95</v>
      </c>
      <c r="J339" s="5" t="n">
        <v>2012</v>
      </c>
      <c r="K339" s="7" t="s">
        <v>410</v>
      </c>
      <c r="L339" s="10" t="str">
        <f aca="false">INDEX(球隊主檔!$C$2:$C$31,MATCH($K339,球隊主檔!$A$2:$A$31,0))</f>
        <v>邁阿密馬林魚</v>
      </c>
      <c r="M339" s="11" t="n">
        <f aca="false">IF($C339="打者",COUNTIF(打擊成績!$B:$B,$A339),COUNTIF(投手成績!$B:$B,$A339))</f>
        <v>3</v>
      </c>
    </row>
    <row r="340" customFormat="false" ht="15" hidden="false" customHeight="false" outlineLevel="0" collapsed="false">
      <c r="A340" s="7" t="s">
        <v>1153</v>
      </c>
      <c r="B340" s="7" t="s">
        <v>1154</v>
      </c>
      <c r="C340" s="8" t="s">
        <v>495</v>
      </c>
      <c r="D340" s="7" t="s">
        <v>507</v>
      </c>
      <c r="E340" s="7" t="s">
        <v>126</v>
      </c>
      <c r="F340" s="7" t="s">
        <v>152</v>
      </c>
      <c r="G340" s="9" t="n">
        <v>35851</v>
      </c>
      <c r="H340" s="5" t="n">
        <v>176</v>
      </c>
      <c r="I340" s="5" t="n">
        <v>103</v>
      </c>
      <c r="J340" s="5" t="n">
        <v>2022</v>
      </c>
      <c r="K340" s="7" t="s">
        <v>410</v>
      </c>
      <c r="L340" s="10" t="str">
        <f aca="false">INDEX(球隊主檔!$C$2:$C$31,MATCH($K340,球隊主檔!$A$2:$A$31,0))</f>
        <v>邁阿密馬林魚</v>
      </c>
      <c r="M340" s="11" t="n">
        <f aca="false">IF($C340="打者",COUNTIF(打擊成績!$B:$B,$A340),COUNTIF(投手成績!$B:$B,$A340))</f>
        <v>3</v>
      </c>
    </row>
    <row r="341" customFormat="false" ht="15" hidden="false" customHeight="false" outlineLevel="0" collapsed="false">
      <c r="A341" s="7" t="s">
        <v>1155</v>
      </c>
      <c r="B341" s="7" t="s">
        <v>1156</v>
      </c>
      <c r="C341" s="8" t="s">
        <v>495</v>
      </c>
      <c r="D341" s="7" t="s">
        <v>507</v>
      </c>
      <c r="E341" s="7" t="s">
        <v>152</v>
      </c>
      <c r="F341" s="7" t="s">
        <v>152</v>
      </c>
      <c r="G341" s="9" t="n">
        <v>35175</v>
      </c>
      <c r="H341" s="5" t="n">
        <v>200</v>
      </c>
      <c r="I341" s="5" t="n">
        <v>94</v>
      </c>
      <c r="J341" s="5" t="n">
        <v>2017</v>
      </c>
      <c r="K341" s="7" t="s">
        <v>410</v>
      </c>
      <c r="L341" s="10" t="str">
        <f aca="false">INDEX(球隊主檔!$C$2:$C$31,MATCH($K341,球隊主檔!$A$2:$A$31,0))</f>
        <v>邁阿密馬林魚</v>
      </c>
      <c r="M341" s="11" t="n">
        <f aca="false">IF($C341="打者",COUNTIF(打擊成績!$B:$B,$A341),COUNTIF(投手成績!$B:$B,$A341))</f>
        <v>1</v>
      </c>
    </row>
    <row r="342" customFormat="false" ht="15" hidden="false" customHeight="false" outlineLevel="0" collapsed="false">
      <c r="A342" s="7" t="s">
        <v>1157</v>
      </c>
      <c r="B342" s="7" t="s">
        <v>1158</v>
      </c>
      <c r="C342" s="8" t="s">
        <v>469</v>
      </c>
      <c r="D342" s="7" t="s">
        <v>483</v>
      </c>
      <c r="E342" s="7" t="s">
        <v>152</v>
      </c>
      <c r="F342" s="7" t="s">
        <v>152</v>
      </c>
      <c r="G342" s="9" t="n">
        <v>33400</v>
      </c>
      <c r="H342" s="5" t="n">
        <v>183</v>
      </c>
      <c r="I342" s="5" t="n">
        <v>85</v>
      </c>
      <c r="J342" s="5" t="n">
        <v>2012</v>
      </c>
      <c r="K342" s="7" t="s">
        <v>410</v>
      </c>
      <c r="L342" s="10" t="str">
        <f aca="false">INDEX(球隊主檔!$C$2:$C$31,MATCH($K342,球隊主檔!$A$2:$A$31,0))</f>
        <v>邁阿密馬林魚</v>
      </c>
      <c r="M342" s="11" t="n">
        <f aca="false">IF($C342="打者",COUNTIF(打擊成績!$B:$B,$A342),COUNTIF(投手成績!$B:$B,$A342))</f>
        <v>3</v>
      </c>
    </row>
    <row r="343" customFormat="false" ht="15" hidden="false" customHeight="false" outlineLevel="0" collapsed="false">
      <c r="A343" s="7" t="s">
        <v>1159</v>
      </c>
      <c r="B343" s="7" t="s">
        <v>1160</v>
      </c>
      <c r="C343" s="8" t="s">
        <v>469</v>
      </c>
      <c r="D343" s="7" t="s">
        <v>483</v>
      </c>
      <c r="E343" s="7" t="s">
        <v>152</v>
      </c>
      <c r="F343" s="7" t="s">
        <v>152</v>
      </c>
      <c r="G343" s="9" t="n">
        <v>35898</v>
      </c>
      <c r="H343" s="5" t="n">
        <v>176</v>
      </c>
      <c r="I343" s="5" t="n">
        <v>84</v>
      </c>
      <c r="J343" s="5" t="n">
        <v>2021</v>
      </c>
      <c r="K343" s="7" t="s">
        <v>430</v>
      </c>
      <c r="L343" s="10" t="str">
        <f aca="false">INDEX(球隊主檔!$C$2:$C$31,MATCH($K343,球隊主檔!$A$2:$A$31,0))</f>
        <v>辛辛那提紅人</v>
      </c>
      <c r="M343" s="11" t="n">
        <f aca="false">IF($C343="打者",COUNTIF(打擊成績!$B:$B,$A343),COUNTIF(投手成績!$B:$B,$A343))</f>
        <v>3</v>
      </c>
    </row>
    <row r="344" customFormat="false" ht="15" hidden="false" customHeight="false" outlineLevel="0" collapsed="false">
      <c r="A344" s="7" t="s">
        <v>1161</v>
      </c>
      <c r="B344" s="7" t="s">
        <v>1162</v>
      </c>
      <c r="C344" s="8" t="s">
        <v>469</v>
      </c>
      <c r="D344" s="7" t="s">
        <v>483</v>
      </c>
      <c r="E344" s="7" t="s">
        <v>152</v>
      </c>
      <c r="F344" s="7" t="s">
        <v>152</v>
      </c>
      <c r="G344" s="9" t="n">
        <v>34440</v>
      </c>
      <c r="H344" s="5" t="n">
        <v>200</v>
      </c>
      <c r="I344" s="5" t="n">
        <v>93</v>
      </c>
      <c r="J344" s="5" t="n">
        <v>2017</v>
      </c>
      <c r="K344" s="7" t="s">
        <v>414</v>
      </c>
      <c r="L344" s="10" t="str">
        <f aca="false">INDEX(球隊主檔!$C$2:$C$31,MATCH($K344,球隊主檔!$A$2:$A$31,0))</f>
        <v>紐約大都會</v>
      </c>
      <c r="M344" s="11" t="n">
        <f aca="false">IF($C344="打者",COUNTIF(打擊成績!$B:$B,$A344),COUNTIF(投手成績!$B:$B,$A344))</f>
        <v>3</v>
      </c>
    </row>
    <row r="345" customFormat="false" ht="15" hidden="false" customHeight="false" outlineLevel="0" collapsed="false">
      <c r="A345" s="7" t="s">
        <v>1163</v>
      </c>
      <c r="B345" s="7" t="s">
        <v>1164</v>
      </c>
      <c r="C345" s="8" t="s">
        <v>469</v>
      </c>
      <c r="D345" s="7" t="s">
        <v>63</v>
      </c>
      <c r="E345" s="7" t="s">
        <v>152</v>
      </c>
      <c r="F345" s="7" t="s">
        <v>152</v>
      </c>
      <c r="G345" s="9" t="n">
        <v>34330</v>
      </c>
      <c r="H345" s="5" t="n">
        <v>189</v>
      </c>
      <c r="I345" s="5" t="n">
        <v>88</v>
      </c>
      <c r="J345" s="5" t="n">
        <v>2016</v>
      </c>
      <c r="K345" s="7" t="s">
        <v>414</v>
      </c>
      <c r="L345" s="10" t="str">
        <f aca="false">INDEX(球隊主檔!$C$2:$C$31,MATCH($K345,球隊主檔!$A$2:$A$31,0))</f>
        <v>紐約大都會</v>
      </c>
      <c r="M345" s="11" t="n">
        <f aca="false">IF($C345="打者",COUNTIF(打擊成績!$B:$B,$A345),COUNTIF(投手成績!$B:$B,$A345))</f>
        <v>3</v>
      </c>
    </row>
    <row r="346" customFormat="false" ht="15" hidden="false" customHeight="false" outlineLevel="0" collapsed="false">
      <c r="A346" s="7" t="s">
        <v>1165</v>
      </c>
      <c r="B346" s="7" t="s">
        <v>1166</v>
      </c>
      <c r="C346" s="8" t="s">
        <v>469</v>
      </c>
      <c r="D346" s="7" t="s">
        <v>470</v>
      </c>
      <c r="E346" s="7" t="s">
        <v>152</v>
      </c>
      <c r="F346" s="7" t="s">
        <v>126</v>
      </c>
      <c r="G346" s="9" t="n">
        <v>35419</v>
      </c>
      <c r="H346" s="5" t="n">
        <v>183</v>
      </c>
      <c r="I346" s="5" t="n">
        <v>81</v>
      </c>
      <c r="J346" s="5" t="n">
        <v>2021</v>
      </c>
      <c r="K346" s="7" t="s">
        <v>414</v>
      </c>
      <c r="L346" s="10" t="str">
        <f aca="false">INDEX(球隊主檔!$C$2:$C$31,MATCH($K346,球隊主檔!$A$2:$A$31,0))</f>
        <v>紐約大都會</v>
      </c>
      <c r="M346" s="11" t="n">
        <f aca="false">IF($C346="打者",COUNTIF(打擊成績!$B:$B,$A346),COUNTIF(投手成績!$B:$B,$A346))</f>
        <v>3</v>
      </c>
    </row>
    <row r="347" customFormat="false" ht="15" hidden="false" customHeight="false" outlineLevel="0" collapsed="false">
      <c r="A347" s="7" t="s">
        <v>1167</v>
      </c>
      <c r="B347" s="7" t="s">
        <v>1168</v>
      </c>
      <c r="C347" s="8" t="s">
        <v>469</v>
      </c>
      <c r="D347" s="7" t="s">
        <v>473</v>
      </c>
      <c r="E347" s="7" t="s">
        <v>174</v>
      </c>
      <c r="F347" s="7" t="s">
        <v>152</v>
      </c>
      <c r="G347" s="9" t="n">
        <v>35678</v>
      </c>
      <c r="H347" s="5" t="n">
        <v>186</v>
      </c>
      <c r="I347" s="5" t="n">
        <v>109</v>
      </c>
      <c r="J347" s="5" t="n">
        <v>2019</v>
      </c>
      <c r="K347" s="7" t="s">
        <v>414</v>
      </c>
      <c r="L347" s="10" t="str">
        <f aca="false">INDEX(球隊主檔!$C$2:$C$31,MATCH($K347,球隊主檔!$A$2:$A$31,0))</f>
        <v>紐約大都會</v>
      </c>
      <c r="M347" s="11" t="n">
        <f aca="false">IF($C347="打者",COUNTIF(打擊成績!$B:$B,$A347),COUNTIF(投手成績!$B:$B,$A347))</f>
        <v>3</v>
      </c>
    </row>
    <row r="348" customFormat="false" ht="15" hidden="false" customHeight="false" outlineLevel="0" collapsed="false">
      <c r="A348" s="7" t="s">
        <v>1169</v>
      </c>
      <c r="B348" s="7" t="s">
        <v>1170</v>
      </c>
      <c r="C348" s="8" t="s">
        <v>469</v>
      </c>
      <c r="D348" s="7" t="s">
        <v>63</v>
      </c>
      <c r="E348" s="7" t="s">
        <v>152</v>
      </c>
      <c r="F348" s="7" t="s">
        <v>152</v>
      </c>
      <c r="G348" s="9" t="n">
        <v>34141</v>
      </c>
      <c r="H348" s="5" t="n">
        <v>180</v>
      </c>
      <c r="I348" s="5" t="n">
        <v>111</v>
      </c>
      <c r="J348" s="5" t="n">
        <v>2017</v>
      </c>
      <c r="K348" s="7" t="s">
        <v>414</v>
      </c>
      <c r="L348" s="10" t="str">
        <f aca="false">INDEX(球隊主檔!$C$2:$C$31,MATCH($K348,球隊主檔!$A$2:$A$31,0))</f>
        <v>紐約大都會</v>
      </c>
      <c r="M348" s="11" t="n">
        <f aca="false">IF($C348="打者",COUNTIF(打擊成績!$B:$B,$A348),COUNTIF(投手成績!$B:$B,$A348))</f>
        <v>1</v>
      </c>
    </row>
    <row r="349" customFormat="false" ht="15" hidden="false" customHeight="false" outlineLevel="0" collapsed="false">
      <c r="A349" s="7" t="s">
        <v>1171</v>
      </c>
      <c r="B349" s="7" t="s">
        <v>1172</v>
      </c>
      <c r="C349" s="8" t="s">
        <v>469</v>
      </c>
      <c r="D349" s="7" t="s">
        <v>162</v>
      </c>
      <c r="E349" s="7" t="s">
        <v>152</v>
      </c>
      <c r="F349" s="7" t="s">
        <v>152</v>
      </c>
      <c r="G349" s="9" t="n">
        <v>34275</v>
      </c>
      <c r="H349" s="5" t="n">
        <v>188</v>
      </c>
      <c r="I349" s="5" t="n">
        <v>96</v>
      </c>
      <c r="J349" s="5" t="n">
        <v>2013</v>
      </c>
      <c r="K349" s="7" t="s">
        <v>388</v>
      </c>
      <c r="L349" s="10" t="str">
        <f aca="false">INDEX(球隊主檔!$C$2:$C$31,MATCH($K349,球隊主檔!$A$2:$A$31,0))</f>
        <v>休士頓太空人</v>
      </c>
      <c r="M349" s="11" t="n">
        <f aca="false">IF($C349="打者",COUNTIF(打擊成績!$B:$B,$A349),COUNTIF(投手成績!$B:$B,$A349))</f>
        <v>2</v>
      </c>
    </row>
    <row r="350" customFormat="false" ht="15" hidden="false" customHeight="false" outlineLevel="0" collapsed="false">
      <c r="A350" s="7" t="s">
        <v>1173</v>
      </c>
      <c r="B350" s="7" t="s">
        <v>1174</v>
      </c>
      <c r="C350" s="8" t="s">
        <v>469</v>
      </c>
      <c r="D350" s="7" t="s">
        <v>158</v>
      </c>
      <c r="E350" s="7" t="s">
        <v>152</v>
      </c>
      <c r="F350" s="7" t="s">
        <v>126</v>
      </c>
      <c r="G350" s="9" t="n">
        <v>35171</v>
      </c>
      <c r="H350" s="5" t="n">
        <v>196</v>
      </c>
      <c r="I350" s="5" t="n">
        <v>101</v>
      </c>
      <c r="J350" s="5" t="n">
        <v>2019</v>
      </c>
      <c r="K350" s="7" t="s">
        <v>414</v>
      </c>
      <c r="L350" s="10" t="str">
        <f aca="false">INDEX(球隊主檔!$C$2:$C$31,MATCH($K350,球隊主檔!$A$2:$A$31,0))</f>
        <v>紐約大都會</v>
      </c>
      <c r="M350" s="11" t="n">
        <f aca="false">IF($C350="打者",COUNTIF(打擊成績!$B:$B,$A350),COUNTIF(投手成績!$B:$B,$A350))</f>
        <v>3</v>
      </c>
    </row>
    <row r="351" customFormat="false" ht="15" hidden="false" customHeight="false" outlineLevel="0" collapsed="false">
      <c r="A351" s="7" t="s">
        <v>1175</v>
      </c>
      <c r="B351" s="7" t="s">
        <v>1176</v>
      </c>
      <c r="C351" s="8" t="s">
        <v>469</v>
      </c>
      <c r="D351" s="7" t="s">
        <v>486</v>
      </c>
      <c r="E351" s="7" t="s">
        <v>152</v>
      </c>
      <c r="F351" s="7" t="s">
        <v>152</v>
      </c>
      <c r="G351" s="9" t="n">
        <v>36635</v>
      </c>
      <c r="H351" s="5" t="n">
        <v>186</v>
      </c>
      <c r="I351" s="5" t="n">
        <v>81</v>
      </c>
      <c r="J351" s="5" t="n">
        <v>2022</v>
      </c>
      <c r="K351" s="7" t="s">
        <v>371</v>
      </c>
      <c r="L351" s="10" t="str">
        <f aca="false">INDEX(球隊主檔!$C$2:$C$31,MATCH($K351,球隊主檔!$A$2:$A$31,0))</f>
        <v>底特律老虎</v>
      </c>
      <c r="M351" s="11" t="n">
        <f aca="false">IF($C351="打者",COUNTIF(打擊成績!$B:$B,$A351),COUNTIF(投手成績!$B:$B,$A351))</f>
        <v>3</v>
      </c>
    </row>
    <row r="352" customFormat="false" ht="15" hidden="false" customHeight="false" outlineLevel="0" collapsed="false">
      <c r="A352" s="7" t="s">
        <v>1177</v>
      </c>
      <c r="B352" s="7" t="s">
        <v>1178</v>
      </c>
      <c r="C352" s="8" t="s">
        <v>495</v>
      </c>
      <c r="D352" s="7" t="s">
        <v>496</v>
      </c>
      <c r="E352" s="7" t="s">
        <v>126</v>
      </c>
      <c r="F352" s="7" t="s">
        <v>152</v>
      </c>
      <c r="G352" s="9" t="n">
        <v>33495</v>
      </c>
      <c r="H352" s="5" t="n">
        <v>197</v>
      </c>
      <c r="I352" s="5" t="n">
        <v>81</v>
      </c>
      <c r="J352" s="5" t="n">
        <v>2016</v>
      </c>
      <c r="K352" s="7" t="s">
        <v>414</v>
      </c>
      <c r="L352" s="10" t="str">
        <f aca="false">INDEX(球隊主檔!$C$2:$C$31,MATCH($K352,球隊主檔!$A$2:$A$31,0))</f>
        <v>紐約大都會</v>
      </c>
      <c r="M352" s="11" t="n">
        <f aca="false">IF($C352="打者",COUNTIF(打擊成績!$B:$B,$A352),COUNTIF(投手成績!$B:$B,$A352))</f>
        <v>3</v>
      </c>
    </row>
    <row r="353" customFormat="false" ht="15" hidden="false" customHeight="false" outlineLevel="0" collapsed="false">
      <c r="A353" s="7" t="s">
        <v>1179</v>
      </c>
      <c r="B353" s="7" t="s">
        <v>1180</v>
      </c>
      <c r="C353" s="8" t="s">
        <v>495</v>
      </c>
      <c r="D353" s="7" t="s">
        <v>496</v>
      </c>
      <c r="E353" s="7" t="s">
        <v>152</v>
      </c>
      <c r="F353" s="7" t="s">
        <v>152</v>
      </c>
      <c r="G353" s="9" t="n">
        <v>35908</v>
      </c>
      <c r="H353" s="5" t="n">
        <v>196</v>
      </c>
      <c r="I353" s="5" t="n">
        <v>85</v>
      </c>
      <c r="J353" s="5" t="n">
        <v>2019</v>
      </c>
      <c r="K353" s="7" t="s">
        <v>414</v>
      </c>
      <c r="L353" s="10" t="str">
        <f aca="false">INDEX(球隊主檔!$C$2:$C$31,MATCH($K353,球隊主檔!$A$2:$A$31,0))</f>
        <v>紐約大都會</v>
      </c>
      <c r="M353" s="11" t="n">
        <f aca="false">IF($C353="打者",COUNTIF(打擊成績!$B:$B,$A353),COUNTIF(投手成績!$B:$B,$A353))</f>
        <v>3</v>
      </c>
    </row>
    <row r="354" customFormat="false" ht="15" hidden="false" customHeight="false" outlineLevel="0" collapsed="false">
      <c r="A354" s="7" t="s">
        <v>1181</v>
      </c>
      <c r="B354" s="7" t="s">
        <v>1182</v>
      </c>
      <c r="C354" s="8" t="s">
        <v>495</v>
      </c>
      <c r="D354" s="7" t="s">
        <v>496</v>
      </c>
      <c r="E354" s="7" t="s">
        <v>152</v>
      </c>
      <c r="F354" s="7" t="s">
        <v>126</v>
      </c>
      <c r="G354" s="9" t="n">
        <v>35238</v>
      </c>
      <c r="H354" s="5" t="n">
        <v>182</v>
      </c>
      <c r="I354" s="5" t="n">
        <v>80</v>
      </c>
      <c r="J354" s="5" t="n">
        <v>2019</v>
      </c>
      <c r="K354" s="7" t="s">
        <v>414</v>
      </c>
      <c r="L354" s="10" t="str">
        <f aca="false">INDEX(球隊主檔!$C$2:$C$31,MATCH($K354,球隊主檔!$A$2:$A$31,0))</f>
        <v>紐約大都會</v>
      </c>
      <c r="M354" s="11" t="n">
        <f aca="false">IF($C354="打者",COUNTIF(打擊成績!$B:$B,$A354),COUNTIF(投手成績!$B:$B,$A354))</f>
        <v>3</v>
      </c>
    </row>
    <row r="355" customFormat="false" ht="15" hidden="false" customHeight="false" outlineLevel="0" collapsed="false">
      <c r="A355" s="7" t="s">
        <v>1183</v>
      </c>
      <c r="B355" s="7" t="s">
        <v>1184</v>
      </c>
      <c r="C355" s="8" t="s">
        <v>495</v>
      </c>
      <c r="D355" s="7" t="s">
        <v>496</v>
      </c>
      <c r="E355" s="7" t="s">
        <v>126</v>
      </c>
      <c r="F355" s="7" t="s">
        <v>152</v>
      </c>
      <c r="G355" s="9" t="n">
        <v>36810</v>
      </c>
      <c r="H355" s="5" t="n">
        <v>198</v>
      </c>
      <c r="I355" s="5" t="n">
        <v>107</v>
      </c>
      <c r="J355" s="5" t="n">
        <v>2022</v>
      </c>
      <c r="K355" s="7" t="s">
        <v>414</v>
      </c>
      <c r="L355" s="10" t="str">
        <f aca="false">INDEX(球隊主檔!$C$2:$C$31,MATCH($K355,球隊主檔!$A$2:$A$31,0))</f>
        <v>紐約大都會</v>
      </c>
      <c r="M355" s="11" t="n">
        <f aca="false">IF($C355="打者",COUNTIF(打擊成績!$B:$B,$A355),COUNTIF(投手成績!$B:$B,$A355))</f>
        <v>3</v>
      </c>
    </row>
    <row r="356" customFormat="false" ht="15" hidden="false" customHeight="false" outlineLevel="0" collapsed="false">
      <c r="A356" s="7" t="s">
        <v>1185</v>
      </c>
      <c r="B356" s="7" t="s">
        <v>1186</v>
      </c>
      <c r="C356" s="8" t="s">
        <v>495</v>
      </c>
      <c r="D356" s="7" t="s">
        <v>496</v>
      </c>
      <c r="E356" s="7" t="s">
        <v>174</v>
      </c>
      <c r="F356" s="7" t="s">
        <v>152</v>
      </c>
      <c r="G356" s="9" t="n">
        <v>34543</v>
      </c>
      <c r="H356" s="5" t="n">
        <v>197</v>
      </c>
      <c r="I356" s="5" t="n">
        <v>79</v>
      </c>
      <c r="J356" s="5" t="n">
        <v>2014</v>
      </c>
      <c r="K356" s="7" t="s">
        <v>414</v>
      </c>
      <c r="L356" s="10" t="str">
        <f aca="false">INDEX(球隊主檔!$C$2:$C$31,MATCH($K356,球隊主檔!$A$2:$A$31,0))</f>
        <v>紐約大都會</v>
      </c>
      <c r="M356" s="11" t="n">
        <f aca="false">IF($C356="打者",COUNTIF(打擊成績!$B:$B,$A356),COUNTIF(投手成績!$B:$B,$A356))</f>
        <v>3</v>
      </c>
    </row>
    <row r="357" customFormat="false" ht="15" hidden="false" customHeight="false" outlineLevel="0" collapsed="false">
      <c r="A357" s="7" t="s">
        <v>1187</v>
      </c>
      <c r="B357" s="7" t="s">
        <v>1188</v>
      </c>
      <c r="C357" s="8" t="s">
        <v>495</v>
      </c>
      <c r="D357" s="7" t="s">
        <v>507</v>
      </c>
      <c r="E357" s="7" t="s">
        <v>152</v>
      </c>
      <c r="F357" s="7" t="s">
        <v>152</v>
      </c>
      <c r="G357" s="9" t="n">
        <v>36763</v>
      </c>
      <c r="H357" s="5" t="n">
        <v>197</v>
      </c>
      <c r="I357" s="5" t="n">
        <v>112</v>
      </c>
      <c r="J357" s="5" t="n">
        <v>2020</v>
      </c>
      <c r="K357" s="7" t="s">
        <v>414</v>
      </c>
      <c r="L357" s="10" t="str">
        <f aca="false">INDEX(球隊主檔!$C$2:$C$31,MATCH($K357,球隊主檔!$A$2:$A$31,0))</f>
        <v>紐約大都會</v>
      </c>
      <c r="M357" s="11" t="n">
        <f aca="false">IF($C357="打者",COUNTIF(打擊成績!$B:$B,$A357),COUNTIF(投手成績!$B:$B,$A357))</f>
        <v>3</v>
      </c>
    </row>
    <row r="358" customFormat="false" ht="15" hidden="false" customHeight="false" outlineLevel="0" collapsed="false">
      <c r="A358" s="7" t="s">
        <v>1189</v>
      </c>
      <c r="B358" s="7" t="s">
        <v>1190</v>
      </c>
      <c r="C358" s="8" t="s">
        <v>495</v>
      </c>
      <c r="D358" s="7" t="s">
        <v>507</v>
      </c>
      <c r="E358" s="7" t="s">
        <v>152</v>
      </c>
      <c r="F358" s="7" t="s">
        <v>152</v>
      </c>
      <c r="G358" s="9" t="n">
        <v>36467</v>
      </c>
      <c r="H358" s="5" t="n">
        <v>183</v>
      </c>
      <c r="I358" s="5" t="n">
        <v>97</v>
      </c>
      <c r="J358" s="5" t="n">
        <v>2021</v>
      </c>
      <c r="K358" s="7" t="s">
        <v>414</v>
      </c>
      <c r="L358" s="10" t="str">
        <f aca="false">INDEX(球隊主檔!$C$2:$C$31,MATCH($K358,球隊主檔!$A$2:$A$31,0))</f>
        <v>紐約大都會</v>
      </c>
      <c r="M358" s="11" t="n">
        <f aca="false">IF($C358="打者",COUNTIF(打擊成績!$B:$B,$A358),COUNTIF(投手成績!$B:$B,$A358))</f>
        <v>3</v>
      </c>
    </row>
    <row r="359" customFormat="false" ht="15" hidden="false" customHeight="false" outlineLevel="0" collapsed="false">
      <c r="A359" s="7" t="s">
        <v>1191</v>
      </c>
      <c r="B359" s="7" t="s">
        <v>1192</v>
      </c>
      <c r="C359" s="8" t="s">
        <v>495</v>
      </c>
      <c r="D359" s="7" t="s">
        <v>507</v>
      </c>
      <c r="E359" s="7" t="s">
        <v>126</v>
      </c>
      <c r="F359" s="7" t="s">
        <v>126</v>
      </c>
      <c r="G359" s="9" t="n">
        <v>35391</v>
      </c>
      <c r="H359" s="5" t="n">
        <v>189</v>
      </c>
      <c r="I359" s="5" t="n">
        <v>87</v>
      </c>
      <c r="J359" s="5" t="n">
        <v>2019</v>
      </c>
      <c r="K359" s="7" t="s">
        <v>414</v>
      </c>
      <c r="L359" s="10" t="str">
        <f aca="false">INDEX(球隊主檔!$C$2:$C$31,MATCH($K359,球隊主檔!$A$2:$A$31,0))</f>
        <v>紐約大都會</v>
      </c>
      <c r="M359" s="11" t="n">
        <f aca="false">IF($C359="打者",COUNTIF(打擊成績!$B:$B,$A359),COUNTIF(投手成績!$B:$B,$A359))</f>
        <v>3</v>
      </c>
    </row>
    <row r="360" customFormat="false" ht="15" hidden="false" customHeight="false" outlineLevel="0" collapsed="false">
      <c r="A360" s="7" t="s">
        <v>1193</v>
      </c>
      <c r="B360" s="7" t="s">
        <v>1194</v>
      </c>
      <c r="C360" s="8" t="s">
        <v>495</v>
      </c>
      <c r="D360" s="7" t="s">
        <v>507</v>
      </c>
      <c r="E360" s="7" t="s">
        <v>152</v>
      </c>
      <c r="F360" s="7" t="s">
        <v>152</v>
      </c>
      <c r="G360" s="9" t="n">
        <v>33983</v>
      </c>
      <c r="H360" s="5" t="n">
        <v>179</v>
      </c>
      <c r="I360" s="5" t="n">
        <v>97</v>
      </c>
      <c r="J360" s="5" t="n">
        <v>2015</v>
      </c>
      <c r="K360" s="7" t="s">
        <v>346</v>
      </c>
      <c r="L360" s="10" t="str">
        <f aca="false">INDEX(球隊主檔!$C$2:$C$31,MATCH($K360,球隊主檔!$A$2:$A$31,0))</f>
        <v>波士頓紅襪</v>
      </c>
      <c r="M360" s="11" t="n">
        <f aca="false">IF($C360="打者",COUNTIF(打擊成績!$B:$B,$A360),COUNTIF(投手成績!$B:$B,$A360))</f>
        <v>3</v>
      </c>
    </row>
    <row r="361" customFormat="false" ht="15" hidden="false" customHeight="false" outlineLevel="0" collapsed="false">
      <c r="A361" s="7" t="s">
        <v>1195</v>
      </c>
      <c r="B361" s="7" t="s">
        <v>1196</v>
      </c>
      <c r="C361" s="8" t="s">
        <v>495</v>
      </c>
      <c r="D361" s="7" t="s">
        <v>507</v>
      </c>
      <c r="E361" s="7" t="s">
        <v>152</v>
      </c>
      <c r="F361" s="7" t="s">
        <v>152</v>
      </c>
      <c r="G361" s="9" t="n">
        <v>32393</v>
      </c>
      <c r="H361" s="5" t="n">
        <v>189</v>
      </c>
      <c r="I361" s="5" t="n">
        <v>112</v>
      </c>
      <c r="J361" s="5" t="n">
        <v>2008</v>
      </c>
      <c r="K361" s="7" t="s">
        <v>414</v>
      </c>
      <c r="L361" s="10" t="str">
        <f aca="false">INDEX(球隊主檔!$C$2:$C$31,MATCH($K361,球隊主檔!$A$2:$A$31,0))</f>
        <v>紐約大都會</v>
      </c>
      <c r="M361" s="11" t="n">
        <f aca="false">IF($C361="打者",COUNTIF(打擊成績!$B:$B,$A361),COUNTIF(投手成績!$B:$B,$A361))</f>
        <v>1</v>
      </c>
    </row>
    <row r="362" customFormat="false" ht="15" hidden="false" customHeight="false" outlineLevel="0" collapsed="false">
      <c r="A362" s="7" t="s">
        <v>1197</v>
      </c>
      <c r="B362" s="7" t="s">
        <v>1198</v>
      </c>
      <c r="C362" s="8" t="s">
        <v>469</v>
      </c>
      <c r="D362" s="7" t="s">
        <v>483</v>
      </c>
      <c r="E362" s="7" t="s">
        <v>152</v>
      </c>
      <c r="F362" s="7" t="s">
        <v>126</v>
      </c>
      <c r="G362" s="9" t="n">
        <v>37151</v>
      </c>
      <c r="H362" s="5" t="n">
        <v>196</v>
      </c>
      <c r="I362" s="5" t="n">
        <v>110</v>
      </c>
      <c r="J362" s="5" t="n">
        <v>2023</v>
      </c>
      <c r="K362" s="7" t="s">
        <v>418</v>
      </c>
      <c r="L362" s="10" t="str">
        <f aca="false">INDEX(球隊主檔!$C$2:$C$31,MATCH($K362,球隊主檔!$A$2:$A$31,0))</f>
        <v>費城費城人</v>
      </c>
      <c r="M362" s="11" t="n">
        <f aca="false">IF($C362="打者",COUNTIF(打擊成績!$B:$B,$A362),COUNTIF(投手成績!$B:$B,$A362))</f>
        <v>2</v>
      </c>
    </row>
    <row r="363" customFormat="false" ht="15" hidden="false" customHeight="false" outlineLevel="0" collapsed="false">
      <c r="A363" s="7" t="s">
        <v>1199</v>
      </c>
      <c r="B363" s="7" t="s">
        <v>1200</v>
      </c>
      <c r="C363" s="8" t="s">
        <v>469</v>
      </c>
      <c r="D363" s="7" t="s">
        <v>470</v>
      </c>
      <c r="E363" s="7" t="s">
        <v>152</v>
      </c>
      <c r="F363" s="7" t="s">
        <v>152</v>
      </c>
      <c r="G363" s="9" t="n">
        <v>35229</v>
      </c>
      <c r="H363" s="5" t="n">
        <v>192</v>
      </c>
      <c r="I363" s="5" t="n">
        <v>102</v>
      </c>
      <c r="J363" s="5" t="n">
        <v>2019</v>
      </c>
      <c r="K363" s="7" t="s">
        <v>418</v>
      </c>
      <c r="L363" s="10" t="str">
        <f aca="false">INDEX(球隊主檔!$C$2:$C$31,MATCH($K363,球隊主檔!$A$2:$A$31,0))</f>
        <v>費城費城人</v>
      </c>
      <c r="M363" s="11" t="n">
        <f aca="false">IF($C363="打者",COUNTIF(打擊成績!$B:$B,$A363),COUNTIF(投手成績!$B:$B,$A363))</f>
        <v>1</v>
      </c>
    </row>
    <row r="364" customFormat="false" ht="15" hidden="false" customHeight="false" outlineLevel="0" collapsed="false">
      <c r="A364" s="7" t="s">
        <v>1201</v>
      </c>
      <c r="B364" s="7" t="s">
        <v>1202</v>
      </c>
      <c r="C364" s="8" t="s">
        <v>469</v>
      </c>
      <c r="D364" s="7" t="s">
        <v>63</v>
      </c>
      <c r="E364" s="7" t="s">
        <v>152</v>
      </c>
      <c r="F364" s="7" t="s">
        <v>152</v>
      </c>
      <c r="G364" s="9" t="n">
        <v>34260</v>
      </c>
      <c r="H364" s="5" t="n">
        <v>191</v>
      </c>
      <c r="I364" s="5" t="n">
        <v>108</v>
      </c>
      <c r="J364" s="5" t="n">
        <v>2013</v>
      </c>
      <c r="K364" s="7" t="s">
        <v>362</v>
      </c>
      <c r="L364" s="10" t="str">
        <f aca="false">INDEX(球隊主檔!$C$2:$C$31,MATCH($K364,球隊主檔!$A$2:$A$31,0))</f>
        <v>芝加哥白襪</v>
      </c>
      <c r="M364" s="11" t="n">
        <f aca="false">IF($C364="打者",COUNTIF(打擊成績!$B:$B,$A364),COUNTIF(投手成績!$B:$B,$A364))</f>
        <v>3</v>
      </c>
    </row>
    <row r="365" customFormat="false" ht="15" hidden="false" customHeight="false" outlineLevel="0" collapsed="false">
      <c r="A365" s="7" t="s">
        <v>1203</v>
      </c>
      <c r="B365" s="7" t="s">
        <v>1204</v>
      </c>
      <c r="C365" s="8" t="s">
        <v>469</v>
      </c>
      <c r="D365" s="7" t="s">
        <v>483</v>
      </c>
      <c r="E365" s="7" t="s">
        <v>126</v>
      </c>
      <c r="F365" s="7" t="s">
        <v>152</v>
      </c>
      <c r="G365" s="9" t="n">
        <v>36534</v>
      </c>
      <c r="H365" s="5" t="n">
        <v>181</v>
      </c>
      <c r="I365" s="5" t="n">
        <v>95</v>
      </c>
      <c r="J365" s="5" t="n">
        <v>2021</v>
      </c>
      <c r="K365" s="7" t="s">
        <v>418</v>
      </c>
      <c r="L365" s="10" t="str">
        <f aca="false">INDEX(球隊主檔!$C$2:$C$31,MATCH($K365,球隊主檔!$A$2:$A$31,0))</f>
        <v>費城費城人</v>
      </c>
      <c r="M365" s="11" t="n">
        <f aca="false">IF($C365="打者",COUNTIF(打擊成績!$B:$B,$A365),COUNTIF(投手成績!$B:$B,$A365))</f>
        <v>3</v>
      </c>
    </row>
    <row r="366" customFormat="false" ht="15" hidden="false" customHeight="false" outlineLevel="0" collapsed="false">
      <c r="A366" s="7" t="s">
        <v>1205</v>
      </c>
      <c r="B366" s="7" t="s">
        <v>1206</v>
      </c>
      <c r="C366" s="8" t="s">
        <v>469</v>
      </c>
      <c r="D366" s="7" t="s">
        <v>470</v>
      </c>
      <c r="E366" s="7" t="s">
        <v>126</v>
      </c>
      <c r="F366" s="7" t="s">
        <v>126</v>
      </c>
      <c r="G366" s="9" t="n">
        <v>34953</v>
      </c>
      <c r="H366" s="5" t="n">
        <v>201</v>
      </c>
      <c r="I366" s="5" t="n">
        <v>82</v>
      </c>
      <c r="J366" s="5" t="n">
        <v>2015</v>
      </c>
      <c r="K366" s="7" t="s">
        <v>418</v>
      </c>
      <c r="L366" s="10" t="str">
        <f aca="false">INDEX(球隊主檔!$C$2:$C$31,MATCH($K366,球隊主檔!$A$2:$A$31,0))</f>
        <v>費城費城人</v>
      </c>
      <c r="M366" s="11" t="n">
        <f aca="false">IF($C366="打者",COUNTIF(打擊成績!$B:$B,$A366),COUNTIF(投手成績!$B:$B,$A366))</f>
        <v>1</v>
      </c>
    </row>
    <row r="367" customFormat="false" ht="15" hidden="false" customHeight="false" outlineLevel="0" collapsed="false">
      <c r="A367" s="7" t="s">
        <v>1207</v>
      </c>
      <c r="B367" s="7" t="s">
        <v>1208</v>
      </c>
      <c r="C367" s="8" t="s">
        <v>469</v>
      </c>
      <c r="D367" s="7" t="s">
        <v>63</v>
      </c>
      <c r="E367" s="7" t="s">
        <v>152</v>
      </c>
      <c r="F367" s="7" t="s">
        <v>152</v>
      </c>
      <c r="G367" s="9" t="n">
        <v>36182</v>
      </c>
      <c r="H367" s="5" t="n">
        <v>179</v>
      </c>
      <c r="I367" s="5" t="n">
        <v>90</v>
      </c>
      <c r="J367" s="5" t="n">
        <v>2024</v>
      </c>
      <c r="K367" s="7" t="s">
        <v>418</v>
      </c>
      <c r="L367" s="10" t="str">
        <f aca="false">INDEX(球隊主檔!$C$2:$C$31,MATCH($K367,球隊主檔!$A$2:$A$31,0))</f>
        <v>費城費城人</v>
      </c>
      <c r="M367" s="11" t="n">
        <f aca="false">IF($C367="打者",COUNTIF(打擊成績!$B:$B,$A367),COUNTIF(投手成績!$B:$B,$A367))</f>
        <v>3</v>
      </c>
    </row>
    <row r="368" customFormat="false" ht="15" hidden="false" customHeight="false" outlineLevel="0" collapsed="false">
      <c r="A368" s="7" t="s">
        <v>1209</v>
      </c>
      <c r="B368" s="7" t="s">
        <v>1210</v>
      </c>
      <c r="C368" s="8" t="s">
        <v>469</v>
      </c>
      <c r="D368" s="7" t="s">
        <v>158</v>
      </c>
      <c r="E368" s="7" t="s">
        <v>152</v>
      </c>
      <c r="F368" s="7" t="s">
        <v>152</v>
      </c>
      <c r="G368" s="9" t="n">
        <v>35926</v>
      </c>
      <c r="H368" s="5" t="n">
        <v>193</v>
      </c>
      <c r="I368" s="5" t="n">
        <v>97</v>
      </c>
      <c r="J368" s="5" t="n">
        <v>2019</v>
      </c>
      <c r="K368" s="7" t="s">
        <v>418</v>
      </c>
      <c r="L368" s="10" t="str">
        <f aca="false">INDEX(球隊主檔!$C$2:$C$31,MATCH($K368,球隊主檔!$A$2:$A$31,0))</f>
        <v>費城費城人</v>
      </c>
      <c r="M368" s="11" t="n">
        <f aca="false">IF($C368="打者",COUNTIF(打擊成績!$B:$B,$A368),COUNTIF(投手成績!$B:$B,$A368))</f>
        <v>2</v>
      </c>
    </row>
    <row r="369" customFormat="false" ht="15" hidden="false" customHeight="false" outlineLevel="0" collapsed="false">
      <c r="A369" s="7" t="s">
        <v>1211</v>
      </c>
      <c r="B369" s="7" t="s">
        <v>1212</v>
      </c>
      <c r="C369" s="8" t="s">
        <v>469</v>
      </c>
      <c r="D369" s="7" t="s">
        <v>473</v>
      </c>
      <c r="E369" s="7" t="s">
        <v>126</v>
      </c>
      <c r="F369" s="7" t="s">
        <v>152</v>
      </c>
      <c r="G369" s="9" t="n">
        <v>35221</v>
      </c>
      <c r="H369" s="5" t="n">
        <v>177</v>
      </c>
      <c r="I369" s="5" t="n">
        <v>99</v>
      </c>
      <c r="J369" s="5" t="n">
        <v>2019</v>
      </c>
      <c r="K369" s="7" t="s">
        <v>396</v>
      </c>
      <c r="L369" s="10" t="str">
        <f aca="false">INDEX(球隊主檔!$C$2:$C$31,MATCH($K369,球隊主檔!$A$2:$A$31,0))</f>
        <v>西雅圖水手</v>
      </c>
      <c r="M369" s="11" t="n">
        <f aca="false">IF($C369="打者",COUNTIF(打擊成績!$B:$B,$A369),COUNTIF(投手成績!$B:$B,$A369))</f>
        <v>3</v>
      </c>
    </row>
    <row r="370" customFormat="false" ht="15" hidden="false" customHeight="false" outlineLevel="0" collapsed="false">
      <c r="A370" s="7" t="s">
        <v>1213</v>
      </c>
      <c r="B370" s="7" t="s">
        <v>1214</v>
      </c>
      <c r="C370" s="8" t="s">
        <v>469</v>
      </c>
      <c r="D370" s="7" t="s">
        <v>162</v>
      </c>
      <c r="E370" s="7" t="s">
        <v>152</v>
      </c>
      <c r="F370" s="7" t="s">
        <v>152</v>
      </c>
      <c r="G370" s="9" t="n">
        <v>35492</v>
      </c>
      <c r="H370" s="5" t="n">
        <v>188</v>
      </c>
      <c r="I370" s="5" t="n">
        <v>84</v>
      </c>
      <c r="J370" s="5" t="n">
        <v>2017</v>
      </c>
      <c r="K370" s="7" t="s">
        <v>418</v>
      </c>
      <c r="L370" s="10" t="str">
        <f aca="false">INDEX(球隊主檔!$C$2:$C$31,MATCH($K370,球隊主檔!$A$2:$A$31,0))</f>
        <v>費城費城人</v>
      </c>
      <c r="M370" s="11" t="n">
        <f aca="false">IF($C370="打者",COUNTIF(打擊成績!$B:$B,$A370),COUNTIF(投手成績!$B:$B,$A370))</f>
        <v>3</v>
      </c>
    </row>
    <row r="371" customFormat="false" ht="15" hidden="false" customHeight="false" outlineLevel="0" collapsed="false">
      <c r="A371" s="7" t="s">
        <v>1215</v>
      </c>
      <c r="B371" s="7" t="s">
        <v>1216</v>
      </c>
      <c r="C371" s="8" t="s">
        <v>469</v>
      </c>
      <c r="D371" s="7" t="s">
        <v>473</v>
      </c>
      <c r="E371" s="7" t="s">
        <v>152</v>
      </c>
      <c r="F371" s="7" t="s">
        <v>126</v>
      </c>
      <c r="G371" s="9" t="n">
        <v>34476</v>
      </c>
      <c r="H371" s="5" t="n">
        <v>185</v>
      </c>
      <c r="I371" s="5" t="n">
        <v>104</v>
      </c>
      <c r="J371" s="5" t="n">
        <v>2018</v>
      </c>
      <c r="K371" s="7" t="s">
        <v>418</v>
      </c>
      <c r="L371" s="10" t="str">
        <f aca="false">INDEX(球隊主檔!$C$2:$C$31,MATCH($K371,球隊主檔!$A$2:$A$31,0))</f>
        <v>費城費城人</v>
      </c>
      <c r="M371" s="11" t="n">
        <f aca="false">IF($C371="打者",COUNTIF(打擊成績!$B:$B,$A371),COUNTIF(投手成績!$B:$B,$A371))</f>
        <v>2</v>
      </c>
    </row>
    <row r="372" customFormat="false" ht="15" hidden="false" customHeight="false" outlineLevel="0" collapsed="false">
      <c r="A372" s="7" t="s">
        <v>1217</v>
      </c>
      <c r="B372" s="7" t="s">
        <v>1218</v>
      </c>
      <c r="C372" s="8" t="s">
        <v>495</v>
      </c>
      <c r="D372" s="7" t="s">
        <v>496</v>
      </c>
      <c r="E372" s="7" t="s">
        <v>152</v>
      </c>
      <c r="F372" s="7" t="s">
        <v>126</v>
      </c>
      <c r="G372" s="9" t="n">
        <v>35639</v>
      </c>
      <c r="H372" s="5" t="n">
        <v>190</v>
      </c>
      <c r="I372" s="5" t="n">
        <v>99</v>
      </c>
      <c r="J372" s="5" t="n">
        <v>2021</v>
      </c>
      <c r="K372" s="7" t="s">
        <v>418</v>
      </c>
      <c r="L372" s="10" t="str">
        <f aca="false">INDEX(球隊主檔!$C$2:$C$31,MATCH($K372,球隊主檔!$A$2:$A$31,0))</f>
        <v>費城費城人</v>
      </c>
      <c r="M372" s="11" t="n">
        <f aca="false">IF($C372="打者",COUNTIF(打擊成績!$B:$B,$A372),COUNTIF(投手成績!$B:$B,$A372))</f>
        <v>3</v>
      </c>
    </row>
    <row r="373" customFormat="false" ht="15" hidden="false" customHeight="false" outlineLevel="0" collapsed="false">
      <c r="A373" s="7" t="s">
        <v>1219</v>
      </c>
      <c r="B373" s="7" t="s">
        <v>1220</v>
      </c>
      <c r="C373" s="8" t="s">
        <v>495</v>
      </c>
      <c r="D373" s="7" t="s">
        <v>496</v>
      </c>
      <c r="E373" s="7" t="s">
        <v>152</v>
      </c>
      <c r="F373" s="7" t="s">
        <v>152</v>
      </c>
      <c r="G373" s="9" t="n">
        <v>36358</v>
      </c>
      <c r="H373" s="5" t="n">
        <v>188</v>
      </c>
      <c r="I373" s="5" t="n">
        <v>109</v>
      </c>
      <c r="J373" s="5" t="n">
        <v>2023</v>
      </c>
      <c r="K373" s="7" t="s">
        <v>418</v>
      </c>
      <c r="L373" s="10" t="str">
        <f aca="false">INDEX(球隊主檔!$C$2:$C$31,MATCH($K373,球隊主檔!$A$2:$A$31,0))</f>
        <v>費城費城人</v>
      </c>
      <c r="M373" s="11" t="n">
        <f aca="false">IF($C373="打者",COUNTIF(打擊成績!$B:$B,$A373),COUNTIF(投手成績!$B:$B,$A373))</f>
        <v>3</v>
      </c>
    </row>
    <row r="374" customFormat="false" ht="15" hidden="false" customHeight="false" outlineLevel="0" collapsed="false">
      <c r="A374" s="7" t="s">
        <v>1221</v>
      </c>
      <c r="B374" s="7" t="s">
        <v>1222</v>
      </c>
      <c r="C374" s="8" t="s">
        <v>495</v>
      </c>
      <c r="D374" s="7" t="s">
        <v>496</v>
      </c>
      <c r="E374" s="7" t="s">
        <v>152</v>
      </c>
      <c r="F374" s="7" t="s">
        <v>126</v>
      </c>
      <c r="G374" s="9" t="n">
        <v>32758</v>
      </c>
      <c r="H374" s="5" t="n">
        <v>200</v>
      </c>
      <c r="I374" s="5" t="n">
        <v>91</v>
      </c>
      <c r="J374" s="5" t="n">
        <v>2009</v>
      </c>
      <c r="K374" s="7" t="s">
        <v>463</v>
      </c>
      <c r="L374" s="10" t="str">
        <f aca="false">INDEX(球隊主檔!$C$2:$C$31,MATCH($K374,球隊主檔!$A$2:$A$31,0))</f>
        <v>舊金山巨人</v>
      </c>
      <c r="M374" s="11" t="n">
        <f aca="false">IF($C374="打者",COUNTIF(打擊成績!$B:$B,$A374),COUNTIF(投手成績!$B:$B,$A374))</f>
        <v>3</v>
      </c>
    </row>
    <row r="375" customFormat="false" ht="15" hidden="false" customHeight="false" outlineLevel="0" collapsed="false">
      <c r="A375" s="7" t="s">
        <v>1223</v>
      </c>
      <c r="B375" s="7" t="s">
        <v>1224</v>
      </c>
      <c r="C375" s="8" t="s">
        <v>495</v>
      </c>
      <c r="D375" s="7" t="s">
        <v>496</v>
      </c>
      <c r="E375" s="7" t="s">
        <v>152</v>
      </c>
      <c r="F375" s="7" t="s">
        <v>152</v>
      </c>
      <c r="G375" s="9" t="n">
        <v>35832</v>
      </c>
      <c r="H375" s="5" t="n">
        <v>196</v>
      </c>
      <c r="I375" s="5" t="n">
        <v>94</v>
      </c>
      <c r="J375" s="5" t="n">
        <v>2023</v>
      </c>
      <c r="K375" s="7" t="s">
        <v>418</v>
      </c>
      <c r="L375" s="10" t="str">
        <f aca="false">INDEX(球隊主檔!$C$2:$C$31,MATCH($K375,球隊主檔!$A$2:$A$31,0))</f>
        <v>費城費城人</v>
      </c>
      <c r="M375" s="11" t="n">
        <f aca="false">IF($C375="打者",COUNTIF(打擊成績!$B:$B,$A375),COUNTIF(投手成績!$B:$B,$A375))</f>
        <v>3</v>
      </c>
    </row>
    <row r="376" customFormat="false" ht="15" hidden="false" customHeight="false" outlineLevel="0" collapsed="false">
      <c r="A376" s="7" t="s">
        <v>1225</v>
      </c>
      <c r="B376" s="7" t="s">
        <v>1226</v>
      </c>
      <c r="C376" s="8" t="s">
        <v>495</v>
      </c>
      <c r="D376" s="7" t="s">
        <v>496</v>
      </c>
      <c r="E376" s="7" t="s">
        <v>152</v>
      </c>
      <c r="F376" s="7" t="s">
        <v>152</v>
      </c>
      <c r="G376" s="9" t="n">
        <v>33770</v>
      </c>
      <c r="H376" s="5" t="n">
        <v>183</v>
      </c>
      <c r="I376" s="5" t="n">
        <v>84</v>
      </c>
      <c r="J376" s="5" t="n">
        <v>2015</v>
      </c>
      <c r="K376" s="7" t="s">
        <v>418</v>
      </c>
      <c r="L376" s="10" t="str">
        <f aca="false">INDEX(球隊主檔!$C$2:$C$31,MATCH($K376,球隊主檔!$A$2:$A$31,0))</f>
        <v>費城費城人</v>
      </c>
      <c r="M376" s="11" t="n">
        <f aca="false">IF($C376="打者",COUNTIF(打擊成績!$B:$B,$A376),COUNTIF(投手成績!$B:$B,$A376))</f>
        <v>1</v>
      </c>
    </row>
    <row r="377" customFormat="false" ht="15" hidden="false" customHeight="false" outlineLevel="0" collapsed="false">
      <c r="A377" s="7" t="s">
        <v>1227</v>
      </c>
      <c r="B377" s="7" t="s">
        <v>1228</v>
      </c>
      <c r="C377" s="8" t="s">
        <v>495</v>
      </c>
      <c r="D377" s="7" t="s">
        <v>507</v>
      </c>
      <c r="E377" s="7" t="s">
        <v>152</v>
      </c>
      <c r="F377" s="7" t="s">
        <v>152</v>
      </c>
      <c r="G377" s="9" t="n">
        <v>36486</v>
      </c>
      <c r="H377" s="5" t="n">
        <v>190</v>
      </c>
      <c r="I377" s="5" t="n">
        <v>110</v>
      </c>
      <c r="J377" s="5" t="n">
        <v>2023</v>
      </c>
      <c r="K377" s="7" t="s">
        <v>418</v>
      </c>
      <c r="L377" s="10" t="str">
        <f aca="false">INDEX(球隊主檔!$C$2:$C$31,MATCH($K377,球隊主檔!$A$2:$A$31,0))</f>
        <v>費城費城人</v>
      </c>
      <c r="M377" s="11" t="n">
        <f aca="false">IF($C377="打者",COUNTIF(打擊成績!$B:$B,$A377),COUNTIF(投手成績!$B:$B,$A377))</f>
        <v>3</v>
      </c>
    </row>
    <row r="378" customFormat="false" ht="15" hidden="false" customHeight="false" outlineLevel="0" collapsed="false">
      <c r="A378" s="7" t="s">
        <v>1229</v>
      </c>
      <c r="B378" s="7" t="s">
        <v>1230</v>
      </c>
      <c r="C378" s="8" t="s">
        <v>495</v>
      </c>
      <c r="D378" s="7" t="s">
        <v>507</v>
      </c>
      <c r="E378" s="7" t="s">
        <v>126</v>
      </c>
      <c r="F378" s="7" t="s">
        <v>152</v>
      </c>
      <c r="G378" s="9" t="n">
        <v>33218</v>
      </c>
      <c r="H378" s="5" t="n">
        <v>180</v>
      </c>
      <c r="I378" s="5" t="n">
        <v>107</v>
      </c>
      <c r="J378" s="5" t="n">
        <v>2014</v>
      </c>
      <c r="K378" s="7" t="s">
        <v>418</v>
      </c>
      <c r="L378" s="10" t="str">
        <f aca="false">INDEX(球隊主檔!$C$2:$C$31,MATCH($K378,球隊主檔!$A$2:$A$31,0))</f>
        <v>費城費城人</v>
      </c>
      <c r="M378" s="11" t="n">
        <f aca="false">IF($C378="打者",COUNTIF(打擊成績!$B:$B,$A378),COUNTIF(投手成績!$B:$B,$A378))</f>
        <v>1</v>
      </c>
    </row>
    <row r="379" customFormat="false" ht="15" hidden="false" customHeight="false" outlineLevel="0" collapsed="false">
      <c r="A379" s="7" t="s">
        <v>1231</v>
      </c>
      <c r="B379" s="7" t="s">
        <v>1232</v>
      </c>
      <c r="C379" s="8" t="s">
        <v>495</v>
      </c>
      <c r="D379" s="7" t="s">
        <v>507</v>
      </c>
      <c r="E379" s="7" t="s">
        <v>152</v>
      </c>
      <c r="F379" s="7" t="s">
        <v>152</v>
      </c>
      <c r="G379" s="9" t="n">
        <v>35380</v>
      </c>
      <c r="H379" s="5" t="n">
        <v>190</v>
      </c>
      <c r="I379" s="5" t="n">
        <v>88</v>
      </c>
      <c r="J379" s="5" t="n">
        <v>2016</v>
      </c>
      <c r="K379" s="7" t="s">
        <v>418</v>
      </c>
      <c r="L379" s="10" t="str">
        <f aca="false">INDEX(球隊主檔!$C$2:$C$31,MATCH($K379,球隊主檔!$A$2:$A$31,0))</f>
        <v>費城費城人</v>
      </c>
      <c r="M379" s="11" t="n">
        <f aca="false">IF($C379="打者",COUNTIF(打擊成績!$B:$B,$A379),COUNTIF(投手成績!$B:$B,$A379))</f>
        <v>3</v>
      </c>
    </row>
    <row r="380" customFormat="false" ht="15" hidden="false" customHeight="false" outlineLevel="0" collapsed="false">
      <c r="A380" s="7" t="s">
        <v>1233</v>
      </c>
      <c r="B380" s="7" t="s">
        <v>1234</v>
      </c>
      <c r="C380" s="8" t="s">
        <v>495</v>
      </c>
      <c r="D380" s="7" t="s">
        <v>507</v>
      </c>
      <c r="E380" s="7" t="s">
        <v>126</v>
      </c>
      <c r="F380" s="7" t="s">
        <v>152</v>
      </c>
      <c r="G380" s="9" t="n">
        <v>33046</v>
      </c>
      <c r="H380" s="5" t="n">
        <v>177</v>
      </c>
      <c r="I380" s="5" t="n">
        <v>97</v>
      </c>
      <c r="J380" s="5" t="n">
        <v>2012</v>
      </c>
      <c r="K380" s="7" t="s">
        <v>418</v>
      </c>
      <c r="L380" s="10" t="str">
        <f aca="false">INDEX(球隊主檔!$C$2:$C$31,MATCH($K380,球隊主檔!$A$2:$A$31,0))</f>
        <v>費城費城人</v>
      </c>
      <c r="M380" s="11" t="n">
        <f aca="false">IF($C380="打者",COUNTIF(打擊成績!$B:$B,$A380),COUNTIF(投手成績!$B:$B,$A380))</f>
        <v>3</v>
      </c>
    </row>
    <row r="381" customFormat="false" ht="15" hidden="false" customHeight="false" outlineLevel="0" collapsed="false">
      <c r="A381" s="7" t="s">
        <v>1235</v>
      </c>
      <c r="B381" s="7" t="s">
        <v>1236</v>
      </c>
      <c r="C381" s="8" t="s">
        <v>495</v>
      </c>
      <c r="D381" s="7" t="s">
        <v>507</v>
      </c>
      <c r="E381" s="7" t="s">
        <v>152</v>
      </c>
      <c r="F381" s="7" t="s">
        <v>126</v>
      </c>
      <c r="G381" s="9" t="n">
        <v>34725</v>
      </c>
      <c r="H381" s="5" t="n">
        <v>178</v>
      </c>
      <c r="I381" s="5" t="n">
        <v>111</v>
      </c>
      <c r="J381" s="5" t="n">
        <v>2016</v>
      </c>
      <c r="K381" s="7" t="s">
        <v>418</v>
      </c>
      <c r="L381" s="10" t="str">
        <f aca="false">INDEX(球隊主檔!$C$2:$C$31,MATCH($K381,球隊主檔!$A$2:$A$31,0))</f>
        <v>費城費城人</v>
      </c>
      <c r="M381" s="11" t="n">
        <f aca="false">IF($C381="打者",COUNTIF(打擊成績!$B:$B,$A381),COUNTIF(投手成績!$B:$B,$A381))</f>
        <v>3</v>
      </c>
    </row>
    <row r="382" customFormat="false" ht="15" hidden="false" customHeight="false" outlineLevel="0" collapsed="false">
      <c r="A382" s="7" t="s">
        <v>1237</v>
      </c>
      <c r="B382" s="7" t="s">
        <v>1238</v>
      </c>
      <c r="C382" s="8" t="s">
        <v>469</v>
      </c>
      <c r="D382" s="7" t="s">
        <v>486</v>
      </c>
      <c r="E382" s="7" t="s">
        <v>152</v>
      </c>
      <c r="F382" s="7" t="s">
        <v>152</v>
      </c>
      <c r="G382" s="9" t="n">
        <v>34763</v>
      </c>
      <c r="H382" s="5" t="n">
        <v>176</v>
      </c>
      <c r="I382" s="5" t="n">
        <v>105</v>
      </c>
      <c r="J382" s="5" t="n">
        <v>2017</v>
      </c>
      <c r="K382" s="7" t="s">
        <v>422</v>
      </c>
      <c r="L382" s="10" t="str">
        <f aca="false">INDEX(球隊主檔!$C$2:$C$31,MATCH($K382,球隊主檔!$A$2:$A$31,0))</f>
        <v>華盛頓國民</v>
      </c>
      <c r="M382" s="11" t="n">
        <f aca="false">IF($C382="打者",COUNTIF(打擊成績!$B:$B,$A382),COUNTIF(投手成績!$B:$B,$A382))</f>
        <v>3</v>
      </c>
    </row>
    <row r="383" customFormat="false" ht="15" hidden="false" customHeight="false" outlineLevel="0" collapsed="false">
      <c r="A383" s="7" t="s">
        <v>1239</v>
      </c>
      <c r="B383" s="7" t="s">
        <v>1240</v>
      </c>
      <c r="C383" s="8" t="s">
        <v>469</v>
      </c>
      <c r="D383" s="7" t="s">
        <v>522</v>
      </c>
      <c r="E383" s="7" t="s">
        <v>152</v>
      </c>
      <c r="F383" s="7" t="s">
        <v>126</v>
      </c>
      <c r="G383" s="9" t="n">
        <v>35815</v>
      </c>
      <c r="H383" s="5" t="n">
        <v>188</v>
      </c>
      <c r="I383" s="5" t="n">
        <v>84</v>
      </c>
      <c r="J383" s="5" t="n">
        <v>2023</v>
      </c>
      <c r="K383" s="7" t="s">
        <v>442</v>
      </c>
      <c r="L383" s="10" t="str">
        <f aca="false">INDEX(球隊主檔!$C$2:$C$31,MATCH($K383,球隊主檔!$A$2:$A$31,0))</f>
        <v>聖路易紅雀</v>
      </c>
      <c r="M383" s="11" t="n">
        <f aca="false">IF($C383="打者",COUNTIF(打擊成績!$B:$B,$A383),COUNTIF(投手成績!$B:$B,$A383))</f>
        <v>3</v>
      </c>
    </row>
    <row r="384" customFormat="false" ht="15" hidden="false" customHeight="false" outlineLevel="0" collapsed="false">
      <c r="A384" s="7" t="s">
        <v>1241</v>
      </c>
      <c r="B384" s="7" t="s">
        <v>1242</v>
      </c>
      <c r="C384" s="8" t="s">
        <v>469</v>
      </c>
      <c r="D384" s="7" t="s">
        <v>478</v>
      </c>
      <c r="E384" s="7" t="s">
        <v>126</v>
      </c>
      <c r="F384" s="7" t="s">
        <v>152</v>
      </c>
      <c r="G384" s="9" t="n">
        <v>34416</v>
      </c>
      <c r="H384" s="5" t="n">
        <v>194</v>
      </c>
      <c r="I384" s="5" t="n">
        <v>104</v>
      </c>
      <c r="J384" s="5" t="n">
        <v>2019</v>
      </c>
      <c r="K384" s="7" t="s">
        <v>434</v>
      </c>
      <c r="L384" s="10" t="str">
        <f aca="false">INDEX(球隊主檔!$C$2:$C$31,MATCH($K384,球隊主檔!$A$2:$A$31,0))</f>
        <v>密爾瓦基釀酒人</v>
      </c>
      <c r="M384" s="11" t="n">
        <f aca="false">IF($C384="打者",COUNTIF(打擊成績!$B:$B,$A384),COUNTIF(投手成績!$B:$B,$A384))</f>
        <v>3</v>
      </c>
    </row>
    <row r="385" customFormat="false" ht="15" hidden="false" customHeight="false" outlineLevel="0" collapsed="false">
      <c r="A385" s="7" t="s">
        <v>1243</v>
      </c>
      <c r="B385" s="7" t="s">
        <v>1244</v>
      </c>
      <c r="C385" s="8" t="s">
        <v>469</v>
      </c>
      <c r="D385" s="7" t="s">
        <v>483</v>
      </c>
      <c r="E385" s="7" t="s">
        <v>152</v>
      </c>
      <c r="F385" s="7" t="s">
        <v>126</v>
      </c>
      <c r="G385" s="9" t="n">
        <v>34370</v>
      </c>
      <c r="H385" s="5" t="n">
        <v>198</v>
      </c>
      <c r="I385" s="5" t="n">
        <v>88</v>
      </c>
      <c r="J385" s="5" t="n">
        <v>2018</v>
      </c>
      <c r="K385" s="7" t="s">
        <v>422</v>
      </c>
      <c r="L385" s="10" t="str">
        <f aca="false">INDEX(球隊主檔!$C$2:$C$31,MATCH($K385,球隊主檔!$A$2:$A$31,0))</f>
        <v>華盛頓國民</v>
      </c>
      <c r="M385" s="11" t="n">
        <f aca="false">IF($C385="打者",COUNTIF(打擊成績!$B:$B,$A385),COUNTIF(投手成績!$B:$B,$A385))</f>
        <v>3</v>
      </c>
    </row>
    <row r="386" customFormat="false" ht="15" hidden="false" customHeight="false" outlineLevel="0" collapsed="false">
      <c r="A386" s="7" t="s">
        <v>1245</v>
      </c>
      <c r="B386" s="7" t="s">
        <v>1246</v>
      </c>
      <c r="C386" s="8" t="s">
        <v>469</v>
      </c>
      <c r="D386" s="7" t="s">
        <v>483</v>
      </c>
      <c r="E386" s="7" t="s">
        <v>152</v>
      </c>
      <c r="F386" s="7" t="s">
        <v>126</v>
      </c>
      <c r="G386" s="9" t="n">
        <v>34565</v>
      </c>
      <c r="H386" s="5" t="n">
        <v>194</v>
      </c>
      <c r="I386" s="5" t="n">
        <v>86</v>
      </c>
      <c r="J386" s="5" t="n">
        <v>2014</v>
      </c>
      <c r="K386" s="7" t="s">
        <v>422</v>
      </c>
      <c r="L386" s="10" t="str">
        <f aca="false">INDEX(球隊主檔!$C$2:$C$31,MATCH($K386,球隊主檔!$A$2:$A$31,0))</f>
        <v>華盛頓國民</v>
      </c>
      <c r="M386" s="11" t="n">
        <f aca="false">IF($C386="打者",COUNTIF(打擊成績!$B:$B,$A386),COUNTIF(投手成績!$B:$B,$A386))</f>
        <v>3</v>
      </c>
    </row>
    <row r="387" customFormat="false" ht="15" hidden="false" customHeight="false" outlineLevel="0" collapsed="false">
      <c r="A387" s="7" t="s">
        <v>1247</v>
      </c>
      <c r="B387" s="7" t="s">
        <v>1248</v>
      </c>
      <c r="C387" s="8" t="s">
        <v>469</v>
      </c>
      <c r="D387" s="7" t="s">
        <v>483</v>
      </c>
      <c r="E387" s="7" t="s">
        <v>152</v>
      </c>
      <c r="F387" s="7" t="s">
        <v>126</v>
      </c>
      <c r="G387" s="9" t="n">
        <v>35593</v>
      </c>
      <c r="H387" s="5" t="n">
        <v>201</v>
      </c>
      <c r="I387" s="5" t="n">
        <v>93</v>
      </c>
      <c r="J387" s="5" t="n">
        <v>2020</v>
      </c>
      <c r="K387" s="7" t="s">
        <v>422</v>
      </c>
      <c r="L387" s="10" t="str">
        <f aca="false">INDEX(球隊主檔!$C$2:$C$31,MATCH($K387,球隊主檔!$A$2:$A$31,0))</f>
        <v>華盛頓國民</v>
      </c>
      <c r="M387" s="11" t="n">
        <f aca="false">IF($C387="打者",COUNTIF(打擊成績!$B:$B,$A387),COUNTIF(投手成績!$B:$B,$A387))</f>
        <v>3</v>
      </c>
    </row>
    <row r="388" customFormat="false" ht="15" hidden="false" customHeight="false" outlineLevel="0" collapsed="false">
      <c r="A388" s="7" t="s">
        <v>1249</v>
      </c>
      <c r="B388" s="7" t="s">
        <v>1250</v>
      </c>
      <c r="C388" s="8" t="s">
        <v>469</v>
      </c>
      <c r="D388" s="7" t="s">
        <v>483</v>
      </c>
      <c r="E388" s="7" t="s">
        <v>152</v>
      </c>
      <c r="F388" s="7" t="s">
        <v>152</v>
      </c>
      <c r="G388" s="9" t="n">
        <v>35534</v>
      </c>
      <c r="H388" s="5" t="n">
        <v>196</v>
      </c>
      <c r="I388" s="5" t="n">
        <v>92</v>
      </c>
      <c r="J388" s="5" t="n">
        <v>2019</v>
      </c>
      <c r="K388" s="7" t="s">
        <v>422</v>
      </c>
      <c r="L388" s="10" t="str">
        <f aca="false">INDEX(球隊主檔!$C$2:$C$31,MATCH($K388,球隊主檔!$A$2:$A$31,0))</f>
        <v>華盛頓國民</v>
      </c>
      <c r="M388" s="11" t="n">
        <f aca="false">IF($C388="打者",COUNTIF(打擊成績!$B:$B,$A388),COUNTIF(投手成績!$B:$B,$A388))</f>
        <v>3</v>
      </c>
    </row>
    <row r="389" customFormat="false" ht="15" hidden="false" customHeight="false" outlineLevel="0" collapsed="false">
      <c r="A389" s="7" t="s">
        <v>1251</v>
      </c>
      <c r="B389" s="7" t="s">
        <v>1252</v>
      </c>
      <c r="C389" s="8" t="s">
        <v>469</v>
      </c>
      <c r="D389" s="7" t="s">
        <v>63</v>
      </c>
      <c r="E389" s="7" t="s">
        <v>126</v>
      </c>
      <c r="F389" s="7" t="s">
        <v>126</v>
      </c>
      <c r="G389" s="9" t="n">
        <v>35597</v>
      </c>
      <c r="H389" s="5" t="n">
        <v>193</v>
      </c>
      <c r="I389" s="5" t="n">
        <v>81</v>
      </c>
      <c r="J389" s="5" t="n">
        <v>2021</v>
      </c>
      <c r="K389" s="7" t="s">
        <v>422</v>
      </c>
      <c r="L389" s="10" t="str">
        <f aca="false">INDEX(球隊主檔!$C$2:$C$31,MATCH($K389,球隊主檔!$A$2:$A$31,0))</f>
        <v>華盛頓國民</v>
      </c>
      <c r="M389" s="11" t="n">
        <f aca="false">IF($C389="打者",COUNTIF(打擊成績!$B:$B,$A389),COUNTIF(投手成績!$B:$B,$A389))</f>
        <v>1</v>
      </c>
    </row>
    <row r="390" customFormat="false" ht="15" hidden="false" customHeight="false" outlineLevel="0" collapsed="false">
      <c r="A390" s="7" t="s">
        <v>1253</v>
      </c>
      <c r="B390" s="7" t="s">
        <v>1254</v>
      </c>
      <c r="C390" s="8" t="s">
        <v>469</v>
      </c>
      <c r="D390" s="7" t="s">
        <v>478</v>
      </c>
      <c r="E390" s="7" t="s">
        <v>152</v>
      </c>
      <c r="F390" s="7" t="s">
        <v>152</v>
      </c>
      <c r="G390" s="9" t="n">
        <v>35318</v>
      </c>
      <c r="H390" s="5" t="n">
        <v>186</v>
      </c>
      <c r="I390" s="5" t="n">
        <v>96</v>
      </c>
      <c r="J390" s="5" t="n">
        <v>2017</v>
      </c>
      <c r="K390" s="7" t="s">
        <v>422</v>
      </c>
      <c r="L390" s="10" t="str">
        <f aca="false">INDEX(球隊主檔!$C$2:$C$31,MATCH($K390,球隊主檔!$A$2:$A$31,0))</f>
        <v>華盛頓國民</v>
      </c>
      <c r="M390" s="11" t="n">
        <f aca="false">IF($C390="打者",COUNTIF(打擊成績!$B:$B,$A390),COUNTIF(投手成績!$B:$B,$A390))</f>
        <v>1</v>
      </c>
    </row>
    <row r="391" customFormat="false" ht="15" hidden="false" customHeight="false" outlineLevel="0" collapsed="false">
      <c r="A391" s="7" t="s">
        <v>1255</v>
      </c>
      <c r="B391" s="7" t="s">
        <v>1256</v>
      </c>
      <c r="C391" s="8" t="s">
        <v>469</v>
      </c>
      <c r="D391" s="7" t="s">
        <v>473</v>
      </c>
      <c r="E391" s="7" t="s">
        <v>152</v>
      </c>
      <c r="F391" s="7" t="s">
        <v>152</v>
      </c>
      <c r="G391" s="9" t="n">
        <v>33097</v>
      </c>
      <c r="H391" s="5" t="n">
        <v>188</v>
      </c>
      <c r="I391" s="5" t="n">
        <v>88</v>
      </c>
      <c r="J391" s="5" t="n">
        <v>2012</v>
      </c>
      <c r="K391" s="7" t="s">
        <v>422</v>
      </c>
      <c r="L391" s="10" t="str">
        <f aca="false">INDEX(球隊主檔!$C$2:$C$31,MATCH($K391,球隊主檔!$A$2:$A$31,0))</f>
        <v>華盛頓國民</v>
      </c>
      <c r="M391" s="11" t="n">
        <f aca="false">IF($C391="打者",COUNTIF(打擊成績!$B:$B,$A391),COUNTIF(投手成績!$B:$B,$A391))</f>
        <v>2</v>
      </c>
    </row>
    <row r="392" customFormat="false" ht="15" hidden="false" customHeight="false" outlineLevel="0" collapsed="false">
      <c r="A392" s="7" t="s">
        <v>1257</v>
      </c>
      <c r="B392" s="7" t="s">
        <v>1258</v>
      </c>
      <c r="C392" s="8" t="s">
        <v>495</v>
      </c>
      <c r="D392" s="7" t="s">
        <v>496</v>
      </c>
      <c r="E392" s="7" t="s">
        <v>152</v>
      </c>
      <c r="F392" s="7" t="s">
        <v>152</v>
      </c>
      <c r="G392" s="9" t="n">
        <v>34021</v>
      </c>
      <c r="H392" s="5" t="n">
        <v>190</v>
      </c>
      <c r="I392" s="5" t="n">
        <v>112</v>
      </c>
      <c r="J392" s="5" t="n">
        <v>2013</v>
      </c>
      <c r="K392" s="7" t="s">
        <v>422</v>
      </c>
      <c r="L392" s="10" t="str">
        <f aca="false">INDEX(球隊主檔!$C$2:$C$31,MATCH($K392,球隊主檔!$A$2:$A$31,0))</f>
        <v>華盛頓國民</v>
      </c>
      <c r="M392" s="11" t="n">
        <f aca="false">IF($C392="打者",COUNTIF(打擊成績!$B:$B,$A392),COUNTIF(投手成績!$B:$B,$A392))</f>
        <v>1</v>
      </c>
    </row>
    <row r="393" customFormat="false" ht="15" hidden="false" customHeight="false" outlineLevel="0" collapsed="false">
      <c r="A393" s="7" t="s">
        <v>1259</v>
      </c>
      <c r="B393" s="7" t="s">
        <v>1260</v>
      </c>
      <c r="C393" s="8" t="s">
        <v>495</v>
      </c>
      <c r="D393" s="7" t="s">
        <v>496</v>
      </c>
      <c r="E393" s="7" t="s">
        <v>152</v>
      </c>
      <c r="F393" s="7" t="s">
        <v>152</v>
      </c>
      <c r="G393" s="9" t="n">
        <v>33552</v>
      </c>
      <c r="H393" s="5" t="n">
        <v>197</v>
      </c>
      <c r="I393" s="5" t="n">
        <v>102</v>
      </c>
      <c r="J393" s="5" t="n">
        <v>2014</v>
      </c>
      <c r="K393" s="7" t="s">
        <v>422</v>
      </c>
      <c r="L393" s="10" t="str">
        <f aca="false">INDEX(球隊主檔!$C$2:$C$31,MATCH($K393,球隊主檔!$A$2:$A$31,0))</f>
        <v>華盛頓國民</v>
      </c>
      <c r="M393" s="11" t="n">
        <f aca="false">IF($C393="打者",COUNTIF(打擊成績!$B:$B,$A393),COUNTIF(投手成績!$B:$B,$A393))</f>
        <v>3</v>
      </c>
    </row>
    <row r="394" customFormat="false" ht="15" hidden="false" customHeight="false" outlineLevel="0" collapsed="false">
      <c r="A394" s="7" t="s">
        <v>1261</v>
      </c>
      <c r="B394" s="7" t="s">
        <v>1262</v>
      </c>
      <c r="C394" s="8" t="s">
        <v>495</v>
      </c>
      <c r="D394" s="7" t="s">
        <v>496</v>
      </c>
      <c r="E394" s="7" t="s">
        <v>152</v>
      </c>
      <c r="F394" s="7" t="s">
        <v>152</v>
      </c>
      <c r="G394" s="9" t="n">
        <v>34192</v>
      </c>
      <c r="H394" s="5" t="n">
        <v>195</v>
      </c>
      <c r="I394" s="5" t="n">
        <v>99</v>
      </c>
      <c r="J394" s="5" t="n">
        <v>2013</v>
      </c>
      <c r="K394" s="7" t="s">
        <v>422</v>
      </c>
      <c r="L394" s="10" t="str">
        <f aca="false">INDEX(球隊主檔!$C$2:$C$31,MATCH($K394,球隊主檔!$A$2:$A$31,0))</f>
        <v>華盛頓國民</v>
      </c>
      <c r="M394" s="11" t="n">
        <f aca="false">IF($C394="打者",COUNTIF(打擊成績!$B:$B,$A394),COUNTIF(投手成績!$B:$B,$A394))</f>
        <v>3</v>
      </c>
    </row>
    <row r="395" customFormat="false" ht="15" hidden="false" customHeight="false" outlineLevel="0" collapsed="false">
      <c r="A395" s="7" t="s">
        <v>1263</v>
      </c>
      <c r="B395" s="7" t="s">
        <v>1264</v>
      </c>
      <c r="C395" s="8" t="s">
        <v>495</v>
      </c>
      <c r="D395" s="7" t="s">
        <v>496</v>
      </c>
      <c r="E395" s="7" t="s">
        <v>152</v>
      </c>
      <c r="F395" s="7" t="s">
        <v>126</v>
      </c>
      <c r="G395" s="9" t="n">
        <v>34551</v>
      </c>
      <c r="H395" s="5" t="n">
        <v>180</v>
      </c>
      <c r="I395" s="5" t="n">
        <v>91</v>
      </c>
      <c r="J395" s="5" t="n">
        <v>2018</v>
      </c>
      <c r="K395" s="7" t="s">
        <v>422</v>
      </c>
      <c r="L395" s="10" t="str">
        <f aca="false">INDEX(球隊主檔!$C$2:$C$31,MATCH($K395,球隊主檔!$A$2:$A$31,0))</f>
        <v>華盛頓國民</v>
      </c>
      <c r="M395" s="11" t="n">
        <f aca="false">IF($C395="打者",COUNTIF(打擊成績!$B:$B,$A395),COUNTIF(投手成績!$B:$B,$A395))</f>
        <v>3</v>
      </c>
    </row>
    <row r="396" customFormat="false" ht="15" hidden="false" customHeight="false" outlineLevel="0" collapsed="false">
      <c r="A396" s="7" t="s">
        <v>1265</v>
      </c>
      <c r="B396" s="7" t="s">
        <v>1266</v>
      </c>
      <c r="C396" s="8" t="s">
        <v>495</v>
      </c>
      <c r="D396" s="7" t="s">
        <v>496</v>
      </c>
      <c r="E396" s="7" t="s">
        <v>174</v>
      </c>
      <c r="F396" s="7" t="s">
        <v>152</v>
      </c>
      <c r="G396" s="9" t="n">
        <v>35731</v>
      </c>
      <c r="H396" s="5" t="n">
        <v>177</v>
      </c>
      <c r="I396" s="5" t="n">
        <v>111</v>
      </c>
      <c r="J396" s="5" t="n">
        <v>2022</v>
      </c>
      <c r="K396" s="7" t="s">
        <v>388</v>
      </c>
      <c r="L396" s="10" t="str">
        <f aca="false">INDEX(球隊主檔!$C$2:$C$31,MATCH($K396,球隊主檔!$A$2:$A$31,0))</f>
        <v>休士頓太空人</v>
      </c>
      <c r="M396" s="11" t="n">
        <f aca="false">IF($C396="打者",COUNTIF(打擊成績!$B:$B,$A396),COUNTIF(投手成績!$B:$B,$A396))</f>
        <v>2</v>
      </c>
    </row>
    <row r="397" customFormat="false" ht="15" hidden="false" customHeight="false" outlineLevel="0" collapsed="false">
      <c r="A397" s="7" t="s">
        <v>1267</v>
      </c>
      <c r="B397" s="7" t="s">
        <v>1268</v>
      </c>
      <c r="C397" s="8" t="s">
        <v>495</v>
      </c>
      <c r="D397" s="7" t="s">
        <v>507</v>
      </c>
      <c r="E397" s="7" t="s">
        <v>126</v>
      </c>
      <c r="F397" s="7" t="s">
        <v>126</v>
      </c>
      <c r="G397" s="9" t="n">
        <v>36117</v>
      </c>
      <c r="H397" s="5" t="n">
        <v>176</v>
      </c>
      <c r="I397" s="5" t="n">
        <v>97</v>
      </c>
      <c r="J397" s="5" t="n">
        <v>2019</v>
      </c>
      <c r="K397" s="7" t="s">
        <v>422</v>
      </c>
      <c r="L397" s="10" t="str">
        <f aca="false">INDEX(球隊主檔!$C$2:$C$31,MATCH($K397,球隊主檔!$A$2:$A$31,0))</f>
        <v>華盛頓國民</v>
      </c>
      <c r="M397" s="11" t="n">
        <f aca="false">IF($C397="打者",COUNTIF(打擊成績!$B:$B,$A397),COUNTIF(投手成績!$B:$B,$A397))</f>
        <v>3</v>
      </c>
    </row>
    <row r="398" customFormat="false" ht="15" hidden="false" customHeight="false" outlineLevel="0" collapsed="false">
      <c r="A398" s="7" t="s">
        <v>1269</v>
      </c>
      <c r="B398" s="7" t="s">
        <v>1270</v>
      </c>
      <c r="C398" s="8" t="s">
        <v>495</v>
      </c>
      <c r="D398" s="7" t="s">
        <v>507</v>
      </c>
      <c r="E398" s="7" t="s">
        <v>152</v>
      </c>
      <c r="F398" s="7" t="s">
        <v>126</v>
      </c>
      <c r="G398" s="9" t="n">
        <v>35111</v>
      </c>
      <c r="H398" s="5" t="n">
        <v>185</v>
      </c>
      <c r="I398" s="5" t="n">
        <v>100</v>
      </c>
      <c r="J398" s="5" t="n">
        <v>2020</v>
      </c>
      <c r="K398" s="7" t="s">
        <v>422</v>
      </c>
      <c r="L398" s="10" t="str">
        <f aca="false">INDEX(球隊主檔!$C$2:$C$31,MATCH($K398,球隊主檔!$A$2:$A$31,0))</f>
        <v>華盛頓國民</v>
      </c>
      <c r="M398" s="11" t="n">
        <f aca="false">IF($C398="打者",COUNTIF(打擊成績!$B:$B,$A398),COUNTIF(投手成績!$B:$B,$A398))</f>
        <v>3</v>
      </c>
    </row>
    <row r="399" customFormat="false" ht="15" hidden="false" customHeight="false" outlineLevel="0" collapsed="false">
      <c r="A399" s="7" t="s">
        <v>1271</v>
      </c>
      <c r="B399" s="7" t="s">
        <v>1272</v>
      </c>
      <c r="C399" s="8" t="s">
        <v>495</v>
      </c>
      <c r="D399" s="7" t="s">
        <v>507</v>
      </c>
      <c r="E399" s="7" t="s">
        <v>126</v>
      </c>
      <c r="F399" s="7" t="s">
        <v>152</v>
      </c>
      <c r="G399" s="9" t="n">
        <v>34353</v>
      </c>
      <c r="H399" s="5" t="n">
        <v>179</v>
      </c>
      <c r="I399" s="5" t="n">
        <v>97</v>
      </c>
      <c r="J399" s="5" t="n">
        <v>2018</v>
      </c>
      <c r="K399" s="7" t="s">
        <v>422</v>
      </c>
      <c r="L399" s="10" t="str">
        <f aca="false">INDEX(球隊主檔!$C$2:$C$31,MATCH($K399,球隊主檔!$A$2:$A$31,0))</f>
        <v>華盛頓國民</v>
      </c>
      <c r="M399" s="11" t="n">
        <f aca="false">IF($C399="打者",COUNTIF(打擊成績!$B:$B,$A399),COUNTIF(投手成績!$B:$B,$A399))</f>
        <v>3</v>
      </c>
    </row>
    <row r="400" customFormat="false" ht="15" hidden="false" customHeight="false" outlineLevel="0" collapsed="false">
      <c r="A400" s="7" t="s">
        <v>1273</v>
      </c>
      <c r="B400" s="7" t="s">
        <v>1274</v>
      </c>
      <c r="C400" s="8" t="s">
        <v>495</v>
      </c>
      <c r="D400" s="7" t="s">
        <v>507</v>
      </c>
      <c r="E400" s="7" t="s">
        <v>152</v>
      </c>
      <c r="F400" s="7" t="s">
        <v>126</v>
      </c>
      <c r="G400" s="9" t="n">
        <v>32866</v>
      </c>
      <c r="H400" s="5" t="n">
        <v>196</v>
      </c>
      <c r="I400" s="5" t="n">
        <v>112</v>
      </c>
      <c r="J400" s="5" t="n">
        <v>2009</v>
      </c>
      <c r="K400" s="7" t="s">
        <v>442</v>
      </c>
      <c r="L400" s="10" t="str">
        <f aca="false">INDEX(球隊主檔!$C$2:$C$31,MATCH($K400,球隊主檔!$A$2:$A$31,0))</f>
        <v>聖路易紅雀</v>
      </c>
      <c r="M400" s="11" t="n">
        <f aca="false">IF($C400="打者",COUNTIF(打擊成績!$B:$B,$A400),COUNTIF(投手成績!$B:$B,$A400))</f>
        <v>2</v>
      </c>
    </row>
    <row r="401" customFormat="false" ht="15" hidden="false" customHeight="false" outlineLevel="0" collapsed="false">
      <c r="A401" s="7" t="s">
        <v>1275</v>
      </c>
      <c r="B401" s="7" t="s">
        <v>1276</v>
      </c>
      <c r="C401" s="8" t="s">
        <v>495</v>
      </c>
      <c r="D401" s="7" t="s">
        <v>507</v>
      </c>
      <c r="E401" s="7" t="s">
        <v>152</v>
      </c>
      <c r="F401" s="7" t="s">
        <v>152</v>
      </c>
      <c r="G401" s="9" t="n">
        <v>37173</v>
      </c>
      <c r="H401" s="5" t="n">
        <v>190</v>
      </c>
      <c r="I401" s="5" t="n">
        <v>110</v>
      </c>
      <c r="J401" s="5" t="n">
        <v>2023</v>
      </c>
      <c r="K401" s="7" t="s">
        <v>422</v>
      </c>
      <c r="L401" s="10" t="str">
        <f aca="false">INDEX(球隊主檔!$C$2:$C$31,MATCH($K401,球隊主檔!$A$2:$A$31,0))</f>
        <v>華盛頓國民</v>
      </c>
      <c r="M401" s="11" t="n">
        <f aca="false">IF($C401="打者",COUNTIF(打擊成績!$B:$B,$A401),COUNTIF(投手成績!$B:$B,$A401))</f>
        <v>2</v>
      </c>
    </row>
    <row r="402" customFormat="false" ht="15" hidden="false" customHeight="false" outlineLevel="0" collapsed="false">
      <c r="A402" s="7" t="s">
        <v>1277</v>
      </c>
      <c r="B402" s="7" t="s">
        <v>1278</v>
      </c>
      <c r="C402" s="8" t="s">
        <v>469</v>
      </c>
      <c r="D402" s="7" t="s">
        <v>522</v>
      </c>
      <c r="E402" s="7" t="s">
        <v>126</v>
      </c>
      <c r="F402" s="7" t="s">
        <v>152</v>
      </c>
      <c r="G402" s="9" t="n">
        <v>35789</v>
      </c>
      <c r="H402" s="5" t="n">
        <v>196</v>
      </c>
      <c r="I402" s="5" t="n">
        <v>103</v>
      </c>
      <c r="J402" s="5" t="n">
        <v>2022</v>
      </c>
      <c r="K402" s="7" t="s">
        <v>388</v>
      </c>
      <c r="L402" s="10" t="str">
        <f aca="false">INDEX(球隊主檔!$C$2:$C$31,MATCH($K402,球隊主檔!$A$2:$A$31,0))</f>
        <v>休士頓太空人</v>
      </c>
      <c r="M402" s="11" t="n">
        <f aca="false">IF($C402="打者",COUNTIF(打擊成績!$B:$B,$A402),COUNTIF(投手成績!$B:$B,$A402))</f>
        <v>3</v>
      </c>
    </row>
    <row r="403" customFormat="false" ht="15" hidden="false" customHeight="false" outlineLevel="0" collapsed="false">
      <c r="A403" s="7" t="s">
        <v>1279</v>
      </c>
      <c r="B403" s="7" t="s">
        <v>1280</v>
      </c>
      <c r="C403" s="8" t="s">
        <v>469</v>
      </c>
      <c r="D403" s="7" t="s">
        <v>162</v>
      </c>
      <c r="E403" s="7" t="s">
        <v>126</v>
      </c>
      <c r="F403" s="7" t="s">
        <v>126</v>
      </c>
      <c r="G403" s="9" t="n">
        <v>35505</v>
      </c>
      <c r="H403" s="5" t="n">
        <v>189</v>
      </c>
      <c r="I403" s="5" t="n">
        <v>109</v>
      </c>
      <c r="J403" s="5" t="n">
        <v>2020</v>
      </c>
      <c r="K403" s="7" t="s">
        <v>426</v>
      </c>
      <c r="L403" s="10" t="str">
        <f aca="false">INDEX(球隊主檔!$C$2:$C$31,MATCH($K403,球隊主檔!$A$2:$A$31,0))</f>
        <v>芝加哥小熊</v>
      </c>
      <c r="M403" s="11" t="n">
        <f aca="false">IF($C403="打者",COUNTIF(打擊成績!$B:$B,$A403),COUNTIF(投手成績!$B:$B,$A403))</f>
        <v>3</v>
      </c>
    </row>
    <row r="404" customFormat="false" ht="15" hidden="false" customHeight="false" outlineLevel="0" collapsed="false">
      <c r="A404" s="7" t="s">
        <v>1281</v>
      </c>
      <c r="B404" s="7" t="s">
        <v>1282</v>
      </c>
      <c r="C404" s="8" t="s">
        <v>469</v>
      </c>
      <c r="D404" s="7" t="s">
        <v>470</v>
      </c>
      <c r="E404" s="7" t="s">
        <v>152</v>
      </c>
      <c r="F404" s="7" t="s">
        <v>152</v>
      </c>
      <c r="G404" s="9" t="n">
        <v>34157</v>
      </c>
      <c r="H404" s="5" t="n">
        <v>185</v>
      </c>
      <c r="I404" s="5" t="n">
        <v>93</v>
      </c>
      <c r="J404" s="5" t="n">
        <v>2017</v>
      </c>
      <c r="K404" s="7" t="s">
        <v>426</v>
      </c>
      <c r="L404" s="10" t="str">
        <f aca="false">INDEX(球隊主檔!$C$2:$C$31,MATCH($K404,球隊主檔!$A$2:$A$31,0))</f>
        <v>芝加哥小熊</v>
      </c>
      <c r="M404" s="11" t="n">
        <f aca="false">IF($C404="打者",COUNTIF(打擊成績!$B:$B,$A404),COUNTIF(投手成績!$B:$B,$A404))</f>
        <v>3</v>
      </c>
    </row>
    <row r="405" customFormat="false" ht="15" hidden="false" customHeight="false" outlineLevel="0" collapsed="false">
      <c r="A405" s="7" t="s">
        <v>1283</v>
      </c>
      <c r="B405" s="7" t="s">
        <v>1284</v>
      </c>
      <c r="C405" s="8" t="s">
        <v>469</v>
      </c>
      <c r="D405" s="7" t="s">
        <v>522</v>
      </c>
      <c r="E405" s="7" t="s">
        <v>126</v>
      </c>
      <c r="F405" s="7" t="s">
        <v>152</v>
      </c>
      <c r="G405" s="9" t="n">
        <v>36253</v>
      </c>
      <c r="H405" s="5" t="n">
        <v>186</v>
      </c>
      <c r="I405" s="5" t="n">
        <v>89</v>
      </c>
      <c r="J405" s="5" t="n">
        <v>2023</v>
      </c>
      <c r="K405" s="7" t="s">
        <v>354</v>
      </c>
      <c r="L405" s="10" t="str">
        <f aca="false">INDEX(球隊主檔!$C$2:$C$31,MATCH($K405,球隊主檔!$A$2:$A$31,0))</f>
        <v>坦帕灣光芒</v>
      </c>
      <c r="M405" s="11" t="n">
        <f aca="false">IF($C405="打者",COUNTIF(打擊成績!$B:$B,$A405),COUNTIF(投手成績!$B:$B,$A405))</f>
        <v>3</v>
      </c>
    </row>
    <row r="406" customFormat="false" ht="15" hidden="false" customHeight="false" outlineLevel="0" collapsed="false">
      <c r="A406" s="7" t="s">
        <v>1285</v>
      </c>
      <c r="B406" s="7" t="s">
        <v>1286</v>
      </c>
      <c r="C406" s="8" t="s">
        <v>469</v>
      </c>
      <c r="D406" s="7" t="s">
        <v>470</v>
      </c>
      <c r="E406" s="7" t="s">
        <v>152</v>
      </c>
      <c r="F406" s="7" t="s">
        <v>152</v>
      </c>
      <c r="G406" s="9" t="n">
        <v>34949</v>
      </c>
      <c r="H406" s="5" t="n">
        <v>183</v>
      </c>
      <c r="I406" s="5" t="n">
        <v>80</v>
      </c>
      <c r="J406" s="5" t="n">
        <v>2016</v>
      </c>
      <c r="K406" s="7" t="s">
        <v>426</v>
      </c>
      <c r="L406" s="10" t="str">
        <f aca="false">INDEX(球隊主檔!$C$2:$C$31,MATCH($K406,球隊主檔!$A$2:$A$31,0))</f>
        <v>芝加哥小熊</v>
      </c>
      <c r="M406" s="11" t="n">
        <f aca="false">IF($C406="打者",COUNTIF(打擊成績!$B:$B,$A406),COUNTIF(投手成績!$B:$B,$A406))</f>
        <v>3</v>
      </c>
    </row>
    <row r="407" customFormat="false" ht="15" hidden="false" customHeight="false" outlineLevel="0" collapsed="false">
      <c r="A407" s="7" t="s">
        <v>1287</v>
      </c>
      <c r="B407" s="7" t="s">
        <v>1288</v>
      </c>
      <c r="C407" s="8" t="s">
        <v>469</v>
      </c>
      <c r="D407" s="7" t="s">
        <v>473</v>
      </c>
      <c r="E407" s="7" t="s">
        <v>152</v>
      </c>
      <c r="F407" s="7" t="s">
        <v>152</v>
      </c>
      <c r="G407" s="9" t="n">
        <v>35592</v>
      </c>
      <c r="H407" s="5" t="n">
        <v>188</v>
      </c>
      <c r="I407" s="5" t="n">
        <v>98</v>
      </c>
      <c r="J407" s="5" t="n">
        <v>2020</v>
      </c>
      <c r="K407" s="7" t="s">
        <v>426</v>
      </c>
      <c r="L407" s="10" t="str">
        <f aca="false">INDEX(球隊主檔!$C$2:$C$31,MATCH($K407,球隊主檔!$A$2:$A$31,0))</f>
        <v>芝加哥小熊</v>
      </c>
      <c r="M407" s="11" t="n">
        <f aca="false">IF($C407="打者",COUNTIF(打擊成績!$B:$B,$A407),COUNTIF(投手成績!$B:$B,$A407))</f>
        <v>3</v>
      </c>
    </row>
    <row r="408" customFormat="false" ht="15" hidden="false" customHeight="false" outlineLevel="0" collapsed="false">
      <c r="A408" s="7" t="s">
        <v>1289</v>
      </c>
      <c r="B408" s="7" t="s">
        <v>1290</v>
      </c>
      <c r="C408" s="8" t="s">
        <v>469</v>
      </c>
      <c r="D408" s="7" t="s">
        <v>63</v>
      </c>
      <c r="E408" s="7" t="s">
        <v>126</v>
      </c>
      <c r="F408" s="7" t="s">
        <v>152</v>
      </c>
      <c r="G408" s="9" t="n">
        <v>36355</v>
      </c>
      <c r="H408" s="5" t="n">
        <v>201</v>
      </c>
      <c r="I408" s="5" t="n">
        <v>89</v>
      </c>
      <c r="J408" s="5" t="n">
        <v>2022</v>
      </c>
      <c r="K408" s="7" t="s">
        <v>371</v>
      </c>
      <c r="L408" s="10" t="str">
        <f aca="false">INDEX(球隊主檔!$C$2:$C$31,MATCH($K408,球隊主檔!$A$2:$A$31,0))</f>
        <v>底特律老虎</v>
      </c>
      <c r="M408" s="11" t="n">
        <f aca="false">IF($C408="打者",COUNTIF(打擊成績!$B:$B,$A408),COUNTIF(投手成績!$B:$B,$A408))</f>
        <v>3</v>
      </c>
    </row>
    <row r="409" customFormat="false" ht="15" hidden="false" customHeight="false" outlineLevel="0" collapsed="false">
      <c r="A409" s="7" t="s">
        <v>1291</v>
      </c>
      <c r="B409" s="7" t="s">
        <v>1292</v>
      </c>
      <c r="C409" s="8" t="s">
        <v>469</v>
      </c>
      <c r="D409" s="7" t="s">
        <v>470</v>
      </c>
      <c r="E409" s="7" t="s">
        <v>152</v>
      </c>
      <c r="F409" s="7" t="s">
        <v>152</v>
      </c>
      <c r="G409" s="9" t="n">
        <v>33914</v>
      </c>
      <c r="H409" s="5" t="n">
        <v>194</v>
      </c>
      <c r="I409" s="5" t="n">
        <v>107</v>
      </c>
      <c r="J409" s="5" t="n">
        <v>2017</v>
      </c>
      <c r="K409" s="7" t="s">
        <v>426</v>
      </c>
      <c r="L409" s="10" t="str">
        <f aca="false">INDEX(球隊主檔!$C$2:$C$31,MATCH($K409,球隊主檔!$A$2:$A$31,0))</f>
        <v>芝加哥小熊</v>
      </c>
      <c r="M409" s="11" t="n">
        <f aca="false">IF($C409="打者",COUNTIF(打擊成績!$B:$B,$A409),COUNTIF(投手成績!$B:$B,$A409))</f>
        <v>3</v>
      </c>
    </row>
    <row r="410" customFormat="false" ht="15" hidden="false" customHeight="false" outlineLevel="0" collapsed="false">
      <c r="A410" s="7" t="s">
        <v>1293</v>
      </c>
      <c r="B410" s="7" t="s">
        <v>1294</v>
      </c>
      <c r="C410" s="8" t="s">
        <v>469</v>
      </c>
      <c r="D410" s="7" t="s">
        <v>63</v>
      </c>
      <c r="E410" s="7" t="s">
        <v>152</v>
      </c>
      <c r="F410" s="7" t="s">
        <v>126</v>
      </c>
      <c r="G410" s="9" t="n">
        <v>35303</v>
      </c>
      <c r="H410" s="5" t="n">
        <v>192</v>
      </c>
      <c r="I410" s="5" t="n">
        <v>90</v>
      </c>
      <c r="J410" s="5" t="n">
        <v>2019</v>
      </c>
      <c r="K410" s="7" t="s">
        <v>426</v>
      </c>
      <c r="L410" s="10" t="str">
        <f aca="false">INDEX(球隊主檔!$C$2:$C$31,MATCH($K410,球隊主檔!$A$2:$A$31,0))</f>
        <v>芝加哥小熊</v>
      </c>
      <c r="M410" s="11" t="n">
        <f aca="false">IF($C410="打者",COUNTIF(打擊成績!$B:$B,$A410),COUNTIF(投手成績!$B:$B,$A410))</f>
        <v>3</v>
      </c>
    </row>
    <row r="411" customFormat="false" ht="15" hidden="false" customHeight="false" outlineLevel="0" collapsed="false">
      <c r="A411" s="7" t="s">
        <v>1295</v>
      </c>
      <c r="B411" s="7" t="s">
        <v>1296</v>
      </c>
      <c r="C411" s="8" t="s">
        <v>469</v>
      </c>
      <c r="D411" s="7" t="s">
        <v>63</v>
      </c>
      <c r="E411" s="7" t="s">
        <v>152</v>
      </c>
      <c r="F411" s="7" t="s">
        <v>126</v>
      </c>
      <c r="G411" s="9" t="n">
        <v>33439</v>
      </c>
      <c r="H411" s="5" t="n">
        <v>198</v>
      </c>
      <c r="I411" s="5" t="n">
        <v>95</v>
      </c>
      <c r="J411" s="5" t="n">
        <v>2012</v>
      </c>
      <c r="K411" s="7" t="s">
        <v>426</v>
      </c>
      <c r="L411" s="10" t="str">
        <f aca="false">INDEX(球隊主檔!$C$2:$C$31,MATCH($K411,球隊主檔!$A$2:$A$31,0))</f>
        <v>芝加哥小熊</v>
      </c>
      <c r="M411" s="11" t="n">
        <f aca="false">IF($C411="打者",COUNTIF(打擊成績!$B:$B,$A411),COUNTIF(投手成績!$B:$B,$A411))</f>
        <v>3</v>
      </c>
    </row>
    <row r="412" customFormat="false" ht="15" hidden="false" customHeight="false" outlineLevel="0" collapsed="false">
      <c r="A412" s="7" t="s">
        <v>1297</v>
      </c>
      <c r="B412" s="7" t="s">
        <v>1298</v>
      </c>
      <c r="C412" s="8" t="s">
        <v>495</v>
      </c>
      <c r="D412" s="7" t="s">
        <v>496</v>
      </c>
      <c r="E412" s="7" t="s">
        <v>152</v>
      </c>
      <c r="F412" s="7" t="s">
        <v>152</v>
      </c>
      <c r="G412" s="9" t="n">
        <v>35618</v>
      </c>
      <c r="H412" s="5" t="n">
        <v>188</v>
      </c>
      <c r="I412" s="5" t="n">
        <v>86</v>
      </c>
      <c r="J412" s="5" t="n">
        <v>2019</v>
      </c>
      <c r="K412" s="7" t="s">
        <v>426</v>
      </c>
      <c r="L412" s="10" t="str">
        <f aca="false">INDEX(球隊主檔!$C$2:$C$31,MATCH($K412,球隊主檔!$A$2:$A$31,0))</f>
        <v>芝加哥小熊</v>
      </c>
      <c r="M412" s="11" t="n">
        <f aca="false">IF($C412="打者",COUNTIF(打擊成績!$B:$B,$A412),COUNTIF(投手成績!$B:$B,$A412))</f>
        <v>3</v>
      </c>
    </row>
    <row r="413" customFormat="false" ht="15" hidden="false" customHeight="false" outlineLevel="0" collapsed="false">
      <c r="A413" s="7" t="s">
        <v>1299</v>
      </c>
      <c r="B413" s="7" t="s">
        <v>1300</v>
      </c>
      <c r="C413" s="8" t="s">
        <v>495</v>
      </c>
      <c r="D413" s="7" t="s">
        <v>496</v>
      </c>
      <c r="E413" s="7" t="s">
        <v>152</v>
      </c>
      <c r="F413" s="7" t="s">
        <v>152</v>
      </c>
      <c r="G413" s="9" t="n">
        <v>36519</v>
      </c>
      <c r="H413" s="5" t="n">
        <v>198</v>
      </c>
      <c r="I413" s="5" t="n">
        <v>80</v>
      </c>
      <c r="J413" s="5" t="n">
        <v>2019</v>
      </c>
      <c r="K413" s="7" t="s">
        <v>426</v>
      </c>
      <c r="L413" s="10" t="str">
        <f aca="false">INDEX(球隊主檔!$C$2:$C$31,MATCH($K413,球隊主檔!$A$2:$A$31,0))</f>
        <v>芝加哥小熊</v>
      </c>
      <c r="M413" s="11" t="n">
        <f aca="false">IF($C413="打者",COUNTIF(打擊成績!$B:$B,$A413),COUNTIF(投手成績!$B:$B,$A413))</f>
        <v>2</v>
      </c>
    </row>
    <row r="414" customFormat="false" ht="15" hidden="false" customHeight="false" outlineLevel="0" collapsed="false">
      <c r="A414" s="7" t="s">
        <v>1301</v>
      </c>
      <c r="B414" s="7" t="s">
        <v>1302</v>
      </c>
      <c r="C414" s="8" t="s">
        <v>495</v>
      </c>
      <c r="D414" s="7" t="s">
        <v>496</v>
      </c>
      <c r="E414" s="7" t="s">
        <v>174</v>
      </c>
      <c r="F414" s="7" t="s">
        <v>126</v>
      </c>
      <c r="G414" s="9" t="n">
        <v>35226</v>
      </c>
      <c r="H414" s="5" t="n">
        <v>194</v>
      </c>
      <c r="I414" s="5" t="n">
        <v>90</v>
      </c>
      <c r="J414" s="5" t="n">
        <v>2018</v>
      </c>
      <c r="K414" s="7" t="s">
        <v>426</v>
      </c>
      <c r="L414" s="10" t="str">
        <f aca="false">INDEX(球隊主檔!$C$2:$C$31,MATCH($K414,球隊主檔!$A$2:$A$31,0))</f>
        <v>芝加哥小熊</v>
      </c>
      <c r="M414" s="11" t="n">
        <f aca="false">IF($C414="打者",COUNTIF(打擊成績!$B:$B,$A414),COUNTIF(投手成績!$B:$B,$A414))</f>
        <v>3</v>
      </c>
    </row>
    <row r="415" customFormat="false" ht="15" hidden="false" customHeight="false" outlineLevel="0" collapsed="false">
      <c r="A415" s="7" t="s">
        <v>1303</v>
      </c>
      <c r="B415" s="7" t="s">
        <v>1304</v>
      </c>
      <c r="C415" s="8" t="s">
        <v>495</v>
      </c>
      <c r="D415" s="7" t="s">
        <v>496</v>
      </c>
      <c r="E415" s="7" t="s">
        <v>152</v>
      </c>
      <c r="F415" s="7" t="s">
        <v>152</v>
      </c>
      <c r="G415" s="9" t="n">
        <v>35964</v>
      </c>
      <c r="H415" s="5" t="n">
        <v>183</v>
      </c>
      <c r="I415" s="5" t="n">
        <v>104</v>
      </c>
      <c r="J415" s="5" t="n">
        <v>2018</v>
      </c>
      <c r="K415" s="7" t="s">
        <v>426</v>
      </c>
      <c r="L415" s="10" t="str">
        <f aca="false">INDEX(球隊主檔!$C$2:$C$31,MATCH($K415,球隊主檔!$A$2:$A$31,0))</f>
        <v>芝加哥小熊</v>
      </c>
      <c r="M415" s="11" t="n">
        <f aca="false">IF($C415="打者",COUNTIF(打擊成績!$B:$B,$A415),COUNTIF(投手成績!$B:$B,$A415))</f>
        <v>1</v>
      </c>
    </row>
    <row r="416" customFormat="false" ht="15" hidden="false" customHeight="false" outlineLevel="0" collapsed="false">
      <c r="A416" s="7" t="s">
        <v>1305</v>
      </c>
      <c r="B416" s="7" t="s">
        <v>1306</v>
      </c>
      <c r="C416" s="8" t="s">
        <v>495</v>
      </c>
      <c r="D416" s="7" t="s">
        <v>496</v>
      </c>
      <c r="E416" s="7" t="s">
        <v>152</v>
      </c>
      <c r="F416" s="7" t="s">
        <v>152</v>
      </c>
      <c r="G416" s="9" t="n">
        <v>36517</v>
      </c>
      <c r="H416" s="5" t="n">
        <v>184</v>
      </c>
      <c r="I416" s="5" t="n">
        <v>88</v>
      </c>
      <c r="J416" s="5" t="n">
        <v>2024</v>
      </c>
      <c r="K416" s="7" t="s">
        <v>400</v>
      </c>
      <c r="L416" s="10" t="str">
        <f aca="false">INDEX(球隊主檔!$C$2:$C$31,MATCH($K416,球隊主檔!$A$2:$A$31,0))</f>
        <v>德州遊騎兵</v>
      </c>
      <c r="M416" s="11" t="n">
        <f aca="false">IF($C416="打者",COUNTIF(打擊成績!$B:$B,$A416),COUNTIF(投手成績!$B:$B,$A416))</f>
        <v>3</v>
      </c>
    </row>
    <row r="417" customFormat="false" ht="15" hidden="false" customHeight="false" outlineLevel="0" collapsed="false">
      <c r="A417" s="7" t="s">
        <v>1307</v>
      </c>
      <c r="B417" s="7" t="s">
        <v>1308</v>
      </c>
      <c r="C417" s="8" t="s">
        <v>495</v>
      </c>
      <c r="D417" s="7" t="s">
        <v>507</v>
      </c>
      <c r="E417" s="7" t="s">
        <v>126</v>
      </c>
      <c r="F417" s="7" t="s">
        <v>152</v>
      </c>
      <c r="G417" s="9" t="n">
        <v>36297</v>
      </c>
      <c r="H417" s="5" t="n">
        <v>201</v>
      </c>
      <c r="I417" s="5" t="n">
        <v>87</v>
      </c>
      <c r="J417" s="5" t="n">
        <v>2022</v>
      </c>
      <c r="K417" s="7" t="s">
        <v>426</v>
      </c>
      <c r="L417" s="10" t="str">
        <f aca="false">INDEX(球隊主檔!$C$2:$C$31,MATCH($K417,球隊主檔!$A$2:$A$31,0))</f>
        <v>芝加哥小熊</v>
      </c>
      <c r="M417" s="11" t="n">
        <f aca="false">IF($C417="打者",COUNTIF(打擊成績!$B:$B,$A417),COUNTIF(投手成績!$B:$B,$A417))</f>
        <v>3</v>
      </c>
    </row>
    <row r="418" customFormat="false" ht="15" hidden="false" customHeight="false" outlineLevel="0" collapsed="false">
      <c r="A418" s="7" t="s">
        <v>1309</v>
      </c>
      <c r="B418" s="7" t="s">
        <v>1310</v>
      </c>
      <c r="C418" s="8" t="s">
        <v>495</v>
      </c>
      <c r="D418" s="7" t="s">
        <v>507</v>
      </c>
      <c r="E418" s="7" t="s">
        <v>152</v>
      </c>
      <c r="F418" s="7" t="s">
        <v>152</v>
      </c>
      <c r="G418" s="9" t="n">
        <v>37178</v>
      </c>
      <c r="H418" s="5" t="n">
        <v>199</v>
      </c>
      <c r="I418" s="5" t="n">
        <v>110</v>
      </c>
      <c r="J418" s="5" t="n">
        <v>2024</v>
      </c>
      <c r="K418" s="7" t="s">
        <v>426</v>
      </c>
      <c r="L418" s="10" t="str">
        <f aca="false">INDEX(球隊主檔!$C$2:$C$31,MATCH($K418,球隊主檔!$A$2:$A$31,0))</f>
        <v>芝加哥小熊</v>
      </c>
      <c r="M418" s="11" t="n">
        <f aca="false">IF($C418="打者",COUNTIF(打擊成績!$B:$B,$A418),COUNTIF(投手成績!$B:$B,$A418))</f>
        <v>2</v>
      </c>
    </row>
    <row r="419" customFormat="false" ht="15" hidden="false" customHeight="false" outlineLevel="0" collapsed="false">
      <c r="A419" s="7" t="s">
        <v>1311</v>
      </c>
      <c r="B419" s="7" t="s">
        <v>1312</v>
      </c>
      <c r="C419" s="8" t="s">
        <v>495</v>
      </c>
      <c r="D419" s="7" t="s">
        <v>507</v>
      </c>
      <c r="E419" s="7" t="s">
        <v>126</v>
      </c>
      <c r="F419" s="7" t="s">
        <v>126</v>
      </c>
      <c r="G419" s="9" t="n">
        <v>34585</v>
      </c>
      <c r="H419" s="5" t="n">
        <v>189</v>
      </c>
      <c r="I419" s="5" t="n">
        <v>105</v>
      </c>
      <c r="J419" s="5" t="n">
        <v>2019</v>
      </c>
      <c r="K419" s="7" t="s">
        <v>426</v>
      </c>
      <c r="L419" s="10" t="str">
        <f aca="false">INDEX(球隊主檔!$C$2:$C$31,MATCH($K419,球隊主檔!$A$2:$A$31,0))</f>
        <v>芝加哥小熊</v>
      </c>
      <c r="M419" s="11" t="n">
        <f aca="false">IF($C419="打者",COUNTIF(打擊成績!$B:$B,$A419),COUNTIF(投手成績!$B:$B,$A419))</f>
        <v>2</v>
      </c>
    </row>
    <row r="420" customFormat="false" ht="15" hidden="false" customHeight="false" outlineLevel="0" collapsed="false">
      <c r="A420" s="7" t="s">
        <v>1313</v>
      </c>
      <c r="B420" s="7" t="s">
        <v>1314</v>
      </c>
      <c r="C420" s="8" t="s">
        <v>495</v>
      </c>
      <c r="D420" s="7" t="s">
        <v>507</v>
      </c>
      <c r="E420" s="7" t="s">
        <v>126</v>
      </c>
      <c r="F420" s="7" t="s">
        <v>152</v>
      </c>
      <c r="G420" s="9" t="n">
        <v>36086</v>
      </c>
      <c r="H420" s="5" t="n">
        <v>192</v>
      </c>
      <c r="I420" s="5" t="n">
        <v>92</v>
      </c>
      <c r="J420" s="5" t="n">
        <v>2023</v>
      </c>
      <c r="K420" s="7" t="s">
        <v>392</v>
      </c>
      <c r="L420" s="10" t="str">
        <f aca="false">INDEX(球隊主檔!$C$2:$C$31,MATCH($K420,球隊主檔!$A$2:$A$31,0))</f>
        <v>洛杉磯天使</v>
      </c>
      <c r="M420" s="11" t="n">
        <f aca="false">IF($C420="打者",COUNTIF(打擊成績!$B:$B,$A420),COUNTIF(投手成績!$B:$B,$A420))</f>
        <v>3</v>
      </c>
    </row>
    <row r="421" customFormat="false" ht="15" hidden="false" customHeight="false" outlineLevel="0" collapsed="false">
      <c r="A421" s="7" t="s">
        <v>1315</v>
      </c>
      <c r="B421" s="7" t="s">
        <v>1316</v>
      </c>
      <c r="C421" s="8" t="s">
        <v>495</v>
      </c>
      <c r="D421" s="7" t="s">
        <v>507</v>
      </c>
      <c r="E421" s="7" t="s">
        <v>152</v>
      </c>
      <c r="F421" s="7" t="s">
        <v>152</v>
      </c>
      <c r="G421" s="9" t="n">
        <v>35432</v>
      </c>
      <c r="H421" s="5" t="n">
        <v>176</v>
      </c>
      <c r="I421" s="5" t="n">
        <v>83</v>
      </c>
      <c r="J421" s="5" t="n">
        <v>2021</v>
      </c>
      <c r="K421" s="7" t="s">
        <v>426</v>
      </c>
      <c r="L421" s="10" t="str">
        <f aca="false">INDEX(球隊主檔!$C$2:$C$31,MATCH($K421,球隊主檔!$A$2:$A$31,0))</f>
        <v>芝加哥小熊</v>
      </c>
      <c r="M421" s="11" t="n">
        <f aca="false">IF($C421="打者",COUNTIF(打擊成績!$B:$B,$A421),COUNTIF(投手成績!$B:$B,$A421))</f>
        <v>1</v>
      </c>
    </row>
    <row r="422" customFormat="false" ht="15" hidden="false" customHeight="false" outlineLevel="0" collapsed="false">
      <c r="A422" s="7" t="s">
        <v>1317</v>
      </c>
      <c r="B422" s="7" t="s">
        <v>1318</v>
      </c>
      <c r="C422" s="8" t="s">
        <v>469</v>
      </c>
      <c r="D422" s="7" t="s">
        <v>486</v>
      </c>
      <c r="E422" s="7" t="s">
        <v>126</v>
      </c>
      <c r="F422" s="7" t="s">
        <v>152</v>
      </c>
      <c r="G422" s="9" t="n">
        <v>35525</v>
      </c>
      <c r="H422" s="5" t="n">
        <v>195</v>
      </c>
      <c r="I422" s="5" t="n">
        <v>98</v>
      </c>
      <c r="J422" s="5" t="n">
        <v>2021</v>
      </c>
      <c r="K422" s="7" t="s">
        <v>400</v>
      </c>
      <c r="L422" s="10" t="str">
        <f aca="false">INDEX(球隊主檔!$C$2:$C$31,MATCH($K422,球隊主檔!$A$2:$A$31,0))</f>
        <v>德州遊騎兵</v>
      </c>
      <c r="M422" s="11" t="n">
        <f aca="false">IF($C422="打者",COUNTIF(打擊成績!$B:$B,$A422),COUNTIF(投手成績!$B:$B,$A422))</f>
        <v>3</v>
      </c>
    </row>
    <row r="423" customFormat="false" ht="15" hidden="false" customHeight="false" outlineLevel="0" collapsed="false">
      <c r="A423" s="7" t="s">
        <v>1319</v>
      </c>
      <c r="B423" s="7" t="s">
        <v>1320</v>
      </c>
      <c r="C423" s="8" t="s">
        <v>469</v>
      </c>
      <c r="D423" s="7" t="s">
        <v>63</v>
      </c>
      <c r="E423" s="7" t="s">
        <v>126</v>
      </c>
      <c r="F423" s="7" t="s">
        <v>152</v>
      </c>
      <c r="G423" s="9" t="n">
        <v>36500</v>
      </c>
      <c r="H423" s="5" t="n">
        <v>183</v>
      </c>
      <c r="I423" s="5" t="n">
        <v>84</v>
      </c>
      <c r="J423" s="5" t="n">
        <v>2022</v>
      </c>
      <c r="K423" s="7" t="s">
        <v>430</v>
      </c>
      <c r="L423" s="10" t="str">
        <f aca="false">INDEX(球隊主檔!$C$2:$C$31,MATCH($K423,球隊主檔!$A$2:$A$31,0))</f>
        <v>辛辛那提紅人</v>
      </c>
      <c r="M423" s="11" t="n">
        <f aca="false">IF($C423="打者",COUNTIF(打擊成績!$B:$B,$A423),COUNTIF(投手成績!$B:$B,$A423))</f>
        <v>3</v>
      </c>
    </row>
    <row r="424" customFormat="false" ht="15" hidden="false" customHeight="false" outlineLevel="0" collapsed="false">
      <c r="A424" s="7" t="s">
        <v>1321</v>
      </c>
      <c r="B424" s="7" t="s">
        <v>1322</v>
      </c>
      <c r="C424" s="8" t="s">
        <v>469</v>
      </c>
      <c r="D424" s="7" t="s">
        <v>478</v>
      </c>
      <c r="E424" s="7" t="s">
        <v>126</v>
      </c>
      <c r="F424" s="7" t="s">
        <v>152</v>
      </c>
      <c r="G424" s="9" t="n">
        <v>34393</v>
      </c>
      <c r="H424" s="5" t="n">
        <v>178</v>
      </c>
      <c r="I424" s="5" t="n">
        <v>100</v>
      </c>
      <c r="J424" s="5" t="n">
        <v>2017</v>
      </c>
      <c r="K424" s="7" t="s">
        <v>404</v>
      </c>
      <c r="L424" s="10" t="str">
        <f aca="false">INDEX(球隊主檔!$C$2:$C$31,MATCH($K424,球隊主檔!$A$2:$A$31,0))</f>
        <v>亞特蘭大勇士</v>
      </c>
      <c r="M424" s="11" t="n">
        <f aca="false">IF($C424="打者",COUNTIF(打擊成績!$B:$B,$A424),COUNTIF(投手成績!$B:$B,$A424))</f>
        <v>3</v>
      </c>
    </row>
    <row r="425" customFormat="false" ht="15" hidden="false" customHeight="false" outlineLevel="0" collapsed="false">
      <c r="A425" s="7" t="s">
        <v>1323</v>
      </c>
      <c r="B425" s="7" t="s">
        <v>1324</v>
      </c>
      <c r="C425" s="8" t="s">
        <v>469</v>
      </c>
      <c r="D425" s="7" t="s">
        <v>470</v>
      </c>
      <c r="E425" s="7" t="s">
        <v>152</v>
      </c>
      <c r="F425" s="7" t="s">
        <v>152</v>
      </c>
      <c r="G425" s="9" t="n">
        <v>34663</v>
      </c>
      <c r="H425" s="5" t="n">
        <v>180</v>
      </c>
      <c r="I425" s="5" t="n">
        <v>110</v>
      </c>
      <c r="J425" s="5" t="n">
        <v>2016</v>
      </c>
      <c r="K425" s="7" t="s">
        <v>430</v>
      </c>
      <c r="L425" s="10" t="str">
        <f aca="false">INDEX(球隊主檔!$C$2:$C$31,MATCH($K425,球隊主檔!$A$2:$A$31,0))</f>
        <v>辛辛那提紅人</v>
      </c>
      <c r="M425" s="11" t="n">
        <f aca="false">IF($C425="打者",COUNTIF(打擊成績!$B:$B,$A425),COUNTIF(投手成績!$B:$B,$A425))</f>
        <v>3</v>
      </c>
    </row>
    <row r="426" customFormat="false" ht="15" hidden="false" customHeight="false" outlineLevel="0" collapsed="false">
      <c r="A426" s="7" t="s">
        <v>1325</v>
      </c>
      <c r="B426" s="7" t="s">
        <v>1326</v>
      </c>
      <c r="C426" s="8" t="s">
        <v>469</v>
      </c>
      <c r="D426" s="7" t="s">
        <v>483</v>
      </c>
      <c r="E426" s="7" t="s">
        <v>126</v>
      </c>
      <c r="F426" s="7" t="s">
        <v>152</v>
      </c>
      <c r="G426" s="9" t="n">
        <v>34493</v>
      </c>
      <c r="H426" s="5" t="n">
        <v>195</v>
      </c>
      <c r="I426" s="5" t="n">
        <v>112</v>
      </c>
      <c r="J426" s="5" t="n">
        <v>2019</v>
      </c>
      <c r="K426" s="7" t="s">
        <v>430</v>
      </c>
      <c r="L426" s="10" t="str">
        <f aca="false">INDEX(球隊主檔!$C$2:$C$31,MATCH($K426,球隊主檔!$A$2:$A$31,0))</f>
        <v>辛辛那提紅人</v>
      </c>
      <c r="M426" s="11" t="n">
        <f aca="false">IF($C426="打者",COUNTIF(打擊成績!$B:$B,$A426),COUNTIF(投手成績!$B:$B,$A426))</f>
        <v>2</v>
      </c>
    </row>
    <row r="427" customFormat="false" ht="15" hidden="false" customHeight="false" outlineLevel="0" collapsed="false">
      <c r="A427" s="7" t="s">
        <v>1327</v>
      </c>
      <c r="B427" s="7" t="s">
        <v>1328</v>
      </c>
      <c r="C427" s="8" t="s">
        <v>469</v>
      </c>
      <c r="D427" s="7" t="s">
        <v>162</v>
      </c>
      <c r="E427" s="7" t="s">
        <v>126</v>
      </c>
      <c r="F427" s="7" t="s">
        <v>126</v>
      </c>
      <c r="G427" s="9" t="n">
        <v>36255</v>
      </c>
      <c r="H427" s="5" t="n">
        <v>192</v>
      </c>
      <c r="I427" s="5" t="n">
        <v>99</v>
      </c>
      <c r="J427" s="5" t="n">
        <v>2020</v>
      </c>
      <c r="K427" s="7" t="s">
        <v>430</v>
      </c>
      <c r="L427" s="10" t="str">
        <f aca="false">INDEX(球隊主檔!$C$2:$C$31,MATCH($K427,球隊主檔!$A$2:$A$31,0))</f>
        <v>辛辛那提紅人</v>
      </c>
      <c r="M427" s="11" t="n">
        <f aca="false">IF($C427="打者",COUNTIF(打擊成績!$B:$B,$A427),COUNTIF(投手成績!$B:$B,$A427))</f>
        <v>3</v>
      </c>
    </row>
    <row r="428" customFormat="false" ht="15" hidden="false" customHeight="false" outlineLevel="0" collapsed="false">
      <c r="A428" s="7" t="s">
        <v>1329</v>
      </c>
      <c r="B428" s="7" t="s">
        <v>1330</v>
      </c>
      <c r="C428" s="8" t="s">
        <v>469</v>
      </c>
      <c r="D428" s="7" t="s">
        <v>63</v>
      </c>
      <c r="E428" s="7" t="s">
        <v>126</v>
      </c>
      <c r="F428" s="7" t="s">
        <v>126</v>
      </c>
      <c r="G428" s="9" t="n">
        <v>33198</v>
      </c>
      <c r="H428" s="5" t="n">
        <v>197</v>
      </c>
      <c r="I428" s="5" t="n">
        <v>110</v>
      </c>
      <c r="J428" s="5" t="n">
        <v>2012</v>
      </c>
      <c r="K428" s="7" t="s">
        <v>362</v>
      </c>
      <c r="L428" s="10" t="str">
        <f aca="false">INDEX(球隊主檔!$C$2:$C$31,MATCH($K428,球隊主檔!$A$2:$A$31,0))</f>
        <v>芝加哥白襪</v>
      </c>
      <c r="M428" s="11" t="n">
        <f aca="false">IF($C428="打者",COUNTIF(打擊成績!$B:$B,$A428),COUNTIF(投手成績!$B:$B,$A428))</f>
        <v>3</v>
      </c>
    </row>
    <row r="429" customFormat="false" ht="15" hidden="false" customHeight="false" outlineLevel="0" collapsed="false">
      <c r="A429" s="7" t="s">
        <v>1331</v>
      </c>
      <c r="B429" s="7" t="s">
        <v>1332</v>
      </c>
      <c r="C429" s="8" t="s">
        <v>469</v>
      </c>
      <c r="D429" s="7" t="s">
        <v>478</v>
      </c>
      <c r="E429" s="7" t="s">
        <v>126</v>
      </c>
      <c r="F429" s="7" t="s">
        <v>152</v>
      </c>
      <c r="G429" s="9" t="n">
        <v>36894</v>
      </c>
      <c r="H429" s="5" t="n">
        <v>176</v>
      </c>
      <c r="I429" s="5" t="n">
        <v>80</v>
      </c>
      <c r="J429" s="5" t="n">
        <v>2024</v>
      </c>
      <c r="K429" s="7" t="s">
        <v>430</v>
      </c>
      <c r="L429" s="10" t="str">
        <f aca="false">INDEX(球隊主檔!$C$2:$C$31,MATCH($K429,球隊主檔!$A$2:$A$31,0))</f>
        <v>辛辛那提紅人</v>
      </c>
      <c r="M429" s="11" t="n">
        <f aca="false">IF($C429="打者",COUNTIF(打擊成績!$B:$B,$A429),COUNTIF(投手成績!$B:$B,$A429))</f>
        <v>1</v>
      </c>
    </row>
    <row r="430" customFormat="false" ht="15" hidden="false" customHeight="false" outlineLevel="0" collapsed="false">
      <c r="A430" s="7" t="s">
        <v>1333</v>
      </c>
      <c r="B430" s="7" t="s">
        <v>1334</v>
      </c>
      <c r="C430" s="8" t="s">
        <v>469</v>
      </c>
      <c r="D430" s="7" t="s">
        <v>158</v>
      </c>
      <c r="E430" s="7" t="s">
        <v>152</v>
      </c>
      <c r="F430" s="7" t="s">
        <v>152</v>
      </c>
      <c r="G430" s="9" t="n">
        <v>35811</v>
      </c>
      <c r="H430" s="5" t="n">
        <v>191</v>
      </c>
      <c r="I430" s="5" t="n">
        <v>111</v>
      </c>
      <c r="J430" s="5" t="n">
        <v>2019</v>
      </c>
      <c r="K430" s="7" t="s">
        <v>430</v>
      </c>
      <c r="L430" s="10" t="str">
        <f aca="false">INDEX(球隊主檔!$C$2:$C$31,MATCH($K430,球隊主檔!$A$2:$A$31,0))</f>
        <v>辛辛那提紅人</v>
      </c>
      <c r="M430" s="11" t="n">
        <f aca="false">IF($C430="打者",COUNTIF(打擊成績!$B:$B,$A430),COUNTIF(投手成績!$B:$B,$A430))</f>
        <v>1</v>
      </c>
    </row>
    <row r="431" customFormat="false" ht="15" hidden="false" customHeight="false" outlineLevel="0" collapsed="false">
      <c r="A431" s="7" t="s">
        <v>1335</v>
      </c>
      <c r="B431" s="7" t="s">
        <v>1336</v>
      </c>
      <c r="C431" s="8" t="s">
        <v>469</v>
      </c>
      <c r="D431" s="7" t="s">
        <v>162</v>
      </c>
      <c r="E431" s="7" t="s">
        <v>152</v>
      </c>
      <c r="F431" s="7" t="s">
        <v>152</v>
      </c>
      <c r="G431" s="9" t="n">
        <v>33672</v>
      </c>
      <c r="H431" s="5" t="n">
        <v>177</v>
      </c>
      <c r="I431" s="5" t="n">
        <v>105</v>
      </c>
      <c r="J431" s="5" t="n">
        <v>2013</v>
      </c>
      <c r="K431" s="7" t="s">
        <v>430</v>
      </c>
      <c r="L431" s="10" t="str">
        <f aca="false">INDEX(球隊主檔!$C$2:$C$31,MATCH($K431,球隊主檔!$A$2:$A$31,0))</f>
        <v>辛辛那提紅人</v>
      </c>
      <c r="M431" s="11" t="n">
        <f aca="false">IF($C431="打者",COUNTIF(打擊成績!$B:$B,$A431),COUNTIF(投手成績!$B:$B,$A431))</f>
        <v>3</v>
      </c>
    </row>
    <row r="432" customFormat="false" ht="15" hidden="false" customHeight="false" outlineLevel="0" collapsed="false">
      <c r="A432" s="7" t="s">
        <v>1337</v>
      </c>
      <c r="B432" s="7" t="s">
        <v>1338</v>
      </c>
      <c r="C432" s="8" t="s">
        <v>495</v>
      </c>
      <c r="D432" s="7" t="s">
        <v>496</v>
      </c>
      <c r="E432" s="7" t="s">
        <v>152</v>
      </c>
      <c r="F432" s="7" t="s">
        <v>126</v>
      </c>
      <c r="G432" s="9" t="n">
        <v>36275</v>
      </c>
      <c r="H432" s="5" t="n">
        <v>199</v>
      </c>
      <c r="I432" s="5" t="n">
        <v>104</v>
      </c>
      <c r="J432" s="5" t="n">
        <v>2022</v>
      </c>
      <c r="K432" s="7" t="s">
        <v>434</v>
      </c>
      <c r="L432" s="10" t="str">
        <f aca="false">INDEX(球隊主檔!$C$2:$C$31,MATCH($K432,球隊主檔!$A$2:$A$31,0))</f>
        <v>密爾瓦基釀酒人</v>
      </c>
      <c r="M432" s="11" t="n">
        <f aca="false">IF($C432="打者",COUNTIF(打擊成績!$B:$B,$A432),COUNTIF(投手成績!$B:$B,$A432))</f>
        <v>3</v>
      </c>
    </row>
    <row r="433" customFormat="false" ht="15" hidden="false" customHeight="false" outlineLevel="0" collapsed="false">
      <c r="A433" s="7" t="s">
        <v>1339</v>
      </c>
      <c r="B433" s="7" t="s">
        <v>1340</v>
      </c>
      <c r="C433" s="8" t="s">
        <v>495</v>
      </c>
      <c r="D433" s="7" t="s">
        <v>496</v>
      </c>
      <c r="E433" s="7" t="s">
        <v>126</v>
      </c>
      <c r="F433" s="7" t="s">
        <v>152</v>
      </c>
      <c r="G433" s="9" t="n">
        <v>33102</v>
      </c>
      <c r="H433" s="5" t="n">
        <v>201</v>
      </c>
      <c r="I433" s="5" t="n">
        <v>80</v>
      </c>
      <c r="J433" s="5" t="n">
        <v>2014</v>
      </c>
      <c r="K433" s="7" t="s">
        <v>430</v>
      </c>
      <c r="L433" s="10" t="str">
        <f aca="false">INDEX(球隊主檔!$C$2:$C$31,MATCH($K433,球隊主檔!$A$2:$A$31,0))</f>
        <v>辛辛那提紅人</v>
      </c>
      <c r="M433" s="11" t="n">
        <f aca="false">IF($C433="打者",COUNTIF(打擊成績!$B:$B,$A433),COUNTIF(投手成績!$B:$B,$A433))</f>
        <v>2</v>
      </c>
    </row>
    <row r="434" customFormat="false" ht="15" hidden="false" customHeight="false" outlineLevel="0" collapsed="false">
      <c r="A434" s="7" t="s">
        <v>1341</v>
      </c>
      <c r="B434" s="7" t="s">
        <v>1342</v>
      </c>
      <c r="C434" s="8" t="s">
        <v>495</v>
      </c>
      <c r="D434" s="7" t="s">
        <v>496</v>
      </c>
      <c r="E434" s="7" t="s">
        <v>152</v>
      </c>
      <c r="F434" s="7" t="s">
        <v>152</v>
      </c>
      <c r="G434" s="9" t="n">
        <v>37034</v>
      </c>
      <c r="H434" s="5" t="n">
        <v>183</v>
      </c>
      <c r="I434" s="5" t="n">
        <v>105</v>
      </c>
      <c r="J434" s="5" t="n">
        <v>2022</v>
      </c>
      <c r="K434" s="7" t="s">
        <v>379</v>
      </c>
      <c r="L434" s="10" t="str">
        <f aca="false">INDEX(球隊主檔!$C$2:$C$31,MATCH($K434,球隊主檔!$A$2:$A$31,0))</f>
        <v>明尼蘇達雙城</v>
      </c>
      <c r="M434" s="11" t="n">
        <f aca="false">IF($C434="打者",COUNTIF(打擊成績!$B:$B,$A434),COUNTIF(投手成績!$B:$B,$A434))</f>
        <v>3</v>
      </c>
    </row>
    <row r="435" customFormat="false" ht="15" hidden="false" customHeight="false" outlineLevel="0" collapsed="false">
      <c r="A435" s="7" t="s">
        <v>1343</v>
      </c>
      <c r="B435" s="7" t="s">
        <v>1344</v>
      </c>
      <c r="C435" s="8" t="s">
        <v>495</v>
      </c>
      <c r="D435" s="7" t="s">
        <v>496</v>
      </c>
      <c r="E435" s="7" t="s">
        <v>126</v>
      </c>
      <c r="F435" s="7" t="s">
        <v>152</v>
      </c>
      <c r="G435" s="9" t="n">
        <v>32485</v>
      </c>
      <c r="H435" s="5" t="n">
        <v>201</v>
      </c>
      <c r="I435" s="5" t="n">
        <v>86</v>
      </c>
      <c r="J435" s="5" t="n">
        <v>2013</v>
      </c>
      <c r="K435" s="7" t="s">
        <v>430</v>
      </c>
      <c r="L435" s="10" t="str">
        <f aca="false">INDEX(球隊主檔!$C$2:$C$31,MATCH($K435,球隊主檔!$A$2:$A$31,0))</f>
        <v>辛辛那提紅人</v>
      </c>
      <c r="M435" s="11" t="n">
        <f aca="false">IF($C435="打者",COUNTIF(打擊成績!$B:$B,$A435),COUNTIF(投手成績!$B:$B,$A435))</f>
        <v>1</v>
      </c>
    </row>
    <row r="436" customFormat="false" ht="15" hidden="false" customHeight="false" outlineLevel="0" collapsed="false">
      <c r="A436" s="7" t="s">
        <v>1345</v>
      </c>
      <c r="B436" s="7" t="s">
        <v>1346</v>
      </c>
      <c r="C436" s="8" t="s">
        <v>495</v>
      </c>
      <c r="D436" s="7" t="s">
        <v>496</v>
      </c>
      <c r="E436" s="7" t="s">
        <v>152</v>
      </c>
      <c r="F436" s="7" t="s">
        <v>152</v>
      </c>
      <c r="G436" s="9" t="n">
        <v>37058</v>
      </c>
      <c r="H436" s="5" t="n">
        <v>182</v>
      </c>
      <c r="I436" s="5" t="n">
        <v>89</v>
      </c>
      <c r="J436" s="5" t="n">
        <v>2024</v>
      </c>
      <c r="K436" s="7" t="s">
        <v>430</v>
      </c>
      <c r="L436" s="10" t="str">
        <f aca="false">INDEX(球隊主檔!$C$2:$C$31,MATCH($K436,球隊主檔!$A$2:$A$31,0))</f>
        <v>辛辛那提紅人</v>
      </c>
      <c r="M436" s="11" t="n">
        <f aca="false">IF($C436="打者",COUNTIF(打擊成績!$B:$B,$A436),COUNTIF(投手成績!$B:$B,$A436))</f>
        <v>3</v>
      </c>
    </row>
    <row r="437" customFormat="false" ht="15" hidden="false" customHeight="false" outlineLevel="0" collapsed="false">
      <c r="A437" s="7" t="s">
        <v>1347</v>
      </c>
      <c r="B437" s="7" t="s">
        <v>1348</v>
      </c>
      <c r="C437" s="8" t="s">
        <v>495</v>
      </c>
      <c r="D437" s="7" t="s">
        <v>507</v>
      </c>
      <c r="E437" s="7" t="s">
        <v>152</v>
      </c>
      <c r="F437" s="7" t="s">
        <v>152</v>
      </c>
      <c r="G437" s="9" t="n">
        <v>36139</v>
      </c>
      <c r="H437" s="5" t="n">
        <v>200</v>
      </c>
      <c r="I437" s="5" t="n">
        <v>102</v>
      </c>
      <c r="J437" s="5" t="n">
        <v>2020</v>
      </c>
      <c r="K437" s="7" t="s">
        <v>430</v>
      </c>
      <c r="L437" s="10" t="str">
        <f aca="false">INDEX(球隊主檔!$C$2:$C$31,MATCH($K437,球隊主檔!$A$2:$A$31,0))</f>
        <v>辛辛那提紅人</v>
      </c>
      <c r="M437" s="11" t="n">
        <f aca="false">IF($C437="打者",COUNTIF(打擊成績!$B:$B,$A437),COUNTIF(投手成績!$B:$B,$A437))</f>
        <v>3</v>
      </c>
    </row>
    <row r="438" customFormat="false" ht="15" hidden="false" customHeight="false" outlineLevel="0" collapsed="false">
      <c r="A438" s="7" t="s">
        <v>1349</v>
      </c>
      <c r="B438" s="7" t="s">
        <v>1350</v>
      </c>
      <c r="C438" s="8" t="s">
        <v>495</v>
      </c>
      <c r="D438" s="7" t="s">
        <v>507</v>
      </c>
      <c r="E438" s="7" t="s">
        <v>126</v>
      </c>
      <c r="F438" s="7" t="s">
        <v>152</v>
      </c>
      <c r="G438" s="9" t="n">
        <v>33121</v>
      </c>
      <c r="H438" s="5" t="n">
        <v>177</v>
      </c>
      <c r="I438" s="5" t="n">
        <v>88</v>
      </c>
      <c r="J438" s="5" t="n">
        <v>2011</v>
      </c>
      <c r="K438" s="7" t="s">
        <v>430</v>
      </c>
      <c r="L438" s="10" t="str">
        <f aca="false">INDEX(球隊主檔!$C$2:$C$31,MATCH($K438,球隊主檔!$A$2:$A$31,0))</f>
        <v>辛辛那提紅人</v>
      </c>
      <c r="M438" s="11" t="n">
        <f aca="false">IF($C438="打者",COUNTIF(打擊成績!$B:$B,$A438),COUNTIF(投手成績!$B:$B,$A438))</f>
        <v>1</v>
      </c>
    </row>
    <row r="439" customFormat="false" ht="15" hidden="false" customHeight="false" outlineLevel="0" collapsed="false">
      <c r="A439" s="7" t="s">
        <v>1351</v>
      </c>
      <c r="B439" s="7" t="s">
        <v>1352</v>
      </c>
      <c r="C439" s="8" t="s">
        <v>495</v>
      </c>
      <c r="D439" s="7" t="s">
        <v>507</v>
      </c>
      <c r="E439" s="7" t="s">
        <v>152</v>
      </c>
      <c r="F439" s="7" t="s">
        <v>126</v>
      </c>
      <c r="G439" s="9" t="n">
        <v>35318</v>
      </c>
      <c r="H439" s="5" t="n">
        <v>198</v>
      </c>
      <c r="I439" s="5" t="n">
        <v>105</v>
      </c>
      <c r="J439" s="5" t="n">
        <v>2016</v>
      </c>
      <c r="K439" s="7" t="s">
        <v>430</v>
      </c>
      <c r="L439" s="10" t="str">
        <f aca="false">INDEX(球隊主檔!$C$2:$C$31,MATCH($K439,球隊主檔!$A$2:$A$31,0))</f>
        <v>辛辛那提紅人</v>
      </c>
      <c r="M439" s="11" t="n">
        <f aca="false">IF($C439="打者",COUNTIF(打擊成績!$B:$B,$A439),COUNTIF(投手成績!$B:$B,$A439))</f>
        <v>3</v>
      </c>
    </row>
    <row r="440" customFormat="false" ht="15" hidden="false" customHeight="false" outlineLevel="0" collapsed="false">
      <c r="A440" s="7" t="s">
        <v>1353</v>
      </c>
      <c r="B440" s="7" t="s">
        <v>1354</v>
      </c>
      <c r="C440" s="8" t="s">
        <v>495</v>
      </c>
      <c r="D440" s="7" t="s">
        <v>507</v>
      </c>
      <c r="E440" s="7" t="s">
        <v>126</v>
      </c>
      <c r="F440" s="7" t="s">
        <v>152</v>
      </c>
      <c r="G440" s="9" t="n">
        <v>34767</v>
      </c>
      <c r="H440" s="5" t="n">
        <v>183</v>
      </c>
      <c r="I440" s="5" t="n">
        <v>100</v>
      </c>
      <c r="J440" s="5" t="n">
        <v>2015</v>
      </c>
      <c r="K440" s="7" t="s">
        <v>430</v>
      </c>
      <c r="L440" s="10" t="str">
        <f aca="false">INDEX(球隊主檔!$C$2:$C$31,MATCH($K440,球隊主檔!$A$2:$A$31,0))</f>
        <v>辛辛那提紅人</v>
      </c>
      <c r="M440" s="11" t="n">
        <f aca="false">IF($C440="打者",COUNTIF(打擊成績!$B:$B,$A440),COUNTIF(投手成績!$B:$B,$A440))</f>
        <v>3</v>
      </c>
    </row>
    <row r="441" customFormat="false" ht="15" hidden="false" customHeight="false" outlineLevel="0" collapsed="false">
      <c r="A441" s="7" t="s">
        <v>1355</v>
      </c>
      <c r="B441" s="7" t="s">
        <v>1356</v>
      </c>
      <c r="C441" s="8" t="s">
        <v>495</v>
      </c>
      <c r="D441" s="7" t="s">
        <v>507</v>
      </c>
      <c r="E441" s="7" t="s">
        <v>126</v>
      </c>
      <c r="F441" s="7" t="s">
        <v>152</v>
      </c>
      <c r="G441" s="9" t="n">
        <v>34255</v>
      </c>
      <c r="H441" s="5" t="n">
        <v>180</v>
      </c>
      <c r="I441" s="5" t="n">
        <v>94</v>
      </c>
      <c r="J441" s="5" t="n">
        <v>2016</v>
      </c>
      <c r="K441" s="7" t="s">
        <v>430</v>
      </c>
      <c r="L441" s="10" t="str">
        <f aca="false">INDEX(球隊主檔!$C$2:$C$31,MATCH($K441,球隊主檔!$A$2:$A$31,0))</f>
        <v>辛辛那提紅人</v>
      </c>
      <c r="M441" s="11" t="n">
        <f aca="false">IF($C441="打者",COUNTIF(打擊成績!$B:$B,$A441),COUNTIF(投手成績!$B:$B,$A441))</f>
        <v>3</v>
      </c>
    </row>
    <row r="442" customFormat="false" ht="15" hidden="false" customHeight="false" outlineLevel="0" collapsed="false">
      <c r="A442" s="7" t="s">
        <v>1357</v>
      </c>
      <c r="B442" s="7" t="s">
        <v>1358</v>
      </c>
      <c r="C442" s="8" t="s">
        <v>469</v>
      </c>
      <c r="D442" s="7" t="s">
        <v>158</v>
      </c>
      <c r="E442" s="7" t="s">
        <v>152</v>
      </c>
      <c r="F442" s="7" t="s">
        <v>152</v>
      </c>
      <c r="G442" s="9" t="n">
        <v>36110</v>
      </c>
      <c r="H442" s="5" t="n">
        <v>191</v>
      </c>
      <c r="I442" s="5" t="n">
        <v>104</v>
      </c>
      <c r="J442" s="5" t="n">
        <v>2018</v>
      </c>
      <c r="K442" s="7" t="s">
        <v>434</v>
      </c>
      <c r="L442" s="10" t="str">
        <f aca="false">INDEX(球隊主檔!$C$2:$C$31,MATCH($K442,球隊主檔!$A$2:$A$31,0))</f>
        <v>密爾瓦基釀酒人</v>
      </c>
      <c r="M442" s="11" t="n">
        <f aca="false">IF($C442="打者",COUNTIF(打擊成績!$B:$B,$A442),COUNTIF(投手成績!$B:$B,$A442))</f>
        <v>1</v>
      </c>
    </row>
    <row r="443" customFormat="false" ht="15" hidden="false" customHeight="false" outlineLevel="0" collapsed="false">
      <c r="A443" s="7" t="s">
        <v>1359</v>
      </c>
      <c r="B443" s="7" t="s">
        <v>1360</v>
      </c>
      <c r="C443" s="8" t="s">
        <v>469</v>
      </c>
      <c r="D443" s="7" t="s">
        <v>478</v>
      </c>
      <c r="E443" s="7" t="s">
        <v>152</v>
      </c>
      <c r="F443" s="7" t="s">
        <v>152</v>
      </c>
      <c r="G443" s="9" t="n">
        <v>33063</v>
      </c>
      <c r="H443" s="5" t="n">
        <v>196</v>
      </c>
      <c r="I443" s="5" t="n">
        <v>103</v>
      </c>
      <c r="J443" s="5" t="n">
        <v>2011</v>
      </c>
      <c r="K443" s="7" t="s">
        <v>434</v>
      </c>
      <c r="L443" s="10" t="str">
        <f aca="false">INDEX(球隊主檔!$C$2:$C$31,MATCH($K443,球隊主檔!$A$2:$A$31,0))</f>
        <v>密爾瓦基釀酒人</v>
      </c>
      <c r="M443" s="11" t="n">
        <f aca="false">IF($C443="打者",COUNTIF(打擊成績!$B:$B,$A443),COUNTIF(投手成績!$B:$B,$A443))</f>
        <v>2</v>
      </c>
    </row>
    <row r="444" customFormat="false" ht="15" hidden="false" customHeight="false" outlineLevel="0" collapsed="false">
      <c r="A444" s="7" t="s">
        <v>1361</v>
      </c>
      <c r="B444" s="7" t="s">
        <v>1362</v>
      </c>
      <c r="C444" s="8" t="s">
        <v>469</v>
      </c>
      <c r="D444" s="7" t="s">
        <v>158</v>
      </c>
      <c r="E444" s="7" t="s">
        <v>152</v>
      </c>
      <c r="F444" s="7" t="s">
        <v>126</v>
      </c>
      <c r="G444" s="9" t="n">
        <v>33616</v>
      </c>
      <c r="H444" s="5" t="n">
        <v>194</v>
      </c>
      <c r="I444" s="5" t="n">
        <v>104</v>
      </c>
      <c r="J444" s="5" t="n">
        <v>2012</v>
      </c>
      <c r="K444" s="7" t="s">
        <v>354</v>
      </c>
      <c r="L444" s="10" t="str">
        <f aca="false">INDEX(球隊主檔!$C$2:$C$31,MATCH($K444,球隊主檔!$A$2:$A$31,0))</f>
        <v>坦帕灣光芒</v>
      </c>
      <c r="M444" s="11" t="n">
        <f aca="false">IF($C444="打者",COUNTIF(打擊成績!$B:$B,$A444),COUNTIF(投手成績!$B:$B,$A444))</f>
        <v>3</v>
      </c>
    </row>
    <row r="445" customFormat="false" ht="15" hidden="false" customHeight="false" outlineLevel="0" collapsed="false">
      <c r="A445" s="7" t="s">
        <v>1363</v>
      </c>
      <c r="B445" s="7" t="s">
        <v>1364</v>
      </c>
      <c r="C445" s="8" t="s">
        <v>469</v>
      </c>
      <c r="D445" s="7" t="s">
        <v>522</v>
      </c>
      <c r="E445" s="7" t="s">
        <v>152</v>
      </c>
      <c r="F445" s="7" t="s">
        <v>152</v>
      </c>
      <c r="G445" s="9" t="n">
        <v>37089</v>
      </c>
      <c r="H445" s="5" t="n">
        <v>176</v>
      </c>
      <c r="I445" s="5" t="n">
        <v>91</v>
      </c>
      <c r="J445" s="5" t="n">
        <v>2022</v>
      </c>
      <c r="K445" s="7" t="s">
        <v>434</v>
      </c>
      <c r="L445" s="10" t="str">
        <f aca="false">INDEX(球隊主檔!$C$2:$C$31,MATCH($K445,球隊主檔!$A$2:$A$31,0))</f>
        <v>密爾瓦基釀酒人</v>
      </c>
      <c r="M445" s="11" t="n">
        <f aca="false">IF($C445="打者",COUNTIF(打擊成績!$B:$B,$A445),COUNTIF(投手成績!$B:$B,$A445))</f>
        <v>3</v>
      </c>
    </row>
    <row r="446" customFormat="false" ht="15" hidden="false" customHeight="false" outlineLevel="0" collapsed="false">
      <c r="A446" s="7" t="s">
        <v>1365</v>
      </c>
      <c r="B446" s="7" t="s">
        <v>1366</v>
      </c>
      <c r="C446" s="8" t="s">
        <v>469</v>
      </c>
      <c r="D446" s="7" t="s">
        <v>483</v>
      </c>
      <c r="E446" s="7" t="s">
        <v>152</v>
      </c>
      <c r="F446" s="7" t="s">
        <v>152</v>
      </c>
      <c r="G446" s="9" t="n">
        <v>35086</v>
      </c>
      <c r="H446" s="5" t="n">
        <v>197</v>
      </c>
      <c r="I446" s="5" t="n">
        <v>105</v>
      </c>
      <c r="J446" s="5" t="n">
        <v>2016</v>
      </c>
      <c r="K446" s="7" t="s">
        <v>434</v>
      </c>
      <c r="L446" s="10" t="str">
        <f aca="false">INDEX(球隊主檔!$C$2:$C$31,MATCH($K446,球隊主檔!$A$2:$A$31,0))</f>
        <v>密爾瓦基釀酒人</v>
      </c>
      <c r="M446" s="11" t="n">
        <f aca="false">IF($C446="打者",COUNTIF(打擊成績!$B:$B,$A446),COUNTIF(投手成績!$B:$B,$A446))</f>
        <v>3</v>
      </c>
    </row>
    <row r="447" customFormat="false" ht="15" hidden="false" customHeight="false" outlineLevel="0" collapsed="false">
      <c r="A447" s="7" t="s">
        <v>1367</v>
      </c>
      <c r="B447" s="7" t="s">
        <v>1368</v>
      </c>
      <c r="C447" s="8" t="s">
        <v>469</v>
      </c>
      <c r="D447" s="7" t="s">
        <v>483</v>
      </c>
      <c r="E447" s="7" t="s">
        <v>152</v>
      </c>
      <c r="F447" s="7" t="s">
        <v>152</v>
      </c>
      <c r="G447" s="9" t="n">
        <v>36648</v>
      </c>
      <c r="H447" s="5" t="n">
        <v>183</v>
      </c>
      <c r="I447" s="5" t="n">
        <v>97</v>
      </c>
      <c r="J447" s="5" t="n">
        <v>2021</v>
      </c>
      <c r="K447" s="7" t="s">
        <v>434</v>
      </c>
      <c r="L447" s="10" t="str">
        <f aca="false">INDEX(球隊主檔!$C$2:$C$31,MATCH($K447,球隊主檔!$A$2:$A$31,0))</f>
        <v>密爾瓦基釀酒人</v>
      </c>
      <c r="M447" s="11" t="n">
        <f aca="false">IF($C447="打者",COUNTIF(打擊成績!$B:$B,$A447),COUNTIF(投手成績!$B:$B,$A447))</f>
        <v>3</v>
      </c>
    </row>
    <row r="448" customFormat="false" ht="15" hidden="false" customHeight="false" outlineLevel="0" collapsed="false">
      <c r="A448" s="7" t="s">
        <v>1369</v>
      </c>
      <c r="B448" s="7" t="s">
        <v>1370</v>
      </c>
      <c r="C448" s="8" t="s">
        <v>469</v>
      </c>
      <c r="D448" s="7" t="s">
        <v>483</v>
      </c>
      <c r="E448" s="7" t="s">
        <v>126</v>
      </c>
      <c r="F448" s="7" t="s">
        <v>152</v>
      </c>
      <c r="G448" s="9" t="n">
        <v>35563</v>
      </c>
      <c r="H448" s="5" t="n">
        <v>187</v>
      </c>
      <c r="I448" s="5" t="n">
        <v>83</v>
      </c>
      <c r="J448" s="5" t="n">
        <v>2017</v>
      </c>
      <c r="K448" s="7" t="s">
        <v>434</v>
      </c>
      <c r="L448" s="10" t="str">
        <f aca="false">INDEX(球隊主檔!$C$2:$C$31,MATCH($K448,球隊主檔!$A$2:$A$31,0))</f>
        <v>密爾瓦基釀酒人</v>
      </c>
      <c r="M448" s="11" t="n">
        <f aca="false">IF($C448="打者",COUNTIF(打擊成績!$B:$B,$A448),COUNTIF(投手成績!$B:$B,$A448))</f>
        <v>1</v>
      </c>
    </row>
    <row r="449" customFormat="false" ht="15" hidden="false" customHeight="false" outlineLevel="0" collapsed="false">
      <c r="A449" s="7" t="s">
        <v>1371</v>
      </c>
      <c r="B449" s="7" t="s">
        <v>1372</v>
      </c>
      <c r="C449" s="8" t="s">
        <v>469</v>
      </c>
      <c r="D449" s="7" t="s">
        <v>63</v>
      </c>
      <c r="E449" s="7" t="s">
        <v>152</v>
      </c>
      <c r="F449" s="7" t="s">
        <v>152</v>
      </c>
      <c r="G449" s="9" t="n">
        <v>35602</v>
      </c>
      <c r="H449" s="5" t="n">
        <v>193</v>
      </c>
      <c r="I449" s="5" t="n">
        <v>105</v>
      </c>
      <c r="J449" s="5" t="n">
        <v>2017</v>
      </c>
      <c r="K449" s="7" t="s">
        <v>434</v>
      </c>
      <c r="L449" s="10" t="str">
        <f aca="false">INDEX(球隊主檔!$C$2:$C$31,MATCH($K449,球隊主檔!$A$2:$A$31,0))</f>
        <v>密爾瓦基釀酒人</v>
      </c>
      <c r="M449" s="11" t="n">
        <f aca="false">IF($C449="打者",COUNTIF(打擊成績!$B:$B,$A449),COUNTIF(投手成績!$B:$B,$A449))</f>
        <v>3</v>
      </c>
    </row>
    <row r="450" customFormat="false" ht="15" hidden="false" customHeight="false" outlineLevel="0" collapsed="false">
      <c r="A450" s="7" t="s">
        <v>1373</v>
      </c>
      <c r="B450" s="7" t="s">
        <v>1374</v>
      </c>
      <c r="C450" s="8" t="s">
        <v>469</v>
      </c>
      <c r="D450" s="7" t="s">
        <v>470</v>
      </c>
      <c r="E450" s="7" t="s">
        <v>126</v>
      </c>
      <c r="F450" s="7" t="s">
        <v>152</v>
      </c>
      <c r="G450" s="9" t="n">
        <v>34892</v>
      </c>
      <c r="H450" s="5" t="n">
        <v>191</v>
      </c>
      <c r="I450" s="5" t="n">
        <v>104</v>
      </c>
      <c r="J450" s="5" t="n">
        <v>2019</v>
      </c>
      <c r="K450" s="7" t="s">
        <v>434</v>
      </c>
      <c r="L450" s="10" t="str">
        <f aca="false">INDEX(球隊主檔!$C$2:$C$31,MATCH($K450,球隊主檔!$A$2:$A$31,0))</f>
        <v>密爾瓦基釀酒人</v>
      </c>
      <c r="M450" s="11" t="n">
        <f aca="false">IF($C450="打者",COUNTIF(打擊成績!$B:$B,$A450),COUNTIF(投手成績!$B:$B,$A450))</f>
        <v>3</v>
      </c>
    </row>
    <row r="451" customFormat="false" ht="15" hidden="false" customHeight="false" outlineLevel="0" collapsed="false">
      <c r="A451" s="7" t="s">
        <v>1375</v>
      </c>
      <c r="B451" s="7" t="s">
        <v>1376</v>
      </c>
      <c r="C451" s="8" t="s">
        <v>469</v>
      </c>
      <c r="D451" s="7" t="s">
        <v>473</v>
      </c>
      <c r="E451" s="7" t="s">
        <v>152</v>
      </c>
      <c r="F451" s="7" t="s">
        <v>126</v>
      </c>
      <c r="G451" s="9" t="n">
        <v>33476</v>
      </c>
      <c r="H451" s="5" t="n">
        <v>198</v>
      </c>
      <c r="I451" s="5" t="n">
        <v>108</v>
      </c>
      <c r="J451" s="5" t="n">
        <v>2015</v>
      </c>
      <c r="K451" s="7" t="s">
        <v>459</v>
      </c>
      <c r="L451" s="10" t="str">
        <f aca="false">INDEX(球隊主檔!$C$2:$C$31,MATCH($K451,球隊主檔!$A$2:$A$31,0))</f>
        <v>聖地牙哥教士</v>
      </c>
      <c r="M451" s="11" t="n">
        <f aca="false">IF($C451="打者",COUNTIF(打擊成績!$B:$B,$A451),COUNTIF(投手成績!$B:$B,$A451))</f>
        <v>3</v>
      </c>
    </row>
    <row r="452" customFormat="false" ht="15" hidden="false" customHeight="false" outlineLevel="0" collapsed="false">
      <c r="A452" s="7" t="s">
        <v>1377</v>
      </c>
      <c r="B452" s="7" t="s">
        <v>1378</v>
      </c>
      <c r="C452" s="8" t="s">
        <v>495</v>
      </c>
      <c r="D452" s="7" t="s">
        <v>496</v>
      </c>
      <c r="E452" s="7" t="s">
        <v>174</v>
      </c>
      <c r="F452" s="7" t="s">
        <v>152</v>
      </c>
      <c r="G452" s="9" t="n">
        <v>34949</v>
      </c>
      <c r="H452" s="5" t="n">
        <v>175</v>
      </c>
      <c r="I452" s="5" t="n">
        <v>100</v>
      </c>
      <c r="J452" s="5" t="n">
        <v>2016</v>
      </c>
      <c r="K452" s="7" t="s">
        <v>434</v>
      </c>
      <c r="L452" s="10" t="str">
        <f aca="false">INDEX(球隊主檔!$C$2:$C$31,MATCH($K452,球隊主檔!$A$2:$A$31,0))</f>
        <v>密爾瓦基釀酒人</v>
      </c>
      <c r="M452" s="11" t="n">
        <f aca="false">IF($C452="打者",COUNTIF(打擊成績!$B:$B,$A452),COUNTIF(投手成績!$B:$B,$A452))</f>
        <v>3</v>
      </c>
    </row>
    <row r="453" customFormat="false" ht="15" hidden="false" customHeight="false" outlineLevel="0" collapsed="false">
      <c r="A453" s="7" t="s">
        <v>1379</v>
      </c>
      <c r="B453" s="7" t="s">
        <v>1380</v>
      </c>
      <c r="C453" s="8" t="s">
        <v>495</v>
      </c>
      <c r="D453" s="7" t="s">
        <v>496</v>
      </c>
      <c r="E453" s="7" t="s">
        <v>152</v>
      </c>
      <c r="F453" s="7" t="s">
        <v>152</v>
      </c>
      <c r="G453" s="9" t="n">
        <v>35509</v>
      </c>
      <c r="H453" s="5" t="n">
        <v>175</v>
      </c>
      <c r="I453" s="5" t="n">
        <v>106</v>
      </c>
      <c r="J453" s="5" t="n">
        <v>2020</v>
      </c>
      <c r="K453" s="7" t="s">
        <v>434</v>
      </c>
      <c r="L453" s="10" t="str">
        <f aca="false">INDEX(球隊主檔!$C$2:$C$31,MATCH($K453,球隊主檔!$A$2:$A$31,0))</f>
        <v>密爾瓦基釀酒人</v>
      </c>
      <c r="M453" s="11" t="n">
        <f aca="false">IF($C453="打者",COUNTIF(打擊成績!$B:$B,$A453),COUNTIF(投手成績!$B:$B,$A453))</f>
        <v>3</v>
      </c>
    </row>
    <row r="454" customFormat="false" ht="15" hidden="false" customHeight="false" outlineLevel="0" collapsed="false">
      <c r="A454" s="7" t="s">
        <v>1381</v>
      </c>
      <c r="B454" s="7" t="s">
        <v>1382</v>
      </c>
      <c r="C454" s="8" t="s">
        <v>495</v>
      </c>
      <c r="D454" s="7" t="s">
        <v>496</v>
      </c>
      <c r="E454" s="7" t="s">
        <v>152</v>
      </c>
      <c r="F454" s="7" t="s">
        <v>126</v>
      </c>
      <c r="G454" s="9" t="n">
        <v>36179</v>
      </c>
      <c r="H454" s="5" t="n">
        <v>190</v>
      </c>
      <c r="I454" s="5" t="n">
        <v>98</v>
      </c>
      <c r="J454" s="5" t="n">
        <v>2019</v>
      </c>
      <c r="K454" s="7" t="s">
        <v>434</v>
      </c>
      <c r="L454" s="10" t="str">
        <f aca="false">INDEX(球隊主檔!$C$2:$C$31,MATCH($K454,球隊主檔!$A$2:$A$31,0))</f>
        <v>密爾瓦基釀酒人</v>
      </c>
      <c r="M454" s="11" t="n">
        <f aca="false">IF($C454="打者",COUNTIF(打擊成績!$B:$B,$A454),COUNTIF(投手成績!$B:$B,$A454))</f>
        <v>3</v>
      </c>
    </row>
    <row r="455" customFormat="false" ht="15" hidden="false" customHeight="false" outlineLevel="0" collapsed="false">
      <c r="A455" s="7" t="s">
        <v>1383</v>
      </c>
      <c r="B455" s="7" t="s">
        <v>1384</v>
      </c>
      <c r="C455" s="8" t="s">
        <v>495</v>
      </c>
      <c r="D455" s="7" t="s">
        <v>496</v>
      </c>
      <c r="E455" s="7" t="s">
        <v>152</v>
      </c>
      <c r="F455" s="7" t="s">
        <v>126</v>
      </c>
      <c r="G455" s="9" t="n">
        <v>36537</v>
      </c>
      <c r="H455" s="5" t="n">
        <v>185</v>
      </c>
      <c r="I455" s="5" t="n">
        <v>110</v>
      </c>
      <c r="J455" s="5" t="n">
        <v>2024</v>
      </c>
      <c r="K455" s="7" t="s">
        <v>434</v>
      </c>
      <c r="L455" s="10" t="str">
        <f aca="false">INDEX(球隊主檔!$C$2:$C$31,MATCH($K455,球隊主檔!$A$2:$A$31,0))</f>
        <v>密爾瓦基釀酒人</v>
      </c>
      <c r="M455" s="11" t="n">
        <f aca="false">IF($C455="打者",COUNTIF(打擊成績!$B:$B,$A455),COUNTIF(投手成績!$B:$B,$A455))</f>
        <v>3</v>
      </c>
    </row>
    <row r="456" customFormat="false" ht="15" hidden="false" customHeight="false" outlineLevel="0" collapsed="false">
      <c r="A456" s="7" t="s">
        <v>1385</v>
      </c>
      <c r="B456" s="7" t="s">
        <v>1386</v>
      </c>
      <c r="C456" s="8" t="s">
        <v>495</v>
      </c>
      <c r="D456" s="7" t="s">
        <v>496</v>
      </c>
      <c r="E456" s="7" t="s">
        <v>152</v>
      </c>
      <c r="F456" s="7" t="s">
        <v>152</v>
      </c>
      <c r="G456" s="9" t="n">
        <v>35689</v>
      </c>
      <c r="H456" s="5" t="n">
        <v>185</v>
      </c>
      <c r="I456" s="5" t="n">
        <v>109</v>
      </c>
      <c r="J456" s="5" t="n">
        <v>2019</v>
      </c>
      <c r="K456" s="7" t="s">
        <v>434</v>
      </c>
      <c r="L456" s="10" t="str">
        <f aca="false">INDEX(球隊主檔!$C$2:$C$31,MATCH($K456,球隊主檔!$A$2:$A$31,0))</f>
        <v>密爾瓦基釀酒人</v>
      </c>
      <c r="M456" s="11" t="n">
        <f aca="false">IF($C456="打者",COUNTIF(打擊成績!$B:$B,$A456),COUNTIF(投手成績!$B:$B,$A456))</f>
        <v>3</v>
      </c>
    </row>
    <row r="457" customFormat="false" ht="15" hidden="false" customHeight="false" outlineLevel="0" collapsed="false">
      <c r="A457" s="7" t="s">
        <v>1387</v>
      </c>
      <c r="B457" s="7" t="s">
        <v>1388</v>
      </c>
      <c r="C457" s="8" t="s">
        <v>495</v>
      </c>
      <c r="D457" s="7" t="s">
        <v>507</v>
      </c>
      <c r="E457" s="7" t="s">
        <v>174</v>
      </c>
      <c r="F457" s="7" t="s">
        <v>152</v>
      </c>
      <c r="G457" s="9" t="n">
        <v>35790</v>
      </c>
      <c r="H457" s="5" t="n">
        <v>176</v>
      </c>
      <c r="I457" s="5" t="n">
        <v>85</v>
      </c>
      <c r="J457" s="5" t="n">
        <v>2020</v>
      </c>
      <c r="K457" s="7" t="s">
        <v>434</v>
      </c>
      <c r="L457" s="10" t="str">
        <f aca="false">INDEX(球隊主檔!$C$2:$C$31,MATCH($K457,球隊主檔!$A$2:$A$31,0))</f>
        <v>密爾瓦基釀酒人</v>
      </c>
      <c r="M457" s="11" t="n">
        <f aca="false">IF($C457="打者",COUNTIF(打擊成績!$B:$B,$A457),COUNTIF(投手成績!$B:$B,$A457))</f>
        <v>3</v>
      </c>
    </row>
    <row r="458" customFormat="false" ht="15" hidden="false" customHeight="false" outlineLevel="0" collapsed="false">
      <c r="A458" s="7" t="s">
        <v>1389</v>
      </c>
      <c r="B458" s="7" t="s">
        <v>1390</v>
      </c>
      <c r="C458" s="8" t="s">
        <v>495</v>
      </c>
      <c r="D458" s="7" t="s">
        <v>507</v>
      </c>
      <c r="E458" s="7" t="s">
        <v>174</v>
      </c>
      <c r="F458" s="7" t="s">
        <v>152</v>
      </c>
      <c r="G458" s="9" t="n">
        <v>34994</v>
      </c>
      <c r="H458" s="5" t="n">
        <v>183</v>
      </c>
      <c r="I458" s="5" t="n">
        <v>99</v>
      </c>
      <c r="J458" s="5" t="n">
        <v>2020</v>
      </c>
      <c r="K458" s="7" t="s">
        <v>434</v>
      </c>
      <c r="L458" s="10" t="str">
        <f aca="false">INDEX(球隊主檔!$C$2:$C$31,MATCH($K458,球隊主檔!$A$2:$A$31,0))</f>
        <v>密爾瓦基釀酒人</v>
      </c>
      <c r="M458" s="11" t="n">
        <f aca="false">IF($C458="打者",COUNTIF(打擊成績!$B:$B,$A458),COUNTIF(投手成績!$B:$B,$A458))</f>
        <v>3</v>
      </c>
    </row>
    <row r="459" customFormat="false" ht="15" hidden="false" customHeight="false" outlineLevel="0" collapsed="false">
      <c r="A459" s="7" t="s">
        <v>1391</v>
      </c>
      <c r="B459" s="7" t="s">
        <v>1392</v>
      </c>
      <c r="C459" s="8" t="s">
        <v>495</v>
      </c>
      <c r="D459" s="7" t="s">
        <v>507</v>
      </c>
      <c r="E459" s="7" t="s">
        <v>152</v>
      </c>
      <c r="F459" s="7" t="s">
        <v>152</v>
      </c>
      <c r="G459" s="9" t="n">
        <v>36496</v>
      </c>
      <c r="H459" s="5" t="n">
        <v>180</v>
      </c>
      <c r="I459" s="5" t="n">
        <v>107</v>
      </c>
      <c r="J459" s="5" t="n">
        <v>2022</v>
      </c>
      <c r="K459" s="7" t="s">
        <v>358</v>
      </c>
      <c r="L459" s="10" t="str">
        <f aca="false">INDEX(球隊主檔!$C$2:$C$31,MATCH($K459,球隊主檔!$A$2:$A$31,0))</f>
        <v>多倫多藍鳥</v>
      </c>
      <c r="M459" s="11" t="n">
        <f aca="false">IF($C459="打者",COUNTIF(打擊成績!$B:$B,$A459),COUNTIF(投手成績!$B:$B,$A459))</f>
        <v>3</v>
      </c>
    </row>
    <row r="460" customFormat="false" ht="15" hidden="false" customHeight="false" outlineLevel="0" collapsed="false">
      <c r="A460" s="7" t="s">
        <v>1393</v>
      </c>
      <c r="B460" s="7" t="s">
        <v>1394</v>
      </c>
      <c r="C460" s="8" t="s">
        <v>495</v>
      </c>
      <c r="D460" s="7" t="s">
        <v>507</v>
      </c>
      <c r="E460" s="7" t="s">
        <v>152</v>
      </c>
      <c r="F460" s="7" t="s">
        <v>152</v>
      </c>
      <c r="G460" s="9" t="n">
        <v>32935</v>
      </c>
      <c r="H460" s="5" t="n">
        <v>182</v>
      </c>
      <c r="I460" s="5" t="n">
        <v>107</v>
      </c>
      <c r="J460" s="5" t="n">
        <v>2010</v>
      </c>
      <c r="K460" s="7" t="s">
        <v>442</v>
      </c>
      <c r="L460" s="10" t="str">
        <f aca="false">INDEX(球隊主檔!$C$2:$C$31,MATCH($K460,球隊主檔!$A$2:$A$31,0))</f>
        <v>聖路易紅雀</v>
      </c>
      <c r="M460" s="11" t="n">
        <f aca="false">IF($C460="打者",COUNTIF(打擊成績!$B:$B,$A460),COUNTIF(投手成績!$B:$B,$A460))</f>
        <v>3</v>
      </c>
    </row>
    <row r="461" customFormat="false" ht="15" hidden="false" customHeight="false" outlineLevel="0" collapsed="false">
      <c r="A461" s="7" t="s">
        <v>1395</v>
      </c>
      <c r="B461" s="7" t="s">
        <v>1396</v>
      </c>
      <c r="C461" s="8" t="s">
        <v>495</v>
      </c>
      <c r="D461" s="7" t="s">
        <v>507</v>
      </c>
      <c r="E461" s="7" t="s">
        <v>152</v>
      </c>
      <c r="F461" s="7" t="s">
        <v>126</v>
      </c>
      <c r="G461" s="9" t="n">
        <v>35512</v>
      </c>
      <c r="H461" s="5" t="n">
        <v>197</v>
      </c>
      <c r="I461" s="5" t="n">
        <v>108</v>
      </c>
      <c r="J461" s="5" t="n">
        <v>2020</v>
      </c>
      <c r="K461" s="7" t="s">
        <v>434</v>
      </c>
      <c r="L461" s="10" t="str">
        <f aca="false">INDEX(球隊主檔!$C$2:$C$31,MATCH($K461,球隊主檔!$A$2:$A$31,0))</f>
        <v>密爾瓦基釀酒人</v>
      </c>
      <c r="M461" s="11" t="n">
        <f aca="false">IF($C461="打者",COUNTIF(打擊成績!$B:$B,$A461),COUNTIF(投手成績!$B:$B,$A461))</f>
        <v>3</v>
      </c>
    </row>
    <row r="462" customFormat="false" ht="15" hidden="false" customHeight="false" outlineLevel="0" collapsed="false">
      <c r="A462" s="7" t="s">
        <v>1397</v>
      </c>
      <c r="B462" s="7" t="s">
        <v>1398</v>
      </c>
      <c r="C462" s="8" t="s">
        <v>469</v>
      </c>
      <c r="D462" s="7" t="s">
        <v>470</v>
      </c>
      <c r="E462" s="7" t="s">
        <v>152</v>
      </c>
      <c r="F462" s="7" t="s">
        <v>152</v>
      </c>
      <c r="G462" s="9" t="n">
        <v>34837</v>
      </c>
      <c r="H462" s="5" t="n">
        <v>197</v>
      </c>
      <c r="I462" s="5" t="n">
        <v>102</v>
      </c>
      <c r="J462" s="5" t="n">
        <v>2016</v>
      </c>
      <c r="K462" s="7" t="s">
        <v>438</v>
      </c>
      <c r="L462" s="10" t="str">
        <f aca="false">INDEX(球隊主檔!$C$2:$C$31,MATCH($K462,球隊主檔!$A$2:$A$31,0))</f>
        <v>匹茲堡海盜</v>
      </c>
      <c r="M462" s="11" t="n">
        <f aca="false">IF($C462="打者",COUNTIF(打擊成績!$B:$B,$A462),COUNTIF(投手成績!$B:$B,$A462))</f>
        <v>3</v>
      </c>
    </row>
    <row r="463" customFormat="false" ht="15" hidden="false" customHeight="false" outlineLevel="0" collapsed="false">
      <c r="A463" s="7" t="s">
        <v>1399</v>
      </c>
      <c r="B463" s="7" t="s">
        <v>1400</v>
      </c>
      <c r="C463" s="8" t="s">
        <v>469</v>
      </c>
      <c r="D463" s="7" t="s">
        <v>158</v>
      </c>
      <c r="E463" s="7" t="s">
        <v>152</v>
      </c>
      <c r="F463" s="7" t="s">
        <v>126</v>
      </c>
      <c r="G463" s="9" t="n">
        <v>35412</v>
      </c>
      <c r="H463" s="5" t="n">
        <v>195</v>
      </c>
      <c r="I463" s="5" t="n">
        <v>108</v>
      </c>
      <c r="J463" s="5" t="n">
        <v>2019</v>
      </c>
      <c r="K463" s="7" t="s">
        <v>438</v>
      </c>
      <c r="L463" s="10" t="str">
        <f aca="false">INDEX(球隊主檔!$C$2:$C$31,MATCH($K463,球隊主檔!$A$2:$A$31,0))</f>
        <v>匹茲堡海盜</v>
      </c>
      <c r="M463" s="11" t="n">
        <f aca="false">IF($C463="打者",COUNTIF(打擊成績!$B:$B,$A463),COUNTIF(投手成績!$B:$B,$A463))</f>
        <v>3</v>
      </c>
    </row>
    <row r="464" customFormat="false" ht="15" hidden="false" customHeight="false" outlineLevel="0" collapsed="false">
      <c r="A464" s="7" t="s">
        <v>1401</v>
      </c>
      <c r="B464" s="7" t="s">
        <v>1402</v>
      </c>
      <c r="C464" s="8" t="s">
        <v>469</v>
      </c>
      <c r="D464" s="7" t="s">
        <v>158</v>
      </c>
      <c r="E464" s="7" t="s">
        <v>152</v>
      </c>
      <c r="F464" s="7" t="s">
        <v>152</v>
      </c>
      <c r="G464" s="9" t="n">
        <v>35832</v>
      </c>
      <c r="H464" s="5" t="n">
        <v>182</v>
      </c>
      <c r="I464" s="5" t="n">
        <v>87</v>
      </c>
      <c r="J464" s="5" t="n">
        <v>2019</v>
      </c>
      <c r="K464" s="7" t="s">
        <v>438</v>
      </c>
      <c r="L464" s="10" t="str">
        <f aca="false">INDEX(球隊主檔!$C$2:$C$31,MATCH($K464,球隊主檔!$A$2:$A$31,0))</f>
        <v>匹茲堡海盜</v>
      </c>
      <c r="M464" s="11" t="n">
        <f aca="false">IF($C464="打者",COUNTIF(打擊成績!$B:$B,$A464),COUNTIF(投手成績!$B:$B,$A464))</f>
        <v>3</v>
      </c>
    </row>
    <row r="465" customFormat="false" ht="15" hidden="false" customHeight="false" outlineLevel="0" collapsed="false">
      <c r="A465" s="7" t="s">
        <v>1403</v>
      </c>
      <c r="B465" s="7" t="s">
        <v>1404</v>
      </c>
      <c r="C465" s="8" t="s">
        <v>469</v>
      </c>
      <c r="D465" s="7" t="s">
        <v>158</v>
      </c>
      <c r="E465" s="7" t="s">
        <v>126</v>
      </c>
      <c r="F465" s="7" t="s">
        <v>152</v>
      </c>
      <c r="G465" s="9" t="n">
        <v>35984</v>
      </c>
      <c r="H465" s="5" t="n">
        <v>177</v>
      </c>
      <c r="I465" s="5" t="n">
        <v>110</v>
      </c>
      <c r="J465" s="5" t="n">
        <v>2023</v>
      </c>
      <c r="K465" s="7" t="s">
        <v>438</v>
      </c>
      <c r="L465" s="10" t="str">
        <f aca="false">INDEX(球隊主檔!$C$2:$C$31,MATCH($K465,球隊主檔!$A$2:$A$31,0))</f>
        <v>匹茲堡海盜</v>
      </c>
      <c r="M465" s="11" t="n">
        <f aca="false">IF($C465="打者",COUNTIF(打擊成績!$B:$B,$A465),COUNTIF(投手成績!$B:$B,$A465))</f>
        <v>3</v>
      </c>
    </row>
    <row r="466" customFormat="false" ht="15" hidden="false" customHeight="false" outlineLevel="0" collapsed="false">
      <c r="A466" s="7" t="s">
        <v>1405</v>
      </c>
      <c r="B466" s="7" t="s">
        <v>1406</v>
      </c>
      <c r="C466" s="8" t="s">
        <v>469</v>
      </c>
      <c r="D466" s="7" t="s">
        <v>478</v>
      </c>
      <c r="E466" s="7" t="s">
        <v>126</v>
      </c>
      <c r="F466" s="7" t="s">
        <v>152</v>
      </c>
      <c r="G466" s="9" t="n">
        <v>35897</v>
      </c>
      <c r="H466" s="5" t="n">
        <v>191</v>
      </c>
      <c r="I466" s="5" t="n">
        <v>82</v>
      </c>
      <c r="J466" s="5" t="n">
        <v>2018</v>
      </c>
      <c r="K466" s="7" t="s">
        <v>438</v>
      </c>
      <c r="L466" s="10" t="str">
        <f aca="false">INDEX(球隊主檔!$C$2:$C$31,MATCH($K466,球隊主檔!$A$2:$A$31,0))</f>
        <v>匹茲堡海盜</v>
      </c>
      <c r="M466" s="11" t="n">
        <f aca="false">IF($C466="打者",COUNTIF(打擊成績!$B:$B,$A466),COUNTIF(投手成績!$B:$B,$A466))</f>
        <v>3</v>
      </c>
    </row>
    <row r="467" customFormat="false" ht="15" hidden="false" customHeight="false" outlineLevel="0" collapsed="false">
      <c r="A467" s="7" t="s">
        <v>1407</v>
      </c>
      <c r="B467" s="7" t="s">
        <v>1408</v>
      </c>
      <c r="C467" s="8" t="s">
        <v>469</v>
      </c>
      <c r="D467" s="7" t="s">
        <v>162</v>
      </c>
      <c r="E467" s="7" t="s">
        <v>126</v>
      </c>
      <c r="F467" s="7" t="s">
        <v>152</v>
      </c>
      <c r="G467" s="9" t="n">
        <v>36361</v>
      </c>
      <c r="H467" s="5" t="n">
        <v>192</v>
      </c>
      <c r="I467" s="5" t="n">
        <v>88</v>
      </c>
      <c r="J467" s="5" t="n">
        <v>2024</v>
      </c>
      <c r="K467" s="7" t="s">
        <v>438</v>
      </c>
      <c r="L467" s="10" t="str">
        <f aca="false">INDEX(球隊主檔!$C$2:$C$31,MATCH($K467,球隊主檔!$A$2:$A$31,0))</f>
        <v>匹茲堡海盜</v>
      </c>
      <c r="M467" s="11" t="n">
        <f aca="false">IF($C467="打者",COUNTIF(打擊成績!$B:$B,$A467),COUNTIF(投手成績!$B:$B,$A467))</f>
        <v>3</v>
      </c>
    </row>
    <row r="468" customFormat="false" ht="15" hidden="false" customHeight="false" outlineLevel="0" collapsed="false">
      <c r="A468" s="7" t="s">
        <v>1409</v>
      </c>
      <c r="B468" s="7" t="s">
        <v>1410</v>
      </c>
      <c r="C468" s="8" t="s">
        <v>469</v>
      </c>
      <c r="D468" s="7" t="s">
        <v>63</v>
      </c>
      <c r="E468" s="7" t="s">
        <v>152</v>
      </c>
      <c r="F468" s="7" t="s">
        <v>152</v>
      </c>
      <c r="G468" s="9" t="n">
        <v>34703</v>
      </c>
      <c r="H468" s="5" t="n">
        <v>187</v>
      </c>
      <c r="I468" s="5" t="n">
        <v>81</v>
      </c>
      <c r="J468" s="5" t="n">
        <v>2017</v>
      </c>
      <c r="K468" s="7" t="s">
        <v>438</v>
      </c>
      <c r="L468" s="10" t="str">
        <f aca="false">INDEX(球隊主檔!$C$2:$C$31,MATCH($K468,球隊主檔!$A$2:$A$31,0))</f>
        <v>匹茲堡海盜</v>
      </c>
      <c r="M468" s="11" t="n">
        <f aca="false">IF($C468="打者",COUNTIF(打擊成績!$B:$B,$A468),COUNTIF(投手成績!$B:$B,$A468))</f>
        <v>3</v>
      </c>
    </row>
    <row r="469" customFormat="false" ht="15" hidden="false" customHeight="false" outlineLevel="0" collapsed="false">
      <c r="A469" s="7" t="s">
        <v>1411</v>
      </c>
      <c r="B469" s="7" t="s">
        <v>1412</v>
      </c>
      <c r="C469" s="8" t="s">
        <v>469</v>
      </c>
      <c r="D469" s="7" t="s">
        <v>483</v>
      </c>
      <c r="E469" s="7" t="s">
        <v>174</v>
      </c>
      <c r="F469" s="7" t="s">
        <v>152</v>
      </c>
      <c r="G469" s="9" t="n">
        <v>37533</v>
      </c>
      <c r="H469" s="5" t="n">
        <v>196</v>
      </c>
      <c r="I469" s="5" t="n">
        <v>93</v>
      </c>
      <c r="J469" s="5" t="n">
        <v>2023</v>
      </c>
      <c r="K469" s="7" t="s">
        <v>438</v>
      </c>
      <c r="L469" s="10" t="str">
        <f aca="false">INDEX(球隊主檔!$C$2:$C$31,MATCH($K469,球隊主檔!$A$2:$A$31,0))</f>
        <v>匹茲堡海盜</v>
      </c>
      <c r="M469" s="11" t="n">
        <f aca="false">IF($C469="打者",COUNTIF(打擊成績!$B:$B,$A469),COUNTIF(投手成績!$B:$B,$A469))</f>
        <v>3</v>
      </c>
    </row>
    <row r="470" customFormat="false" ht="15" hidden="false" customHeight="false" outlineLevel="0" collapsed="false">
      <c r="A470" s="7" t="s">
        <v>1413</v>
      </c>
      <c r="B470" s="7" t="s">
        <v>1414</v>
      </c>
      <c r="C470" s="8" t="s">
        <v>469</v>
      </c>
      <c r="D470" s="7" t="s">
        <v>522</v>
      </c>
      <c r="E470" s="7" t="s">
        <v>126</v>
      </c>
      <c r="F470" s="7" t="s">
        <v>152</v>
      </c>
      <c r="G470" s="9" t="n">
        <v>35522</v>
      </c>
      <c r="H470" s="5" t="n">
        <v>183</v>
      </c>
      <c r="I470" s="5" t="n">
        <v>112</v>
      </c>
      <c r="J470" s="5" t="n">
        <v>2017</v>
      </c>
      <c r="K470" s="7" t="s">
        <v>438</v>
      </c>
      <c r="L470" s="10" t="str">
        <f aca="false">INDEX(球隊主檔!$C$2:$C$31,MATCH($K470,球隊主檔!$A$2:$A$31,0))</f>
        <v>匹茲堡海盜</v>
      </c>
      <c r="M470" s="11" t="n">
        <f aca="false">IF($C470="打者",COUNTIF(打擊成績!$B:$B,$A470),COUNTIF(投手成績!$B:$B,$A470))</f>
        <v>2</v>
      </c>
    </row>
    <row r="471" customFormat="false" ht="15" hidden="false" customHeight="false" outlineLevel="0" collapsed="false">
      <c r="A471" s="7" t="s">
        <v>1415</v>
      </c>
      <c r="B471" s="7" t="s">
        <v>1416</v>
      </c>
      <c r="C471" s="8" t="s">
        <v>469</v>
      </c>
      <c r="D471" s="7" t="s">
        <v>486</v>
      </c>
      <c r="E471" s="7" t="s">
        <v>152</v>
      </c>
      <c r="F471" s="7" t="s">
        <v>126</v>
      </c>
      <c r="G471" s="9" t="n">
        <v>33909</v>
      </c>
      <c r="H471" s="5" t="n">
        <v>186</v>
      </c>
      <c r="I471" s="5" t="n">
        <v>95</v>
      </c>
      <c r="J471" s="5" t="n">
        <v>2013</v>
      </c>
      <c r="K471" s="7" t="s">
        <v>438</v>
      </c>
      <c r="L471" s="10" t="str">
        <f aca="false">INDEX(球隊主檔!$C$2:$C$31,MATCH($K471,球隊主檔!$A$2:$A$31,0))</f>
        <v>匹茲堡海盜</v>
      </c>
      <c r="M471" s="11" t="n">
        <f aca="false">IF($C471="打者",COUNTIF(打擊成績!$B:$B,$A471),COUNTIF(投手成績!$B:$B,$A471))</f>
        <v>3</v>
      </c>
    </row>
    <row r="472" customFormat="false" ht="15" hidden="false" customHeight="false" outlineLevel="0" collapsed="false">
      <c r="A472" s="7" t="s">
        <v>1417</v>
      </c>
      <c r="B472" s="7" t="s">
        <v>1418</v>
      </c>
      <c r="C472" s="8" t="s">
        <v>495</v>
      </c>
      <c r="D472" s="7" t="s">
        <v>496</v>
      </c>
      <c r="E472" s="7" t="s">
        <v>126</v>
      </c>
      <c r="F472" s="7" t="s">
        <v>152</v>
      </c>
      <c r="G472" s="9" t="n">
        <v>36151</v>
      </c>
      <c r="H472" s="5" t="n">
        <v>182</v>
      </c>
      <c r="I472" s="5" t="n">
        <v>92</v>
      </c>
      <c r="J472" s="5" t="n">
        <v>2019</v>
      </c>
      <c r="K472" s="7" t="s">
        <v>438</v>
      </c>
      <c r="L472" s="10" t="str">
        <f aca="false">INDEX(球隊主檔!$C$2:$C$31,MATCH($K472,球隊主檔!$A$2:$A$31,0))</f>
        <v>匹茲堡海盜</v>
      </c>
      <c r="M472" s="11" t="n">
        <f aca="false">IF($C472="打者",COUNTIF(打擊成績!$B:$B,$A472),COUNTIF(投手成績!$B:$B,$A472))</f>
        <v>3</v>
      </c>
    </row>
    <row r="473" customFormat="false" ht="15" hidden="false" customHeight="false" outlineLevel="0" collapsed="false">
      <c r="A473" s="7" t="s">
        <v>1419</v>
      </c>
      <c r="B473" s="7" t="s">
        <v>1420</v>
      </c>
      <c r="C473" s="8" t="s">
        <v>495</v>
      </c>
      <c r="D473" s="7" t="s">
        <v>496</v>
      </c>
      <c r="E473" s="7" t="s">
        <v>152</v>
      </c>
      <c r="F473" s="7" t="s">
        <v>152</v>
      </c>
      <c r="G473" s="9" t="n">
        <v>36294</v>
      </c>
      <c r="H473" s="5" t="n">
        <v>190</v>
      </c>
      <c r="I473" s="5" t="n">
        <v>97</v>
      </c>
      <c r="J473" s="5" t="n">
        <v>2020</v>
      </c>
      <c r="K473" s="7" t="s">
        <v>438</v>
      </c>
      <c r="L473" s="10" t="str">
        <f aca="false">INDEX(球隊主檔!$C$2:$C$31,MATCH($K473,球隊主檔!$A$2:$A$31,0))</f>
        <v>匹茲堡海盜</v>
      </c>
      <c r="M473" s="11" t="n">
        <f aca="false">IF($C473="打者",COUNTIF(打擊成績!$B:$B,$A473),COUNTIF(投手成績!$B:$B,$A473))</f>
        <v>3</v>
      </c>
    </row>
    <row r="474" customFormat="false" ht="15" hidden="false" customHeight="false" outlineLevel="0" collapsed="false">
      <c r="A474" s="7" t="s">
        <v>1421</v>
      </c>
      <c r="B474" s="7" t="s">
        <v>1422</v>
      </c>
      <c r="C474" s="8" t="s">
        <v>495</v>
      </c>
      <c r="D474" s="7" t="s">
        <v>496</v>
      </c>
      <c r="E474" s="7" t="s">
        <v>152</v>
      </c>
      <c r="F474" s="7" t="s">
        <v>152</v>
      </c>
      <c r="G474" s="9" t="n">
        <v>34725</v>
      </c>
      <c r="H474" s="5" t="n">
        <v>184</v>
      </c>
      <c r="I474" s="5" t="n">
        <v>110</v>
      </c>
      <c r="J474" s="5" t="n">
        <v>2015</v>
      </c>
      <c r="K474" s="7" t="s">
        <v>438</v>
      </c>
      <c r="L474" s="10" t="str">
        <f aca="false">INDEX(球隊主檔!$C$2:$C$31,MATCH($K474,球隊主檔!$A$2:$A$31,0))</f>
        <v>匹茲堡海盜</v>
      </c>
      <c r="M474" s="11" t="n">
        <f aca="false">IF($C474="打者",COUNTIF(打擊成績!$B:$B,$A474),COUNTIF(投手成績!$B:$B,$A474))</f>
        <v>3</v>
      </c>
    </row>
    <row r="475" customFormat="false" ht="15" hidden="false" customHeight="false" outlineLevel="0" collapsed="false">
      <c r="A475" s="7" t="s">
        <v>1423</v>
      </c>
      <c r="B475" s="7" t="s">
        <v>1424</v>
      </c>
      <c r="C475" s="8" t="s">
        <v>495</v>
      </c>
      <c r="D475" s="7" t="s">
        <v>496</v>
      </c>
      <c r="E475" s="7" t="s">
        <v>152</v>
      </c>
      <c r="F475" s="7" t="s">
        <v>152</v>
      </c>
      <c r="G475" s="9" t="n">
        <v>34831</v>
      </c>
      <c r="H475" s="5" t="n">
        <v>201</v>
      </c>
      <c r="I475" s="5" t="n">
        <v>96</v>
      </c>
      <c r="J475" s="5" t="n">
        <v>2020</v>
      </c>
      <c r="K475" s="7" t="s">
        <v>438</v>
      </c>
      <c r="L475" s="10" t="str">
        <f aca="false">INDEX(球隊主檔!$C$2:$C$31,MATCH($K475,球隊主檔!$A$2:$A$31,0))</f>
        <v>匹茲堡海盜</v>
      </c>
      <c r="M475" s="11" t="n">
        <f aca="false">IF($C475="打者",COUNTIF(打擊成績!$B:$B,$A475),COUNTIF(投手成績!$B:$B,$A475))</f>
        <v>3</v>
      </c>
    </row>
    <row r="476" customFormat="false" ht="15" hidden="false" customHeight="false" outlineLevel="0" collapsed="false">
      <c r="A476" s="7" t="s">
        <v>1425</v>
      </c>
      <c r="B476" s="7" t="s">
        <v>1426</v>
      </c>
      <c r="C476" s="8" t="s">
        <v>495</v>
      </c>
      <c r="D476" s="7" t="s">
        <v>496</v>
      </c>
      <c r="E476" s="7" t="s">
        <v>152</v>
      </c>
      <c r="F476" s="7" t="s">
        <v>152</v>
      </c>
      <c r="G476" s="9" t="n">
        <v>34357</v>
      </c>
      <c r="H476" s="5" t="n">
        <v>178</v>
      </c>
      <c r="I476" s="5" t="n">
        <v>108</v>
      </c>
      <c r="J476" s="5" t="n">
        <v>2017</v>
      </c>
      <c r="K476" s="7" t="s">
        <v>438</v>
      </c>
      <c r="L476" s="10" t="str">
        <f aca="false">INDEX(球隊主檔!$C$2:$C$31,MATCH($K476,球隊主檔!$A$2:$A$31,0))</f>
        <v>匹茲堡海盜</v>
      </c>
      <c r="M476" s="11" t="n">
        <f aca="false">IF($C476="打者",COUNTIF(打擊成績!$B:$B,$A476),COUNTIF(投手成績!$B:$B,$A476))</f>
        <v>3</v>
      </c>
    </row>
    <row r="477" customFormat="false" ht="15" hidden="false" customHeight="false" outlineLevel="0" collapsed="false">
      <c r="A477" s="7" t="s">
        <v>1427</v>
      </c>
      <c r="B477" s="7" t="s">
        <v>1428</v>
      </c>
      <c r="C477" s="8" t="s">
        <v>495</v>
      </c>
      <c r="D477" s="7" t="s">
        <v>507</v>
      </c>
      <c r="E477" s="7" t="s">
        <v>152</v>
      </c>
      <c r="F477" s="7" t="s">
        <v>152</v>
      </c>
      <c r="G477" s="9" t="n">
        <v>34962</v>
      </c>
      <c r="H477" s="5" t="n">
        <v>195</v>
      </c>
      <c r="I477" s="5" t="n">
        <v>91</v>
      </c>
      <c r="J477" s="5" t="n">
        <v>2020</v>
      </c>
      <c r="K477" s="7" t="s">
        <v>438</v>
      </c>
      <c r="L477" s="10" t="str">
        <f aca="false">INDEX(球隊主檔!$C$2:$C$31,MATCH($K477,球隊主檔!$A$2:$A$31,0))</f>
        <v>匹茲堡海盜</v>
      </c>
      <c r="M477" s="11" t="n">
        <f aca="false">IF($C477="打者",COUNTIF(打擊成績!$B:$B,$A477),COUNTIF(投手成績!$B:$B,$A477))</f>
        <v>3</v>
      </c>
    </row>
    <row r="478" customFormat="false" ht="15" hidden="false" customHeight="false" outlineLevel="0" collapsed="false">
      <c r="A478" s="7" t="s">
        <v>1429</v>
      </c>
      <c r="B478" s="7" t="s">
        <v>1430</v>
      </c>
      <c r="C478" s="8" t="s">
        <v>495</v>
      </c>
      <c r="D478" s="7" t="s">
        <v>507</v>
      </c>
      <c r="E478" s="7" t="s">
        <v>126</v>
      </c>
      <c r="F478" s="7" t="s">
        <v>152</v>
      </c>
      <c r="G478" s="9" t="n">
        <v>33667</v>
      </c>
      <c r="H478" s="5" t="n">
        <v>186</v>
      </c>
      <c r="I478" s="5" t="n">
        <v>87</v>
      </c>
      <c r="J478" s="5" t="n">
        <v>2012</v>
      </c>
      <c r="K478" s="7" t="s">
        <v>438</v>
      </c>
      <c r="L478" s="10" t="str">
        <f aca="false">INDEX(球隊主檔!$C$2:$C$31,MATCH($K478,球隊主檔!$A$2:$A$31,0))</f>
        <v>匹茲堡海盜</v>
      </c>
      <c r="M478" s="11" t="n">
        <f aca="false">IF($C478="打者",COUNTIF(打擊成績!$B:$B,$A478),COUNTIF(投手成績!$B:$B,$A478))</f>
        <v>1</v>
      </c>
    </row>
    <row r="479" customFormat="false" ht="15" hidden="false" customHeight="false" outlineLevel="0" collapsed="false">
      <c r="A479" s="7" t="s">
        <v>1431</v>
      </c>
      <c r="B479" s="7" t="s">
        <v>1432</v>
      </c>
      <c r="C479" s="8" t="s">
        <v>495</v>
      </c>
      <c r="D479" s="7" t="s">
        <v>507</v>
      </c>
      <c r="E479" s="7" t="s">
        <v>126</v>
      </c>
      <c r="F479" s="7" t="s">
        <v>152</v>
      </c>
      <c r="G479" s="9" t="n">
        <v>36259</v>
      </c>
      <c r="H479" s="5" t="n">
        <v>176</v>
      </c>
      <c r="I479" s="5" t="n">
        <v>95</v>
      </c>
      <c r="J479" s="5" t="n">
        <v>2020</v>
      </c>
      <c r="K479" s="7" t="s">
        <v>438</v>
      </c>
      <c r="L479" s="10" t="str">
        <f aca="false">INDEX(球隊主檔!$C$2:$C$31,MATCH($K479,球隊主檔!$A$2:$A$31,0))</f>
        <v>匹茲堡海盜</v>
      </c>
      <c r="M479" s="11" t="n">
        <f aca="false">IF($C479="打者",COUNTIF(打擊成績!$B:$B,$A479),COUNTIF(投手成績!$B:$B,$A479))</f>
        <v>3</v>
      </c>
    </row>
    <row r="480" customFormat="false" ht="15" hidden="false" customHeight="false" outlineLevel="0" collapsed="false">
      <c r="A480" s="7" t="s">
        <v>1433</v>
      </c>
      <c r="B480" s="7" t="s">
        <v>1434</v>
      </c>
      <c r="C480" s="8" t="s">
        <v>495</v>
      </c>
      <c r="D480" s="7" t="s">
        <v>507</v>
      </c>
      <c r="E480" s="7" t="s">
        <v>126</v>
      </c>
      <c r="F480" s="7" t="s">
        <v>126</v>
      </c>
      <c r="G480" s="9" t="n">
        <v>35311</v>
      </c>
      <c r="H480" s="5" t="n">
        <v>182</v>
      </c>
      <c r="I480" s="5" t="n">
        <v>85</v>
      </c>
      <c r="J480" s="5" t="n">
        <v>2019</v>
      </c>
      <c r="K480" s="7" t="s">
        <v>438</v>
      </c>
      <c r="L480" s="10" t="str">
        <f aca="false">INDEX(球隊主檔!$C$2:$C$31,MATCH($K480,球隊主檔!$A$2:$A$31,0))</f>
        <v>匹茲堡海盜</v>
      </c>
      <c r="M480" s="11" t="n">
        <f aca="false">IF($C480="打者",COUNTIF(打擊成績!$B:$B,$A480),COUNTIF(投手成績!$B:$B,$A480))</f>
        <v>3</v>
      </c>
    </row>
    <row r="481" customFormat="false" ht="15" hidden="false" customHeight="false" outlineLevel="0" collapsed="false">
      <c r="A481" s="7" t="s">
        <v>1435</v>
      </c>
      <c r="B481" s="7" t="s">
        <v>1436</v>
      </c>
      <c r="C481" s="8" t="s">
        <v>495</v>
      </c>
      <c r="D481" s="7" t="s">
        <v>507</v>
      </c>
      <c r="E481" s="7" t="s">
        <v>152</v>
      </c>
      <c r="F481" s="7" t="s">
        <v>152</v>
      </c>
      <c r="G481" s="9" t="n">
        <v>35652</v>
      </c>
      <c r="H481" s="5" t="n">
        <v>177</v>
      </c>
      <c r="I481" s="5" t="n">
        <v>99</v>
      </c>
      <c r="J481" s="5" t="n">
        <v>2017</v>
      </c>
      <c r="K481" s="7" t="s">
        <v>438</v>
      </c>
      <c r="L481" s="10" t="str">
        <f aca="false">INDEX(球隊主檔!$C$2:$C$31,MATCH($K481,球隊主檔!$A$2:$A$31,0))</f>
        <v>匹茲堡海盜</v>
      </c>
      <c r="M481" s="11" t="n">
        <f aca="false">IF($C481="打者",COUNTIF(打擊成績!$B:$B,$A481),COUNTIF(投手成績!$B:$B,$A481))</f>
        <v>3</v>
      </c>
    </row>
    <row r="482" customFormat="false" ht="15" hidden="false" customHeight="false" outlineLevel="0" collapsed="false">
      <c r="A482" s="7" t="s">
        <v>1437</v>
      </c>
      <c r="B482" s="7" t="s">
        <v>1438</v>
      </c>
      <c r="C482" s="8" t="s">
        <v>469</v>
      </c>
      <c r="D482" s="7" t="s">
        <v>162</v>
      </c>
      <c r="E482" s="7" t="s">
        <v>152</v>
      </c>
      <c r="F482" s="7" t="s">
        <v>126</v>
      </c>
      <c r="G482" s="9" t="n">
        <v>36522</v>
      </c>
      <c r="H482" s="5" t="n">
        <v>199</v>
      </c>
      <c r="I482" s="5" t="n">
        <v>80</v>
      </c>
      <c r="J482" s="5" t="n">
        <v>2019</v>
      </c>
      <c r="K482" s="7" t="s">
        <v>375</v>
      </c>
      <c r="L482" s="10" t="str">
        <f aca="false">INDEX(球隊主檔!$C$2:$C$31,MATCH($K482,球隊主檔!$A$2:$A$31,0))</f>
        <v>堪薩斯市皇家</v>
      </c>
      <c r="M482" s="11" t="n">
        <f aca="false">IF($C482="打者",COUNTIF(打擊成績!$B:$B,$A482),COUNTIF(投手成績!$B:$B,$A482))</f>
        <v>3</v>
      </c>
    </row>
    <row r="483" customFormat="false" ht="15" hidden="false" customHeight="false" outlineLevel="0" collapsed="false">
      <c r="A483" s="7" t="s">
        <v>1439</v>
      </c>
      <c r="B483" s="7" t="s">
        <v>1440</v>
      </c>
      <c r="C483" s="8" t="s">
        <v>469</v>
      </c>
      <c r="D483" s="7" t="s">
        <v>478</v>
      </c>
      <c r="E483" s="7" t="s">
        <v>126</v>
      </c>
      <c r="F483" s="7" t="s">
        <v>152</v>
      </c>
      <c r="G483" s="9" t="n">
        <v>35500</v>
      </c>
      <c r="H483" s="5" t="n">
        <v>188</v>
      </c>
      <c r="I483" s="5" t="n">
        <v>100</v>
      </c>
      <c r="J483" s="5" t="n">
        <v>2021</v>
      </c>
      <c r="K483" s="7" t="s">
        <v>442</v>
      </c>
      <c r="L483" s="10" t="str">
        <f aca="false">INDEX(球隊主檔!$C$2:$C$31,MATCH($K483,球隊主檔!$A$2:$A$31,0))</f>
        <v>聖路易紅雀</v>
      </c>
      <c r="M483" s="11" t="n">
        <f aca="false">IF($C483="打者",COUNTIF(打擊成績!$B:$B,$A483),COUNTIF(投手成績!$B:$B,$A483))</f>
        <v>3</v>
      </c>
    </row>
    <row r="484" customFormat="false" ht="15" hidden="false" customHeight="false" outlineLevel="0" collapsed="false">
      <c r="A484" s="7" t="s">
        <v>1441</v>
      </c>
      <c r="B484" s="7" t="s">
        <v>1442</v>
      </c>
      <c r="C484" s="8" t="s">
        <v>469</v>
      </c>
      <c r="D484" s="7" t="s">
        <v>486</v>
      </c>
      <c r="E484" s="7" t="s">
        <v>152</v>
      </c>
      <c r="F484" s="7" t="s">
        <v>152</v>
      </c>
      <c r="G484" s="9" t="n">
        <v>34785</v>
      </c>
      <c r="H484" s="5" t="n">
        <v>198</v>
      </c>
      <c r="I484" s="5" t="n">
        <v>108</v>
      </c>
      <c r="J484" s="5" t="n">
        <v>2020</v>
      </c>
      <c r="K484" s="7" t="s">
        <v>442</v>
      </c>
      <c r="L484" s="10" t="str">
        <f aca="false">INDEX(球隊主檔!$C$2:$C$31,MATCH($K484,球隊主檔!$A$2:$A$31,0))</f>
        <v>聖路易紅雀</v>
      </c>
      <c r="M484" s="11" t="n">
        <f aca="false">IF($C484="打者",COUNTIF(打擊成績!$B:$B,$A484),COUNTIF(投手成績!$B:$B,$A484))</f>
        <v>3</v>
      </c>
    </row>
    <row r="485" customFormat="false" ht="15" hidden="false" customHeight="false" outlineLevel="0" collapsed="false">
      <c r="A485" s="7" t="s">
        <v>1443</v>
      </c>
      <c r="B485" s="7" t="s">
        <v>1444</v>
      </c>
      <c r="C485" s="8" t="s">
        <v>469</v>
      </c>
      <c r="D485" s="7" t="s">
        <v>473</v>
      </c>
      <c r="E485" s="7" t="s">
        <v>152</v>
      </c>
      <c r="F485" s="7" t="s">
        <v>152</v>
      </c>
      <c r="G485" s="9" t="n">
        <v>34345</v>
      </c>
      <c r="H485" s="5" t="n">
        <v>186</v>
      </c>
      <c r="I485" s="5" t="n">
        <v>86</v>
      </c>
      <c r="J485" s="5" t="n">
        <v>2016</v>
      </c>
      <c r="K485" s="7" t="s">
        <v>442</v>
      </c>
      <c r="L485" s="10" t="str">
        <f aca="false">INDEX(球隊主檔!$C$2:$C$31,MATCH($K485,球隊主檔!$A$2:$A$31,0))</f>
        <v>聖路易紅雀</v>
      </c>
      <c r="M485" s="11" t="n">
        <f aca="false">IF($C485="打者",COUNTIF(打擊成績!$B:$B,$A485),COUNTIF(投手成績!$B:$B,$A485))</f>
        <v>3</v>
      </c>
    </row>
    <row r="486" customFormat="false" ht="15" hidden="false" customHeight="false" outlineLevel="0" collapsed="false">
      <c r="A486" s="7" t="s">
        <v>1445</v>
      </c>
      <c r="B486" s="7" t="s">
        <v>1446</v>
      </c>
      <c r="C486" s="8" t="s">
        <v>469</v>
      </c>
      <c r="D486" s="7" t="s">
        <v>473</v>
      </c>
      <c r="E486" s="7" t="s">
        <v>152</v>
      </c>
      <c r="F486" s="7" t="s">
        <v>152</v>
      </c>
      <c r="G486" s="9" t="n">
        <v>35996</v>
      </c>
      <c r="H486" s="5" t="n">
        <v>192</v>
      </c>
      <c r="I486" s="5" t="n">
        <v>98</v>
      </c>
      <c r="J486" s="5" t="n">
        <v>2019</v>
      </c>
      <c r="K486" s="7" t="s">
        <v>442</v>
      </c>
      <c r="L486" s="10" t="str">
        <f aca="false">INDEX(球隊主檔!$C$2:$C$31,MATCH($K486,球隊主檔!$A$2:$A$31,0))</f>
        <v>聖路易紅雀</v>
      </c>
      <c r="M486" s="11" t="n">
        <f aca="false">IF($C486="打者",COUNTIF(打擊成績!$B:$B,$A486),COUNTIF(投手成績!$B:$B,$A486))</f>
        <v>1</v>
      </c>
    </row>
    <row r="487" customFormat="false" ht="15" hidden="false" customHeight="false" outlineLevel="0" collapsed="false">
      <c r="A487" s="7" t="s">
        <v>1447</v>
      </c>
      <c r="B487" s="7" t="s">
        <v>1448</v>
      </c>
      <c r="C487" s="8" t="s">
        <v>469</v>
      </c>
      <c r="D487" s="7" t="s">
        <v>63</v>
      </c>
      <c r="E487" s="7" t="s">
        <v>152</v>
      </c>
      <c r="F487" s="7" t="s">
        <v>152</v>
      </c>
      <c r="G487" s="9" t="n">
        <v>35963</v>
      </c>
      <c r="H487" s="5" t="n">
        <v>182</v>
      </c>
      <c r="I487" s="5" t="n">
        <v>90</v>
      </c>
      <c r="J487" s="5" t="n">
        <v>2022</v>
      </c>
      <c r="K487" s="7" t="s">
        <v>442</v>
      </c>
      <c r="L487" s="10" t="str">
        <f aca="false">INDEX(球隊主檔!$C$2:$C$31,MATCH($K487,球隊主檔!$A$2:$A$31,0))</f>
        <v>聖路易紅雀</v>
      </c>
      <c r="M487" s="11" t="n">
        <f aca="false">IF($C487="打者",COUNTIF(打擊成績!$B:$B,$A487),COUNTIF(投手成績!$B:$B,$A487))</f>
        <v>2</v>
      </c>
    </row>
    <row r="488" customFormat="false" ht="15" hidden="false" customHeight="false" outlineLevel="0" collapsed="false">
      <c r="A488" s="7" t="s">
        <v>1449</v>
      </c>
      <c r="B488" s="7" t="s">
        <v>1450</v>
      </c>
      <c r="C488" s="8" t="s">
        <v>469</v>
      </c>
      <c r="D488" s="7" t="s">
        <v>486</v>
      </c>
      <c r="E488" s="7" t="s">
        <v>126</v>
      </c>
      <c r="F488" s="7" t="s">
        <v>152</v>
      </c>
      <c r="G488" s="9" t="n">
        <v>34257</v>
      </c>
      <c r="H488" s="5" t="n">
        <v>201</v>
      </c>
      <c r="I488" s="5" t="n">
        <v>86</v>
      </c>
      <c r="J488" s="5" t="n">
        <v>2013</v>
      </c>
      <c r="K488" s="7" t="s">
        <v>442</v>
      </c>
      <c r="L488" s="10" t="str">
        <f aca="false">INDEX(球隊主檔!$C$2:$C$31,MATCH($K488,球隊主檔!$A$2:$A$31,0))</f>
        <v>聖路易紅雀</v>
      </c>
      <c r="M488" s="11" t="n">
        <f aca="false">IF($C488="打者",COUNTIF(打擊成績!$B:$B,$A488),COUNTIF(投手成績!$B:$B,$A488))</f>
        <v>3</v>
      </c>
    </row>
    <row r="489" customFormat="false" ht="15" hidden="false" customHeight="false" outlineLevel="0" collapsed="false">
      <c r="A489" s="7" t="s">
        <v>1451</v>
      </c>
      <c r="B489" s="7" t="s">
        <v>1452</v>
      </c>
      <c r="C489" s="8" t="s">
        <v>469</v>
      </c>
      <c r="D489" s="7" t="s">
        <v>162</v>
      </c>
      <c r="E489" s="7" t="s">
        <v>126</v>
      </c>
      <c r="F489" s="7" t="s">
        <v>126</v>
      </c>
      <c r="G489" s="9" t="n">
        <v>35456</v>
      </c>
      <c r="H489" s="5" t="n">
        <v>193</v>
      </c>
      <c r="I489" s="5" t="n">
        <v>97</v>
      </c>
      <c r="J489" s="5" t="n">
        <v>2020</v>
      </c>
      <c r="K489" s="7" t="s">
        <v>442</v>
      </c>
      <c r="L489" s="10" t="str">
        <f aca="false">INDEX(球隊主檔!$C$2:$C$31,MATCH($K489,球隊主檔!$A$2:$A$31,0))</f>
        <v>聖路易紅雀</v>
      </c>
      <c r="M489" s="11" t="n">
        <f aca="false">IF($C489="打者",COUNTIF(打擊成績!$B:$B,$A489),COUNTIF(投手成績!$B:$B,$A489))</f>
        <v>3</v>
      </c>
    </row>
    <row r="490" customFormat="false" ht="15" hidden="false" customHeight="false" outlineLevel="0" collapsed="false">
      <c r="A490" s="7" t="s">
        <v>1453</v>
      </c>
      <c r="B490" s="7" t="s">
        <v>1454</v>
      </c>
      <c r="C490" s="8" t="s">
        <v>469</v>
      </c>
      <c r="D490" s="7" t="s">
        <v>478</v>
      </c>
      <c r="E490" s="7" t="s">
        <v>152</v>
      </c>
      <c r="F490" s="7" t="s">
        <v>152</v>
      </c>
      <c r="G490" s="9" t="n">
        <v>33271</v>
      </c>
      <c r="H490" s="5" t="n">
        <v>198</v>
      </c>
      <c r="I490" s="5" t="n">
        <v>94</v>
      </c>
      <c r="J490" s="5" t="n">
        <v>2014</v>
      </c>
      <c r="K490" s="7" t="s">
        <v>430</v>
      </c>
      <c r="L490" s="10" t="str">
        <f aca="false">INDEX(球隊主檔!$C$2:$C$31,MATCH($K490,球隊主檔!$A$2:$A$31,0))</f>
        <v>辛辛那提紅人</v>
      </c>
      <c r="M490" s="11" t="n">
        <f aca="false">IF($C490="打者",COUNTIF(打擊成績!$B:$B,$A490),COUNTIF(投手成績!$B:$B,$A490))</f>
        <v>3</v>
      </c>
    </row>
    <row r="491" customFormat="false" ht="15" hidden="false" customHeight="false" outlineLevel="0" collapsed="false">
      <c r="A491" s="7" t="s">
        <v>1455</v>
      </c>
      <c r="B491" s="7" t="s">
        <v>1456</v>
      </c>
      <c r="C491" s="8" t="s">
        <v>469</v>
      </c>
      <c r="D491" s="7" t="s">
        <v>486</v>
      </c>
      <c r="E491" s="7" t="s">
        <v>152</v>
      </c>
      <c r="F491" s="7" t="s">
        <v>126</v>
      </c>
      <c r="G491" s="9" t="n">
        <v>33308</v>
      </c>
      <c r="H491" s="5" t="n">
        <v>187</v>
      </c>
      <c r="I491" s="5" t="n">
        <v>88</v>
      </c>
      <c r="J491" s="5" t="n">
        <v>2016</v>
      </c>
      <c r="K491" s="7" t="s">
        <v>442</v>
      </c>
      <c r="L491" s="10" t="str">
        <f aca="false">INDEX(球隊主檔!$C$2:$C$31,MATCH($K491,球隊主檔!$A$2:$A$31,0))</f>
        <v>聖路易紅雀</v>
      </c>
      <c r="M491" s="11" t="n">
        <f aca="false">IF($C491="打者",COUNTIF(打擊成績!$B:$B,$A491),COUNTIF(投手成績!$B:$B,$A491))</f>
        <v>1</v>
      </c>
    </row>
    <row r="492" customFormat="false" ht="15" hidden="false" customHeight="false" outlineLevel="0" collapsed="false">
      <c r="A492" s="7" t="s">
        <v>1457</v>
      </c>
      <c r="B492" s="7" t="s">
        <v>1458</v>
      </c>
      <c r="C492" s="8" t="s">
        <v>495</v>
      </c>
      <c r="D492" s="7" t="s">
        <v>496</v>
      </c>
      <c r="E492" s="7" t="s">
        <v>174</v>
      </c>
      <c r="F492" s="7" t="s">
        <v>152</v>
      </c>
      <c r="G492" s="9" t="n">
        <v>36399</v>
      </c>
      <c r="H492" s="5" t="n">
        <v>181</v>
      </c>
      <c r="I492" s="5" t="n">
        <v>101</v>
      </c>
      <c r="J492" s="5" t="n">
        <v>2021</v>
      </c>
      <c r="K492" s="7" t="s">
        <v>442</v>
      </c>
      <c r="L492" s="10" t="str">
        <f aca="false">INDEX(球隊主檔!$C$2:$C$31,MATCH($K492,球隊主檔!$A$2:$A$31,0))</f>
        <v>聖路易紅雀</v>
      </c>
      <c r="M492" s="11" t="n">
        <f aca="false">IF($C492="打者",COUNTIF(打擊成績!$B:$B,$A492),COUNTIF(投手成績!$B:$B,$A492))</f>
        <v>3</v>
      </c>
    </row>
    <row r="493" customFormat="false" ht="15" hidden="false" customHeight="false" outlineLevel="0" collapsed="false">
      <c r="A493" s="7" t="s">
        <v>1459</v>
      </c>
      <c r="B493" s="7" t="s">
        <v>1460</v>
      </c>
      <c r="C493" s="8" t="s">
        <v>495</v>
      </c>
      <c r="D493" s="7" t="s">
        <v>496</v>
      </c>
      <c r="E493" s="7" t="s">
        <v>152</v>
      </c>
      <c r="F493" s="7" t="s">
        <v>152</v>
      </c>
      <c r="G493" s="9" t="n">
        <v>33246</v>
      </c>
      <c r="H493" s="5" t="n">
        <v>198</v>
      </c>
      <c r="I493" s="5" t="n">
        <v>105</v>
      </c>
      <c r="J493" s="5" t="n">
        <v>2012</v>
      </c>
      <c r="K493" s="7" t="s">
        <v>442</v>
      </c>
      <c r="L493" s="10" t="str">
        <f aca="false">INDEX(球隊主檔!$C$2:$C$31,MATCH($K493,球隊主檔!$A$2:$A$31,0))</f>
        <v>聖路易紅雀</v>
      </c>
      <c r="M493" s="11" t="n">
        <f aca="false">IF($C493="打者",COUNTIF(打擊成績!$B:$B,$A493),COUNTIF(投手成績!$B:$B,$A493))</f>
        <v>1</v>
      </c>
    </row>
    <row r="494" customFormat="false" ht="15" hidden="false" customHeight="false" outlineLevel="0" collapsed="false">
      <c r="A494" s="7" t="s">
        <v>1461</v>
      </c>
      <c r="B494" s="7" t="s">
        <v>1462</v>
      </c>
      <c r="C494" s="8" t="s">
        <v>495</v>
      </c>
      <c r="D494" s="7" t="s">
        <v>496</v>
      </c>
      <c r="E494" s="7" t="s">
        <v>126</v>
      </c>
      <c r="F494" s="7" t="s">
        <v>152</v>
      </c>
      <c r="G494" s="9" t="n">
        <v>33132</v>
      </c>
      <c r="H494" s="5" t="n">
        <v>190</v>
      </c>
      <c r="I494" s="5" t="n">
        <v>91</v>
      </c>
      <c r="J494" s="5" t="n">
        <v>2012</v>
      </c>
      <c r="K494" s="7" t="s">
        <v>442</v>
      </c>
      <c r="L494" s="10" t="str">
        <f aca="false">INDEX(球隊主檔!$C$2:$C$31,MATCH($K494,球隊主檔!$A$2:$A$31,0))</f>
        <v>聖路易紅雀</v>
      </c>
      <c r="M494" s="11" t="n">
        <f aca="false">IF($C494="打者",COUNTIF(打擊成績!$B:$B,$A494),COUNTIF(投手成績!$B:$B,$A494))</f>
        <v>2</v>
      </c>
    </row>
    <row r="495" customFormat="false" ht="15" hidden="false" customHeight="false" outlineLevel="0" collapsed="false">
      <c r="A495" s="7" t="s">
        <v>1463</v>
      </c>
      <c r="B495" s="7" t="s">
        <v>1464</v>
      </c>
      <c r="C495" s="8" t="s">
        <v>495</v>
      </c>
      <c r="D495" s="7" t="s">
        <v>496</v>
      </c>
      <c r="E495" s="7" t="s">
        <v>126</v>
      </c>
      <c r="F495" s="7" t="s">
        <v>126</v>
      </c>
      <c r="G495" s="9" t="n">
        <v>35785</v>
      </c>
      <c r="H495" s="5" t="n">
        <v>176</v>
      </c>
      <c r="I495" s="5" t="n">
        <v>87</v>
      </c>
      <c r="J495" s="5" t="n">
        <v>2021</v>
      </c>
      <c r="K495" s="7" t="s">
        <v>442</v>
      </c>
      <c r="L495" s="10" t="str">
        <f aca="false">INDEX(球隊主檔!$C$2:$C$31,MATCH($K495,球隊主檔!$A$2:$A$31,0))</f>
        <v>聖路易紅雀</v>
      </c>
      <c r="M495" s="11" t="n">
        <f aca="false">IF($C495="打者",COUNTIF(打擊成績!$B:$B,$A495),COUNTIF(投手成績!$B:$B,$A495))</f>
        <v>3</v>
      </c>
    </row>
    <row r="496" customFormat="false" ht="15" hidden="false" customHeight="false" outlineLevel="0" collapsed="false">
      <c r="A496" s="7" t="s">
        <v>1465</v>
      </c>
      <c r="B496" s="7" t="s">
        <v>1466</v>
      </c>
      <c r="C496" s="8" t="s">
        <v>495</v>
      </c>
      <c r="D496" s="7" t="s">
        <v>496</v>
      </c>
      <c r="E496" s="7" t="s">
        <v>152</v>
      </c>
      <c r="F496" s="7" t="s">
        <v>152</v>
      </c>
      <c r="G496" s="9" t="n">
        <v>34651</v>
      </c>
      <c r="H496" s="5" t="n">
        <v>180</v>
      </c>
      <c r="I496" s="5" t="n">
        <v>99</v>
      </c>
      <c r="J496" s="5" t="n">
        <v>2018</v>
      </c>
      <c r="K496" s="7" t="s">
        <v>442</v>
      </c>
      <c r="L496" s="10" t="str">
        <f aca="false">INDEX(球隊主檔!$C$2:$C$31,MATCH($K496,球隊主檔!$A$2:$A$31,0))</f>
        <v>聖路易紅雀</v>
      </c>
      <c r="M496" s="11" t="n">
        <f aca="false">IF($C496="打者",COUNTIF(打擊成績!$B:$B,$A496),COUNTIF(投手成績!$B:$B,$A496))</f>
        <v>3</v>
      </c>
    </row>
    <row r="497" customFormat="false" ht="15" hidden="false" customHeight="false" outlineLevel="0" collapsed="false">
      <c r="A497" s="7" t="s">
        <v>1467</v>
      </c>
      <c r="B497" s="7" t="s">
        <v>1468</v>
      </c>
      <c r="C497" s="8" t="s">
        <v>495</v>
      </c>
      <c r="D497" s="7" t="s">
        <v>507</v>
      </c>
      <c r="E497" s="7" t="s">
        <v>152</v>
      </c>
      <c r="F497" s="7" t="s">
        <v>152</v>
      </c>
      <c r="G497" s="9" t="n">
        <v>35422</v>
      </c>
      <c r="H497" s="5" t="n">
        <v>183</v>
      </c>
      <c r="I497" s="5" t="n">
        <v>104</v>
      </c>
      <c r="J497" s="5" t="n">
        <v>2017</v>
      </c>
      <c r="K497" s="7" t="s">
        <v>442</v>
      </c>
      <c r="L497" s="10" t="str">
        <f aca="false">INDEX(球隊主檔!$C$2:$C$31,MATCH($K497,球隊主檔!$A$2:$A$31,0))</f>
        <v>聖路易紅雀</v>
      </c>
      <c r="M497" s="11" t="n">
        <f aca="false">IF($C497="打者",COUNTIF(打擊成績!$B:$B,$A497),COUNTIF(投手成績!$B:$B,$A497))</f>
        <v>3</v>
      </c>
    </row>
    <row r="498" customFormat="false" ht="15" hidden="false" customHeight="false" outlineLevel="0" collapsed="false">
      <c r="A498" s="7" t="s">
        <v>1469</v>
      </c>
      <c r="B498" s="7" t="s">
        <v>1470</v>
      </c>
      <c r="C498" s="8" t="s">
        <v>495</v>
      </c>
      <c r="D498" s="7" t="s">
        <v>507</v>
      </c>
      <c r="E498" s="7" t="s">
        <v>152</v>
      </c>
      <c r="F498" s="7" t="s">
        <v>126</v>
      </c>
      <c r="G498" s="9" t="n">
        <v>35572</v>
      </c>
      <c r="H498" s="5" t="n">
        <v>194</v>
      </c>
      <c r="I498" s="5" t="n">
        <v>96</v>
      </c>
      <c r="J498" s="5" t="n">
        <v>2019</v>
      </c>
      <c r="K498" s="7" t="s">
        <v>442</v>
      </c>
      <c r="L498" s="10" t="str">
        <f aca="false">INDEX(球隊主檔!$C$2:$C$31,MATCH($K498,球隊主檔!$A$2:$A$31,0))</f>
        <v>聖路易紅雀</v>
      </c>
      <c r="M498" s="11" t="n">
        <f aca="false">IF($C498="打者",COUNTIF(打擊成績!$B:$B,$A498),COUNTIF(投手成績!$B:$B,$A498))</f>
        <v>3</v>
      </c>
    </row>
    <row r="499" customFormat="false" ht="15" hidden="false" customHeight="false" outlineLevel="0" collapsed="false">
      <c r="A499" s="7" t="s">
        <v>1471</v>
      </c>
      <c r="B499" s="7" t="s">
        <v>1472</v>
      </c>
      <c r="C499" s="8" t="s">
        <v>495</v>
      </c>
      <c r="D499" s="7" t="s">
        <v>507</v>
      </c>
      <c r="E499" s="7" t="s">
        <v>152</v>
      </c>
      <c r="F499" s="7" t="s">
        <v>152</v>
      </c>
      <c r="G499" s="9" t="n">
        <v>35654</v>
      </c>
      <c r="H499" s="5" t="n">
        <v>176</v>
      </c>
      <c r="I499" s="5" t="n">
        <v>88</v>
      </c>
      <c r="J499" s="5" t="n">
        <v>2019</v>
      </c>
      <c r="K499" s="7" t="s">
        <v>371</v>
      </c>
      <c r="L499" s="10" t="str">
        <f aca="false">INDEX(球隊主檔!$C$2:$C$31,MATCH($K499,球隊主檔!$A$2:$A$31,0))</f>
        <v>底特律老虎</v>
      </c>
      <c r="M499" s="11" t="n">
        <f aca="false">IF($C499="打者",COUNTIF(打擊成績!$B:$B,$A499),COUNTIF(投手成績!$B:$B,$A499))</f>
        <v>3</v>
      </c>
    </row>
    <row r="500" customFormat="false" ht="15" hidden="false" customHeight="false" outlineLevel="0" collapsed="false">
      <c r="A500" s="7" t="s">
        <v>1473</v>
      </c>
      <c r="B500" s="7" t="s">
        <v>1474</v>
      </c>
      <c r="C500" s="8" t="s">
        <v>495</v>
      </c>
      <c r="D500" s="7" t="s">
        <v>507</v>
      </c>
      <c r="E500" s="7" t="s">
        <v>152</v>
      </c>
      <c r="F500" s="7" t="s">
        <v>152</v>
      </c>
      <c r="G500" s="9" t="n">
        <v>36065</v>
      </c>
      <c r="H500" s="5" t="n">
        <v>188</v>
      </c>
      <c r="I500" s="5" t="n">
        <v>112</v>
      </c>
      <c r="J500" s="5" t="n">
        <v>2019</v>
      </c>
      <c r="K500" s="7" t="s">
        <v>442</v>
      </c>
      <c r="L500" s="10" t="str">
        <f aca="false">INDEX(球隊主檔!$C$2:$C$31,MATCH($K500,球隊主檔!$A$2:$A$31,0))</f>
        <v>聖路易紅雀</v>
      </c>
      <c r="M500" s="11" t="n">
        <f aca="false">IF($C500="打者",COUNTIF(打擊成績!$B:$B,$A500),COUNTIF(投手成績!$B:$B,$A500))</f>
        <v>3</v>
      </c>
    </row>
    <row r="501" customFormat="false" ht="15" hidden="false" customHeight="false" outlineLevel="0" collapsed="false">
      <c r="A501" s="7" t="s">
        <v>1475</v>
      </c>
      <c r="B501" s="7" t="s">
        <v>1476</v>
      </c>
      <c r="C501" s="8" t="s">
        <v>495</v>
      </c>
      <c r="D501" s="7" t="s">
        <v>507</v>
      </c>
      <c r="E501" s="7" t="s">
        <v>152</v>
      </c>
      <c r="F501" s="7" t="s">
        <v>126</v>
      </c>
      <c r="G501" s="9" t="n">
        <v>33436</v>
      </c>
      <c r="H501" s="5" t="n">
        <v>185</v>
      </c>
      <c r="I501" s="5" t="n">
        <v>106</v>
      </c>
      <c r="J501" s="5" t="n">
        <v>2013</v>
      </c>
      <c r="K501" s="7" t="s">
        <v>442</v>
      </c>
      <c r="L501" s="10" t="str">
        <f aca="false">INDEX(球隊主檔!$C$2:$C$31,MATCH($K501,球隊主檔!$A$2:$A$31,0))</f>
        <v>聖路易紅雀</v>
      </c>
      <c r="M501" s="11" t="n">
        <f aca="false">IF($C501="打者",COUNTIF(打擊成績!$B:$B,$A501),COUNTIF(投手成績!$B:$B,$A501))</f>
        <v>3</v>
      </c>
    </row>
    <row r="502" customFormat="false" ht="15" hidden="false" customHeight="false" outlineLevel="0" collapsed="false">
      <c r="A502" s="7" t="s">
        <v>1477</v>
      </c>
      <c r="B502" s="7" t="s">
        <v>1478</v>
      </c>
      <c r="C502" s="8" t="s">
        <v>469</v>
      </c>
      <c r="D502" s="7" t="s">
        <v>486</v>
      </c>
      <c r="E502" s="7" t="s">
        <v>152</v>
      </c>
      <c r="F502" s="7" t="s">
        <v>126</v>
      </c>
      <c r="G502" s="9" t="n">
        <v>34121</v>
      </c>
      <c r="H502" s="5" t="n">
        <v>199</v>
      </c>
      <c r="I502" s="5" t="n">
        <v>93</v>
      </c>
      <c r="J502" s="5" t="n">
        <v>2018</v>
      </c>
      <c r="K502" s="7" t="s">
        <v>446</v>
      </c>
      <c r="L502" s="10" t="str">
        <f aca="false">INDEX(球隊主檔!$C$2:$C$31,MATCH($K502,球隊主檔!$A$2:$A$31,0))</f>
        <v>亞利桑那響尾蛇</v>
      </c>
      <c r="M502" s="11" t="n">
        <f aca="false">IF($C502="打者",COUNTIF(打擊成績!$B:$B,$A502),COUNTIF(投手成績!$B:$B,$A502))</f>
        <v>1</v>
      </c>
    </row>
    <row r="503" customFormat="false" ht="15" hidden="false" customHeight="false" outlineLevel="0" collapsed="false">
      <c r="A503" s="7" t="s">
        <v>1479</v>
      </c>
      <c r="B503" s="7" t="s">
        <v>1480</v>
      </c>
      <c r="C503" s="8" t="s">
        <v>469</v>
      </c>
      <c r="D503" s="7" t="s">
        <v>470</v>
      </c>
      <c r="E503" s="7" t="s">
        <v>152</v>
      </c>
      <c r="F503" s="7" t="s">
        <v>152</v>
      </c>
      <c r="G503" s="9" t="n">
        <v>35546</v>
      </c>
      <c r="H503" s="5" t="n">
        <v>175</v>
      </c>
      <c r="I503" s="5" t="n">
        <v>80</v>
      </c>
      <c r="J503" s="5" t="n">
        <v>2022</v>
      </c>
      <c r="K503" s="7" t="s">
        <v>446</v>
      </c>
      <c r="L503" s="10" t="str">
        <f aca="false">INDEX(球隊主檔!$C$2:$C$31,MATCH($K503,球隊主檔!$A$2:$A$31,0))</f>
        <v>亞利桑那響尾蛇</v>
      </c>
      <c r="M503" s="11" t="n">
        <f aca="false">IF($C503="打者",COUNTIF(打擊成績!$B:$B,$A503),COUNTIF(投手成績!$B:$B,$A503))</f>
        <v>3</v>
      </c>
    </row>
    <row r="504" customFormat="false" ht="15" hidden="false" customHeight="false" outlineLevel="0" collapsed="false">
      <c r="A504" s="7" t="s">
        <v>1481</v>
      </c>
      <c r="B504" s="7" t="s">
        <v>1482</v>
      </c>
      <c r="C504" s="8" t="s">
        <v>469</v>
      </c>
      <c r="D504" s="7" t="s">
        <v>470</v>
      </c>
      <c r="E504" s="7" t="s">
        <v>152</v>
      </c>
      <c r="F504" s="7" t="s">
        <v>126</v>
      </c>
      <c r="G504" s="9" t="n">
        <v>35907</v>
      </c>
      <c r="H504" s="5" t="n">
        <v>180</v>
      </c>
      <c r="I504" s="5" t="n">
        <v>97</v>
      </c>
      <c r="J504" s="5" t="n">
        <v>2019</v>
      </c>
      <c r="K504" s="7" t="s">
        <v>446</v>
      </c>
      <c r="L504" s="10" t="str">
        <f aca="false">INDEX(球隊主檔!$C$2:$C$31,MATCH($K504,球隊主檔!$A$2:$A$31,0))</f>
        <v>亞利桑那響尾蛇</v>
      </c>
      <c r="M504" s="11" t="n">
        <f aca="false">IF($C504="打者",COUNTIF(打擊成績!$B:$B,$A504),COUNTIF(投手成績!$B:$B,$A504))</f>
        <v>3</v>
      </c>
    </row>
    <row r="505" customFormat="false" ht="15" hidden="false" customHeight="false" outlineLevel="0" collapsed="false">
      <c r="A505" s="7" t="s">
        <v>1483</v>
      </c>
      <c r="B505" s="7" t="s">
        <v>1484</v>
      </c>
      <c r="C505" s="8" t="s">
        <v>469</v>
      </c>
      <c r="D505" s="7" t="s">
        <v>483</v>
      </c>
      <c r="E505" s="7" t="s">
        <v>152</v>
      </c>
      <c r="F505" s="7" t="s">
        <v>126</v>
      </c>
      <c r="G505" s="9" t="n">
        <v>35404</v>
      </c>
      <c r="H505" s="5" t="n">
        <v>200</v>
      </c>
      <c r="I505" s="5" t="n">
        <v>82</v>
      </c>
      <c r="J505" s="5" t="n">
        <v>2021</v>
      </c>
      <c r="K505" s="7" t="s">
        <v>446</v>
      </c>
      <c r="L505" s="10" t="str">
        <f aca="false">INDEX(球隊主檔!$C$2:$C$31,MATCH($K505,球隊主檔!$A$2:$A$31,0))</f>
        <v>亞利桑那響尾蛇</v>
      </c>
      <c r="M505" s="11" t="n">
        <f aca="false">IF($C505="打者",COUNTIF(打擊成績!$B:$B,$A505),COUNTIF(投手成績!$B:$B,$A505))</f>
        <v>3</v>
      </c>
    </row>
    <row r="506" customFormat="false" ht="15" hidden="false" customHeight="false" outlineLevel="0" collapsed="false">
      <c r="A506" s="7" t="s">
        <v>1485</v>
      </c>
      <c r="B506" s="7" t="s">
        <v>1486</v>
      </c>
      <c r="C506" s="8" t="s">
        <v>469</v>
      </c>
      <c r="D506" s="7" t="s">
        <v>483</v>
      </c>
      <c r="E506" s="7" t="s">
        <v>174</v>
      </c>
      <c r="F506" s="7" t="s">
        <v>152</v>
      </c>
      <c r="G506" s="9" t="n">
        <v>34482</v>
      </c>
      <c r="H506" s="5" t="n">
        <v>178</v>
      </c>
      <c r="I506" s="5" t="n">
        <v>102</v>
      </c>
      <c r="J506" s="5" t="n">
        <v>2017</v>
      </c>
      <c r="K506" s="7" t="s">
        <v>434</v>
      </c>
      <c r="L506" s="10" t="str">
        <f aca="false">INDEX(球隊主檔!$C$2:$C$31,MATCH($K506,球隊主檔!$A$2:$A$31,0))</f>
        <v>密爾瓦基釀酒人</v>
      </c>
      <c r="M506" s="11" t="n">
        <f aca="false">IF($C506="打者",COUNTIF(打擊成績!$B:$B,$A506),COUNTIF(投手成績!$B:$B,$A506))</f>
        <v>3</v>
      </c>
    </row>
    <row r="507" customFormat="false" ht="15" hidden="false" customHeight="false" outlineLevel="0" collapsed="false">
      <c r="A507" s="7" t="s">
        <v>1487</v>
      </c>
      <c r="B507" s="7" t="s">
        <v>1488</v>
      </c>
      <c r="C507" s="8" t="s">
        <v>469</v>
      </c>
      <c r="D507" s="7" t="s">
        <v>470</v>
      </c>
      <c r="E507" s="7" t="s">
        <v>152</v>
      </c>
      <c r="F507" s="7" t="s">
        <v>126</v>
      </c>
      <c r="G507" s="9" t="n">
        <v>35070</v>
      </c>
      <c r="H507" s="5" t="n">
        <v>182</v>
      </c>
      <c r="I507" s="5" t="n">
        <v>92</v>
      </c>
      <c r="J507" s="5" t="n">
        <v>2020</v>
      </c>
      <c r="K507" s="7" t="s">
        <v>446</v>
      </c>
      <c r="L507" s="10" t="str">
        <f aca="false">INDEX(球隊主檔!$C$2:$C$31,MATCH($K507,球隊主檔!$A$2:$A$31,0))</f>
        <v>亞利桑那響尾蛇</v>
      </c>
      <c r="M507" s="11" t="n">
        <f aca="false">IF($C507="打者",COUNTIF(打擊成績!$B:$B,$A507),COUNTIF(投手成績!$B:$B,$A507))</f>
        <v>3</v>
      </c>
    </row>
    <row r="508" customFormat="false" ht="15" hidden="false" customHeight="false" outlineLevel="0" collapsed="false">
      <c r="A508" s="7" t="s">
        <v>1489</v>
      </c>
      <c r="B508" s="7" t="s">
        <v>1490</v>
      </c>
      <c r="C508" s="8" t="s">
        <v>469</v>
      </c>
      <c r="D508" s="7" t="s">
        <v>162</v>
      </c>
      <c r="E508" s="7" t="s">
        <v>152</v>
      </c>
      <c r="F508" s="7" t="s">
        <v>126</v>
      </c>
      <c r="G508" s="9" t="n">
        <v>33840</v>
      </c>
      <c r="H508" s="5" t="n">
        <v>185</v>
      </c>
      <c r="I508" s="5" t="n">
        <v>103</v>
      </c>
      <c r="J508" s="5" t="n">
        <v>2012</v>
      </c>
      <c r="K508" s="7" t="s">
        <v>446</v>
      </c>
      <c r="L508" s="10" t="str">
        <f aca="false">INDEX(球隊主檔!$C$2:$C$31,MATCH($K508,球隊主檔!$A$2:$A$31,0))</f>
        <v>亞利桑那響尾蛇</v>
      </c>
      <c r="M508" s="11" t="n">
        <f aca="false">IF($C508="打者",COUNTIF(打擊成績!$B:$B,$A508),COUNTIF(投手成績!$B:$B,$A508))</f>
        <v>1</v>
      </c>
    </row>
    <row r="509" customFormat="false" ht="15" hidden="false" customHeight="false" outlineLevel="0" collapsed="false">
      <c r="A509" s="7" t="s">
        <v>1491</v>
      </c>
      <c r="B509" s="7" t="s">
        <v>1492</v>
      </c>
      <c r="C509" s="8" t="s">
        <v>469</v>
      </c>
      <c r="D509" s="7" t="s">
        <v>63</v>
      </c>
      <c r="E509" s="7" t="s">
        <v>126</v>
      </c>
      <c r="F509" s="7" t="s">
        <v>152</v>
      </c>
      <c r="G509" s="9" t="n">
        <v>36391</v>
      </c>
      <c r="H509" s="5" t="n">
        <v>182</v>
      </c>
      <c r="I509" s="5" t="n">
        <v>108</v>
      </c>
      <c r="J509" s="5" t="n">
        <v>2019</v>
      </c>
      <c r="K509" s="7" t="s">
        <v>446</v>
      </c>
      <c r="L509" s="10" t="str">
        <f aca="false">INDEX(球隊主檔!$C$2:$C$31,MATCH($K509,球隊主檔!$A$2:$A$31,0))</f>
        <v>亞利桑那響尾蛇</v>
      </c>
      <c r="M509" s="11" t="n">
        <f aca="false">IF($C509="打者",COUNTIF(打擊成績!$B:$B,$A509),COUNTIF(投手成績!$B:$B,$A509))</f>
        <v>3</v>
      </c>
    </row>
    <row r="510" customFormat="false" ht="15" hidden="false" customHeight="false" outlineLevel="0" collapsed="false">
      <c r="A510" s="7" t="s">
        <v>1493</v>
      </c>
      <c r="B510" s="7" t="s">
        <v>1494</v>
      </c>
      <c r="C510" s="8" t="s">
        <v>469</v>
      </c>
      <c r="D510" s="7" t="s">
        <v>483</v>
      </c>
      <c r="E510" s="7" t="s">
        <v>126</v>
      </c>
      <c r="F510" s="7" t="s">
        <v>126</v>
      </c>
      <c r="G510" s="9" t="n">
        <v>35100</v>
      </c>
      <c r="H510" s="5" t="n">
        <v>189</v>
      </c>
      <c r="I510" s="5" t="n">
        <v>79</v>
      </c>
      <c r="J510" s="5" t="n">
        <v>2021</v>
      </c>
      <c r="K510" s="7" t="s">
        <v>446</v>
      </c>
      <c r="L510" s="10" t="str">
        <f aca="false">INDEX(球隊主檔!$C$2:$C$31,MATCH($K510,球隊主檔!$A$2:$A$31,0))</f>
        <v>亞利桑那響尾蛇</v>
      </c>
      <c r="M510" s="11" t="n">
        <f aca="false">IF($C510="打者",COUNTIF(打擊成績!$B:$B,$A510),COUNTIF(投手成績!$B:$B,$A510))</f>
        <v>3</v>
      </c>
    </row>
    <row r="511" customFormat="false" ht="15" hidden="false" customHeight="false" outlineLevel="0" collapsed="false">
      <c r="A511" s="7" t="s">
        <v>1495</v>
      </c>
      <c r="B511" s="7" t="s">
        <v>1496</v>
      </c>
      <c r="C511" s="8" t="s">
        <v>469</v>
      </c>
      <c r="D511" s="7" t="s">
        <v>158</v>
      </c>
      <c r="E511" s="7" t="s">
        <v>126</v>
      </c>
      <c r="F511" s="7" t="s">
        <v>126</v>
      </c>
      <c r="G511" s="9" t="n">
        <v>35134</v>
      </c>
      <c r="H511" s="5" t="n">
        <v>178</v>
      </c>
      <c r="I511" s="5" t="n">
        <v>105</v>
      </c>
      <c r="J511" s="5" t="n">
        <v>2020</v>
      </c>
      <c r="K511" s="7" t="s">
        <v>446</v>
      </c>
      <c r="L511" s="10" t="str">
        <f aca="false">INDEX(球隊主檔!$C$2:$C$31,MATCH($K511,球隊主檔!$A$2:$A$31,0))</f>
        <v>亞利桑那響尾蛇</v>
      </c>
      <c r="M511" s="11" t="n">
        <f aca="false">IF($C511="打者",COUNTIF(打擊成績!$B:$B,$A511),COUNTIF(投手成績!$B:$B,$A511))</f>
        <v>3</v>
      </c>
    </row>
    <row r="512" customFormat="false" ht="15" hidden="false" customHeight="false" outlineLevel="0" collapsed="false">
      <c r="A512" s="7" t="s">
        <v>1497</v>
      </c>
      <c r="B512" s="7" t="s">
        <v>1498</v>
      </c>
      <c r="C512" s="8" t="s">
        <v>495</v>
      </c>
      <c r="D512" s="7" t="s">
        <v>496</v>
      </c>
      <c r="E512" s="7" t="s">
        <v>174</v>
      </c>
      <c r="F512" s="7" t="s">
        <v>152</v>
      </c>
      <c r="G512" s="9" t="n">
        <v>36925</v>
      </c>
      <c r="H512" s="5" t="n">
        <v>181</v>
      </c>
      <c r="I512" s="5" t="n">
        <v>97</v>
      </c>
      <c r="J512" s="5" t="n">
        <v>2024</v>
      </c>
      <c r="K512" s="7" t="s">
        <v>446</v>
      </c>
      <c r="L512" s="10" t="str">
        <f aca="false">INDEX(球隊主檔!$C$2:$C$31,MATCH($K512,球隊主檔!$A$2:$A$31,0))</f>
        <v>亞利桑那響尾蛇</v>
      </c>
      <c r="M512" s="11" t="n">
        <f aca="false">IF($C512="打者",COUNTIF(打擊成績!$B:$B,$A512),COUNTIF(投手成績!$B:$B,$A512))</f>
        <v>2</v>
      </c>
    </row>
    <row r="513" customFormat="false" ht="15" hidden="false" customHeight="false" outlineLevel="0" collapsed="false">
      <c r="A513" s="7" t="s">
        <v>1499</v>
      </c>
      <c r="B513" s="7" t="s">
        <v>1500</v>
      </c>
      <c r="C513" s="8" t="s">
        <v>495</v>
      </c>
      <c r="D513" s="7" t="s">
        <v>496</v>
      </c>
      <c r="E513" s="7" t="s">
        <v>174</v>
      </c>
      <c r="F513" s="7" t="s">
        <v>152</v>
      </c>
      <c r="G513" s="9" t="n">
        <v>32411</v>
      </c>
      <c r="H513" s="5" t="n">
        <v>176</v>
      </c>
      <c r="I513" s="5" t="n">
        <v>89</v>
      </c>
      <c r="J513" s="5" t="n">
        <v>2010</v>
      </c>
      <c r="K513" s="7" t="s">
        <v>446</v>
      </c>
      <c r="L513" s="10" t="str">
        <f aca="false">INDEX(球隊主檔!$C$2:$C$31,MATCH($K513,球隊主檔!$A$2:$A$31,0))</f>
        <v>亞利桑那響尾蛇</v>
      </c>
      <c r="M513" s="11" t="n">
        <f aca="false">IF($C513="打者",COUNTIF(打擊成績!$B:$B,$A513),COUNTIF(投手成績!$B:$B,$A513))</f>
        <v>2</v>
      </c>
    </row>
    <row r="514" customFormat="false" ht="15" hidden="false" customHeight="false" outlineLevel="0" collapsed="false">
      <c r="A514" s="7" t="s">
        <v>1501</v>
      </c>
      <c r="B514" s="7" t="s">
        <v>1502</v>
      </c>
      <c r="C514" s="8" t="s">
        <v>495</v>
      </c>
      <c r="D514" s="7" t="s">
        <v>496</v>
      </c>
      <c r="E514" s="7" t="s">
        <v>152</v>
      </c>
      <c r="F514" s="7" t="s">
        <v>152</v>
      </c>
      <c r="G514" s="9" t="n">
        <v>34808</v>
      </c>
      <c r="H514" s="5" t="n">
        <v>190</v>
      </c>
      <c r="I514" s="5" t="n">
        <v>89</v>
      </c>
      <c r="J514" s="5" t="n">
        <v>2019</v>
      </c>
      <c r="K514" s="7" t="s">
        <v>446</v>
      </c>
      <c r="L514" s="10" t="str">
        <f aca="false">INDEX(球隊主檔!$C$2:$C$31,MATCH($K514,球隊主檔!$A$2:$A$31,0))</f>
        <v>亞利桑那響尾蛇</v>
      </c>
      <c r="M514" s="11" t="n">
        <f aca="false">IF($C514="打者",COUNTIF(打擊成績!$B:$B,$A514),COUNTIF(投手成績!$B:$B,$A514))</f>
        <v>3</v>
      </c>
    </row>
    <row r="515" customFormat="false" ht="15" hidden="false" customHeight="false" outlineLevel="0" collapsed="false">
      <c r="A515" s="7" t="s">
        <v>1503</v>
      </c>
      <c r="B515" s="7" t="s">
        <v>1504</v>
      </c>
      <c r="C515" s="8" t="s">
        <v>495</v>
      </c>
      <c r="D515" s="7" t="s">
        <v>496</v>
      </c>
      <c r="E515" s="7" t="s">
        <v>126</v>
      </c>
      <c r="F515" s="7" t="s">
        <v>152</v>
      </c>
      <c r="G515" s="9" t="n">
        <v>36022</v>
      </c>
      <c r="H515" s="5" t="n">
        <v>178</v>
      </c>
      <c r="I515" s="5" t="n">
        <v>87</v>
      </c>
      <c r="J515" s="5" t="n">
        <v>2019</v>
      </c>
      <c r="K515" s="7" t="s">
        <v>455</v>
      </c>
      <c r="L515" s="10" t="str">
        <f aca="false">INDEX(球隊主檔!$C$2:$C$31,MATCH($K515,球隊主檔!$A$2:$A$31,0))</f>
        <v>洛杉磯道奇</v>
      </c>
      <c r="M515" s="11" t="n">
        <f aca="false">IF($C515="打者",COUNTIF(打擊成績!$B:$B,$A515),COUNTIF(投手成績!$B:$B,$A515))</f>
        <v>3</v>
      </c>
    </row>
    <row r="516" customFormat="false" ht="15" hidden="false" customHeight="false" outlineLevel="0" collapsed="false">
      <c r="A516" s="7" t="s">
        <v>1505</v>
      </c>
      <c r="B516" s="7" t="s">
        <v>1506</v>
      </c>
      <c r="C516" s="8" t="s">
        <v>495</v>
      </c>
      <c r="D516" s="7" t="s">
        <v>496</v>
      </c>
      <c r="E516" s="7" t="s">
        <v>152</v>
      </c>
      <c r="F516" s="7" t="s">
        <v>152</v>
      </c>
      <c r="G516" s="9" t="n">
        <v>35140</v>
      </c>
      <c r="H516" s="5" t="n">
        <v>199</v>
      </c>
      <c r="I516" s="5" t="n">
        <v>105</v>
      </c>
      <c r="J516" s="5" t="n">
        <v>2020</v>
      </c>
      <c r="K516" s="7" t="s">
        <v>446</v>
      </c>
      <c r="L516" s="10" t="str">
        <f aca="false">INDEX(球隊主檔!$C$2:$C$31,MATCH($K516,球隊主檔!$A$2:$A$31,0))</f>
        <v>亞利桑那響尾蛇</v>
      </c>
      <c r="M516" s="11" t="n">
        <f aca="false">IF($C516="打者",COUNTIF(打擊成績!$B:$B,$A516),COUNTIF(投手成績!$B:$B,$A516))</f>
        <v>3</v>
      </c>
    </row>
    <row r="517" customFormat="false" ht="15" hidden="false" customHeight="false" outlineLevel="0" collapsed="false">
      <c r="A517" s="7" t="s">
        <v>1507</v>
      </c>
      <c r="B517" s="7" t="s">
        <v>1508</v>
      </c>
      <c r="C517" s="8" t="s">
        <v>495</v>
      </c>
      <c r="D517" s="7" t="s">
        <v>507</v>
      </c>
      <c r="E517" s="7" t="s">
        <v>126</v>
      </c>
      <c r="F517" s="7" t="s">
        <v>152</v>
      </c>
      <c r="G517" s="9" t="n">
        <v>35125</v>
      </c>
      <c r="H517" s="5" t="n">
        <v>199</v>
      </c>
      <c r="I517" s="5" t="n">
        <v>101</v>
      </c>
      <c r="J517" s="5" t="n">
        <v>2019</v>
      </c>
      <c r="K517" s="7" t="s">
        <v>446</v>
      </c>
      <c r="L517" s="10" t="str">
        <f aca="false">INDEX(球隊主檔!$C$2:$C$31,MATCH($K517,球隊主檔!$A$2:$A$31,0))</f>
        <v>亞利桑那響尾蛇</v>
      </c>
      <c r="M517" s="11" t="n">
        <f aca="false">IF($C517="打者",COUNTIF(打擊成績!$B:$B,$A517),COUNTIF(投手成績!$B:$B,$A517))</f>
        <v>3</v>
      </c>
    </row>
    <row r="518" customFormat="false" ht="15" hidden="false" customHeight="false" outlineLevel="0" collapsed="false">
      <c r="A518" s="7" t="s">
        <v>1509</v>
      </c>
      <c r="B518" s="7" t="s">
        <v>1510</v>
      </c>
      <c r="C518" s="8" t="s">
        <v>495</v>
      </c>
      <c r="D518" s="7" t="s">
        <v>507</v>
      </c>
      <c r="E518" s="7" t="s">
        <v>174</v>
      </c>
      <c r="F518" s="7" t="s">
        <v>152</v>
      </c>
      <c r="G518" s="9" t="n">
        <v>35009</v>
      </c>
      <c r="H518" s="5" t="n">
        <v>190</v>
      </c>
      <c r="I518" s="5" t="n">
        <v>106</v>
      </c>
      <c r="J518" s="5" t="n">
        <v>2020</v>
      </c>
      <c r="K518" s="7" t="s">
        <v>446</v>
      </c>
      <c r="L518" s="10" t="str">
        <f aca="false">INDEX(球隊主檔!$C$2:$C$31,MATCH($K518,球隊主檔!$A$2:$A$31,0))</f>
        <v>亞利桑那響尾蛇</v>
      </c>
      <c r="M518" s="11" t="n">
        <f aca="false">IF($C518="打者",COUNTIF(打擊成績!$B:$B,$A518),COUNTIF(投手成績!$B:$B,$A518))</f>
        <v>3</v>
      </c>
    </row>
    <row r="519" customFormat="false" ht="15" hidden="false" customHeight="false" outlineLevel="0" collapsed="false">
      <c r="A519" s="7" t="s">
        <v>1511</v>
      </c>
      <c r="B519" s="7" t="s">
        <v>1512</v>
      </c>
      <c r="C519" s="8" t="s">
        <v>495</v>
      </c>
      <c r="D519" s="7" t="s">
        <v>507</v>
      </c>
      <c r="E519" s="7" t="s">
        <v>126</v>
      </c>
      <c r="F519" s="7" t="s">
        <v>152</v>
      </c>
      <c r="G519" s="9" t="n">
        <v>34489</v>
      </c>
      <c r="H519" s="5" t="n">
        <v>185</v>
      </c>
      <c r="I519" s="5" t="n">
        <v>108</v>
      </c>
      <c r="J519" s="5" t="n">
        <v>2015</v>
      </c>
      <c r="K519" s="7" t="s">
        <v>446</v>
      </c>
      <c r="L519" s="10" t="str">
        <f aca="false">INDEX(球隊主檔!$C$2:$C$31,MATCH($K519,球隊主檔!$A$2:$A$31,0))</f>
        <v>亞利桑那響尾蛇</v>
      </c>
      <c r="M519" s="11" t="n">
        <f aca="false">IF($C519="打者",COUNTIF(打擊成績!$B:$B,$A519),COUNTIF(投手成績!$B:$B,$A519))</f>
        <v>2</v>
      </c>
    </row>
    <row r="520" customFormat="false" ht="15" hidden="false" customHeight="false" outlineLevel="0" collapsed="false">
      <c r="A520" s="7" t="s">
        <v>1513</v>
      </c>
      <c r="B520" s="7" t="s">
        <v>1514</v>
      </c>
      <c r="C520" s="8" t="s">
        <v>495</v>
      </c>
      <c r="D520" s="7" t="s">
        <v>507</v>
      </c>
      <c r="E520" s="7" t="s">
        <v>174</v>
      </c>
      <c r="F520" s="7" t="s">
        <v>126</v>
      </c>
      <c r="G520" s="9" t="n">
        <v>35058</v>
      </c>
      <c r="H520" s="5" t="n">
        <v>186</v>
      </c>
      <c r="I520" s="5" t="n">
        <v>80</v>
      </c>
      <c r="J520" s="5" t="n">
        <v>2016</v>
      </c>
      <c r="K520" s="7" t="s">
        <v>375</v>
      </c>
      <c r="L520" s="10" t="str">
        <f aca="false">INDEX(球隊主檔!$C$2:$C$31,MATCH($K520,球隊主檔!$A$2:$A$31,0))</f>
        <v>堪薩斯市皇家</v>
      </c>
      <c r="M520" s="11" t="n">
        <f aca="false">IF($C520="打者",COUNTIF(打擊成績!$B:$B,$A520),COUNTIF(投手成績!$B:$B,$A520))</f>
        <v>3</v>
      </c>
    </row>
    <row r="521" customFormat="false" ht="15" hidden="false" customHeight="false" outlineLevel="0" collapsed="false">
      <c r="A521" s="7" t="s">
        <v>1515</v>
      </c>
      <c r="B521" s="7" t="s">
        <v>1516</v>
      </c>
      <c r="C521" s="8" t="s">
        <v>495</v>
      </c>
      <c r="D521" s="7" t="s">
        <v>507</v>
      </c>
      <c r="E521" s="7" t="s">
        <v>152</v>
      </c>
      <c r="F521" s="7" t="s">
        <v>152</v>
      </c>
      <c r="G521" s="9" t="n">
        <v>35156</v>
      </c>
      <c r="H521" s="5" t="n">
        <v>188</v>
      </c>
      <c r="I521" s="5" t="n">
        <v>105</v>
      </c>
      <c r="J521" s="5" t="n">
        <v>2019</v>
      </c>
      <c r="K521" s="7" t="s">
        <v>446</v>
      </c>
      <c r="L521" s="10" t="str">
        <f aca="false">INDEX(球隊主檔!$C$2:$C$31,MATCH($K521,球隊主檔!$A$2:$A$31,0))</f>
        <v>亞利桑那響尾蛇</v>
      </c>
      <c r="M521" s="11" t="n">
        <f aca="false">IF($C521="打者",COUNTIF(打擊成績!$B:$B,$A521),COUNTIF(投手成績!$B:$B,$A521))</f>
        <v>3</v>
      </c>
    </row>
    <row r="522" customFormat="false" ht="15" hidden="false" customHeight="false" outlineLevel="0" collapsed="false">
      <c r="A522" s="7" t="s">
        <v>1517</v>
      </c>
      <c r="B522" s="7" t="s">
        <v>1518</v>
      </c>
      <c r="C522" s="8" t="s">
        <v>469</v>
      </c>
      <c r="D522" s="7" t="s">
        <v>522</v>
      </c>
      <c r="E522" s="7" t="s">
        <v>152</v>
      </c>
      <c r="F522" s="7" t="s">
        <v>152</v>
      </c>
      <c r="G522" s="9" t="n">
        <v>36691</v>
      </c>
      <c r="H522" s="5" t="n">
        <v>183</v>
      </c>
      <c r="I522" s="5" t="n">
        <v>82</v>
      </c>
      <c r="J522" s="5" t="n">
        <v>2023</v>
      </c>
      <c r="K522" s="7" t="s">
        <v>451</v>
      </c>
      <c r="L522" s="10" t="str">
        <f aca="false">INDEX(球隊主檔!$C$2:$C$31,MATCH($K522,球隊主檔!$A$2:$A$31,0))</f>
        <v>科羅拉多落磯</v>
      </c>
      <c r="M522" s="11" t="n">
        <f aca="false">IF($C522="打者",COUNTIF(打擊成績!$B:$B,$A522),COUNTIF(投手成績!$B:$B,$A522))</f>
        <v>2</v>
      </c>
    </row>
    <row r="523" customFormat="false" ht="15" hidden="false" customHeight="false" outlineLevel="0" collapsed="false">
      <c r="A523" s="7" t="s">
        <v>1519</v>
      </c>
      <c r="B523" s="7" t="s">
        <v>1520</v>
      </c>
      <c r="C523" s="8" t="s">
        <v>469</v>
      </c>
      <c r="D523" s="7" t="s">
        <v>470</v>
      </c>
      <c r="E523" s="7" t="s">
        <v>152</v>
      </c>
      <c r="F523" s="7" t="s">
        <v>152</v>
      </c>
      <c r="G523" s="9" t="n">
        <v>34676</v>
      </c>
      <c r="H523" s="5" t="n">
        <v>186</v>
      </c>
      <c r="I523" s="5" t="n">
        <v>112</v>
      </c>
      <c r="J523" s="5" t="n">
        <v>2018</v>
      </c>
      <c r="K523" s="7" t="s">
        <v>451</v>
      </c>
      <c r="L523" s="10" t="str">
        <f aca="false">INDEX(球隊主檔!$C$2:$C$31,MATCH($K523,球隊主檔!$A$2:$A$31,0))</f>
        <v>科羅拉多落磯</v>
      </c>
      <c r="M523" s="11" t="n">
        <f aca="false">IF($C523="打者",COUNTIF(打擊成績!$B:$B,$A523),COUNTIF(投手成績!$B:$B,$A523))</f>
        <v>3</v>
      </c>
    </row>
    <row r="524" customFormat="false" ht="15" hidden="false" customHeight="false" outlineLevel="0" collapsed="false">
      <c r="A524" s="7" t="s">
        <v>1521</v>
      </c>
      <c r="B524" s="7" t="s">
        <v>1522</v>
      </c>
      <c r="C524" s="8" t="s">
        <v>469</v>
      </c>
      <c r="D524" s="7" t="s">
        <v>158</v>
      </c>
      <c r="E524" s="7" t="s">
        <v>152</v>
      </c>
      <c r="F524" s="7" t="s">
        <v>152</v>
      </c>
      <c r="G524" s="9" t="n">
        <v>33710</v>
      </c>
      <c r="H524" s="5" t="n">
        <v>196</v>
      </c>
      <c r="I524" s="5" t="n">
        <v>83</v>
      </c>
      <c r="J524" s="5" t="n">
        <v>2016</v>
      </c>
      <c r="K524" s="7" t="s">
        <v>418</v>
      </c>
      <c r="L524" s="10" t="str">
        <f aca="false">INDEX(球隊主檔!$C$2:$C$31,MATCH($K524,球隊主檔!$A$2:$A$31,0))</f>
        <v>費城費城人</v>
      </c>
      <c r="M524" s="11" t="n">
        <f aca="false">IF($C524="打者",COUNTIF(打擊成績!$B:$B,$A524),COUNTIF(投手成績!$B:$B,$A524))</f>
        <v>3</v>
      </c>
    </row>
    <row r="525" customFormat="false" ht="15" hidden="false" customHeight="false" outlineLevel="0" collapsed="false">
      <c r="A525" s="7" t="s">
        <v>1523</v>
      </c>
      <c r="B525" s="7" t="s">
        <v>1524</v>
      </c>
      <c r="C525" s="8" t="s">
        <v>469</v>
      </c>
      <c r="D525" s="7" t="s">
        <v>162</v>
      </c>
      <c r="E525" s="7" t="s">
        <v>126</v>
      </c>
      <c r="F525" s="7" t="s">
        <v>152</v>
      </c>
      <c r="G525" s="9" t="n">
        <v>36709</v>
      </c>
      <c r="H525" s="5" t="n">
        <v>176</v>
      </c>
      <c r="I525" s="5" t="n">
        <v>88</v>
      </c>
      <c r="J525" s="5" t="n">
        <v>2024</v>
      </c>
      <c r="K525" s="7" t="s">
        <v>451</v>
      </c>
      <c r="L525" s="10" t="str">
        <f aca="false">INDEX(球隊主檔!$C$2:$C$31,MATCH($K525,球隊主檔!$A$2:$A$31,0))</f>
        <v>科羅拉多落磯</v>
      </c>
      <c r="M525" s="11" t="n">
        <f aca="false">IF($C525="打者",COUNTIF(打擊成績!$B:$B,$A525),COUNTIF(投手成績!$B:$B,$A525))</f>
        <v>3</v>
      </c>
    </row>
    <row r="526" customFormat="false" ht="15" hidden="false" customHeight="false" outlineLevel="0" collapsed="false">
      <c r="A526" s="7" t="s">
        <v>1525</v>
      </c>
      <c r="B526" s="7" t="s">
        <v>1526</v>
      </c>
      <c r="C526" s="8" t="s">
        <v>469</v>
      </c>
      <c r="D526" s="7" t="s">
        <v>478</v>
      </c>
      <c r="E526" s="7" t="s">
        <v>152</v>
      </c>
      <c r="F526" s="7" t="s">
        <v>152</v>
      </c>
      <c r="G526" s="9" t="n">
        <v>36465</v>
      </c>
      <c r="H526" s="5" t="n">
        <v>194</v>
      </c>
      <c r="I526" s="5" t="n">
        <v>81</v>
      </c>
      <c r="J526" s="5" t="n">
        <v>2022</v>
      </c>
      <c r="K526" s="7" t="s">
        <v>451</v>
      </c>
      <c r="L526" s="10" t="str">
        <f aca="false">INDEX(球隊主檔!$C$2:$C$31,MATCH($K526,球隊主檔!$A$2:$A$31,0))</f>
        <v>科羅拉多落磯</v>
      </c>
      <c r="M526" s="11" t="n">
        <f aca="false">IF($C526="打者",COUNTIF(打擊成績!$B:$B,$A526),COUNTIF(投手成績!$B:$B,$A526))</f>
        <v>3</v>
      </c>
    </row>
    <row r="527" customFormat="false" ht="15" hidden="false" customHeight="false" outlineLevel="0" collapsed="false">
      <c r="A527" s="7" t="s">
        <v>1527</v>
      </c>
      <c r="B527" s="7" t="s">
        <v>1528</v>
      </c>
      <c r="C527" s="8" t="s">
        <v>469</v>
      </c>
      <c r="D527" s="7" t="s">
        <v>470</v>
      </c>
      <c r="E527" s="7" t="s">
        <v>126</v>
      </c>
      <c r="F527" s="7" t="s">
        <v>152</v>
      </c>
      <c r="G527" s="9" t="n">
        <v>36063</v>
      </c>
      <c r="H527" s="5" t="n">
        <v>199</v>
      </c>
      <c r="I527" s="5" t="n">
        <v>101</v>
      </c>
      <c r="J527" s="5" t="n">
        <v>2022</v>
      </c>
      <c r="K527" s="7" t="s">
        <v>451</v>
      </c>
      <c r="L527" s="10" t="str">
        <f aca="false">INDEX(球隊主檔!$C$2:$C$31,MATCH($K527,球隊主檔!$A$2:$A$31,0))</f>
        <v>科羅拉多落磯</v>
      </c>
      <c r="M527" s="11" t="n">
        <f aca="false">IF($C527="打者",COUNTIF(打擊成績!$B:$B,$A527),COUNTIF(投手成績!$B:$B,$A527))</f>
        <v>3</v>
      </c>
    </row>
    <row r="528" customFormat="false" ht="15" hidden="false" customHeight="false" outlineLevel="0" collapsed="false">
      <c r="A528" s="7" t="s">
        <v>1529</v>
      </c>
      <c r="B528" s="7" t="s">
        <v>1530</v>
      </c>
      <c r="C528" s="8" t="s">
        <v>469</v>
      </c>
      <c r="D528" s="7" t="s">
        <v>63</v>
      </c>
      <c r="E528" s="7" t="s">
        <v>174</v>
      </c>
      <c r="F528" s="7" t="s">
        <v>152</v>
      </c>
      <c r="G528" s="9" t="n">
        <v>35861</v>
      </c>
      <c r="H528" s="5" t="n">
        <v>190</v>
      </c>
      <c r="I528" s="5" t="n">
        <v>99</v>
      </c>
      <c r="J528" s="5" t="n">
        <v>2022</v>
      </c>
      <c r="K528" s="7" t="s">
        <v>451</v>
      </c>
      <c r="L528" s="10" t="str">
        <f aca="false">INDEX(球隊主檔!$C$2:$C$31,MATCH($K528,球隊主檔!$A$2:$A$31,0))</f>
        <v>科羅拉多落磯</v>
      </c>
      <c r="M528" s="11" t="n">
        <f aca="false">IF($C528="打者",COUNTIF(打擊成績!$B:$B,$A528),COUNTIF(投手成績!$B:$B,$A528))</f>
        <v>3</v>
      </c>
    </row>
    <row r="529" customFormat="false" ht="15" hidden="false" customHeight="false" outlineLevel="0" collapsed="false">
      <c r="A529" s="7" t="s">
        <v>1531</v>
      </c>
      <c r="B529" s="7" t="s">
        <v>1532</v>
      </c>
      <c r="C529" s="8" t="s">
        <v>469</v>
      </c>
      <c r="D529" s="7" t="s">
        <v>522</v>
      </c>
      <c r="E529" s="7" t="s">
        <v>152</v>
      </c>
      <c r="F529" s="7" t="s">
        <v>126</v>
      </c>
      <c r="G529" s="9" t="n">
        <v>34393</v>
      </c>
      <c r="H529" s="5" t="n">
        <v>201</v>
      </c>
      <c r="I529" s="5" t="n">
        <v>95</v>
      </c>
      <c r="J529" s="5" t="n">
        <v>2018</v>
      </c>
      <c r="K529" s="7" t="s">
        <v>451</v>
      </c>
      <c r="L529" s="10" t="str">
        <f aca="false">INDEX(球隊主檔!$C$2:$C$31,MATCH($K529,球隊主檔!$A$2:$A$31,0))</f>
        <v>科羅拉多落磯</v>
      </c>
      <c r="M529" s="11" t="n">
        <f aca="false">IF($C529="打者",COUNTIF(打擊成績!$B:$B,$A529),COUNTIF(投手成績!$B:$B,$A529))</f>
        <v>3</v>
      </c>
    </row>
    <row r="530" customFormat="false" ht="15" hidden="false" customHeight="false" outlineLevel="0" collapsed="false">
      <c r="A530" s="7" t="s">
        <v>1533</v>
      </c>
      <c r="B530" s="7" t="s">
        <v>1534</v>
      </c>
      <c r="C530" s="8" t="s">
        <v>469</v>
      </c>
      <c r="D530" s="7" t="s">
        <v>158</v>
      </c>
      <c r="E530" s="7" t="s">
        <v>126</v>
      </c>
      <c r="F530" s="7" t="s">
        <v>152</v>
      </c>
      <c r="G530" s="9" t="n">
        <v>34628</v>
      </c>
      <c r="H530" s="5" t="n">
        <v>190</v>
      </c>
      <c r="I530" s="5" t="n">
        <v>107</v>
      </c>
      <c r="J530" s="5" t="n">
        <v>2016</v>
      </c>
      <c r="K530" s="7" t="s">
        <v>451</v>
      </c>
      <c r="L530" s="10" t="str">
        <f aca="false">INDEX(球隊主檔!$C$2:$C$31,MATCH($K530,球隊主檔!$A$2:$A$31,0))</f>
        <v>科羅拉多落磯</v>
      </c>
      <c r="M530" s="11" t="n">
        <f aca="false">IF($C530="打者",COUNTIF(打擊成績!$B:$B,$A530),COUNTIF(投手成績!$B:$B,$A530))</f>
        <v>3</v>
      </c>
    </row>
    <row r="531" customFormat="false" ht="15" hidden="false" customHeight="false" outlineLevel="0" collapsed="false">
      <c r="A531" s="7" t="s">
        <v>1535</v>
      </c>
      <c r="B531" s="7" t="s">
        <v>1536</v>
      </c>
      <c r="C531" s="8" t="s">
        <v>469</v>
      </c>
      <c r="D531" s="7" t="s">
        <v>483</v>
      </c>
      <c r="E531" s="7" t="s">
        <v>126</v>
      </c>
      <c r="F531" s="7" t="s">
        <v>126</v>
      </c>
      <c r="G531" s="9" t="n">
        <v>35918</v>
      </c>
      <c r="H531" s="5" t="n">
        <v>175</v>
      </c>
      <c r="I531" s="5" t="n">
        <v>84</v>
      </c>
      <c r="J531" s="5" t="n">
        <v>2022</v>
      </c>
      <c r="K531" s="7" t="s">
        <v>451</v>
      </c>
      <c r="L531" s="10" t="str">
        <f aca="false">INDEX(球隊主檔!$C$2:$C$31,MATCH($K531,球隊主檔!$A$2:$A$31,0))</f>
        <v>科羅拉多落磯</v>
      </c>
      <c r="M531" s="11" t="n">
        <f aca="false">IF($C531="打者",COUNTIF(打擊成績!$B:$B,$A531),COUNTIF(投手成績!$B:$B,$A531))</f>
        <v>3</v>
      </c>
    </row>
    <row r="532" customFormat="false" ht="15" hidden="false" customHeight="false" outlineLevel="0" collapsed="false">
      <c r="A532" s="7" t="s">
        <v>1537</v>
      </c>
      <c r="B532" s="7" t="s">
        <v>1538</v>
      </c>
      <c r="C532" s="8" t="s">
        <v>495</v>
      </c>
      <c r="D532" s="7" t="s">
        <v>496</v>
      </c>
      <c r="E532" s="7" t="s">
        <v>152</v>
      </c>
      <c r="F532" s="7" t="s">
        <v>152</v>
      </c>
      <c r="G532" s="9" t="n">
        <v>35835</v>
      </c>
      <c r="H532" s="5" t="n">
        <v>188</v>
      </c>
      <c r="I532" s="5" t="n">
        <v>94</v>
      </c>
      <c r="J532" s="5" t="n">
        <v>2023</v>
      </c>
      <c r="K532" s="7" t="s">
        <v>451</v>
      </c>
      <c r="L532" s="10" t="str">
        <f aca="false">INDEX(球隊主檔!$C$2:$C$31,MATCH($K532,球隊主檔!$A$2:$A$31,0))</f>
        <v>科羅拉多落磯</v>
      </c>
      <c r="M532" s="11" t="n">
        <f aca="false">IF($C532="打者",COUNTIF(打擊成績!$B:$B,$A532),COUNTIF(投手成績!$B:$B,$A532))</f>
        <v>3</v>
      </c>
    </row>
    <row r="533" customFormat="false" ht="15" hidden="false" customHeight="false" outlineLevel="0" collapsed="false">
      <c r="A533" s="7" t="s">
        <v>1539</v>
      </c>
      <c r="B533" s="7" t="s">
        <v>1540</v>
      </c>
      <c r="C533" s="8" t="s">
        <v>495</v>
      </c>
      <c r="D533" s="7" t="s">
        <v>496</v>
      </c>
      <c r="E533" s="7" t="s">
        <v>152</v>
      </c>
      <c r="F533" s="7" t="s">
        <v>152</v>
      </c>
      <c r="G533" s="9" t="n">
        <v>35782</v>
      </c>
      <c r="H533" s="5" t="n">
        <v>185</v>
      </c>
      <c r="I533" s="5" t="n">
        <v>82</v>
      </c>
      <c r="J533" s="5" t="n">
        <v>2018</v>
      </c>
      <c r="K533" s="7" t="s">
        <v>451</v>
      </c>
      <c r="L533" s="10" t="str">
        <f aca="false">INDEX(球隊主檔!$C$2:$C$31,MATCH($K533,球隊主檔!$A$2:$A$31,0))</f>
        <v>科羅拉多落磯</v>
      </c>
      <c r="M533" s="11" t="n">
        <f aca="false">IF($C533="打者",COUNTIF(打擊成績!$B:$B,$A533),COUNTIF(投手成績!$B:$B,$A533))</f>
        <v>3</v>
      </c>
    </row>
    <row r="534" customFormat="false" ht="15" hidden="false" customHeight="false" outlineLevel="0" collapsed="false">
      <c r="A534" s="7" t="s">
        <v>1541</v>
      </c>
      <c r="B534" s="7" t="s">
        <v>1542</v>
      </c>
      <c r="C534" s="8" t="s">
        <v>495</v>
      </c>
      <c r="D534" s="7" t="s">
        <v>496</v>
      </c>
      <c r="E534" s="7" t="s">
        <v>126</v>
      </c>
      <c r="F534" s="7" t="s">
        <v>152</v>
      </c>
      <c r="G534" s="9" t="n">
        <v>36714</v>
      </c>
      <c r="H534" s="5" t="n">
        <v>186</v>
      </c>
      <c r="I534" s="5" t="n">
        <v>90</v>
      </c>
      <c r="J534" s="5" t="n">
        <v>2024</v>
      </c>
      <c r="K534" s="7" t="s">
        <v>451</v>
      </c>
      <c r="L534" s="10" t="str">
        <f aca="false">INDEX(球隊主檔!$C$2:$C$31,MATCH($K534,球隊主檔!$A$2:$A$31,0))</f>
        <v>科羅拉多落磯</v>
      </c>
      <c r="M534" s="11" t="n">
        <f aca="false">IF($C534="打者",COUNTIF(打擊成績!$B:$B,$A534),COUNTIF(投手成績!$B:$B,$A534))</f>
        <v>3</v>
      </c>
    </row>
    <row r="535" customFormat="false" ht="15" hidden="false" customHeight="false" outlineLevel="0" collapsed="false">
      <c r="A535" s="7" t="s">
        <v>1543</v>
      </c>
      <c r="B535" s="7" t="s">
        <v>1544</v>
      </c>
      <c r="C535" s="8" t="s">
        <v>495</v>
      </c>
      <c r="D535" s="7" t="s">
        <v>496</v>
      </c>
      <c r="E535" s="7" t="s">
        <v>152</v>
      </c>
      <c r="F535" s="7" t="s">
        <v>152</v>
      </c>
      <c r="G535" s="9" t="n">
        <v>35425</v>
      </c>
      <c r="H535" s="5" t="n">
        <v>199</v>
      </c>
      <c r="I535" s="5" t="n">
        <v>104</v>
      </c>
      <c r="J535" s="5" t="n">
        <v>2021</v>
      </c>
      <c r="K535" s="7" t="s">
        <v>451</v>
      </c>
      <c r="L535" s="10" t="str">
        <f aca="false">INDEX(球隊主檔!$C$2:$C$31,MATCH($K535,球隊主檔!$A$2:$A$31,0))</f>
        <v>科羅拉多落磯</v>
      </c>
      <c r="M535" s="11" t="n">
        <f aca="false">IF($C535="打者",COUNTIF(打擊成績!$B:$B,$A535),COUNTIF(投手成績!$B:$B,$A535))</f>
        <v>3</v>
      </c>
    </row>
    <row r="536" customFormat="false" ht="15" hidden="false" customHeight="false" outlineLevel="0" collapsed="false">
      <c r="A536" s="7" t="s">
        <v>1545</v>
      </c>
      <c r="B536" s="7" t="s">
        <v>1546</v>
      </c>
      <c r="C536" s="8" t="s">
        <v>495</v>
      </c>
      <c r="D536" s="7" t="s">
        <v>496</v>
      </c>
      <c r="E536" s="7" t="s">
        <v>152</v>
      </c>
      <c r="F536" s="7" t="s">
        <v>126</v>
      </c>
      <c r="G536" s="9" t="n">
        <v>35133</v>
      </c>
      <c r="H536" s="5" t="n">
        <v>191</v>
      </c>
      <c r="I536" s="5" t="n">
        <v>96</v>
      </c>
      <c r="J536" s="5" t="n">
        <v>2019</v>
      </c>
      <c r="K536" s="7" t="s">
        <v>451</v>
      </c>
      <c r="L536" s="10" t="str">
        <f aca="false">INDEX(球隊主檔!$C$2:$C$31,MATCH($K536,球隊主檔!$A$2:$A$31,0))</f>
        <v>科羅拉多落磯</v>
      </c>
      <c r="M536" s="11" t="n">
        <f aca="false">IF($C536="打者",COUNTIF(打擊成績!$B:$B,$A536),COUNTIF(投手成績!$B:$B,$A536))</f>
        <v>3</v>
      </c>
    </row>
    <row r="537" customFormat="false" ht="15" hidden="false" customHeight="false" outlineLevel="0" collapsed="false">
      <c r="A537" s="7" t="s">
        <v>1547</v>
      </c>
      <c r="B537" s="7" t="s">
        <v>1548</v>
      </c>
      <c r="C537" s="8" t="s">
        <v>495</v>
      </c>
      <c r="D537" s="7" t="s">
        <v>507</v>
      </c>
      <c r="E537" s="7" t="s">
        <v>126</v>
      </c>
      <c r="F537" s="7" t="s">
        <v>152</v>
      </c>
      <c r="G537" s="9" t="n">
        <v>37386</v>
      </c>
      <c r="H537" s="5" t="n">
        <v>194</v>
      </c>
      <c r="I537" s="5" t="n">
        <v>101</v>
      </c>
      <c r="J537" s="5" t="n">
        <v>2022</v>
      </c>
      <c r="K537" s="7" t="s">
        <v>451</v>
      </c>
      <c r="L537" s="10" t="str">
        <f aca="false">INDEX(球隊主檔!$C$2:$C$31,MATCH($K537,球隊主檔!$A$2:$A$31,0))</f>
        <v>科羅拉多落磯</v>
      </c>
      <c r="M537" s="11" t="n">
        <f aca="false">IF($C537="打者",COUNTIF(打擊成績!$B:$B,$A537),COUNTIF(投手成績!$B:$B,$A537))</f>
        <v>3</v>
      </c>
    </row>
    <row r="538" customFormat="false" ht="15" hidden="false" customHeight="false" outlineLevel="0" collapsed="false">
      <c r="A538" s="7" t="s">
        <v>1549</v>
      </c>
      <c r="B538" s="7" t="s">
        <v>1550</v>
      </c>
      <c r="C538" s="8" t="s">
        <v>495</v>
      </c>
      <c r="D538" s="7" t="s">
        <v>507</v>
      </c>
      <c r="E538" s="7" t="s">
        <v>152</v>
      </c>
      <c r="F538" s="7" t="s">
        <v>152</v>
      </c>
      <c r="G538" s="9" t="n">
        <v>34096</v>
      </c>
      <c r="H538" s="5" t="n">
        <v>188</v>
      </c>
      <c r="I538" s="5" t="n">
        <v>108</v>
      </c>
      <c r="J538" s="5" t="n">
        <v>2015</v>
      </c>
      <c r="K538" s="7" t="s">
        <v>451</v>
      </c>
      <c r="L538" s="10" t="str">
        <f aca="false">INDEX(球隊主檔!$C$2:$C$31,MATCH($K538,球隊主檔!$A$2:$A$31,0))</f>
        <v>科羅拉多落磯</v>
      </c>
      <c r="M538" s="11" t="n">
        <f aca="false">IF($C538="打者",COUNTIF(打擊成績!$B:$B,$A538),COUNTIF(投手成績!$B:$B,$A538))</f>
        <v>3</v>
      </c>
    </row>
    <row r="539" customFormat="false" ht="15" hidden="false" customHeight="false" outlineLevel="0" collapsed="false">
      <c r="A539" s="7" t="s">
        <v>1551</v>
      </c>
      <c r="B539" s="7" t="s">
        <v>1552</v>
      </c>
      <c r="C539" s="8" t="s">
        <v>495</v>
      </c>
      <c r="D539" s="7" t="s">
        <v>507</v>
      </c>
      <c r="E539" s="7" t="s">
        <v>126</v>
      </c>
      <c r="F539" s="7" t="s">
        <v>126</v>
      </c>
      <c r="G539" s="9" t="n">
        <v>34905</v>
      </c>
      <c r="H539" s="5" t="n">
        <v>193</v>
      </c>
      <c r="I539" s="5" t="n">
        <v>84</v>
      </c>
      <c r="J539" s="5" t="n">
        <v>2017</v>
      </c>
      <c r="K539" s="7" t="s">
        <v>451</v>
      </c>
      <c r="L539" s="10" t="str">
        <f aca="false">INDEX(球隊主檔!$C$2:$C$31,MATCH($K539,球隊主檔!$A$2:$A$31,0))</f>
        <v>科羅拉多落磯</v>
      </c>
      <c r="M539" s="11" t="n">
        <f aca="false">IF($C539="打者",COUNTIF(打擊成績!$B:$B,$A539),COUNTIF(投手成績!$B:$B,$A539))</f>
        <v>3</v>
      </c>
    </row>
    <row r="540" customFormat="false" ht="15" hidden="false" customHeight="false" outlineLevel="0" collapsed="false">
      <c r="A540" s="7" t="s">
        <v>1553</v>
      </c>
      <c r="B540" s="7" t="s">
        <v>1554</v>
      </c>
      <c r="C540" s="8" t="s">
        <v>495</v>
      </c>
      <c r="D540" s="7" t="s">
        <v>507</v>
      </c>
      <c r="E540" s="7" t="s">
        <v>152</v>
      </c>
      <c r="F540" s="7" t="s">
        <v>126</v>
      </c>
      <c r="G540" s="9" t="n">
        <v>35446</v>
      </c>
      <c r="H540" s="5" t="n">
        <v>199</v>
      </c>
      <c r="I540" s="5" t="n">
        <v>106</v>
      </c>
      <c r="J540" s="5" t="n">
        <v>2021</v>
      </c>
      <c r="K540" s="7" t="s">
        <v>451</v>
      </c>
      <c r="L540" s="10" t="str">
        <f aca="false">INDEX(球隊主檔!$C$2:$C$31,MATCH($K540,球隊主檔!$A$2:$A$31,0))</f>
        <v>科羅拉多落磯</v>
      </c>
      <c r="M540" s="11" t="n">
        <f aca="false">IF($C540="打者",COUNTIF(打擊成績!$B:$B,$A540),COUNTIF(投手成績!$B:$B,$A540))</f>
        <v>3</v>
      </c>
    </row>
    <row r="541" customFormat="false" ht="15" hidden="false" customHeight="false" outlineLevel="0" collapsed="false">
      <c r="A541" s="7" t="s">
        <v>1555</v>
      </c>
      <c r="B541" s="7" t="s">
        <v>1556</v>
      </c>
      <c r="C541" s="8" t="s">
        <v>495</v>
      </c>
      <c r="D541" s="7" t="s">
        <v>507</v>
      </c>
      <c r="E541" s="7" t="s">
        <v>126</v>
      </c>
      <c r="F541" s="7" t="s">
        <v>152</v>
      </c>
      <c r="G541" s="9" t="n">
        <v>36467</v>
      </c>
      <c r="H541" s="5" t="n">
        <v>187</v>
      </c>
      <c r="I541" s="5" t="n">
        <v>89</v>
      </c>
      <c r="J541" s="5" t="n">
        <v>2022</v>
      </c>
      <c r="K541" s="7" t="s">
        <v>451</v>
      </c>
      <c r="L541" s="10" t="str">
        <f aca="false">INDEX(球隊主檔!$C$2:$C$31,MATCH($K541,球隊主檔!$A$2:$A$31,0))</f>
        <v>科羅拉多落磯</v>
      </c>
      <c r="M541" s="11" t="n">
        <f aca="false">IF($C541="打者",COUNTIF(打擊成績!$B:$B,$A541),COUNTIF(投手成績!$B:$B,$A541))</f>
        <v>3</v>
      </c>
    </row>
    <row r="542" customFormat="false" ht="15" hidden="false" customHeight="false" outlineLevel="0" collapsed="false">
      <c r="A542" s="7" t="s">
        <v>1557</v>
      </c>
      <c r="B542" s="7" t="s">
        <v>1558</v>
      </c>
      <c r="C542" s="8" t="s">
        <v>469</v>
      </c>
      <c r="D542" s="7" t="s">
        <v>483</v>
      </c>
      <c r="E542" s="7" t="s">
        <v>174</v>
      </c>
      <c r="F542" s="7" t="s">
        <v>152</v>
      </c>
      <c r="G542" s="9" t="n">
        <v>34318</v>
      </c>
      <c r="H542" s="5" t="n">
        <v>178</v>
      </c>
      <c r="I542" s="5" t="n">
        <v>83</v>
      </c>
      <c r="J542" s="5" t="n">
        <v>2017</v>
      </c>
      <c r="K542" s="7" t="s">
        <v>455</v>
      </c>
      <c r="L542" s="10" t="str">
        <f aca="false">INDEX(球隊主檔!$C$2:$C$31,MATCH($K542,球隊主檔!$A$2:$A$31,0))</f>
        <v>洛杉磯道奇</v>
      </c>
      <c r="M542" s="11" t="n">
        <f aca="false">IF($C542="打者",COUNTIF(打擊成績!$B:$B,$A542),COUNTIF(投手成績!$B:$B,$A542))</f>
        <v>1</v>
      </c>
    </row>
    <row r="543" customFormat="false" ht="15" hidden="false" customHeight="false" outlineLevel="0" collapsed="false">
      <c r="A543" s="7" t="s">
        <v>1559</v>
      </c>
      <c r="B543" s="7" t="s">
        <v>1560</v>
      </c>
      <c r="C543" s="8" t="s">
        <v>469</v>
      </c>
      <c r="D543" s="7" t="s">
        <v>470</v>
      </c>
      <c r="E543" s="7" t="s">
        <v>174</v>
      </c>
      <c r="F543" s="7" t="s">
        <v>152</v>
      </c>
      <c r="G543" s="9" t="n">
        <v>36445</v>
      </c>
      <c r="H543" s="5" t="n">
        <v>191</v>
      </c>
      <c r="I543" s="5" t="n">
        <v>95</v>
      </c>
      <c r="J543" s="5" t="n">
        <v>2024</v>
      </c>
      <c r="K543" s="7" t="s">
        <v>455</v>
      </c>
      <c r="L543" s="10" t="str">
        <f aca="false">INDEX(球隊主檔!$C$2:$C$31,MATCH($K543,球隊主檔!$A$2:$A$31,0))</f>
        <v>洛杉磯道奇</v>
      </c>
      <c r="M543" s="11" t="n">
        <f aca="false">IF($C543="打者",COUNTIF(打擊成績!$B:$B,$A543),COUNTIF(投手成績!$B:$B,$A543))</f>
        <v>1</v>
      </c>
    </row>
    <row r="544" customFormat="false" ht="15" hidden="false" customHeight="false" outlineLevel="0" collapsed="false">
      <c r="A544" s="7" t="s">
        <v>1561</v>
      </c>
      <c r="B544" s="7" t="s">
        <v>1562</v>
      </c>
      <c r="C544" s="8" t="s">
        <v>469</v>
      </c>
      <c r="D544" s="7" t="s">
        <v>483</v>
      </c>
      <c r="E544" s="7" t="s">
        <v>152</v>
      </c>
      <c r="F544" s="7" t="s">
        <v>126</v>
      </c>
      <c r="G544" s="9" t="n">
        <v>36445</v>
      </c>
      <c r="H544" s="5" t="n">
        <v>180</v>
      </c>
      <c r="I544" s="5" t="n">
        <v>107</v>
      </c>
      <c r="J544" s="5" t="n">
        <v>2022</v>
      </c>
      <c r="K544" s="7" t="s">
        <v>455</v>
      </c>
      <c r="L544" s="10" t="str">
        <f aca="false">INDEX(球隊主檔!$C$2:$C$31,MATCH($K544,球隊主檔!$A$2:$A$31,0))</f>
        <v>洛杉磯道奇</v>
      </c>
      <c r="M544" s="11" t="n">
        <f aca="false">IF($C544="打者",COUNTIF(打擊成績!$B:$B,$A544),COUNTIF(投手成績!$B:$B,$A544))</f>
        <v>3</v>
      </c>
    </row>
    <row r="545" customFormat="false" ht="15" hidden="false" customHeight="false" outlineLevel="0" collapsed="false">
      <c r="A545" s="7" t="s">
        <v>1563</v>
      </c>
      <c r="B545" s="7" t="s">
        <v>1564</v>
      </c>
      <c r="C545" s="8" t="s">
        <v>469</v>
      </c>
      <c r="D545" s="7" t="s">
        <v>486</v>
      </c>
      <c r="E545" s="7" t="s">
        <v>152</v>
      </c>
      <c r="F545" s="7" t="s">
        <v>152</v>
      </c>
      <c r="G545" s="9" t="n">
        <v>34224</v>
      </c>
      <c r="H545" s="5" t="n">
        <v>185</v>
      </c>
      <c r="I545" s="5" t="n">
        <v>109</v>
      </c>
      <c r="J545" s="5" t="n">
        <v>2016</v>
      </c>
      <c r="K545" s="7" t="s">
        <v>455</v>
      </c>
      <c r="L545" s="10" t="str">
        <f aca="false">INDEX(球隊主檔!$C$2:$C$31,MATCH($K545,球隊主檔!$A$2:$A$31,0))</f>
        <v>洛杉磯道奇</v>
      </c>
      <c r="M545" s="11" t="n">
        <f aca="false">IF($C545="打者",COUNTIF(打擊成績!$B:$B,$A545),COUNTIF(投手成績!$B:$B,$A545))</f>
        <v>3</v>
      </c>
    </row>
    <row r="546" customFormat="false" ht="15" hidden="false" customHeight="false" outlineLevel="0" collapsed="false">
      <c r="A546" s="7" t="s">
        <v>1565</v>
      </c>
      <c r="B546" s="7" t="s">
        <v>1566</v>
      </c>
      <c r="C546" s="8" t="s">
        <v>469</v>
      </c>
      <c r="D546" s="7" t="s">
        <v>63</v>
      </c>
      <c r="E546" s="7" t="s">
        <v>152</v>
      </c>
      <c r="F546" s="7" t="s">
        <v>152</v>
      </c>
      <c r="G546" s="9" t="n">
        <v>35125</v>
      </c>
      <c r="H546" s="5" t="n">
        <v>198</v>
      </c>
      <c r="I546" s="5" t="n">
        <v>86</v>
      </c>
      <c r="J546" s="5" t="n">
        <v>2016</v>
      </c>
      <c r="K546" s="7" t="s">
        <v>455</v>
      </c>
      <c r="L546" s="10" t="str">
        <f aca="false">INDEX(球隊主檔!$C$2:$C$31,MATCH($K546,球隊主檔!$A$2:$A$31,0))</f>
        <v>洛杉磯道奇</v>
      </c>
      <c r="M546" s="11" t="n">
        <f aca="false">IF($C546="打者",COUNTIF(打擊成績!$B:$B,$A546),COUNTIF(投手成績!$B:$B,$A546))</f>
        <v>3</v>
      </c>
    </row>
    <row r="547" customFormat="false" ht="15" hidden="false" customHeight="false" outlineLevel="0" collapsed="false">
      <c r="A547" s="7" t="s">
        <v>1567</v>
      </c>
      <c r="B547" s="7" t="s">
        <v>1568</v>
      </c>
      <c r="C547" s="8" t="s">
        <v>469</v>
      </c>
      <c r="D547" s="7" t="s">
        <v>473</v>
      </c>
      <c r="E547" s="7" t="s">
        <v>152</v>
      </c>
      <c r="F547" s="7" t="s">
        <v>152</v>
      </c>
      <c r="G547" s="9" t="n">
        <v>36356</v>
      </c>
      <c r="H547" s="5" t="n">
        <v>185</v>
      </c>
      <c r="I547" s="5" t="n">
        <v>97</v>
      </c>
      <c r="J547" s="5" t="n">
        <v>2023</v>
      </c>
      <c r="K547" s="7" t="s">
        <v>455</v>
      </c>
      <c r="L547" s="10" t="str">
        <f aca="false">INDEX(球隊主檔!$C$2:$C$31,MATCH($K547,球隊主檔!$A$2:$A$31,0))</f>
        <v>洛杉磯道奇</v>
      </c>
      <c r="M547" s="11" t="n">
        <f aca="false">IF($C547="打者",COUNTIF(打擊成績!$B:$B,$A547),COUNTIF(投手成績!$B:$B,$A547))</f>
        <v>3</v>
      </c>
    </row>
    <row r="548" customFormat="false" ht="15" hidden="false" customHeight="false" outlineLevel="0" collapsed="false">
      <c r="A548" s="7" t="s">
        <v>1569</v>
      </c>
      <c r="B548" s="7" t="s">
        <v>1570</v>
      </c>
      <c r="C548" s="8" t="s">
        <v>469</v>
      </c>
      <c r="D548" s="7" t="s">
        <v>470</v>
      </c>
      <c r="E548" s="7" t="s">
        <v>174</v>
      </c>
      <c r="F548" s="7" t="s">
        <v>126</v>
      </c>
      <c r="G548" s="9" t="n">
        <v>35980</v>
      </c>
      <c r="H548" s="5" t="n">
        <v>178</v>
      </c>
      <c r="I548" s="5" t="n">
        <v>108</v>
      </c>
      <c r="J548" s="5" t="n">
        <v>2020</v>
      </c>
      <c r="K548" s="7" t="s">
        <v>455</v>
      </c>
      <c r="L548" s="10" t="str">
        <f aca="false">INDEX(球隊主檔!$C$2:$C$31,MATCH($K548,球隊主檔!$A$2:$A$31,0))</f>
        <v>洛杉磯道奇</v>
      </c>
      <c r="M548" s="11" t="n">
        <f aca="false">IF($C548="打者",COUNTIF(打擊成績!$B:$B,$A548),COUNTIF(投手成績!$B:$B,$A548))</f>
        <v>3</v>
      </c>
    </row>
    <row r="549" customFormat="false" ht="15" hidden="false" customHeight="false" outlineLevel="0" collapsed="false">
      <c r="A549" s="7" t="s">
        <v>1571</v>
      </c>
      <c r="B549" s="7" t="s">
        <v>1572</v>
      </c>
      <c r="C549" s="8" t="s">
        <v>469</v>
      </c>
      <c r="D549" s="7" t="s">
        <v>522</v>
      </c>
      <c r="E549" s="7" t="s">
        <v>152</v>
      </c>
      <c r="F549" s="7" t="s">
        <v>152</v>
      </c>
      <c r="G549" s="9" t="n">
        <v>32577</v>
      </c>
      <c r="H549" s="5" t="n">
        <v>183</v>
      </c>
      <c r="I549" s="5" t="n">
        <v>112</v>
      </c>
      <c r="J549" s="5" t="n">
        <v>2011</v>
      </c>
      <c r="K549" s="7" t="s">
        <v>455</v>
      </c>
      <c r="L549" s="10" t="str">
        <f aca="false">INDEX(球隊主檔!$C$2:$C$31,MATCH($K549,球隊主檔!$A$2:$A$31,0))</f>
        <v>洛杉磯道奇</v>
      </c>
      <c r="M549" s="11" t="n">
        <f aca="false">IF($C549="打者",COUNTIF(打擊成績!$B:$B,$A549),COUNTIF(投手成績!$B:$B,$A549))</f>
        <v>1</v>
      </c>
    </row>
    <row r="550" customFormat="false" ht="15" hidden="false" customHeight="false" outlineLevel="0" collapsed="false">
      <c r="A550" s="7" t="s">
        <v>1573</v>
      </c>
      <c r="B550" s="7" t="s">
        <v>1574</v>
      </c>
      <c r="C550" s="8" t="s">
        <v>469</v>
      </c>
      <c r="D550" s="7" t="s">
        <v>478</v>
      </c>
      <c r="E550" s="7" t="s">
        <v>126</v>
      </c>
      <c r="F550" s="7" t="s">
        <v>152</v>
      </c>
      <c r="G550" s="9" t="n">
        <v>34086</v>
      </c>
      <c r="H550" s="5" t="n">
        <v>198</v>
      </c>
      <c r="I550" s="5" t="n">
        <v>93</v>
      </c>
      <c r="J550" s="5" t="n">
        <v>2018</v>
      </c>
      <c r="K550" s="7" t="s">
        <v>455</v>
      </c>
      <c r="L550" s="10" t="str">
        <f aca="false">INDEX(球隊主檔!$C$2:$C$31,MATCH($K550,球隊主檔!$A$2:$A$31,0))</f>
        <v>洛杉磯道奇</v>
      </c>
      <c r="M550" s="11" t="n">
        <f aca="false">IF($C550="打者",COUNTIF(打擊成績!$B:$B,$A550),COUNTIF(投手成績!$B:$B,$A550))</f>
        <v>3</v>
      </c>
    </row>
    <row r="551" customFormat="false" ht="15" hidden="false" customHeight="false" outlineLevel="0" collapsed="false">
      <c r="A551" s="7" t="s">
        <v>1575</v>
      </c>
      <c r="B551" s="7" t="s">
        <v>1576</v>
      </c>
      <c r="C551" s="8" t="s">
        <v>469</v>
      </c>
      <c r="D551" s="7" t="s">
        <v>486</v>
      </c>
      <c r="E551" s="7" t="s">
        <v>152</v>
      </c>
      <c r="F551" s="7" t="s">
        <v>152</v>
      </c>
      <c r="G551" s="9" t="n">
        <v>35271</v>
      </c>
      <c r="H551" s="5" t="n">
        <v>188</v>
      </c>
      <c r="I551" s="5" t="n">
        <v>93</v>
      </c>
      <c r="J551" s="5" t="n">
        <v>2016</v>
      </c>
      <c r="K551" s="7" t="s">
        <v>455</v>
      </c>
      <c r="L551" s="10" t="str">
        <f aca="false">INDEX(球隊主檔!$C$2:$C$31,MATCH($K551,球隊主檔!$A$2:$A$31,0))</f>
        <v>洛杉磯道奇</v>
      </c>
      <c r="M551" s="11" t="n">
        <f aca="false">IF($C551="打者",COUNTIF(打擊成績!$B:$B,$A551),COUNTIF(投手成績!$B:$B,$A551))</f>
        <v>2</v>
      </c>
    </row>
    <row r="552" customFormat="false" ht="15" hidden="false" customHeight="false" outlineLevel="0" collapsed="false">
      <c r="A552" s="7" t="s">
        <v>1577</v>
      </c>
      <c r="B552" s="7" t="s">
        <v>1578</v>
      </c>
      <c r="C552" s="8" t="s">
        <v>495</v>
      </c>
      <c r="D552" s="7" t="s">
        <v>496</v>
      </c>
      <c r="E552" s="7" t="s">
        <v>126</v>
      </c>
      <c r="F552" s="7" t="s">
        <v>152</v>
      </c>
      <c r="G552" s="9" t="n">
        <v>34779</v>
      </c>
      <c r="H552" s="5" t="n">
        <v>184</v>
      </c>
      <c r="I552" s="5" t="n">
        <v>110</v>
      </c>
      <c r="J552" s="5" t="n">
        <v>2017</v>
      </c>
      <c r="K552" s="7" t="s">
        <v>455</v>
      </c>
      <c r="L552" s="10" t="str">
        <f aca="false">INDEX(球隊主檔!$C$2:$C$31,MATCH($K552,球隊主檔!$A$2:$A$31,0))</f>
        <v>洛杉磯道奇</v>
      </c>
      <c r="M552" s="11" t="n">
        <f aca="false">IF($C552="打者",COUNTIF(打擊成績!$B:$B,$A552),COUNTIF(投手成績!$B:$B,$A552))</f>
        <v>3</v>
      </c>
    </row>
    <row r="553" customFormat="false" ht="15" hidden="false" customHeight="false" outlineLevel="0" collapsed="false">
      <c r="A553" s="7" t="s">
        <v>1579</v>
      </c>
      <c r="B553" s="7" t="s">
        <v>1580</v>
      </c>
      <c r="C553" s="8" t="s">
        <v>495</v>
      </c>
      <c r="D553" s="7" t="s">
        <v>496</v>
      </c>
      <c r="E553" s="7" t="s">
        <v>126</v>
      </c>
      <c r="F553" s="7" t="s">
        <v>152</v>
      </c>
      <c r="G553" s="9" t="n">
        <v>36528</v>
      </c>
      <c r="H553" s="5" t="n">
        <v>175</v>
      </c>
      <c r="I553" s="5" t="n">
        <v>82</v>
      </c>
      <c r="J553" s="5" t="n">
        <v>2022</v>
      </c>
      <c r="K553" s="7" t="s">
        <v>455</v>
      </c>
      <c r="L553" s="10" t="str">
        <f aca="false">INDEX(球隊主檔!$C$2:$C$31,MATCH($K553,球隊主檔!$A$2:$A$31,0))</f>
        <v>洛杉磯道奇</v>
      </c>
      <c r="M553" s="11" t="n">
        <f aca="false">IF($C553="打者",COUNTIF(打擊成績!$B:$B,$A553),COUNTIF(投手成績!$B:$B,$A553))</f>
        <v>2</v>
      </c>
    </row>
    <row r="554" customFormat="false" ht="15" hidden="false" customHeight="false" outlineLevel="0" collapsed="false">
      <c r="A554" s="7" t="s">
        <v>1581</v>
      </c>
      <c r="B554" s="7" t="s">
        <v>1582</v>
      </c>
      <c r="C554" s="8" t="s">
        <v>495</v>
      </c>
      <c r="D554" s="7" t="s">
        <v>496</v>
      </c>
      <c r="E554" s="7" t="s">
        <v>152</v>
      </c>
      <c r="F554" s="7" t="s">
        <v>152</v>
      </c>
      <c r="G554" s="9" t="n">
        <v>33925</v>
      </c>
      <c r="H554" s="5" t="n">
        <v>187</v>
      </c>
      <c r="I554" s="5" t="n">
        <v>107</v>
      </c>
      <c r="J554" s="5" t="n">
        <v>2012</v>
      </c>
      <c r="K554" s="7" t="s">
        <v>392</v>
      </c>
      <c r="L554" s="10" t="str">
        <f aca="false">INDEX(球隊主檔!$C$2:$C$31,MATCH($K554,球隊主檔!$A$2:$A$31,0))</f>
        <v>洛杉磯天使</v>
      </c>
      <c r="M554" s="11" t="n">
        <f aca="false">IF($C554="打者",COUNTIF(打擊成績!$B:$B,$A554),COUNTIF(投手成績!$B:$B,$A554))</f>
        <v>3</v>
      </c>
    </row>
    <row r="555" customFormat="false" ht="15" hidden="false" customHeight="false" outlineLevel="0" collapsed="false">
      <c r="A555" s="7" t="s">
        <v>1583</v>
      </c>
      <c r="B555" s="7" t="s">
        <v>1584</v>
      </c>
      <c r="C555" s="8" t="s">
        <v>495</v>
      </c>
      <c r="D555" s="7" t="s">
        <v>496</v>
      </c>
      <c r="E555" s="7" t="s">
        <v>152</v>
      </c>
      <c r="F555" s="7" t="s">
        <v>152</v>
      </c>
      <c r="G555" s="9" t="n">
        <v>35576</v>
      </c>
      <c r="H555" s="5" t="n">
        <v>190</v>
      </c>
      <c r="I555" s="5" t="n">
        <v>103</v>
      </c>
      <c r="J555" s="5" t="n">
        <v>2017</v>
      </c>
      <c r="K555" s="7" t="s">
        <v>455</v>
      </c>
      <c r="L555" s="10" t="str">
        <f aca="false">INDEX(球隊主檔!$C$2:$C$31,MATCH($K555,球隊主檔!$A$2:$A$31,0))</f>
        <v>洛杉磯道奇</v>
      </c>
      <c r="M555" s="11" t="n">
        <f aca="false">IF($C555="打者",COUNTIF(打擊成績!$B:$B,$A555),COUNTIF(投手成績!$B:$B,$A555))</f>
        <v>3</v>
      </c>
    </row>
    <row r="556" customFormat="false" ht="15" hidden="false" customHeight="false" outlineLevel="0" collapsed="false">
      <c r="A556" s="7" t="s">
        <v>1585</v>
      </c>
      <c r="B556" s="7" t="s">
        <v>1586</v>
      </c>
      <c r="C556" s="8" t="s">
        <v>495</v>
      </c>
      <c r="D556" s="7" t="s">
        <v>496</v>
      </c>
      <c r="E556" s="7" t="s">
        <v>126</v>
      </c>
      <c r="F556" s="7" t="s">
        <v>152</v>
      </c>
      <c r="G556" s="9" t="n">
        <v>33880</v>
      </c>
      <c r="H556" s="5" t="n">
        <v>188</v>
      </c>
      <c r="I556" s="5" t="n">
        <v>109</v>
      </c>
      <c r="J556" s="5" t="n">
        <v>2015</v>
      </c>
      <c r="K556" s="7" t="s">
        <v>455</v>
      </c>
      <c r="L556" s="10" t="str">
        <f aca="false">INDEX(球隊主檔!$C$2:$C$31,MATCH($K556,球隊主檔!$A$2:$A$31,0))</f>
        <v>洛杉磯道奇</v>
      </c>
      <c r="M556" s="11" t="n">
        <f aca="false">IF($C556="打者",COUNTIF(打擊成績!$B:$B,$A556),COUNTIF(投手成績!$B:$B,$A556))</f>
        <v>2</v>
      </c>
    </row>
    <row r="557" customFormat="false" ht="15" hidden="false" customHeight="false" outlineLevel="0" collapsed="false">
      <c r="A557" s="7" t="s">
        <v>1587</v>
      </c>
      <c r="B557" s="7" t="s">
        <v>1588</v>
      </c>
      <c r="C557" s="8" t="s">
        <v>495</v>
      </c>
      <c r="D557" s="7" t="s">
        <v>507</v>
      </c>
      <c r="E557" s="7" t="s">
        <v>174</v>
      </c>
      <c r="F557" s="7" t="s">
        <v>152</v>
      </c>
      <c r="G557" s="9" t="n">
        <v>36153</v>
      </c>
      <c r="H557" s="5" t="n">
        <v>179</v>
      </c>
      <c r="I557" s="5" t="n">
        <v>89</v>
      </c>
      <c r="J557" s="5" t="n">
        <v>2020</v>
      </c>
      <c r="K557" s="7" t="s">
        <v>455</v>
      </c>
      <c r="L557" s="10" t="str">
        <f aca="false">INDEX(球隊主檔!$C$2:$C$31,MATCH($K557,球隊主檔!$A$2:$A$31,0))</f>
        <v>洛杉磯道奇</v>
      </c>
      <c r="M557" s="11" t="n">
        <f aca="false">IF($C557="打者",COUNTIF(打擊成績!$B:$B,$A557),COUNTIF(投手成績!$B:$B,$A557))</f>
        <v>2</v>
      </c>
    </row>
    <row r="558" customFormat="false" ht="15" hidden="false" customHeight="false" outlineLevel="0" collapsed="false">
      <c r="A558" s="7" t="s">
        <v>1589</v>
      </c>
      <c r="B558" s="7" t="s">
        <v>1590</v>
      </c>
      <c r="C558" s="8" t="s">
        <v>495</v>
      </c>
      <c r="D558" s="7" t="s">
        <v>507</v>
      </c>
      <c r="E558" s="7" t="s">
        <v>152</v>
      </c>
      <c r="F558" s="7" t="s">
        <v>152</v>
      </c>
      <c r="G558" s="9" t="n">
        <v>35941</v>
      </c>
      <c r="H558" s="5" t="n">
        <v>196</v>
      </c>
      <c r="I558" s="5" t="n">
        <v>91</v>
      </c>
      <c r="J558" s="5" t="n">
        <v>2019</v>
      </c>
      <c r="K558" s="7" t="s">
        <v>455</v>
      </c>
      <c r="L558" s="10" t="str">
        <f aca="false">INDEX(球隊主檔!$C$2:$C$31,MATCH($K558,球隊主檔!$A$2:$A$31,0))</f>
        <v>洛杉磯道奇</v>
      </c>
      <c r="M558" s="11" t="n">
        <f aca="false">IF($C558="打者",COUNTIF(打擊成績!$B:$B,$A558),COUNTIF(投手成績!$B:$B,$A558))</f>
        <v>1</v>
      </c>
    </row>
    <row r="559" customFormat="false" ht="15" hidden="false" customHeight="false" outlineLevel="0" collapsed="false">
      <c r="A559" s="7" t="s">
        <v>1591</v>
      </c>
      <c r="B559" s="7" t="s">
        <v>1592</v>
      </c>
      <c r="C559" s="8" t="s">
        <v>495</v>
      </c>
      <c r="D559" s="7" t="s">
        <v>507</v>
      </c>
      <c r="E559" s="7" t="s">
        <v>152</v>
      </c>
      <c r="F559" s="7" t="s">
        <v>126</v>
      </c>
      <c r="G559" s="9" t="n">
        <v>34103</v>
      </c>
      <c r="H559" s="5" t="n">
        <v>200</v>
      </c>
      <c r="I559" s="5" t="n">
        <v>79</v>
      </c>
      <c r="J559" s="5" t="n">
        <v>2018</v>
      </c>
      <c r="K559" s="7" t="s">
        <v>455</v>
      </c>
      <c r="L559" s="10" t="str">
        <f aca="false">INDEX(球隊主檔!$C$2:$C$31,MATCH($K559,球隊主檔!$A$2:$A$31,0))</f>
        <v>洛杉磯道奇</v>
      </c>
      <c r="M559" s="11" t="n">
        <f aca="false">IF($C559="打者",COUNTIF(打擊成績!$B:$B,$A559),COUNTIF(投手成績!$B:$B,$A559))</f>
        <v>3</v>
      </c>
    </row>
    <row r="560" customFormat="false" ht="15" hidden="false" customHeight="false" outlineLevel="0" collapsed="false">
      <c r="A560" s="7" t="s">
        <v>1593</v>
      </c>
      <c r="B560" s="7" t="s">
        <v>1594</v>
      </c>
      <c r="C560" s="8" t="s">
        <v>495</v>
      </c>
      <c r="D560" s="7" t="s">
        <v>507</v>
      </c>
      <c r="E560" s="7" t="s">
        <v>152</v>
      </c>
      <c r="F560" s="7" t="s">
        <v>152</v>
      </c>
      <c r="G560" s="9" t="n">
        <v>33577</v>
      </c>
      <c r="H560" s="5" t="n">
        <v>201</v>
      </c>
      <c r="I560" s="5" t="n">
        <v>98</v>
      </c>
      <c r="J560" s="5" t="n">
        <v>2015</v>
      </c>
      <c r="K560" s="7" t="s">
        <v>455</v>
      </c>
      <c r="L560" s="10" t="str">
        <f aca="false">INDEX(球隊主檔!$C$2:$C$31,MATCH($K560,球隊主檔!$A$2:$A$31,0))</f>
        <v>洛杉磯道奇</v>
      </c>
      <c r="M560" s="11" t="n">
        <f aca="false">IF($C560="打者",COUNTIF(打擊成績!$B:$B,$A560),COUNTIF(投手成績!$B:$B,$A560))</f>
        <v>3</v>
      </c>
    </row>
    <row r="561" customFormat="false" ht="15" hidden="false" customHeight="false" outlineLevel="0" collapsed="false">
      <c r="A561" s="7" t="s">
        <v>1595</v>
      </c>
      <c r="B561" s="7" t="s">
        <v>1596</v>
      </c>
      <c r="C561" s="8" t="s">
        <v>495</v>
      </c>
      <c r="D561" s="7" t="s">
        <v>507</v>
      </c>
      <c r="E561" s="7" t="s">
        <v>152</v>
      </c>
      <c r="F561" s="7" t="s">
        <v>152</v>
      </c>
      <c r="G561" s="9" t="n">
        <v>36392</v>
      </c>
      <c r="H561" s="5" t="n">
        <v>177</v>
      </c>
      <c r="I561" s="5" t="n">
        <v>99</v>
      </c>
      <c r="J561" s="5" t="n">
        <v>2019</v>
      </c>
      <c r="K561" s="7" t="s">
        <v>455</v>
      </c>
      <c r="L561" s="10" t="str">
        <f aca="false">INDEX(球隊主檔!$C$2:$C$31,MATCH($K561,球隊主檔!$A$2:$A$31,0))</f>
        <v>洛杉磯道奇</v>
      </c>
      <c r="M561" s="11" t="n">
        <f aca="false">IF($C561="打者",COUNTIF(打擊成績!$B:$B,$A561),COUNTIF(投手成績!$B:$B,$A561))</f>
        <v>2</v>
      </c>
    </row>
    <row r="562" customFormat="false" ht="15" hidden="false" customHeight="false" outlineLevel="0" collapsed="false">
      <c r="A562" s="7" t="s">
        <v>1597</v>
      </c>
      <c r="B562" s="7" t="s">
        <v>1598</v>
      </c>
      <c r="C562" s="8" t="s">
        <v>469</v>
      </c>
      <c r="D562" s="7" t="s">
        <v>486</v>
      </c>
      <c r="E562" s="7" t="s">
        <v>126</v>
      </c>
      <c r="F562" s="7" t="s">
        <v>152</v>
      </c>
      <c r="G562" s="9" t="n">
        <v>34817</v>
      </c>
      <c r="H562" s="5" t="n">
        <v>175</v>
      </c>
      <c r="I562" s="5" t="n">
        <v>101</v>
      </c>
      <c r="J562" s="5" t="n">
        <v>2017</v>
      </c>
      <c r="K562" s="7" t="s">
        <v>350</v>
      </c>
      <c r="L562" s="10" t="str">
        <f aca="false">INDEX(球隊主檔!$C$2:$C$31,MATCH($K562,球隊主檔!$A$2:$A$31,0))</f>
        <v>紐約洋基</v>
      </c>
      <c r="M562" s="11" t="n">
        <f aca="false">IF($C562="打者",COUNTIF(打擊成績!$B:$B,$A562),COUNTIF(投手成績!$B:$B,$A562))</f>
        <v>3</v>
      </c>
    </row>
    <row r="563" customFormat="false" ht="15" hidden="false" customHeight="false" outlineLevel="0" collapsed="false">
      <c r="A563" s="7" t="s">
        <v>1599</v>
      </c>
      <c r="B563" s="7" t="s">
        <v>1600</v>
      </c>
      <c r="C563" s="8" t="s">
        <v>469</v>
      </c>
      <c r="D563" s="7" t="s">
        <v>158</v>
      </c>
      <c r="E563" s="7" t="s">
        <v>152</v>
      </c>
      <c r="F563" s="7" t="s">
        <v>126</v>
      </c>
      <c r="G563" s="9" t="n">
        <v>34644</v>
      </c>
      <c r="H563" s="5" t="n">
        <v>178</v>
      </c>
      <c r="I563" s="5" t="n">
        <v>111</v>
      </c>
      <c r="J563" s="5" t="n">
        <v>2016</v>
      </c>
      <c r="K563" s="7" t="s">
        <v>459</v>
      </c>
      <c r="L563" s="10" t="str">
        <f aca="false">INDEX(球隊主檔!$C$2:$C$31,MATCH($K563,球隊主檔!$A$2:$A$31,0))</f>
        <v>聖地牙哥教士</v>
      </c>
      <c r="M563" s="11" t="n">
        <f aca="false">IF($C563="打者",COUNTIF(打擊成績!$B:$B,$A563),COUNTIF(投手成績!$B:$B,$A563))</f>
        <v>3</v>
      </c>
    </row>
    <row r="564" customFormat="false" ht="15" hidden="false" customHeight="false" outlineLevel="0" collapsed="false">
      <c r="A564" s="7" t="s">
        <v>1601</v>
      </c>
      <c r="B564" s="7" t="s">
        <v>1602</v>
      </c>
      <c r="C564" s="8" t="s">
        <v>469</v>
      </c>
      <c r="D564" s="7" t="s">
        <v>470</v>
      </c>
      <c r="E564" s="7" t="s">
        <v>126</v>
      </c>
      <c r="F564" s="7" t="s">
        <v>126</v>
      </c>
      <c r="G564" s="9" t="n">
        <v>33120</v>
      </c>
      <c r="H564" s="5" t="n">
        <v>191</v>
      </c>
      <c r="I564" s="5" t="n">
        <v>100</v>
      </c>
      <c r="J564" s="5" t="n">
        <v>2011</v>
      </c>
      <c r="K564" s="7" t="s">
        <v>451</v>
      </c>
      <c r="L564" s="10" t="str">
        <f aca="false">INDEX(球隊主檔!$C$2:$C$31,MATCH($K564,球隊主檔!$A$2:$A$31,0))</f>
        <v>科羅拉多落磯</v>
      </c>
      <c r="M564" s="11" t="n">
        <f aca="false">IF($C564="打者",COUNTIF(打擊成績!$B:$B,$A564),COUNTIF(投手成績!$B:$B,$A564))</f>
        <v>3</v>
      </c>
    </row>
    <row r="565" customFormat="false" ht="15" hidden="false" customHeight="false" outlineLevel="0" collapsed="false">
      <c r="A565" s="7" t="s">
        <v>1603</v>
      </c>
      <c r="B565" s="7" t="s">
        <v>1604</v>
      </c>
      <c r="C565" s="8" t="s">
        <v>469</v>
      </c>
      <c r="D565" s="7" t="s">
        <v>522</v>
      </c>
      <c r="E565" s="7" t="s">
        <v>152</v>
      </c>
      <c r="F565" s="7" t="s">
        <v>152</v>
      </c>
      <c r="G565" s="9" t="n">
        <v>33881</v>
      </c>
      <c r="H565" s="5" t="n">
        <v>179</v>
      </c>
      <c r="I565" s="5" t="n">
        <v>103</v>
      </c>
      <c r="J565" s="5" t="n">
        <v>2016</v>
      </c>
      <c r="K565" s="7" t="s">
        <v>459</v>
      </c>
      <c r="L565" s="10" t="str">
        <f aca="false">INDEX(球隊主檔!$C$2:$C$31,MATCH($K565,球隊主檔!$A$2:$A$31,0))</f>
        <v>聖地牙哥教士</v>
      </c>
      <c r="M565" s="11" t="n">
        <f aca="false">IF($C565="打者",COUNTIF(打擊成績!$B:$B,$A565),COUNTIF(投手成績!$B:$B,$A565))</f>
        <v>3</v>
      </c>
    </row>
    <row r="566" customFormat="false" ht="15" hidden="false" customHeight="false" outlineLevel="0" collapsed="false">
      <c r="A566" s="7" t="s">
        <v>1605</v>
      </c>
      <c r="B566" s="7" t="s">
        <v>1606</v>
      </c>
      <c r="C566" s="8" t="s">
        <v>469</v>
      </c>
      <c r="D566" s="7" t="s">
        <v>63</v>
      </c>
      <c r="E566" s="7" t="s">
        <v>152</v>
      </c>
      <c r="F566" s="7" t="s">
        <v>152</v>
      </c>
      <c r="G566" s="9" t="n">
        <v>34408</v>
      </c>
      <c r="H566" s="5" t="n">
        <v>177</v>
      </c>
      <c r="I566" s="5" t="n">
        <v>85</v>
      </c>
      <c r="J566" s="5" t="n">
        <v>2015</v>
      </c>
      <c r="K566" s="7" t="s">
        <v>459</v>
      </c>
      <c r="L566" s="10" t="str">
        <f aca="false">INDEX(球隊主檔!$C$2:$C$31,MATCH($K566,球隊主檔!$A$2:$A$31,0))</f>
        <v>聖地牙哥教士</v>
      </c>
      <c r="M566" s="11" t="n">
        <f aca="false">IF($C566="打者",COUNTIF(打擊成績!$B:$B,$A566),COUNTIF(投手成績!$B:$B,$A566))</f>
        <v>3</v>
      </c>
    </row>
    <row r="567" customFormat="false" ht="15" hidden="false" customHeight="false" outlineLevel="0" collapsed="false">
      <c r="A567" s="7" t="s">
        <v>1607</v>
      </c>
      <c r="B567" s="7" t="s">
        <v>1608</v>
      </c>
      <c r="C567" s="8" t="s">
        <v>469</v>
      </c>
      <c r="D567" s="7" t="s">
        <v>162</v>
      </c>
      <c r="E567" s="7" t="s">
        <v>152</v>
      </c>
      <c r="F567" s="7" t="s">
        <v>152</v>
      </c>
      <c r="G567" s="9" t="n">
        <v>34353</v>
      </c>
      <c r="H567" s="5" t="n">
        <v>176</v>
      </c>
      <c r="I567" s="5" t="n">
        <v>87</v>
      </c>
      <c r="J567" s="5" t="n">
        <v>2019</v>
      </c>
      <c r="K567" s="7" t="s">
        <v>459</v>
      </c>
      <c r="L567" s="10" t="str">
        <f aca="false">INDEX(球隊主檔!$C$2:$C$31,MATCH($K567,球隊主檔!$A$2:$A$31,0))</f>
        <v>聖地牙哥教士</v>
      </c>
      <c r="M567" s="11" t="n">
        <f aca="false">IF($C567="打者",COUNTIF(打擊成績!$B:$B,$A567),COUNTIF(投手成績!$B:$B,$A567))</f>
        <v>3</v>
      </c>
    </row>
    <row r="568" customFormat="false" ht="15" hidden="false" customHeight="false" outlineLevel="0" collapsed="false">
      <c r="A568" s="7" t="s">
        <v>1609</v>
      </c>
      <c r="B568" s="7" t="s">
        <v>1610</v>
      </c>
      <c r="C568" s="8" t="s">
        <v>469</v>
      </c>
      <c r="D568" s="7" t="s">
        <v>470</v>
      </c>
      <c r="E568" s="7" t="s">
        <v>126</v>
      </c>
      <c r="F568" s="7" t="s">
        <v>152</v>
      </c>
      <c r="G568" s="9" t="n">
        <v>35495</v>
      </c>
      <c r="H568" s="5" t="n">
        <v>199</v>
      </c>
      <c r="I568" s="5" t="n">
        <v>106</v>
      </c>
      <c r="J568" s="5" t="n">
        <v>2020</v>
      </c>
      <c r="K568" s="7" t="s">
        <v>459</v>
      </c>
      <c r="L568" s="10" t="str">
        <f aca="false">INDEX(球隊主檔!$C$2:$C$31,MATCH($K568,球隊主檔!$A$2:$A$31,0))</f>
        <v>聖地牙哥教士</v>
      </c>
      <c r="M568" s="11" t="n">
        <f aca="false">IF($C568="打者",COUNTIF(打擊成績!$B:$B,$A568),COUNTIF(投手成績!$B:$B,$A568))</f>
        <v>3</v>
      </c>
    </row>
    <row r="569" customFormat="false" ht="15" hidden="false" customHeight="false" outlineLevel="0" collapsed="false">
      <c r="A569" s="7" t="s">
        <v>1611</v>
      </c>
      <c r="B569" s="7" t="s">
        <v>1612</v>
      </c>
      <c r="C569" s="8" t="s">
        <v>469</v>
      </c>
      <c r="D569" s="7" t="s">
        <v>522</v>
      </c>
      <c r="E569" s="7" t="s">
        <v>152</v>
      </c>
      <c r="F569" s="7" t="s">
        <v>152</v>
      </c>
      <c r="G569" s="9" t="n">
        <v>36511</v>
      </c>
      <c r="H569" s="5" t="n">
        <v>191</v>
      </c>
      <c r="I569" s="5" t="n">
        <v>79</v>
      </c>
      <c r="J569" s="5" t="n">
        <v>2022</v>
      </c>
      <c r="K569" s="7" t="s">
        <v>459</v>
      </c>
      <c r="L569" s="10" t="str">
        <f aca="false">INDEX(球隊主檔!$C$2:$C$31,MATCH($K569,球隊主檔!$A$2:$A$31,0))</f>
        <v>聖地牙哥教士</v>
      </c>
      <c r="M569" s="11" t="n">
        <f aca="false">IF($C569="打者",COUNTIF(打擊成績!$B:$B,$A569),COUNTIF(投手成績!$B:$B,$A569))</f>
        <v>1</v>
      </c>
    </row>
    <row r="570" customFormat="false" ht="15" hidden="false" customHeight="false" outlineLevel="0" collapsed="false">
      <c r="A570" s="7" t="s">
        <v>1613</v>
      </c>
      <c r="B570" s="7" t="s">
        <v>1614</v>
      </c>
      <c r="C570" s="8" t="s">
        <v>469</v>
      </c>
      <c r="D570" s="7" t="s">
        <v>522</v>
      </c>
      <c r="E570" s="7" t="s">
        <v>126</v>
      </c>
      <c r="F570" s="7" t="s">
        <v>126</v>
      </c>
      <c r="G570" s="9" t="n">
        <v>35183</v>
      </c>
      <c r="H570" s="5" t="n">
        <v>189</v>
      </c>
      <c r="I570" s="5" t="n">
        <v>89</v>
      </c>
      <c r="J570" s="5" t="n">
        <v>2017</v>
      </c>
      <c r="K570" s="7" t="s">
        <v>459</v>
      </c>
      <c r="L570" s="10" t="str">
        <f aca="false">INDEX(球隊主檔!$C$2:$C$31,MATCH($K570,球隊主檔!$A$2:$A$31,0))</f>
        <v>聖地牙哥教士</v>
      </c>
      <c r="M570" s="11" t="n">
        <f aca="false">IF($C570="打者",COUNTIF(打擊成績!$B:$B,$A570),COUNTIF(投手成績!$B:$B,$A570))</f>
        <v>3</v>
      </c>
    </row>
    <row r="571" customFormat="false" ht="15" hidden="false" customHeight="false" outlineLevel="0" collapsed="false">
      <c r="A571" s="7" t="s">
        <v>1615</v>
      </c>
      <c r="B571" s="7" t="s">
        <v>1616</v>
      </c>
      <c r="C571" s="8" t="s">
        <v>469</v>
      </c>
      <c r="D571" s="7" t="s">
        <v>158</v>
      </c>
      <c r="E571" s="7" t="s">
        <v>174</v>
      </c>
      <c r="F571" s="7" t="s">
        <v>152</v>
      </c>
      <c r="G571" s="9" t="n">
        <v>35576</v>
      </c>
      <c r="H571" s="5" t="n">
        <v>184</v>
      </c>
      <c r="I571" s="5" t="n">
        <v>95</v>
      </c>
      <c r="J571" s="5" t="n">
        <v>2018</v>
      </c>
      <c r="K571" s="7" t="s">
        <v>434</v>
      </c>
      <c r="L571" s="10" t="str">
        <f aca="false">INDEX(球隊主檔!$C$2:$C$31,MATCH($K571,球隊主檔!$A$2:$A$31,0))</f>
        <v>密爾瓦基釀酒人</v>
      </c>
      <c r="M571" s="11" t="n">
        <f aca="false">IF($C571="打者",COUNTIF(打擊成績!$B:$B,$A571),COUNTIF(投手成績!$B:$B,$A571))</f>
        <v>3</v>
      </c>
    </row>
    <row r="572" customFormat="false" ht="15" hidden="false" customHeight="false" outlineLevel="0" collapsed="false">
      <c r="A572" s="7" t="s">
        <v>1617</v>
      </c>
      <c r="B572" s="7" t="s">
        <v>1618</v>
      </c>
      <c r="C572" s="8" t="s">
        <v>495</v>
      </c>
      <c r="D572" s="7" t="s">
        <v>496</v>
      </c>
      <c r="E572" s="7" t="s">
        <v>126</v>
      </c>
      <c r="F572" s="7" t="s">
        <v>152</v>
      </c>
      <c r="G572" s="9" t="n">
        <v>37144</v>
      </c>
      <c r="H572" s="5" t="n">
        <v>175</v>
      </c>
      <c r="I572" s="5" t="n">
        <v>105</v>
      </c>
      <c r="J572" s="5" t="n">
        <v>2024</v>
      </c>
      <c r="K572" s="7" t="s">
        <v>459</v>
      </c>
      <c r="L572" s="10" t="str">
        <f aca="false">INDEX(球隊主檔!$C$2:$C$31,MATCH($K572,球隊主檔!$A$2:$A$31,0))</f>
        <v>聖地牙哥教士</v>
      </c>
      <c r="M572" s="11" t="n">
        <f aca="false">IF($C572="打者",COUNTIF(打擊成績!$B:$B,$A572),COUNTIF(投手成績!$B:$B,$A572))</f>
        <v>3</v>
      </c>
    </row>
    <row r="573" customFormat="false" ht="15" hidden="false" customHeight="false" outlineLevel="0" collapsed="false">
      <c r="A573" s="7" t="s">
        <v>1619</v>
      </c>
      <c r="B573" s="7" t="s">
        <v>1620</v>
      </c>
      <c r="C573" s="8" t="s">
        <v>495</v>
      </c>
      <c r="D573" s="7" t="s">
        <v>496</v>
      </c>
      <c r="E573" s="7" t="s">
        <v>152</v>
      </c>
      <c r="F573" s="7" t="s">
        <v>152</v>
      </c>
      <c r="G573" s="9" t="n">
        <v>35563</v>
      </c>
      <c r="H573" s="5" t="n">
        <v>198</v>
      </c>
      <c r="I573" s="5" t="n">
        <v>90</v>
      </c>
      <c r="J573" s="5" t="n">
        <v>2022</v>
      </c>
      <c r="K573" s="7" t="s">
        <v>426</v>
      </c>
      <c r="L573" s="10" t="str">
        <f aca="false">INDEX(球隊主檔!$C$2:$C$31,MATCH($K573,球隊主檔!$A$2:$A$31,0))</f>
        <v>芝加哥小熊</v>
      </c>
      <c r="M573" s="11" t="n">
        <f aca="false">IF($C573="打者",COUNTIF(打擊成績!$B:$B,$A573),COUNTIF(投手成績!$B:$B,$A573))</f>
        <v>3</v>
      </c>
    </row>
    <row r="574" customFormat="false" ht="15" hidden="false" customHeight="false" outlineLevel="0" collapsed="false">
      <c r="A574" s="7" t="s">
        <v>1621</v>
      </c>
      <c r="B574" s="7" t="s">
        <v>1622</v>
      </c>
      <c r="C574" s="8" t="s">
        <v>495</v>
      </c>
      <c r="D574" s="7" t="s">
        <v>496</v>
      </c>
      <c r="E574" s="7" t="s">
        <v>126</v>
      </c>
      <c r="F574" s="7" t="s">
        <v>152</v>
      </c>
      <c r="G574" s="9" t="n">
        <v>36633</v>
      </c>
      <c r="H574" s="5" t="n">
        <v>195</v>
      </c>
      <c r="I574" s="5" t="n">
        <v>98</v>
      </c>
      <c r="J574" s="5" t="n">
        <v>2022</v>
      </c>
      <c r="K574" s="7" t="s">
        <v>459</v>
      </c>
      <c r="L574" s="10" t="str">
        <f aca="false">INDEX(球隊主檔!$C$2:$C$31,MATCH($K574,球隊主檔!$A$2:$A$31,0))</f>
        <v>聖地牙哥教士</v>
      </c>
      <c r="M574" s="11" t="n">
        <f aca="false">IF($C574="打者",COUNTIF(打擊成績!$B:$B,$A574),COUNTIF(投手成績!$B:$B,$A574))</f>
        <v>3</v>
      </c>
    </row>
    <row r="575" customFormat="false" ht="15" hidden="false" customHeight="false" outlineLevel="0" collapsed="false">
      <c r="A575" s="7" t="s">
        <v>1623</v>
      </c>
      <c r="B575" s="7" t="s">
        <v>1624</v>
      </c>
      <c r="C575" s="8" t="s">
        <v>495</v>
      </c>
      <c r="D575" s="7" t="s">
        <v>496</v>
      </c>
      <c r="E575" s="7" t="s">
        <v>126</v>
      </c>
      <c r="F575" s="7" t="s">
        <v>152</v>
      </c>
      <c r="G575" s="9" t="n">
        <v>35755</v>
      </c>
      <c r="H575" s="5" t="n">
        <v>181</v>
      </c>
      <c r="I575" s="5" t="n">
        <v>92</v>
      </c>
      <c r="J575" s="5" t="n">
        <v>2020</v>
      </c>
      <c r="K575" s="7" t="s">
        <v>459</v>
      </c>
      <c r="L575" s="10" t="str">
        <f aca="false">INDEX(球隊主檔!$C$2:$C$31,MATCH($K575,球隊主檔!$A$2:$A$31,0))</f>
        <v>聖地牙哥教士</v>
      </c>
      <c r="M575" s="11" t="n">
        <f aca="false">IF($C575="打者",COUNTIF(打擊成績!$B:$B,$A575),COUNTIF(投手成績!$B:$B,$A575))</f>
        <v>3</v>
      </c>
    </row>
    <row r="576" customFormat="false" ht="15" hidden="false" customHeight="false" outlineLevel="0" collapsed="false">
      <c r="A576" s="7" t="s">
        <v>1625</v>
      </c>
      <c r="B576" s="7" t="s">
        <v>1626</v>
      </c>
      <c r="C576" s="8" t="s">
        <v>495</v>
      </c>
      <c r="D576" s="7" t="s">
        <v>496</v>
      </c>
      <c r="E576" s="7" t="s">
        <v>126</v>
      </c>
      <c r="F576" s="7" t="s">
        <v>152</v>
      </c>
      <c r="G576" s="9" t="n">
        <v>35799</v>
      </c>
      <c r="H576" s="5" t="n">
        <v>177</v>
      </c>
      <c r="I576" s="5" t="n">
        <v>98</v>
      </c>
      <c r="J576" s="5" t="n">
        <v>2020</v>
      </c>
      <c r="K576" s="7" t="s">
        <v>459</v>
      </c>
      <c r="L576" s="10" t="str">
        <f aca="false">INDEX(球隊主檔!$C$2:$C$31,MATCH($K576,球隊主檔!$A$2:$A$31,0))</f>
        <v>聖地牙哥教士</v>
      </c>
      <c r="M576" s="11" t="n">
        <f aca="false">IF($C576="打者",COUNTIF(打擊成績!$B:$B,$A576),COUNTIF(投手成績!$B:$B,$A576))</f>
        <v>3</v>
      </c>
    </row>
    <row r="577" customFormat="false" ht="15" hidden="false" customHeight="false" outlineLevel="0" collapsed="false">
      <c r="A577" s="7" t="s">
        <v>1627</v>
      </c>
      <c r="B577" s="7" t="s">
        <v>1628</v>
      </c>
      <c r="C577" s="8" t="s">
        <v>495</v>
      </c>
      <c r="D577" s="7" t="s">
        <v>507</v>
      </c>
      <c r="E577" s="7" t="s">
        <v>152</v>
      </c>
      <c r="F577" s="7" t="s">
        <v>126</v>
      </c>
      <c r="G577" s="9" t="n">
        <v>35316</v>
      </c>
      <c r="H577" s="5" t="n">
        <v>180</v>
      </c>
      <c r="I577" s="5" t="n">
        <v>83</v>
      </c>
      <c r="J577" s="5" t="n">
        <v>2017</v>
      </c>
      <c r="K577" s="7" t="s">
        <v>459</v>
      </c>
      <c r="L577" s="10" t="str">
        <f aca="false">INDEX(球隊主檔!$C$2:$C$31,MATCH($K577,球隊主檔!$A$2:$A$31,0))</f>
        <v>聖地牙哥教士</v>
      </c>
      <c r="M577" s="11" t="n">
        <f aca="false">IF($C577="打者",COUNTIF(打擊成績!$B:$B,$A577),COUNTIF(投手成績!$B:$B,$A577))</f>
        <v>3</v>
      </c>
    </row>
    <row r="578" customFormat="false" ht="15" hidden="false" customHeight="false" outlineLevel="0" collapsed="false">
      <c r="A578" s="7" t="s">
        <v>1629</v>
      </c>
      <c r="B578" s="7" t="s">
        <v>1630</v>
      </c>
      <c r="C578" s="8" t="s">
        <v>495</v>
      </c>
      <c r="D578" s="7" t="s">
        <v>507</v>
      </c>
      <c r="E578" s="7" t="s">
        <v>152</v>
      </c>
      <c r="F578" s="7" t="s">
        <v>152</v>
      </c>
      <c r="G578" s="9" t="n">
        <v>35533</v>
      </c>
      <c r="H578" s="5" t="n">
        <v>186</v>
      </c>
      <c r="I578" s="5" t="n">
        <v>93</v>
      </c>
      <c r="J578" s="5" t="n">
        <v>2017</v>
      </c>
      <c r="K578" s="7" t="s">
        <v>346</v>
      </c>
      <c r="L578" s="10" t="str">
        <f aca="false">INDEX(球隊主檔!$C$2:$C$31,MATCH($K578,球隊主檔!$A$2:$A$31,0))</f>
        <v>波士頓紅襪</v>
      </c>
      <c r="M578" s="11" t="n">
        <f aca="false">IF($C578="打者",COUNTIF(打擊成績!$B:$B,$A578),COUNTIF(投手成績!$B:$B,$A578))</f>
        <v>2</v>
      </c>
    </row>
    <row r="579" customFormat="false" ht="15" hidden="false" customHeight="false" outlineLevel="0" collapsed="false">
      <c r="A579" s="7" t="s">
        <v>1631</v>
      </c>
      <c r="B579" s="7" t="s">
        <v>1632</v>
      </c>
      <c r="C579" s="8" t="s">
        <v>495</v>
      </c>
      <c r="D579" s="7" t="s">
        <v>507</v>
      </c>
      <c r="E579" s="7" t="s">
        <v>152</v>
      </c>
      <c r="F579" s="7" t="s">
        <v>152</v>
      </c>
      <c r="G579" s="9" t="n">
        <v>35137</v>
      </c>
      <c r="H579" s="5" t="n">
        <v>180</v>
      </c>
      <c r="I579" s="5" t="n">
        <v>109</v>
      </c>
      <c r="J579" s="5" t="n">
        <v>2021</v>
      </c>
      <c r="K579" s="7" t="s">
        <v>459</v>
      </c>
      <c r="L579" s="10" t="str">
        <f aca="false">INDEX(球隊主檔!$C$2:$C$31,MATCH($K579,球隊主檔!$A$2:$A$31,0))</f>
        <v>聖地牙哥教士</v>
      </c>
      <c r="M579" s="11" t="n">
        <f aca="false">IF($C579="打者",COUNTIF(打擊成績!$B:$B,$A579),COUNTIF(投手成績!$B:$B,$A579))</f>
        <v>3</v>
      </c>
    </row>
    <row r="580" customFormat="false" ht="15" hidden="false" customHeight="false" outlineLevel="0" collapsed="false">
      <c r="A580" s="7" t="s">
        <v>1633</v>
      </c>
      <c r="B580" s="7" t="s">
        <v>1634</v>
      </c>
      <c r="C580" s="8" t="s">
        <v>495</v>
      </c>
      <c r="D580" s="7" t="s">
        <v>507</v>
      </c>
      <c r="E580" s="7" t="s">
        <v>126</v>
      </c>
      <c r="F580" s="7" t="s">
        <v>152</v>
      </c>
      <c r="G580" s="9" t="n">
        <v>35618</v>
      </c>
      <c r="H580" s="5" t="n">
        <v>194</v>
      </c>
      <c r="I580" s="5" t="n">
        <v>82</v>
      </c>
      <c r="J580" s="5" t="n">
        <v>2021</v>
      </c>
      <c r="K580" s="7" t="s">
        <v>459</v>
      </c>
      <c r="L580" s="10" t="str">
        <f aca="false">INDEX(球隊主檔!$C$2:$C$31,MATCH($K580,球隊主檔!$A$2:$A$31,0))</f>
        <v>聖地牙哥教士</v>
      </c>
      <c r="M580" s="11" t="n">
        <f aca="false">IF($C580="打者",COUNTIF(打擊成績!$B:$B,$A580),COUNTIF(投手成績!$B:$B,$A580))</f>
        <v>2</v>
      </c>
    </row>
    <row r="581" customFormat="false" ht="15" hidden="false" customHeight="false" outlineLevel="0" collapsed="false">
      <c r="A581" s="7" t="s">
        <v>1635</v>
      </c>
      <c r="B581" s="7" t="s">
        <v>1636</v>
      </c>
      <c r="C581" s="8" t="s">
        <v>495</v>
      </c>
      <c r="D581" s="7" t="s">
        <v>507</v>
      </c>
      <c r="E581" s="7" t="s">
        <v>152</v>
      </c>
      <c r="F581" s="7" t="s">
        <v>152</v>
      </c>
      <c r="G581" s="9" t="n">
        <v>36181</v>
      </c>
      <c r="H581" s="5" t="n">
        <v>176</v>
      </c>
      <c r="I581" s="5" t="n">
        <v>94</v>
      </c>
      <c r="J581" s="5" t="n">
        <v>2022</v>
      </c>
      <c r="K581" s="7" t="s">
        <v>459</v>
      </c>
      <c r="L581" s="10" t="str">
        <f aca="false">INDEX(球隊主檔!$C$2:$C$31,MATCH($K581,球隊主檔!$A$2:$A$31,0))</f>
        <v>聖地牙哥教士</v>
      </c>
      <c r="M581" s="11" t="n">
        <f aca="false">IF($C581="打者",COUNTIF(打擊成績!$B:$B,$A581),COUNTIF(投手成績!$B:$B,$A581))</f>
        <v>3</v>
      </c>
    </row>
    <row r="582" customFormat="false" ht="15" hidden="false" customHeight="false" outlineLevel="0" collapsed="false">
      <c r="A582" s="7" t="s">
        <v>1637</v>
      </c>
      <c r="B582" s="7" t="s">
        <v>1638</v>
      </c>
      <c r="C582" s="8" t="s">
        <v>469</v>
      </c>
      <c r="D582" s="7" t="s">
        <v>470</v>
      </c>
      <c r="E582" s="7" t="s">
        <v>126</v>
      </c>
      <c r="F582" s="7" t="s">
        <v>126</v>
      </c>
      <c r="G582" s="9" t="n">
        <v>32861</v>
      </c>
      <c r="H582" s="5" t="n">
        <v>190</v>
      </c>
      <c r="I582" s="5" t="n">
        <v>101</v>
      </c>
      <c r="J582" s="5" t="n">
        <v>2012</v>
      </c>
      <c r="K582" s="7" t="s">
        <v>463</v>
      </c>
      <c r="L582" s="10" t="str">
        <f aca="false">INDEX(球隊主檔!$C$2:$C$31,MATCH($K582,球隊主檔!$A$2:$A$31,0))</f>
        <v>舊金山巨人</v>
      </c>
      <c r="M582" s="11" t="n">
        <f aca="false">IF($C582="打者",COUNTIF(打擊成績!$B:$B,$A582),COUNTIF(投手成績!$B:$B,$A582))</f>
        <v>3</v>
      </c>
    </row>
    <row r="583" customFormat="false" ht="15" hidden="false" customHeight="false" outlineLevel="0" collapsed="false">
      <c r="A583" s="7" t="s">
        <v>1639</v>
      </c>
      <c r="B583" s="7" t="s">
        <v>1640</v>
      </c>
      <c r="C583" s="8" t="s">
        <v>469</v>
      </c>
      <c r="D583" s="7" t="s">
        <v>486</v>
      </c>
      <c r="E583" s="7" t="s">
        <v>152</v>
      </c>
      <c r="F583" s="7" t="s">
        <v>152</v>
      </c>
      <c r="G583" s="9" t="n">
        <v>34343</v>
      </c>
      <c r="H583" s="5" t="n">
        <v>186</v>
      </c>
      <c r="I583" s="5" t="n">
        <v>105</v>
      </c>
      <c r="J583" s="5" t="n">
        <v>2019</v>
      </c>
      <c r="K583" s="7" t="s">
        <v>463</v>
      </c>
      <c r="L583" s="10" t="str">
        <f aca="false">INDEX(球隊主檔!$C$2:$C$31,MATCH($K583,球隊主檔!$A$2:$A$31,0))</f>
        <v>舊金山巨人</v>
      </c>
      <c r="M583" s="11" t="n">
        <f aca="false">IF($C583="打者",COUNTIF(打擊成績!$B:$B,$A583),COUNTIF(投手成績!$B:$B,$A583))</f>
        <v>3</v>
      </c>
    </row>
    <row r="584" customFormat="false" ht="15" hidden="false" customHeight="false" outlineLevel="0" collapsed="false">
      <c r="A584" s="7" t="s">
        <v>1641</v>
      </c>
      <c r="B584" s="7" t="s">
        <v>1642</v>
      </c>
      <c r="C584" s="8" t="s">
        <v>469</v>
      </c>
      <c r="D584" s="7" t="s">
        <v>478</v>
      </c>
      <c r="E584" s="7" t="s">
        <v>174</v>
      </c>
      <c r="F584" s="7" t="s">
        <v>126</v>
      </c>
      <c r="G584" s="9" t="n">
        <v>34830</v>
      </c>
      <c r="H584" s="5" t="n">
        <v>193</v>
      </c>
      <c r="I584" s="5" t="n">
        <v>99</v>
      </c>
      <c r="J584" s="5" t="n">
        <v>2020</v>
      </c>
      <c r="K584" s="7" t="s">
        <v>463</v>
      </c>
      <c r="L584" s="10" t="str">
        <f aca="false">INDEX(球隊主檔!$C$2:$C$31,MATCH($K584,球隊主檔!$A$2:$A$31,0))</f>
        <v>舊金山巨人</v>
      </c>
      <c r="M584" s="11" t="n">
        <f aca="false">IF($C584="打者",COUNTIF(打擊成績!$B:$B,$A584),COUNTIF(投手成績!$B:$B,$A584))</f>
        <v>3</v>
      </c>
    </row>
    <row r="585" customFormat="false" ht="15" hidden="false" customHeight="false" outlineLevel="0" collapsed="false">
      <c r="A585" s="7" t="s">
        <v>1643</v>
      </c>
      <c r="B585" s="7" t="s">
        <v>1644</v>
      </c>
      <c r="C585" s="8" t="s">
        <v>469</v>
      </c>
      <c r="D585" s="7" t="s">
        <v>162</v>
      </c>
      <c r="E585" s="7" t="s">
        <v>174</v>
      </c>
      <c r="F585" s="7" t="s">
        <v>152</v>
      </c>
      <c r="G585" s="9" t="n">
        <v>34417</v>
      </c>
      <c r="H585" s="5" t="n">
        <v>200</v>
      </c>
      <c r="I585" s="5" t="n">
        <v>87</v>
      </c>
      <c r="J585" s="5" t="n">
        <v>2015</v>
      </c>
      <c r="K585" s="7" t="s">
        <v>463</v>
      </c>
      <c r="L585" s="10" t="str">
        <f aca="false">INDEX(球隊主檔!$C$2:$C$31,MATCH($K585,球隊主檔!$A$2:$A$31,0))</f>
        <v>舊金山巨人</v>
      </c>
      <c r="M585" s="11" t="n">
        <f aca="false">IF($C585="打者",COUNTIF(打擊成績!$B:$B,$A585),COUNTIF(投手成績!$B:$B,$A585))</f>
        <v>3</v>
      </c>
    </row>
    <row r="586" customFormat="false" ht="15" hidden="false" customHeight="false" outlineLevel="0" collapsed="false">
      <c r="A586" s="7" t="s">
        <v>1645</v>
      </c>
      <c r="B586" s="7" t="s">
        <v>1646</v>
      </c>
      <c r="C586" s="8" t="s">
        <v>469</v>
      </c>
      <c r="D586" s="7" t="s">
        <v>158</v>
      </c>
      <c r="E586" s="7" t="s">
        <v>152</v>
      </c>
      <c r="F586" s="7" t="s">
        <v>152</v>
      </c>
      <c r="G586" s="9" t="n">
        <v>34013</v>
      </c>
      <c r="H586" s="5" t="n">
        <v>178</v>
      </c>
      <c r="I586" s="5" t="n">
        <v>83</v>
      </c>
      <c r="J586" s="5" t="n">
        <v>2014</v>
      </c>
      <c r="K586" s="7" t="s">
        <v>463</v>
      </c>
      <c r="L586" s="10" t="str">
        <f aca="false">INDEX(球隊主檔!$C$2:$C$31,MATCH($K586,球隊主檔!$A$2:$A$31,0))</f>
        <v>舊金山巨人</v>
      </c>
      <c r="M586" s="11" t="n">
        <f aca="false">IF($C586="打者",COUNTIF(打擊成績!$B:$B,$A586),COUNTIF(投手成績!$B:$B,$A586))</f>
        <v>3</v>
      </c>
    </row>
    <row r="587" customFormat="false" ht="15" hidden="false" customHeight="false" outlineLevel="0" collapsed="false">
      <c r="A587" s="7" t="s">
        <v>1647</v>
      </c>
      <c r="B587" s="7" t="s">
        <v>1648</v>
      </c>
      <c r="C587" s="8" t="s">
        <v>469</v>
      </c>
      <c r="D587" s="7" t="s">
        <v>63</v>
      </c>
      <c r="E587" s="7" t="s">
        <v>152</v>
      </c>
      <c r="F587" s="7" t="s">
        <v>152</v>
      </c>
      <c r="G587" s="9" t="n">
        <v>35551</v>
      </c>
      <c r="H587" s="5" t="n">
        <v>185</v>
      </c>
      <c r="I587" s="5" t="n">
        <v>107</v>
      </c>
      <c r="J587" s="5" t="n">
        <v>2020</v>
      </c>
      <c r="K587" s="7" t="s">
        <v>463</v>
      </c>
      <c r="L587" s="10" t="str">
        <f aca="false">INDEX(球隊主檔!$C$2:$C$31,MATCH($K587,球隊主檔!$A$2:$A$31,0))</f>
        <v>舊金山巨人</v>
      </c>
      <c r="M587" s="11" t="n">
        <f aca="false">IF($C587="打者",COUNTIF(打擊成績!$B:$B,$A587),COUNTIF(投手成績!$B:$B,$A587))</f>
        <v>2</v>
      </c>
    </row>
    <row r="588" customFormat="false" ht="15" hidden="false" customHeight="false" outlineLevel="0" collapsed="false">
      <c r="A588" s="7" t="s">
        <v>1649</v>
      </c>
      <c r="B588" s="7" t="s">
        <v>1650</v>
      </c>
      <c r="C588" s="8" t="s">
        <v>469</v>
      </c>
      <c r="D588" s="7" t="s">
        <v>158</v>
      </c>
      <c r="E588" s="7" t="s">
        <v>152</v>
      </c>
      <c r="F588" s="7" t="s">
        <v>152</v>
      </c>
      <c r="G588" s="9" t="n">
        <v>32745</v>
      </c>
      <c r="H588" s="5" t="n">
        <v>188</v>
      </c>
      <c r="I588" s="5" t="n">
        <v>84</v>
      </c>
      <c r="J588" s="5" t="n">
        <v>2014</v>
      </c>
      <c r="K588" s="7" t="s">
        <v>463</v>
      </c>
      <c r="L588" s="10" t="str">
        <f aca="false">INDEX(球隊主檔!$C$2:$C$31,MATCH($K588,球隊主檔!$A$2:$A$31,0))</f>
        <v>舊金山巨人</v>
      </c>
      <c r="M588" s="11" t="n">
        <f aca="false">IF($C588="打者",COUNTIF(打擊成績!$B:$B,$A588),COUNTIF(投手成績!$B:$B,$A588))</f>
        <v>1</v>
      </c>
    </row>
    <row r="589" customFormat="false" ht="15" hidden="false" customHeight="false" outlineLevel="0" collapsed="false">
      <c r="A589" s="7" t="s">
        <v>1651</v>
      </c>
      <c r="B589" s="7" t="s">
        <v>1652</v>
      </c>
      <c r="C589" s="8" t="s">
        <v>469</v>
      </c>
      <c r="D589" s="7" t="s">
        <v>522</v>
      </c>
      <c r="E589" s="7" t="s">
        <v>152</v>
      </c>
      <c r="F589" s="7" t="s">
        <v>126</v>
      </c>
      <c r="G589" s="9" t="n">
        <v>36892</v>
      </c>
      <c r="H589" s="5" t="n">
        <v>197</v>
      </c>
      <c r="I589" s="5" t="n">
        <v>111</v>
      </c>
      <c r="J589" s="5" t="n">
        <v>2022</v>
      </c>
      <c r="K589" s="7" t="s">
        <v>463</v>
      </c>
      <c r="L589" s="10" t="str">
        <f aca="false">INDEX(球隊主檔!$C$2:$C$31,MATCH($K589,球隊主檔!$A$2:$A$31,0))</f>
        <v>舊金山巨人</v>
      </c>
      <c r="M589" s="11" t="n">
        <f aca="false">IF($C589="打者",COUNTIF(打擊成績!$B:$B,$A589),COUNTIF(投手成績!$B:$B,$A589))</f>
        <v>1</v>
      </c>
    </row>
    <row r="590" customFormat="false" ht="15" hidden="false" customHeight="false" outlineLevel="0" collapsed="false">
      <c r="A590" s="7" t="s">
        <v>1653</v>
      </c>
      <c r="B590" s="7" t="s">
        <v>1654</v>
      </c>
      <c r="C590" s="8" t="s">
        <v>469</v>
      </c>
      <c r="D590" s="7" t="s">
        <v>158</v>
      </c>
      <c r="E590" s="7" t="s">
        <v>152</v>
      </c>
      <c r="F590" s="7" t="s">
        <v>152</v>
      </c>
      <c r="G590" s="9" t="n">
        <v>35527</v>
      </c>
      <c r="H590" s="5" t="n">
        <v>191</v>
      </c>
      <c r="I590" s="5" t="n">
        <v>88</v>
      </c>
      <c r="J590" s="5" t="n">
        <v>2017</v>
      </c>
      <c r="K590" s="7" t="s">
        <v>463</v>
      </c>
      <c r="L590" s="10" t="str">
        <f aca="false">INDEX(球隊主檔!$C$2:$C$31,MATCH($K590,球隊主檔!$A$2:$A$31,0))</f>
        <v>舊金山巨人</v>
      </c>
      <c r="M590" s="11" t="n">
        <f aca="false">IF($C590="打者",COUNTIF(打擊成績!$B:$B,$A590),COUNTIF(投手成績!$B:$B,$A590))</f>
        <v>3</v>
      </c>
    </row>
    <row r="591" customFormat="false" ht="15" hidden="false" customHeight="false" outlineLevel="0" collapsed="false">
      <c r="A591" s="7" t="s">
        <v>1655</v>
      </c>
      <c r="B591" s="7" t="s">
        <v>1656</v>
      </c>
      <c r="C591" s="8" t="s">
        <v>469</v>
      </c>
      <c r="D591" s="7" t="s">
        <v>63</v>
      </c>
      <c r="E591" s="7" t="s">
        <v>126</v>
      </c>
      <c r="F591" s="7" t="s">
        <v>152</v>
      </c>
      <c r="G591" s="9" t="n">
        <v>35771</v>
      </c>
      <c r="H591" s="5" t="n">
        <v>186</v>
      </c>
      <c r="I591" s="5" t="n">
        <v>102</v>
      </c>
      <c r="J591" s="5" t="n">
        <v>2017</v>
      </c>
      <c r="K591" s="7" t="s">
        <v>463</v>
      </c>
      <c r="L591" s="10" t="str">
        <f aca="false">INDEX(球隊主檔!$C$2:$C$31,MATCH($K591,球隊主檔!$A$2:$A$31,0))</f>
        <v>舊金山巨人</v>
      </c>
      <c r="M591" s="11" t="n">
        <f aca="false">IF($C591="打者",COUNTIF(打擊成績!$B:$B,$A591),COUNTIF(投手成績!$B:$B,$A591))</f>
        <v>3</v>
      </c>
    </row>
    <row r="592" customFormat="false" ht="15" hidden="false" customHeight="false" outlineLevel="0" collapsed="false">
      <c r="A592" s="7" t="s">
        <v>1657</v>
      </c>
      <c r="B592" s="7" t="s">
        <v>1658</v>
      </c>
      <c r="C592" s="8" t="s">
        <v>495</v>
      </c>
      <c r="D592" s="7" t="s">
        <v>496</v>
      </c>
      <c r="E592" s="7" t="s">
        <v>126</v>
      </c>
      <c r="F592" s="7" t="s">
        <v>152</v>
      </c>
      <c r="G592" s="9" t="n">
        <v>34654</v>
      </c>
      <c r="H592" s="5" t="n">
        <v>193</v>
      </c>
      <c r="I592" s="5" t="n">
        <v>82</v>
      </c>
      <c r="J592" s="5" t="n">
        <v>2018</v>
      </c>
      <c r="K592" s="7" t="s">
        <v>388</v>
      </c>
      <c r="L592" s="10" t="str">
        <f aca="false">INDEX(球隊主檔!$C$2:$C$31,MATCH($K592,球隊主檔!$A$2:$A$31,0))</f>
        <v>休士頓太空人</v>
      </c>
      <c r="M592" s="11" t="n">
        <f aca="false">IF($C592="打者",COUNTIF(打擊成績!$B:$B,$A592),COUNTIF(投手成績!$B:$B,$A592))</f>
        <v>3</v>
      </c>
    </row>
    <row r="593" customFormat="false" ht="15" hidden="false" customHeight="false" outlineLevel="0" collapsed="false">
      <c r="A593" s="7" t="s">
        <v>1659</v>
      </c>
      <c r="B593" s="7" t="s">
        <v>1660</v>
      </c>
      <c r="C593" s="8" t="s">
        <v>495</v>
      </c>
      <c r="D593" s="7" t="s">
        <v>496</v>
      </c>
      <c r="E593" s="7" t="s">
        <v>152</v>
      </c>
      <c r="F593" s="7" t="s">
        <v>152</v>
      </c>
      <c r="G593" s="9" t="n">
        <v>34601</v>
      </c>
      <c r="H593" s="5" t="n">
        <v>187</v>
      </c>
      <c r="I593" s="5" t="n">
        <v>109</v>
      </c>
      <c r="J593" s="5" t="n">
        <v>2015</v>
      </c>
      <c r="K593" s="7" t="s">
        <v>463</v>
      </c>
      <c r="L593" s="10" t="str">
        <f aca="false">INDEX(球隊主檔!$C$2:$C$31,MATCH($K593,球隊主檔!$A$2:$A$31,0))</f>
        <v>舊金山巨人</v>
      </c>
      <c r="M593" s="11" t="n">
        <f aca="false">IF($C593="打者",COUNTIF(打擊成績!$B:$B,$A593),COUNTIF(投手成績!$B:$B,$A593))</f>
        <v>3</v>
      </c>
    </row>
    <row r="594" customFormat="false" ht="15" hidden="false" customHeight="false" outlineLevel="0" collapsed="false">
      <c r="A594" s="7" t="s">
        <v>1661</v>
      </c>
      <c r="B594" s="7" t="s">
        <v>1662</v>
      </c>
      <c r="C594" s="8" t="s">
        <v>495</v>
      </c>
      <c r="D594" s="7" t="s">
        <v>496</v>
      </c>
      <c r="E594" s="7" t="s">
        <v>152</v>
      </c>
      <c r="F594" s="7" t="s">
        <v>126</v>
      </c>
      <c r="G594" s="9" t="n">
        <v>32584</v>
      </c>
      <c r="H594" s="5" t="n">
        <v>201</v>
      </c>
      <c r="I594" s="5" t="n">
        <v>80</v>
      </c>
      <c r="J594" s="5" t="n">
        <v>2011</v>
      </c>
      <c r="K594" s="7" t="s">
        <v>396</v>
      </c>
      <c r="L594" s="10" t="str">
        <f aca="false">INDEX(球隊主檔!$C$2:$C$31,MATCH($K594,球隊主檔!$A$2:$A$31,0))</f>
        <v>西雅圖水手</v>
      </c>
      <c r="M594" s="11" t="n">
        <f aca="false">IF($C594="打者",COUNTIF(打擊成績!$B:$B,$A594),COUNTIF(投手成績!$B:$B,$A594))</f>
        <v>2</v>
      </c>
    </row>
    <row r="595" customFormat="false" ht="15" hidden="false" customHeight="false" outlineLevel="0" collapsed="false">
      <c r="A595" s="7" t="s">
        <v>1663</v>
      </c>
      <c r="B595" s="7" t="s">
        <v>1664</v>
      </c>
      <c r="C595" s="8" t="s">
        <v>495</v>
      </c>
      <c r="D595" s="7" t="s">
        <v>496</v>
      </c>
      <c r="E595" s="7" t="s">
        <v>126</v>
      </c>
      <c r="F595" s="7" t="s">
        <v>152</v>
      </c>
      <c r="G595" s="9" t="n">
        <v>35412</v>
      </c>
      <c r="H595" s="5" t="n">
        <v>184</v>
      </c>
      <c r="I595" s="5" t="n">
        <v>99</v>
      </c>
      <c r="J595" s="5" t="n">
        <v>2020</v>
      </c>
      <c r="K595" s="7" t="s">
        <v>463</v>
      </c>
      <c r="L595" s="10" t="str">
        <f aca="false">INDEX(球隊主檔!$C$2:$C$31,MATCH($K595,球隊主檔!$A$2:$A$31,0))</f>
        <v>舊金山巨人</v>
      </c>
      <c r="M595" s="11" t="n">
        <f aca="false">IF($C595="打者",COUNTIF(打擊成績!$B:$B,$A595),COUNTIF(投手成績!$B:$B,$A595))</f>
        <v>3</v>
      </c>
    </row>
    <row r="596" customFormat="false" ht="15" hidden="false" customHeight="false" outlineLevel="0" collapsed="false">
      <c r="A596" s="7" t="s">
        <v>1665</v>
      </c>
      <c r="B596" s="7" t="s">
        <v>1666</v>
      </c>
      <c r="C596" s="8" t="s">
        <v>495</v>
      </c>
      <c r="D596" s="7" t="s">
        <v>496</v>
      </c>
      <c r="E596" s="7" t="s">
        <v>152</v>
      </c>
      <c r="F596" s="7" t="s">
        <v>152</v>
      </c>
      <c r="G596" s="9" t="n">
        <v>35263</v>
      </c>
      <c r="H596" s="5" t="n">
        <v>199</v>
      </c>
      <c r="I596" s="5" t="n">
        <v>88</v>
      </c>
      <c r="J596" s="5" t="n">
        <v>2017</v>
      </c>
      <c r="K596" s="7" t="s">
        <v>463</v>
      </c>
      <c r="L596" s="10" t="str">
        <f aca="false">INDEX(球隊主檔!$C$2:$C$31,MATCH($K596,球隊主檔!$A$2:$A$31,0))</f>
        <v>舊金山巨人</v>
      </c>
      <c r="M596" s="11" t="n">
        <f aca="false">IF($C596="打者",COUNTIF(打擊成績!$B:$B,$A596),COUNTIF(投手成績!$B:$B,$A596))</f>
        <v>3</v>
      </c>
    </row>
    <row r="597" customFormat="false" ht="15" hidden="false" customHeight="false" outlineLevel="0" collapsed="false">
      <c r="A597" s="7" t="s">
        <v>1667</v>
      </c>
      <c r="B597" s="7" t="s">
        <v>1668</v>
      </c>
      <c r="C597" s="8" t="s">
        <v>495</v>
      </c>
      <c r="D597" s="7" t="s">
        <v>507</v>
      </c>
      <c r="E597" s="7" t="s">
        <v>152</v>
      </c>
      <c r="F597" s="7" t="s">
        <v>152</v>
      </c>
      <c r="G597" s="9" t="n">
        <v>36431</v>
      </c>
      <c r="H597" s="5" t="n">
        <v>187</v>
      </c>
      <c r="I597" s="5" t="n">
        <v>107</v>
      </c>
      <c r="J597" s="5" t="n">
        <v>2023</v>
      </c>
      <c r="K597" s="7" t="s">
        <v>463</v>
      </c>
      <c r="L597" s="10" t="str">
        <f aca="false">INDEX(球隊主檔!$C$2:$C$31,MATCH($K597,球隊主檔!$A$2:$A$31,0))</f>
        <v>舊金山巨人</v>
      </c>
      <c r="M597" s="11" t="n">
        <f aca="false">IF($C597="打者",COUNTIF(打擊成績!$B:$B,$A597),COUNTIF(投手成績!$B:$B,$A597))</f>
        <v>1</v>
      </c>
    </row>
    <row r="598" customFormat="false" ht="15" hidden="false" customHeight="false" outlineLevel="0" collapsed="false">
      <c r="A598" s="7" t="s">
        <v>1669</v>
      </c>
      <c r="B598" s="7" t="s">
        <v>1670</v>
      </c>
      <c r="C598" s="8" t="s">
        <v>495</v>
      </c>
      <c r="D598" s="7" t="s">
        <v>507</v>
      </c>
      <c r="E598" s="7" t="s">
        <v>152</v>
      </c>
      <c r="F598" s="7" t="s">
        <v>152</v>
      </c>
      <c r="G598" s="9" t="n">
        <v>35135</v>
      </c>
      <c r="H598" s="5" t="n">
        <v>189</v>
      </c>
      <c r="I598" s="5" t="n">
        <v>86</v>
      </c>
      <c r="J598" s="5" t="n">
        <v>2018</v>
      </c>
      <c r="K598" s="7" t="s">
        <v>463</v>
      </c>
      <c r="L598" s="10" t="str">
        <f aca="false">INDEX(球隊主檔!$C$2:$C$31,MATCH($K598,球隊主檔!$A$2:$A$31,0))</f>
        <v>舊金山巨人</v>
      </c>
      <c r="M598" s="11" t="n">
        <f aca="false">IF($C598="打者",COUNTIF(打擊成績!$B:$B,$A598),COUNTIF(投手成績!$B:$B,$A598))</f>
        <v>3</v>
      </c>
    </row>
    <row r="599" customFormat="false" ht="15" hidden="false" customHeight="false" outlineLevel="0" collapsed="false">
      <c r="A599" s="7" t="s">
        <v>1671</v>
      </c>
      <c r="B599" s="7" t="s">
        <v>1672</v>
      </c>
      <c r="C599" s="8" t="s">
        <v>495</v>
      </c>
      <c r="D599" s="7" t="s">
        <v>507</v>
      </c>
      <c r="E599" s="7" t="s">
        <v>152</v>
      </c>
      <c r="F599" s="7" t="s">
        <v>126</v>
      </c>
      <c r="G599" s="9" t="n">
        <v>35822</v>
      </c>
      <c r="H599" s="5" t="n">
        <v>187</v>
      </c>
      <c r="I599" s="5" t="n">
        <v>95</v>
      </c>
      <c r="J599" s="5" t="n">
        <v>2022</v>
      </c>
      <c r="K599" s="7" t="s">
        <v>463</v>
      </c>
      <c r="L599" s="10" t="str">
        <f aca="false">INDEX(球隊主檔!$C$2:$C$31,MATCH($K599,球隊主檔!$A$2:$A$31,0))</f>
        <v>舊金山巨人</v>
      </c>
      <c r="M599" s="11" t="n">
        <f aca="false">IF($C599="打者",COUNTIF(打擊成績!$B:$B,$A599),COUNTIF(投手成績!$B:$B,$A599))</f>
        <v>1</v>
      </c>
    </row>
    <row r="600" customFormat="false" ht="15" hidden="false" customHeight="false" outlineLevel="0" collapsed="false">
      <c r="A600" s="7" t="s">
        <v>1673</v>
      </c>
      <c r="B600" s="7" t="s">
        <v>1674</v>
      </c>
      <c r="C600" s="8" t="s">
        <v>495</v>
      </c>
      <c r="D600" s="7" t="s">
        <v>507</v>
      </c>
      <c r="E600" s="7" t="s">
        <v>152</v>
      </c>
      <c r="F600" s="7" t="s">
        <v>152</v>
      </c>
      <c r="G600" s="9" t="n">
        <v>36538</v>
      </c>
      <c r="H600" s="5" t="n">
        <v>198</v>
      </c>
      <c r="I600" s="5" t="n">
        <v>79</v>
      </c>
      <c r="J600" s="5" t="n">
        <v>2022</v>
      </c>
      <c r="K600" s="7" t="s">
        <v>463</v>
      </c>
      <c r="L600" s="10" t="str">
        <f aca="false">INDEX(球隊主檔!$C$2:$C$31,MATCH($K600,球隊主檔!$A$2:$A$31,0))</f>
        <v>舊金山巨人</v>
      </c>
      <c r="M600" s="11" t="n">
        <f aca="false">IF($C600="打者",COUNTIF(打擊成績!$B:$B,$A600),COUNTIF(投手成績!$B:$B,$A600))</f>
        <v>2</v>
      </c>
    </row>
    <row r="601" customFormat="false" ht="15" hidden="false" customHeight="false" outlineLevel="0" collapsed="false">
      <c r="A601" s="7" t="s">
        <v>1675</v>
      </c>
      <c r="B601" s="7" t="s">
        <v>1676</v>
      </c>
      <c r="C601" s="8" t="s">
        <v>495</v>
      </c>
      <c r="D601" s="7" t="s">
        <v>507</v>
      </c>
      <c r="E601" s="7" t="s">
        <v>126</v>
      </c>
      <c r="F601" s="7" t="s">
        <v>152</v>
      </c>
      <c r="G601" s="9" t="n">
        <v>34524</v>
      </c>
      <c r="H601" s="5" t="n">
        <v>191</v>
      </c>
      <c r="I601" s="5" t="n">
        <v>91</v>
      </c>
      <c r="J601" s="5" t="n">
        <v>2014</v>
      </c>
      <c r="K601" s="7" t="s">
        <v>463</v>
      </c>
      <c r="L601" s="10" t="str">
        <f aca="false">INDEX(球隊主檔!$C$2:$C$31,MATCH($K601,球隊主檔!$A$2:$A$31,0))</f>
        <v>舊金山巨人</v>
      </c>
      <c r="M601" s="11" t="n">
        <f aca="false">IF($C601="打者",COUNTIF(打擊成績!$B:$B,$A601),COUNTIF(投手成績!$B:$B,$A601))</f>
        <v>3</v>
      </c>
    </row>
    <row r="602" customFormat="false" ht="15" hidden="false" customHeight="false" outlineLevel="0" collapsed="false">
      <c r="A602" s="7" t="s">
        <v>1677</v>
      </c>
      <c r="B602" s="7" t="s">
        <v>1678</v>
      </c>
      <c r="C602" s="8" t="s">
        <v>469</v>
      </c>
      <c r="D602" s="7" t="s">
        <v>158</v>
      </c>
      <c r="E602" s="7" t="s">
        <v>126</v>
      </c>
      <c r="F602" s="7" t="s">
        <v>126</v>
      </c>
      <c r="G602" s="9" t="n">
        <v>36826</v>
      </c>
      <c r="H602" s="5" t="n">
        <v>194</v>
      </c>
      <c r="I602" s="5" t="n">
        <v>101</v>
      </c>
      <c r="J602" s="5" t="n">
        <v>2025</v>
      </c>
      <c r="K602" s="7" t="s">
        <v>340</v>
      </c>
      <c r="L602" s="10" t="str">
        <f aca="false">INDEX(球隊主檔!$C$2:$C$31,MATCH($K602,球隊主檔!$A$2:$A$31,0))</f>
        <v>巴爾的摩金鶯</v>
      </c>
      <c r="M602" s="11" t="n">
        <f aca="false">IF($C602="打者",COUNTIF(打擊成績!$B:$B,$A602),COUNTIF(投手成績!$B:$B,$A602))</f>
        <v>2</v>
      </c>
    </row>
    <row r="603" customFormat="false" ht="15" hidden="false" customHeight="false" outlineLevel="0" collapsed="false">
      <c r="A603" s="7" t="s">
        <v>1679</v>
      </c>
      <c r="B603" s="7" t="s">
        <v>1680</v>
      </c>
      <c r="C603" s="8" t="s">
        <v>469</v>
      </c>
      <c r="D603" s="7" t="s">
        <v>162</v>
      </c>
      <c r="E603" s="7" t="s">
        <v>126</v>
      </c>
      <c r="F603" s="7" t="s">
        <v>152</v>
      </c>
      <c r="G603" s="9" t="n">
        <v>36834</v>
      </c>
      <c r="H603" s="5" t="n">
        <v>180</v>
      </c>
      <c r="I603" s="5" t="n">
        <v>108</v>
      </c>
      <c r="J603" s="5" t="n">
        <v>2025</v>
      </c>
      <c r="K603" s="7" t="s">
        <v>340</v>
      </c>
      <c r="L603" s="10" t="str">
        <f aca="false">INDEX(球隊主檔!$C$2:$C$31,MATCH($K603,球隊主檔!$A$2:$A$31,0))</f>
        <v>巴爾的摩金鶯</v>
      </c>
      <c r="M603" s="11" t="n">
        <f aca="false">IF($C603="打者",COUNTIF(打擊成績!$B:$B,$A603),COUNTIF(投手成績!$B:$B,$A603))</f>
        <v>2</v>
      </c>
    </row>
    <row r="604" customFormat="false" ht="15" hidden="false" customHeight="false" outlineLevel="0" collapsed="false">
      <c r="A604" s="7" t="s">
        <v>1681</v>
      </c>
      <c r="B604" s="7" t="s">
        <v>1682</v>
      </c>
      <c r="C604" s="8" t="s">
        <v>469</v>
      </c>
      <c r="D604" s="7" t="s">
        <v>522</v>
      </c>
      <c r="E604" s="7" t="s">
        <v>126</v>
      </c>
      <c r="F604" s="7" t="s">
        <v>152</v>
      </c>
      <c r="G604" s="9" t="n">
        <v>38272</v>
      </c>
      <c r="H604" s="5" t="n">
        <v>201</v>
      </c>
      <c r="I604" s="5" t="n">
        <v>99</v>
      </c>
      <c r="J604" s="5" t="n">
        <v>2025</v>
      </c>
      <c r="K604" s="7" t="s">
        <v>340</v>
      </c>
      <c r="L604" s="10" t="str">
        <f aca="false">INDEX(球隊主檔!$C$2:$C$31,MATCH($K604,球隊主檔!$A$2:$A$31,0))</f>
        <v>巴爾的摩金鶯</v>
      </c>
      <c r="M604" s="11" t="n">
        <f aca="false">IF($C604="打者",COUNTIF(打擊成績!$B:$B,$A604),COUNTIF(投手成績!$B:$B,$A604))</f>
        <v>2</v>
      </c>
    </row>
    <row r="605" customFormat="false" ht="15" hidden="false" customHeight="false" outlineLevel="0" collapsed="false">
      <c r="A605" s="7" t="s">
        <v>1683</v>
      </c>
      <c r="B605" s="7" t="s">
        <v>1684</v>
      </c>
      <c r="C605" s="8" t="s">
        <v>469</v>
      </c>
      <c r="D605" s="7" t="s">
        <v>486</v>
      </c>
      <c r="E605" s="7" t="s">
        <v>152</v>
      </c>
      <c r="F605" s="7" t="s">
        <v>152</v>
      </c>
      <c r="G605" s="9" t="n">
        <v>37216</v>
      </c>
      <c r="H605" s="5" t="n">
        <v>187</v>
      </c>
      <c r="I605" s="5" t="n">
        <v>90</v>
      </c>
      <c r="J605" s="5" t="n">
        <v>2025</v>
      </c>
      <c r="K605" s="7" t="s">
        <v>350</v>
      </c>
      <c r="L605" s="10" t="str">
        <f aca="false">INDEX(球隊主檔!$C$2:$C$31,MATCH($K605,球隊主檔!$A$2:$A$31,0))</f>
        <v>紐約洋基</v>
      </c>
      <c r="M605" s="11" t="n">
        <f aca="false">IF($C605="打者",COUNTIF(打擊成績!$B:$B,$A605),COUNTIF(投手成績!$B:$B,$A605))</f>
        <v>2</v>
      </c>
    </row>
    <row r="606" customFormat="false" ht="15" hidden="false" customHeight="false" outlineLevel="0" collapsed="false">
      <c r="A606" s="7" t="s">
        <v>1685</v>
      </c>
      <c r="B606" s="7" t="s">
        <v>1686</v>
      </c>
      <c r="C606" s="8" t="s">
        <v>469</v>
      </c>
      <c r="D606" s="7" t="s">
        <v>470</v>
      </c>
      <c r="E606" s="7" t="s">
        <v>126</v>
      </c>
      <c r="F606" s="7" t="s">
        <v>152</v>
      </c>
      <c r="G606" s="9" t="n">
        <v>37476</v>
      </c>
      <c r="H606" s="5" t="n">
        <v>194</v>
      </c>
      <c r="I606" s="5" t="n">
        <v>84</v>
      </c>
      <c r="J606" s="5" t="n">
        <v>2025</v>
      </c>
      <c r="K606" s="7" t="s">
        <v>350</v>
      </c>
      <c r="L606" s="10" t="str">
        <f aca="false">INDEX(球隊主檔!$C$2:$C$31,MATCH($K606,球隊主檔!$A$2:$A$31,0))</f>
        <v>紐約洋基</v>
      </c>
      <c r="M606" s="11" t="n">
        <f aca="false">IF($C606="打者",COUNTIF(打擊成績!$B:$B,$A606),COUNTIF(投手成績!$B:$B,$A606))</f>
        <v>2</v>
      </c>
    </row>
    <row r="607" customFormat="false" ht="15" hidden="false" customHeight="false" outlineLevel="0" collapsed="false">
      <c r="A607" s="7" t="s">
        <v>1687</v>
      </c>
      <c r="B607" s="7" t="s">
        <v>1688</v>
      </c>
      <c r="C607" s="8" t="s">
        <v>469</v>
      </c>
      <c r="D607" s="7" t="s">
        <v>478</v>
      </c>
      <c r="E607" s="7" t="s">
        <v>126</v>
      </c>
      <c r="F607" s="7" t="s">
        <v>152</v>
      </c>
      <c r="G607" s="9" t="n">
        <v>37972</v>
      </c>
      <c r="H607" s="5" t="n">
        <v>184</v>
      </c>
      <c r="I607" s="5" t="n">
        <v>101</v>
      </c>
      <c r="J607" s="5" t="n">
        <v>2025</v>
      </c>
      <c r="K607" s="7" t="s">
        <v>354</v>
      </c>
      <c r="L607" s="10" t="str">
        <f aca="false">INDEX(球隊主檔!$C$2:$C$31,MATCH($K607,球隊主檔!$A$2:$A$31,0))</f>
        <v>坦帕灣光芒</v>
      </c>
      <c r="M607" s="11" t="n">
        <f aca="false">IF($C607="打者",COUNTIF(打擊成績!$B:$B,$A607),COUNTIF(投手成績!$B:$B,$A607))</f>
        <v>1</v>
      </c>
    </row>
    <row r="608" customFormat="false" ht="15" hidden="false" customHeight="false" outlineLevel="0" collapsed="false">
      <c r="A608" s="7" t="s">
        <v>1689</v>
      </c>
      <c r="B608" s="7" t="s">
        <v>1690</v>
      </c>
      <c r="C608" s="8" t="s">
        <v>495</v>
      </c>
      <c r="D608" s="7" t="s">
        <v>496</v>
      </c>
      <c r="E608" s="7" t="s">
        <v>126</v>
      </c>
      <c r="F608" s="7" t="s">
        <v>152</v>
      </c>
      <c r="G608" s="9" t="n">
        <v>38490</v>
      </c>
      <c r="H608" s="5" t="n">
        <v>201</v>
      </c>
      <c r="I608" s="5" t="n">
        <v>83</v>
      </c>
      <c r="J608" s="5" t="n">
        <v>2025</v>
      </c>
      <c r="K608" s="7" t="s">
        <v>354</v>
      </c>
      <c r="L608" s="10" t="str">
        <f aca="false">INDEX(球隊主檔!$C$2:$C$31,MATCH($K608,球隊主檔!$A$2:$A$31,0))</f>
        <v>坦帕灣光芒</v>
      </c>
      <c r="M608" s="11" t="n">
        <f aca="false">IF($C608="打者",COUNTIF(打擊成績!$B:$B,$A608),COUNTIF(投手成績!$B:$B,$A608))</f>
        <v>2</v>
      </c>
    </row>
    <row r="609" customFormat="false" ht="15" hidden="false" customHeight="false" outlineLevel="0" collapsed="false">
      <c r="A609" s="7" t="s">
        <v>1691</v>
      </c>
      <c r="B609" s="7" t="s">
        <v>1692</v>
      </c>
      <c r="C609" s="8" t="s">
        <v>469</v>
      </c>
      <c r="D609" s="7" t="s">
        <v>483</v>
      </c>
      <c r="E609" s="7" t="s">
        <v>152</v>
      </c>
      <c r="F609" s="7" t="s">
        <v>152</v>
      </c>
      <c r="G609" s="9" t="n">
        <v>37644</v>
      </c>
      <c r="H609" s="5" t="n">
        <v>192</v>
      </c>
      <c r="I609" s="5" t="n">
        <v>86</v>
      </c>
      <c r="J609" s="5" t="n">
        <v>2025</v>
      </c>
      <c r="K609" s="7" t="s">
        <v>358</v>
      </c>
      <c r="L609" s="10" t="str">
        <f aca="false">INDEX(球隊主檔!$C$2:$C$31,MATCH($K609,球隊主檔!$A$2:$A$31,0))</f>
        <v>多倫多藍鳥</v>
      </c>
      <c r="M609" s="11" t="n">
        <f aca="false">IF($C609="打者",COUNTIF(打擊成績!$B:$B,$A609),COUNTIF(投手成績!$B:$B,$A609))</f>
        <v>2</v>
      </c>
    </row>
    <row r="610" customFormat="false" ht="15" hidden="false" customHeight="false" outlineLevel="0" collapsed="false">
      <c r="A610" s="7" t="s">
        <v>1693</v>
      </c>
      <c r="B610" s="7" t="s">
        <v>1694</v>
      </c>
      <c r="C610" s="8" t="s">
        <v>469</v>
      </c>
      <c r="D610" s="7" t="s">
        <v>486</v>
      </c>
      <c r="E610" s="7" t="s">
        <v>126</v>
      </c>
      <c r="F610" s="7" t="s">
        <v>152</v>
      </c>
      <c r="G610" s="9" t="n">
        <v>37052</v>
      </c>
      <c r="H610" s="5" t="n">
        <v>185</v>
      </c>
      <c r="I610" s="5" t="n">
        <v>89</v>
      </c>
      <c r="J610" s="5" t="n">
        <v>2025</v>
      </c>
      <c r="K610" s="7" t="s">
        <v>358</v>
      </c>
      <c r="L610" s="10" t="str">
        <f aca="false">INDEX(球隊主檔!$C$2:$C$31,MATCH($K610,球隊主檔!$A$2:$A$31,0))</f>
        <v>多倫多藍鳥</v>
      </c>
      <c r="M610" s="11" t="n">
        <f aca="false">IF($C610="打者",COUNTIF(打擊成績!$B:$B,$A610),COUNTIF(投手成績!$B:$B,$A610))</f>
        <v>2</v>
      </c>
    </row>
    <row r="611" customFormat="false" ht="15" hidden="false" customHeight="false" outlineLevel="0" collapsed="false">
      <c r="A611" s="7" t="s">
        <v>1695</v>
      </c>
      <c r="B611" s="7" t="s">
        <v>1696</v>
      </c>
      <c r="C611" s="8" t="s">
        <v>495</v>
      </c>
      <c r="D611" s="7" t="s">
        <v>496</v>
      </c>
      <c r="E611" s="7" t="s">
        <v>152</v>
      </c>
      <c r="F611" s="7" t="s">
        <v>152</v>
      </c>
      <c r="G611" s="9" t="n">
        <v>37676</v>
      </c>
      <c r="H611" s="5" t="n">
        <v>175</v>
      </c>
      <c r="I611" s="5" t="n">
        <v>79</v>
      </c>
      <c r="J611" s="5" t="n">
        <v>2025</v>
      </c>
      <c r="K611" s="7" t="s">
        <v>358</v>
      </c>
      <c r="L611" s="10" t="str">
        <f aca="false">INDEX(球隊主檔!$C$2:$C$31,MATCH($K611,球隊主檔!$A$2:$A$31,0))</f>
        <v>多倫多藍鳥</v>
      </c>
      <c r="M611" s="11" t="n">
        <f aca="false">IF($C611="打者",COUNTIF(打擊成績!$B:$B,$A611),COUNTIF(投手成績!$B:$B,$A611))</f>
        <v>2</v>
      </c>
    </row>
    <row r="612" customFormat="false" ht="15" hidden="false" customHeight="false" outlineLevel="0" collapsed="false">
      <c r="A612" s="7" t="s">
        <v>1697</v>
      </c>
      <c r="B612" s="7" t="s">
        <v>1698</v>
      </c>
      <c r="C612" s="8" t="s">
        <v>469</v>
      </c>
      <c r="D612" s="7" t="s">
        <v>478</v>
      </c>
      <c r="E612" s="7" t="s">
        <v>152</v>
      </c>
      <c r="F612" s="7" t="s">
        <v>152</v>
      </c>
      <c r="G612" s="9" t="n">
        <v>37422</v>
      </c>
      <c r="H612" s="5" t="n">
        <v>195</v>
      </c>
      <c r="I612" s="5" t="n">
        <v>105</v>
      </c>
      <c r="J612" s="5" t="n">
        <v>2025</v>
      </c>
      <c r="K612" s="7" t="s">
        <v>442</v>
      </c>
      <c r="L612" s="10" t="str">
        <f aca="false">INDEX(球隊主檔!$C$2:$C$31,MATCH($K612,球隊主檔!$A$2:$A$31,0))</f>
        <v>聖路易紅雀</v>
      </c>
      <c r="M612" s="11" t="n">
        <f aca="false">IF($C612="打者",COUNTIF(打擊成績!$B:$B,$A612),COUNTIF(投手成績!$B:$B,$A612))</f>
        <v>2</v>
      </c>
    </row>
    <row r="613" customFormat="false" ht="15" hidden="false" customHeight="false" outlineLevel="0" collapsed="false">
      <c r="A613" s="7" t="s">
        <v>1699</v>
      </c>
      <c r="B613" s="7" t="s">
        <v>1700</v>
      </c>
      <c r="C613" s="8" t="s">
        <v>469</v>
      </c>
      <c r="D613" s="7" t="s">
        <v>486</v>
      </c>
      <c r="E613" s="7" t="s">
        <v>174</v>
      </c>
      <c r="F613" s="7" t="s">
        <v>152</v>
      </c>
      <c r="G613" s="9" t="n">
        <v>36942</v>
      </c>
      <c r="H613" s="5" t="n">
        <v>188</v>
      </c>
      <c r="I613" s="5" t="n">
        <v>111</v>
      </c>
      <c r="J613" s="5" t="n">
        <v>2025</v>
      </c>
      <c r="K613" s="7" t="s">
        <v>367</v>
      </c>
      <c r="L613" s="10" t="str">
        <f aca="false">INDEX(球隊主檔!$C$2:$C$31,MATCH($K613,球隊主檔!$A$2:$A$31,0))</f>
        <v>克里夫蘭守護者</v>
      </c>
      <c r="M613" s="11" t="n">
        <f aca="false">IF($C613="打者",COUNTIF(打擊成績!$B:$B,$A613),COUNTIF(投手成績!$B:$B,$A613))</f>
        <v>2</v>
      </c>
    </row>
    <row r="614" customFormat="false" ht="15" hidden="false" customHeight="false" outlineLevel="0" collapsed="false">
      <c r="A614" s="7" t="s">
        <v>1701</v>
      </c>
      <c r="B614" s="7" t="s">
        <v>1702</v>
      </c>
      <c r="C614" s="8" t="s">
        <v>495</v>
      </c>
      <c r="D614" s="7" t="s">
        <v>507</v>
      </c>
      <c r="E614" s="7" t="s">
        <v>152</v>
      </c>
      <c r="F614" s="7" t="s">
        <v>152</v>
      </c>
      <c r="G614" s="9" t="n">
        <v>38401</v>
      </c>
      <c r="H614" s="5" t="n">
        <v>175</v>
      </c>
      <c r="I614" s="5" t="n">
        <v>86</v>
      </c>
      <c r="J614" s="5" t="n">
        <v>2025</v>
      </c>
      <c r="K614" s="7" t="s">
        <v>396</v>
      </c>
      <c r="L614" s="10" t="str">
        <f aca="false">INDEX(球隊主檔!$C$2:$C$31,MATCH($K614,球隊主檔!$A$2:$A$31,0))</f>
        <v>西雅圖水手</v>
      </c>
      <c r="M614" s="11" t="n">
        <f aca="false">IF($C614="打者",COUNTIF(打擊成績!$B:$B,$A614),COUNTIF(投手成績!$B:$B,$A614))</f>
        <v>2</v>
      </c>
    </row>
    <row r="615" customFormat="false" ht="15" hidden="false" customHeight="false" outlineLevel="0" collapsed="false">
      <c r="A615" s="7" t="s">
        <v>1703</v>
      </c>
      <c r="B615" s="7" t="s">
        <v>1704</v>
      </c>
      <c r="C615" s="8" t="s">
        <v>469</v>
      </c>
      <c r="D615" s="7" t="s">
        <v>483</v>
      </c>
      <c r="E615" s="7" t="s">
        <v>152</v>
      </c>
      <c r="F615" s="7" t="s">
        <v>126</v>
      </c>
      <c r="G615" s="9" t="n">
        <v>37152</v>
      </c>
      <c r="H615" s="5" t="n">
        <v>192</v>
      </c>
      <c r="I615" s="5" t="n">
        <v>88</v>
      </c>
      <c r="J615" s="5" t="n">
        <v>2025</v>
      </c>
      <c r="K615" s="7" t="s">
        <v>383</v>
      </c>
      <c r="L615" s="10" t="str">
        <f aca="false">INDEX(球隊主檔!$C$2:$C$31,MATCH($K615,球隊主檔!$A$2:$A$31,0))</f>
        <v>運動家</v>
      </c>
      <c r="M615" s="11" t="n">
        <f aca="false">IF($C615="打者",COUNTIF(打擊成績!$B:$B,$A615),COUNTIF(投手成績!$B:$B,$A615))</f>
        <v>2</v>
      </c>
    </row>
    <row r="616" customFormat="false" ht="15" hidden="false" customHeight="false" outlineLevel="0" collapsed="false">
      <c r="A616" s="7" t="s">
        <v>1705</v>
      </c>
      <c r="B616" s="7" t="s">
        <v>1706</v>
      </c>
      <c r="C616" s="8" t="s">
        <v>495</v>
      </c>
      <c r="D616" s="7" t="s">
        <v>507</v>
      </c>
      <c r="E616" s="7" t="s">
        <v>152</v>
      </c>
      <c r="F616" s="7" t="s">
        <v>152</v>
      </c>
      <c r="G616" s="9" t="n">
        <v>37592</v>
      </c>
      <c r="H616" s="5" t="n">
        <v>198</v>
      </c>
      <c r="I616" s="5" t="n">
        <v>96</v>
      </c>
      <c r="J616" s="5" t="n">
        <v>2025</v>
      </c>
      <c r="K616" s="7" t="s">
        <v>371</v>
      </c>
      <c r="L616" s="10" t="str">
        <f aca="false">INDEX(球隊主檔!$C$2:$C$31,MATCH($K616,球隊主檔!$A$2:$A$31,0))</f>
        <v>底特律老虎</v>
      </c>
      <c r="M616" s="11" t="n">
        <f aca="false">IF($C616="打者",COUNTIF(打擊成績!$B:$B,$A616),COUNTIF(投手成績!$B:$B,$A616))</f>
        <v>2</v>
      </c>
    </row>
    <row r="617" customFormat="false" ht="15" hidden="false" customHeight="false" outlineLevel="0" collapsed="false">
      <c r="A617" s="7" t="s">
        <v>1707</v>
      </c>
      <c r="B617" s="7" t="s">
        <v>1708</v>
      </c>
      <c r="C617" s="8" t="s">
        <v>469</v>
      </c>
      <c r="D617" s="7" t="s">
        <v>158</v>
      </c>
      <c r="E617" s="7" t="s">
        <v>152</v>
      </c>
      <c r="F617" s="7" t="s">
        <v>126</v>
      </c>
      <c r="G617" s="9" t="n">
        <v>38059</v>
      </c>
      <c r="H617" s="5" t="n">
        <v>182</v>
      </c>
      <c r="I617" s="5" t="n">
        <v>106</v>
      </c>
      <c r="J617" s="5" t="n">
        <v>2025</v>
      </c>
      <c r="K617" s="7" t="s">
        <v>375</v>
      </c>
      <c r="L617" s="10" t="str">
        <f aca="false">INDEX(球隊主檔!$C$2:$C$31,MATCH($K617,球隊主檔!$A$2:$A$31,0))</f>
        <v>堪薩斯市皇家</v>
      </c>
      <c r="M617" s="11" t="n">
        <f aca="false">IF($C617="打者",COUNTIF(打擊成績!$B:$B,$A617),COUNTIF(投手成績!$B:$B,$A617))</f>
        <v>2</v>
      </c>
    </row>
    <row r="618" customFormat="false" ht="15" hidden="false" customHeight="false" outlineLevel="0" collapsed="false">
      <c r="A618" s="7" t="s">
        <v>1709</v>
      </c>
      <c r="B618" s="7" t="s">
        <v>1710</v>
      </c>
      <c r="C618" s="8" t="s">
        <v>495</v>
      </c>
      <c r="D618" s="7" t="s">
        <v>507</v>
      </c>
      <c r="E618" s="7" t="s">
        <v>152</v>
      </c>
      <c r="F618" s="7" t="s">
        <v>152</v>
      </c>
      <c r="G618" s="9" t="n">
        <v>37135</v>
      </c>
      <c r="H618" s="5" t="n">
        <v>184</v>
      </c>
      <c r="I618" s="5" t="n">
        <v>104</v>
      </c>
      <c r="J618" s="5" t="n">
        <v>2025</v>
      </c>
      <c r="K618" s="7" t="s">
        <v>375</v>
      </c>
      <c r="L618" s="10" t="str">
        <f aca="false">INDEX(球隊主檔!$C$2:$C$31,MATCH($K618,球隊主檔!$A$2:$A$31,0))</f>
        <v>堪薩斯市皇家</v>
      </c>
      <c r="M618" s="11" t="n">
        <f aca="false">IF($C618="打者",COUNTIF(打擊成績!$B:$B,$A618),COUNTIF(投手成績!$B:$B,$A618))</f>
        <v>2</v>
      </c>
    </row>
    <row r="619" customFormat="false" ht="15" hidden="false" customHeight="false" outlineLevel="0" collapsed="false">
      <c r="A619" s="7" t="s">
        <v>1711</v>
      </c>
      <c r="B619" s="7" t="s">
        <v>1712</v>
      </c>
      <c r="C619" s="8" t="s">
        <v>495</v>
      </c>
      <c r="D619" s="7" t="s">
        <v>507</v>
      </c>
      <c r="E619" s="7" t="s">
        <v>152</v>
      </c>
      <c r="F619" s="7" t="s">
        <v>126</v>
      </c>
      <c r="G619" s="9" t="n">
        <v>37487</v>
      </c>
      <c r="H619" s="5" t="n">
        <v>199</v>
      </c>
      <c r="I619" s="5" t="n">
        <v>111</v>
      </c>
      <c r="J619" s="5" t="n">
        <v>2025</v>
      </c>
      <c r="K619" s="7" t="s">
        <v>375</v>
      </c>
      <c r="L619" s="10" t="str">
        <f aca="false">INDEX(球隊主檔!$C$2:$C$31,MATCH($K619,球隊主檔!$A$2:$A$31,0))</f>
        <v>堪薩斯市皇家</v>
      </c>
      <c r="M619" s="11" t="n">
        <f aca="false">IF($C619="打者",COUNTIF(打擊成績!$B:$B,$A619),COUNTIF(投手成績!$B:$B,$A619))</f>
        <v>2</v>
      </c>
    </row>
    <row r="620" customFormat="false" ht="15" hidden="false" customHeight="false" outlineLevel="0" collapsed="false">
      <c r="A620" s="7" t="s">
        <v>1713</v>
      </c>
      <c r="B620" s="7" t="s">
        <v>1714</v>
      </c>
      <c r="C620" s="8" t="s">
        <v>495</v>
      </c>
      <c r="D620" s="7" t="s">
        <v>496</v>
      </c>
      <c r="E620" s="7" t="s">
        <v>126</v>
      </c>
      <c r="F620" s="7" t="s">
        <v>152</v>
      </c>
      <c r="G620" s="9" t="n">
        <v>36947</v>
      </c>
      <c r="H620" s="5" t="n">
        <v>191</v>
      </c>
      <c r="I620" s="5" t="n">
        <v>83</v>
      </c>
      <c r="J620" s="5" t="n">
        <v>2025</v>
      </c>
      <c r="K620" s="7" t="s">
        <v>379</v>
      </c>
      <c r="L620" s="10" t="str">
        <f aca="false">INDEX(球隊主檔!$C$2:$C$31,MATCH($K620,球隊主檔!$A$2:$A$31,0))</f>
        <v>明尼蘇達雙城</v>
      </c>
      <c r="M620" s="11" t="n">
        <f aca="false">IF($C620="打者",COUNTIF(打擊成績!$B:$B,$A620),COUNTIF(投手成績!$B:$B,$A620))</f>
        <v>2</v>
      </c>
    </row>
    <row r="621" customFormat="false" ht="15" hidden="false" customHeight="false" outlineLevel="0" collapsed="false">
      <c r="A621" s="7" t="s">
        <v>1715</v>
      </c>
      <c r="B621" s="7" t="s">
        <v>1716</v>
      </c>
      <c r="C621" s="8" t="s">
        <v>495</v>
      </c>
      <c r="D621" s="7" t="s">
        <v>496</v>
      </c>
      <c r="E621" s="7" t="s">
        <v>152</v>
      </c>
      <c r="F621" s="7" t="s">
        <v>152</v>
      </c>
      <c r="G621" s="9" t="n">
        <v>37810</v>
      </c>
      <c r="H621" s="5" t="n">
        <v>195</v>
      </c>
      <c r="I621" s="5" t="n">
        <v>82</v>
      </c>
      <c r="J621" s="5" t="n">
        <v>2025</v>
      </c>
      <c r="K621" s="7" t="s">
        <v>379</v>
      </c>
      <c r="L621" s="10" t="str">
        <f aca="false">INDEX(球隊主檔!$C$2:$C$31,MATCH($K621,球隊主檔!$A$2:$A$31,0))</f>
        <v>明尼蘇達雙城</v>
      </c>
      <c r="M621" s="11" t="n">
        <f aca="false">IF($C621="打者",COUNTIF(打擊成績!$B:$B,$A621),COUNTIF(投手成績!$B:$B,$A621))</f>
        <v>2</v>
      </c>
    </row>
    <row r="622" customFormat="false" ht="15" hidden="false" customHeight="false" outlineLevel="0" collapsed="false">
      <c r="A622" s="7" t="s">
        <v>1717</v>
      </c>
      <c r="B622" s="7" t="s">
        <v>1718</v>
      </c>
      <c r="C622" s="8" t="s">
        <v>469</v>
      </c>
      <c r="D622" s="7" t="s">
        <v>478</v>
      </c>
      <c r="E622" s="7" t="s">
        <v>126</v>
      </c>
      <c r="F622" s="7" t="s">
        <v>152</v>
      </c>
      <c r="G622" s="9" t="n">
        <v>38079</v>
      </c>
      <c r="H622" s="5" t="n">
        <v>193</v>
      </c>
      <c r="I622" s="5" t="n">
        <v>98</v>
      </c>
      <c r="J622" s="5" t="n">
        <v>2025</v>
      </c>
      <c r="K622" s="7" t="s">
        <v>383</v>
      </c>
      <c r="L622" s="10" t="str">
        <f aca="false">INDEX(球隊主檔!$C$2:$C$31,MATCH($K622,球隊主檔!$A$2:$A$31,0))</f>
        <v>運動家</v>
      </c>
      <c r="M622" s="11" t="n">
        <f aca="false">IF($C622="打者",COUNTIF(打擊成績!$B:$B,$A622),COUNTIF(投手成績!$B:$B,$A622))</f>
        <v>2</v>
      </c>
    </row>
    <row r="623" customFormat="false" ht="15" hidden="false" customHeight="false" outlineLevel="0" collapsed="false">
      <c r="A623" s="7" t="s">
        <v>1719</v>
      </c>
      <c r="B623" s="7" t="s">
        <v>1720</v>
      </c>
      <c r="C623" s="8" t="s">
        <v>469</v>
      </c>
      <c r="D623" s="7" t="s">
        <v>162</v>
      </c>
      <c r="E623" s="7" t="s">
        <v>126</v>
      </c>
      <c r="F623" s="7" t="s">
        <v>152</v>
      </c>
      <c r="G623" s="9" t="n">
        <v>37143</v>
      </c>
      <c r="H623" s="5" t="n">
        <v>190</v>
      </c>
      <c r="I623" s="5" t="n">
        <v>93</v>
      </c>
      <c r="J623" s="5" t="n">
        <v>2025</v>
      </c>
      <c r="K623" s="7" t="s">
        <v>383</v>
      </c>
      <c r="L623" s="10" t="str">
        <f aca="false">INDEX(球隊主檔!$C$2:$C$31,MATCH($K623,球隊主檔!$A$2:$A$31,0))</f>
        <v>運動家</v>
      </c>
      <c r="M623" s="11" t="n">
        <f aca="false">IF($C623="打者",COUNTIF(打擊成績!$B:$B,$A623),COUNTIF(投手成績!$B:$B,$A623))</f>
        <v>2</v>
      </c>
    </row>
    <row r="624" customFormat="false" ht="15" hidden="false" customHeight="false" outlineLevel="0" collapsed="false">
      <c r="A624" s="7" t="s">
        <v>1721</v>
      </c>
      <c r="B624" s="7" t="s">
        <v>1722</v>
      </c>
      <c r="C624" s="8" t="s">
        <v>495</v>
      </c>
      <c r="D624" s="7" t="s">
        <v>496</v>
      </c>
      <c r="E624" s="7" t="s">
        <v>152</v>
      </c>
      <c r="F624" s="7" t="s">
        <v>152</v>
      </c>
      <c r="G624" s="9" t="n">
        <v>37471</v>
      </c>
      <c r="H624" s="5" t="n">
        <v>194</v>
      </c>
      <c r="I624" s="5" t="n">
        <v>102</v>
      </c>
      <c r="J624" s="5" t="n">
        <v>2025</v>
      </c>
      <c r="K624" s="7" t="s">
        <v>383</v>
      </c>
      <c r="L624" s="10" t="str">
        <f aca="false">INDEX(球隊主檔!$C$2:$C$31,MATCH($K624,球隊主檔!$A$2:$A$31,0))</f>
        <v>運動家</v>
      </c>
      <c r="M624" s="11" t="n">
        <f aca="false">IF($C624="打者",COUNTIF(打擊成績!$B:$B,$A624),COUNTIF(投手成績!$B:$B,$A624))</f>
        <v>2</v>
      </c>
    </row>
    <row r="625" customFormat="false" ht="15" hidden="false" customHeight="false" outlineLevel="0" collapsed="false">
      <c r="A625" s="7" t="s">
        <v>1723</v>
      </c>
      <c r="B625" s="7" t="s">
        <v>1724</v>
      </c>
      <c r="C625" s="8" t="s">
        <v>495</v>
      </c>
      <c r="D625" s="7" t="s">
        <v>507</v>
      </c>
      <c r="E625" s="7" t="s">
        <v>152</v>
      </c>
      <c r="F625" s="7" t="s">
        <v>152</v>
      </c>
      <c r="G625" s="9" t="n">
        <v>37886</v>
      </c>
      <c r="H625" s="5" t="n">
        <v>195</v>
      </c>
      <c r="I625" s="5" t="n">
        <v>83</v>
      </c>
      <c r="J625" s="5" t="n">
        <v>2025</v>
      </c>
      <c r="K625" s="7" t="s">
        <v>388</v>
      </c>
      <c r="L625" s="10" t="str">
        <f aca="false">INDEX(球隊主檔!$C$2:$C$31,MATCH($K625,球隊主檔!$A$2:$A$31,0))</f>
        <v>休士頓太空人</v>
      </c>
      <c r="M625" s="11" t="n">
        <f aca="false">IF($C625="打者",COUNTIF(打擊成績!$B:$B,$A625),COUNTIF(投手成績!$B:$B,$A625))</f>
        <v>2</v>
      </c>
    </row>
    <row r="626" customFormat="false" ht="15" hidden="false" customHeight="false" outlineLevel="0" collapsed="false">
      <c r="A626" s="7" t="s">
        <v>1725</v>
      </c>
      <c r="B626" s="7" t="s">
        <v>1726</v>
      </c>
      <c r="C626" s="8" t="s">
        <v>469</v>
      </c>
      <c r="D626" s="7" t="s">
        <v>478</v>
      </c>
      <c r="E626" s="7" t="s">
        <v>152</v>
      </c>
      <c r="F626" s="7" t="s">
        <v>152</v>
      </c>
      <c r="G626" s="9" t="n">
        <v>36358</v>
      </c>
      <c r="H626" s="5" t="n">
        <v>177</v>
      </c>
      <c r="I626" s="5" t="n">
        <v>96</v>
      </c>
      <c r="J626" s="5" t="n">
        <v>2025</v>
      </c>
      <c r="K626" s="7" t="s">
        <v>392</v>
      </c>
      <c r="L626" s="10" t="str">
        <f aca="false">INDEX(球隊主檔!$C$2:$C$31,MATCH($K626,球隊主檔!$A$2:$A$31,0))</f>
        <v>洛杉磯天使</v>
      </c>
      <c r="M626" s="11" t="n">
        <f aca="false">IF($C626="打者",COUNTIF(打擊成績!$B:$B,$A626),COUNTIF(投手成績!$B:$B,$A626))</f>
        <v>2</v>
      </c>
    </row>
    <row r="627" customFormat="false" ht="15" hidden="false" customHeight="false" outlineLevel="0" collapsed="false">
      <c r="A627" s="7" t="s">
        <v>1727</v>
      </c>
      <c r="B627" s="7" t="s">
        <v>1728</v>
      </c>
      <c r="C627" s="8" t="s">
        <v>469</v>
      </c>
      <c r="D627" s="7" t="s">
        <v>470</v>
      </c>
      <c r="E627" s="7" t="s">
        <v>152</v>
      </c>
      <c r="F627" s="7" t="s">
        <v>152</v>
      </c>
      <c r="G627" s="9" t="n">
        <v>36642</v>
      </c>
      <c r="H627" s="5" t="n">
        <v>181</v>
      </c>
      <c r="I627" s="5" t="n">
        <v>95</v>
      </c>
      <c r="J627" s="5" t="n">
        <v>2025</v>
      </c>
      <c r="K627" s="7" t="s">
        <v>392</v>
      </c>
      <c r="L627" s="10" t="str">
        <f aca="false">INDEX(球隊主檔!$C$2:$C$31,MATCH($K627,球隊主檔!$A$2:$A$31,0))</f>
        <v>洛杉磯天使</v>
      </c>
      <c r="M627" s="11" t="n">
        <f aca="false">IF($C627="打者",COUNTIF(打擊成績!$B:$B,$A627),COUNTIF(投手成績!$B:$B,$A627))</f>
        <v>2</v>
      </c>
    </row>
    <row r="628" customFormat="false" ht="15" hidden="false" customHeight="false" outlineLevel="0" collapsed="false">
      <c r="A628" s="7" t="s">
        <v>1729</v>
      </c>
      <c r="B628" s="7" t="s">
        <v>1730</v>
      </c>
      <c r="C628" s="8" t="s">
        <v>469</v>
      </c>
      <c r="D628" s="7" t="s">
        <v>63</v>
      </c>
      <c r="E628" s="7" t="s">
        <v>152</v>
      </c>
      <c r="F628" s="7" t="s">
        <v>152</v>
      </c>
      <c r="G628" s="9" t="n">
        <v>38141</v>
      </c>
      <c r="H628" s="5" t="n">
        <v>186</v>
      </c>
      <c r="I628" s="5" t="n">
        <v>93</v>
      </c>
      <c r="J628" s="5" t="n">
        <v>2025</v>
      </c>
      <c r="K628" s="7" t="s">
        <v>392</v>
      </c>
      <c r="L628" s="10" t="str">
        <f aca="false">INDEX(球隊主檔!$C$2:$C$31,MATCH($K628,球隊主檔!$A$2:$A$31,0))</f>
        <v>洛杉磯天使</v>
      </c>
      <c r="M628" s="11" t="n">
        <f aca="false">IF($C628="打者",COUNTIF(打擊成績!$B:$B,$A628),COUNTIF(投手成績!$B:$B,$A628))</f>
        <v>2</v>
      </c>
    </row>
    <row r="629" customFormat="false" ht="15" hidden="false" customHeight="false" outlineLevel="0" collapsed="false">
      <c r="A629" s="7" t="s">
        <v>1731</v>
      </c>
      <c r="B629" s="7" t="s">
        <v>1732</v>
      </c>
      <c r="C629" s="8" t="s">
        <v>495</v>
      </c>
      <c r="D629" s="7" t="s">
        <v>507</v>
      </c>
      <c r="E629" s="7" t="s">
        <v>126</v>
      </c>
      <c r="F629" s="7" t="s">
        <v>152</v>
      </c>
      <c r="G629" s="9" t="n">
        <v>37148</v>
      </c>
      <c r="H629" s="5" t="n">
        <v>190</v>
      </c>
      <c r="I629" s="5" t="n">
        <v>92</v>
      </c>
      <c r="J629" s="5" t="n">
        <v>2025</v>
      </c>
      <c r="K629" s="7" t="s">
        <v>392</v>
      </c>
      <c r="L629" s="10" t="str">
        <f aca="false">INDEX(球隊主檔!$C$2:$C$31,MATCH($K629,球隊主檔!$A$2:$A$31,0))</f>
        <v>洛杉磯天使</v>
      </c>
      <c r="M629" s="11" t="n">
        <f aca="false">IF($C629="打者",COUNTIF(打擊成績!$B:$B,$A629),COUNTIF(投手成績!$B:$B,$A629))</f>
        <v>2</v>
      </c>
    </row>
    <row r="630" customFormat="false" ht="15" hidden="false" customHeight="false" outlineLevel="0" collapsed="false">
      <c r="A630" s="7" t="s">
        <v>1733</v>
      </c>
      <c r="B630" s="7" t="s">
        <v>1734</v>
      </c>
      <c r="C630" s="8" t="s">
        <v>495</v>
      </c>
      <c r="D630" s="7" t="s">
        <v>496</v>
      </c>
      <c r="E630" s="7" t="s">
        <v>152</v>
      </c>
      <c r="F630" s="7" t="s">
        <v>126</v>
      </c>
      <c r="G630" s="9" t="n">
        <v>37364</v>
      </c>
      <c r="H630" s="5" t="n">
        <v>186</v>
      </c>
      <c r="I630" s="5" t="n">
        <v>98</v>
      </c>
      <c r="J630" s="5" t="n">
        <v>2025</v>
      </c>
      <c r="K630" s="7" t="s">
        <v>396</v>
      </c>
      <c r="L630" s="10" t="str">
        <f aca="false">INDEX(球隊主檔!$C$2:$C$31,MATCH($K630,球隊主檔!$A$2:$A$31,0))</f>
        <v>西雅圖水手</v>
      </c>
      <c r="M630" s="11" t="n">
        <f aca="false">IF($C630="打者",COUNTIF(打擊成績!$B:$B,$A630),COUNTIF(投手成績!$B:$B,$A630))</f>
        <v>2</v>
      </c>
    </row>
    <row r="631" customFormat="false" ht="15" hidden="false" customHeight="false" outlineLevel="0" collapsed="false">
      <c r="A631" s="7" t="s">
        <v>1735</v>
      </c>
      <c r="B631" s="7" t="s">
        <v>1736</v>
      </c>
      <c r="C631" s="8" t="s">
        <v>495</v>
      </c>
      <c r="D631" s="7" t="s">
        <v>507</v>
      </c>
      <c r="E631" s="7" t="s">
        <v>152</v>
      </c>
      <c r="F631" s="7" t="s">
        <v>152</v>
      </c>
      <c r="G631" s="9" t="n">
        <v>38012</v>
      </c>
      <c r="H631" s="5" t="n">
        <v>188</v>
      </c>
      <c r="I631" s="5" t="n">
        <v>81</v>
      </c>
      <c r="J631" s="5" t="n">
        <v>2025</v>
      </c>
      <c r="K631" s="7" t="s">
        <v>396</v>
      </c>
      <c r="L631" s="10" t="str">
        <f aca="false">INDEX(球隊主檔!$C$2:$C$31,MATCH($K631,球隊主檔!$A$2:$A$31,0))</f>
        <v>西雅圖水手</v>
      </c>
      <c r="M631" s="11" t="n">
        <f aca="false">IF($C631="打者",COUNTIF(打擊成績!$B:$B,$A631),COUNTIF(投手成績!$B:$B,$A631))</f>
        <v>2</v>
      </c>
    </row>
    <row r="632" customFormat="false" ht="15" hidden="false" customHeight="false" outlineLevel="0" collapsed="false">
      <c r="A632" s="7" t="s">
        <v>1737</v>
      </c>
      <c r="B632" s="7" t="s">
        <v>1738</v>
      </c>
      <c r="C632" s="8" t="s">
        <v>495</v>
      </c>
      <c r="D632" s="7" t="s">
        <v>507</v>
      </c>
      <c r="E632" s="7" t="s">
        <v>126</v>
      </c>
      <c r="F632" s="7" t="s">
        <v>126</v>
      </c>
      <c r="G632" s="9" t="n">
        <v>37366</v>
      </c>
      <c r="H632" s="5" t="n">
        <v>197</v>
      </c>
      <c r="I632" s="5" t="n">
        <v>94</v>
      </c>
      <c r="J632" s="5" t="n">
        <v>2025</v>
      </c>
      <c r="K632" s="7" t="s">
        <v>396</v>
      </c>
      <c r="L632" s="10" t="str">
        <f aca="false">INDEX(球隊主檔!$C$2:$C$31,MATCH($K632,球隊主檔!$A$2:$A$31,0))</f>
        <v>西雅圖水手</v>
      </c>
      <c r="M632" s="11" t="n">
        <f aca="false">IF($C632="打者",COUNTIF(打擊成績!$B:$B,$A632),COUNTIF(投手成績!$B:$B,$A632))</f>
        <v>2</v>
      </c>
    </row>
    <row r="633" customFormat="false" ht="15" hidden="false" customHeight="false" outlineLevel="0" collapsed="false">
      <c r="A633" s="7" t="s">
        <v>1739</v>
      </c>
      <c r="B633" s="7" t="s">
        <v>1740</v>
      </c>
      <c r="C633" s="8" t="s">
        <v>469</v>
      </c>
      <c r="D633" s="7" t="s">
        <v>473</v>
      </c>
      <c r="E633" s="7" t="s">
        <v>126</v>
      </c>
      <c r="F633" s="7" t="s">
        <v>152</v>
      </c>
      <c r="G633" s="9" t="n">
        <v>38363</v>
      </c>
      <c r="H633" s="5" t="n">
        <v>179</v>
      </c>
      <c r="I633" s="5" t="n">
        <v>96</v>
      </c>
      <c r="J633" s="5" t="n">
        <v>2025</v>
      </c>
      <c r="K633" s="7" t="s">
        <v>400</v>
      </c>
      <c r="L633" s="10" t="str">
        <f aca="false">INDEX(球隊主檔!$C$2:$C$31,MATCH($K633,球隊主檔!$A$2:$A$31,0))</f>
        <v>德州遊騎兵</v>
      </c>
      <c r="M633" s="11" t="n">
        <f aca="false">IF($C633="打者",COUNTIF(打擊成績!$B:$B,$A633),COUNTIF(投手成績!$B:$B,$A633))</f>
        <v>2</v>
      </c>
    </row>
    <row r="634" customFormat="false" ht="15" hidden="false" customHeight="false" outlineLevel="0" collapsed="false">
      <c r="A634" s="7" t="s">
        <v>1741</v>
      </c>
      <c r="B634" s="7" t="s">
        <v>1742</v>
      </c>
      <c r="C634" s="8" t="s">
        <v>495</v>
      </c>
      <c r="D634" s="7" t="s">
        <v>496</v>
      </c>
      <c r="E634" s="7" t="s">
        <v>126</v>
      </c>
      <c r="F634" s="7" t="s">
        <v>152</v>
      </c>
      <c r="G634" s="9" t="n">
        <v>38042</v>
      </c>
      <c r="H634" s="5" t="n">
        <v>197</v>
      </c>
      <c r="I634" s="5" t="n">
        <v>86</v>
      </c>
      <c r="J634" s="5" t="n">
        <v>2025</v>
      </c>
      <c r="K634" s="7" t="s">
        <v>404</v>
      </c>
      <c r="L634" s="10" t="str">
        <f aca="false">INDEX(球隊主檔!$C$2:$C$31,MATCH($K634,球隊主檔!$A$2:$A$31,0))</f>
        <v>亞特蘭大勇士</v>
      </c>
      <c r="M634" s="11" t="n">
        <f aca="false">IF($C634="打者",COUNTIF(打擊成績!$B:$B,$A634),COUNTIF(投手成績!$B:$B,$A634))</f>
        <v>2</v>
      </c>
    </row>
    <row r="635" customFormat="false" ht="15" hidden="false" customHeight="false" outlineLevel="0" collapsed="false">
      <c r="A635" s="7" t="s">
        <v>1743</v>
      </c>
      <c r="B635" s="7" t="s">
        <v>1744</v>
      </c>
      <c r="C635" s="8" t="s">
        <v>495</v>
      </c>
      <c r="D635" s="7" t="s">
        <v>507</v>
      </c>
      <c r="E635" s="7" t="s">
        <v>152</v>
      </c>
      <c r="F635" s="7" t="s">
        <v>152</v>
      </c>
      <c r="G635" s="9" t="n">
        <v>36174</v>
      </c>
      <c r="H635" s="5" t="n">
        <v>191</v>
      </c>
      <c r="I635" s="5" t="n">
        <v>102</v>
      </c>
      <c r="J635" s="5" t="n">
        <v>2025</v>
      </c>
      <c r="K635" s="7" t="s">
        <v>404</v>
      </c>
      <c r="L635" s="10" t="str">
        <f aca="false">INDEX(球隊主檔!$C$2:$C$31,MATCH($K635,球隊主檔!$A$2:$A$31,0))</f>
        <v>亞特蘭大勇士</v>
      </c>
      <c r="M635" s="11" t="n">
        <f aca="false">IF($C635="打者",COUNTIF(打擊成績!$B:$B,$A635),COUNTIF(投手成績!$B:$B,$A635))</f>
        <v>1</v>
      </c>
    </row>
    <row r="636" customFormat="false" ht="15" hidden="false" customHeight="false" outlineLevel="0" collapsed="false">
      <c r="A636" s="7" t="s">
        <v>1745</v>
      </c>
      <c r="B636" s="7" t="s">
        <v>1746</v>
      </c>
      <c r="C636" s="8" t="s">
        <v>469</v>
      </c>
      <c r="D636" s="7" t="s">
        <v>473</v>
      </c>
      <c r="E636" s="7" t="s">
        <v>126</v>
      </c>
      <c r="F636" s="7" t="s">
        <v>152</v>
      </c>
      <c r="G636" s="9" t="n">
        <v>37543</v>
      </c>
      <c r="H636" s="5" t="n">
        <v>194</v>
      </c>
      <c r="I636" s="5" t="n">
        <v>88</v>
      </c>
      <c r="J636" s="5" t="n">
        <v>2025</v>
      </c>
      <c r="K636" s="7" t="s">
        <v>410</v>
      </c>
      <c r="L636" s="10" t="str">
        <f aca="false">INDEX(球隊主檔!$C$2:$C$31,MATCH($K636,球隊主檔!$A$2:$A$31,0))</f>
        <v>邁阿密馬林魚</v>
      </c>
      <c r="M636" s="11" t="n">
        <f aca="false">IF($C636="打者",COUNTIF(打擊成績!$B:$B,$A636),COUNTIF(投手成績!$B:$B,$A636))</f>
        <v>2</v>
      </c>
    </row>
    <row r="637" customFormat="false" ht="15" hidden="false" customHeight="false" outlineLevel="0" collapsed="false">
      <c r="A637" s="7" t="s">
        <v>1747</v>
      </c>
      <c r="B637" s="7" t="s">
        <v>1748</v>
      </c>
      <c r="C637" s="8" t="s">
        <v>469</v>
      </c>
      <c r="D637" s="7" t="s">
        <v>483</v>
      </c>
      <c r="E637" s="7" t="s">
        <v>126</v>
      </c>
      <c r="F637" s="7" t="s">
        <v>152</v>
      </c>
      <c r="G637" s="9" t="n">
        <v>36108</v>
      </c>
      <c r="H637" s="5" t="n">
        <v>176</v>
      </c>
      <c r="I637" s="5" t="n">
        <v>84</v>
      </c>
      <c r="J637" s="5" t="n">
        <v>2025</v>
      </c>
      <c r="K637" s="7" t="s">
        <v>410</v>
      </c>
      <c r="L637" s="10" t="str">
        <f aca="false">INDEX(球隊主檔!$C$2:$C$31,MATCH($K637,球隊主檔!$A$2:$A$31,0))</f>
        <v>邁阿密馬林魚</v>
      </c>
      <c r="M637" s="11" t="n">
        <f aca="false">IF($C637="打者",COUNTIF(打擊成績!$B:$B,$A637),COUNTIF(投手成績!$B:$B,$A637))</f>
        <v>2</v>
      </c>
    </row>
    <row r="638" customFormat="false" ht="15" hidden="false" customHeight="false" outlineLevel="0" collapsed="false">
      <c r="A638" s="7" t="s">
        <v>1749</v>
      </c>
      <c r="B638" s="7" t="s">
        <v>1750</v>
      </c>
      <c r="C638" s="8" t="s">
        <v>469</v>
      </c>
      <c r="D638" s="7" t="s">
        <v>522</v>
      </c>
      <c r="E638" s="7" t="s">
        <v>152</v>
      </c>
      <c r="F638" s="7" t="s">
        <v>152</v>
      </c>
      <c r="G638" s="9" t="n">
        <v>36986</v>
      </c>
      <c r="H638" s="5" t="n">
        <v>180</v>
      </c>
      <c r="I638" s="5" t="n">
        <v>97</v>
      </c>
      <c r="J638" s="5" t="n">
        <v>2025</v>
      </c>
      <c r="K638" s="7" t="s">
        <v>410</v>
      </c>
      <c r="L638" s="10" t="str">
        <f aca="false">INDEX(球隊主檔!$C$2:$C$31,MATCH($K638,球隊主檔!$A$2:$A$31,0))</f>
        <v>邁阿密馬林魚</v>
      </c>
      <c r="M638" s="11" t="n">
        <f aca="false">IF($C638="打者",COUNTIF(打擊成績!$B:$B,$A638),COUNTIF(投手成績!$B:$B,$A638))</f>
        <v>2</v>
      </c>
    </row>
    <row r="639" customFormat="false" ht="15" hidden="false" customHeight="false" outlineLevel="0" collapsed="false">
      <c r="A639" s="7" t="s">
        <v>1751</v>
      </c>
      <c r="B639" s="7" t="s">
        <v>1752</v>
      </c>
      <c r="C639" s="8" t="s">
        <v>469</v>
      </c>
      <c r="D639" s="7" t="s">
        <v>522</v>
      </c>
      <c r="E639" s="7" t="s">
        <v>126</v>
      </c>
      <c r="F639" s="7" t="s">
        <v>152</v>
      </c>
      <c r="G639" s="9" t="n">
        <v>36630</v>
      </c>
      <c r="H639" s="5" t="n">
        <v>177</v>
      </c>
      <c r="I639" s="5" t="n">
        <v>84</v>
      </c>
      <c r="J639" s="5" t="n">
        <v>2025</v>
      </c>
      <c r="K639" s="7" t="s">
        <v>410</v>
      </c>
      <c r="L639" s="10" t="str">
        <f aca="false">INDEX(球隊主檔!$C$2:$C$31,MATCH($K639,球隊主檔!$A$2:$A$31,0))</f>
        <v>邁阿密馬林魚</v>
      </c>
      <c r="M639" s="11" t="n">
        <f aca="false">IF($C639="打者",COUNTIF(打擊成績!$B:$B,$A639),COUNTIF(投手成績!$B:$B,$A639))</f>
        <v>2</v>
      </c>
    </row>
    <row r="640" customFormat="false" ht="15" hidden="false" customHeight="false" outlineLevel="0" collapsed="false">
      <c r="A640" s="7" t="s">
        <v>1753</v>
      </c>
      <c r="B640" s="7" t="s">
        <v>1754</v>
      </c>
      <c r="C640" s="8" t="s">
        <v>495</v>
      </c>
      <c r="D640" s="7" t="s">
        <v>496</v>
      </c>
      <c r="E640" s="7" t="s">
        <v>152</v>
      </c>
      <c r="F640" s="7" t="s">
        <v>152</v>
      </c>
      <c r="G640" s="9" t="n">
        <v>36518</v>
      </c>
      <c r="H640" s="5" t="n">
        <v>200</v>
      </c>
      <c r="I640" s="5" t="n">
        <v>85</v>
      </c>
      <c r="J640" s="5" t="n">
        <v>2025</v>
      </c>
      <c r="K640" s="7" t="s">
        <v>410</v>
      </c>
      <c r="L640" s="10" t="str">
        <f aca="false">INDEX(球隊主檔!$C$2:$C$31,MATCH($K640,球隊主檔!$A$2:$A$31,0))</f>
        <v>邁阿密馬林魚</v>
      </c>
      <c r="M640" s="11" t="n">
        <f aca="false">IF($C640="打者",COUNTIF(打擊成績!$B:$B,$A640),COUNTIF(投手成績!$B:$B,$A640))</f>
        <v>2</v>
      </c>
    </row>
    <row r="641" customFormat="false" ht="15" hidden="false" customHeight="false" outlineLevel="0" collapsed="false">
      <c r="A641" s="7" t="s">
        <v>1755</v>
      </c>
      <c r="B641" s="7" t="s">
        <v>1756</v>
      </c>
      <c r="C641" s="8" t="s">
        <v>495</v>
      </c>
      <c r="D641" s="7" t="s">
        <v>507</v>
      </c>
      <c r="E641" s="7" t="s">
        <v>152</v>
      </c>
      <c r="F641" s="7" t="s">
        <v>152</v>
      </c>
      <c r="G641" s="9" t="n">
        <v>37298</v>
      </c>
      <c r="H641" s="5" t="n">
        <v>196</v>
      </c>
      <c r="I641" s="5" t="n">
        <v>93</v>
      </c>
      <c r="J641" s="5" t="n">
        <v>2025</v>
      </c>
      <c r="K641" s="7" t="s">
        <v>410</v>
      </c>
      <c r="L641" s="10" t="str">
        <f aca="false">INDEX(球隊主檔!$C$2:$C$31,MATCH($K641,球隊主檔!$A$2:$A$31,0))</f>
        <v>邁阿密馬林魚</v>
      </c>
      <c r="M641" s="11" t="n">
        <f aca="false">IF($C641="打者",COUNTIF(打擊成績!$B:$B,$A641),COUNTIF(投手成績!$B:$B,$A641))</f>
        <v>2</v>
      </c>
    </row>
    <row r="642" customFormat="false" ht="15" hidden="false" customHeight="false" outlineLevel="0" collapsed="false">
      <c r="A642" s="7" t="s">
        <v>1757</v>
      </c>
      <c r="B642" s="7" t="s">
        <v>1758</v>
      </c>
      <c r="C642" s="8" t="s">
        <v>469</v>
      </c>
      <c r="D642" s="7" t="s">
        <v>478</v>
      </c>
      <c r="E642" s="7" t="s">
        <v>152</v>
      </c>
      <c r="F642" s="7" t="s">
        <v>152</v>
      </c>
      <c r="G642" s="9" t="n">
        <v>37359</v>
      </c>
      <c r="H642" s="5" t="n">
        <v>175</v>
      </c>
      <c r="I642" s="5" t="n">
        <v>82</v>
      </c>
      <c r="J642" s="5" t="n">
        <v>2025</v>
      </c>
      <c r="K642" s="7" t="s">
        <v>414</v>
      </c>
      <c r="L642" s="10" t="str">
        <f aca="false">INDEX(球隊主檔!$C$2:$C$31,MATCH($K642,球隊主檔!$A$2:$A$31,0))</f>
        <v>紐約大都會</v>
      </c>
      <c r="M642" s="11" t="n">
        <f aca="false">IF($C642="打者",COUNTIF(打擊成績!$B:$B,$A642),COUNTIF(投手成績!$B:$B,$A642))</f>
        <v>2</v>
      </c>
    </row>
    <row r="643" customFormat="false" ht="15" hidden="false" customHeight="false" outlineLevel="0" collapsed="false">
      <c r="A643" s="7" t="s">
        <v>1759</v>
      </c>
      <c r="B643" s="7" t="s">
        <v>1760</v>
      </c>
      <c r="C643" s="8" t="s">
        <v>469</v>
      </c>
      <c r="D643" s="7" t="s">
        <v>478</v>
      </c>
      <c r="E643" s="7" t="s">
        <v>152</v>
      </c>
      <c r="F643" s="7" t="s">
        <v>152</v>
      </c>
      <c r="G643" s="9" t="n">
        <v>36386</v>
      </c>
      <c r="H643" s="5" t="n">
        <v>199</v>
      </c>
      <c r="I643" s="5" t="n">
        <v>85</v>
      </c>
      <c r="J643" s="5" t="n">
        <v>2025</v>
      </c>
      <c r="K643" s="7" t="s">
        <v>400</v>
      </c>
      <c r="L643" s="10" t="str">
        <f aca="false">INDEX(球隊主檔!$C$2:$C$31,MATCH($K643,球隊主檔!$A$2:$A$31,0))</f>
        <v>德州遊騎兵</v>
      </c>
      <c r="M643" s="11" t="n">
        <f aca="false">IF($C643="打者",COUNTIF(打擊成績!$B:$B,$A643),COUNTIF(投手成績!$B:$B,$A643))</f>
        <v>2</v>
      </c>
    </row>
    <row r="644" customFormat="false" ht="15" hidden="false" customHeight="false" outlineLevel="0" collapsed="false">
      <c r="A644" s="7" t="s">
        <v>1761</v>
      </c>
      <c r="B644" s="7" t="s">
        <v>1762</v>
      </c>
      <c r="C644" s="8" t="s">
        <v>495</v>
      </c>
      <c r="D644" s="7" t="s">
        <v>507</v>
      </c>
      <c r="E644" s="7" t="s">
        <v>126</v>
      </c>
      <c r="F644" s="7" t="s">
        <v>152</v>
      </c>
      <c r="G644" s="9" t="n">
        <v>36766</v>
      </c>
      <c r="H644" s="5" t="n">
        <v>188</v>
      </c>
      <c r="I644" s="5" t="n">
        <v>98</v>
      </c>
      <c r="J644" s="5" t="n">
        <v>2025</v>
      </c>
      <c r="K644" s="7" t="s">
        <v>414</v>
      </c>
      <c r="L644" s="10" t="str">
        <f aca="false">INDEX(球隊主檔!$C$2:$C$31,MATCH($K644,球隊主檔!$A$2:$A$31,0))</f>
        <v>紐約大都會</v>
      </c>
      <c r="M644" s="11" t="n">
        <f aca="false">IF($C644="打者",COUNTIF(打擊成績!$B:$B,$A644),COUNTIF(投手成績!$B:$B,$A644))</f>
        <v>2</v>
      </c>
    </row>
    <row r="645" customFormat="false" ht="15" hidden="false" customHeight="false" outlineLevel="0" collapsed="false">
      <c r="A645" s="7" t="s">
        <v>1763</v>
      </c>
      <c r="B645" s="7" t="s">
        <v>1764</v>
      </c>
      <c r="C645" s="8" t="s">
        <v>495</v>
      </c>
      <c r="D645" s="7" t="s">
        <v>507</v>
      </c>
      <c r="E645" s="7" t="s">
        <v>152</v>
      </c>
      <c r="F645" s="7" t="s">
        <v>152</v>
      </c>
      <c r="G645" s="9" t="n">
        <v>36234</v>
      </c>
      <c r="H645" s="5" t="n">
        <v>178</v>
      </c>
      <c r="I645" s="5" t="n">
        <v>95</v>
      </c>
      <c r="J645" s="5" t="n">
        <v>2025</v>
      </c>
      <c r="K645" s="7" t="s">
        <v>414</v>
      </c>
      <c r="L645" s="10" t="str">
        <f aca="false">INDEX(球隊主檔!$C$2:$C$31,MATCH($K645,球隊主檔!$A$2:$A$31,0))</f>
        <v>紐約大都會</v>
      </c>
      <c r="M645" s="11" t="n">
        <f aca="false">IF($C645="打者",COUNTIF(打擊成績!$B:$B,$A645),COUNTIF(投手成績!$B:$B,$A645))</f>
        <v>2</v>
      </c>
    </row>
    <row r="646" customFormat="false" ht="15" hidden="false" customHeight="false" outlineLevel="0" collapsed="false">
      <c r="A646" s="7" t="s">
        <v>1765</v>
      </c>
      <c r="B646" s="7" t="s">
        <v>1766</v>
      </c>
      <c r="C646" s="8" t="s">
        <v>469</v>
      </c>
      <c r="D646" s="7" t="s">
        <v>522</v>
      </c>
      <c r="E646" s="7" t="s">
        <v>152</v>
      </c>
      <c r="F646" s="7" t="s">
        <v>152</v>
      </c>
      <c r="G646" s="9" t="n">
        <v>36958</v>
      </c>
      <c r="H646" s="5" t="n">
        <v>195</v>
      </c>
      <c r="I646" s="5" t="n">
        <v>94</v>
      </c>
      <c r="J646" s="5" t="n">
        <v>2025</v>
      </c>
      <c r="K646" s="7" t="s">
        <v>418</v>
      </c>
      <c r="L646" s="10" t="str">
        <f aca="false">INDEX(球隊主檔!$C$2:$C$31,MATCH($K646,球隊主檔!$A$2:$A$31,0))</f>
        <v>費城費城人</v>
      </c>
      <c r="M646" s="11" t="n">
        <f aca="false">IF($C646="打者",COUNTIF(打擊成績!$B:$B,$A646),COUNTIF(投手成績!$B:$B,$A646))</f>
        <v>2</v>
      </c>
    </row>
    <row r="647" customFormat="false" ht="15" hidden="false" customHeight="false" outlineLevel="0" collapsed="false">
      <c r="A647" s="7" t="s">
        <v>1767</v>
      </c>
      <c r="B647" s="7" t="s">
        <v>1768</v>
      </c>
      <c r="C647" s="8" t="s">
        <v>495</v>
      </c>
      <c r="D647" s="7" t="s">
        <v>496</v>
      </c>
      <c r="E647" s="7" t="s">
        <v>126</v>
      </c>
      <c r="F647" s="7" t="s">
        <v>152</v>
      </c>
      <c r="G647" s="9" t="n">
        <v>35873</v>
      </c>
      <c r="H647" s="5" t="n">
        <v>182</v>
      </c>
      <c r="I647" s="5" t="n">
        <v>84</v>
      </c>
      <c r="J647" s="5" t="n">
        <v>2025</v>
      </c>
      <c r="K647" s="7" t="s">
        <v>418</v>
      </c>
      <c r="L647" s="10" t="str">
        <f aca="false">INDEX(球隊主檔!$C$2:$C$31,MATCH($K647,球隊主檔!$A$2:$A$31,0))</f>
        <v>費城費城人</v>
      </c>
      <c r="M647" s="11" t="n">
        <f aca="false">IF($C647="打者",COUNTIF(打擊成績!$B:$B,$A647),COUNTIF(投手成績!$B:$B,$A647))</f>
        <v>1</v>
      </c>
    </row>
    <row r="648" customFormat="false" ht="15" hidden="false" customHeight="false" outlineLevel="0" collapsed="false">
      <c r="A648" s="7" t="s">
        <v>1769</v>
      </c>
      <c r="B648" s="7" t="s">
        <v>1770</v>
      </c>
      <c r="C648" s="8" t="s">
        <v>495</v>
      </c>
      <c r="D648" s="7" t="s">
        <v>507</v>
      </c>
      <c r="E648" s="7" t="s">
        <v>152</v>
      </c>
      <c r="F648" s="7" t="s">
        <v>152</v>
      </c>
      <c r="G648" s="9" t="n">
        <v>37675</v>
      </c>
      <c r="H648" s="5" t="n">
        <v>201</v>
      </c>
      <c r="I648" s="5" t="n">
        <v>98</v>
      </c>
      <c r="J648" s="5" t="n">
        <v>2025</v>
      </c>
      <c r="K648" s="7" t="s">
        <v>418</v>
      </c>
      <c r="L648" s="10" t="str">
        <f aca="false">INDEX(球隊主檔!$C$2:$C$31,MATCH($K648,球隊主檔!$A$2:$A$31,0))</f>
        <v>費城費城人</v>
      </c>
      <c r="M648" s="11" t="n">
        <f aca="false">IF($C648="打者",COUNTIF(打擊成績!$B:$B,$A648),COUNTIF(投手成績!$B:$B,$A648))</f>
        <v>2</v>
      </c>
    </row>
    <row r="649" customFormat="false" ht="15" hidden="false" customHeight="false" outlineLevel="0" collapsed="false">
      <c r="A649" s="7" t="s">
        <v>1771</v>
      </c>
      <c r="B649" s="7" t="s">
        <v>1772</v>
      </c>
      <c r="C649" s="8" t="s">
        <v>469</v>
      </c>
      <c r="D649" s="7" t="s">
        <v>522</v>
      </c>
      <c r="E649" s="7" t="s">
        <v>152</v>
      </c>
      <c r="F649" s="7" t="s">
        <v>152</v>
      </c>
      <c r="G649" s="9" t="n">
        <v>37546</v>
      </c>
      <c r="H649" s="5" t="n">
        <v>195</v>
      </c>
      <c r="I649" s="5" t="n">
        <v>110</v>
      </c>
      <c r="J649" s="5" t="n">
        <v>2025</v>
      </c>
      <c r="K649" s="7" t="s">
        <v>422</v>
      </c>
      <c r="L649" s="10" t="str">
        <f aca="false">INDEX(球隊主檔!$C$2:$C$31,MATCH($K649,球隊主檔!$A$2:$A$31,0))</f>
        <v>華盛頓國民</v>
      </c>
      <c r="M649" s="11" t="n">
        <f aca="false">IF($C649="打者",COUNTIF(打擊成績!$B:$B,$A649),COUNTIF(投手成績!$B:$B,$A649))</f>
        <v>2</v>
      </c>
    </row>
    <row r="650" customFormat="false" ht="15" hidden="false" customHeight="false" outlineLevel="0" collapsed="false">
      <c r="A650" s="7" t="s">
        <v>1773</v>
      </c>
      <c r="B650" s="7" t="s">
        <v>1774</v>
      </c>
      <c r="C650" s="8" t="s">
        <v>469</v>
      </c>
      <c r="D650" s="7" t="s">
        <v>162</v>
      </c>
      <c r="E650" s="7" t="s">
        <v>152</v>
      </c>
      <c r="F650" s="7" t="s">
        <v>152</v>
      </c>
      <c r="G650" s="9" t="n">
        <v>37889</v>
      </c>
      <c r="H650" s="5" t="n">
        <v>200</v>
      </c>
      <c r="I650" s="5" t="n">
        <v>93</v>
      </c>
      <c r="J650" s="5" t="n">
        <v>2025</v>
      </c>
      <c r="K650" s="7" t="s">
        <v>422</v>
      </c>
      <c r="L650" s="10" t="str">
        <f aca="false">INDEX(球隊主檔!$C$2:$C$31,MATCH($K650,球隊主檔!$A$2:$A$31,0))</f>
        <v>華盛頓國民</v>
      </c>
      <c r="M650" s="11" t="n">
        <f aca="false">IF($C650="打者",COUNTIF(打擊成績!$B:$B,$A650),COUNTIF(投手成績!$B:$B,$A650))</f>
        <v>1</v>
      </c>
    </row>
    <row r="651" customFormat="false" ht="15" hidden="false" customHeight="false" outlineLevel="0" collapsed="false">
      <c r="A651" s="7" t="s">
        <v>1775</v>
      </c>
      <c r="B651" s="7" t="s">
        <v>1776</v>
      </c>
      <c r="C651" s="8" t="s">
        <v>469</v>
      </c>
      <c r="D651" s="7" t="s">
        <v>470</v>
      </c>
      <c r="E651" s="7" t="s">
        <v>152</v>
      </c>
      <c r="F651" s="7" t="s">
        <v>152</v>
      </c>
      <c r="G651" s="9" t="n">
        <v>37705</v>
      </c>
      <c r="H651" s="5" t="n">
        <v>197</v>
      </c>
      <c r="I651" s="5" t="n">
        <v>100</v>
      </c>
      <c r="J651" s="5" t="n">
        <v>2025</v>
      </c>
      <c r="K651" s="7" t="s">
        <v>422</v>
      </c>
      <c r="L651" s="10" t="str">
        <f aca="false">INDEX(球隊主檔!$C$2:$C$31,MATCH($K651,球隊主檔!$A$2:$A$31,0))</f>
        <v>華盛頓國民</v>
      </c>
      <c r="M651" s="11" t="n">
        <f aca="false">IF($C651="打者",COUNTIF(打擊成績!$B:$B,$A651),COUNTIF(投手成績!$B:$B,$A651))</f>
        <v>2</v>
      </c>
    </row>
    <row r="652" customFormat="false" ht="15" hidden="false" customHeight="false" outlineLevel="0" collapsed="false">
      <c r="A652" s="7" t="s">
        <v>1777</v>
      </c>
      <c r="B652" s="7" t="s">
        <v>1778</v>
      </c>
      <c r="C652" s="8" t="s">
        <v>469</v>
      </c>
      <c r="D652" s="7" t="s">
        <v>470</v>
      </c>
      <c r="E652" s="7" t="s">
        <v>126</v>
      </c>
      <c r="F652" s="7" t="s">
        <v>152</v>
      </c>
      <c r="G652" s="9" t="n">
        <v>36988</v>
      </c>
      <c r="H652" s="5" t="n">
        <v>188</v>
      </c>
      <c r="I652" s="5" t="n">
        <v>107</v>
      </c>
      <c r="J652" s="5" t="n">
        <v>2025</v>
      </c>
      <c r="K652" s="7" t="s">
        <v>426</v>
      </c>
      <c r="L652" s="10" t="str">
        <f aca="false">INDEX(球隊主檔!$C$2:$C$31,MATCH($K652,球隊主檔!$A$2:$A$31,0))</f>
        <v>芝加哥小熊</v>
      </c>
      <c r="M652" s="11" t="n">
        <f aca="false">IF($C652="打者",COUNTIF(打擊成績!$B:$B,$A652),COUNTIF(投手成績!$B:$B,$A652))</f>
        <v>2</v>
      </c>
    </row>
    <row r="653" customFormat="false" ht="15" hidden="false" customHeight="false" outlineLevel="0" collapsed="false">
      <c r="A653" s="7" t="s">
        <v>1779</v>
      </c>
      <c r="B653" s="7" t="s">
        <v>1780</v>
      </c>
      <c r="C653" s="8" t="s">
        <v>495</v>
      </c>
      <c r="D653" s="7" t="s">
        <v>507</v>
      </c>
      <c r="E653" s="7" t="s">
        <v>152</v>
      </c>
      <c r="F653" s="7" t="s">
        <v>152</v>
      </c>
      <c r="G653" s="9" t="n">
        <v>37861</v>
      </c>
      <c r="H653" s="5" t="n">
        <v>194</v>
      </c>
      <c r="I653" s="5" t="n">
        <v>111</v>
      </c>
      <c r="J653" s="5" t="n">
        <v>2025</v>
      </c>
      <c r="K653" s="7" t="s">
        <v>426</v>
      </c>
      <c r="L653" s="10" t="str">
        <f aca="false">INDEX(球隊主檔!$C$2:$C$31,MATCH($K653,球隊主檔!$A$2:$A$31,0))</f>
        <v>芝加哥小熊</v>
      </c>
      <c r="M653" s="11" t="n">
        <f aca="false">IF($C653="打者",COUNTIF(打擊成績!$B:$B,$A653),COUNTIF(投手成績!$B:$B,$A653))</f>
        <v>2</v>
      </c>
    </row>
    <row r="654" customFormat="false" ht="15" hidden="false" customHeight="false" outlineLevel="0" collapsed="false">
      <c r="A654" s="7" t="s">
        <v>1781</v>
      </c>
      <c r="B654" s="7" t="s">
        <v>1782</v>
      </c>
      <c r="C654" s="8" t="s">
        <v>469</v>
      </c>
      <c r="D654" s="7" t="s">
        <v>470</v>
      </c>
      <c r="E654" s="7" t="s">
        <v>152</v>
      </c>
      <c r="F654" s="7" t="s">
        <v>152</v>
      </c>
      <c r="G654" s="9" t="n">
        <v>38070</v>
      </c>
      <c r="H654" s="5" t="n">
        <v>180</v>
      </c>
      <c r="I654" s="5" t="n">
        <v>89</v>
      </c>
      <c r="J654" s="5" t="n">
        <v>2025</v>
      </c>
      <c r="K654" s="7" t="s">
        <v>430</v>
      </c>
      <c r="L654" s="10" t="str">
        <f aca="false">INDEX(球隊主檔!$C$2:$C$31,MATCH($K654,球隊主檔!$A$2:$A$31,0))</f>
        <v>辛辛那提紅人</v>
      </c>
      <c r="M654" s="11" t="n">
        <f aca="false">IF($C654="打者",COUNTIF(打擊成績!$B:$B,$A654),COUNTIF(投手成績!$B:$B,$A654))</f>
        <v>2</v>
      </c>
    </row>
    <row r="655" customFormat="false" ht="15" hidden="false" customHeight="false" outlineLevel="0" collapsed="false">
      <c r="A655" s="7" t="s">
        <v>1783</v>
      </c>
      <c r="B655" s="7" t="s">
        <v>1784</v>
      </c>
      <c r="C655" s="8" t="s">
        <v>469</v>
      </c>
      <c r="D655" s="7" t="s">
        <v>486</v>
      </c>
      <c r="E655" s="7" t="s">
        <v>152</v>
      </c>
      <c r="F655" s="7" t="s">
        <v>152</v>
      </c>
      <c r="G655" s="9" t="n">
        <v>36634</v>
      </c>
      <c r="H655" s="5" t="n">
        <v>199</v>
      </c>
      <c r="I655" s="5" t="n">
        <v>92</v>
      </c>
      <c r="J655" s="5" t="n">
        <v>2025</v>
      </c>
      <c r="K655" s="7" t="s">
        <v>430</v>
      </c>
      <c r="L655" s="10" t="str">
        <f aca="false">INDEX(球隊主檔!$C$2:$C$31,MATCH($K655,球隊主檔!$A$2:$A$31,0))</f>
        <v>辛辛那提紅人</v>
      </c>
      <c r="M655" s="11" t="n">
        <f aca="false">IF($C655="打者",COUNTIF(打擊成績!$B:$B,$A655),COUNTIF(投手成績!$B:$B,$A655))</f>
        <v>2</v>
      </c>
    </row>
    <row r="656" customFormat="false" ht="15" hidden="false" customHeight="false" outlineLevel="0" collapsed="false">
      <c r="A656" s="7" t="s">
        <v>1785</v>
      </c>
      <c r="B656" s="7" t="s">
        <v>1786</v>
      </c>
      <c r="C656" s="8" t="s">
        <v>495</v>
      </c>
      <c r="D656" s="7" t="s">
        <v>496</v>
      </c>
      <c r="E656" s="7" t="s">
        <v>152</v>
      </c>
      <c r="F656" s="7" t="s">
        <v>152</v>
      </c>
      <c r="G656" s="9" t="n">
        <v>37829</v>
      </c>
      <c r="H656" s="5" t="n">
        <v>185</v>
      </c>
      <c r="I656" s="5" t="n">
        <v>109</v>
      </c>
      <c r="J656" s="5" t="n">
        <v>2025</v>
      </c>
      <c r="K656" s="7" t="s">
        <v>404</v>
      </c>
      <c r="L656" s="10" t="str">
        <f aca="false">INDEX(球隊主檔!$C$2:$C$31,MATCH($K656,球隊主檔!$A$2:$A$31,0))</f>
        <v>亞特蘭大勇士</v>
      </c>
      <c r="M656" s="11" t="n">
        <f aca="false">IF($C656="打者",COUNTIF(打擊成績!$B:$B,$A656),COUNTIF(投手成績!$B:$B,$A656))</f>
        <v>2</v>
      </c>
    </row>
    <row r="657" customFormat="false" ht="15" hidden="false" customHeight="false" outlineLevel="0" collapsed="false">
      <c r="A657" s="7" t="s">
        <v>1787</v>
      </c>
      <c r="B657" s="7" t="s">
        <v>1788</v>
      </c>
      <c r="C657" s="8" t="s">
        <v>495</v>
      </c>
      <c r="D657" s="7" t="s">
        <v>507</v>
      </c>
      <c r="E657" s="7" t="s">
        <v>152</v>
      </c>
      <c r="F657" s="7" t="s">
        <v>152</v>
      </c>
      <c r="G657" s="9" t="n">
        <v>38135</v>
      </c>
      <c r="H657" s="5" t="n">
        <v>192</v>
      </c>
      <c r="I657" s="5" t="n">
        <v>85</v>
      </c>
      <c r="J657" s="5" t="n">
        <v>2025</v>
      </c>
      <c r="K657" s="7" t="s">
        <v>438</v>
      </c>
      <c r="L657" s="10" t="str">
        <f aca="false">INDEX(球隊主檔!$C$2:$C$31,MATCH($K657,球隊主檔!$A$2:$A$31,0))</f>
        <v>匹茲堡海盜</v>
      </c>
      <c r="M657" s="11" t="n">
        <f aca="false">IF($C657="打者",COUNTIF(打擊成績!$B:$B,$A657),COUNTIF(投手成績!$B:$B,$A657))</f>
        <v>2</v>
      </c>
    </row>
    <row r="658" customFormat="false" ht="15" hidden="false" customHeight="false" outlineLevel="0" collapsed="false">
      <c r="A658" s="7" t="s">
        <v>1789</v>
      </c>
      <c r="B658" s="7" t="s">
        <v>1790</v>
      </c>
      <c r="C658" s="8" t="s">
        <v>495</v>
      </c>
      <c r="D658" s="7" t="s">
        <v>507</v>
      </c>
      <c r="E658" s="7" t="s">
        <v>174</v>
      </c>
      <c r="F658" s="7" t="s">
        <v>126</v>
      </c>
      <c r="G658" s="9" t="n">
        <v>38064</v>
      </c>
      <c r="H658" s="5" t="n">
        <v>182</v>
      </c>
      <c r="I658" s="5" t="n">
        <v>110</v>
      </c>
      <c r="J658" s="5" t="n">
        <v>2025</v>
      </c>
      <c r="K658" s="7" t="s">
        <v>442</v>
      </c>
      <c r="L658" s="10" t="str">
        <f aca="false">INDEX(球隊主檔!$C$2:$C$31,MATCH($K658,球隊主檔!$A$2:$A$31,0))</f>
        <v>聖路易紅雀</v>
      </c>
      <c r="M658" s="11" t="n">
        <f aca="false">IF($C658="打者",COUNTIF(打擊成績!$B:$B,$A658),COUNTIF(投手成績!$B:$B,$A658))</f>
        <v>2</v>
      </c>
    </row>
    <row r="659" customFormat="false" ht="15" hidden="false" customHeight="false" outlineLevel="0" collapsed="false">
      <c r="A659" s="7" t="s">
        <v>1791</v>
      </c>
      <c r="B659" s="7" t="s">
        <v>1792</v>
      </c>
      <c r="C659" s="8" t="s">
        <v>469</v>
      </c>
      <c r="D659" s="7" t="s">
        <v>486</v>
      </c>
      <c r="E659" s="7" t="s">
        <v>126</v>
      </c>
      <c r="F659" s="7" t="s">
        <v>126</v>
      </c>
      <c r="G659" s="9" t="n">
        <v>37512</v>
      </c>
      <c r="H659" s="5" t="n">
        <v>189</v>
      </c>
      <c r="I659" s="5" t="n">
        <v>88</v>
      </c>
      <c r="J659" s="5" t="n">
        <v>2025</v>
      </c>
      <c r="K659" s="7" t="s">
        <v>455</v>
      </c>
      <c r="L659" s="10" t="str">
        <f aca="false">INDEX(球隊主檔!$C$2:$C$31,MATCH($K659,球隊主檔!$A$2:$A$31,0))</f>
        <v>洛杉磯道奇</v>
      </c>
      <c r="M659" s="11" t="n">
        <f aca="false">IF($C659="打者",COUNTIF(打擊成績!$B:$B,$A659),COUNTIF(投手成績!$B:$B,$A659))</f>
        <v>2</v>
      </c>
    </row>
    <row r="660" customFormat="false" ht="15" hidden="false" customHeight="false" outlineLevel="0" collapsed="false">
      <c r="A660" s="7" t="s">
        <v>1793</v>
      </c>
      <c r="B660" s="7" t="s">
        <v>1794</v>
      </c>
      <c r="C660" s="8" t="s">
        <v>469</v>
      </c>
      <c r="D660" s="7" t="s">
        <v>470</v>
      </c>
      <c r="E660" s="7" t="s">
        <v>152</v>
      </c>
      <c r="F660" s="7" t="s">
        <v>152</v>
      </c>
      <c r="G660" s="9" t="n">
        <v>37229</v>
      </c>
      <c r="H660" s="5" t="n">
        <v>187</v>
      </c>
      <c r="I660" s="5" t="n">
        <v>98</v>
      </c>
      <c r="J660" s="5" t="n">
        <v>2025</v>
      </c>
      <c r="K660" s="7" t="s">
        <v>455</v>
      </c>
      <c r="L660" s="10" t="str">
        <f aca="false">INDEX(球隊主檔!$C$2:$C$31,MATCH($K660,球隊主檔!$A$2:$A$31,0))</f>
        <v>洛杉磯道奇</v>
      </c>
      <c r="M660" s="11" t="n">
        <f aca="false">IF($C660="打者",COUNTIF(打擊成績!$B:$B,$A660),COUNTIF(投手成績!$B:$B,$A660))</f>
        <v>2</v>
      </c>
    </row>
    <row r="661" customFormat="false" ht="15" hidden="false" customHeight="false" outlineLevel="0" collapsed="false">
      <c r="A661" s="7" t="s">
        <v>1795</v>
      </c>
      <c r="B661" s="7" t="s">
        <v>1796</v>
      </c>
      <c r="C661" s="8" t="s">
        <v>469</v>
      </c>
      <c r="D661" s="7" t="s">
        <v>522</v>
      </c>
      <c r="E661" s="7" t="s">
        <v>126</v>
      </c>
      <c r="F661" s="7" t="s">
        <v>152</v>
      </c>
      <c r="G661" s="9" t="n">
        <v>37617</v>
      </c>
      <c r="H661" s="5" t="n">
        <v>178</v>
      </c>
      <c r="I661" s="5" t="n">
        <v>95</v>
      </c>
      <c r="J661" s="5" t="n">
        <v>2025</v>
      </c>
      <c r="K661" s="7" t="s">
        <v>455</v>
      </c>
      <c r="L661" s="10" t="str">
        <f aca="false">INDEX(球隊主檔!$C$2:$C$31,MATCH($K661,球隊主檔!$A$2:$A$31,0))</f>
        <v>洛杉磯道奇</v>
      </c>
      <c r="M661" s="11" t="n">
        <f aca="false">IF($C661="打者",COUNTIF(打擊成績!$B:$B,$A661),COUNTIF(投手成績!$B:$B,$A661))</f>
        <v>2</v>
      </c>
    </row>
    <row r="662" customFormat="false" ht="15" hidden="false" customHeight="false" outlineLevel="0" collapsed="false">
      <c r="A662" s="7" t="s">
        <v>1797</v>
      </c>
      <c r="B662" s="7" t="s">
        <v>1798</v>
      </c>
      <c r="C662" s="8" t="s">
        <v>469</v>
      </c>
      <c r="D662" s="7" t="s">
        <v>63</v>
      </c>
      <c r="E662" s="7" t="s">
        <v>152</v>
      </c>
      <c r="F662" s="7" t="s">
        <v>152</v>
      </c>
      <c r="G662" s="9" t="n">
        <v>37148</v>
      </c>
      <c r="H662" s="5" t="n">
        <v>175</v>
      </c>
      <c r="I662" s="5" t="n">
        <v>91</v>
      </c>
      <c r="J662" s="5" t="n">
        <v>2025</v>
      </c>
      <c r="K662" s="7" t="s">
        <v>459</v>
      </c>
      <c r="L662" s="10" t="str">
        <f aca="false">INDEX(球隊主檔!$C$2:$C$31,MATCH($K662,球隊主檔!$A$2:$A$31,0))</f>
        <v>聖地牙哥教士</v>
      </c>
      <c r="M662" s="11" t="n">
        <f aca="false">IF($C662="打者",COUNTIF(打擊成績!$B:$B,$A662),COUNTIF(投手成績!$B:$B,$A662))</f>
        <v>1</v>
      </c>
    </row>
    <row r="663" customFormat="false" ht="15" hidden="false" customHeight="false" outlineLevel="0" collapsed="false">
      <c r="A663" s="7" t="s">
        <v>1799</v>
      </c>
      <c r="B663" s="7" t="s">
        <v>1800</v>
      </c>
      <c r="C663" s="8" t="s">
        <v>495</v>
      </c>
      <c r="D663" s="7" t="s">
        <v>507</v>
      </c>
      <c r="E663" s="7" t="s">
        <v>174</v>
      </c>
      <c r="F663" s="7" t="s">
        <v>152</v>
      </c>
      <c r="G663" s="9" t="n">
        <v>36972</v>
      </c>
      <c r="H663" s="5" t="n">
        <v>193</v>
      </c>
      <c r="I663" s="5" t="n">
        <v>100</v>
      </c>
      <c r="J663" s="5" t="n">
        <v>2025</v>
      </c>
      <c r="K663" s="7" t="s">
        <v>459</v>
      </c>
      <c r="L663" s="10" t="str">
        <f aca="false">INDEX(球隊主檔!$C$2:$C$31,MATCH($K663,球隊主檔!$A$2:$A$31,0))</f>
        <v>聖地牙哥教士</v>
      </c>
      <c r="M663" s="11" t="n">
        <f aca="false">IF($C663="打者",COUNTIF(打擊成績!$B:$B,$A663),COUNTIF(投手成績!$B:$B,$A663))</f>
        <v>2</v>
      </c>
    </row>
    <row r="664" customFormat="false" ht="15" hidden="false" customHeight="false" outlineLevel="0" collapsed="false">
      <c r="A664" s="7" t="s">
        <v>1801</v>
      </c>
      <c r="B664" s="7" t="s">
        <v>1802</v>
      </c>
      <c r="C664" s="8" t="s">
        <v>469</v>
      </c>
      <c r="D664" s="7" t="s">
        <v>158</v>
      </c>
      <c r="E664" s="7" t="s">
        <v>126</v>
      </c>
      <c r="F664" s="7" t="s">
        <v>152</v>
      </c>
      <c r="G664" s="9" t="n">
        <v>36844</v>
      </c>
      <c r="H664" s="5" t="n">
        <v>190</v>
      </c>
      <c r="I664" s="5" t="n">
        <v>96</v>
      </c>
      <c r="J664" s="5" t="n">
        <v>2025</v>
      </c>
      <c r="K664" s="7" t="s">
        <v>463</v>
      </c>
      <c r="L664" s="10" t="str">
        <f aca="false">INDEX(球隊主檔!$C$2:$C$31,MATCH($K664,球隊主檔!$A$2:$A$31,0))</f>
        <v>舊金山巨人</v>
      </c>
      <c r="M664" s="11" t="n">
        <f aca="false">IF($C664="打者",COUNTIF(打擊成績!$B:$B,$A664),COUNTIF(投手成績!$B:$B,$A664))</f>
        <v>1</v>
      </c>
    </row>
    <row r="665" customFormat="false" ht="15" hidden="false" customHeight="false" outlineLevel="0" collapsed="false">
      <c r="A665" s="7" t="s">
        <v>1803</v>
      </c>
      <c r="B665" s="7" t="s">
        <v>1804</v>
      </c>
      <c r="C665" s="8" t="s">
        <v>469</v>
      </c>
      <c r="D665" s="7" t="s">
        <v>162</v>
      </c>
      <c r="E665" s="7" t="s">
        <v>126</v>
      </c>
      <c r="F665" s="7" t="s">
        <v>152</v>
      </c>
      <c r="G665" s="9" t="n">
        <v>37946</v>
      </c>
      <c r="H665" s="5" t="n">
        <v>194</v>
      </c>
      <c r="I665" s="5" t="n">
        <v>87</v>
      </c>
      <c r="J665" s="5" t="n">
        <v>2025</v>
      </c>
      <c r="K665" s="7" t="s">
        <v>463</v>
      </c>
      <c r="L665" s="10" t="str">
        <f aca="false">INDEX(球隊主檔!$C$2:$C$31,MATCH($K665,球隊主檔!$A$2:$A$31,0))</f>
        <v>舊金山巨人</v>
      </c>
      <c r="M665" s="11" t="n">
        <f aca="false">IF($C665="打者",COUNTIF(打擊成績!$B:$B,$A665),COUNTIF(投手成績!$B:$B,$A665))</f>
        <v>2</v>
      </c>
    </row>
    <row r="666" customFormat="false" ht="15" hidden="false" customHeight="false" outlineLevel="0" collapsed="false">
      <c r="A666" s="7" t="s">
        <v>1805</v>
      </c>
      <c r="B666" s="7" t="s">
        <v>1806</v>
      </c>
      <c r="C666" s="8" t="s">
        <v>495</v>
      </c>
      <c r="D666" s="7" t="s">
        <v>496</v>
      </c>
      <c r="E666" s="7" t="s">
        <v>126</v>
      </c>
      <c r="F666" s="7" t="s">
        <v>152</v>
      </c>
      <c r="G666" s="9" t="n">
        <v>37752</v>
      </c>
      <c r="H666" s="5" t="n">
        <v>184</v>
      </c>
      <c r="I666" s="5" t="n">
        <v>88</v>
      </c>
      <c r="J666" s="5" t="n">
        <v>2025</v>
      </c>
      <c r="K666" s="7" t="s">
        <v>463</v>
      </c>
      <c r="L666" s="10" t="str">
        <f aca="false">INDEX(球隊主檔!$C$2:$C$31,MATCH($K666,球隊主檔!$A$2:$A$31,0))</f>
        <v>舊金山巨人</v>
      </c>
      <c r="M666" s="11" t="n">
        <f aca="false">IF($C666="打者",COUNTIF(打擊成績!$B:$B,$A666),COUNTIF(投手成績!$B:$B,$A666))</f>
        <v>1</v>
      </c>
    </row>
    <row r="667" customFormat="false" ht="15" hidden="false" customHeight="false" outlineLevel="0" collapsed="false">
      <c r="A667" s="7" t="s">
        <v>1807</v>
      </c>
      <c r="B667" s="7" t="s">
        <v>1808</v>
      </c>
      <c r="C667" s="8" t="s">
        <v>495</v>
      </c>
      <c r="D667" s="7" t="s">
        <v>496</v>
      </c>
      <c r="E667" s="7" t="s">
        <v>152</v>
      </c>
      <c r="F667" s="7" t="s">
        <v>126</v>
      </c>
      <c r="G667" s="9" t="n">
        <v>37511</v>
      </c>
      <c r="H667" s="5" t="n">
        <v>180</v>
      </c>
      <c r="I667" s="5" t="n">
        <v>93</v>
      </c>
      <c r="J667" s="5" t="n">
        <v>2025</v>
      </c>
      <c r="K667" s="7" t="s">
        <v>463</v>
      </c>
      <c r="L667" s="10" t="str">
        <f aca="false">INDEX(球隊主檔!$C$2:$C$31,MATCH($K667,球隊主檔!$A$2:$A$31,0))</f>
        <v>舊金山巨人</v>
      </c>
      <c r="M667" s="11" t="n">
        <f aca="false">IF($C667="打者",COUNTIF(打擊成績!$B:$B,$A667),COUNTIF(投手成績!$B:$B,$A667))</f>
        <v>2</v>
      </c>
    </row>
    <row r="668" customFormat="false" ht="15" hidden="false" customHeight="false" outlineLevel="0" collapsed="false">
      <c r="A668" s="7" t="s">
        <v>1809</v>
      </c>
      <c r="B668" s="7" t="s">
        <v>1810</v>
      </c>
      <c r="C668" s="8" t="s">
        <v>495</v>
      </c>
      <c r="D668" s="7" t="s">
        <v>507</v>
      </c>
      <c r="E668" s="7" t="s">
        <v>152</v>
      </c>
      <c r="F668" s="7" t="s">
        <v>152</v>
      </c>
      <c r="G668" s="9" t="n">
        <v>38411</v>
      </c>
      <c r="H668" s="5" t="n">
        <v>187</v>
      </c>
      <c r="I668" s="5" t="n">
        <v>101</v>
      </c>
      <c r="J668" s="5" t="n">
        <v>2025</v>
      </c>
      <c r="K668" s="7" t="s">
        <v>463</v>
      </c>
      <c r="L668" s="10" t="str">
        <f aca="false">INDEX(球隊主檔!$C$2:$C$31,MATCH($K668,球隊主檔!$A$2:$A$31,0))</f>
        <v>舊金山巨人</v>
      </c>
      <c r="M668" s="11" t="n">
        <f aca="false">IF($C668="打者",COUNTIF(打擊成績!$B:$B,$A668),COUNTIF(投手成績!$B:$B,$A668))</f>
        <v>2</v>
      </c>
    </row>
    <row r="669" customFormat="false" ht="15" hidden="false" customHeight="false" outlineLevel="0" collapsed="false">
      <c r="A669" s="7" t="s">
        <v>1811</v>
      </c>
      <c r="B669" s="7" t="s">
        <v>1812</v>
      </c>
      <c r="C669" s="8" t="s">
        <v>469</v>
      </c>
      <c r="D669" s="7" t="s">
        <v>522</v>
      </c>
      <c r="E669" s="7" t="s">
        <v>152</v>
      </c>
      <c r="F669" s="7" t="s">
        <v>152</v>
      </c>
      <c r="G669" s="9" t="n">
        <v>38527</v>
      </c>
      <c r="H669" s="5" t="n">
        <v>177</v>
      </c>
      <c r="I669" s="5" t="n">
        <v>79</v>
      </c>
      <c r="J669" s="5" t="n">
        <v>2026</v>
      </c>
      <c r="K669" s="7" t="s">
        <v>340</v>
      </c>
      <c r="L669" s="10" t="str">
        <f aca="false">INDEX(球隊主檔!$C$2:$C$31,MATCH($K669,球隊主檔!$A$2:$A$31,0))</f>
        <v>巴爾的摩金鶯</v>
      </c>
      <c r="M669" s="11" t="n">
        <f aca="false">IF($C669="打者",COUNTIF(打擊成績!$B:$B,$A669),COUNTIF(投手成績!$B:$B,$A669))</f>
        <v>1</v>
      </c>
    </row>
    <row r="670" customFormat="false" ht="15" hidden="false" customHeight="false" outlineLevel="0" collapsed="false">
      <c r="A670" s="7" t="s">
        <v>1813</v>
      </c>
      <c r="B670" s="7" t="s">
        <v>1814</v>
      </c>
      <c r="C670" s="8" t="s">
        <v>469</v>
      </c>
      <c r="D670" s="7" t="s">
        <v>478</v>
      </c>
      <c r="E670" s="7" t="s">
        <v>152</v>
      </c>
      <c r="F670" s="7" t="s">
        <v>152</v>
      </c>
      <c r="G670" s="9" t="n">
        <v>37779</v>
      </c>
      <c r="H670" s="5" t="n">
        <v>200</v>
      </c>
      <c r="I670" s="5" t="n">
        <v>104</v>
      </c>
      <c r="J670" s="5" t="n">
        <v>2026</v>
      </c>
      <c r="K670" s="7" t="s">
        <v>340</v>
      </c>
      <c r="L670" s="10" t="str">
        <f aca="false">INDEX(球隊主檔!$C$2:$C$31,MATCH($K670,球隊主檔!$A$2:$A$31,0))</f>
        <v>巴爾的摩金鶯</v>
      </c>
      <c r="M670" s="11" t="n">
        <f aca="false">IF($C670="打者",COUNTIF(打擊成績!$B:$B,$A670),COUNTIF(投手成績!$B:$B,$A670))</f>
        <v>1</v>
      </c>
    </row>
    <row r="671" customFormat="false" ht="15" hidden="false" customHeight="false" outlineLevel="0" collapsed="false">
      <c r="A671" s="7" t="s">
        <v>1815</v>
      </c>
      <c r="B671" s="7" t="s">
        <v>1816</v>
      </c>
      <c r="C671" s="8" t="s">
        <v>469</v>
      </c>
      <c r="D671" s="7" t="s">
        <v>162</v>
      </c>
      <c r="E671" s="7" t="s">
        <v>126</v>
      </c>
      <c r="F671" s="7" t="s">
        <v>126</v>
      </c>
      <c r="G671" s="9" t="n">
        <v>37202</v>
      </c>
      <c r="H671" s="5" t="n">
        <v>179</v>
      </c>
      <c r="I671" s="5" t="n">
        <v>90</v>
      </c>
      <c r="J671" s="5" t="n">
        <v>2026</v>
      </c>
      <c r="K671" s="7" t="s">
        <v>346</v>
      </c>
      <c r="L671" s="10" t="str">
        <f aca="false">INDEX(球隊主檔!$C$2:$C$31,MATCH($K671,球隊主檔!$A$2:$A$31,0))</f>
        <v>波士頓紅襪</v>
      </c>
      <c r="M671" s="11" t="n">
        <f aca="false">IF($C671="打者",COUNTIF(打擊成績!$B:$B,$A671),COUNTIF(投手成績!$B:$B,$A671))</f>
        <v>1</v>
      </c>
    </row>
    <row r="672" customFormat="false" ht="15" hidden="false" customHeight="false" outlineLevel="0" collapsed="false">
      <c r="A672" s="7" t="s">
        <v>1817</v>
      </c>
      <c r="B672" s="7" t="s">
        <v>1818</v>
      </c>
      <c r="C672" s="8" t="s">
        <v>469</v>
      </c>
      <c r="D672" s="7" t="s">
        <v>478</v>
      </c>
      <c r="E672" s="7" t="s">
        <v>152</v>
      </c>
      <c r="F672" s="7" t="s">
        <v>152</v>
      </c>
      <c r="G672" s="9" t="n">
        <v>36620</v>
      </c>
      <c r="H672" s="5" t="n">
        <v>185</v>
      </c>
      <c r="I672" s="5" t="n">
        <v>97</v>
      </c>
      <c r="J672" s="5" t="n">
        <v>2026</v>
      </c>
      <c r="K672" s="7" t="s">
        <v>346</v>
      </c>
      <c r="L672" s="10" t="str">
        <f aca="false">INDEX(球隊主檔!$C$2:$C$31,MATCH($K672,球隊主檔!$A$2:$A$31,0))</f>
        <v>波士頓紅襪</v>
      </c>
      <c r="M672" s="11" t="n">
        <f aca="false">IF($C672="打者",COUNTIF(打擊成績!$B:$B,$A672),COUNTIF(投手成績!$B:$B,$A672))</f>
        <v>1</v>
      </c>
    </row>
    <row r="673" customFormat="false" ht="15" hidden="false" customHeight="false" outlineLevel="0" collapsed="false">
      <c r="A673" s="7" t="s">
        <v>1819</v>
      </c>
      <c r="B673" s="7" t="s">
        <v>1820</v>
      </c>
      <c r="C673" s="8" t="s">
        <v>469</v>
      </c>
      <c r="D673" s="7" t="s">
        <v>486</v>
      </c>
      <c r="E673" s="7" t="s">
        <v>152</v>
      </c>
      <c r="F673" s="7" t="s">
        <v>152</v>
      </c>
      <c r="G673" s="9" t="n">
        <v>37544</v>
      </c>
      <c r="H673" s="5" t="n">
        <v>192</v>
      </c>
      <c r="I673" s="5" t="n">
        <v>85</v>
      </c>
      <c r="J673" s="5" t="n">
        <v>2026</v>
      </c>
      <c r="K673" s="7" t="s">
        <v>346</v>
      </c>
      <c r="L673" s="10" t="str">
        <f aca="false">INDEX(球隊主檔!$C$2:$C$31,MATCH($K673,球隊主檔!$A$2:$A$31,0))</f>
        <v>波士頓紅襪</v>
      </c>
      <c r="M673" s="11" t="n">
        <f aca="false">IF($C673="打者",COUNTIF(打擊成績!$B:$B,$A673),COUNTIF(投手成績!$B:$B,$A673))</f>
        <v>1</v>
      </c>
    </row>
    <row r="674" customFormat="false" ht="15" hidden="false" customHeight="false" outlineLevel="0" collapsed="false">
      <c r="A674" s="7" t="s">
        <v>1821</v>
      </c>
      <c r="B674" s="7" t="s">
        <v>1822</v>
      </c>
      <c r="C674" s="8" t="s">
        <v>495</v>
      </c>
      <c r="D674" s="7" t="s">
        <v>507</v>
      </c>
      <c r="E674" s="7" t="s">
        <v>152</v>
      </c>
      <c r="F674" s="7" t="s">
        <v>152</v>
      </c>
      <c r="G674" s="9" t="n">
        <v>37191</v>
      </c>
      <c r="H674" s="5" t="n">
        <v>177</v>
      </c>
      <c r="I674" s="5" t="n">
        <v>99</v>
      </c>
      <c r="J674" s="5" t="n">
        <v>2026</v>
      </c>
      <c r="K674" s="7" t="s">
        <v>346</v>
      </c>
      <c r="L674" s="10" t="str">
        <f aca="false">INDEX(球隊主檔!$C$2:$C$31,MATCH($K674,球隊主檔!$A$2:$A$31,0))</f>
        <v>波士頓紅襪</v>
      </c>
      <c r="M674" s="11" t="n">
        <f aca="false">IF($C674="打者",COUNTIF(打擊成績!$B:$B,$A674),COUNTIF(投手成績!$B:$B,$A674))</f>
        <v>1</v>
      </c>
    </row>
    <row r="675" customFormat="false" ht="15" hidden="false" customHeight="false" outlineLevel="0" collapsed="false">
      <c r="A675" s="7" t="s">
        <v>1823</v>
      </c>
      <c r="B675" s="7" t="s">
        <v>1824</v>
      </c>
      <c r="C675" s="8" t="s">
        <v>495</v>
      </c>
      <c r="D675" s="7" t="s">
        <v>496</v>
      </c>
      <c r="E675" s="7" t="s">
        <v>152</v>
      </c>
      <c r="F675" s="7" t="s">
        <v>152</v>
      </c>
      <c r="G675" s="9" t="n">
        <v>38338</v>
      </c>
      <c r="H675" s="5" t="n">
        <v>186</v>
      </c>
      <c r="I675" s="5" t="n">
        <v>83</v>
      </c>
      <c r="J675" s="5" t="n">
        <v>2026</v>
      </c>
      <c r="K675" s="7" t="s">
        <v>350</v>
      </c>
      <c r="L675" s="10" t="str">
        <f aca="false">INDEX(球隊主檔!$C$2:$C$31,MATCH($K675,球隊主檔!$A$2:$A$31,0))</f>
        <v>紐約洋基</v>
      </c>
      <c r="M675" s="11" t="n">
        <f aca="false">IF($C675="打者",COUNTIF(打擊成績!$B:$B,$A675),COUNTIF(投手成績!$B:$B,$A675))</f>
        <v>1</v>
      </c>
    </row>
    <row r="676" customFormat="false" ht="15" hidden="false" customHeight="false" outlineLevel="0" collapsed="false">
      <c r="A676" s="7" t="s">
        <v>1825</v>
      </c>
      <c r="B676" s="7" t="s">
        <v>1826</v>
      </c>
      <c r="C676" s="8" t="s">
        <v>495</v>
      </c>
      <c r="D676" s="7" t="s">
        <v>507</v>
      </c>
      <c r="E676" s="7" t="s">
        <v>152</v>
      </c>
      <c r="F676" s="7" t="s">
        <v>152</v>
      </c>
      <c r="G676" s="9" t="n">
        <v>38947</v>
      </c>
      <c r="H676" s="5" t="n">
        <v>190</v>
      </c>
      <c r="I676" s="5" t="n">
        <v>110</v>
      </c>
      <c r="J676" s="5" t="n">
        <v>2026</v>
      </c>
      <c r="K676" s="7" t="s">
        <v>350</v>
      </c>
      <c r="L676" s="10" t="str">
        <f aca="false">INDEX(球隊主檔!$C$2:$C$31,MATCH($K676,球隊主檔!$A$2:$A$31,0))</f>
        <v>紐約洋基</v>
      </c>
      <c r="M676" s="11" t="n">
        <f aca="false">IF($C676="打者",COUNTIF(打擊成績!$B:$B,$A676),COUNTIF(投手成績!$B:$B,$A676))</f>
        <v>1</v>
      </c>
    </row>
    <row r="677" customFormat="false" ht="15" hidden="false" customHeight="false" outlineLevel="0" collapsed="false">
      <c r="A677" s="7" t="s">
        <v>1827</v>
      </c>
      <c r="B677" s="7" t="s">
        <v>1828</v>
      </c>
      <c r="C677" s="8" t="s">
        <v>469</v>
      </c>
      <c r="D677" s="7" t="s">
        <v>483</v>
      </c>
      <c r="E677" s="7" t="s">
        <v>126</v>
      </c>
      <c r="F677" s="7" t="s">
        <v>152</v>
      </c>
      <c r="G677" s="9" t="n">
        <v>37093</v>
      </c>
      <c r="H677" s="5" t="n">
        <v>192</v>
      </c>
      <c r="I677" s="5" t="n">
        <v>102</v>
      </c>
      <c r="J677" s="5" t="n">
        <v>2026</v>
      </c>
      <c r="K677" s="7" t="s">
        <v>354</v>
      </c>
      <c r="L677" s="10" t="str">
        <f aca="false">INDEX(球隊主檔!$C$2:$C$31,MATCH($K677,球隊主檔!$A$2:$A$31,0))</f>
        <v>坦帕灣光芒</v>
      </c>
      <c r="M677" s="11" t="n">
        <f aca="false">IF($C677="打者",COUNTIF(打擊成績!$B:$B,$A677),COUNTIF(投手成績!$B:$B,$A677))</f>
        <v>1</v>
      </c>
    </row>
    <row r="678" customFormat="false" ht="15" hidden="false" customHeight="false" outlineLevel="0" collapsed="false">
      <c r="A678" s="7" t="s">
        <v>1829</v>
      </c>
      <c r="B678" s="7" t="s">
        <v>1830</v>
      </c>
      <c r="C678" s="8" t="s">
        <v>469</v>
      </c>
      <c r="D678" s="7" t="s">
        <v>522</v>
      </c>
      <c r="E678" s="7" t="s">
        <v>126</v>
      </c>
      <c r="F678" s="7" t="s">
        <v>152</v>
      </c>
      <c r="G678" s="9" t="n">
        <v>38477</v>
      </c>
      <c r="H678" s="5" t="n">
        <v>179</v>
      </c>
      <c r="I678" s="5" t="n">
        <v>105</v>
      </c>
      <c r="J678" s="5" t="n">
        <v>2026</v>
      </c>
      <c r="K678" s="7" t="s">
        <v>354</v>
      </c>
      <c r="L678" s="10" t="str">
        <f aca="false">INDEX(球隊主檔!$C$2:$C$31,MATCH($K678,球隊主檔!$A$2:$A$31,0))</f>
        <v>坦帕灣光芒</v>
      </c>
      <c r="M678" s="11" t="n">
        <f aca="false">IF($C678="打者",COUNTIF(打擊成績!$B:$B,$A678),COUNTIF(投手成績!$B:$B,$A678))</f>
        <v>1</v>
      </c>
    </row>
    <row r="679" customFormat="false" ht="15" hidden="false" customHeight="false" outlineLevel="0" collapsed="false">
      <c r="A679" s="7" t="s">
        <v>1831</v>
      </c>
      <c r="B679" s="7" t="s">
        <v>1832</v>
      </c>
      <c r="C679" s="8" t="s">
        <v>469</v>
      </c>
      <c r="D679" s="7" t="s">
        <v>478</v>
      </c>
      <c r="E679" s="7" t="s">
        <v>152</v>
      </c>
      <c r="F679" s="7" t="s">
        <v>152</v>
      </c>
      <c r="G679" s="9" t="n">
        <v>38570</v>
      </c>
      <c r="H679" s="5" t="n">
        <v>183</v>
      </c>
      <c r="I679" s="5" t="n">
        <v>85</v>
      </c>
      <c r="J679" s="5" t="n">
        <v>2026</v>
      </c>
      <c r="K679" s="7" t="s">
        <v>354</v>
      </c>
      <c r="L679" s="10" t="str">
        <f aca="false">INDEX(球隊主檔!$C$2:$C$31,MATCH($K679,球隊主檔!$A$2:$A$31,0))</f>
        <v>坦帕灣光芒</v>
      </c>
      <c r="M679" s="11" t="n">
        <f aca="false">IF($C679="打者",COUNTIF(打擊成績!$B:$B,$A679),COUNTIF(投手成績!$B:$B,$A679))</f>
        <v>1</v>
      </c>
    </row>
    <row r="680" customFormat="false" ht="15" hidden="false" customHeight="false" outlineLevel="0" collapsed="false">
      <c r="A680" s="7" t="s">
        <v>1833</v>
      </c>
      <c r="B680" s="7" t="s">
        <v>1834</v>
      </c>
      <c r="C680" s="8" t="s">
        <v>495</v>
      </c>
      <c r="D680" s="7" t="s">
        <v>507</v>
      </c>
      <c r="E680" s="7" t="s">
        <v>152</v>
      </c>
      <c r="F680" s="7" t="s">
        <v>152</v>
      </c>
      <c r="G680" s="9" t="n">
        <v>36983</v>
      </c>
      <c r="H680" s="5" t="n">
        <v>200</v>
      </c>
      <c r="I680" s="5" t="n">
        <v>79</v>
      </c>
      <c r="J680" s="5" t="n">
        <v>2026</v>
      </c>
      <c r="K680" s="7" t="s">
        <v>354</v>
      </c>
      <c r="L680" s="10" t="str">
        <f aca="false">INDEX(球隊主檔!$C$2:$C$31,MATCH($K680,球隊主檔!$A$2:$A$31,0))</f>
        <v>坦帕灣光芒</v>
      </c>
      <c r="M680" s="11" t="n">
        <f aca="false">IF($C680="打者",COUNTIF(打擊成績!$B:$B,$A680),COUNTIF(投手成績!$B:$B,$A680))</f>
        <v>1</v>
      </c>
    </row>
    <row r="681" customFormat="false" ht="15" hidden="false" customHeight="false" outlineLevel="0" collapsed="false">
      <c r="A681" s="7" t="s">
        <v>1835</v>
      </c>
      <c r="B681" s="7" t="s">
        <v>1836</v>
      </c>
      <c r="C681" s="8" t="s">
        <v>469</v>
      </c>
      <c r="D681" s="7" t="s">
        <v>158</v>
      </c>
      <c r="E681" s="7" t="s">
        <v>152</v>
      </c>
      <c r="F681" s="7" t="s">
        <v>152</v>
      </c>
      <c r="G681" s="9" t="n">
        <v>38310</v>
      </c>
      <c r="H681" s="5" t="n">
        <v>193</v>
      </c>
      <c r="I681" s="5" t="n">
        <v>98</v>
      </c>
      <c r="J681" s="5" t="n">
        <v>2026</v>
      </c>
      <c r="K681" s="7" t="s">
        <v>358</v>
      </c>
      <c r="L681" s="10" t="str">
        <f aca="false">INDEX(球隊主檔!$C$2:$C$31,MATCH($K681,球隊主檔!$A$2:$A$31,0))</f>
        <v>多倫多藍鳥</v>
      </c>
      <c r="M681" s="11" t="n">
        <f aca="false">IF($C681="打者",COUNTIF(打擊成績!$B:$B,$A681),COUNTIF(投手成績!$B:$B,$A681))</f>
        <v>1</v>
      </c>
    </row>
    <row r="682" customFormat="false" ht="15" hidden="false" customHeight="false" outlineLevel="0" collapsed="false">
      <c r="A682" s="7" t="s">
        <v>1837</v>
      </c>
      <c r="B682" s="7" t="s">
        <v>1838</v>
      </c>
      <c r="C682" s="8" t="s">
        <v>469</v>
      </c>
      <c r="D682" s="7" t="s">
        <v>486</v>
      </c>
      <c r="E682" s="7" t="s">
        <v>126</v>
      </c>
      <c r="F682" s="7" t="s">
        <v>126</v>
      </c>
      <c r="G682" s="9" t="n">
        <v>38458</v>
      </c>
      <c r="H682" s="5" t="n">
        <v>182</v>
      </c>
      <c r="I682" s="5" t="n">
        <v>87</v>
      </c>
      <c r="J682" s="5" t="n">
        <v>2026</v>
      </c>
      <c r="K682" s="7" t="s">
        <v>358</v>
      </c>
      <c r="L682" s="10" t="str">
        <f aca="false">INDEX(球隊主檔!$C$2:$C$31,MATCH($K682,球隊主檔!$A$2:$A$31,0))</f>
        <v>多倫多藍鳥</v>
      </c>
      <c r="M682" s="11" t="n">
        <f aca="false">IF($C682="打者",COUNTIF(打擊成績!$B:$B,$A682),COUNTIF(投手成績!$B:$B,$A682))</f>
        <v>1</v>
      </c>
    </row>
    <row r="683" customFormat="false" ht="15" hidden="false" customHeight="false" outlineLevel="0" collapsed="false">
      <c r="A683" s="7" t="s">
        <v>1839</v>
      </c>
      <c r="B683" s="7" t="s">
        <v>1840</v>
      </c>
      <c r="C683" s="8" t="s">
        <v>495</v>
      </c>
      <c r="D683" s="7" t="s">
        <v>496</v>
      </c>
      <c r="E683" s="7" t="s">
        <v>126</v>
      </c>
      <c r="F683" s="7" t="s">
        <v>152</v>
      </c>
      <c r="G683" s="9" t="n">
        <v>38924</v>
      </c>
      <c r="H683" s="5" t="n">
        <v>185</v>
      </c>
      <c r="I683" s="5" t="n">
        <v>93</v>
      </c>
      <c r="J683" s="5" t="n">
        <v>2026</v>
      </c>
      <c r="K683" s="7" t="s">
        <v>358</v>
      </c>
      <c r="L683" s="10" t="str">
        <f aca="false">INDEX(球隊主檔!$C$2:$C$31,MATCH($K683,球隊主檔!$A$2:$A$31,0))</f>
        <v>多倫多藍鳥</v>
      </c>
      <c r="M683" s="11" t="n">
        <f aca="false">IF($C683="打者",COUNTIF(打擊成績!$B:$B,$A683),COUNTIF(投手成績!$B:$B,$A683))</f>
        <v>1</v>
      </c>
    </row>
    <row r="684" customFormat="false" ht="15" hidden="false" customHeight="false" outlineLevel="0" collapsed="false">
      <c r="A684" s="7" t="s">
        <v>1841</v>
      </c>
      <c r="B684" s="7" t="s">
        <v>1842</v>
      </c>
      <c r="C684" s="8" t="s">
        <v>469</v>
      </c>
      <c r="D684" s="7" t="s">
        <v>522</v>
      </c>
      <c r="E684" s="7" t="s">
        <v>152</v>
      </c>
      <c r="F684" s="7" t="s">
        <v>152</v>
      </c>
      <c r="G684" s="9" t="n">
        <v>36756</v>
      </c>
      <c r="H684" s="5" t="n">
        <v>199</v>
      </c>
      <c r="I684" s="5" t="n">
        <v>106</v>
      </c>
      <c r="J684" s="5" t="n">
        <v>2026</v>
      </c>
      <c r="K684" s="7" t="s">
        <v>362</v>
      </c>
      <c r="L684" s="10" t="str">
        <f aca="false">INDEX(球隊主檔!$C$2:$C$31,MATCH($K684,球隊主檔!$A$2:$A$31,0))</f>
        <v>芝加哥白襪</v>
      </c>
      <c r="M684" s="11" t="n">
        <f aca="false">IF($C684="打者",COUNTIF(打擊成績!$B:$B,$A684),COUNTIF(投手成績!$B:$B,$A684))</f>
        <v>1</v>
      </c>
    </row>
    <row r="685" customFormat="false" ht="15" hidden="false" customHeight="false" outlineLevel="0" collapsed="false">
      <c r="A685" s="7" t="s">
        <v>1843</v>
      </c>
      <c r="B685" s="7" t="s">
        <v>1844</v>
      </c>
      <c r="C685" s="8" t="s">
        <v>495</v>
      </c>
      <c r="D685" s="7" t="s">
        <v>496</v>
      </c>
      <c r="E685" s="7" t="s">
        <v>152</v>
      </c>
      <c r="F685" s="7" t="s">
        <v>126</v>
      </c>
      <c r="G685" s="9" t="n">
        <v>37660</v>
      </c>
      <c r="H685" s="5" t="n">
        <v>180</v>
      </c>
      <c r="I685" s="5" t="n">
        <v>100</v>
      </c>
      <c r="J685" s="5" t="n">
        <v>2026</v>
      </c>
      <c r="K685" s="7" t="s">
        <v>362</v>
      </c>
      <c r="L685" s="10" t="str">
        <f aca="false">INDEX(球隊主檔!$C$2:$C$31,MATCH($K685,球隊主檔!$A$2:$A$31,0))</f>
        <v>芝加哥白襪</v>
      </c>
      <c r="M685" s="11" t="n">
        <f aca="false">IF($C685="打者",COUNTIF(打擊成績!$B:$B,$A685),COUNTIF(投手成績!$B:$B,$A685))</f>
        <v>1</v>
      </c>
    </row>
    <row r="686" customFormat="false" ht="15" hidden="false" customHeight="false" outlineLevel="0" collapsed="false">
      <c r="A686" s="7" t="s">
        <v>1845</v>
      </c>
      <c r="B686" s="7" t="s">
        <v>1846</v>
      </c>
      <c r="C686" s="8" t="s">
        <v>495</v>
      </c>
      <c r="D686" s="7" t="s">
        <v>507</v>
      </c>
      <c r="E686" s="7" t="s">
        <v>174</v>
      </c>
      <c r="F686" s="7" t="s">
        <v>152</v>
      </c>
      <c r="G686" s="9" t="n">
        <v>38566</v>
      </c>
      <c r="H686" s="5" t="n">
        <v>197</v>
      </c>
      <c r="I686" s="5" t="n">
        <v>94</v>
      </c>
      <c r="J686" s="5" t="n">
        <v>2026</v>
      </c>
      <c r="K686" s="7" t="s">
        <v>362</v>
      </c>
      <c r="L686" s="10" t="str">
        <f aca="false">INDEX(球隊主檔!$C$2:$C$31,MATCH($K686,球隊主檔!$A$2:$A$31,0))</f>
        <v>芝加哥白襪</v>
      </c>
      <c r="M686" s="11" t="n">
        <f aca="false">IF($C686="打者",COUNTIF(打擊成績!$B:$B,$A686),COUNTIF(投手成績!$B:$B,$A686))</f>
        <v>1</v>
      </c>
    </row>
    <row r="687" customFormat="false" ht="15" hidden="false" customHeight="false" outlineLevel="0" collapsed="false">
      <c r="A687" s="7" t="s">
        <v>1847</v>
      </c>
      <c r="B687" s="7" t="s">
        <v>1848</v>
      </c>
      <c r="C687" s="8" t="s">
        <v>495</v>
      </c>
      <c r="D687" s="7" t="s">
        <v>496</v>
      </c>
      <c r="E687" s="7" t="s">
        <v>126</v>
      </c>
      <c r="F687" s="7" t="s">
        <v>126</v>
      </c>
      <c r="G687" s="9" t="n">
        <v>37680</v>
      </c>
      <c r="H687" s="5" t="n">
        <v>197</v>
      </c>
      <c r="I687" s="5" t="n">
        <v>103</v>
      </c>
      <c r="J687" s="5" t="n">
        <v>2026</v>
      </c>
      <c r="K687" s="7" t="s">
        <v>367</v>
      </c>
      <c r="L687" s="10" t="str">
        <f aca="false">INDEX(球隊主檔!$C$2:$C$31,MATCH($K687,球隊主檔!$A$2:$A$31,0))</f>
        <v>克里夫蘭守護者</v>
      </c>
      <c r="M687" s="11" t="n">
        <f aca="false">IF($C687="打者",COUNTIF(打擊成績!$B:$B,$A687),COUNTIF(投手成績!$B:$B,$A687))</f>
        <v>1</v>
      </c>
    </row>
    <row r="688" customFormat="false" ht="15" hidden="false" customHeight="false" outlineLevel="0" collapsed="false">
      <c r="A688" s="7" t="s">
        <v>1849</v>
      </c>
      <c r="B688" s="7" t="s">
        <v>1850</v>
      </c>
      <c r="C688" s="8" t="s">
        <v>495</v>
      </c>
      <c r="D688" s="7" t="s">
        <v>507</v>
      </c>
      <c r="E688" s="7" t="s">
        <v>152</v>
      </c>
      <c r="F688" s="7" t="s">
        <v>152</v>
      </c>
      <c r="G688" s="9" t="n">
        <v>38095</v>
      </c>
      <c r="H688" s="5" t="n">
        <v>175</v>
      </c>
      <c r="I688" s="5" t="n">
        <v>98</v>
      </c>
      <c r="J688" s="5" t="n">
        <v>2026</v>
      </c>
      <c r="K688" s="7" t="s">
        <v>367</v>
      </c>
      <c r="L688" s="10" t="str">
        <f aca="false">INDEX(球隊主檔!$C$2:$C$31,MATCH($K688,球隊主檔!$A$2:$A$31,0))</f>
        <v>克里夫蘭守護者</v>
      </c>
      <c r="M688" s="11" t="n">
        <f aca="false">IF($C688="打者",COUNTIF(打擊成績!$B:$B,$A688),COUNTIF(投手成績!$B:$B,$A688))</f>
        <v>1</v>
      </c>
    </row>
    <row r="689" customFormat="false" ht="15" hidden="false" customHeight="false" outlineLevel="0" collapsed="false">
      <c r="A689" s="7" t="s">
        <v>1851</v>
      </c>
      <c r="B689" s="7" t="s">
        <v>1852</v>
      </c>
      <c r="C689" s="8" t="s">
        <v>495</v>
      </c>
      <c r="D689" s="7" t="s">
        <v>507</v>
      </c>
      <c r="E689" s="7" t="s">
        <v>152</v>
      </c>
      <c r="F689" s="7" t="s">
        <v>152</v>
      </c>
      <c r="G689" s="9" t="n">
        <v>37847</v>
      </c>
      <c r="H689" s="5" t="n">
        <v>183</v>
      </c>
      <c r="I689" s="5" t="n">
        <v>100</v>
      </c>
      <c r="J689" s="5" t="n">
        <v>2026</v>
      </c>
      <c r="K689" s="7" t="s">
        <v>367</v>
      </c>
      <c r="L689" s="10" t="str">
        <f aca="false">INDEX(球隊主檔!$C$2:$C$31,MATCH($K689,球隊主檔!$A$2:$A$31,0))</f>
        <v>克里夫蘭守護者</v>
      </c>
      <c r="M689" s="11" t="n">
        <f aca="false">IF($C689="打者",COUNTIF(打擊成績!$B:$B,$A689),COUNTIF(投手成績!$B:$B,$A689))</f>
        <v>1</v>
      </c>
    </row>
    <row r="690" customFormat="false" ht="15" hidden="false" customHeight="false" outlineLevel="0" collapsed="false">
      <c r="A690" s="7" t="s">
        <v>1853</v>
      </c>
      <c r="B690" s="7" t="s">
        <v>1854</v>
      </c>
      <c r="C690" s="8" t="s">
        <v>469</v>
      </c>
      <c r="D690" s="7" t="s">
        <v>522</v>
      </c>
      <c r="E690" s="7" t="s">
        <v>126</v>
      </c>
      <c r="F690" s="7" t="s">
        <v>152</v>
      </c>
      <c r="G690" s="9" t="n">
        <v>38172</v>
      </c>
      <c r="H690" s="5" t="n">
        <v>175</v>
      </c>
      <c r="I690" s="5" t="n">
        <v>106</v>
      </c>
      <c r="J690" s="5" t="n">
        <v>2026</v>
      </c>
      <c r="K690" s="7" t="s">
        <v>371</v>
      </c>
      <c r="L690" s="10" t="str">
        <f aca="false">INDEX(球隊主檔!$C$2:$C$31,MATCH($K690,球隊主檔!$A$2:$A$31,0))</f>
        <v>底特律老虎</v>
      </c>
      <c r="M690" s="11" t="n">
        <f aca="false">IF($C690="打者",COUNTIF(打擊成績!$B:$B,$A690),COUNTIF(投手成績!$B:$B,$A690))</f>
        <v>1</v>
      </c>
    </row>
    <row r="691" customFormat="false" ht="15" hidden="false" customHeight="false" outlineLevel="0" collapsed="false">
      <c r="A691" s="7" t="s">
        <v>1855</v>
      </c>
      <c r="B691" s="7" t="s">
        <v>1856</v>
      </c>
      <c r="C691" s="8" t="s">
        <v>495</v>
      </c>
      <c r="D691" s="7" t="s">
        <v>496</v>
      </c>
      <c r="E691" s="7" t="s">
        <v>126</v>
      </c>
      <c r="F691" s="7" t="s">
        <v>126</v>
      </c>
      <c r="G691" s="9" t="n">
        <v>36669</v>
      </c>
      <c r="H691" s="5" t="n">
        <v>188</v>
      </c>
      <c r="I691" s="5" t="n">
        <v>103</v>
      </c>
      <c r="J691" s="5" t="n">
        <v>2026</v>
      </c>
      <c r="K691" s="7" t="s">
        <v>371</v>
      </c>
      <c r="L691" s="10" t="str">
        <f aca="false">INDEX(球隊主檔!$C$2:$C$31,MATCH($K691,球隊主檔!$A$2:$A$31,0))</f>
        <v>底特律老虎</v>
      </c>
      <c r="M691" s="11" t="n">
        <f aca="false">IF($C691="打者",COUNTIF(打擊成績!$B:$B,$A691),COUNTIF(投手成績!$B:$B,$A691))</f>
        <v>1</v>
      </c>
    </row>
    <row r="692" customFormat="false" ht="15" hidden="false" customHeight="false" outlineLevel="0" collapsed="false">
      <c r="A692" s="7" t="s">
        <v>1857</v>
      </c>
      <c r="B692" s="7" t="s">
        <v>1858</v>
      </c>
      <c r="C692" s="8" t="s">
        <v>469</v>
      </c>
      <c r="D692" s="7" t="s">
        <v>470</v>
      </c>
      <c r="E692" s="7" t="s">
        <v>152</v>
      </c>
      <c r="F692" s="7" t="s">
        <v>152</v>
      </c>
      <c r="G692" s="9" t="n">
        <v>37048</v>
      </c>
      <c r="H692" s="5" t="n">
        <v>181</v>
      </c>
      <c r="I692" s="5" t="n">
        <v>98</v>
      </c>
      <c r="J692" s="5" t="n">
        <v>2026</v>
      </c>
      <c r="K692" s="7" t="s">
        <v>375</v>
      </c>
      <c r="L692" s="10" t="str">
        <f aca="false">INDEX(球隊主檔!$C$2:$C$31,MATCH($K692,球隊主檔!$A$2:$A$31,0))</f>
        <v>堪薩斯市皇家</v>
      </c>
      <c r="M692" s="11" t="n">
        <f aca="false">IF($C692="打者",COUNTIF(打擊成績!$B:$B,$A692),COUNTIF(投手成績!$B:$B,$A692))</f>
        <v>1</v>
      </c>
    </row>
    <row r="693" customFormat="false" ht="15" hidden="false" customHeight="false" outlineLevel="0" collapsed="false">
      <c r="A693" s="7" t="s">
        <v>1859</v>
      </c>
      <c r="B693" s="7" t="s">
        <v>1860</v>
      </c>
      <c r="C693" s="8" t="s">
        <v>495</v>
      </c>
      <c r="D693" s="7" t="s">
        <v>496</v>
      </c>
      <c r="E693" s="7" t="s">
        <v>152</v>
      </c>
      <c r="F693" s="7" t="s">
        <v>152</v>
      </c>
      <c r="G693" s="9" t="n">
        <v>38527</v>
      </c>
      <c r="H693" s="5" t="n">
        <v>177</v>
      </c>
      <c r="I693" s="5" t="n">
        <v>112</v>
      </c>
      <c r="J693" s="5" t="n">
        <v>2026</v>
      </c>
      <c r="K693" s="7" t="s">
        <v>375</v>
      </c>
      <c r="L693" s="10" t="str">
        <f aca="false">INDEX(球隊主檔!$C$2:$C$31,MATCH($K693,球隊主檔!$A$2:$A$31,0))</f>
        <v>堪薩斯市皇家</v>
      </c>
      <c r="M693" s="11" t="n">
        <f aca="false">IF($C693="打者",COUNTIF(打擊成績!$B:$B,$A693),COUNTIF(投手成績!$B:$B,$A693))</f>
        <v>1</v>
      </c>
    </row>
    <row r="694" customFormat="false" ht="15" hidden="false" customHeight="false" outlineLevel="0" collapsed="false">
      <c r="A694" s="7" t="s">
        <v>1861</v>
      </c>
      <c r="B694" s="7" t="s">
        <v>1862</v>
      </c>
      <c r="C694" s="8" t="s">
        <v>495</v>
      </c>
      <c r="D694" s="7" t="s">
        <v>496</v>
      </c>
      <c r="E694" s="7" t="s">
        <v>126</v>
      </c>
      <c r="F694" s="7" t="s">
        <v>152</v>
      </c>
      <c r="G694" s="9" t="n">
        <v>36690</v>
      </c>
      <c r="H694" s="5" t="n">
        <v>192</v>
      </c>
      <c r="I694" s="5" t="n">
        <v>86</v>
      </c>
      <c r="J694" s="5" t="n">
        <v>2026</v>
      </c>
      <c r="K694" s="7" t="s">
        <v>375</v>
      </c>
      <c r="L694" s="10" t="str">
        <f aca="false">INDEX(球隊主檔!$C$2:$C$31,MATCH($K694,球隊主檔!$A$2:$A$31,0))</f>
        <v>堪薩斯市皇家</v>
      </c>
      <c r="M694" s="11" t="n">
        <f aca="false">IF($C694="打者",COUNTIF(打擊成績!$B:$B,$A694),COUNTIF(投手成績!$B:$B,$A694))</f>
        <v>1</v>
      </c>
    </row>
    <row r="695" customFormat="false" ht="15" hidden="false" customHeight="false" outlineLevel="0" collapsed="false">
      <c r="A695" s="7" t="s">
        <v>1863</v>
      </c>
      <c r="B695" s="7" t="s">
        <v>1864</v>
      </c>
      <c r="C695" s="8" t="s">
        <v>495</v>
      </c>
      <c r="D695" s="7" t="s">
        <v>496</v>
      </c>
      <c r="E695" s="7" t="s">
        <v>152</v>
      </c>
      <c r="F695" s="7" t="s">
        <v>152</v>
      </c>
      <c r="G695" s="9" t="n">
        <v>38033</v>
      </c>
      <c r="H695" s="5" t="n">
        <v>196</v>
      </c>
      <c r="I695" s="5" t="n">
        <v>96</v>
      </c>
      <c r="J695" s="5" t="n">
        <v>2026</v>
      </c>
      <c r="K695" s="7" t="s">
        <v>375</v>
      </c>
      <c r="L695" s="10" t="str">
        <f aca="false">INDEX(球隊主檔!$C$2:$C$31,MATCH($K695,球隊主檔!$A$2:$A$31,0))</f>
        <v>堪薩斯市皇家</v>
      </c>
      <c r="M695" s="11" t="n">
        <f aca="false">IF($C695="打者",COUNTIF(打擊成績!$B:$B,$A695),COUNTIF(投手成績!$B:$B,$A695))</f>
        <v>1</v>
      </c>
    </row>
    <row r="696" customFormat="false" ht="15" hidden="false" customHeight="false" outlineLevel="0" collapsed="false">
      <c r="A696" s="7" t="s">
        <v>1865</v>
      </c>
      <c r="B696" s="7" t="s">
        <v>1866</v>
      </c>
      <c r="C696" s="8" t="s">
        <v>469</v>
      </c>
      <c r="D696" s="7" t="s">
        <v>486</v>
      </c>
      <c r="E696" s="7" t="s">
        <v>152</v>
      </c>
      <c r="F696" s="7" t="s">
        <v>152</v>
      </c>
      <c r="G696" s="9" t="n">
        <v>38031</v>
      </c>
      <c r="H696" s="5" t="n">
        <v>184</v>
      </c>
      <c r="I696" s="5" t="n">
        <v>108</v>
      </c>
      <c r="J696" s="5" t="n">
        <v>2026</v>
      </c>
      <c r="K696" s="7" t="s">
        <v>379</v>
      </c>
      <c r="L696" s="10" t="str">
        <f aca="false">INDEX(球隊主檔!$C$2:$C$31,MATCH($K696,球隊主檔!$A$2:$A$31,0))</f>
        <v>明尼蘇達雙城</v>
      </c>
      <c r="M696" s="11" t="n">
        <f aca="false">IF($C696="打者",COUNTIF(打擊成績!$B:$B,$A696),COUNTIF(投手成績!$B:$B,$A696))</f>
        <v>1</v>
      </c>
    </row>
    <row r="697" customFormat="false" ht="15" hidden="false" customHeight="false" outlineLevel="0" collapsed="false">
      <c r="A697" s="7" t="s">
        <v>1867</v>
      </c>
      <c r="B697" s="7" t="s">
        <v>1868</v>
      </c>
      <c r="C697" s="8" t="s">
        <v>469</v>
      </c>
      <c r="D697" s="7" t="s">
        <v>470</v>
      </c>
      <c r="E697" s="7" t="s">
        <v>126</v>
      </c>
      <c r="F697" s="7" t="s">
        <v>152</v>
      </c>
      <c r="G697" s="9" t="n">
        <v>38036</v>
      </c>
      <c r="H697" s="5" t="n">
        <v>196</v>
      </c>
      <c r="I697" s="5" t="n">
        <v>105</v>
      </c>
      <c r="J697" s="5" t="n">
        <v>2026</v>
      </c>
      <c r="K697" s="7" t="s">
        <v>379</v>
      </c>
      <c r="L697" s="10" t="str">
        <f aca="false">INDEX(球隊主檔!$C$2:$C$31,MATCH($K697,球隊主檔!$A$2:$A$31,0))</f>
        <v>明尼蘇達雙城</v>
      </c>
      <c r="M697" s="11" t="n">
        <f aca="false">IF($C697="打者",COUNTIF(打擊成績!$B:$B,$A697),COUNTIF(投手成績!$B:$B,$A697))</f>
        <v>1</v>
      </c>
    </row>
    <row r="698" customFormat="false" ht="15" hidden="false" customHeight="false" outlineLevel="0" collapsed="false">
      <c r="A698" s="7" t="s">
        <v>1869</v>
      </c>
      <c r="B698" s="7" t="s">
        <v>1870</v>
      </c>
      <c r="C698" s="8" t="s">
        <v>495</v>
      </c>
      <c r="D698" s="7" t="s">
        <v>507</v>
      </c>
      <c r="E698" s="7" t="s">
        <v>152</v>
      </c>
      <c r="F698" s="7" t="s">
        <v>126</v>
      </c>
      <c r="G698" s="9" t="n">
        <v>38100</v>
      </c>
      <c r="H698" s="5" t="n">
        <v>188</v>
      </c>
      <c r="I698" s="5" t="n">
        <v>101</v>
      </c>
      <c r="J698" s="5" t="n">
        <v>2026</v>
      </c>
      <c r="K698" s="7" t="s">
        <v>379</v>
      </c>
      <c r="L698" s="10" t="str">
        <f aca="false">INDEX(球隊主檔!$C$2:$C$31,MATCH($K698,球隊主檔!$A$2:$A$31,0))</f>
        <v>明尼蘇達雙城</v>
      </c>
      <c r="M698" s="11" t="n">
        <f aca="false">IF($C698="打者",COUNTIF(打擊成績!$B:$B,$A698),COUNTIF(投手成績!$B:$B,$A698))</f>
        <v>1</v>
      </c>
    </row>
    <row r="699" customFormat="false" ht="15" hidden="false" customHeight="false" outlineLevel="0" collapsed="false">
      <c r="A699" s="7" t="s">
        <v>1871</v>
      </c>
      <c r="B699" s="7" t="s">
        <v>1872</v>
      </c>
      <c r="C699" s="8" t="s">
        <v>495</v>
      </c>
      <c r="D699" s="7" t="s">
        <v>507</v>
      </c>
      <c r="E699" s="7" t="s">
        <v>126</v>
      </c>
      <c r="F699" s="7" t="s">
        <v>152</v>
      </c>
      <c r="G699" s="9" t="n">
        <v>36791</v>
      </c>
      <c r="H699" s="5" t="n">
        <v>186</v>
      </c>
      <c r="I699" s="5" t="n">
        <v>81</v>
      </c>
      <c r="J699" s="5" t="n">
        <v>2026</v>
      </c>
      <c r="K699" s="7" t="s">
        <v>379</v>
      </c>
      <c r="L699" s="10" t="str">
        <f aca="false">INDEX(球隊主檔!$C$2:$C$31,MATCH($K699,球隊主檔!$A$2:$A$31,0))</f>
        <v>明尼蘇達雙城</v>
      </c>
      <c r="M699" s="11" t="n">
        <f aca="false">IF($C699="打者",COUNTIF(打擊成績!$B:$B,$A699),COUNTIF(投手成績!$B:$B,$A699))</f>
        <v>1</v>
      </c>
    </row>
    <row r="700" customFormat="false" ht="15" hidden="false" customHeight="false" outlineLevel="0" collapsed="false">
      <c r="A700" s="7" t="s">
        <v>1873</v>
      </c>
      <c r="B700" s="7" t="s">
        <v>1874</v>
      </c>
      <c r="C700" s="8" t="s">
        <v>469</v>
      </c>
      <c r="D700" s="7" t="s">
        <v>470</v>
      </c>
      <c r="E700" s="7" t="s">
        <v>126</v>
      </c>
      <c r="F700" s="7" t="s">
        <v>152</v>
      </c>
      <c r="G700" s="9" t="n">
        <v>38270</v>
      </c>
      <c r="H700" s="5" t="n">
        <v>188</v>
      </c>
      <c r="I700" s="5" t="n">
        <v>82</v>
      </c>
      <c r="J700" s="5" t="n">
        <v>2026</v>
      </c>
      <c r="K700" s="7" t="s">
        <v>383</v>
      </c>
      <c r="L700" s="10" t="str">
        <f aca="false">INDEX(球隊主檔!$C$2:$C$31,MATCH($K700,球隊主檔!$A$2:$A$31,0))</f>
        <v>運動家</v>
      </c>
      <c r="M700" s="11" t="n">
        <f aca="false">IF($C700="打者",COUNTIF(打擊成績!$B:$B,$A700),COUNTIF(投手成績!$B:$B,$A700))</f>
        <v>1</v>
      </c>
    </row>
    <row r="701" customFormat="false" ht="15" hidden="false" customHeight="false" outlineLevel="0" collapsed="false">
      <c r="A701" s="7" t="s">
        <v>1875</v>
      </c>
      <c r="B701" s="7" t="s">
        <v>1876</v>
      </c>
      <c r="C701" s="8" t="s">
        <v>469</v>
      </c>
      <c r="D701" s="7" t="s">
        <v>162</v>
      </c>
      <c r="E701" s="7" t="s">
        <v>174</v>
      </c>
      <c r="F701" s="7" t="s">
        <v>152</v>
      </c>
      <c r="G701" s="9" t="n">
        <v>38062</v>
      </c>
      <c r="H701" s="5" t="n">
        <v>197</v>
      </c>
      <c r="I701" s="5" t="n">
        <v>108</v>
      </c>
      <c r="J701" s="5" t="n">
        <v>2026</v>
      </c>
      <c r="K701" s="7" t="s">
        <v>383</v>
      </c>
      <c r="L701" s="10" t="str">
        <f aca="false">INDEX(球隊主檔!$C$2:$C$31,MATCH($K701,球隊主檔!$A$2:$A$31,0))</f>
        <v>運動家</v>
      </c>
      <c r="M701" s="11" t="n">
        <f aca="false">IF($C701="打者",COUNTIF(打擊成績!$B:$B,$A701),COUNTIF(投手成績!$B:$B,$A701))</f>
        <v>1</v>
      </c>
    </row>
    <row r="702" customFormat="false" ht="15" hidden="false" customHeight="false" outlineLevel="0" collapsed="false">
      <c r="A702" s="7" t="s">
        <v>1877</v>
      </c>
      <c r="B702" s="7" t="s">
        <v>1878</v>
      </c>
      <c r="C702" s="8" t="s">
        <v>495</v>
      </c>
      <c r="D702" s="7" t="s">
        <v>496</v>
      </c>
      <c r="E702" s="7" t="s">
        <v>152</v>
      </c>
      <c r="F702" s="7" t="s">
        <v>152</v>
      </c>
      <c r="G702" s="9" t="n">
        <v>38280</v>
      </c>
      <c r="H702" s="5" t="n">
        <v>193</v>
      </c>
      <c r="I702" s="5" t="n">
        <v>103</v>
      </c>
      <c r="J702" s="5" t="n">
        <v>2026</v>
      </c>
      <c r="K702" s="7" t="s">
        <v>383</v>
      </c>
      <c r="L702" s="10" t="str">
        <f aca="false">INDEX(球隊主檔!$C$2:$C$31,MATCH($K702,球隊主檔!$A$2:$A$31,0))</f>
        <v>運動家</v>
      </c>
      <c r="M702" s="11" t="n">
        <f aca="false">IF($C702="打者",COUNTIF(打擊成績!$B:$B,$A702),COUNTIF(投手成績!$B:$B,$A702))</f>
        <v>1</v>
      </c>
    </row>
    <row r="703" customFormat="false" ht="15" hidden="false" customHeight="false" outlineLevel="0" collapsed="false">
      <c r="A703" s="7" t="s">
        <v>1879</v>
      </c>
      <c r="B703" s="7" t="s">
        <v>1880</v>
      </c>
      <c r="C703" s="8" t="s">
        <v>469</v>
      </c>
      <c r="D703" s="7" t="s">
        <v>470</v>
      </c>
      <c r="E703" s="7" t="s">
        <v>126</v>
      </c>
      <c r="F703" s="7" t="s">
        <v>152</v>
      </c>
      <c r="G703" s="9" t="n">
        <v>38577</v>
      </c>
      <c r="H703" s="5" t="n">
        <v>196</v>
      </c>
      <c r="I703" s="5" t="n">
        <v>109</v>
      </c>
      <c r="J703" s="5" t="n">
        <v>2026</v>
      </c>
      <c r="K703" s="7" t="s">
        <v>388</v>
      </c>
      <c r="L703" s="10" t="str">
        <f aca="false">INDEX(球隊主檔!$C$2:$C$31,MATCH($K703,球隊主檔!$A$2:$A$31,0))</f>
        <v>休士頓太空人</v>
      </c>
      <c r="M703" s="11" t="n">
        <f aca="false">IF($C703="打者",COUNTIF(打擊成績!$B:$B,$A703),COUNTIF(投手成績!$B:$B,$A703))</f>
        <v>1</v>
      </c>
    </row>
    <row r="704" customFormat="false" ht="15" hidden="false" customHeight="false" outlineLevel="0" collapsed="false">
      <c r="A704" s="7" t="s">
        <v>1881</v>
      </c>
      <c r="B704" s="7" t="s">
        <v>1882</v>
      </c>
      <c r="C704" s="8" t="s">
        <v>469</v>
      </c>
      <c r="D704" s="7" t="s">
        <v>63</v>
      </c>
      <c r="E704" s="7" t="s">
        <v>126</v>
      </c>
      <c r="F704" s="7" t="s">
        <v>126</v>
      </c>
      <c r="G704" s="9" t="n">
        <v>37486</v>
      </c>
      <c r="H704" s="5" t="n">
        <v>196</v>
      </c>
      <c r="I704" s="5" t="n">
        <v>79</v>
      </c>
      <c r="J704" s="5" t="n">
        <v>2026</v>
      </c>
      <c r="K704" s="7" t="s">
        <v>388</v>
      </c>
      <c r="L704" s="10" t="str">
        <f aca="false">INDEX(球隊主檔!$C$2:$C$31,MATCH($K704,球隊主檔!$A$2:$A$31,0))</f>
        <v>休士頓太空人</v>
      </c>
      <c r="M704" s="11" t="n">
        <f aca="false">IF($C704="打者",COUNTIF(打擊成績!$B:$B,$A704),COUNTIF(投手成績!$B:$B,$A704))</f>
        <v>1</v>
      </c>
    </row>
    <row r="705" customFormat="false" ht="15" hidden="false" customHeight="false" outlineLevel="0" collapsed="false">
      <c r="A705" s="7" t="s">
        <v>1883</v>
      </c>
      <c r="B705" s="7" t="s">
        <v>1884</v>
      </c>
      <c r="C705" s="8" t="s">
        <v>469</v>
      </c>
      <c r="D705" s="7" t="s">
        <v>162</v>
      </c>
      <c r="E705" s="7" t="s">
        <v>152</v>
      </c>
      <c r="F705" s="7" t="s">
        <v>152</v>
      </c>
      <c r="G705" s="9" t="n">
        <v>38660</v>
      </c>
      <c r="H705" s="5" t="n">
        <v>193</v>
      </c>
      <c r="I705" s="5" t="n">
        <v>101</v>
      </c>
      <c r="J705" s="5" t="n">
        <v>2026</v>
      </c>
      <c r="K705" s="7" t="s">
        <v>388</v>
      </c>
      <c r="L705" s="10" t="str">
        <f aca="false">INDEX(球隊主檔!$C$2:$C$31,MATCH($K705,球隊主檔!$A$2:$A$31,0))</f>
        <v>休士頓太空人</v>
      </c>
      <c r="M705" s="11" t="n">
        <f aca="false">IF($C705="打者",COUNTIF(打擊成績!$B:$B,$A705),COUNTIF(投手成績!$B:$B,$A705))</f>
        <v>1</v>
      </c>
    </row>
    <row r="706" customFormat="false" ht="15" hidden="false" customHeight="false" outlineLevel="0" collapsed="false">
      <c r="A706" s="7" t="s">
        <v>1885</v>
      </c>
      <c r="B706" s="7" t="s">
        <v>1886</v>
      </c>
      <c r="C706" s="8" t="s">
        <v>495</v>
      </c>
      <c r="D706" s="7" t="s">
        <v>496</v>
      </c>
      <c r="E706" s="7" t="s">
        <v>126</v>
      </c>
      <c r="F706" s="7" t="s">
        <v>152</v>
      </c>
      <c r="G706" s="9" t="n">
        <v>37629</v>
      </c>
      <c r="H706" s="5" t="n">
        <v>181</v>
      </c>
      <c r="I706" s="5" t="n">
        <v>90</v>
      </c>
      <c r="J706" s="5" t="n">
        <v>2026</v>
      </c>
      <c r="K706" s="7" t="s">
        <v>388</v>
      </c>
      <c r="L706" s="10" t="str">
        <f aca="false">INDEX(球隊主檔!$C$2:$C$31,MATCH($K706,球隊主檔!$A$2:$A$31,0))</f>
        <v>休士頓太空人</v>
      </c>
      <c r="M706" s="11" t="n">
        <f aca="false">IF($C706="打者",COUNTIF(打擊成績!$B:$B,$A706),COUNTIF(投手成績!$B:$B,$A706))</f>
        <v>1</v>
      </c>
    </row>
    <row r="707" customFormat="false" ht="15" hidden="false" customHeight="false" outlineLevel="0" collapsed="false">
      <c r="A707" s="7" t="s">
        <v>1887</v>
      </c>
      <c r="B707" s="7" t="s">
        <v>1888</v>
      </c>
      <c r="C707" s="8" t="s">
        <v>495</v>
      </c>
      <c r="D707" s="7" t="s">
        <v>496</v>
      </c>
      <c r="E707" s="7" t="s">
        <v>152</v>
      </c>
      <c r="F707" s="7" t="s">
        <v>126</v>
      </c>
      <c r="G707" s="9" t="n">
        <v>37658</v>
      </c>
      <c r="H707" s="5" t="n">
        <v>191</v>
      </c>
      <c r="I707" s="5" t="n">
        <v>103</v>
      </c>
      <c r="J707" s="5" t="n">
        <v>2026</v>
      </c>
      <c r="K707" s="7" t="s">
        <v>388</v>
      </c>
      <c r="L707" s="10" t="str">
        <f aca="false">INDEX(球隊主檔!$C$2:$C$31,MATCH($K707,球隊主檔!$A$2:$A$31,0))</f>
        <v>休士頓太空人</v>
      </c>
      <c r="M707" s="11" t="n">
        <f aca="false">IF($C707="打者",COUNTIF(打擊成績!$B:$B,$A707),COUNTIF(投手成績!$B:$B,$A707))</f>
        <v>1</v>
      </c>
    </row>
    <row r="708" customFormat="false" ht="15" hidden="false" customHeight="false" outlineLevel="0" collapsed="false">
      <c r="A708" s="7" t="s">
        <v>1889</v>
      </c>
      <c r="B708" s="7" t="s">
        <v>1890</v>
      </c>
      <c r="C708" s="8" t="s">
        <v>495</v>
      </c>
      <c r="D708" s="7" t="s">
        <v>496</v>
      </c>
      <c r="E708" s="7" t="s">
        <v>126</v>
      </c>
      <c r="F708" s="7" t="s">
        <v>152</v>
      </c>
      <c r="G708" s="9" t="n">
        <v>37044</v>
      </c>
      <c r="H708" s="5" t="n">
        <v>193</v>
      </c>
      <c r="I708" s="5" t="n">
        <v>92</v>
      </c>
      <c r="J708" s="5" t="n">
        <v>2026</v>
      </c>
      <c r="K708" s="7" t="s">
        <v>392</v>
      </c>
      <c r="L708" s="10" t="str">
        <f aca="false">INDEX(球隊主檔!$C$2:$C$31,MATCH($K708,球隊主檔!$A$2:$A$31,0))</f>
        <v>洛杉磯天使</v>
      </c>
      <c r="M708" s="11" t="n">
        <f aca="false">IF($C708="打者",COUNTIF(打擊成績!$B:$B,$A708),COUNTIF(投手成績!$B:$B,$A708))</f>
        <v>1</v>
      </c>
    </row>
    <row r="709" customFormat="false" ht="15" hidden="false" customHeight="false" outlineLevel="0" collapsed="false">
      <c r="A709" s="7" t="s">
        <v>1891</v>
      </c>
      <c r="B709" s="7" t="s">
        <v>1892</v>
      </c>
      <c r="C709" s="8" t="s">
        <v>495</v>
      </c>
      <c r="D709" s="7" t="s">
        <v>496</v>
      </c>
      <c r="E709" s="7" t="s">
        <v>152</v>
      </c>
      <c r="F709" s="7" t="s">
        <v>126</v>
      </c>
      <c r="G709" s="9" t="n">
        <v>38384</v>
      </c>
      <c r="H709" s="5" t="n">
        <v>190</v>
      </c>
      <c r="I709" s="5" t="n">
        <v>107</v>
      </c>
      <c r="J709" s="5" t="n">
        <v>2026</v>
      </c>
      <c r="K709" s="7" t="s">
        <v>392</v>
      </c>
      <c r="L709" s="10" t="str">
        <f aca="false">INDEX(球隊主檔!$C$2:$C$31,MATCH($K709,球隊主檔!$A$2:$A$31,0))</f>
        <v>洛杉磯天使</v>
      </c>
      <c r="M709" s="11" t="n">
        <f aca="false">IF($C709="打者",COUNTIF(打擊成績!$B:$B,$A709),COUNTIF(投手成績!$B:$B,$A709))</f>
        <v>1</v>
      </c>
    </row>
    <row r="710" customFormat="false" ht="15" hidden="false" customHeight="false" outlineLevel="0" collapsed="false">
      <c r="A710" s="7" t="s">
        <v>1893</v>
      </c>
      <c r="B710" s="7" t="s">
        <v>1894</v>
      </c>
      <c r="C710" s="8" t="s">
        <v>469</v>
      </c>
      <c r="D710" s="7" t="s">
        <v>522</v>
      </c>
      <c r="E710" s="7" t="s">
        <v>152</v>
      </c>
      <c r="F710" s="7" t="s">
        <v>152</v>
      </c>
      <c r="G710" s="9" t="n">
        <v>37361</v>
      </c>
      <c r="H710" s="5" t="n">
        <v>198</v>
      </c>
      <c r="I710" s="5" t="n">
        <v>95</v>
      </c>
      <c r="J710" s="5" t="n">
        <v>2026</v>
      </c>
      <c r="K710" s="7" t="s">
        <v>396</v>
      </c>
      <c r="L710" s="10" t="str">
        <f aca="false">INDEX(球隊主檔!$C$2:$C$31,MATCH($K710,球隊主檔!$A$2:$A$31,0))</f>
        <v>西雅圖水手</v>
      </c>
      <c r="M710" s="11" t="n">
        <f aca="false">IF($C710="打者",COUNTIF(打擊成績!$B:$B,$A710),COUNTIF(投手成績!$B:$B,$A710))</f>
        <v>1</v>
      </c>
    </row>
    <row r="711" customFormat="false" ht="15" hidden="false" customHeight="false" outlineLevel="0" collapsed="false">
      <c r="A711" s="7" t="s">
        <v>1895</v>
      </c>
      <c r="B711" s="7" t="s">
        <v>1896</v>
      </c>
      <c r="C711" s="8" t="s">
        <v>469</v>
      </c>
      <c r="D711" s="7" t="s">
        <v>473</v>
      </c>
      <c r="E711" s="7" t="s">
        <v>126</v>
      </c>
      <c r="F711" s="7" t="s">
        <v>126</v>
      </c>
      <c r="G711" s="9" t="n">
        <v>37731</v>
      </c>
      <c r="H711" s="5" t="n">
        <v>177</v>
      </c>
      <c r="I711" s="5" t="n">
        <v>83</v>
      </c>
      <c r="J711" s="5" t="n">
        <v>2026</v>
      </c>
      <c r="K711" s="7" t="s">
        <v>396</v>
      </c>
      <c r="L711" s="10" t="str">
        <f aca="false">INDEX(球隊主檔!$C$2:$C$31,MATCH($K711,球隊主檔!$A$2:$A$31,0))</f>
        <v>西雅圖水手</v>
      </c>
      <c r="M711" s="11" t="n">
        <f aca="false">IF($C711="打者",COUNTIF(打擊成績!$B:$B,$A711),COUNTIF(投手成績!$B:$B,$A711))</f>
        <v>1</v>
      </c>
    </row>
    <row r="712" customFormat="false" ht="15" hidden="false" customHeight="false" outlineLevel="0" collapsed="false">
      <c r="A712" s="7" t="s">
        <v>1897</v>
      </c>
      <c r="B712" s="7" t="s">
        <v>1898</v>
      </c>
      <c r="C712" s="8" t="s">
        <v>495</v>
      </c>
      <c r="D712" s="7" t="s">
        <v>507</v>
      </c>
      <c r="E712" s="7" t="s">
        <v>174</v>
      </c>
      <c r="F712" s="7" t="s">
        <v>152</v>
      </c>
      <c r="G712" s="9" t="n">
        <v>37766</v>
      </c>
      <c r="H712" s="5" t="n">
        <v>175</v>
      </c>
      <c r="I712" s="5" t="n">
        <v>107</v>
      </c>
      <c r="J712" s="5" t="n">
        <v>2026</v>
      </c>
      <c r="K712" s="7" t="s">
        <v>396</v>
      </c>
      <c r="L712" s="10" t="str">
        <f aca="false">INDEX(球隊主檔!$C$2:$C$31,MATCH($K712,球隊主檔!$A$2:$A$31,0))</f>
        <v>西雅圖水手</v>
      </c>
      <c r="M712" s="11" t="n">
        <f aca="false">IF($C712="打者",COUNTIF(打擊成績!$B:$B,$A712),COUNTIF(投手成績!$B:$B,$A712))</f>
        <v>1</v>
      </c>
    </row>
    <row r="713" customFormat="false" ht="15" hidden="false" customHeight="false" outlineLevel="0" collapsed="false">
      <c r="A713" s="7" t="s">
        <v>1899</v>
      </c>
      <c r="B713" s="7" t="s">
        <v>1900</v>
      </c>
      <c r="C713" s="8" t="s">
        <v>469</v>
      </c>
      <c r="D713" s="7" t="s">
        <v>473</v>
      </c>
      <c r="E713" s="7" t="s">
        <v>152</v>
      </c>
      <c r="F713" s="7" t="s">
        <v>152</v>
      </c>
      <c r="G713" s="9" t="n">
        <v>37637</v>
      </c>
      <c r="H713" s="5" t="n">
        <v>183</v>
      </c>
      <c r="I713" s="5" t="n">
        <v>102</v>
      </c>
      <c r="J713" s="5" t="n">
        <v>2026</v>
      </c>
      <c r="K713" s="7" t="s">
        <v>400</v>
      </c>
      <c r="L713" s="10" t="str">
        <f aca="false">INDEX(球隊主檔!$C$2:$C$31,MATCH($K713,球隊主檔!$A$2:$A$31,0))</f>
        <v>德州遊騎兵</v>
      </c>
      <c r="M713" s="11" t="n">
        <f aca="false">IF($C713="打者",COUNTIF(打擊成績!$B:$B,$A713),COUNTIF(投手成績!$B:$B,$A713))</f>
        <v>1</v>
      </c>
    </row>
    <row r="714" customFormat="false" ht="15" hidden="false" customHeight="false" outlineLevel="0" collapsed="false">
      <c r="A714" s="7" t="s">
        <v>1901</v>
      </c>
      <c r="B714" s="7" t="s">
        <v>1902</v>
      </c>
      <c r="C714" s="8" t="s">
        <v>469</v>
      </c>
      <c r="D714" s="7" t="s">
        <v>478</v>
      </c>
      <c r="E714" s="7" t="s">
        <v>174</v>
      </c>
      <c r="F714" s="7" t="s">
        <v>152</v>
      </c>
      <c r="G714" s="9" t="n">
        <v>37569</v>
      </c>
      <c r="H714" s="5" t="n">
        <v>191</v>
      </c>
      <c r="I714" s="5" t="n">
        <v>100</v>
      </c>
      <c r="J714" s="5" t="n">
        <v>2026</v>
      </c>
      <c r="K714" s="7" t="s">
        <v>400</v>
      </c>
      <c r="L714" s="10" t="str">
        <f aca="false">INDEX(球隊主檔!$C$2:$C$31,MATCH($K714,球隊主檔!$A$2:$A$31,0))</f>
        <v>德州遊騎兵</v>
      </c>
      <c r="M714" s="11" t="n">
        <f aca="false">IF($C714="打者",COUNTIF(打擊成績!$B:$B,$A714),COUNTIF(投手成績!$B:$B,$A714))</f>
        <v>1</v>
      </c>
    </row>
    <row r="715" customFormat="false" ht="15" hidden="false" customHeight="false" outlineLevel="0" collapsed="false">
      <c r="A715" s="7" t="s">
        <v>1903</v>
      </c>
      <c r="B715" s="7" t="s">
        <v>1904</v>
      </c>
      <c r="C715" s="8" t="s">
        <v>495</v>
      </c>
      <c r="D715" s="7" t="s">
        <v>496</v>
      </c>
      <c r="E715" s="7" t="s">
        <v>152</v>
      </c>
      <c r="F715" s="7" t="s">
        <v>152</v>
      </c>
      <c r="G715" s="9" t="n">
        <v>37284</v>
      </c>
      <c r="H715" s="5" t="n">
        <v>186</v>
      </c>
      <c r="I715" s="5" t="n">
        <v>102</v>
      </c>
      <c r="J715" s="5" t="n">
        <v>2026</v>
      </c>
      <c r="K715" s="7" t="s">
        <v>400</v>
      </c>
      <c r="L715" s="10" t="str">
        <f aca="false">INDEX(球隊主檔!$C$2:$C$31,MATCH($K715,球隊主檔!$A$2:$A$31,0))</f>
        <v>德州遊騎兵</v>
      </c>
      <c r="M715" s="11" t="n">
        <f aca="false">IF($C715="打者",COUNTIF(打擊成績!$B:$B,$A715),COUNTIF(投手成績!$B:$B,$A715))</f>
        <v>1</v>
      </c>
    </row>
    <row r="716" customFormat="false" ht="15" hidden="false" customHeight="false" outlineLevel="0" collapsed="false">
      <c r="A716" s="7" t="s">
        <v>1905</v>
      </c>
      <c r="B716" s="7" t="s">
        <v>1906</v>
      </c>
      <c r="C716" s="8" t="s">
        <v>469</v>
      </c>
      <c r="D716" s="7" t="s">
        <v>158</v>
      </c>
      <c r="E716" s="7" t="s">
        <v>126</v>
      </c>
      <c r="F716" s="7" t="s">
        <v>152</v>
      </c>
      <c r="G716" s="9" t="n">
        <v>38048</v>
      </c>
      <c r="H716" s="5" t="n">
        <v>195</v>
      </c>
      <c r="I716" s="5" t="n">
        <v>108</v>
      </c>
      <c r="J716" s="5" t="n">
        <v>2026</v>
      </c>
      <c r="K716" s="7" t="s">
        <v>404</v>
      </c>
      <c r="L716" s="10" t="str">
        <f aca="false">INDEX(球隊主檔!$C$2:$C$31,MATCH($K716,球隊主檔!$A$2:$A$31,0))</f>
        <v>亞特蘭大勇士</v>
      </c>
      <c r="M716" s="11" t="n">
        <f aca="false">IF($C716="打者",COUNTIF(打擊成績!$B:$B,$A716),COUNTIF(投手成績!$B:$B,$A716))</f>
        <v>1</v>
      </c>
    </row>
    <row r="717" customFormat="false" ht="15" hidden="false" customHeight="false" outlineLevel="0" collapsed="false">
      <c r="A717" s="7" t="s">
        <v>1907</v>
      </c>
      <c r="B717" s="7" t="s">
        <v>1908</v>
      </c>
      <c r="C717" s="8" t="s">
        <v>495</v>
      </c>
      <c r="D717" s="7" t="s">
        <v>507</v>
      </c>
      <c r="E717" s="7" t="s">
        <v>152</v>
      </c>
      <c r="F717" s="7" t="s">
        <v>126</v>
      </c>
      <c r="G717" s="9" t="n">
        <v>38130</v>
      </c>
      <c r="H717" s="5" t="n">
        <v>188</v>
      </c>
      <c r="I717" s="5" t="n">
        <v>79</v>
      </c>
      <c r="J717" s="5" t="n">
        <v>2026</v>
      </c>
      <c r="K717" s="7" t="s">
        <v>404</v>
      </c>
      <c r="L717" s="10" t="str">
        <f aca="false">INDEX(球隊主檔!$C$2:$C$31,MATCH($K717,球隊主檔!$A$2:$A$31,0))</f>
        <v>亞特蘭大勇士</v>
      </c>
      <c r="M717" s="11" t="n">
        <f aca="false">IF($C717="打者",COUNTIF(打擊成績!$B:$B,$A717),COUNTIF(投手成績!$B:$B,$A717))</f>
        <v>1</v>
      </c>
    </row>
    <row r="718" customFormat="false" ht="15" hidden="false" customHeight="false" outlineLevel="0" collapsed="false">
      <c r="A718" s="7" t="s">
        <v>1909</v>
      </c>
      <c r="B718" s="7" t="s">
        <v>1910</v>
      </c>
      <c r="C718" s="8" t="s">
        <v>495</v>
      </c>
      <c r="D718" s="7" t="s">
        <v>496</v>
      </c>
      <c r="E718" s="7" t="s">
        <v>152</v>
      </c>
      <c r="F718" s="7" t="s">
        <v>152</v>
      </c>
      <c r="G718" s="9" t="n">
        <v>37522</v>
      </c>
      <c r="H718" s="5" t="n">
        <v>192</v>
      </c>
      <c r="I718" s="5" t="n">
        <v>107</v>
      </c>
      <c r="J718" s="5" t="n">
        <v>2026</v>
      </c>
      <c r="K718" s="7" t="s">
        <v>410</v>
      </c>
      <c r="L718" s="10" t="str">
        <f aca="false">INDEX(球隊主檔!$C$2:$C$31,MATCH($K718,球隊主檔!$A$2:$A$31,0))</f>
        <v>邁阿密馬林魚</v>
      </c>
      <c r="M718" s="11" t="n">
        <f aca="false">IF($C718="打者",COUNTIF(打擊成績!$B:$B,$A718),COUNTIF(投手成績!$B:$B,$A718))</f>
        <v>1</v>
      </c>
    </row>
    <row r="719" customFormat="false" ht="15" hidden="false" customHeight="false" outlineLevel="0" collapsed="false">
      <c r="A719" s="7" t="s">
        <v>1911</v>
      </c>
      <c r="B719" s="7" t="s">
        <v>1912</v>
      </c>
      <c r="C719" s="8" t="s">
        <v>495</v>
      </c>
      <c r="D719" s="7" t="s">
        <v>507</v>
      </c>
      <c r="E719" s="7" t="s">
        <v>152</v>
      </c>
      <c r="F719" s="7" t="s">
        <v>152</v>
      </c>
      <c r="G719" s="9" t="n">
        <v>37749</v>
      </c>
      <c r="H719" s="5" t="n">
        <v>201</v>
      </c>
      <c r="I719" s="5" t="n">
        <v>86</v>
      </c>
      <c r="J719" s="5" t="n">
        <v>2026</v>
      </c>
      <c r="K719" s="7" t="s">
        <v>410</v>
      </c>
      <c r="L719" s="10" t="str">
        <f aca="false">INDEX(球隊主檔!$C$2:$C$31,MATCH($K719,球隊主檔!$A$2:$A$31,0))</f>
        <v>邁阿密馬林魚</v>
      </c>
      <c r="M719" s="11" t="n">
        <f aca="false">IF($C719="打者",COUNTIF(打擊成績!$B:$B,$A719),COUNTIF(投手成績!$B:$B,$A719))</f>
        <v>1</v>
      </c>
    </row>
    <row r="720" customFormat="false" ht="15" hidden="false" customHeight="false" outlineLevel="0" collapsed="false">
      <c r="A720" s="7" t="s">
        <v>1913</v>
      </c>
      <c r="B720" s="7" t="s">
        <v>1914</v>
      </c>
      <c r="C720" s="8" t="s">
        <v>469</v>
      </c>
      <c r="D720" s="7" t="s">
        <v>162</v>
      </c>
      <c r="E720" s="7" t="s">
        <v>174</v>
      </c>
      <c r="F720" s="7" t="s">
        <v>152</v>
      </c>
      <c r="G720" s="9" t="n">
        <v>36466</v>
      </c>
      <c r="H720" s="5" t="n">
        <v>201</v>
      </c>
      <c r="I720" s="5" t="n">
        <v>90</v>
      </c>
      <c r="J720" s="5" t="n">
        <v>2026</v>
      </c>
      <c r="K720" s="7" t="s">
        <v>414</v>
      </c>
      <c r="L720" s="10" t="str">
        <f aca="false">INDEX(球隊主檔!$C$2:$C$31,MATCH($K720,球隊主檔!$A$2:$A$31,0))</f>
        <v>紐約大都會</v>
      </c>
      <c r="M720" s="11" t="n">
        <f aca="false">IF($C720="打者",COUNTIF(打擊成績!$B:$B,$A720),COUNTIF(投手成績!$B:$B,$A720))</f>
        <v>1</v>
      </c>
    </row>
    <row r="721" customFormat="false" ht="15" hidden="false" customHeight="false" outlineLevel="0" collapsed="false">
      <c r="A721" s="7" t="s">
        <v>1915</v>
      </c>
      <c r="B721" s="7" t="s">
        <v>1916</v>
      </c>
      <c r="C721" s="8" t="s">
        <v>469</v>
      </c>
      <c r="D721" s="7" t="s">
        <v>158</v>
      </c>
      <c r="E721" s="7" t="s">
        <v>152</v>
      </c>
      <c r="F721" s="7" t="s">
        <v>152</v>
      </c>
      <c r="G721" s="9" t="n">
        <v>38461</v>
      </c>
      <c r="H721" s="5" t="n">
        <v>188</v>
      </c>
      <c r="I721" s="5" t="n">
        <v>80</v>
      </c>
      <c r="J721" s="5" t="n">
        <v>2026</v>
      </c>
      <c r="K721" s="7" t="s">
        <v>418</v>
      </c>
      <c r="L721" s="10" t="str">
        <f aca="false">INDEX(球隊主檔!$C$2:$C$31,MATCH($K721,球隊主檔!$A$2:$A$31,0))</f>
        <v>費城費城人</v>
      </c>
      <c r="M721" s="11" t="n">
        <f aca="false">IF($C721="打者",COUNTIF(打擊成績!$B:$B,$A721),COUNTIF(投手成績!$B:$B,$A721))</f>
        <v>1</v>
      </c>
    </row>
    <row r="722" customFormat="false" ht="15" hidden="false" customHeight="false" outlineLevel="0" collapsed="false">
      <c r="A722" s="7" t="s">
        <v>1917</v>
      </c>
      <c r="B722" s="7" t="s">
        <v>1918</v>
      </c>
      <c r="C722" s="8" t="s">
        <v>469</v>
      </c>
      <c r="D722" s="7" t="s">
        <v>473</v>
      </c>
      <c r="E722" s="7" t="s">
        <v>152</v>
      </c>
      <c r="F722" s="7" t="s">
        <v>126</v>
      </c>
      <c r="G722" s="9" t="n">
        <v>39025</v>
      </c>
      <c r="H722" s="5" t="n">
        <v>190</v>
      </c>
      <c r="I722" s="5" t="n">
        <v>91</v>
      </c>
      <c r="J722" s="5" t="n">
        <v>2026</v>
      </c>
      <c r="K722" s="7" t="s">
        <v>418</v>
      </c>
      <c r="L722" s="10" t="str">
        <f aca="false">INDEX(球隊主檔!$C$2:$C$31,MATCH($K722,球隊主檔!$A$2:$A$31,0))</f>
        <v>費城費城人</v>
      </c>
      <c r="M722" s="11" t="n">
        <f aca="false">IF($C722="打者",COUNTIF(打擊成績!$B:$B,$A722),COUNTIF(投手成績!$B:$B,$A722))</f>
        <v>1</v>
      </c>
    </row>
    <row r="723" customFormat="false" ht="15" hidden="false" customHeight="false" outlineLevel="0" collapsed="false">
      <c r="A723" s="7" t="s">
        <v>1919</v>
      </c>
      <c r="B723" s="7" t="s">
        <v>1920</v>
      </c>
      <c r="C723" s="8" t="s">
        <v>469</v>
      </c>
      <c r="D723" s="7" t="s">
        <v>63</v>
      </c>
      <c r="E723" s="7" t="s">
        <v>126</v>
      </c>
      <c r="F723" s="7" t="s">
        <v>152</v>
      </c>
      <c r="G723" s="9" t="n">
        <v>38629</v>
      </c>
      <c r="H723" s="5" t="n">
        <v>175</v>
      </c>
      <c r="I723" s="5" t="n">
        <v>81</v>
      </c>
      <c r="J723" s="5" t="n">
        <v>2026</v>
      </c>
      <c r="K723" s="7" t="s">
        <v>422</v>
      </c>
      <c r="L723" s="10" t="str">
        <f aca="false">INDEX(球隊主檔!$C$2:$C$31,MATCH($K723,球隊主檔!$A$2:$A$31,0))</f>
        <v>華盛頓國民</v>
      </c>
      <c r="M723" s="11" t="n">
        <f aca="false">IF($C723="打者",COUNTIF(打擊成績!$B:$B,$A723),COUNTIF(投手成績!$B:$B,$A723))</f>
        <v>1</v>
      </c>
    </row>
    <row r="724" customFormat="false" ht="15" hidden="false" customHeight="false" outlineLevel="0" collapsed="false">
      <c r="A724" s="7" t="s">
        <v>1921</v>
      </c>
      <c r="B724" s="7" t="s">
        <v>1922</v>
      </c>
      <c r="C724" s="8" t="s">
        <v>495</v>
      </c>
      <c r="D724" s="7" t="s">
        <v>507</v>
      </c>
      <c r="E724" s="7" t="s">
        <v>152</v>
      </c>
      <c r="F724" s="7" t="s">
        <v>126</v>
      </c>
      <c r="G724" s="9" t="n">
        <v>37361</v>
      </c>
      <c r="H724" s="5" t="n">
        <v>186</v>
      </c>
      <c r="I724" s="5" t="n">
        <v>84</v>
      </c>
      <c r="J724" s="5" t="n">
        <v>2026</v>
      </c>
      <c r="K724" s="7" t="s">
        <v>422</v>
      </c>
      <c r="L724" s="10" t="str">
        <f aca="false">INDEX(球隊主檔!$C$2:$C$31,MATCH($K724,球隊主檔!$A$2:$A$31,0))</f>
        <v>華盛頓國民</v>
      </c>
      <c r="M724" s="11" t="n">
        <f aca="false">IF($C724="打者",COUNTIF(打擊成績!$B:$B,$A724),COUNTIF(投手成績!$B:$B,$A724))</f>
        <v>1</v>
      </c>
    </row>
    <row r="725" customFormat="false" ht="15" hidden="false" customHeight="false" outlineLevel="0" collapsed="false">
      <c r="A725" s="7" t="s">
        <v>1923</v>
      </c>
      <c r="B725" s="7" t="s">
        <v>1924</v>
      </c>
      <c r="C725" s="8" t="s">
        <v>495</v>
      </c>
      <c r="D725" s="7" t="s">
        <v>496</v>
      </c>
      <c r="E725" s="7" t="s">
        <v>152</v>
      </c>
      <c r="F725" s="7" t="s">
        <v>152</v>
      </c>
      <c r="G725" s="9" t="n">
        <v>36867</v>
      </c>
      <c r="H725" s="5" t="n">
        <v>197</v>
      </c>
      <c r="I725" s="5" t="n">
        <v>95</v>
      </c>
      <c r="J725" s="5" t="n">
        <v>2026</v>
      </c>
      <c r="K725" s="7" t="s">
        <v>426</v>
      </c>
      <c r="L725" s="10" t="str">
        <f aca="false">INDEX(球隊主檔!$C$2:$C$31,MATCH($K725,球隊主檔!$A$2:$A$31,0))</f>
        <v>芝加哥小熊</v>
      </c>
      <c r="M725" s="11" t="n">
        <f aca="false">IF($C725="打者",COUNTIF(打擊成績!$B:$B,$A725),COUNTIF(投手成績!$B:$B,$A725))</f>
        <v>1</v>
      </c>
    </row>
    <row r="726" customFormat="false" ht="15" hidden="false" customHeight="false" outlineLevel="0" collapsed="false">
      <c r="A726" s="7" t="s">
        <v>1925</v>
      </c>
      <c r="B726" s="7" t="s">
        <v>1926</v>
      </c>
      <c r="C726" s="8" t="s">
        <v>495</v>
      </c>
      <c r="D726" s="7" t="s">
        <v>496</v>
      </c>
      <c r="E726" s="7" t="s">
        <v>126</v>
      </c>
      <c r="F726" s="7" t="s">
        <v>152</v>
      </c>
      <c r="G726" s="9" t="n">
        <v>37371</v>
      </c>
      <c r="H726" s="5" t="n">
        <v>195</v>
      </c>
      <c r="I726" s="5" t="n">
        <v>111</v>
      </c>
      <c r="J726" s="5" t="n">
        <v>2026</v>
      </c>
      <c r="K726" s="7" t="s">
        <v>426</v>
      </c>
      <c r="L726" s="10" t="str">
        <f aca="false">INDEX(球隊主檔!$C$2:$C$31,MATCH($K726,球隊主檔!$A$2:$A$31,0))</f>
        <v>芝加哥小熊</v>
      </c>
      <c r="M726" s="11" t="n">
        <f aca="false">IF($C726="打者",COUNTIF(打擊成績!$B:$B,$A726),COUNTIF(投手成績!$B:$B,$A726))</f>
        <v>1</v>
      </c>
    </row>
    <row r="727" customFormat="false" ht="15" hidden="false" customHeight="false" outlineLevel="0" collapsed="false">
      <c r="A727" s="7" t="s">
        <v>1927</v>
      </c>
      <c r="B727" s="7" t="s">
        <v>1928</v>
      </c>
      <c r="C727" s="8" t="s">
        <v>495</v>
      </c>
      <c r="D727" s="7" t="s">
        <v>507</v>
      </c>
      <c r="E727" s="7" t="s">
        <v>152</v>
      </c>
      <c r="F727" s="7" t="s">
        <v>152</v>
      </c>
      <c r="G727" s="9" t="n">
        <v>38916</v>
      </c>
      <c r="H727" s="5" t="n">
        <v>191</v>
      </c>
      <c r="I727" s="5" t="n">
        <v>91</v>
      </c>
      <c r="J727" s="5" t="n">
        <v>2026</v>
      </c>
      <c r="K727" s="7" t="s">
        <v>426</v>
      </c>
      <c r="L727" s="10" t="str">
        <f aca="false">INDEX(球隊主檔!$C$2:$C$31,MATCH($K727,球隊主檔!$A$2:$A$31,0))</f>
        <v>芝加哥小熊</v>
      </c>
      <c r="M727" s="11" t="n">
        <f aca="false">IF($C727="打者",COUNTIF(打擊成績!$B:$B,$A727),COUNTIF(投手成績!$B:$B,$A727))</f>
        <v>1</v>
      </c>
    </row>
    <row r="728" customFormat="false" ht="15" hidden="false" customHeight="false" outlineLevel="0" collapsed="false">
      <c r="A728" s="7" t="s">
        <v>1929</v>
      </c>
      <c r="B728" s="7" t="s">
        <v>1930</v>
      </c>
      <c r="C728" s="8" t="s">
        <v>495</v>
      </c>
      <c r="D728" s="7" t="s">
        <v>507</v>
      </c>
      <c r="E728" s="7" t="s">
        <v>152</v>
      </c>
      <c r="F728" s="7" t="s">
        <v>126</v>
      </c>
      <c r="G728" s="9" t="n">
        <v>37078</v>
      </c>
      <c r="H728" s="5" t="n">
        <v>192</v>
      </c>
      <c r="I728" s="5" t="n">
        <v>95</v>
      </c>
      <c r="J728" s="5" t="n">
        <v>2026</v>
      </c>
      <c r="K728" s="7" t="s">
        <v>426</v>
      </c>
      <c r="L728" s="10" t="str">
        <f aca="false">INDEX(球隊主檔!$C$2:$C$31,MATCH($K728,球隊主檔!$A$2:$A$31,0))</f>
        <v>芝加哥小熊</v>
      </c>
      <c r="M728" s="11" t="n">
        <f aca="false">IF($C728="打者",COUNTIF(打擊成績!$B:$B,$A728),COUNTIF(投手成績!$B:$B,$A728))</f>
        <v>1</v>
      </c>
    </row>
    <row r="729" customFormat="false" ht="15" hidden="false" customHeight="false" outlineLevel="0" collapsed="false">
      <c r="A729" s="7" t="s">
        <v>1931</v>
      </c>
      <c r="B729" s="7" t="s">
        <v>1932</v>
      </c>
      <c r="C729" s="8" t="s">
        <v>495</v>
      </c>
      <c r="D729" s="7" t="s">
        <v>496</v>
      </c>
      <c r="E729" s="7" t="s">
        <v>152</v>
      </c>
      <c r="F729" s="7" t="s">
        <v>152</v>
      </c>
      <c r="G729" s="9" t="n">
        <v>38265</v>
      </c>
      <c r="H729" s="5" t="n">
        <v>201</v>
      </c>
      <c r="I729" s="5" t="n">
        <v>99</v>
      </c>
      <c r="J729" s="5" t="n">
        <v>2026</v>
      </c>
      <c r="K729" s="7" t="s">
        <v>430</v>
      </c>
      <c r="L729" s="10" t="str">
        <f aca="false">INDEX(球隊主檔!$C$2:$C$31,MATCH($K729,球隊主檔!$A$2:$A$31,0))</f>
        <v>辛辛那提紅人</v>
      </c>
      <c r="M729" s="11" t="n">
        <f aca="false">IF($C729="打者",COUNTIF(打擊成績!$B:$B,$A729),COUNTIF(投手成績!$B:$B,$A729))</f>
        <v>1</v>
      </c>
    </row>
    <row r="730" customFormat="false" ht="15" hidden="false" customHeight="false" outlineLevel="0" collapsed="false">
      <c r="A730" s="7" t="s">
        <v>1933</v>
      </c>
      <c r="B730" s="7" t="s">
        <v>1934</v>
      </c>
      <c r="C730" s="8" t="s">
        <v>495</v>
      </c>
      <c r="D730" s="7" t="s">
        <v>496</v>
      </c>
      <c r="E730" s="7" t="s">
        <v>174</v>
      </c>
      <c r="F730" s="7" t="s">
        <v>152</v>
      </c>
      <c r="G730" s="9" t="n">
        <v>38544</v>
      </c>
      <c r="H730" s="5" t="n">
        <v>194</v>
      </c>
      <c r="I730" s="5" t="n">
        <v>96</v>
      </c>
      <c r="J730" s="5" t="n">
        <v>2026</v>
      </c>
      <c r="K730" s="7" t="s">
        <v>430</v>
      </c>
      <c r="L730" s="10" t="str">
        <f aca="false">INDEX(球隊主檔!$C$2:$C$31,MATCH($K730,球隊主檔!$A$2:$A$31,0))</f>
        <v>辛辛那提紅人</v>
      </c>
      <c r="M730" s="11" t="n">
        <f aca="false">IF($C730="打者",COUNTIF(打擊成績!$B:$B,$A730),COUNTIF(投手成績!$B:$B,$A730))</f>
        <v>1</v>
      </c>
    </row>
    <row r="731" customFormat="false" ht="15" hidden="false" customHeight="false" outlineLevel="0" collapsed="false">
      <c r="A731" s="7" t="s">
        <v>1935</v>
      </c>
      <c r="B731" s="7" t="s">
        <v>1936</v>
      </c>
      <c r="C731" s="8" t="s">
        <v>495</v>
      </c>
      <c r="D731" s="7" t="s">
        <v>507</v>
      </c>
      <c r="E731" s="7" t="s">
        <v>152</v>
      </c>
      <c r="F731" s="7" t="s">
        <v>152</v>
      </c>
      <c r="G731" s="9" t="n">
        <v>38027</v>
      </c>
      <c r="H731" s="5" t="n">
        <v>196</v>
      </c>
      <c r="I731" s="5" t="n">
        <v>99</v>
      </c>
      <c r="J731" s="5" t="n">
        <v>2026</v>
      </c>
      <c r="K731" s="7" t="s">
        <v>430</v>
      </c>
      <c r="L731" s="10" t="str">
        <f aca="false">INDEX(球隊主檔!$C$2:$C$31,MATCH($K731,球隊主檔!$A$2:$A$31,0))</f>
        <v>辛辛那提紅人</v>
      </c>
      <c r="M731" s="11" t="n">
        <f aca="false">IF($C731="打者",COUNTIF(打擊成績!$B:$B,$A731),COUNTIF(投手成績!$B:$B,$A731))</f>
        <v>1</v>
      </c>
    </row>
    <row r="732" customFormat="false" ht="15" hidden="false" customHeight="false" outlineLevel="0" collapsed="false">
      <c r="A732" s="7" t="s">
        <v>1937</v>
      </c>
      <c r="B732" s="7" t="s">
        <v>1938</v>
      </c>
      <c r="C732" s="8" t="s">
        <v>469</v>
      </c>
      <c r="D732" s="7" t="s">
        <v>470</v>
      </c>
      <c r="E732" s="7" t="s">
        <v>126</v>
      </c>
      <c r="F732" s="7" t="s">
        <v>126</v>
      </c>
      <c r="G732" s="9" t="n">
        <v>37474</v>
      </c>
      <c r="H732" s="5" t="n">
        <v>194</v>
      </c>
      <c r="I732" s="5" t="n">
        <v>83</v>
      </c>
      <c r="J732" s="5" t="n">
        <v>2026</v>
      </c>
      <c r="K732" s="7" t="s">
        <v>434</v>
      </c>
      <c r="L732" s="10" t="str">
        <f aca="false">INDEX(球隊主檔!$C$2:$C$31,MATCH($K732,球隊主檔!$A$2:$A$31,0))</f>
        <v>密爾瓦基釀酒人</v>
      </c>
      <c r="M732" s="11" t="n">
        <f aca="false">IF($C732="打者",COUNTIF(打擊成績!$B:$B,$A732),COUNTIF(投手成績!$B:$B,$A732))</f>
        <v>1</v>
      </c>
    </row>
    <row r="733" customFormat="false" ht="15" hidden="false" customHeight="false" outlineLevel="0" collapsed="false">
      <c r="A733" s="7" t="s">
        <v>1939</v>
      </c>
      <c r="B733" s="7" t="s">
        <v>1940</v>
      </c>
      <c r="C733" s="8" t="s">
        <v>469</v>
      </c>
      <c r="D733" s="7" t="s">
        <v>470</v>
      </c>
      <c r="E733" s="7" t="s">
        <v>152</v>
      </c>
      <c r="F733" s="7" t="s">
        <v>126</v>
      </c>
      <c r="G733" s="9" t="n">
        <v>37380</v>
      </c>
      <c r="H733" s="5" t="n">
        <v>182</v>
      </c>
      <c r="I733" s="5" t="n">
        <v>109</v>
      </c>
      <c r="J733" s="5" t="n">
        <v>2026</v>
      </c>
      <c r="K733" s="7" t="s">
        <v>438</v>
      </c>
      <c r="L733" s="10" t="str">
        <f aca="false">INDEX(球隊主檔!$C$2:$C$31,MATCH($K733,球隊主檔!$A$2:$A$31,0))</f>
        <v>匹茲堡海盜</v>
      </c>
      <c r="M733" s="11" t="n">
        <f aca="false">IF($C733="打者",COUNTIF(打擊成績!$B:$B,$A733),COUNTIF(投手成績!$B:$B,$A733))</f>
        <v>1</v>
      </c>
    </row>
    <row r="734" customFormat="false" ht="15" hidden="false" customHeight="false" outlineLevel="0" collapsed="false">
      <c r="A734" s="7" t="s">
        <v>1941</v>
      </c>
      <c r="B734" s="7" t="s">
        <v>1942</v>
      </c>
      <c r="C734" s="8" t="s">
        <v>469</v>
      </c>
      <c r="D734" s="7" t="s">
        <v>486</v>
      </c>
      <c r="E734" s="7" t="s">
        <v>152</v>
      </c>
      <c r="F734" s="7" t="s">
        <v>152</v>
      </c>
      <c r="G734" s="9" t="n">
        <v>36649</v>
      </c>
      <c r="H734" s="5" t="n">
        <v>186</v>
      </c>
      <c r="I734" s="5" t="n">
        <v>88</v>
      </c>
      <c r="J734" s="5" t="n">
        <v>2026</v>
      </c>
      <c r="K734" s="7" t="s">
        <v>442</v>
      </c>
      <c r="L734" s="10" t="str">
        <f aca="false">INDEX(球隊主檔!$C$2:$C$31,MATCH($K734,球隊主檔!$A$2:$A$31,0))</f>
        <v>聖路易紅雀</v>
      </c>
      <c r="M734" s="11" t="n">
        <f aca="false">IF($C734="打者",COUNTIF(打擊成績!$B:$B,$A734),COUNTIF(投手成績!$B:$B,$A734))</f>
        <v>1</v>
      </c>
    </row>
    <row r="735" customFormat="false" ht="15" hidden="false" customHeight="false" outlineLevel="0" collapsed="false">
      <c r="A735" s="7" t="s">
        <v>1943</v>
      </c>
      <c r="B735" s="7" t="s">
        <v>1944</v>
      </c>
      <c r="C735" s="8" t="s">
        <v>469</v>
      </c>
      <c r="D735" s="7" t="s">
        <v>158</v>
      </c>
      <c r="E735" s="7" t="s">
        <v>126</v>
      </c>
      <c r="F735" s="7" t="s">
        <v>152</v>
      </c>
      <c r="G735" s="9" t="n">
        <v>37745</v>
      </c>
      <c r="H735" s="5" t="n">
        <v>187</v>
      </c>
      <c r="I735" s="5" t="n">
        <v>105</v>
      </c>
      <c r="J735" s="5" t="n">
        <v>2026</v>
      </c>
      <c r="K735" s="7" t="s">
        <v>446</v>
      </c>
      <c r="L735" s="10" t="str">
        <f aca="false">INDEX(球隊主檔!$C$2:$C$31,MATCH($K735,球隊主檔!$A$2:$A$31,0))</f>
        <v>亞利桑那響尾蛇</v>
      </c>
      <c r="M735" s="11" t="n">
        <f aca="false">IF($C735="打者",COUNTIF(打擊成績!$B:$B,$A735),COUNTIF(投手成績!$B:$B,$A735))</f>
        <v>1</v>
      </c>
    </row>
    <row r="736" customFormat="false" ht="15" hidden="false" customHeight="false" outlineLevel="0" collapsed="false">
      <c r="A736" s="7" t="s">
        <v>1945</v>
      </c>
      <c r="B736" s="7" t="s">
        <v>1946</v>
      </c>
      <c r="C736" s="8" t="s">
        <v>495</v>
      </c>
      <c r="D736" s="7" t="s">
        <v>496</v>
      </c>
      <c r="E736" s="7" t="s">
        <v>126</v>
      </c>
      <c r="F736" s="7" t="s">
        <v>152</v>
      </c>
      <c r="G736" s="9" t="n">
        <v>37767</v>
      </c>
      <c r="H736" s="5" t="n">
        <v>191</v>
      </c>
      <c r="I736" s="5" t="n">
        <v>84</v>
      </c>
      <c r="J736" s="5" t="n">
        <v>2026</v>
      </c>
      <c r="K736" s="7" t="s">
        <v>446</v>
      </c>
      <c r="L736" s="10" t="str">
        <f aca="false">INDEX(球隊主檔!$C$2:$C$31,MATCH($K736,球隊主檔!$A$2:$A$31,0))</f>
        <v>亞利桑那響尾蛇</v>
      </c>
      <c r="M736" s="11" t="n">
        <f aca="false">IF($C736="打者",COUNTIF(打擊成績!$B:$B,$A736),COUNTIF(投手成績!$B:$B,$A736))</f>
        <v>1</v>
      </c>
    </row>
    <row r="737" customFormat="false" ht="15" hidden="false" customHeight="false" outlineLevel="0" collapsed="false">
      <c r="A737" s="7" t="s">
        <v>1947</v>
      </c>
      <c r="B737" s="7" t="s">
        <v>1948</v>
      </c>
      <c r="C737" s="8" t="s">
        <v>495</v>
      </c>
      <c r="D737" s="7" t="s">
        <v>496</v>
      </c>
      <c r="E737" s="7" t="s">
        <v>126</v>
      </c>
      <c r="F737" s="7" t="s">
        <v>152</v>
      </c>
      <c r="G737" s="9" t="n">
        <v>38094</v>
      </c>
      <c r="H737" s="5" t="n">
        <v>196</v>
      </c>
      <c r="I737" s="5" t="n">
        <v>80</v>
      </c>
      <c r="J737" s="5" t="n">
        <v>2026</v>
      </c>
      <c r="K737" s="7" t="s">
        <v>446</v>
      </c>
      <c r="L737" s="10" t="str">
        <f aca="false">INDEX(球隊主檔!$C$2:$C$31,MATCH($K737,球隊主檔!$A$2:$A$31,0))</f>
        <v>亞利桑那響尾蛇</v>
      </c>
      <c r="M737" s="11" t="n">
        <f aca="false">IF($C737="打者",COUNTIF(打擊成績!$B:$B,$A737),COUNTIF(投手成績!$B:$B,$A737))</f>
        <v>1</v>
      </c>
    </row>
    <row r="738" customFormat="false" ht="15" hidden="false" customHeight="false" outlineLevel="0" collapsed="false">
      <c r="A738" s="7" t="s">
        <v>1949</v>
      </c>
      <c r="B738" s="7" t="s">
        <v>1950</v>
      </c>
      <c r="C738" s="8" t="s">
        <v>495</v>
      </c>
      <c r="D738" s="7" t="s">
        <v>507</v>
      </c>
      <c r="E738" s="7" t="s">
        <v>152</v>
      </c>
      <c r="F738" s="7" t="s">
        <v>152</v>
      </c>
      <c r="G738" s="9" t="n">
        <v>38288</v>
      </c>
      <c r="H738" s="5" t="n">
        <v>200</v>
      </c>
      <c r="I738" s="5" t="n">
        <v>82</v>
      </c>
      <c r="J738" s="5" t="n">
        <v>2026</v>
      </c>
      <c r="K738" s="7" t="s">
        <v>446</v>
      </c>
      <c r="L738" s="10" t="str">
        <f aca="false">INDEX(球隊主檔!$C$2:$C$31,MATCH($K738,球隊主檔!$A$2:$A$31,0))</f>
        <v>亞利桑那響尾蛇</v>
      </c>
      <c r="M738" s="11" t="n">
        <f aca="false">IF($C738="打者",COUNTIF(打擊成績!$B:$B,$A738),COUNTIF(投手成績!$B:$B,$A738))</f>
        <v>1</v>
      </c>
    </row>
    <row r="739" customFormat="false" ht="15" hidden="false" customHeight="false" outlineLevel="0" collapsed="false">
      <c r="A739" s="7" t="s">
        <v>1951</v>
      </c>
      <c r="B739" s="7" t="s">
        <v>1952</v>
      </c>
      <c r="C739" s="8" t="s">
        <v>469</v>
      </c>
      <c r="D739" s="7" t="s">
        <v>470</v>
      </c>
      <c r="E739" s="7" t="s">
        <v>152</v>
      </c>
      <c r="F739" s="7" t="s">
        <v>126</v>
      </c>
      <c r="G739" s="9" t="n">
        <v>37069</v>
      </c>
      <c r="H739" s="5" t="n">
        <v>195</v>
      </c>
      <c r="I739" s="5" t="n">
        <v>104</v>
      </c>
      <c r="J739" s="5" t="n">
        <v>2026</v>
      </c>
      <c r="K739" s="7" t="s">
        <v>451</v>
      </c>
      <c r="L739" s="10" t="str">
        <f aca="false">INDEX(球隊主檔!$C$2:$C$31,MATCH($K739,球隊主檔!$A$2:$A$31,0))</f>
        <v>科羅拉多落磯</v>
      </c>
      <c r="M739" s="11" t="n">
        <f aca="false">IF($C739="打者",COUNTIF(打擊成績!$B:$B,$A739),COUNTIF(投手成績!$B:$B,$A739))</f>
        <v>1</v>
      </c>
    </row>
    <row r="740" customFormat="false" ht="15" hidden="false" customHeight="false" outlineLevel="0" collapsed="false">
      <c r="A740" s="7" t="s">
        <v>1953</v>
      </c>
      <c r="B740" s="7" t="s">
        <v>1954</v>
      </c>
      <c r="C740" s="8" t="s">
        <v>469</v>
      </c>
      <c r="D740" s="7" t="s">
        <v>483</v>
      </c>
      <c r="E740" s="7" t="s">
        <v>152</v>
      </c>
      <c r="F740" s="7" t="s">
        <v>152</v>
      </c>
      <c r="G740" s="9" t="n">
        <v>38998</v>
      </c>
      <c r="H740" s="5" t="n">
        <v>191</v>
      </c>
      <c r="I740" s="5" t="n">
        <v>104</v>
      </c>
      <c r="J740" s="5" t="n">
        <v>2026</v>
      </c>
      <c r="K740" s="7" t="s">
        <v>455</v>
      </c>
      <c r="L740" s="10" t="str">
        <f aca="false">INDEX(球隊主檔!$C$2:$C$31,MATCH($K740,球隊主檔!$A$2:$A$31,0))</f>
        <v>洛杉磯道奇</v>
      </c>
      <c r="M740" s="11" t="n">
        <f aca="false">IF($C740="打者",COUNTIF(打擊成績!$B:$B,$A740),COUNTIF(投手成績!$B:$B,$A740))</f>
        <v>1</v>
      </c>
    </row>
    <row r="741" customFormat="false" ht="15" hidden="false" customHeight="false" outlineLevel="0" collapsed="false">
      <c r="A741" s="7" t="s">
        <v>1955</v>
      </c>
      <c r="B741" s="7" t="s">
        <v>1956</v>
      </c>
      <c r="C741" s="8" t="s">
        <v>495</v>
      </c>
      <c r="D741" s="7" t="s">
        <v>496</v>
      </c>
      <c r="E741" s="7" t="s">
        <v>174</v>
      </c>
      <c r="F741" s="7" t="s">
        <v>152</v>
      </c>
      <c r="G741" s="9" t="n">
        <v>36356</v>
      </c>
      <c r="H741" s="5" t="n">
        <v>190</v>
      </c>
      <c r="I741" s="5" t="n">
        <v>93</v>
      </c>
      <c r="J741" s="5" t="n">
        <v>2026</v>
      </c>
      <c r="K741" s="7" t="s">
        <v>455</v>
      </c>
      <c r="L741" s="10" t="str">
        <f aca="false">INDEX(球隊主檔!$C$2:$C$31,MATCH($K741,球隊主檔!$A$2:$A$31,0))</f>
        <v>洛杉磯道奇</v>
      </c>
      <c r="M741" s="11" t="n">
        <f aca="false">IF($C741="打者",COUNTIF(打擊成績!$B:$B,$A741),COUNTIF(投手成績!$B:$B,$A741))</f>
        <v>1</v>
      </c>
    </row>
    <row r="742" customFormat="false" ht="15" hidden="false" customHeight="false" outlineLevel="0" collapsed="false">
      <c r="A742" s="7" t="s">
        <v>1957</v>
      </c>
      <c r="B742" s="7" t="s">
        <v>1958</v>
      </c>
      <c r="C742" s="8" t="s">
        <v>495</v>
      </c>
      <c r="D742" s="7" t="s">
        <v>496</v>
      </c>
      <c r="E742" s="7" t="s">
        <v>152</v>
      </c>
      <c r="F742" s="7" t="s">
        <v>152</v>
      </c>
      <c r="G742" s="9" t="n">
        <v>37609</v>
      </c>
      <c r="H742" s="5" t="n">
        <v>189</v>
      </c>
      <c r="I742" s="5" t="n">
        <v>101</v>
      </c>
      <c r="J742" s="5" t="n">
        <v>2026</v>
      </c>
      <c r="K742" s="7" t="s">
        <v>455</v>
      </c>
      <c r="L742" s="10" t="str">
        <f aca="false">INDEX(球隊主檔!$C$2:$C$31,MATCH($K742,球隊主檔!$A$2:$A$31,0))</f>
        <v>洛杉磯道奇</v>
      </c>
      <c r="M742" s="11" t="n">
        <f aca="false">IF($C742="打者",COUNTIF(打擊成績!$B:$B,$A742),COUNTIF(投手成績!$B:$B,$A742))</f>
        <v>1</v>
      </c>
    </row>
    <row r="743" customFormat="false" ht="15" hidden="false" customHeight="false" outlineLevel="0" collapsed="false">
      <c r="A743" s="7" t="s">
        <v>1959</v>
      </c>
      <c r="B743" s="7" t="s">
        <v>1960</v>
      </c>
      <c r="C743" s="8" t="s">
        <v>495</v>
      </c>
      <c r="D743" s="7" t="s">
        <v>496</v>
      </c>
      <c r="E743" s="7" t="s">
        <v>152</v>
      </c>
      <c r="F743" s="7" t="s">
        <v>152</v>
      </c>
      <c r="G743" s="9" t="n">
        <v>37125</v>
      </c>
      <c r="H743" s="5" t="n">
        <v>195</v>
      </c>
      <c r="I743" s="5" t="n">
        <v>90</v>
      </c>
      <c r="J743" s="5" t="n">
        <v>2026</v>
      </c>
      <c r="K743" s="7" t="s">
        <v>455</v>
      </c>
      <c r="L743" s="10" t="str">
        <f aca="false">INDEX(球隊主檔!$C$2:$C$31,MATCH($K743,球隊主檔!$A$2:$A$31,0))</f>
        <v>洛杉磯道奇</v>
      </c>
      <c r="M743" s="11" t="n">
        <f aca="false">IF($C743="打者",COUNTIF(打擊成績!$B:$B,$A743),COUNTIF(投手成績!$B:$B,$A743))</f>
        <v>1</v>
      </c>
    </row>
    <row r="744" customFormat="false" ht="15" hidden="false" customHeight="false" outlineLevel="0" collapsed="false">
      <c r="A744" s="7" t="s">
        <v>1961</v>
      </c>
      <c r="B744" s="7" t="s">
        <v>1962</v>
      </c>
      <c r="C744" s="8" t="s">
        <v>495</v>
      </c>
      <c r="D744" s="7" t="s">
        <v>507</v>
      </c>
      <c r="E744" s="7" t="s">
        <v>126</v>
      </c>
      <c r="F744" s="7" t="s">
        <v>152</v>
      </c>
      <c r="G744" s="9" t="n">
        <v>36560</v>
      </c>
      <c r="H744" s="5" t="n">
        <v>191</v>
      </c>
      <c r="I744" s="5" t="n">
        <v>103</v>
      </c>
      <c r="J744" s="5" t="n">
        <v>2026</v>
      </c>
      <c r="K744" s="7" t="s">
        <v>455</v>
      </c>
      <c r="L744" s="10" t="str">
        <f aca="false">INDEX(球隊主檔!$C$2:$C$31,MATCH($K744,球隊主檔!$A$2:$A$31,0))</f>
        <v>洛杉磯道奇</v>
      </c>
      <c r="M744" s="11" t="n">
        <f aca="false">IF($C744="打者",COUNTIF(打擊成績!$B:$B,$A744),COUNTIF(投手成績!$B:$B,$A744))</f>
        <v>1</v>
      </c>
    </row>
    <row r="745" customFormat="false" ht="15" hidden="false" customHeight="false" outlineLevel="0" collapsed="false">
      <c r="A745" s="7" t="s">
        <v>1963</v>
      </c>
      <c r="B745" s="7" t="s">
        <v>1964</v>
      </c>
      <c r="C745" s="8" t="s">
        <v>469</v>
      </c>
      <c r="D745" s="7" t="s">
        <v>483</v>
      </c>
      <c r="E745" s="7" t="s">
        <v>174</v>
      </c>
      <c r="F745" s="7" t="s">
        <v>126</v>
      </c>
      <c r="G745" s="9" t="n">
        <v>38858</v>
      </c>
      <c r="H745" s="5" t="n">
        <v>197</v>
      </c>
      <c r="I745" s="5" t="n">
        <v>83</v>
      </c>
      <c r="J745" s="5" t="n">
        <v>2026</v>
      </c>
      <c r="K745" s="7" t="s">
        <v>459</v>
      </c>
      <c r="L745" s="10" t="str">
        <f aca="false">INDEX(球隊主檔!$C$2:$C$31,MATCH($K745,球隊主檔!$A$2:$A$31,0))</f>
        <v>聖地牙哥教士</v>
      </c>
      <c r="M745" s="11" t="n">
        <f aca="false">IF($C745="打者",COUNTIF(打擊成績!$B:$B,$A745),COUNTIF(投手成績!$B:$B,$A745))</f>
        <v>1</v>
      </c>
    </row>
    <row r="746" customFormat="false" ht="15" hidden="false" customHeight="false" outlineLevel="0" collapsed="false">
      <c r="A746" s="7" t="s">
        <v>1965</v>
      </c>
      <c r="B746" s="7" t="s">
        <v>1966</v>
      </c>
      <c r="C746" s="8" t="s">
        <v>469</v>
      </c>
      <c r="D746" s="7" t="s">
        <v>483</v>
      </c>
      <c r="E746" s="7" t="s">
        <v>126</v>
      </c>
      <c r="F746" s="7" t="s">
        <v>126</v>
      </c>
      <c r="G746" s="9" t="n">
        <v>38646</v>
      </c>
      <c r="H746" s="5" t="n">
        <v>201</v>
      </c>
      <c r="I746" s="5" t="n">
        <v>99</v>
      </c>
      <c r="J746" s="5" t="n">
        <v>2026</v>
      </c>
      <c r="K746" s="7" t="s">
        <v>459</v>
      </c>
      <c r="L746" s="10" t="str">
        <f aca="false">INDEX(球隊主檔!$C$2:$C$31,MATCH($K746,球隊主檔!$A$2:$A$31,0))</f>
        <v>聖地牙哥教士</v>
      </c>
      <c r="M746" s="11" t="n">
        <f aca="false">IF($C746="打者",COUNTIF(打擊成績!$B:$B,$A746),COUNTIF(投手成績!$B:$B,$A746))</f>
        <v>1</v>
      </c>
    </row>
    <row r="747" customFormat="false" ht="15" hidden="false" customHeight="false" outlineLevel="0" collapsed="false">
      <c r="A747" s="7" t="s">
        <v>1967</v>
      </c>
      <c r="B747" s="7" t="s">
        <v>1968</v>
      </c>
      <c r="C747" s="8" t="s">
        <v>469</v>
      </c>
      <c r="D747" s="7" t="s">
        <v>162</v>
      </c>
      <c r="E747" s="7" t="s">
        <v>126</v>
      </c>
      <c r="F747" s="7" t="s">
        <v>152</v>
      </c>
      <c r="G747" s="9" t="n">
        <v>37822</v>
      </c>
      <c r="H747" s="5" t="n">
        <v>191</v>
      </c>
      <c r="I747" s="5" t="n">
        <v>95</v>
      </c>
      <c r="J747" s="5" t="n">
        <v>2026</v>
      </c>
      <c r="K747" s="7" t="s">
        <v>459</v>
      </c>
      <c r="L747" s="10" t="str">
        <f aca="false">INDEX(球隊主檔!$C$2:$C$31,MATCH($K747,球隊主檔!$A$2:$A$31,0))</f>
        <v>聖地牙哥教士</v>
      </c>
      <c r="M747" s="11" t="n">
        <f aca="false">IF($C747="打者",COUNTIF(打擊成績!$B:$B,$A747),COUNTIF(投手成績!$B:$B,$A747))</f>
        <v>1</v>
      </c>
    </row>
    <row r="748" customFormat="false" ht="15" hidden="false" customHeight="false" outlineLevel="0" collapsed="false">
      <c r="A748" s="7" t="s">
        <v>1969</v>
      </c>
      <c r="B748" s="7" t="s">
        <v>1970</v>
      </c>
      <c r="C748" s="8" t="s">
        <v>495</v>
      </c>
      <c r="D748" s="7" t="s">
        <v>496</v>
      </c>
      <c r="E748" s="7" t="s">
        <v>152</v>
      </c>
      <c r="F748" s="7" t="s">
        <v>152</v>
      </c>
      <c r="G748" s="9" t="n">
        <v>37348</v>
      </c>
      <c r="H748" s="5" t="n">
        <v>192</v>
      </c>
      <c r="I748" s="5" t="n">
        <v>99</v>
      </c>
      <c r="J748" s="5" t="n">
        <v>2026</v>
      </c>
      <c r="K748" s="7" t="s">
        <v>459</v>
      </c>
      <c r="L748" s="10" t="str">
        <f aca="false">INDEX(球隊主檔!$C$2:$C$31,MATCH($K748,球隊主檔!$A$2:$A$31,0))</f>
        <v>聖地牙哥教士</v>
      </c>
      <c r="M748" s="11" t="n">
        <f aca="false">IF($C748="打者",COUNTIF(打擊成績!$B:$B,$A748),COUNTIF(投手成績!$B:$B,$A748))</f>
        <v>1</v>
      </c>
    </row>
    <row r="749" customFormat="false" ht="15" hidden="false" customHeight="false" outlineLevel="0" collapsed="false">
      <c r="A749" s="7" t="s">
        <v>1971</v>
      </c>
      <c r="B749" s="7" t="s">
        <v>1972</v>
      </c>
      <c r="C749" s="8" t="s">
        <v>469</v>
      </c>
      <c r="D749" s="7" t="s">
        <v>63</v>
      </c>
      <c r="E749" s="7" t="s">
        <v>174</v>
      </c>
      <c r="F749" s="7" t="s">
        <v>152</v>
      </c>
      <c r="G749" s="9" t="n">
        <v>37438</v>
      </c>
      <c r="H749" s="5" t="n">
        <v>193</v>
      </c>
      <c r="I749" s="5" t="n">
        <v>95</v>
      </c>
      <c r="J749" s="5" t="n">
        <v>2026</v>
      </c>
      <c r="K749" s="7" t="s">
        <v>463</v>
      </c>
      <c r="L749" s="10" t="str">
        <f aca="false">INDEX(球隊主檔!$C$2:$C$31,MATCH($K749,球隊主檔!$A$2:$A$31,0))</f>
        <v>舊金山巨人</v>
      </c>
      <c r="M749" s="11" t="n">
        <f aca="false">IF($C749="打者",COUNTIF(打擊成績!$B:$B,$A749),COUNTIF(投手成績!$B:$B,$A749))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24" min="9" style="0" width="9"/>
    <col collapsed="false" customWidth="true" hidden="false" outlineLevel="0" max="32" min="25" style="0" width="10"/>
    <col collapsed="false" customWidth="true" hidden="false" outlineLevel="0" max="33" min="33" style="0" width="13"/>
  </cols>
  <sheetData>
    <row r="1" customFormat="false" ht="31.5" hidden="false" customHeight="true" outlineLevel="0" collapsed="false">
      <c r="A1" s="1" t="s">
        <v>55</v>
      </c>
      <c r="B1" s="1" t="s">
        <v>94</v>
      </c>
      <c r="C1" s="1" t="s">
        <v>96</v>
      </c>
      <c r="D1" s="1" t="s">
        <v>80</v>
      </c>
      <c r="E1" s="1" t="s">
        <v>85</v>
      </c>
      <c r="F1" s="1" t="s">
        <v>87</v>
      </c>
      <c r="G1" s="1" t="s">
        <v>139</v>
      </c>
      <c r="H1" s="1" t="s">
        <v>141</v>
      </c>
      <c r="I1" s="1" t="s">
        <v>144</v>
      </c>
      <c r="J1" s="1" t="s">
        <v>73</v>
      </c>
      <c r="K1" s="1" t="s">
        <v>148</v>
      </c>
      <c r="L1" s="1" t="s">
        <v>151</v>
      </c>
      <c r="M1" s="1" t="s">
        <v>154</v>
      </c>
      <c r="N1" s="1" t="s">
        <v>157</v>
      </c>
      <c r="O1" s="1" t="s">
        <v>161</v>
      </c>
      <c r="P1" s="1" t="s">
        <v>165</v>
      </c>
      <c r="Q1" s="1" t="s">
        <v>169</v>
      </c>
      <c r="R1" s="1" t="s">
        <v>172</v>
      </c>
      <c r="S1" s="1" t="s">
        <v>176</v>
      </c>
      <c r="T1" s="1" t="s">
        <v>180</v>
      </c>
      <c r="U1" s="1" t="s">
        <v>184</v>
      </c>
      <c r="V1" s="1" t="s">
        <v>188</v>
      </c>
      <c r="W1" s="1" t="s">
        <v>192</v>
      </c>
      <c r="X1" s="1" t="s">
        <v>196</v>
      </c>
      <c r="Y1" s="1" t="s">
        <v>200</v>
      </c>
      <c r="Z1" s="1" t="s">
        <v>204</v>
      </c>
      <c r="AA1" s="1" t="s">
        <v>207</v>
      </c>
      <c r="AB1" s="1" t="s">
        <v>209</v>
      </c>
      <c r="AC1" s="1" t="s">
        <v>212</v>
      </c>
      <c r="AD1" s="1" t="s">
        <v>215</v>
      </c>
      <c r="AE1" s="1" t="s">
        <v>218</v>
      </c>
      <c r="AF1" s="1" t="s">
        <v>222</v>
      </c>
      <c r="AG1" s="1" t="s">
        <v>225</v>
      </c>
    </row>
    <row r="2" customFormat="false" ht="15" hidden="false" customHeight="false" outlineLevel="0" collapsed="false">
      <c r="A2" s="5" t="n">
        <v>2024</v>
      </c>
      <c r="B2" s="7" t="s">
        <v>467</v>
      </c>
      <c r="C2" s="10" t="str">
        <f aca="false">INDEX(球員主檔!$B$2:$B$749,MATCH($B2,球員主檔!$A$2:$A$749,0))</f>
        <v>Leandro Yarbrough</v>
      </c>
      <c r="D2" s="7" t="s">
        <v>340</v>
      </c>
      <c r="E2" s="10" t="str">
        <f aca="false">INDEX(球隊主檔!$C$2:$C$31,MATCH($D2,球隊主檔!$A$2:$A$31,0))</f>
        <v>巴爾的摩金鶯</v>
      </c>
      <c r="F2" s="10" t="str">
        <f aca="false">INDEX(球隊主檔!$D$2:$D$31,MATCH($D2,球隊主檔!$A$2:$A$31,0))</f>
        <v>美聯</v>
      </c>
      <c r="G2" s="7" t="s">
        <v>470</v>
      </c>
      <c r="H2" s="11" t="n">
        <f aca="false">INT((DATE($A2,7,1)-INDEX(球員主檔!$G$2:$G$749,MATCH($B2,球員主檔!$A$2:$A$749,0)))/365.25)</f>
        <v>27</v>
      </c>
      <c r="I2" s="12" t="n">
        <v>162</v>
      </c>
      <c r="J2" s="12" t="n">
        <v>698</v>
      </c>
      <c r="K2" s="12" t="n">
        <v>635</v>
      </c>
      <c r="L2" s="12" t="n">
        <v>89</v>
      </c>
      <c r="M2" s="12" t="n">
        <v>164</v>
      </c>
      <c r="N2" s="12" t="n">
        <v>23</v>
      </c>
      <c r="O2" s="12" t="n">
        <v>3</v>
      </c>
      <c r="P2" s="12" t="n">
        <v>36</v>
      </c>
      <c r="Q2" s="12" t="n">
        <v>130</v>
      </c>
      <c r="R2" s="12" t="n">
        <v>48</v>
      </c>
      <c r="S2" s="12" t="n">
        <v>205</v>
      </c>
      <c r="T2" s="12" t="n">
        <v>8</v>
      </c>
      <c r="U2" s="12" t="n">
        <v>7</v>
      </c>
      <c r="V2" s="12" t="n">
        <v>19</v>
      </c>
      <c r="W2" s="12" t="n">
        <v>5</v>
      </c>
      <c r="X2" s="13" t="n">
        <f aca="false">M2+N2+2*O2+3*P2</f>
        <v>301</v>
      </c>
      <c r="Y2" s="14" t="n">
        <f aca="false">IF(K2=0,0,M2/K2)</f>
        <v>0.258267716535433</v>
      </c>
      <c r="Z2" s="14" t="n">
        <f aca="false">IF(K2+R2+T2+U2=0,0,(M2+R2+T2)/(K2+R2+T2+U2))</f>
        <v>0.315186246418338</v>
      </c>
      <c r="AA2" s="14" t="n">
        <f aca="false">IF(K2=0,0,X2/K2)</f>
        <v>0.474015748031496</v>
      </c>
      <c r="AB2" s="14" t="n">
        <f aca="false">Z2+AA2</f>
        <v>0.789201994449834</v>
      </c>
      <c r="AC2" s="14" t="n">
        <f aca="false">AA2-Y2</f>
        <v>0.215748031496063</v>
      </c>
      <c r="AD2" s="14" t="n">
        <f aca="false">IF(K2-S2-P2+U2=0,0,(M2-P2)/(K2-S2-P2+U2))</f>
        <v>0.319201995012469</v>
      </c>
      <c r="AE2" s="15" t="n">
        <f aca="false">IF(J2=0,0,R2/J2)</f>
        <v>0.0687679083094556</v>
      </c>
      <c r="AF2" s="15" t="n">
        <f aca="false">IF(J2=0,0,S2/J2)</f>
        <v>0.293696275071633</v>
      </c>
      <c r="AG2" s="11" t="n">
        <f aca="false">IF(J2&gt;=INDEX(球季參數!$E$2:$E$4,MATCH($A2,球季參數!$A$2:$A$4,0)),1,0)</f>
        <v>1</v>
      </c>
    </row>
    <row r="3" customFormat="false" ht="15" hidden="false" customHeight="false" outlineLevel="0" collapsed="false">
      <c r="A3" s="5" t="n">
        <v>2024</v>
      </c>
      <c r="B3" s="7" t="s">
        <v>471</v>
      </c>
      <c r="C3" s="10" t="str">
        <f aca="false">INDEX(球員主檔!$B$2:$B$749,MATCH($B3,球員主檔!$A$2:$A$749,0))</f>
        <v>Seonwoo Brightwell</v>
      </c>
      <c r="D3" s="7" t="s">
        <v>340</v>
      </c>
      <c r="E3" s="10" t="str">
        <f aca="false">INDEX(球隊主檔!$C$2:$C$31,MATCH($D3,球隊主檔!$A$2:$A$31,0))</f>
        <v>巴爾的摩金鶯</v>
      </c>
      <c r="F3" s="10" t="str">
        <f aca="false">INDEX(球隊主檔!$D$2:$D$31,MATCH($D3,球隊主檔!$A$2:$A$31,0))</f>
        <v>美聯</v>
      </c>
      <c r="G3" s="7" t="s">
        <v>473</v>
      </c>
      <c r="H3" s="11" t="n">
        <f aca="false">INT((DATE($A3,7,1)-INDEX(球員主檔!$G$2:$G$749,MATCH($B3,球員主檔!$A$2:$A$749,0)))/365.25)</f>
        <v>28</v>
      </c>
      <c r="I3" s="12" t="n">
        <v>74</v>
      </c>
      <c r="J3" s="12" t="n">
        <v>302</v>
      </c>
      <c r="K3" s="12" t="n">
        <v>285</v>
      </c>
      <c r="L3" s="12" t="n">
        <v>25</v>
      </c>
      <c r="M3" s="12" t="n">
        <v>47</v>
      </c>
      <c r="N3" s="12" t="n">
        <v>18</v>
      </c>
      <c r="O3" s="12" t="n">
        <v>0</v>
      </c>
      <c r="P3" s="12" t="n">
        <v>10</v>
      </c>
      <c r="Q3" s="12" t="n">
        <v>30</v>
      </c>
      <c r="R3" s="12" t="n">
        <v>9</v>
      </c>
      <c r="S3" s="12" t="n">
        <v>87</v>
      </c>
      <c r="T3" s="12" t="n">
        <v>6</v>
      </c>
      <c r="U3" s="12" t="n">
        <v>2</v>
      </c>
      <c r="V3" s="12" t="n">
        <v>8</v>
      </c>
      <c r="W3" s="12" t="n">
        <v>1</v>
      </c>
      <c r="X3" s="13" t="n">
        <f aca="false">M3+N3+2*O3+3*P3</f>
        <v>95</v>
      </c>
      <c r="Y3" s="14" t="n">
        <f aca="false">IF(K3=0,0,M3/K3)</f>
        <v>0.164912280701754</v>
      </c>
      <c r="Z3" s="14" t="n">
        <f aca="false">IF(K3+R3+T3+U3=0,0,(M3+R3+T3)/(K3+R3+T3+U3))</f>
        <v>0.205298013245033</v>
      </c>
      <c r="AA3" s="14" t="n">
        <f aca="false">IF(K3=0,0,X3/K3)</f>
        <v>0.333333333333333</v>
      </c>
      <c r="AB3" s="14" t="n">
        <f aca="false">Z3+AA3</f>
        <v>0.538631346578366</v>
      </c>
      <c r="AC3" s="14" t="n">
        <f aca="false">AA3-Y3</f>
        <v>0.168421052631579</v>
      </c>
      <c r="AD3" s="14" t="n">
        <f aca="false">IF(K3-S3-P3+U3=0,0,(M3-P3)/(K3-S3-P3+U3))</f>
        <v>0.194736842105263</v>
      </c>
      <c r="AE3" s="15" t="n">
        <f aca="false">IF(J3=0,0,R3/J3)</f>
        <v>0.0298013245033113</v>
      </c>
      <c r="AF3" s="15" t="n">
        <f aca="false">IF(J3=0,0,S3/J3)</f>
        <v>0.288079470198675</v>
      </c>
      <c r="AG3" s="11" t="n">
        <f aca="false">IF(J3&gt;=INDEX(球季參數!$E$2:$E$4,MATCH($A3,球季參數!$A$2:$A$4,0)),1,0)</f>
        <v>0</v>
      </c>
    </row>
    <row r="4" customFormat="false" ht="15" hidden="false" customHeight="false" outlineLevel="0" collapsed="false">
      <c r="A4" s="5" t="n">
        <v>2024</v>
      </c>
      <c r="B4" s="7" t="s">
        <v>474</v>
      </c>
      <c r="C4" s="10" t="str">
        <f aca="false">INDEX(球員主檔!$B$2:$B$749,MATCH($B4,球員主檔!$A$2:$A$749,0))</f>
        <v>Jasper Iwasaki</v>
      </c>
      <c r="D4" s="7" t="s">
        <v>340</v>
      </c>
      <c r="E4" s="10" t="str">
        <f aca="false">INDEX(球隊主檔!$C$2:$C$31,MATCH($D4,球隊主檔!$A$2:$A$31,0))</f>
        <v>巴爾的摩金鶯</v>
      </c>
      <c r="F4" s="10" t="str">
        <f aca="false">INDEX(球隊主檔!$D$2:$D$31,MATCH($D4,球隊主檔!$A$2:$A$31,0))</f>
        <v>美聯</v>
      </c>
      <c r="G4" s="7" t="s">
        <v>162</v>
      </c>
      <c r="H4" s="11" t="n">
        <f aca="false">INT((DATE($A4,7,1)-INDEX(球員主檔!$G$2:$G$749,MATCH($B4,球員主檔!$A$2:$A$749,0)))/365.25)</f>
        <v>24</v>
      </c>
      <c r="I4" s="12" t="n">
        <v>146</v>
      </c>
      <c r="J4" s="12" t="n">
        <v>648</v>
      </c>
      <c r="K4" s="12" t="n">
        <v>599</v>
      </c>
      <c r="L4" s="12" t="n">
        <v>81</v>
      </c>
      <c r="M4" s="12" t="n">
        <v>149</v>
      </c>
      <c r="N4" s="12" t="n">
        <v>32</v>
      </c>
      <c r="O4" s="12" t="n">
        <v>4</v>
      </c>
      <c r="P4" s="12" t="n">
        <v>33</v>
      </c>
      <c r="Q4" s="12" t="n">
        <v>111</v>
      </c>
      <c r="R4" s="12" t="n">
        <v>42</v>
      </c>
      <c r="S4" s="12" t="n">
        <v>101</v>
      </c>
      <c r="T4" s="12" t="n">
        <v>3</v>
      </c>
      <c r="U4" s="12" t="n">
        <v>4</v>
      </c>
      <c r="V4" s="12" t="n">
        <v>15</v>
      </c>
      <c r="W4" s="12" t="n">
        <v>2</v>
      </c>
      <c r="X4" s="13" t="n">
        <f aca="false">M4+N4+2*O4+3*P4</f>
        <v>288</v>
      </c>
      <c r="Y4" s="14" t="n">
        <f aca="false">IF(K4=0,0,M4/K4)</f>
        <v>0.248747913188648</v>
      </c>
      <c r="Z4" s="14" t="n">
        <f aca="false">IF(K4+R4+T4+U4=0,0,(M4+R4+T4)/(K4+R4+T4+U4))</f>
        <v>0.299382716049383</v>
      </c>
      <c r="AA4" s="14" t="n">
        <f aca="false">IF(K4=0,0,X4/K4)</f>
        <v>0.480801335559265</v>
      </c>
      <c r="AB4" s="14" t="n">
        <f aca="false">Z4+AA4</f>
        <v>0.780184051608648</v>
      </c>
      <c r="AC4" s="14" t="n">
        <f aca="false">AA4-Y4</f>
        <v>0.232053422370618</v>
      </c>
      <c r="AD4" s="14" t="n">
        <f aca="false">IF(K4-S4-P4+U4=0,0,(M4-P4)/(K4-S4-P4+U4))</f>
        <v>0.247334754797441</v>
      </c>
      <c r="AE4" s="15" t="n">
        <f aca="false">IF(J4=0,0,R4/J4)</f>
        <v>0.0648148148148148</v>
      </c>
      <c r="AF4" s="15" t="n">
        <f aca="false">IF(J4=0,0,S4/J4)</f>
        <v>0.155864197530864</v>
      </c>
      <c r="AG4" s="11" t="n">
        <f aca="false">IF(J4&gt;=INDEX(球季參數!$E$2:$E$4,MATCH($A4,球季參數!$A$2:$A$4,0)),1,0)</f>
        <v>1</v>
      </c>
    </row>
    <row r="5" customFormat="false" ht="15" hidden="false" customHeight="false" outlineLevel="0" collapsed="false">
      <c r="A5" s="5" t="n">
        <v>2024</v>
      </c>
      <c r="B5" s="7" t="s">
        <v>476</v>
      </c>
      <c r="C5" s="10" t="str">
        <f aca="false">INDEX(球員主檔!$B$2:$B$749,MATCH($B5,球員主檔!$A$2:$A$749,0))</f>
        <v>Tristan Lindquist</v>
      </c>
      <c r="D5" s="7" t="s">
        <v>340</v>
      </c>
      <c r="E5" s="10" t="str">
        <f aca="false">INDEX(球隊主檔!$C$2:$C$31,MATCH($D5,球隊主檔!$A$2:$A$31,0))</f>
        <v>巴爾的摩金鶯</v>
      </c>
      <c r="F5" s="10" t="str">
        <f aca="false">INDEX(球隊主檔!$D$2:$D$31,MATCH($D5,球隊主檔!$A$2:$A$31,0))</f>
        <v>美聯</v>
      </c>
      <c r="G5" s="7" t="s">
        <v>478</v>
      </c>
      <c r="H5" s="11" t="n">
        <f aca="false">INT((DATE($A5,7,1)-INDEX(球員主檔!$G$2:$G$749,MATCH($B5,球員主檔!$A$2:$A$749,0)))/365.25)</f>
        <v>23</v>
      </c>
      <c r="I5" s="12" t="n">
        <v>162</v>
      </c>
      <c r="J5" s="12" t="n">
        <v>663</v>
      </c>
      <c r="K5" s="12" t="n">
        <v>516</v>
      </c>
      <c r="L5" s="12" t="n">
        <v>72</v>
      </c>
      <c r="M5" s="12" t="n">
        <v>102</v>
      </c>
      <c r="N5" s="12" t="n">
        <v>24</v>
      </c>
      <c r="O5" s="12" t="n">
        <v>5</v>
      </c>
      <c r="P5" s="12" t="n">
        <v>26</v>
      </c>
      <c r="Q5" s="12" t="n">
        <v>87</v>
      </c>
      <c r="R5" s="12" t="n">
        <v>132</v>
      </c>
      <c r="S5" s="12" t="n">
        <v>162</v>
      </c>
      <c r="T5" s="12" t="n">
        <v>9</v>
      </c>
      <c r="U5" s="12" t="n">
        <v>6</v>
      </c>
      <c r="V5" s="12" t="n">
        <v>7</v>
      </c>
      <c r="W5" s="12" t="n">
        <v>2</v>
      </c>
      <c r="X5" s="13" t="n">
        <f aca="false">M5+N5+2*O5+3*P5</f>
        <v>214</v>
      </c>
      <c r="Y5" s="14" t="n">
        <f aca="false">IF(K5=0,0,M5/K5)</f>
        <v>0.197674418604651</v>
      </c>
      <c r="Z5" s="14" t="n">
        <f aca="false">IF(K5+R5+T5+U5=0,0,(M5+R5+T5)/(K5+R5+T5+U5))</f>
        <v>0.366515837104072</v>
      </c>
      <c r="AA5" s="14" t="n">
        <f aca="false">IF(K5=0,0,X5/K5)</f>
        <v>0.414728682170543</v>
      </c>
      <c r="AB5" s="14" t="n">
        <f aca="false">Z5+AA5</f>
        <v>0.781244519274615</v>
      </c>
      <c r="AC5" s="14" t="n">
        <f aca="false">AA5-Y5</f>
        <v>0.217054263565892</v>
      </c>
      <c r="AD5" s="14" t="n">
        <f aca="false">IF(K5-S5-P5+U5=0,0,(M5-P5)/(K5-S5-P5+U5))</f>
        <v>0.227544910179641</v>
      </c>
      <c r="AE5" s="15" t="n">
        <f aca="false">IF(J5=0,0,R5/J5)</f>
        <v>0.199095022624434</v>
      </c>
      <c r="AF5" s="15" t="n">
        <f aca="false">IF(J5=0,0,S5/J5)</f>
        <v>0.244343891402715</v>
      </c>
      <c r="AG5" s="11" t="n">
        <f aca="false">IF(J5&gt;=INDEX(球季參數!$E$2:$E$4,MATCH($A5,球季參數!$A$2:$A$4,0)),1,0)</f>
        <v>1</v>
      </c>
    </row>
    <row r="6" customFormat="false" ht="15" hidden="false" customHeight="false" outlineLevel="0" collapsed="false">
      <c r="A6" s="5" t="n">
        <v>2024</v>
      </c>
      <c r="B6" s="7" t="s">
        <v>479</v>
      </c>
      <c r="C6" s="10" t="str">
        <f aca="false">INDEX(球員主檔!$B$2:$B$749,MATCH($B6,球員主檔!$A$2:$A$749,0))</f>
        <v>Dashiell Novotný</v>
      </c>
      <c r="D6" s="7" t="s">
        <v>340</v>
      </c>
      <c r="E6" s="10" t="str">
        <f aca="false">INDEX(球隊主檔!$C$2:$C$31,MATCH($D6,球隊主檔!$A$2:$A$31,0))</f>
        <v>巴爾的摩金鶯</v>
      </c>
      <c r="F6" s="10" t="str">
        <f aca="false">INDEX(球隊主檔!$D$2:$D$31,MATCH($D6,球隊主檔!$A$2:$A$31,0))</f>
        <v>美聯</v>
      </c>
      <c r="G6" s="7" t="s">
        <v>473</v>
      </c>
      <c r="H6" s="11" t="n">
        <f aca="false">INT((DATE($A6,7,1)-INDEX(球員主檔!$G$2:$G$749,MATCH($B6,球員主檔!$A$2:$A$749,0)))/365.25)</f>
        <v>33</v>
      </c>
      <c r="I6" s="12" t="n">
        <v>146</v>
      </c>
      <c r="J6" s="12" t="n">
        <v>594</v>
      </c>
      <c r="K6" s="12" t="n">
        <v>540</v>
      </c>
      <c r="L6" s="12" t="n">
        <v>73</v>
      </c>
      <c r="M6" s="12" t="n">
        <v>126</v>
      </c>
      <c r="N6" s="12" t="n">
        <v>43</v>
      </c>
      <c r="O6" s="12" t="n">
        <v>4</v>
      </c>
      <c r="P6" s="12" t="n">
        <v>26</v>
      </c>
      <c r="Q6" s="12" t="n">
        <v>77</v>
      </c>
      <c r="R6" s="12" t="n">
        <v>49</v>
      </c>
      <c r="S6" s="12" t="n">
        <v>122</v>
      </c>
      <c r="T6" s="12" t="n">
        <v>2</v>
      </c>
      <c r="U6" s="12" t="n">
        <v>3</v>
      </c>
      <c r="V6" s="12" t="n">
        <v>14</v>
      </c>
      <c r="W6" s="12" t="n">
        <v>3</v>
      </c>
      <c r="X6" s="13" t="n">
        <f aca="false">M6+N6+2*O6+3*P6</f>
        <v>255</v>
      </c>
      <c r="Y6" s="14" t="n">
        <f aca="false">IF(K6=0,0,M6/K6)</f>
        <v>0.233333333333333</v>
      </c>
      <c r="Z6" s="14" t="n">
        <f aca="false">IF(K6+R6+T6+U6=0,0,(M6+R6+T6)/(K6+R6+T6+U6))</f>
        <v>0.297979797979798</v>
      </c>
      <c r="AA6" s="14" t="n">
        <f aca="false">IF(K6=0,0,X6/K6)</f>
        <v>0.472222222222222</v>
      </c>
      <c r="AB6" s="14" t="n">
        <f aca="false">Z6+AA6</f>
        <v>0.77020202020202</v>
      </c>
      <c r="AC6" s="14" t="n">
        <f aca="false">AA6-Y6</f>
        <v>0.238888888888889</v>
      </c>
      <c r="AD6" s="14" t="n">
        <f aca="false">IF(K6-S6-P6+U6=0,0,(M6-P6)/(K6-S6-P6+U6))</f>
        <v>0.253164556962025</v>
      </c>
      <c r="AE6" s="15" t="n">
        <f aca="false">IF(J6=0,0,R6/J6)</f>
        <v>0.0824915824915825</v>
      </c>
      <c r="AF6" s="15" t="n">
        <f aca="false">IF(J6=0,0,S6/J6)</f>
        <v>0.205387205387205</v>
      </c>
      <c r="AG6" s="11" t="n">
        <f aca="false">IF(J6&gt;=INDEX(球季參數!$E$2:$E$4,MATCH($A6,球季參數!$A$2:$A$4,0)),1,0)</f>
        <v>1</v>
      </c>
    </row>
    <row r="7" customFormat="false" ht="15" hidden="false" customHeight="false" outlineLevel="0" collapsed="false">
      <c r="A7" s="5" t="n">
        <v>2024</v>
      </c>
      <c r="B7" s="7" t="s">
        <v>481</v>
      </c>
      <c r="C7" s="10" t="str">
        <f aca="false">INDEX(球員主檔!$B$2:$B$749,MATCH($B7,球員主檔!$A$2:$A$749,0))</f>
        <v>Leandro Esquivel</v>
      </c>
      <c r="D7" s="7" t="s">
        <v>340</v>
      </c>
      <c r="E7" s="10" t="str">
        <f aca="false">INDEX(球隊主檔!$C$2:$C$31,MATCH($D7,球隊主檔!$A$2:$A$31,0))</f>
        <v>巴爾的摩金鶯</v>
      </c>
      <c r="F7" s="10" t="str">
        <f aca="false">INDEX(球隊主檔!$D$2:$D$31,MATCH($D7,球隊主檔!$A$2:$A$31,0))</f>
        <v>美聯</v>
      </c>
      <c r="G7" s="7" t="s">
        <v>483</v>
      </c>
      <c r="H7" s="11" t="n">
        <f aca="false">INT((DATE($A7,7,1)-INDEX(球員主檔!$G$2:$G$749,MATCH($B7,球員主檔!$A$2:$A$749,0)))/365.25)</f>
        <v>27</v>
      </c>
      <c r="I7" s="12" t="n">
        <v>99</v>
      </c>
      <c r="J7" s="12" t="n">
        <v>447</v>
      </c>
      <c r="K7" s="12" t="n">
        <v>407</v>
      </c>
      <c r="L7" s="12" t="n">
        <v>58</v>
      </c>
      <c r="M7" s="12" t="n">
        <v>120</v>
      </c>
      <c r="N7" s="12" t="n">
        <v>13</v>
      </c>
      <c r="O7" s="12" t="n">
        <v>7</v>
      </c>
      <c r="P7" s="12" t="n">
        <v>13</v>
      </c>
      <c r="Q7" s="12" t="n">
        <v>59</v>
      </c>
      <c r="R7" s="12" t="n">
        <v>35</v>
      </c>
      <c r="S7" s="12" t="n">
        <v>55</v>
      </c>
      <c r="T7" s="12" t="n">
        <v>1</v>
      </c>
      <c r="U7" s="12" t="n">
        <v>4</v>
      </c>
      <c r="V7" s="12" t="n">
        <v>8</v>
      </c>
      <c r="W7" s="12" t="n">
        <v>2</v>
      </c>
      <c r="X7" s="13" t="n">
        <f aca="false">M7+N7+2*O7+3*P7</f>
        <v>186</v>
      </c>
      <c r="Y7" s="14" t="n">
        <f aca="false">IF(K7=0,0,M7/K7)</f>
        <v>0.294840294840295</v>
      </c>
      <c r="Z7" s="14" t="n">
        <f aca="false">IF(K7+R7+T7+U7=0,0,(M7+R7+T7)/(K7+R7+T7+U7))</f>
        <v>0.348993288590604</v>
      </c>
      <c r="AA7" s="14" t="n">
        <f aca="false">IF(K7=0,0,X7/K7)</f>
        <v>0.457002457002457</v>
      </c>
      <c r="AB7" s="14" t="n">
        <f aca="false">Z7+AA7</f>
        <v>0.805995745593061</v>
      </c>
      <c r="AC7" s="14" t="n">
        <f aca="false">AA7-Y7</f>
        <v>0.162162162162162</v>
      </c>
      <c r="AD7" s="14" t="n">
        <f aca="false">IF(K7-S7-P7+U7=0,0,(M7-P7)/(K7-S7-P7+U7))</f>
        <v>0.311953352769679</v>
      </c>
      <c r="AE7" s="15" t="n">
        <f aca="false">IF(J7=0,0,R7/J7)</f>
        <v>0.0782997762863535</v>
      </c>
      <c r="AF7" s="15" t="n">
        <f aca="false">IF(J7=0,0,S7/J7)</f>
        <v>0.123042505592841</v>
      </c>
      <c r="AG7" s="11" t="n">
        <f aca="false">IF(J7&gt;=INDEX(球季參數!$E$2:$E$4,MATCH($A7,球季參數!$A$2:$A$4,0)),1,0)</f>
        <v>0</v>
      </c>
    </row>
    <row r="8" customFormat="false" ht="15" hidden="false" customHeight="false" outlineLevel="0" collapsed="false">
      <c r="A8" s="5" t="n">
        <v>2024</v>
      </c>
      <c r="B8" s="7" t="s">
        <v>484</v>
      </c>
      <c r="C8" s="10" t="str">
        <f aca="false">INDEX(球員主檔!$B$2:$B$749,MATCH($B8,球員主檔!$A$2:$A$749,0))</f>
        <v>Sawyer Whitmore</v>
      </c>
      <c r="D8" s="7" t="s">
        <v>340</v>
      </c>
      <c r="E8" s="10" t="str">
        <f aca="false">INDEX(球隊主檔!$C$2:$C$31,MATCH($D8,球隊主檔!$A$2:$A$31,0))</f>
        <v>巴爾的摩金鶯</v>
      </c>
      <c r="F8" s="10" t="str">
        <f aca="false">INDEX(球隊主檔!$D$2:$D$31,MATCH($D8,球隊主檔!$A$2:$A$31,0))</f>
        <v>美聯</v>
      </c>
      <c r="G8" s="7" t="s">
        <v>486</v>
      </c>
      <c r="H8" s="11" t="n">
        <f aca="false">INT((DATE($A8,7,1)-INDEX(球員主檔!$G$2:$G$749,MATCH($B8,球員主檔!$A$2:$A$749,0)))/365.25)</f>
        <v>23</v>
      </c>
      <c r="I8" s="12" t="n">
        <v>113</v>
      </c>
      <c r="J8" s="12" t="n">
        <v>472</v>
      </c>
      <c r="K8" s="12" t="n">
        <v>403</v>
      </c>
      <c r="L8" s="12" t="n">
        <v>72</v>
      </c>
      <c r="M8" s="12" t="n">
        <v>127</v>
      </c>
      <c r="N8" s="12" t="n">
        <v>34</v>
      </c>
      <c r="O8" s="12" t="n">
        <v>5</v>
      </c>
      <c r="P8" s="12" t="n">
        <v>23</v>
      </c>
      <c r="Q8" s="12" t="n">
        <v>72</v>
      </c>
      <c r="R8" s="12" t="n">
        <v>57</v>
      </c>
      <c r="S8" s="12" t="n">
        <v>77</v>
      </c>
      <c r="T8" s="12" t="n">
        <v>10</v>
      </c>
      <c r="U8" s="12" t="n">
        <v>2</v>
      </c>
      <c r="V8" s="12" t="n">
        <v>8</v>
      </c>
      <c r="W8" s="12" t="n">
        <v>1</v>
      </c>
      <c r="X8" s="13" t="n">
        <f aca="false">M8+N8+2*O8+3*P8</f>
        <v>240</v>
      </c>
      <c r="Y8" s="14" t="n">
        <f aca="false">IF(K8=0,0,M8/K8)</f>
        <v>0.315136476426799</v>
      </c>
      <c r="Z8" s="14" t="n">
        <f aca="false">IF(K8+R8+T8+U8=0,0,(M8+R8+T8)/(K8+R8+T8+U8))</f>
        <v>0.411016949152542</v>
      </c>
      <c r="AA8" s="14" t="n">
        <f aca="false">IF(K8=0,0,X8/K8)</f>
        <v>0.595533498759305</v>
      </c>
      <c r="AB8" s="14" t="n">
        <f aca="false">Z8+AA8</f>
        <v>1.00655044791185</v>
      </c>
      <c r="AC8" s="14" t="n">
        <f aca="false">AA8-Y8</f>
        <v>0.280397022332506</v>
      </c>
      <c r="AD8" s="14" t="n">
        <f aca="false">IF(K8-S8-P8+U8=0,0,(M8-P8)/(K8-S8-P8+U8))</f>
        <v>0.340983606557377</v>
      </c>
      <c r="AE8" s="15" t="n">
        <f aca="false">IF(J8=0,0,R8/J8)</f>
        <v>0.120762711864407</v>
      </c>
      <c r="AF8" s="15" t="n">
        <f aca="false">IF(J8=0,0,S8/J8)</f>
        <v>0.163135593220339</v>
      </c>
      <c r="AG8" s="11" t="n">
        <f aca="false">IF(J8&gt;=INDEX(球季參數!$E$2:$E$4,MATCH($A8,球季參數!$A$2:$A$4,0)),1,0)</f>
        <v>0</v>
      </c>
    </row>
    <row r="9" customFormat="false" ht="15" hidden="false" customHeight="false" outlineLevel="0" collapsed="false">
      <c r="A9" s="5" t="n">
        <v>2024</v>
      </c>
      <c r="B9" s="7" t="s">
        <v>487</v>
      </c>
      <c r="C9" s="10" t="str">
        <f aca="false">INDEX(球員主檔!$B$2:$B$749,MATCH($B9,球員主檔!$A$2:$A$749,0))</f>
        <v>Fletcher Engelhardt</v>
      </c>
      <c r="D9" s="7" t="s">
        <v>340</v>
      </c>
      <c r="E9" s="10" t="str">
        <f aca="false">INDEX(球隊主檔!$C$2:$C$31,MATCH($D9,球隊主檔!$A$2:$A$31,0))</f>
        <v>巴爾的摩金鶯</v>
      </c>
      <c r="F9" s="10" t="str">
        <f aca="false">INDEX(球隊主檔!$D$2:$D$31,MATCH($D9,球隊主檔!$A$2:$A$31,0))</f>
        <v>美聯</v>
      </c>
      <c r="G9" s="7" t="s">
        <v>486</v>
      </c>
      <c r="H9" s="11" t="n">
        <f aca="false">INT((DATE($A9,7,1)-INDEX(球員主檔!$G$2:$G$749,MATCH($B9,球員主檔!$A$2:$A$749,0)))/365.25)</f>
        <v>26</v>
      </c>
      <c r="I9" s="12" t="n">
        <v>100</v>
      </c>
      <c r="J9" s="12" t="n">
        <v>393</v>
      </c>
      <c r="K9" s="12" t="n">
        <v>350</v>
      </c>
      <c r="L9" s="12" t="n">
        <v>35</v>
      </c>
      <c r="M9" s="12" t="n">
        <v>63</v>
      </c>
      <c r="N9" s="12" t="n">
        <v>22</v>
      </c>
      <c r="O9" s="12" t="n">
        <v>1</v>
      </c>
      <c r="P9" s="12" t="n">
        <v>14</v>
      </c>
      <c r="Q9" s="12" t="n">
        <v>42</v>
      </c>
      <c r="R9" s="12" t="n">
        <v>34</v>
      </c>
      <c r="S9" s="12" t="n">
        <v>109</v>
      </c>
      <c r="T9" s="12" t="n">
        <v>6</v>
      </c>
      <c r="U9" s="12" t="n">
        <v>3</v>
      </c>
      <c r="V9" s="12" t="n">
        <v>7</v>
      </c>
      <c r="W9" s="12" t="n">
        <v>1</v>
      </c>
      <c r="X9" s="13" t="n">
        <f aca="false">M9+N9+2*O9+3*P9</f>
        <v>129</v>
      </c>
      <c r="Y9" s="14" t="n">
        <f aca="false">IF(K9=0,0,M9/K9)</f>
        <v>0.18</v>
      </c>
      <c r="Z9" s="14" t="n">
        <f aca="false">IF(K9+R9+T9+U9=0,0,(M9+R9+T9)/(K9+R9+T9+U9))</f>
        <v>0.262086513994911</v>
      </c>
      <c r="AA9" s="14" t="n">
        <f aca="false">IF(K9=0,0,X9/K9)</f>
        <v>0.368571428571429</v>
      </c>
      <c r="AB9" s="14" t="n">
        <f aca="false">Z9+AA9</f>
        <v>0.630657942566339</v>
      </c>
      <c r="AC9" s="14" t="n">
        <f aca="false">AA9-Y9</f>
        <v>0.188571428571429</v>
      </c>
      <c r="AD9" s="14" t="n">
        <f aca="false">IF(K9-S9-P9+U9=0,0,(M9-P9)/(K9-S9-P9+U9))</f>
        <v>0.21304347826087</v>
      </c>
      <c r="AE9" s="15" t="n">
        <f aca="false">IF(J9=0,0,R9/J9)</f>
        <v>0.0865139949109415</v>
      </c>
      <c r="AF9" s="15" t="n">
        <f aca="false">IF(J9=0,0,S9/J9)</f>
        <v>0.27735368956743</v>
      </c>
      <c r="AG9" s="11" t="n">
        <f aca="false">IF(J9&gt;=INDEX(球季參數!$E$2:$E$4,MATCH($A9,球季參數!$A$2:$A$4,0)),1,0)</f>
        <v>0</v>
      </c>
    </row>
    <row r="10" customFormat="false" ht="15" hidden="false" customHeight="false" outlineLevel="0" collapsed="false">
      <c r="A10" s="5" t="n">
        <v>2024</v>
      </c>
      <c r="B10" s="7" t="s">
        <v>489</v>
      </c>
      <c r="C10" s="10" t="str">
        <f aca="false">INDEX(球員主檔!$B$2:$B$749,MATCH($B10,球員主檔!$A$2:$A$749,0))</f>
        <v>Haruto Dunmore</v>
      </c>
      <c r="D10" s="7" t="s">
        <v>340</v>
      </c>
      <c r="E10" s="10" t="str">
        <f aca="false">INDEX(球隊主檔!$C$2:$C$31,MATCH($D10,球隊主檔!$A$2:$A$31,0))</f>
        <v>巴爾的摩金鶯</v>
      </c>
      <c r="F10" s="10" t="str">
        <f aca="false">INDEX(球隊主檔!$D$2:$D$31,MATCH($D10,球隊主檔!$A$2:$A$31,0))</f>
        <v>美聯</v>
      </c>
      <c r="G10" s="7" t="s">
        <v>486</v>
      </c>
      <c r="H10" s="11" t="n">
        <f aca="false">INT((DATE($A10,7,1)-INDEX(球員主檔!$G$2:$G$749,MATCH($B10,球員主檔!$A$2:$A$749,0)))/365.25)</f>
        <v>28</v>
      </c>
      <c r="I10" s="12" t="n">
        <v>82</v>
      </c>
      <c r="J10" s="12" t="n">
        <v>332</v>
      </c>
      <c r="K10" s="12" t="n">
        <v>300</v>
      </c>
      <c r="L10" s="12" t="n">
        <v>41</v>
      </c>
      <c r="M10" s="12" t="n">
        <v>85</v>
      </c>
      <c r="N10" s="12" t="n">
        <v>22</v>
      </c>
      <c r="O10" s="12" t="n">
        <v>8</v>
      </c>
      <c r="P10" s="12" t="n">
        <v>6</v>
      </c>
      <c r="Q10" s="12" t="n">
        <v>30</v>
      </c>
      <c r="R10" s="12" t="n">
        <v>28</v>
      </c>
      <c r="S10" s="12" t="n">
        <v>81</v>
      </c>
      <c r="T10" s="12" t="n">
        <v>2</v>
      </c>
      <c r="U10" s="12" t="n">
        <v>2</v>
      </c>
      <c r="V10" s="12" t="n">
        <v>14</v>
      </c>
      <c r="W10" s="12" t="n">
        <v>4</v>
      </c>
      <c r="X10" s="13" t="n">
        <f aca="false">M10+N10+2*O10+3*P10</f>
        <v>141</v>
      </c>
      <c r="Y10" s="14" t="n">
        <f aca="false">IF(K10=0,0,M10/K10)</f>
        <v>0.283333333333333</v>
      </c>
      <c r="Z10" s="14" t="n">
        <f aca="false">IF(K10+R10+T10+U10=0,0,(M10+R10+T10)/(K10+R10+T10+U10))</f>
        <v>0.346385542168675</v>
      </c>
      <c r="AA10" s="14" t="n">
        <f aca="false">IF(K10=0,0,X10/K10)</f>
        <v>0.47</v>
      </c>
      <c r="AB10" s="14" t="n">
        <f aca="false">Z10+AA10</f>
        <v>0.816385542168675</v>
      </c>
      <c r="AC10" s="14" t="n">
        <f aca="false">AA10-Y10</f>
        <v>0.186666666666667</v>
      </c>
      <c r="AD10" s="14" t="n">
        <f aca="false">IF(K10-S10-P10+U10=0,0,(M10-P10)/(K10-S10-P10+U10))</f>
        <v>0.367441860465116</v>
      </c>
      <c r="AE10" s="15" t="n">
        <f aca="false">IF(J10=0,0,R10/J10)</f>
        <v>0.0843373493975904</v>
      </c>
      <c r="AF10" s="15" t="n">
        <f aca="false">IF(J10=0,0,S10/J10)</f>
        <v>0.243975903614458</v>
      </c>
      <c r="AG10" s="11" t="n">
        <f aca="false">IF(J10&gt;=INDEX(球季參數!$E$2:$E$4,MATCH($A10,球季參數!$A$2:$A$4,0)),1,0)</f>
        <v>0</v>
      </c>
    </row>
    <row r="11" customFormat="false" ht="15" hidden="false" customHeight="false" outlineLevel="0" collapsed="false">
      <c r="A11" s="5" t="n">
        <v>2024</v>
      </c>
      <c r="B11" s="7" t="s">
        <v>491</v>
      </c>
      <c r="C11" s="10" t="str">
        <f aca="false">INDEX(球員主檔!$B$2:$B$749,MATCH($B11,球員主檔!$A$2:$A$749,0))</f>
        <v>Everett Ingersoll</v>
      </c>
      <c r="D11" s="7" t="s">
        <v>340</v>
      </c>
      <c r="E11" s="10" t="str">
        <f aca="false">INDEX(球隊主檔!$C$2:$C$31,MATCH($D11,球隊主檔!$A$2:$A$31,0))</f>
        <v>巴爾的摩金鶯</v>
      </c>
      <c r="F11" s="10" t="str">
        <f aca="false">INDEX(球隊主檔!$D$2:$D$31,MATCH($D11,球隊主檔!$A$2:$A$31,0))</f>
        <v>美聯</v>
      </c>
      <c r="G11" s="7" t="s">
        <v>162</v>
      </c>
      <c r="H11" s="11" t="n">
        <f aca="false">INT((DATE($A11,7,1)-INDEX(球員主檔!$G$2:$G$749,MATCH($B11,球員主檔!$A$2:$A$749,0)))/365.25)</f>
        <v>27</v>
      </c>
      <c r="I11" s="12" t="n">
        <v>82</v>
      </c>
      <c r="J11" s="12" t="n">
        <v>333</v>
      </c>
      <c r="K11" s="12" t="n">
        <v>317</v>
      </c>
      <c r="L11" s="12" t="n">
        <v>39</v>
      </c>
      <c r="M11" s="12" t="n">
        <v>81</v>
      </c>
      <c r="N11" s="12" t="n">
        <v>21</v>
      </c>
      <c r="O11" s="12" t="n">
        <v>3</v>
      </c>
      <c r="P11" s="12" t="n">
        <v>8</v>
      </c>
      <c r="Q11" s="12" t="n">
        <v>35</v>
      </c>
      <c r="R11" s="12" t="n">
        <v>12</v>
      </c>
      <c r="S11" s="12" t="n">
        <v>65</v>
      </c>
      <c r="T11" s="12" t="n">
        <v>3</v>
      </c>
      <c r="U11" s="12" t="n">
        <v>1</v>
      </c>
      <c r="V11" s="12" t="n">
        <v>6</v>
      </c>
      <c r="W11" s="12" t="n">
        <v>1</v>
      </c>
      <c r="X11" s="13" t="n">
        <f aca="false">M11+N11+2*O11+3*P11</f>
        <v>132</v>
      </c>
      <c r="Y11" s="14" t="n">
        <f aca="false">IF(K11=0,0,M11/K11)</f>
        <v>0.255520504731861</v>
      </c>
      <c r="Z11" s="14" t="n">
        <f aca="false">IF(K11+R11+T11+U11=0,0,(M11+R11+T11)/(K11+R11+T11+U11))</f>
        <v>0.288288288288288</v>
      </c>
      <c r="AA11" s="14" t="n">
        <f aca="false">IF(K11=0,0,X11/K11)</f>
        <v>0.416403785488959</v>
      </c>
      <c r="AB11" s="14" t="n">
        <f aca="false">Z11+AA11</f>
        <v>0.704692073777247</v>
      </c>
      <c r="AC11" s="14" t="n">
        <f aca="false">AA11-Y11</f>
        <v>0.160883280757098</v>
      </c>
      <c r="AD11" s="14" t="n">
        <f aca="false">IF(K11-S11-P11+U11=0,0,(M11-P11)/(K11-S11-P11+U11))</f>
        <v>0.297959183673469</v>
      </c>
      <c r="AE11" s="15" t="n">
        <f aca="false">IF(J11=0,0,R11/J11)</f>
        <v>0.036036036036036</v>
      </c>
      <c r="AF11" s="15" t="n">
        <f aca="false">IF(J11=0,0,S11/J11)</f>
        <v>0.195195195195195</v>
      </c>
      <c r="AG11" s="11" t="n">
        <f aca="false">IF(J11&gt;=INDEX(球季參數!$E$2:$E$4,MATCH($A11,球季參數!$A$2:$A$4,0)),1,0)</f>
        <v>0</v>
      </c>
    </row>
    <row r="12" customFormat="false" ht="15" hidden="false" customHeight="false" outlineLevel="0" collapsed="false">
      <c r="A12" s="5" t="n">
        <v>2024</v>
      </c>
      <c r="B12" s="7" t="s">
        <v>516</v>
      </c>
      <c r="C12" s="10" t="str">
        <f aca="false">INDEX(球員主檔!$B$2:$B$749,MATCH($B12,球員主檔!$A$2:$A$749,0))</f>
        <v>Leandro Castellón</v>
      </c>
      <c r="D12" s="7" t="s">
        <v>346</v>
      </c>
      <c r="E12" s="10" t="str">
        <f aca="false">INDEX(球隊主檔!$C$2:$C$31,MATCH($D12,球隊主檔!$A$2:$A$31,0))</f>
        <v>波士頓紅襪</v>
      </c>
      <c r="F12" s="10" t="str">
        <f aca="false">INDEX(球隊主檔!$D$2:$D$31,MATCH($D12,球隊主檔!$A$2:$A$31,0))</f>
        <v>美聯</v>
      </c>
      <c r="G12" s="7" t="s">
        <v>473</v>
      </c>
      <c r="H12" s="11" t="n">
        <f aca="false">INT((DATE($A12,7,1)-INDEX(球員主檔!$G$2:$G$749,MATCH($B12,球員主檔!$A$2:$A$749,0)))/365.25)</f>
        <v>24</v>
      </c>
      <c r="I12" s="12" t="n">
        <v>62</v>
      </c>
      <c r="J12" s="12" t="n">
        <v>273</v>
      </c>
      <c r="K12" s="12" t="n">
        <v>240</v>
      </c>
      <c r="L12" s="12" t="n">
        <v>26</v>
      </c>
      <c r="M12" s="12" t="n">
        <v>51</v>
      </c>
      <c r="N12" s="12" t="n">
        <v>13</v>
      </c>
      <c r="O12" s="12" t="n">
        <v>10</v>
      </c>
      <c r="P12" s="12" t="n">
        <v>7</v>
      </c>
      <c r="Q12" s="12" t="n">
        <v>27</v>
      </c>
      <c r="R12" s="12" t="n">
        <v>28</v>
      </c>
      <c r="S12" s="12" t="n">
        <v>55</v>
      </c>
      <c r="T12" s="12" t="n">
        <v>3</v>
      </c>
      <c r="U12" s="12" t="n">
        <v>2</v>
      </c>
      <c r="V12" s="12" t="n">
        <v>5</v>
      </c>
      <c r="W12" s="12" t="n">
        <v>1</v>
      </c>
      <c r="X12" s="13" t="n">
        <f aca="false">M12+N12+2*O12+3*P12</f>
        <v>105</v>
      </c>
      <c r="Y12" s="14" t="n">
        <f aca="false">IF(K12=0,0,M12/K12)</f>
        <v>0.2125</v>
      </c>
      <c r="Z12" s="14" t="n">
        <f aca="false">IF(K12+R12+T12+U12=0,0,(M12+R12+T12)/(K12+R12+T12+U12))</f>
        <v>0.3003663003663</v>
      </c>
      <c r="AA12" s="14" t="n">
        <f aca="false">IF(K12=0,0,X12/K12)</f>
        <v>0.4375</v>
      </c>
      <c r="AB12" s="14" t="n">
        <f aca="false">Z12+AA12</f>
        <v>0.7378663003663</v>
      </c>
      <c r="AC12" s="14" t="n">
        <f aca="false">AA12-Y12</f>
        <v>0.225</v>
      </c>
      <c r="AD12" s="14" t="n">
        <f aca="false">IF(K12-S12-P12+U12=0,0,(M12-P12)/(K12-S12-P12+U12))</f>
        <v>0.244444444444444</v>
      </c>
      <c r="AE12" s="15" t="n">
        <f aca="false">IF(J12=0,0,R12/J12)</f>
        <v>0.102564102564103</v>
      </c>
      <c r="AF12" s="15" t="n">
        <f aca="false">IF(J12=0,0,S12/J12)</f>
        <v>0.201465201465201</v>
      </c>
      <c r="AG12" s="11" t="n">
        <f aca="false">IF(J12&gt;=INDEX(球季參數!$E$2:$E$4,MATCH($A12,球季參數!$A$2:$A$4,0)),1,0)</f>
        <v>0</v>
      </c>
    </row>
    <row r="13" customFormat="false" ht="15" hidden="false" customHeight="false" outlineLevel="0" collapsed="false">
      <c r="A13" s="5" t="n">
        <v>2024</v>
      </c>
      <c r="B13" s="7" t="s">
        <v>518</v>
      </c>
      <c r="C13" s="10" t="str">
        <f aca="false">INDEX(球員主檔!$B$2:$B$749,MATCH($B13,球員主檔!$A$2:$A$749,0))</f>
        <v>Lucien Nordstrom</v>
      </c>
      <c r="D13" s="7" t="s">
        <v>346</v>
      </c>
      <c r="E13" s="10" t="str">
        <f aca="false">INDEX(球隊主檔!$C$2:$C$31,MATCH($D13,球隊主檔!$A$2:$A$31,0))</f>
        <v>波士頓紅襪</v>
      </c>
      <c r="F13" s="10" t="str">
        <f aca="false">INDEX(球隊主檔!$D$2:$D$31,MATCH($D13,球隊主檔!$A$2:$A$31,0))</f>
        <v>美聯</v>
      </c>
      <c r="G13" s="7" t="s">
        <v>483</v>
      </c>
      <c r="H13" s="11" t="n">
        <f aca="false">INT((DATE($A13,7,1)-INDEX(球員主檔!$G$2:$G$749,MATCH($B13,球員主檔!$A$2:$A$749,0)))/365.25)</f>
        <v>23</v>
      </c>
      <c r="I13" s="12" t="n">
        <v>162</v>
      </c>
      <c r="J13" s="12" t="n">
        <v>679</v>
      </c>
      <c r="K13" s="12" t="n">
        <v>601</v>
      </c>
      <c r="L13" s="12" t="n">
        <v>101</v>
      </c>
      <c r="M13" s="12" t="n">
        <v>149</v>
      </c>
      <c r="N13" s="12" t="n">
        <v>30</v>
      </c>
      <c r="O13" s="12" t="n">
        <v>12</v>
      </c>
      <c r="P13" s="12" t="n">
        <v>47</v>
      </c>
      <c r="Q13" s="12" t="n">
        <v>140</v>
      </c>
      <c r="R13" s="12" t="n">
        <v>73</v>
      </c>
      <c r="S13" s="12" t="n">
        <v>149</v>
      </c>
      <c r="T13" s="12" t="n">
        <v>2</v>
      </c>
      <c r="U13" s="12" t="n">
        <v>3</v>
      </c>
      <c r="V13" s="12" t="n">
        <v>26</v>
      </c>
      <c r="W13" s="12" t="n">
        <v>5</v>
      </c>
      <c r="X13" s="13" t="n">
        <f aca="false">M13+N13+2*O13+3*P13</f>
        <v>344</v>
      </c>
      <c r="Y13" s="14" t="n">
        <f aca="false">IF(K13=0,0,M13/K13)</f>
        <v>0.247920133111481</v>
      </c>
      <c r="Z13" s="14" t="n">
        <f aca="false">IF(K13+R13+T13+U13=0,0,(M13+R13+T13)/(K13+R13+T13+U13))</f>
        <v>0.329896907216495</v>
      </c>
      <c r="AA13" s="14" t="n">
        <f aca="false">IF(K13=0,0,X13/K13)</f>
        <v>0.572379367720466</v>
      </c>
      <c r="AB13" s="14" t="n">
        <f aca="false">Z13+AA13</f>
        <v>0.902276274936961</v>
      </c>
      <c r="AC13" s="14" t="n">
        <f aca="false">AA13-Y13</f>
        <v>0.324459234608985</v>
      </c>
      <c r="AD13" s="14" t="n">
        <f aca="false">IF(K13-S13-P13+U13=0,0,(M13-P13)/(K13-S13-P13+U13))</f>
        <v>0.25</v>
      </c>
      <c r="AE13" s="15" t="n">
        <f aca="false">IF(J13=0,0,R13/J13)</f>
        <v>0.107511045655376</v>
      </c>
      <c r="AF13" s="15" t="n">
        <f aca="false">IF(J13=0,0,S13/J13)</f>
        <v>0.219440353460972</v>
      </c>
      <c r="AG13" s="11" t="n">
        <f aca="false">IF(J13&gt;=INDEX(球季參數!$E$2:$E$4,MATCH($A13,球季參數!$A$2:$A$4,0)),1,0)</f>
        <v>1</v>
      </c>
    </row>
    <row r="14" customFormat="false" ht="15" hidden="false" customHeight="false" outlineLevel="0" collapsed="false">
      <c r="A14" s="5" t="n">
        <v>2024</v>
      </c>
      <c r="B14" s="7" t="s">
        <v>520</v>
      </c>
      <c r="C14" s="10" t="str">
        <f aca="false">INDEX(球員主檔!$B$2:$B$749,MATCH($B14,球員主檔!$A$2:$A$749,0))</f>
        <v>Everett Redmayne</v>
      </c>
      <c r="D14" s="7" t="s">
        <v>346</v>
      </c>
      <c r="E14" s="10" t="str">
        <f aca="false">INDEX(球隊主檔!$C$2:$C$31,MATCH($D14,球隊主檔!$A$2:$A$31,0))</f>
        <v>波士頓紅襪</v>
      </c>
      <c r="F14" s="10" t="str">
        <f aca="false">INDEX(球隊主檔!$D$2:$D$31,MATCH($D14,球隊主檔!$A$2:$A$31,0))</f>
        <v>美聯</v>
      </c>
      <c r="G14" s="7" t="s">
        <v>522</v>
      </c>
      <c r="H14" s="11" t="n">
        <f aca="false">INT((DATE($A14,7,1)-INDEX(球員主檔!$G$2:$G$749,MATCH($B14,球員主檔!$A$2:$A$749,0)))/365.25)</f>
        <v>24</v>
      </c>
      <c r="I14" s="12" t="n">
        <v>134</v>
      </c>
      <c r="J14" s="12" t="n">
        <v>591</v>
      </c>
      <c r="K14" s="12" t="n">
        <v>544</v>
      </c>
      <c r="L14" s="12" t="n">
        <v>68</v>
      </c>
      <c r="M14" s="12" t="n">
        <v>136</v>
      </c>
      <c r="N14" s="12" t="n">
        <v>41</v>
      </c>
      <c r="O14" s="12" t="n">
        <v>3</v>
      </c>
      <c r="P14" s="12" t="n">
        <v>13</v>
      </c>
      <c r="Q14" s="12" t="n">
        <v>53</v>
      </c>
      <c r="R14" s="12" t="n">
        <v>36</v>
      </c>
      <c r="S14" s="12" t="n">
        <v>143</v>
      </c>
      <c r="T14" s="12" t="n">
        <v>8</v>
      </c>
      <c r="U14" s="12" t="n">
        <v>3</v>
      </c>
      <c r="V14" s="12" t="n">
        <v>40</v>
      </c>
      <c r="W14" s="12" t="n">
        <v>6</v>
      </c>
      <c r="X14" s="13" t="n">
        <f aca="false">M14+N14+2*O14+3*P14</f>
        <v>222</v>
      </c>
      <c r="Y14" s="14" t="n">
        <f aca="false">IF(K14=0,0,M14/K14)</f>
        <v>0.25</v>
      </c>
      <c r="Z14" s="14" t="n">
        <f aca="false">IF(K14+R14+T14+U14=0,0,(M14+R14+T14)/(K14+R14+T14+U14))</f>
        <v>0.304568527918782</v>
      </c>
      <c r="AA14" s="14" t="n">
        <f aca="false">IF(K14=0,0,X14/K14)</f>
        <v>0.408088235294118</v>
      </c>
      <c r="AB14" s="14" t="n">
        <f aca="false">Z14+AA14</f>
        <v>0.712656763212899</v>
      </c>
      <c r="AC14" s="14" t="n">
        <f aca="false">AA14-Y14</f>
        <v>0.158088235294118</v>
      </c>
      <c r="AD14" s="14" t="n">
        <f aca="false">IF(K14-S14-P14+U14=0,0,(M14-P14)/(K14-S14-P14+U14))</f>
        <v>0.31457800511509</v>
      </c>
      <c r="AE14" s="15" t="n">
        <f aca="false">IF(J14=0,0,R14/J14)</f>
        <v>0.0609137055837564</v>
      </c>
      <c r="AF14" s="15" t="n">
        <f aca="false">IF(J14=0,0,S14/J14)</f>
        <v>0.241962774957699</v>
      </c>
      <c r="AG14" s="11" t="n">
        <f aca="false">IF(J14&gt;=INDEX(球季參數!$E$2:$E$4,MATCH($A14,球季參數!$A$2:$A$4,0)),1,0)</f>
        <v>1</v>
      </c>
    </row>
    <row r="15" customFormat="false" ht="15" hidden="false" customHeight="false" outlineLevel="0" collapsed="false">
      <c r="A15" s="5" t="n">
        <v>2024</v>
      </c>
      <c r="B15" s="7" t="s">
        <v>523</v>
      </c>
      <c r="C15" s="10" t="str">
        <f aca="false">INDEX(球員主檔!$B$2:$B$749,MATCH($B15,球員主檔!$A$2:$A$749,0))</f>
        <v>Camilo Dubois</v>
      </c>
      <c r="D15" s="7" t="s">
        <v>346</v>
      </c>
      <c r="E15" s="10" t="str">
        <f aca="false">INDEX(球隊主檔!$C$2:$C$31,MATCH($D15,球隊主檔!$A$2:$A$31,0))</f>
        <v>波士頓紅襪</v>
      </c>
      <c r="F15" s="10" t="str">
        <f aca="false">INDEX(球隊主檔!$D$2:$D$31,MATCH($D15,球隊主檔!$A$2:$A$31,0))</f>
        <v>美聯</v>
      </c>
      <c r="G15" s="7" t="s">
        <v>486</v>
      </c>
      <c r="H15" s="11" t="n">
        <f aca="false">INT((DATE($A15,7,1)-INDEX(球員主檔!$G$2:$G$749,MATCH($B15,球員主檔!$A$2:$A$749,0)))/365.25)</f>
        <v>29</v>
      </c>
      <c r="I15" s="12" t="n">
        <v>88</v>
      </c>
      <c r="J15" s="12" t="n">
        <v>365</v>
      </c>
      <c r="K15" s="12" t="n">
        <v>321</v>
      </c>
      <c r="L15" s="12" t="n">
        <v>52</v>
      </c>
      <c r="M15" s="12" t="n">
        <v>83</v>
      </c>
      <c r="N15" s="12" t="n">
        <v>20</v>
      </c>
      <c r="O15" s="12" t="n">
        <v>1</v>
      </c>
      <c r="P15" s="12" t="n">
        <v>14</v>
      </c>
      <c r="Q15" s="12" t="n">
        <v>44</v>
      </c>
      <c r="R15" s="12" t="n">
        <v>35</v>
      </c>
      <c r="S15" s="12" t="n">
        <v>73</v>
      </c>
      <c r="T15" s="12" t="n">
        <v>6</v>
      </c>
      <c r="U15" s="12" t="n">
        <v>3</v>
      </c>
      <c r="V15" s="12" t="n">
        <v>1</v>
      </c>
      <c r="W15" s="12" t="n">
        <v>0</v>
      </c>
      <c r="X15" s="13" t="n">
        <f aca="false">M15+N15+2*O15+3*P15</f>
        <v>147</v>
      </c>
      <c r="Y15" s="14" t="n">
        <f aca="false">IF(K15=0,0,M15/K15)</f>
        <v>0.258566978193146</v>
      </c>
      <c r="Z15" s="14" t="n">
        <f aca="false">IF(K15+R15+T15+U15=0,0,(M15+R15+T15)/(K15+R15+T15+U15))</f>
        <v>0.33972602739726</v>
      </c>
      <c r="AA15" s="14" t="n">
        <f aca="false">IF(K15=0,0,X15/K15)</f>
        <v>0.457943925233645</v>
      </c>
      <c r="AB15" s="14" t="n">
        <f aca="false">Z15+AA15</f>
        <v>0.797669952630905</v>
      </c>
      <c r="AC15" s="14" t="n">
        <f aca="false">AA15-Y15</f>
        <v>0.199376947040498</v>
      </c>
      <c r="AD15" s="14" t="n">
        <f aca="false">IF(K15-S15-P15+U15=0,0,(M15-P15)/(K15-S15-P15+U15))</f>
        <v>0.291139240506329</v>
      </c>
      <c r="AE15" s="15" t="n">
        <f aca="false">IF(J15=0,0,R15/J15)</f>
        <v>0.0958904109589041</v>
      </c>
      <c r="AF15" s="15" t="n">
        <f aca="false">IF(J15=0,0,S15/J15)</f>
        <v>0.2</v>
      </c>
      <c r="AG15" s="11" t="n">
        <f aca="false">IF(J15&gt;=INDEX(球季參數!$E$2:$E$4,MATCH($A15,球季參數!$A$2:$A$4,0)),1,0)</f>
        <v>0</v>
      </c>
    </row>
    <row r="16" customFormat="false" ht="15" hidden="false" customHeight="false" outlineLevel="0" collapsed="false">
      <c r="A16" s="5" t="n">
        <v>2024</v>
      </c>
      <c r="B16" s="7" t="s">
        <v>525</v>
      </c>
      <c r="C16" s="10" t="str">
        <f aca="false">INDEX(球員主檔!$B$2:$B$749,MATCH($B16,球員主檔!$A$2:$A$749,0))</f>
        <v>Yusuke Zbornak</v>
      </c>
      <c r="D16" s="7" t="s">
        <v>346</v>
      </c>
      <c r="E16" s="10" t="str">
        <f aca="false">INDEX(球隊主檔!$C$2:$C$31,MATCH($D16,球隊主檔!$A$2:$A$31,0))</f>
        <v>波士頓紅襪</v>
      </c>
      <c r="F16" s="10" t="str">
        <f aca="false">INDEX(球隊主檔!$D$2:$D$31,MATCH($D16,球隊主檔!$A$2:$A$31,0))</f>
        <v>美聯</v>
      </c>
      <c r="G16" s="7" t="s">
        <v>473</v>
      </c>
      <c r="H16" s="11" t="n">
        <f aca="false">INT((DATE($A16,7,1)-INDEX(球員主檔!$G$2:$G$749,MATCH($B16,球員主檔!$A$2:$A$749,0)))/365.25)</f>
        <v>22</v>
      </c>
      <c r="I16" s="12" t="n">
        <v>162</v>
      </c>
      <c r="J16" s="12" t="n">
        <v>693</v>
      </c>
      <c r="K16" s="12" t="n">
        <v>630</v>
      </c>
      <c r="L16" s="12" t="n">
        <v>80</v>
      </c>
      <c r="M16" s="12" t="n">
        <v>143</v>
      </c>
      <c r="N16" s="12" t="n">
        <v>36</v>
      </c>
      <c r="O16" s="12" t="n">
        <v>2</v>
      </c>
      <c r="P16" s="12" t="n">
        <v>33</v>
      </c>
      <c r="Q16" s="12" t="n">
        <v>101</v>
      </c>
      <c r="R16" s="12" t="n">
        <v>51</v>
      </c>
      <c r="S16" s="12" t="n">
        <v>129</v>
      </c>
      <c r="T16" s="12" t="n">
        <v>8</v>
      </c>
      <c r="U16" s="12" t="n">
        <v>4</v>
      </c>
      <c r="V16" s="12" t="n">
        <v>19</v>
      </c>
      <c r="W16" s="12" t="n">
        <v>5</v>
      </c>
      <c r="X16" s="13" t="n">
        <f aca="false">M16+N16+2*O16+3*P16</f>
        <v>282</v>
      </c>
      <c r="Y16" s="14" t="n">
        <f aca="false">IF(K16=0,0,M16/K16)</f>
        <v>0.226984126984127</v>
      </c>
      <c r="Z16" s="14" t="n">
        <f aca="false">IF(K16+R16+T16+U16=0,0,(M16+R16+T16)/(K16+R16+T16+U16))</f>
        <v>0.291486291486291</v>
      </c>
      <c r="AA16" s="14" t="n">
        <f aca="false">IF(K16=0,0,X16/K16)</f>
        <v>0.447619047619048</v>
      </c>
      <c r="AB16" s="14" t="n">
        <f aca="false">Z16+AA16</f>
        <v>0.739105339105339</v>
      </c>
      <c r="AC16" s="14" t="n">
        <f aca="false">AA16-Y16</f>
        <v>0.220634920634921</v>
      </c>
      <c r="AD16" s="14" t="n">
        <f aca="false">IF(K16-S16-P16+U16=0,0,(M16-P16)/(K16-S16-P16+U16))</f>
        <v>0.233050847457627</v>
      </c>
      <c r="AE16" s="15" t="n">
        <f aca="false">IF(J16=0,0,R16/J16)</f>
        <v>0.0735930735930736</v>
      </c>
      <c r="AF16" s="15" t="n">
        <f aca="false">IF(J16=0,0,S16/J16)</f>
        <v>0.186147186147186</v>
      </c>
      <c r="AG16" s="11" t="n">
        <f aca="false">IF(J16&gt;=INDEX(球季參數!$E$2:$E$4,MATCH($A16,球季參數!$A$2:$A$4,0)),1,0)</f>
        <v>1</v>
      </c>
    </row>
    <row r="17" customFormat="false" ht="15" hidden="false" customHeight="false" outlineLevel="0" collapsed="false">
      <c r="A17" s="5" t="n">
        <v>2024</v>
      </c>
      <c r="B17" s="7" t="s">
        <v>527</v>
      </c>
      <c r="C17" s="10" t="str">
        <f aca="false">INDEX(球員主檔!$B$2:$B$749,MATCH($B17,球員主檔!$A$2:$A$749,0))</f>
        <v>Rintaro Dubois</v>
      </c>
      <c r="D17" s="7" t="s">
        <v>346</v>
      </c>
      <c r="E17" s="10" t="str">
        <f aca="false">INDEX(球隊主檔!$C$2:$C$31,MATCH($D17,球隊主檔!$A$2:$A$31,0))</f>
        <v>波士頓紅襪</v>
      </c>
      <c r="F17" s="10" t="str">
        <f aca="false">INDEX(球隊主檔!$D$2:$D$31,MATCH($D17,球隊主檔!$A$2:$A$31,0))</f>
        <v>美聯</v>
      </c>
      <c r="G17" s="7" t="s">
        <v>473</v>
      </c>
      <c r="H17" s="11" t="n">
        <f aca="false">INT((DATE($A17,7,1)-INDEX(球員主檔!$G$2:$G$749,MATCH($B17,球員主檔!$A$2:$A$749,0)))/365.25)</f>
        <v>27</v>
      </c>
      <c r="I17" s="12" t="n">
        <v>67</v>
      </c>
      <c r="J17" s="12" t="n">
        <v>302</v>
      </c>
      <c r="K17" s="12" t="n">
        <v>272</v>
      </c>
      <c r="L17" s="12" t="n">
        <v>43</v>
      </c>
      <c r="M17" s="12" t="n">
        <v>67</v>
      </c>
      <c r="N17" s="12" t="n">
        <v>18</v>
      </c>
      <c r="O17" s="12" t="n">
        <v>2</v>
      </c>
      <c r="P17" s="12" t="n">
        <v>19</v>
      </c>
      <c r="Q17" s="12" t="n">
        <v>57</v>
      </c>
      <c r="R17" s="12" t="n">
        <v>25</v>
      </c>
      <c r="S17" s="12" t="n">
        <v>58</v>
      </c>
      <c r="T17" s="12" t="n">
        <v>3</v>
      </c>
      <c r="U17" s="12" t="n">
        <v>2</v>
      </c>
      <c r="V17" s="12" t="n">
        <v>2</v>
      </c>
      <c r="W17" s="12" t="n">
        <v>0</v>
      </c>
      <c r="X17" s="13" t="n">
        <f aca="false">M17+N17+2*O17+3*P17</f>
        <v>146</v>
      </c>
      <c r="Y17" s="14" t="n">
        <f aca="false">IF(K17=0,0,M17/K17)</f>
        <v>0.246323529411765</v>
      </c>
      <c r="Z17" s="14" t="n">
        <f aca="false">IF(K17+R17+T17+U17=0,0,(M17+R17+T17)/(K17+R17+T17+U17))</f>
        <v>0.314569536423841</v>
      </c>
      <c r="AA17" s="14" t="n">
        <f aca="false">IF(K17=0,0,X17/K17)</f>
        <v>0.536764705882353</v>
      </c>
      <c r="AB17" s="14" t="n">
        <f aca="false">Z17+AA17</f>
        <v>0.851334242306194</v>
      </c>
      <c r="AC17" s="14" t="n">
        <f aca="false">AA17-Y17</f>
        <v>0.290441176470588</v>
      </c>
      <c r="AD17" s="14" t="n">
        <f aca="false">IF(K17-S17-P17+U17=0,0,(M17-P17)/(K17-S17-P17+U17))</f>
        <v>0.243654822335025</v>
      </c>
      <c r="AE17" s="15" t="n">
        <f aca="false">IF(J17=0,0,R17/J17)</f>
        <v>0.0827814569536424</v>
      </c>
      <c r="AF17" s="15" t="n">
        <f aca="false">IF(J17=0,0,S17/J17)</f>
        <v>0.19205298013245</v>
      </c>
      <c r="AG17" s="11" t="n">
        <f aca="false">IF(J17&gt;=INDEX(球季參數!$E$2:$E$4,MATCH($A17,球季參數!$A$2:$A$4,0)),1,0)</f>
        <v>0</v>
      </c>
    </row>
    <row r="18" customFormat="false" ht="15" hidden="false" customHeight="false" outlineLevel="0" collapsed="false">
      <c r="A18" s="5" t="n">
        <v>2024</v>
      </c>
      <c r="B18" s="7" t="s">
        <v>529</v>
      </c>
      <c r="C18" s="10" t="str">
        <f aca="false">INDEX(球員主檔!$B$2:$B$749,MATCH($B18,球員主檔!$A$2:$A$749,0))</f>
        <v>Wyatt Kestrel</v>
      </c>
      <c r="D18" s="7" t="s">
        <v>346</v>
      </c>
      <c r="E18" s="10" t="str">
        <f aca="false">INDEX(球隊主檔!$C$2:$C$31,MATCH($D18,球隊主檔!$A$2:$A$31,0))</f>
        <v>波士頓紅襪</v>
      </c>
      <c r="F18" s="10" t="str">
        <f aca="false">INDEX(球隊主檔!$D$2:$D$31,MATCH($D18,球隊主檔!$A$2:$A$31,0))</f>
        <v>美聯</v>
      </c>
      <c r="G18" s="7" t="s">
        <v>473</v>
      </c>
      <c r="H18" s="11" t="n">
        <f aca="false">INT((DATE($A18,7,1)-INDEX(球員主檔!$G$2:$G$749,MATCH($B18,球員主檔!$A$2:$A$749,0)))/365.25)</f>
        <v>27</v>
      </c>
      <c r="I18" s="12" t="n">
        <v>121</v>
      </c>
      <c r="J18" s="12" t="n">
        <v>525</v>
      </c>
      <c r="K18" s="12" t="n">
        <v>481</v>
      </c>
      <c r="L18" s="12" t="n">
        <v>61</v>
      </c>
      <c r="M18" s="12" t="n">
        <v>119</v>
      </c>
      <c r="N18" s="12" t="n">
        <v>36</v>
      </c>
      <c r="O18" s="12" t="n">
        <v>12</v>
      </c>
      <c r="P18" s="12" t="n">
        <v>22</v>
      </c>
      <c r="Q18" s="12" t="n">
        <v>66</v>
      </c>
      <c r="R18" s="12" t="n">
        <v>28</v>
      </c>
      <c r="S18" s="12" t="n">
        <v>140</v>
      </c>
      <c r="T18" s="12" t="n">
        <v>10</v>
      </c>
      <c r="U18" s="12" t="n">
        <v>6</v>
      </c>
      <c r="V18" s="12" t="n">
        <v>37</v>
      </c>
      <c r="W18" s="12" t="n">
        <v>11</v>
      </c>
      <c r="X18" s="13" t="n">
        <f aca="false">M18+N18+2*O18+3*P18</f>
        <v>245</v>
      </c>
      <c r="Y18" s="14" t="n">
        <f aca="false">IF(K18=0,0,M18/K18)</f>
        <v>0.247401247401247</v>
      </c>
      <c r="Z18" s="14" t="n">
        <f aca="false">IF(K18+R18+T18+U18=0,0,(M18+R18+T18)/(K18+R18+T18+U18))</f>
        <v>0.299047619047619</v>
      </c>
      <c r="AA18" s="14" t="n">
        <f aca="false">IF(K18=0,0,X18/K18)</f>
        <v>0.509355509355509</v>
      </c>
      <c r="AB18" s="14" t="n">
        <f aca="false">Z18+AA18</f>
        <v>0.808403128403128</v>
      </c>
      <c r="AC18" s="14" t="n">
        <f aca="false">AA18-Y18</f>
        <v>0.261954261954262</v>
      </c>
      <c r="AD18" s="14" t="n">
        <f aca="false">IF(K18-S18-P18+U18=0,0,(M18-P18)/(K18-S18-P18+U18))</f>
        <v>0.298461538461538</v>
      </c>
      <c r="AE18" s="15" t="n">
        <f aca="false">IF(J18=0,0,R18/J18)</f>
        <v>0.0533333333333333</v>
      </c>
      <c r="AF18" s="15" t="n">
        <f aca="false">IF(J18=0,0,S18/J18)</f>
        <v>0.266666666666667</v>
      </c>
      <c r="AG18" s="11" t="n">
        <f aca="false">IF(J18&gt;=INDEX(球季參數!$E$2:$E$4,MATCH($A18,球季參數!$A$2:$A$4,0)),1,0)</f>
        <v>1</v>
      </c>
    </row>
    <row r="19" customFormat="false" ht="15" hidden="false" customHeight="false" outlineLevel="0" collapsed="false">
      <c r="A19" s="5" t="n">
        <v>2024</v>
      </c>
      <c r="B19" s="7" t="s">
        <v>531</v>
      </c>
      <c r="C19" s="10" t="str">
        <f aca="false">INDEX(球員主檔!$B$2:$B$749,MATCH($B19,球員主檔!$A$2:$A$749,0))</f>
        <v>Jasper Cavanaugh</v>
      </c>
      <c r="D19" s="7" t="s">
        <v>346</v>
      </c>
      <c r="E19" s="10" t="str">
        <f aca="false">INDEX(球隊主檔!$C$2:$C$31,MATCH($D19,球隊主檔!$A$2:$A$31,0))</f>
        <v>波士頓紅襪</v>
      </c>
      <c r="F19" s="10" t="str">
        <f aca="false">INDEX(球隊主檔!$D$2:$D$31,MATCH($D19,球隊主檔!$A$2:$A$31,0))</f>
        <v>美聯</v>
      </c>
      <c r="G19" s="7" t="s">
        <v>483</v>
      </c>
      <c r="H19" s="11" t="n">
        <f aca="false">INT((DATE($A19,7,1)-INDEX(球員主檔!$G$2:$G$749,MATCH($B19,球員主檔!$A$2:$A$749,0)))/365.25)</f>
        <v>24</v>
      </c>
      <c r="I19" s="12" t="n">
        <v>114</v>
      </c>
      <c r="J19" s="12" t="n">
        <v>500</v>
      </c>
      <c r="K19" s="12" t="n">
        <v>430</v>
      </c>
      <c r="L19" s="12" t="n">
        <v>53</v>
      </c>
      <c r="M19" s="12" t="n">
        <v>107</v>
      </c>
      <c r="N19" s="12" t="n">
        <v>21</v>
      </c>
      <c r="O19" s="12" t="n">
        <v>7</v>
      </c>
      <c r="P19" s="12" t="n">
        <v>12</v>
      </c>
      <c r="Q19" s="12" t="n">
        <v>56</v>
      </c>
      <c r="R19" s="12" t="n">
        <v>57</v>
      </c>
      <c r="S19" s="12" t="n">
        <v>114</v>
      </c>
      <c r="T19" s="12" t="n">
        <v>9</v>
      </c>
      <c r="U19" s="12" t="n">
        <v>4</v>
      </c>
      <c r="V19" s="12" t="n">
        <v>10</v>
      </c>
      <c r="W19" s="12" t="n">
        <v>3</v>
      </c>
      <c r="X19" s="13" t="n">
        <f aca="false">M19+N19+2*O19+3*P19</f>
        <v>178</v>
      </c>
      <c r="Y19" s="14" t="n">
        <f aca="false">IF(K19=0,0,M19/K19)</f>
        <v>0.248837209302326</v>
      </c>
      <c r="Z19" s="14" t="n">
        <f aca="false">IF(K19+R19+T19+U19=0,0,(M19+R19+T19)/(K19+R19+T19+U19))</f>
        <v>0.346</v>
      </c>
      <c r="AA19" s="14" t="n">
        <f aca="false">IF(K19=0,0,X19/K19)</f>
        <v>0.413953488372093</v>
      </c>
      <c r="AB19" s="14" t="n">
        <f aca="false">Z19+AA19</f>
        <v>0.759953488372093</v>
      </c>
      <c r="AC19" s="14" t="n">
        <f aca="false">AA19-Y19</f>
        <v>0.165116279069767</v>
      </c>
      <c r="AD19" s="14" t="n">
        <f aca="false">IF(K19-S19-P19+U19=0,0,(M19-P19)/(K19-S19-P19+U19))</f>
        <v>0.308441558441558</v>
      </c>
      <c r="AE19" s="15" t="n">
        <f aca="false">IF(J19=0,0,R19/J19)</f>
        <v>0.114</v>
      </c>
      <c r="AF19" s="15" t="n">
        <f aca="false">IF(J19=0,0,S19/J19)</f>
        <v>0.228</v>
      </c>
      <c r="AG19" s="11" t="n">
        <f aca="false">IF(J19&gt;=INDEX(球季參數!$E$2:$E$4,MATCH($A19,球季參數!$A$2:$A$4,0)),1,0)</f>
        <v>0</v>
      </c>
    </row>
    <row r="20" customFormat="false" ht="15" hidden="false" customHeight="false" outlineLevel="0" collapsed="false">
      <c r="A20" s="5" t="n">
        <v>2024</v>
      </c>
      <c r="B20" s="7" t="s">
        <v>533</v>
      </c>
      <c r="C20" s="10" t="str">
        <f aca="false">INDEX(球員主檔!$B$2:$B$749,MATCH($B20,球員主檔!$A$2:$A$749,0))</f>
        <v>Kellan Tremblay</v>
      </c>
      <c r="D20" s="7" t="s">
        <v>346</v>
      </c>
      <c r="E20" s="10" t="str">
        <f aca="false">INDEX(球隊主檔!$C$2:$C$31,MATCH($D20,球隊主檔!$A$2:$A$31,0))</f>
        <v>波士頓紅襪</v>
      </c>
      <c r="F20" s="10" t="str">
        <f aca="false">INDEX(球隊主檔!$D$2:$D$31,MATCH($D20,球隊主檔!$A$2:$A$31,0))</f>
        <v>美聯</v>
      </c>
      <c r="G20" s="7" t="s">
        <v>473</v>
      </c>
      <c r="H20" s="11" t="n">
        <f aca="false">INT((DATE($A20,7,1)-INDEX(球員主檔!$G$2:$G$749,MATCH($B20,球員主檔!$A$2:$A$749,0)))/365.25)</f>
        <v>30</v>
      </c>
      <c r="I20" s="12" t="n">
        <v>59</v>
      </c>
      <c r="J20" s="12" t="n">
        <v>262</v>
      </c>
      <c r="K20" s="12" t="n">
        <v>242</v>
      </c>
      <c r="L20" s="12" t="n">
        <v>31</v>
      </c>
      <c r="M20" s="12" t="n">
        <v>67</v>
      </c>
      <c r="N20" s="12" t="n">
        <v>21</v>
      </c>
      <c r="O20" s="12" t="n">
        <v>10</v>
      </c>
      <c r="P20" s="12" t="n">
        <v>6</v>
      </c>
      <c r="Q20" s="12" t="n">
        <v>28</v>
      </c>
      <c r="R20" s="12" t="n">
        <v>15</v>
      </c>
      <c r="S20" s="12" t="n">
        <v>56</v>
      </c>
      <c r="T20" s="12" t="n">
        <v>4</v>
      </c>
      <c r="U20" s="12" t="n">
        <v>1</v>
      </c>
      <c r="V20" s="12" t="n">
        <v>16</v>
      </c>
      <c r="W20" s="12" t="n">
        <v>2</v>
      </c>
      <c r="X20" s="13" t="n">
        <f aca="false">M20+N20+2*O20+3*P20</f>
        <v>126</v>
      </c>
      <c r="Y20" s="14" t="n">
        <f aca="false">IF(K20=0,0,M20/K20)</f>
        <v>0.276859504132231</v>
      </c>
      <c r="Z20" s="14" t="n">
        <f aca="false">IF(K20+R20+T20+U20=0,0,(M20+R20+T20)/(K20+R20+T20+U20))</f>
        <v>0.32824427480916</v>
      </c>
      <c r="AA20" s="14" t="n">
        <f aca="false">IF(K20=0,0,X20/K20)</f>
        <v>0.520661157024793</v>
      </c>
      <c r="AB20" s="14" t="n">
        <f aca="false">Z20+AA20</f>
        <v>0.848905431833954</v>
      </c>
      <c r="AC20" s="14" t="n">
        <f aca="false">AA20-Y20</f>
        <v>0.243801652892562</v>
      </c>
      <c r="AD20" s="14" t="n">
        <f aca="false">IF(K20-S20-P20+U20=0,0,(M20-P20)/(K20-S20-P20+U20))</f>
        <v>0.337016574585635</v>
      </c>
      <c r="AE20" s="15" t="n">
        <f aca="false">IF(J20=0,0,R20/J20)</f>
        <v>0.0572519083969466</v>
      </c>
      <c r="AF20" s="15" t="n">
        <f aca="false">IF(J20=0,0,S20/J20)</f>
        <v>0.213740458015267</v>
      </c>
      <c r="AG20" s="11" t="n">
        <f aca="false">IF(J20&gt;=INDEX(球季參數!$E$2:$E$4,MATCH($A20,球季參數!$A$2:$A$4,0)),1,0)</f>
        <v>0</v>
      </c>
    </row>
    <row r="21" customFormat="false" ht="15" hidden="false" customHeight="false" outlineLevel="0" collapsed="false">
      <c r="A21" s="5" t="n">
        <v>2024</v>
      </c>
      <c r="B21" s="7" t="s">
        <v>535</v>
      </c>
      <c r="C21" s="10" t="str">
        <f aca="false">INDEX(球員主檔!$B$2:$B$749,MATCH($B21,球員主檔!$A$2:$A$749,0))</f>
        <v>Silas Jernigan</v>
      </c>
      <c r="D21" s="7" t="s">
        <v>346</v>
      </c>
      <c r="E21" s="10" t="str">
        <f aca="false">INDEX(球隊主檔!$C$2:$C$31,MATCH($D21,球隊主檔!$A$2:$A$31,0))</f>
        <v>波士頓紅襪</v>
      </c>
      <c r="F21" s="10" t="str">
        <f aca="false">INDEX(球隊主檔!$D$2:$D$31,MATCH($D21,球隊主檔!$A$2:$A$31,0))</f>
        <v>美聯</v>
      </c>
      <c r="G21" s="7" t="s">
        <v>470</v>
      </c>
      <c r="H21" s="11" t="n">
        <f aca="false">INT((DATE($A21,7,1)-INDEX(球員主檔!$G$2:$G$749,MATCH($B21,球員主檔!$A$2:$A$749,0)))/365.25)</f>
        <v>23</v>
      </c>
      <c r="I21" s="12" t="n">
        <v>82</v>
      </c>
      <c r="J21" s="12" t="n">
        <v>321</v>
      </c>
      <c r="K21" s="12" t="n">
        <v>306</v>
      </c>
      <c r="L21" s="12" t="n">
        <v>40</v>
      </c>
      <c r="M21" s="12" t="n">
        <v>70</v>
      </c>
      <c r="N21" s="12" t="n">
        <v>20</v>
      </c>
      <c r="O21" s="12" t="n">
        <v>2</v>
      </c>
      <c r="P21" s="12" t="n">
        <v>20</v>
      </c>
      <c r="Q21" s="12" t="n">
        <v>62</v>
      </c>
      <c r="R21" s="12" t="n">
        <v>9</v>
      </c>
      <c r="S21" s="12" t="n">
        <v>63</v>
      </c>
      <c r="T21" s="12" t="n">
        <v>4</v>
      </c>
      <c r="U21" s="12" t="n">
        <v>2</v>
      </c>
      <c r="V21" s="12" t="n">
        <v>1</v>
      </c>
      <c r="W21" s="12" t="n">
        <v>0</v>
      </c>
      <c r="X21" s="13" t="n">
        <f aca="false">M21+N21+2*O21+3*P21</f>
        <v>154</v>
      </c>
      <c r="Y21" s="14" t="n">
        <f aca="false">IF(K21=0,0,M21/K21)</f>
        <v>0.228758169934641</v>
      </c>
      <c r="Z21" s="14" t="n">
        <f aca="false">IF(K21+R21+T21+U21=0,0,(M21+R21+T21)/(K21+R21+T21+U21))</f>
        <v>0.258566978193146</v>
      </c>
      <c r="AA21" s="14" t="n">
        <f aca="false">IF(K21=0,0,X21/K21)</f>
        <v>0.503267973856209</v>
      </c>
      <c r="AB21" s="14" t="n">
        <f aca="false">Z21+AA21</f>
        <v>0.761834952049356</v>
      </c>
      <c r="AC21" s="14" t="n">
        <f aca="false">AA21-Y21</f>
        <v>0.274509803921569</v>
      </c>
      <c r="AD21" s="14" t="n">
        <f aca="false">IF(K21-S21-P21+U21=0,0,(M21-P21)/(K21-S21-P21+U21))</f>
        <v>0.222222222222222</v>
      </c>
      <c r="AE21" s="15" t="n">
        <f aca="false">IF(J21=0,0,R21/J21)</f>
        <v>0.0280373831775701</v>
      </c>
      <c r="AF21" s="15" t="n">
        <f aca="false">IF(J21=0,0,S21/J21)</f>
        <v>0.196261682242991</v>
      </c>
      <c r="AG21" s="11" t="n">
        <f aca="false">IF(J21&gt;=INDEX(球季參數!$E$2:$E$4,MATCH($A21,球季參數!$A$2:$A$4,0)),1,0)</f>
        <v>0</v>
      </c>
    </row>
    <row r="22" customFormat="false" ht="15" hidden="false" customHeight="false" outlineLevel="0" collapsed="false">
      <c r="A22" s="5" t="n">
        <v>2024</v>
      </c>
      <c r="B22" s="7" t="s">
        <v>557</v>
      </c>
      <c r="C22" s="10" t="str">
        <f aca="false">INDEX(球員主檔!$B$2:$B$749,MATCH($B22,球員主檔!$A$2:$A$749,0))</f>
        <v>Vicente Ferreira</v>
      </c>
      <c r="D22" s="7" t="s">
        <v>350</v>
      </c>
      <c r="E22" s="10" t="str">
        <f aca="false">INDEX(球隊主檔!$C$2:$C$31,MATCH($D22,球隊主檔!$A$2:$A$31,0))</f>
        <v>紐約洋基</v>
      </c>
      <c r="F22" s="10" t="str">
        <f aca="false">INDEX(球隊主檔!$D$2:$D$31,MATCH($D22,球隊主檔!$A$2:$A$31,0))</f>
        <v>美聯</v>
      </c>
      <c r="G22" s="7" t="s">
        <v>522</v>
      </c>
      <c r="H22" s="11" t="n">
        <f aca="false">INT((DATE($A22,7,1)-INDEX(球員主檔!$G$2:$G$749,MATCH($B22,球員主檔!$A$2:$A$749,0)))/365.25)</f>
        <v>33</v>
      </c>
      <c r="I22" s="12" t="n">
        <v>74</v>
      </c>
      <c r="J22" s="12" t="n">
        <v>299</v>
      </c>
      <c r="K22" s="12" t="n">
        <v>271</v>
      </c>
      <c r="L22" s="12" t="n">
        <v>34</v>
      </c>
      <c r="M22" s="12" t="n">
        <v>70</v>
      </c>
      <c r="N22" s="12" t="n">
        <v>20</v>
      </c>
      <c r="O22" s="12" t="n">
        <v>2</v>
      </c>
      <c r="P22" s="12" t="n">
        <v>5</v>
      </c>
      <c r="Q22" s="12" t="n">
        <v>25</v>
      </c>
      <c r="R22" s="12" t="n">
        <v>22</v>
      </c>
      <c r="S22" s="12" t="n">
        <v>65</v>
      </c>
      <c r="T22" s="12" t="n">
        <v>4</v>
      </c>
      <c r="U22" s="12" t="n">
        <v>2</v>
      </c>
      <c r="V22" s="12" t="n">
        <v>10</v>
      </c>
      <c r="W22" s="12" t="n">
        <v>2</v>
      </c>
      <c r="X22" s="13" t="n">
        <f aca="false">M22+N22+2*O22+3*P22</f>
        <v>109</v>
      </c>
      <c r="Y22" s="14" t="n">
        <f aca="false">IF(K22=0,0,M22/K22)</f>
        <v>0.25830258302583</v>
      </c>
      <c r="Z22" s="14" t="n">
        <f aca="false">IF(K22+R22+T22+U22=0,0,(M22+R22+T22)/(K22+R22+T22+U22))</f>
        <v>0.321070234113712</v>
      </c>
      <c r="AA22" s="14" t="n">
        <f aca="false">IF(K22=0,0,X22/K22)</f>
        <v>0.402214022140221</v>
      </c>
      <c r="AB22" s="14" t="n">
        <f aca="false">Z22+AA22</f>
        <v>0.723284256253934</v>
      </c>
      <c r="AC22" s="14" t="n">
        <f aca="false">AA22-Y22</f>
        <v>0.143911439114391</v>
      </c>
      <c r="AD22" s="14" t="n">
        <f aca="false">IF(K22-S22-P22+U22=0,0,(M22-P22)/(K22-S22-P22+U22))</f>
        <v>0.320197044334975</v>
      </c>
      <c r="AE22" s="15" t="n">
        <f aca="false">IF(J22=0,0,R22/J22)</f>
        <v>0.0735785953177258</v>
      </c>
      <c r="AF22" s="15" t="n">
        <f aca="false">IF(J22=0,0,S22/J22)</f>
        <v>0.217391304347826</v>
      </c>
      <c r="AG22" s="11" t="n">
        <f aca="false">IF(J22&gt;=INDEX(球季參數!$E$2:$E$4,MATCH($A22,球季參數!$A$2:$A$4,0)),1,0)</f>
        <v>0</v>
      </c>
    </row>
    <row r="23" customFormat="false" ht="15" hidden="false" customHeight="false" outlineLevel="0" collapsed="false">
      <c r="A23" s="5" t="n">
        <v>2024</v>
      </c>
      <c r="B23" s="7" t="s">
        <v>559</v>
      </c>
      <c r="C23" s="10" t="str">
        <f aca="false">INDEX(球員主檔!$B$2:$B$749,MATCH($B23,球員主檔!$A$2:$A$749,0))</f>
        <v>Hugo Mbeki</v>
      </c>
      <c r="D23" s="7" t="s">
        <v>350</v>
      </c>
      <c r="E23" s="10" t="str">
        <f aca="false">INDEX(球隊主檔!$C$2:$C$31,MATCH($D23,球隊主檔!$A$2:$A$31,0))</f>
        <v>紐約洋基</v>
      </c>
      <c r="F23" s="10" t="str">
        <f aca="false">INDEX(球隊主檔!$D$2:$D$31,MATCH($D23,球隊主檔!$A$2:$A$31,0))</f>
        <v>美聯</v>
      </c>
      <c r="G23" s="7" t="s">
        <v>63</v>
      </c>
      <c r="H23" s="11" t="n">
        <f aca="false">INT((DATE($A23,7,1)-INDEX(球員主檔!$G$2:$G$749,MATCH($B23,球員主檔!$A$2:$A$749,0)))/365.25)</f>
        <v>24</v>
      </c>
      <c r="I23" s="12" t="n">
        <v>162</v>
      </c>
      <c r="J23" s="12" t="n">
        <v>668</v>
      </c>
      <c r="K23" s="12" t="n">
        <v>612</v>
      </c>
      <c r="L23" s="12" t="n">
        <v>108</v>
      </c>
      <c r="M23" s="12" t="n">
        <v>175</v>
      </c>
      <c r="N23" s="12" t="n">
        <v>23</v>
      </c>
      <c r="O23" s="12" t="n">
        <v>10</v>
      </c>
      <c r="P23" s="12" t="n">
        <v>39</v>
      </c>
      <c r="Q23" s="12" t="n">
        <v>120</v>
      </c>
      <c r="R23" s="12" t="n">
        <v>49</v>
      </c>
      <c r="S23" s="12" t="n">
        <v>202</v>
      </c>
      <c r="T23" s="12" t="n">
        <v>5</v>
      </c>
      <c r="U23" s="12" t="n">
        <v>2</v>
      </c>
      <c r="V23" s="12" t="n">
        <v>16</v>
      </c>
      <c r="W23" s="12" t="n">
        <v>2</v>
      </c>
      <c r="X23" s="13" t="n">
        <f aca="false">M23+N23+2*O23+3*P23</f>
        <v>335</v>
      </c>
      <c r="Y23" s="14" t="n">
        <f aca="false">IF(K23=0,0,M23/K23)</f>
        <v>0.285947712418301</v>
      </c>
      <c r="Z23" s="14" t="n">
        <f aca="false">IF(K23+R23+T23+U23=0,0,(M23+R23+T23)/(K23+R23+T23+U23))</f>
        <v>0.342814371257485</v>
      </c>
      <c r="AA23" s="14" t="n">
        <f aca="false">IF(K23=0,0,X23/K23)</f>
        <v>0.547385620915033</v>
      </c>
      <c r="AB23" s="14" t="n">
        <f aca="false">Z23+AA23</f>
        <v>0.890199992172518</v>
      </c>
      <c r="AC23" s="14" t="n">
        <f aca="false">AA23-Y23</f>
        <v>0.261437908496732</v>
      </c>
      <c r="AD23" s="14" t="n">
        <f aca="false">IF(K23-S23-P23+U23=0,0,(M23-P23)/(K23-S23-P23+U23))</f>
        <v>0.364611260053619</v>
      </c>
      <c r="AE23" s="15" t="n">
        <f aca="false">IF(J23=0,0,R23/J23)</f>
        <v>0.0733532934131737</v>
      </c>
      <c r="AF23" s="15" t="n">
        <f aca="false">IF(J23=0,0,S23/J23)</f>
        <v>0.302395209580838</v>
      </c>
      <c r="AG23" s="11" t="n">
        <f aca="false">IF(J23&gt;=INDEX(球季參數!$E$2:$E$4,MATCH($A23,球季參數!$A$2:$A$4,0)),1,0)</f>
        <v>1</v>
      </c>
    </row>
    <row r="24" customFormat="false" ht="15" hidden="false" customHeight="false" outlineLevel="0" collapsed="false">
      <c r="A24" s="5" t="n">
        <v>2024</v>
      </c>
      <c r="B24" s="7" t="s">
        <v>561</v>
      </c>
      <c r="C24" s="10" t="str">
        <f aca="false">INDEX(球員主檔!$B$2:$B$749,MATCH($B24,球員主檔!$A$2:$A$749,0))</f>
        <v>Rowan Novotný</v>
      </c>
      <c r="D24" s="7" t="s">
        <v>350</v>
      </c>
      <c r="E24" s="10" t="str">
        <f aca="false">INDEX(球隊主檔!$C$2:$C$31,MATCH($D24,球隊主檔!$A$2:$A$31,0))</f>
        <v>紐約洋基</v>
      </c>
      <c r="F24" s="10" t="str">
        <f aca="false">INDEX(球隊主檔!$D$2:$D$31,MATCH($D24,球隊主檔!$A$2:$A$31,0))</f>
        <v>美聯</v>
      </c>
      <c r="G24" s="7" t="s">
        <v>483</v>
      </c>
      <c r="H24" s="11" t="n">
        <f aca="false">INT((DATE($A24,7,1)-INDEX(球員主檔!$G$2:$G$749,MATCH($B24,球員主檔!$A$2:$A$749,0)))/365.25)</f>
        <v>24</v>
      </c>
      <c r="I24" s="12" t="n">
        <v>162</v>
      </c>
      <c r="J24" s="12" t="n">
        <v>677</v>
      </c>
      <c r="K24" s="12" t="n">
        <v>626</v>
      </c>
      <c r="L24" s="12" t="n">
        <v>69</v>
      </c>
      <c r="M24" s="12" t="n">
        <v>157</v>
      </c>
      <c r="N24" s="12" t="n">
        <v>28</v>
      </c>
      <c r="O24" s="12" t="n">
        <v>4</v>
      </c>
      <c r="P24" s="12" t="n">
        <v>16</v>
      </c>
      <c r="Q24" s="12" t="n">
        <v>77</v>
      </c>
      <c r="R24" s="12" t="n">
        <v>35</v>
      </c>
      <c r="S24" s="12" t="n">
        <v>139</v>
      </c>
      <c r="T24" s="12" t="n">
        <v>8</v>
      </c>
      <c r="U24" s="12" t="n">
        <v>8</v>
      </c>
      <c r="V24" s="12" t="n">
        <v>8</v>
      </c>
      <c r="W24" s="12" t="n">
        <v>1</v>
      </c>
      <c r="X24" s="13" t="n">
        <f aca="false">M24+N24+2*O24+3*P24</f>
        <v>241</v>
      </c>
      <c r="Y24" s="14" t="n">
        <f aca="false">IF(K24=0,0,M24/K24)</f>
        <v>0.250798722044728</v>
      </c>
      <c r="Z24" s="14" t="n">
        <f aca="false">IF(K24+R24+T24+U24=0,0,(M24+R24+T24)/(K24+R24+T24+U24))</f>
        <v>0.295420974889217</v>
      </c>
      <c r="AA24" s="14" t="n">
        <f aca="false">IF(K24=0,0,X24/K24)</f>
        <v>0.384984025559105</v>
      </c>
      <c r="AB24" s="14" t="n">
        <f aca="false">Z24+AA24</f>
        <v>0.680405000448323</v>
      </c>
      <c r="AC24" s="14" t="n">
        <f aca="false">AA24-Y24</f>
        <v>0.134185303514377</v>
      </c>
      <c r="AD24" s="14" t="n">
        <f aca="false">IF(K24-S24-P24+U24=0,0,(M24-P24)/(K24-S24-P24+U24))</f>
        <v>0.294363256784969</v>
      </c>
      <c r="AE24" s="15" t="n">
        <f aca="false">IF(J24=0,0,R24/J24)</f>
        <v>0.051698670605613</v>
      </c>
      <c r="AF24" s="15" t="n">
        <f aca="false">IF(J24=0,0,S24/J24)</f>
        <v>0.205317577548006</v>
      </c>
      <c r="AG24" s="11" t="n">
        <f aca="false">IF(J24&gt;=INDEX(球季參數!$E$2:$E$4,MATCH($A24,球季參數!$A$2:$A$4,0)),1,0)</f>
        <v>1</v>
      </c>
    </row>
    <row r="25" customFormat="false" ht="15" hidden="false" customHeight="false" outlineLevel="0" collapsed="false">
      <c r="A25" s="5" t="n">
        <v>2024</v>
      </c>
      <c r="B25" s="7" t="s">
        <v>563</v>
      </c>
      <c r="C25" s="10" t="str">
        <f aca="false">INDEX(球員主檔!$B$2:$B$749,MATCH($B25,球員主檔!$A$2:$A$749,0))</f>
        <v>Percival Larrabee</v>
      </c>
      <c r="D25" s="7" t="s">
        <v>350</v>
      </c>
      <c r="E25" s="10" t="str">
        <f aca="false">INDEX(球隊主檔!$C$2:$C$31,MATCH($D25,球隊主檔!$A$2:$A$31,0))</f>
        <v>紐約洋基</v>
      </c>
      <c r="F25" s="10" t="str">
        <f aca="false">INDEX(球隊主檔!$D$2:$D$31,MATCH($D25,球隊主檔!$A$2:$A$31,0))</f>
        <v>美聯</v>
      </c>
      <c r="G25" s="7" t="s">
        <v>158</v>
      </c>
      <c r="H25" s="11" t="n">
        <f aca="false">INT((DATE($A25,7,1)-INDEX(球員主檔!$G$2:$G$749,MATCH($B25,球員主檔!$A$2:$A$749,0)))/365.25)</f>
        <v>31</v>
      </c>
      <c r="I25" s="12" t="n">
        <v>100</v>
      </c>
      <c r="J25" s="12" t="n">
        <v>428</v>
      </c>
      <c r="K25" s="12" t="n">
        <v>388</v>
      </c>
      <c r="L25" s="12" t="n">
        <v>47</v>
      </c>
      <c r="M25" s="12" t="n">
        <v>89</v>
      </c>
      <c r="N25" s="12" t="n">
        <v>37</v>
      </c>
      <c r="O25" s="12" t="n">
        <v>5</v>
      </c>
      <c r="P25" s="12" t="n">
        <v>12</v>
      </c>
      <c r="Q25" s="12" t="n">
        <v>51</v>
      </c>
      <c r="R25" s="12" t="n">
        <v>30</v>
      </c>
      <c r="S25" s="12" t="n">
        <v>96</v>
      </c>
      <c r="T25" s="12" t="n">
        <v>6</v>
      </c>
      <c r="U25" s="12" t="n">
        <v>4</v>
      </c>
      <c r="V25" s="12" t="n">
        <v>3</v>
      </c>
      <c r="W25" s="12" t="n">
        <v>1</v>
      </c>
      <c r="X25" s="13" t="n">
        <f aca="false">M25+N25+2*O25+3*P25</f>
        <v>172</v>
      </c>
      <c r="Y25" s="14" t="n">
        <f aca="false">IF(K25=0,0,M25/K25)</f>
        <v>0.229381443298969</v>
      </c>
      <c r="Z25" s="14" t="n">
        <f aca="false">IF(K25+R25+T25+U25=0,0,(M25+R25+T25)/(K25+R25+T25+U25))</f>
        <v>0.292056074766355</v>
      </c>
      <c r="AA25" s="14" t="n">
        <f aca="false">IF(K25=0,0,X25/K25)</f>
        <v>0.443298969072165</v>
      </c>
      <c r="AB25" s="14" t="n">
        <f aca="false">Z25+AA25</f>
        <v>0.73535504383852</v>
      </c>
      <c r="AC25" s="14" t="n">
        <f aca="false">AA25-Y25</f>
        <v>0.213917525773196</v>
      </c>
      <c r="AD25" s="14" t="n">
        <f aca="false">IF(K25-S25-P25+U25=0,0,(M25-P25)/(K25-S25-P25+U25))</f>
        <v>0.27112676056338</v>
      </c>
      <c r="AE25" s="15" t="n">
        <f aca="false">IF(J25=0,0,R25/J25)</f>
        <v>0.0700934579439252</v>
      </c>
      <c r="AF25" s="15" t="n">
        <f aca="false">IF(J25=0,0,S25/J25)</f>
        <v>0.224299065420561</v>
      </c>
      <c r="AG25" s="11" t="n">
        <f aca="false">IF(J25&gt;=INDEX(球季參數!$E$2:$E$4,MATCH($A25,球季參數!$A$2:$A$4,0)),1,0)</f>
        <v>0</v>
      </c>
    </row>
    <row r="26" customFormat="false" ht="15" hidden="false" customHeight="false" outlineLevel="0" collapsed="false">
      <c r="A26" s="5" t="n">
        <v>2024</v>
      </c>
      <c r="B26" s="7" t="s">
        <v>565</v>
      </c>
      <c r="C26" s="10" t="str">
        <f aca="false">INDEX(球員主檔!$B$2:$B$749,MATCH($B26,球員主檔!$A$2:$A$749,0))</f>
        <v>Porter Blackwood</v>
      </c>
      <c r="D26" s="7" t="s">
        <v>350</v>
      </c>
      <c r="E26" s="10" t="str">
        <f aca="false">INDEX(球隊主檔!$C$2:$C$31,MATCH($D26,球隊主檔!$A$2:$A$31,0))</f>
        <v>紐約洋基</v>
      </c>
      <c r="F26" s="10" t="str">
        <f aca="false">INDEX(球隊主檔!$D$2:$D$31,MATCH($D26,球隊主檔!$A$2:$A$31,0))</f>
        <v>美聯</v>
      </c>
      <c r="G26" s="7" t="s">
        <v>473</v>
      </c>
      <c r="H26" s="11" t="n">
        <f aca="false">INT((DATE($A26,7,1)-INDEX(球員主檔!$G$2:$G$749,MATCH($B26,球員主檔!$A$2:$A$749,0)))/365.25)</f>
        <v>29</v>
      </c>
      <c r="I26" s="12" t="n">
        <v>155</v>
      </c>
      <c r="J26" s="12" t="n">
        <v>690</v>
      </c>
      <c r="K26" s="12" t="n">
        <v>625</v>
      </c>
      <c r="L26" s="12" t="n">
        <v>112</v>
      </c>
      <c r="M26" s="12" t="n">
        <v>182</v>
      </c>
      <c r="N26" s="12" t="n">
        <v>42</v>
      </c>
      <c r="O26" s="12" t="n">
        <v>1</v>
      </c>
      <c r="P26" s="12" t="n">
        <v>41</v>
      </c>
      <c r="Q26" s="12" t="n">
        <v>135</v>
      </c>
      <c r="R26" s="12" t="n">
        <v>53</v>
      </c>
      <c r="S26" s="12" t="n">
        <v>183</v>
      </c>
      <c r="T26" s="12" t="n">
        <v>7</v>
      </c>
      <c r="U26" s="12" t="n">
        <v>5</v>
      </c>
      <c r="V26" s="12" t="n">
        <v>1</v>
      </c>
      <c r="W26" s="12" t="n">
        <v>0</v>
      </c>
      <c r="X26" s="13" t="n">
        <f aca="false">M26+N26+2*O26+3*P26</f>
        <v>349</v>
      </c>
      <c r="Y26" s="14" t="n">
        <f aca="false">IF(K26=0,0,M26/K26)</f>
        <v>0.2912</v>
      </c>
      <c r="Z26" s="14" t="n">
        <f aca="false">IF(K26+R26+T26+U26=0,0,(M26+R26+T26)/(K26+R26+T26+U26))</f>
        <v>0.350724637681159</v>
      </c>
      <c r="AA26" s="14" t="n">
        <f aca="false">IF(K26=0,0,X26/K26)</f>
        <v>0.5584</v>
      </c>
      <c r="AB26" s="14" t="n">
        <f aca="false">Z26+AA26</f>
        <v>0.90912463768116</v>
      </c>
      <c r="AC26" s="14" t="n">
        <f aca="false">AA26-Y26</f>
        <v>0.2672</v>
      </c>
      <c r="AD26" s="14" t="n">
        <f aca="false">IF(K26-S26-P26+U26=0,0,(M26-P26)/(K26-S26-P26+U26))</f>
        <v>0.347290640394089</v>
      </c>
      <c r="AE26" s="15" t="n">
        <f aca="false">IF(J26=0,0,R26/J26)</f>
        <v>0.0768115942028986</v>
      </c>
      <c r="AF26" s="15" t="n">
        <f aca="false">IF(J26=0,0,S26/J26)</f>
        <v>0.265217391304348</v>
      </c>
      <c r="AG26" s="11" t="n">
        <f aca="false">IF(J26&gt;=INDEX(球季參數!$E$2:$E$4,MATCH($A26,球季參數!$A$2:$A$4,0)),1,0)</f>
        <v>1</v>
      </c>
    </row>
    <row r="27" customFormat="false" ht="15" hidden="false" customHeight="false" outlineLevel="0" collapsed="false">
      <c r="A27" s="5" t="n">
        <v>2024</v>
      </c>
      <c r="B27" s="7" t="s">
        <v>567</v>
      </c>
      <c r="C27" s="10" t="str">
        <f aca="false">INDEX(球員主檔!$B$2:$B$749,MATCH($B27,球員主檔!$A$2:$A$749,0))</f>
        <v>Tristan Blackwood</v>
      </c>
      <c r="D27" s="7" t="s">
        <v>350</v>
      </c>
      <c r="E27" s="10" t="str">
        <f aca="false">INDEX(球隊主檔!$C$2:$C$31,MATCH($D27,球隊主檔!$A$2:$A$31,0))</f>
        <v>紐約洋基</v>
      </c>
      <c r="F27" s="10" t="str">
        <f aca="false">INDEX(球隊主檔!$D$2:$D$31,MATCH($D27,球隊主檔!$A$2:$A$31,0))</f>
        <v>美聯</v>
      </c>
      <c r="G27" s="7" t="s">
        <v>162</v>
      </c>
      <c r="H27" s="11" t="n">
        <f aca="false">INT((DATE($A27,7,1)-INDEX(球員主檔!$G$2:$G$749,MATCH($B27,球員主檔!$A$2:$A$749,0)))/365.25)</f>
        <v>25</v>
      </c>
      <c r="I27" s="12" t="n">
        <v>97</v>
      </c>
      <c r="J27" s="12" t="n">
        <v>396</v>
      </c>
      <c r="K27" s="12" t="n">
        <v>371</v>
      </c>
      <c r="L27" s="12" t="n">
        <v>42</v>
      </c>
      <c r="M27" s="12" t="n">
        <v>98</v>
      </c>
      <c r="N27" s="12" t="n">
        <v>24</v>
      </c>
      <c r="O27" s="12" t="n">
        <v>4</v>
      </c>
      <c r="P27" s="12" t="n">
        <v>14</v>
      </c>
      <c r="Q27" s="12" t="n">
        <v>53</v>
      </c>
      <c r="R27" s="12" t="n">
        <v>18</v>
      </c>
      <c r="S27" s="12" t="n">
        <v>112</v>
      </c>
      <c r="T27" s="12" t="n">
        <v>4</v>
      </c>
      <c r="U27" s="12" t="n">
        <v>3</v>
      </c>
      <c r="V27" s="12" t="n">
        <v>7</v>
      </c>
      <c r="W27" s="12" t="n">
        <v>1</v>
      </c>
      <c r="X27" s="13" t="n">
        <f aca="false">M27+N27+2*O27+3*P27</f>
        <v>172</v>
      </c>
      <c r="Y27" s="14" t="n">
        <f aca="false">IF(K27=0,0,M27/K27)</f>
        <v>0.264150943396226</v>
      </c>
      <c r="Z27" s="14" t="n">
        <f aca="false">IF(K27+R27+T27+U27=0,0,(M27+R27+T27)/(K27+R27+T27+U27))</f>
        <v>0.303030303030303</v>
      </c>
      <c r="AA27" s="14" t="n">
        <f aca="false">IF(K27=0,0,X27/K27)</f>
        <v>0.463611859838275</v>
      </c>
      <c r="AB27" s="14" t="n">
        <f aca="false">Z27+AA27</f>
        <v>0.766642162868578</v>
      </c>
      <c r="AC27" s="14" t="n">
        <f aca="false">AA27-Y27</f>
        <v>0.199460916442049</v>
      </c>
      <c r="AD27" s="14" t="n">
        <f aca="false">IF(K27-S27-P27+U27=0,0,(M27-P27)/(K27-S27-P27+U27))</f>
        <v>0.338709677419355</v>
      </c>
      <c r="AE27" s="15" t="n">
        <f aca="false">IF(J27=0,0,R27/J27)</f>
        <v>0.0454545454545455</v>
      </c>
      <c r="AF27" s="15" t="n">
        <f aca="false">IF(J27=0,0,S27/J27)</f>
        <v>0.282828282828283</v>
      </c>
      <c r="AG27" s="11" t="n">
        <f aca="false">IF(J27&gt;=INDEX(球季參數!$E$2:$E$4,MATCH($A27,球季參數!$A$2:$A$4,0)),1,0)</f>
        <v>0</v>
      </c>
    </row>
    <row r="28" customFormat="false" ht="15" hidden="false" customHeight="false" outlineLevel="0" collapsed="false">
      <c r="A28" s="5" t="n">
        <v>2024</v>
      </c>
      <c r="B28" s="7" t="s">
        <v>569</v>
      </c>
      <c r="C28" s="10" t="str">
        <f aca="false">INDEX(球員主檔!$B$2:$B$749,MATCH($B28,球員主檔!$A$2:$A$749,0))</f>
        <v>Holden Delacroix</v>
      </c>
      <c r="D28" s="7" t="s">
        <v>350</v>
      </c>
      <c r="E28" s="10" t="str">
        <f aca="false">INDEX(球隊主檔!$C$2:$C$31,MATCH($D28,球隊主檔!$A$2:$A$31,0))</f>
        <v>紐約洋基</v>
      </c>
      <c r="F28" s="10" t="str">
        <f aca="false">INDEX(球隊主檔!$D$2:$D$31,MATCH($D28,球隊主檔!$A$2:$A$31,0))</f>
        <v>美聯</v>
      </c>
      <c r="G28" s="7" t="s">
        <v>473</v>
      </c>
      <c r="H28" s="11" t="n">
        <f aca="false">INT((DATE($A28,7,1)-INDEX(球員主檔!$G$2:$G$749,MATCH($B28,球員主檔!$A$2:$A$749,0)))/365.25)</f>
        <v>26</v>
      </c>
      <c r="I28" s="12" t="n">
        <v>138</v>
      </c>
      <c r="J28" s="12" t="n">
        <v>548</v>
      </c>
      <c r="K28" s="12" t="n">
        <v>464</v>
      </c>
      <c r="L28" s="12" t="n">
        <v>73</v>
      </c>
      <c r="M28" s="12" t="n">
        <v>108</v>
      </c>
      <c r="N28" s="12" t="n">
        <v>5</v>
      </c>
      <c r="O28" s="12" t="n">
        <v>2</v>
      </c>
      <c r="P28" s="12" t="n">
        <v>26</v>
      </c>
      <c r="Q28" s="12" t="n">
        <v>86</v>
      </c>
      <c r="R28" s="12" t="n">
        <v>81</v>
      </c>
      <c r="S28" s="12" t="n">
        <v>161</v>
      </c>
      <c r="T28" s="12" t="n">
        <v>2</v>
      </c>
      <c r="U28" s="12" t="n">
        <v>1</v>
      </c>
      <c r="V28" s="12" t="n">
        <v>8</v>
      </c>
      <c r="W28" s="12" t="n">
        <v>2</v>
      </c>
      <c r="X28" s="13" t="n">
        <f aca="false">M28+N28+2*O28+3*P28</f>
        <v>195</v>
      </c>
      <c r="Y28" s="14" t="n">
        <f aca="false">IF(K28=0,0,M28/K28)</f>
        <v>0.232758620689655</v>
      </c>
      <c r="Z28" s="14" t="n">
        <f aca="false">IF(K28+R28+T28+U28=0,0,(M28+R28+T28)/(K28+R28+T28+U28))</f>
        <v>0.348540145985401</v>
      </c>
      <c r="AA28" s="14" t="n">
        <f aca="false">IF(K28=0,0,X28/K28)</f>
        <v>0.420258620689655</v>
      </c>
      <c r="AB28" s="14" t="n">
        <f aca="false">Z28+AA28</f>
        <v>0.768798766675057</v>
      </c>
      <c r="AC28" s="14" t="n">
        <f aca="false">AA28-Y28</f>
        <v>0.1875</v>
      </c>
      <c r="AD28" s="14" t="n">
        <f aca="false">IF(K28-S28-P28+U28=0,0,(M28-P28)/(K28-S28-P28+U28))</f>
        <v>0.294964028776978</v>
      </c>
      <c r="AE28" s="15" t="n">
        <f aca="false">IF(J28=0,0,R28/J28)</f>
        <v>0.147810218978102</v>
      </c>
      <c r="AF28" s="15" t="n">
        <f aca="false">IF(J28=0,0,S28/J28)</f>
        <v>0.293795620437956</v>
      </c>
      <c r="AG28" s="11" t="n">
        <f aca="false">IF(J28&gt;=INDEX(球季參數!$E$2:$E$4,MATCH($A28,球季參數!$A$2:$A$4,0)),1,0)</f>
        <v>1</v>
      </c>
    </row>
    <row r="29" customFormat="false" ht="15" hidden="false" customHeight="false" outlineLevel="0" collapsed="false">
      <c r="A29" s="5" t="n">
        <v>2024</v>
      </c>
      <c r="B29" s="7" t="s">
        <v>571</v>
      </c>
      <c r="C29" s="10" t="str">
        <f aca="false">INDEX(球員主檔!$B$2:$B$749,MATCH($B29,球員主檔!$A$2:$A$749,0))</f>
        <v>Thiago Nordstrom</v>
      </c>
      <c r="D29" s="7" t="s">
        <v>350</v>
      </c>
      <c r="E29" s="10" t="str">
        <f aca="false">INDEX(球隊主檔!$C$2:$C$31,MATCH($D29,球隊主檔!$A$2:$A$31,0))</f>
        <v>紐約洋基</v>
      </c>
      <c r="F29" s="10" t="str">
        <f aca="false">INDEX(球隊主檔!$D$2:$D$31,MATCH($D29,球隊主檔!$A$2:$A$31,0))</f>
        <v>美聯</v>
      </c>
      <c r="G29" s="7" t="s">
        <v>473</v>
      </c>
      <c r="H29" s="11" t="n">
        <f aca="false">INT((DATE($A29,7,1)-INDEX(球員主檔!$G$2:$G$749,MATCH($B29,球員主檔!$A$2:$A$749,0)))/365.25)</f>
        <v>29</v>
      </c>
      <c r="I29" s="12" t="n">
        <v>108</v>
      </c>
      <c r="J29" s="12" t="n">
        <v>475</v>
      </c>
      <c r="K29" s="12" t="n">
        <v>431</v>
      </c>
      <c r="L29" s="12" t="n">
        <v>50</v>
      </c>
      <c r="M29" s="12" t="n">
        <v>107</v>
      </c>
      <c r="N29" s="12" t="n">
        <v>15</v>
      </c>
      <c r="O29" s="12" t="n">
        <v>4</v>
      </c>
      <c r="P29" s="12" t="n">
        <v>14</v>
      </c>
      <c r="Q29" s="12" t="n">
        <v>50</v>
      </c>
      <c r="R29" s="12" t="n">
        <v>39</v>
      </c>
      <c r="S29" s="12" t="n">
        <v>108</v>
      </c>
      <c r="T29" s="12" t="n">
        <v>4</v>
      </c>
      <c r="U29" s="12" t="n">
        <v>1</v>
      </c>
      <c r="V29" s="12" t="n">
        <v>6</v>
      </c>
      <c r="W29" s="12" t="n">
        <v>1</v>
      </c>
      <c r="X29" s="13" t="n">
        <f aca="false">M29+N29+2*O29+3*P29</f>
        <v>172</v>
      </c>
      <c r="Y29" s="14" t="n">
        <f aca="false">IF(K29=0,0,M29/K29)</f>
        <v>0.248259860788863</v>
      </c>
      <c r="Z29" s="14" t="n">
        <f aca="false">IF(K29+R29+T29+U29=0,0,(M29+R29+T29)/(K29+R29+T29+U29))</f>
        <v>0.315789473684211</v>
      </c>
      <c r="AA29" s="14" t="n">
        <f aca="false">IF(K29=0,0,X29/K29)</f>
        <v>0.39907192575406</v>
      </c>
      <c r="AB29" s="14" t="n">
        <f aca="false">Z29+AA29</f>
        <v>0.714861399438271</v>
      </c>
      <c r="AC29" s="14" t="n">
        <f aca="false">AA29-Y29</f>
        <v>0.150812064965197</v>
      </c>
      <c r="AD29" s="14" t="n">
        <f aca="false">IF(K29-S29-P29+U29=0,0,(M29-P29)/(K29-S29-P29+U29))</f>
        <v>0.3</v>
      </c>
      <c r="AE29" s="15" t="n">
        <f aca="false">IF(J29=0,0,R29/J29)</f>
        <v>0.0821052631578947</v>
      </c>
      <c r="AF29" s="15" t="n">
        <f aca="false">IF(J29=0,0,S29/J29)</f>
        <v>0.227368421052632</v>
      </c>
      <c r="AG29" s="11" t="n">
        <f aca="false">IF(J29&gt;=INDEX(球季參數!$E$2:$E$4,MATCH($A29,球季參數!$A$2:$A$4,0)),1,0)</f>
        <v>0</v>
      </c>
    </row>
    <row r="30" customFormat="false" ht="15" hidden="false" customHeight="false" outlineLevel="0" collapsed="false">
      <c r="A30" s="5" t="n">
        <v>2024</v>
      </c>
      <c r="B30" s="7" t="s">
        <v>573</v>
      </c>
      <c r="C30" s="10" t="str">
        <f aca="false">INDEX(球員主檔!$B$2:$B$749,MATCH($B30,球員主檔!$A$2:$A$749,0))</f>
        <v>Dorian Blackwood</v>
      </c>
      <c r="D30" s="7" t="s">
        <v>350</v>
      </c>
      <c r="E30" s="10" t="str">
        <f aca="false">INDEX(球隊主檔!$C$2:$C$31,MATCH($D30,球隊主檔!$A$2:$A$31,0))</f>
        <v>紐約洋基</v>
      </c>
      <c r="F30" s="10" t="str">
        <f aca="false">INDEX(球隊主檔!$D$2:$D$31,MATCH($D30,球隊主檔!$A$2:$A$31,0))</f>
        <v>美聯</v>
      </c>
      <c r="G30" s="7" t="s">
        <v>473</v>
      </c>
      <c r="H30" s="11" t="n">
        <f aca="false">INT((DATE($A30,7,1)-INDEX(球員主檔!$G$2:$G$749,MATCH($B30,球員主檔!$A$2:$A$749,0)))/365.25)</f>
        <v>25</v>
      </c>
      <c r="I30" s="12" t="n">
        <v>44</v>
      </c>
      <c r="J30" s="12" t="n">
        <v>196</v>
      </c>
      <c r="K30" s="12" t="n">
        <v>175</v>
      </c>
      <c r="L30" s="12" t="n">
        <v>23</v>
      </c>
      <c r="M30" s="12" t="n">
        <v>54</v>
      </c>
      <c r="N30" s="12" t="n">
        <v>20</v>
      </c>
      <c r="O30" s="12" t="n">
        <v>4</v>
      </c>
      <c r="P30" s="12" t="n">
        <v>7</v>
      </c>
      <c r="Q30" s="12" t="n">
        <v>26</v>
      </c>
      <c r="R30" s="12" t="n">
        <v>17</v>
      </c>
      <c r="S30" s="12" t="n">
        <v>28</v>
      </c>
      <c r="T30" s="12" t="n">
        <v>3</v>
      </c>
      <c r="U30" s="12" t="n">
        <v>1</v>
      </c>
      <c r="V30" s="12" t="n">
        <v>3</v>
      </c>
      <c r="W30" s="12" t="n">
        <v>1</v>
      </c>
      <c r="X30" s="13" t="n">
        <f aca="false">M30+N30+2*O30+3*P30</f>
        <v>103</v>
      </c>
      <c r="Y30" s="14" t="n">
        <f aca="false">IF(K30=0,0,M30/K30)</f>
        <v>0.308571428571429</v>
      </c>
      <c r="Z30" s="14" t="n">
        <f aca="false">IF(K30+R30+T30+U30=0,0,(M30+R30+T30)/(K30+R30+T30+U30))</f>
        <v>0.377551020408163</v>
      </c>
      <c r="AA30" s="14" t="n">
        <f aca="false">IF(K30=0,0,X30/K30)</f>
        <v>0.588571428571429</v>
      </c>
      <c r="AB30" s="14" t="n">
        <f aca="false">Z30+AA30</f>
        <v>0.966122448979592</v>
      </c>
      <c r="AC30" s="14" t="n">
        <f aca="false">AA30-Y30</f>
        <v>0.28</v>
      </c>
      <c r="AD30" s="14" t="n">
        <f aca="false">IF(K30-S30-P30+U30=0,0,(M30-P30)/(K30-S30-P30+U30))</f>
        <v>0.333333333333333</v>
      </c>
      <c r="AE30" s="15" t="n">
        <f aca="false">IF(J30=0,0,R30/J30)</f>
        <v>0.086734693877551</v>
      </c>
      <c r="AF30" s="15" t="n">
        <f aca="false">IF(J30=0,0,S30/J30)</f>
        <v>0.142857142857143</v>
      </c>
      <c r="AG30" s="11" t="n">
        <f aca="false">IF(J30&gt;=INDEX(球季參數!$E$2:$E$4,MATCH($A30,球季參數!$A$2:$A$4,0)),1,0)</f>
        <v>0</v>
      </c>
    </row>
    <row r="31" customFormat="false" ht="15" hidden="false" customHeight="false" outlineLevel="0" collapsed="false">
      <c r="A31" s="5" t="n">
        <v>2024</v>
      </c>
      <c r="B31" s="7" t="s">
        <v>575</v>
      </c>
      <c r="C31" s="10" t="str">
        <f aca="false">INDEX(球員主檔!$B$2:$B$749,MATCH($B31,球員主檔!$A$2:$A$749,0))</f>
        <v>Dashiell Nakagawa</v>
      </c>
      <c r="D31" s="7" t="s">
        <v>350</v>
      </c>
      <c r="E31" s="10" t="str">
        <f aca="false">INDEX(球隊主檔!$C$2:$C$31,MATCH($D31,球隊主檔!$A$2:$A$31,0))</f>
        <v>紐約洋基</v>
      </c>
      <c r="F31" s="10" t="str">
        <f aca="false">INDEX(球隊主檔!$D$2:$D$31,MATCH($D31,球隊主檔!$A$2:$A$31,0))</f>
        <v>美聯</v>
      </c>
      <c r="G31" s="7" t="s">
        <v>478</v>
      </c>
      <c r="H31" s="11" t="n">
        <f aca="false">INT((DATE($A31,7,1)-INDEX(球員主檔!$G$2:$G$749,MATCH($B31,球員主檔!$A$2:$A$749,0)))/365.25)</f>
        <v>30</v>
      </c>
      <c r="I31" s="12" t="n">
        <v>46</v>
      </c>
      <c r="J31" s="12" t="n">
        <v>197</v>
      </c>
      <c r="K31" s="12" t="n">
        <v>169</v>
      </c>
      <c r="L31" s="12" t="n">
        <v>29</v>
      </c>
      <c r="M31" s="12" t="n">
        <v>46</v>
      </c>
      <c r="N31" s="12" t="n">
        <v>12</v>
      </c>
      <c r="O31" s="12" t="n">
        <v>1</v>
      </c>
      <c r="P31" s="12" t="n">
        <v>11</v>
      </c>
      <c r="Q31" s="12" t="n">
        <v>38</v>
      </c>
      <c r="R31" s="12" t="n">
        <v>23</v>
      </c>
      <c r="S31" s="12" t="n">
        <v>37</v>
      </c>
      <c r="T31" s="12" t="n">
        <v>3</v>
      </c>
      <c r="U31" s="12" t="n">
        <v>2</v>
      </c>
      <c r="V31" s="12" t="n">
        <v>5</v>
      </c>
      <c r="W31" s="12" t="n">
        <v>2</v>
      </c>
      <c r="X31" s="13" t="n">
        <f aca="false">M31+N31+2*O31+3*P31</f>
        <v>93</v>
      </c>
      <c r="Y31" s="14" t="n">
        <f aca="false">IF(K31=0,0,M31/K31)</f>
        <v>0.272189349112426</v>
      </c>
      <c r="Z31" s="14" t="n">
        <f aca="false">IF(K31+R31+T31+U31=0,0,(M31+R31+T31)/(K31+R31+T31+U31))</f>
        <v>0.365482233502538</v>
      </c>
      <c r="AA31" s="14" t="n">
        <f aca="false">IF(K31=0,0,X31/K31)</f>
        <v>0.550295857988166</v>
      </c>
      <c r="AB31" s="14" t="n">
        <f aca="false">Z31+AA31</f>
        <v>0.915778091490704</v>
      </c>
      <c r="AC31" s="14" t="n">
        <f aca="false">AA31-Y31</f>
        <v>0.27810650887574</v>
      </c>
      <c r="AD31" s="14" t="n">
        <f aca="false">IF(K31-S31-P31+U31=0,0,(M31-P31)/(K31-S31-P31+U31))</f>
        <v>0.284552845528455</v>
      </c>
      <c r="AE31" s="15" t="n">
        <f aca="false">IF(J31=0,0,R31/J31)</f>
        <v>0.116751269035533</v>
      </c>
      <c r="AF31" s="15" t="n">
        <f aca="false">IF(J31=0,0,S31/J31)</f>
        <v>0.187817258883249</v>
      </c>
      <c r="AG31" s="11" t="n">
        <f aca="false">IF(J31&gt;=INDEX(球季參數!$E$2:$E$4,MATCH($A31,球季參數!$A$2:$A$4,0)),1,0)</f>
        <v>0</v>
      </c>
    </row>
    <row r="32" customFormat="false" ht="15" hidden="false" customHeight="false" outlineLevel="0" collapsed="false">
      <c r="A32" s="5" t="n">
        <v>2024</v>
      </c>
      <c r="B32" s="7" t="s">
        <v>597</v>
      </c>
      <c r="C32" s="10" t="str">
        <f aca="false">INDEX(球員主檔!$B$2:$B$749,MATCH($B32,球員主檔!$A$2:$A$749,0))</f>
        <v>Soren Vasquez</v>
      </c>
      <c r="D32" s="7" t="s">
        <v>354</v>
      </c>
      <c r="E32" s="10" t="str">
        <f aca="false">INDEX(球隊主檔!$C$2:$C$31,MATCH($D32,球隊主檔!$A$2:$A$31,0))</f>
        <v>坦帕灣光芒</v>
      </c>
      <c r="F32" s="10" t="str">
        <f aca="false">INDEX(球隊主檔!$D$2:$D$31,MATCH($D32,球隊主檔!$A$2:$A$31,0))</f>
        <v>美聯</v>
      </c>
      <c r="G32" s="7" t="s">
        <v>486</v>
      </c>
      <c r="H32" s="11" t="n">
        <f aca="false">INT((DATE($A32,7,1)-INDEX(球員主檔!$G$2:$G$749,MATCH($B32,球員主檔!$A$2:$A$749,0)))/365.25)</f>
        <v>30</v>
      </c>
      <c r="I32" s="12" t="n">
        <v>140</v>
      </c>
      <c r="J32" s="12" t="n">
        <v>604</v>
      </c>
      <c r="K32" s="12" t="n">
        <v>537</v>
      </c>
      <c r="L32" s="12" t="n">
        <v>77</v>
      </c>
      <c r="M32" s="12" t="n">
        <v>160</v>
      </c>
      <c r="N32" s="12" t="n">
        <v>38</v>
      </c>
      <c r="O32" s="12" t="n">
        <v>8</v>
      </c>
      <c r="P32" s="12" t="n">
        <v>14</v>
      </c>
      <c r="Q32" s="12" t="n">
        <v>56</v>
      </c>
      <c r="R32" s="12" t="n">
        <v>55</v>
      </c>
      <c r="S32" s="12" t="n">
        <v>96</v>
      </c>
      <c r="T32" s="12" t="n">
        <v>9</v>
      </c>
      <c r="U32" s="12" t="n">
        <v>3</v>
      </c>
      <c r="V32" s="12" t="n">
        <v>5</v>
      </c>
      <c r="W32" s="12" t="n">
        <v>1</v>
      </c>
      <c r="X32" s="13" t="n">
        <f aca="false">M32+N32+2*O32+3*P32</f>
        <v>256</v>
      </c>
      <c r="Y32" s="14" t="n">
        <f aca="false">IF(K32=0,0,M32/K32)</f>
        <v>0.297951582867784</v>
      </c>
      <c r="Z32" s="14" t="n">
        <f aca="false">IF(K32+R32+T32+U32=0,0,(M32+R32+T32)/(K32+R32+T32+U32))</f>
        <v>0.370860927152318</v>
      </c>
      <c r="AA32" s="14" t="n">
        <f aca="false">IF(K32=0,0,X32/K32)</f>
        <v>0.476722532588454</v>
      </c>
      <c r="AB32" s="14" t="n">
        <f aca="false">Z32+AA32</f>
        <v>0.847583459740772</v>
      </c>
      <c r="AC32" s="14" t="n">
        <f aca="false">AA32-Y32</f>
        <v>0.17877094972067</v>
      </c>
      <c r="AD32" s="14" t="n">
        <f aca="false">IF(K32-S32-P32+U32=0,0,(M32-P32)/(K32-S32-P32+U32))</f>
        <v>0.33953488372093</v>
      </c>
      <c r="AE32" s="15" t="n">
        <f aca="false">IF(J32=0,0,R32/J32)</f>
        <v>0.0910596026490066</v>
      </c>
      <c r="AF32" s="15" t="n">
        <f aca="false">IF(J32=0,0,S32/J32)</f>
        <v>0.158940397350993</v>
      </c>
      <c r="AG32" s="11" t="n">
        <f aca="false">IF(J32&gt;=INDEX(球季參數!$E$2:$E$4,MATCH($A32,球季參數!$A$2:$A$4,0)),1,0)</f>
        <v>1</v>
      </c>
    </row>
    <row r="33" customFormat="false" ht="15" hidden="false" customHeight="false" outlineLevel="0" collapsed="false">
      <c r="A33" s="5" t="n">
        <v>2024</v>
      </c>
      <c r="B33" s="7" t="s">
        <v>599</v>
      </c>
      <c r="C33" s="10" t="str">
        <f aca="false">INDEX(球員主檔!$B$2:$B$749,MATCH($B33,球員主檔!$A$2:$A$749,0))</f>
        <v>Landon Gallimore</v>
      </c>
      <c r="D33" s="7" t="s">
        <v>354</v>
      </c>
      <c r="E33" s="10" t="str">
        <f aca="false">INDEX(球隊主檔!$C$2:$C$31,MATCH($D33,球隊主檔!$A$2:$A$31,0))</f>
        <v>坦帕灣光芒</v>
      </c>
      <c r="F33" s="10" t="str">
        <f aca="false">INDEX(球隊主檔!$D$2:$D$31,MATCH($D33,球隊主檔!$A$2:$A$31,0))</f>
        <v>美聯</v>
      </c>
      <c r="G33" s="7" t="s">
        <v>63</v>
      </c>
      <c r="H33" s="11" t="n">
        <f aca="false">INT((DATE($A33,7,1)-INDEX(球員主檔!$G$2:$G$749,MATCH($B33,球員主檔!$A$2:$A$749,0)))/365.25)</f>
        <v>30</v>
      </c>
      <c r="I33" s="12" t="n">
        <v>150</v>
      </c>
      <c r="J33" s="12" t="n">
        <v>650</v>
      </c>
      <c r="K33" s="12" t="n">
        <v>595</v>
      </c>
      <c r="L33" s="12" t="n">
        <v>64</v>
      </c>
      <c r="M33" s="12" t="n">
        <v>128</v>
      </c>
      <c r="N33" s="12" t="n">
        <v>26</v>
      </c>
      <c r="O33" s="12" t="n">
        <v>9</v>
      </c>
      <c r="P33" s="12" t="n">
        <v>15</v>
      </c>
      <c r="Q33" s="12" t="n">
        <v>68</v>
      </c>
      <c r="R33" s="12" t="n">
        <v>51</v>
      </c>
      <c r="S33" s="12" t="n">
        <v>137</v>
      </c>
      <c r="T33" s="12" t="n">
        <v>1</v>
      </c>
      <c r="U33" s="12" t="n">
        <v>3</v>
      </c>
      <c r="V33" s="12" t="n">
        <v>15</v>
      </c>
      <c r="W33" s="12" t="n">
        <v>3</v>
      </c>
      <c r="X33" s="13" t="n">
        <f aca="false">M33+N33+2*O33+3*P33</f>
        <v>217</v>
      </c>
      <c r="Y33" s="14" t="n">
        <f aca="false">IF(K33=0,0,M33/K33)</f>
        <v>0.215126050420168</v>
      </c>
      <c r="Z33" s="14" t="n">
        <f aca="false">IF(K33+R33+T33+U33=0,0,(M33+R33+T33)/(K33+R33+T33+U33))</f>
        <v>0.276923076923077</v>
      </c>
      <c r="AA33" s="14" t="n">
        <f aca="false">IF(K33=0,0,X33/K33)</f>
        <v>0.364705882352941</v>
      </c>
      <c r="AB33" s="14" t="n">
        <f aca="false">Z33+AA33</f>
        <v>0.641628959276018</v>
      </c>
      <c r="AC33" s="14" t="n">
        <f aca="false">AA33-Y33</f>
        <v>0.149579831932773</v>
      </c>
      <c r="AD33" s="14" t="n">
        <f aca="false">IF(K33-S33-P33+U33=0,0,(M33-P33)/(K33-S33-P33+U33))</f>
        <v>0.253363228699552</v>
      </c>
      <c r="AE33" s="15" t="n">
        <f aca="false">IF(J33=0,0,R33/J33)</f>
        <v>0.0784615384615385</v>
      </c>
      <c r="AF33" s="15" t="n">
        <f aca="false">IF(J33=0,0,S33/J33)</f>
        <v>0.210769230769231</v>
      </c>
      <c r="AG33" s="11" t="n">
        <f aca="false">IF(J33&gt;=INDEX(球季參數!$E$2:$E$4,MATCH($A33,球季參數!$A$2:$A$4,0)),1,0)</f>
        <v>1</v>
      </c>
    </row>
    <row r="34" customFormat="false" ht="15" hidden="false" customHeight="false" outlineLevel="0" collapsed="false">
      <c r="A34" s="5" t="n">
        <v>2024</v>
      </c>
      <c r="B34" s="7" t="s">
        <v>601</v>
      </c>
      <c r="C34" s="10" t="str">
        <f aca="false">INDEX(球員主檔!$B$2:$B$749,MATCH($B34,球員主檔!$A$2:$A$749,0))</f>
        <v>Lorenzo Villalobos</v>
      </c>
      <c r="D34" s="7" t="s">
        <v>354</v>
      </c>
      <c r="E34" s="10" t="str">
        <f aca="false">INDEX(球隊主檔!$C$2:$C$31,MATCH($D34,球隊主檔!$A$2:$A$31,0))</f>
        <v>坦帕灣光芒</v>
      </c>
      <c r="F34" s="10" t="str">
        <f aca="false">INDEX(球隊主檔!$D$2:$D$31,MATCH($D34,球隊主檔!$A$2:$A$31,0))</f>
        <v>美聯</v>
      </c>
      <c r="G34" s="7" t="s">
        <v>473</v>
      </c>
      <c r="H34" s="11" t="n">
        <f aca="false">INT((DATE($A34,7,1)-INDEX(球員主檔!$G$2:$G$749,MATCH($B34,球員主檔!$A$2:$A$749,0)))/365.25)</f>
        <v>29</v>
      </c>
      <c r="I34" s="12" t="n">
        <v>151</v>
      </c>
      <c r="J34" s="12" t="n">
        <v>661</v>
      </c>
      <c r="K34" s="12" t="n">
        <v>615</v>
      </c>
      <c r="L34" s="12" t="n">
        <v>78</v>
      </c>
      <c r="M34" s="12" t="n">
        <v>148</v>
      </c>
      <c r="N34" s="12" t="n">
        <v>21</v>
      </c>
      <c r="O34" s="12" t="n">
        <v>3</v>
      </c>
      <c r="P34" s="12" t="n">
        <v>16</v>
      </c>
      <c r="Q34" s="12" t="n">
        <v>59</v>
      </c>
      <c r="R34" s="12" t="n">
        <v>33</v>
      </c>
      <c r="S34" s="12" t="n">
        <v>149</v>
      </c>
      <c r="T34" s="12" t="n">
        <v>11</v>
      </c>
      <c r="U34" s="12" t="n">
        <v>2</v>
      </c>
      <c r="V34" s="12" t="n">
        <v>47</v>
      </c>
      <c r="W34" s="12" t="n">
        <v>12</v>
      </c>
      <c r="X34" s="13" t="n">
        <f aca="false">M34+N34+2*O34+3*P34</f>
        <v>223</v>
      </c>
      <c r="Y34" s="14" t="n">
        <f aca="false">IF(K34=0,0,M34/K34)</f>
        <v>0.240650406504065</v>
      </c>
      <c r="Z34" s="14" t="n">
        <f aca="false">IF(K34+R34+T34+U34=0,0,(M34+R34+T34)/(K34+R34+T34+U34))</f>
        <v>0.290468986384266</v>
      </c>
      <c r="AA34" s="14" t="n">
        <f aca="false">IF(K34=0,0,X34/K34)</f>
        <v>0.36260162601626</v>
      </c>
      <c r="AB34" s="14" t="n">
        <f aca="false">Z34+AA34</f>
        <v>0.653070612400526</v>
      </c>
      <c r="AC34" s="14" t="n">
        <f aca="false">AA34-Y34</f>
        <v>0.121951219512195</v>
      </c>
      <c r="AD34" s="14" t="n">
        <f aca="false">IF(K34-S34-P34+U34=0,0,(M34-P34)/(K34-S34-P34+U34))</f>
        <v>0.292035398230089</v>
      </c>
      <c r="AE34" s="15" t="n">
        <f aca="false">IF(J34=0,0,R34/J34)</f>
        <v>0.0499243570347958</v>
      </c>
      <c r="AF34" s="15" t="n">
        <f aca="false">IF(J34=0,0,S34/J34)</f>
        <v>0.225416036308623</v>
      </c>
      <c r="AG34" s="11" t="n">
        <f aca="false">IF(J34&gt;=INDEX(球季參數!$E$2:$E$4,MATCH($A34,球季參數!$A$2:$A$4,0)),1,0)</f>
        <v>1</v>
      </c>
    </row>
    <row r="35" customFormat="false" ht="15" hidden="false" customHeight="false" outlineLevel="0" collapsed="false">
      <c r="A35" s="5" t="n">
        <v>2024</v>
      </c>
      <c r="B35" s="7" t="s">
        <v>603</v>
      </c>
      <c r="C35" s="10" t="str">
        <f aca="false">INDEX(球員主檔!$B$2:$B$749,MATCH($B35,球員主檔!$A$2:$A$749,0))</f>
        <v>Vicente Yamazaki</v>
      </c>
      <c r="D35" s="7" t="s">
        <v>354</v>
      </c>
      <c r="E35" s="10" t="str">
        <f aca="false">INDEX(球隊主檔!$C$2:$C$31,MATCH($D35,球隊主檔!$A$2:$A$31,0))</f>
        <v>坦帕灣光芒</v>
      </c>
      <c r="F35" s="10" t="str">
        <f aca="false">INDEX(球隊主檔!$D$2:$D$31,MATCH($D35,球隊主檔!$A$2:$A$31,0))</f>
        <v>美聯</v>
      </c>
      <c r="G35" s="7" t="s">
        <v>478</v>
      </c>
      <c r="H35" s="11" t="n">
        <f aca="false">INT((DATE($A35,7,1)-INDEX(球員主檔!$G$2:$G$749,MATCH($B35,球員主檔!$A$2:$A$749,0)))/365.25)</f>
        <v>35</v>
      </c>
      <c r="I35" s="12" t="n">
        <v>144</v>
      </c>
      <c r="J35" s="12" t="n">
        <v>625</v>
      </c>
      <c r="K35" s="12" t="n">
        <v>590</v>
      </c>
      <c r="L35" s="12" t="n">
        <v>56</v>
      </c>
      <c r="M35" s="12" t="n">
        <v>113</v>
      </c>
      <c r="N35" s="12" t="n">
        <v>38</v>
      </c>
      <c r="O35" s="12" t="n">
        <v>4</v>
      </c>
      <c r="P35" s="12" t="n">
        <v>25</v>
      </c>
      <c r="Q35" s="12" t="n">
        <v>78</v>
      </c>
      <c r="R35" s="12" t="n">
        <v>24</v>
      </c>
      <c r="S35" s="12" t="n">
        <v>208</v>
      </c>
      <c r="T35" s="12" t="n">
        <v>7</v>
      </c>
      <c r="U35" s="12" t="n">
        <v>4</v>
      </c>
      <c r="V35" s="12" t="n">
        <v>37</v>
      </c>
      <c r="W35" s="12" t="n">
        <v>13</v>
      </c>
      <c r="X35" s="13" t="n">
        <f aca="false">M35+N35+2*O35+3*P35</f>
        <v>234</v>
      </c>
      <c r="Y35" s="14" t="n">
        <f aca="false">IF(K35=0,0,M35/K35)</f>
        <v>0.191525423728814</v>
      </c>
      <c r="Z35" s="14" t="n">
        <f aca="false">IF(K35+R35+T35+U35=0,0,(M35+R35+T35)/(K35+R35+T35+U35))</f>
        <v>0.2304</v>
      </c>
      <c r="AA35" s="14" t="n">
        <f aca="false">IF(K35=0,0,X35/K35)</f>
        <v>0.396610169491525</v>
      </c>
      <c r="AB35" s="14" t="n">
        <f aca="false">Z35+AA35</f>
        <v>0.627010169491525</v>
      </c>
      <c r="AC35" s="14" t="n">
        <f aca="false">AA35-Y35</f>
        <v>0.205084745762712</v>
      </c>
      <c r="AD35" s="14" t="n">
        <f aca="false">IF(K35-S35-P35+U35=0,0,(M35-P35)/(K35-S35-P35+U35))</f>
        <v>0.243767313019391</v>
      </c>
      <c r="AE35" s="15" t="n">
        <f aca="false">IF(J35=0,0,R35/J35)</f>
        <v>0.0384</v>
      </c>
      <c r="AF35" s="15" t="n">
        <f aca="false">IF(J35=0,0,S35/J35)</f>
        <v>0.3328</v>
      </c>
      <c r="AG35" s="11" t="n">
        <f aca="false">IF(J35&gt;=INDEX(球季參數!$E$2:$E$4,MATCH($A35,球季參數!$A$2:$A$4,0)),1,0)</f>
        <v>1</v>
      </c>
    </row>
    <row r="36" customFormat="false" ht="15" hidden="false" customHeight="false" outlineLevel="0" collapsed="false">
      <c r="A36" s="5" t="n">
        <v>2024</v>
      </c>
      <c r="B36" s="7" t="s">
        <v>605</v>
      </c>
      <c r="C36" s="10" t="str">
        <f aca="false">INDEX(球員主檔!$B$2:$B$749,MATCH($B36,球員主檔!$A$2:$A$749,0))</f>
        <v>Bernardo Uchendu</v>
      </c>
      <c r="D36" s="7" t="s">
        <v>354</v>
      </c>
      <c r="E36" s="10" t="str">
        <f aca="false">INDEX(球隊主檔!$C$2:$C$31,MATCH($D36,球隊主檔!$A$2:$A$31,0))</f>
        <v>坦帕灣光芒</v>
      </c>
      <c r="F36" s="10" t="str">
        <f aca="false">INDEX(球隊主檔!$D$2:$D$31,MATCH($D36,球隊主檔!$A$2:$A$31,0))</f>
        <v>美聯</v>
      </c>
      <c r="G36" s="7" t="s">
        <v>158</v>
      </c>
      <c r="H36" s="11" t="n">
        <f aca="false">INT((DATE($A36,7,1)-INDEX(球員主檔!$G$2:$G$749,MATCH($B36,球員主檔!$A$2:$A$749,0)))/365.25)</f>
        <v>28</v>
      </c>
      <c r="I36" s="12" t="n">
        <v>149</v>
      </c>
      <c r="J36" s="12" t="n">
        <v>599</v>
      </c>
      <c r="K36" s="12" t="n">
        <v>517</v>
      </c>
      <c r="L36" s="12" t="n">
        <v>80</v>
      </c>
      <c r="M36" s="12" t="n">
        <v>125</v>
      </c>
      <c r="N36" s="12" t="n">
        <v>19</v>
      </c>
      <c r="O36" s="12" t="n">
        <v>9</v>
      </c>
      <c r="P36" s="12" t="n">
        <v>26</v>
      </c>
      <c r="Q36" s="12" t="n">
        <v>89</v>
      </c>
      <c r="R36" s="12" t="n">
        <v>66</v>
      </c>
      <c r="S36" s="12" t="n">
        <v>155</v>
      </c>
      <c r="T36" s="12" t="n">
        <v>12</v>
      </c>
      <c r="U36" s="12" t="n">
        <v>4</v>
      </c>
      <c r="V36" s="12" t="n">
        <v>18</v>
      </c>
      <c r="W36" s="12" t="n">
        <v>3</v>
      </c>
      <c r="X36" s="13" t="n">
        <f aca="false">M36+N36+2*O36+3*P36</f>
        <v>240</v>
      </c>
      <c r="Y36" s="14" t="n">
        <f aca="false">IF(K36=0,0,M36/K36)</f>
        <v>0.241779497098646</v>
      </c>
      <c r="Z36" s="14" t="n">
        <f aca="false">IF(K36+R36+T36+U36=0,0,(M36+R36+T36)/(K36+R36+T36+U36))</f>
        <v>0.33889816360601</v>
      </c>
      <c r="AA36" s="14" t="n">
        <f aca="false">IF(K36=0,0,X36/K36)</f>
        <v>0.4642166344294</v>
      </c>
      <c r="AB36" s="14" t="n">
        <f aca="false">Z36+AA36</f>
        <v>0.80311479803541</v>
      </c>
      <c r="AC36" s="14" t="n">
        <f aca="false">AA36-Y36</f>
        <v>0.222437137330754</v>
      </c>
      <c r="AD36" s="14" t="n">
        <f aca="false">IF(K36-S36-P36+U36=0,0,(M36-P36)/(K36-S36-P36+U36))</f>
        <v>0.291176470588235</v>
      </c>
      <c r="AE36" s="15" t="n">
        <f aca="false">IF(J36=0,0,R36/J36)</f>
        <v>0.110183639398998</v>
      </c>
      <c r="AF36" s="15" t="n">
        <f aca="false">IF(J36=0,0,S36/J36)</f>
        <v>0.258764607679466</v>
      </c>
      <c r="AG36" s="11" t="n">
        <f aca="false">IF(J36&gt;=INDEX(球季參數!$E$2:$E$4,MATCH($A36,球季參數!$A$2:$A$4,0)),1,0)</f>
        <v>1</v>
      </c>
    </row>
    <row r="37" customFormat="false" ht="15" hidden="false" customHeight="false" outlineLevel="0" collapsed="false">
      <c r="A37" s="5" t="n">
        <v>2024</v>
      </c>
      <c r="B37" s="7" t="s">
        <v>607</v>
      </c>
      <c r="C37" s="10" t="str">
        <f aca="false">INDEX(球員主檔!$B$2:$B$749,MATCH($B37,球員主檔!$A$2:$A$749,0))</f>
        <v>Cassius Ulloa</v>
      </c>
      <c r="D37" s="7" t="s">
        <v>354</v>
      </c>
      <c r="E37" s="10" t="str">
        <f aca="false">INDEX(球隊主檔!$C$2:$C$31,MATCH($D37,球隊主檔!$A$2:$A$31,0))</f>
        <v>坦帕灣光芒</v>
      </c>
      <c r="F37" s="10" t="str">
        <f aca="false">INDEX(球隊主檔!$D$2:$D$31,MATCH($D37,球隊主檔!$A$2:$A$31,0))</f>
        <v>美聯</v>
      </c>
      <c r="G37" s="7" t="s">
        <v>162</v>
      </c>
      <c r="H37" s="11" t="n">
        <f aca="false">INT((DATE($A37,7,1)-INDEX(球員主檔!$G$2:$G$749,MATCH($B37,球員主檔!$A$2:$A$749,0)))/365.25)</f>
        <v>24</v>
      </c>
      <c r="I37" s="12" t="n">
        <v>106</v>
      </c>
      <c r="J37" s="12" t="n">
        <v>445</v>
      </c>
      <c r="K37" s="12" t="n">
        <v>410</v>
      </c>
      <c r="L37" s="12" t="n">
        <v>44</v>
      </c>
      <c r="M37" s="12" t="n">
        <v>93</v>
      </c>
      <c r="N37" s="12" t="n">
        <v>22</v>
      </c>
      <c r="O37" s="12" t="n">
        <v>8</v>
      </c>
      <c r="P37" s="12" t="n">
        <v>15</v>
      </c>
      <c r="Q37" s="12" t="n">
        <v>54</v>
      </c>
      <c r="R37" s="12" t="n">
        <v>29</v>
      </c>
      <c r="S37" s="12" t="n">
        <v>89</v>
      </c>
      <c r="T37" s="12" t="n">
        <v>2</v>
      </c>
      <c r="U37" s="12" t="n">
        <v>4</v>
      </c>
      <c r="V37" s="12" t="n">
        <v>12</v>
      </c>
      <c r="W37" s="12" t="n">
        <v>2</v>
      </c>
      <c r="X37" s="13" t="n">
        <f aca="false">M37+N37+2*O37+3*P37</f>
        <v>176</v>
      </c>
      <c r="Y37" s="14" t="n">
        <f aca="false">IF(K37=0,0,M37/K37)</f>
        <v>0.226829268292683</v>
      </c>
      <c r="Z37" s="14" t="n">
        <f aca="false">IF(K37+R37+T37+U37=0,0,(M37+R37+T37)/(K37+R37+T37+U37))</f>
        <v>0.278651685393258</v>
      </c>
      <c r="AA37" s="14" t="n">
        <f aca="false">IF(K37=0,0,X37/K37)</f>
        <v>0.429268292682927</v>
      </c>
      <c r="AB37" s="14" t="n">
        <f aca="false">Z37+AA37</f>
        <v>0.707919978076185</v>
      </c>
      <c r="AC37" s="14" t="n">
        <f aca="false">AA37-Y37</f>
        <v>0.202439024390244</v>
      </c>
      <c r="AD37" s="14" t="n">
        <f aca="false">IF(K37-S37-P37+U37=0,0,(M37-P37)/(K37-S37-P37+U37))</f>
        <v>0.251612903225806</v>
      </c>
      <c r="AE37" s="15" t="n">
        <f aca="false">IF(J37=0,0,R37/J37)</f>
        <v>0.0651685393258427</v>
      </c>
      <c r="AF37" s="15" t="n">
        <f aca="false">IF(J37=0,0,S37/J37)</f>
        <v>0.2</v>
      </c>
      <c r="AG37" s="11" t="n">
        <f aca="false">IF(J37&gt;=INDEX(球季參數!$E$2:$E$4,MATCH($A37,球季參數!$A$2:$A$4,0)),1,0)</f>
        <v>0</v>
      </c>
    </row>
    <row r="38" customFormat="false" ht="15" hidden="false" customHeight="false" outlineLevel="0" collapsed="false">
      <c r="A38" s="5" t="n">
        <v>2024</v>
      </c>
      <c r="B38" s="7" t="s">
        <v>609</v>
      </c>
      <c r="C38" s="10" t="str">
        <f aca="false">INDEX(球員主檔!$B$2:$B$749,MATCH($B38,球員主檔!$A$2:$A$749,0))</f>
        <v>Isaias Whitmore</v>
      </c>
      <c r="D38" s="7" t="s">
        <v>354</v>
      </c>
      <c r="E38" s="10" t="str">
        <f aca="false">INDEX(球隊主檔!$C$2:$C$31,MATCH($D38,球隊主檔!$A$2:$A$31,0))</f>
        <v>坦帕灣光芒</v>
      </c>
      <c r="F38" s="10" t="str">
        <f aca="false">INDEX(球隊主檔!$D$2:$D$31,MATCH($D38,球隊主檔!$A$2:$A$31,0))</f>
        <v>美聯</v>
      </c>
      <c r="G38" s="7" t="s">
        <v>486</v>
      </c>
      <c r="H38" s="11" t="n">
        <f aca="false">INT((DATE($A38,7,1)-INDEX(球員主檔!$G$2:$G$749,MATCH($B38,球員主檔!$A$2:$A$749,0)))/365.25)</f>
        <v>25</v>
      </c>
      <c r="I38" s="12" t="n">
        <v>47</v>
      </c>
      <c r="J38" s="12" t="n">
        <v>200</v>
      </c>
      <c r="K38" s="12" t="n">
        <v>187</v>
      </c>
      <c r="L38" s="12" t="n">
        <v>17</v>
      </c>
      <c r="M38" s="12" t="n">
        <v>40</v>
      </c>
      <c r="N38" s="12" t="n">
        <v>18</v>
      </c>
      <c r="O38" s="12" t="n">
        <v>2</v>
      </c>
      <c r="P38" s="12" t="n">
        <v>3</v>
      </c>
      <c r="Q38" s="12" t="n">
        <v>13</v>
      </c>
      <c r="R38" s="12" t="n">
        <v>10</v>
      </c>
      <c r="S38" s="12" t="n">
        <v>36</v>
      </c>
      <c r="T38" s="12" t="n">
        <v>2</v>
      </c>
      <c r="U38" s="12" t="n">
        <v>1</v>
      </c>
      <c r="V38" s="12" t="n">
        <v>7</v>
      </c>
      <c r="W38" s="12" t="n">
        <v>1</v>
      </c>
      <c r="X38" s="13" t="n">
        <f aca="false">M38+N38+2*O38+3*P38</f>
        <v>71</v>
      </c>
      <c r="Y38" s="14" t="n">
        <f aca="false">IF(K38=0,0,M38/K38)</f>
        <v>0.213903743315508</v>
      </c>
      <c r="Z38" s="14" t="n">
        <f aca="false">IF(K38+R38+T38+U38=0,0,(M38+R38+T38)/(K38+R38+T38+U38))</f>
        <v>0.26</v>
      </c>
      <c r="AA38" s="14" t="n">
        <f aca="false">IF(K38=0,0,X38/K38)</f>
        <v>0.379679144385027</v>
      </c>
      <c r="AB38" s="14" t="n">
        <f aca="false">Z38+AA38</f>
        <v>0.639679144385027</v>
      </c>
      <c r="AC38" s="14" t="n">
        <f aca="false">AA38-Y38</f>
        <v>0.165775401069519</v>
      </c>
      <c r="AD38" s="14" t="n">
        <f aca="false">IF(K38-S38-P38+U38=0,0,(M38-P38)/(K38-S38-P38+U38))</f>
        <v>0.248322147651007</v>
      </c>
      <c r="AE38" s="15" t="n">
        <f aca="false">IF(J38=0,0,R38/J38)</f>
        <v>0.05</v>
      </c>
      <c r="AF38" s="15" t="n">
        <f aca="false">IF(J38=0,0,S38/J38)</f>
        <v>0.18</v>
      </c>
      <c r="AG38" s="11" t="n">
        <f aca="false">IF(J38&gt;=INDEX(球季參數!$E$2:$E$4,MATCH($A38,球季參數!$A$2:$A$4,0)),1,0)</f>
        <v>0</v>
      </c>
    </row>
    <row r="39" customFormat="false" ht="15" hidden="false" customHeight="false" outlineLevel="0" collapsed="false">
      <c r="A39" s="5" t="n">
        <v>2024</v>
      </c>
      <c r="B39" s="7" t="s">
        <v>611</v>
      </c>
      <c r="C39" s="10" t="str">
        <f aca="false">INDEX(球員主檔!$B$2:$B$749,MATCH($B39,球員主檔!$A$2:$A$749,0))</f>
        <v>Rintaro Underhill</v>
      </c>
      <c r="D39" s="7" t="s">
        <v>354</v>
      </c>
      <c r="E39" s="10" t="str">
        <f aca="false">INDEX(球隊主檔!$C$2:$C$31,MATCH($D39,球隊主檔!$A$2:$A$31,0))</f>
        <v>坦帕灣光芒</v>
      </c>
      <c r="F39" s="10" t="str">
        <f aca="false">INDEX(球隊主檔!$D$2:$D$31,MATCH($D39,球隊主檔!$A$2:$A$31,0))</f>
        <v>美聯</v>
      </c>
      <c r="G39" s="7" t="s">
        <v>483</v>
      </c>
      <c r="H39" s="11" t="n">
        <f aca="false">INT((DATE($A39,7,1)-INDEX(球員主檔!$G$2:$G$749,MATCH($B39,球員主檔!$A$2:$A$749,0)))/365.25)</f>
        <v>24</v>
      </c>
      <c r="I39" s="12" t="n">
        <v>127</v>
      </c>
      <c r="J39" s="12" t="n">
        <v>496</v>
      </c>
      <c r="K39" s="12" t="n">
        <v>456</v>
      </c>
      <c r="L39" s="12" t="n">
        <v>55</v>
      </c>
      <c r="M39" s="12" t="n">
        <v>106</v>
      </c>
      <c r="N39" s="12" t="n">
        <v>45</v>
      </c>
      <c r="O39" s="12" t="n">
        <v>7</v>
      </c>
      <c r="P39" s="12" t="n">
        <v>10</v>
      </c>
      <c r="Q39" s="12" t="n">
        <v>49</v>
      </c>
      <c r="R39" s="12" t="n">
        <v>35</v>
      </c>
      <c r="S39" s="12" t="n">
        <v>86</v>
      </c>
      <c r="T39" s="12" t="n">
        <v>2</v>
      </c>
      <c r="U39" s="12" t="n">
        <v>3</v>
      </c>
      <c r="V39" s="12" t="n">
        <v>20</v>
      </c>
      <c r="W39" s="12" t="n">
        <v>7</v>
      </c>
      <c r="X39" s="13" t="n">
        <f aca="false">M39+N39+2*O39+3*P39</f>
        <v>195</v>
      </c>
      <c r="Y39" s="14" t="n">
        <f aca="false">IF(K39=0,0,M39/K39)</f>
        <v>0.232456140350877</v>
      </c>
      <c r="Z39" s="14" t="n">
        <f aca="false">IF(K39+R39+T39+U39=0,0,(M39+R39+T39)/(K39+R39+T39+U39))</f>
        <v>0.288306451612903</v>
      </c>
      <c r="AA39" s="14" t="n">
        <f aca="false">IF(K39=0,0,X39/K39)</f>
        <v>0.427631578947368</v>
      </c>
      <c r="AB39" s="14" t="n">
        <f aca="false">Z39+AA39</f>
        <v>0.715938030560272</v>
      </c>
      <c r="AC39" s="14" t="n">
        <f aca="false">AA39-Y39</f>
        <v>0.195175438596491</v>
      </c>
      <c r="AD39" s="14" t="n">
        <f aca="false">IF(K39-S39-P39+U39=0,0,(M39-P39)/(K39-S39-P39+U39))</f>
        <v>0.264462809917355</v>
      </c>
      <c r="AE39" s="15" t="n">
        <f aca="false">IF(J39=0,0,R39/J39)</f>
        <v>0.0705645161290323</v>
      </c>
      <c r="AF39" s="15" t="n">
        <f aca="false">IF(J39=0,0,S39/J39)</f>
        <v>0.173387096774194</v>
      </c>
      <c r="AG39" s="11" t="n">
        <f aca="false">IF(J39&gt;=INDEX(球季參數!$E$2:$E$4,MATCH($A39,球季參數!$A$2:$A$4,0)),1,0)</f>
        <v>0</v>
      </c>
    </row>
    <row r="40" customFormat="false" ht="15" hidden="false" customHeight="false" outlineLevel="0" collapsed="false">
      <c r="A40" s="5" t="n">
        <v>2024</v>
      </c>
      <c r="B40" s="7" t="s">
        <v>613</v>
      </c>
      <c r="C40" s="10" t="str">
        <f aca="false">INDEX(球員主檔!$B$2:$B$749,MATCH($B40,球員主檔!$A$2:$A$749,0))</f>
        <v>Bernardo Thorsby</v>
      </c>
      <c r="D40" s="7" t="s">
        <v>354</v>
      </c>
      <c r="E40" s="10" t="str">
        <f aca="false">INDEX(球隊主檔!$C$2:$C$31,MATCH($D40,球隊主檔!$A$2:$A$31,0))</f>
        <v>坦帕灣光芒</v>
      </c>
      <c r="F40" s="10" t="str">
        <f aca="false">INDEX(球隊主檔!$D$2:$D$31,MATCH($D40,球隊主檔!$A$2:$A$31,0))</f>
        <v>美聯</v>
      </c>
      <c r="G40" s="7" t="s">
        <v>473</v>
      </c>
      <c r="H40" s="11" t="n">
        <f aca="false">INT((DATE($A40,7,1)-INDEX(球員主檔!$G$2:$G$749,MATCH($B40,球員主檔!$A$2:$A$749,0)))/365.25)</f>
        <v>33</v>
      </c>
      <c r="I40" s="12" t="n">
        <v>28</v>
      </c>
      <c r="J40" s="12" t="n">
        <v>114</v>
      </c>
      <c r="K40" s="12" t="n">
        <v>103</v>
      </c>
      <c r="L40" s="12" t="n">
        <v>10</v>
      </c>
      <c r="M40" s="12" t="n">
        <v>24</v>
      </c>
      <c r="N40" s="12" t="n">
        <v>12</v>
      </c>
      <c r="O40" s="12" t="n">
        <v>1</v>
      </c>
      <c r="P40" s="12" t="n">
        <v>0</v>
      </c>
      <c r="Q40" s="12" t="n">
        <v>4</v>
      </c>
      <c r="R40" s="12" t="n">
        <v>9</v>
      </c>
      <c r="S40" s="12" t="n">
        <v>33</v>
      </c>
      <c r="T40" s="12" t="n">
        <v>2</v>
      </c>
      <c r="U40" s="12" t="n">
        <v>0</v>
      </c>
      <c r="V40" s="12" t="n">
        <v>0</v>
      </c>
      <c r="W40" s="12" t="n">
        <v>0</v>
      </c>
      <c r="X40" s="13" t="n">
        <f aca="false">M40+N40+2*O40+3*P40</f>
        <v>38</v>
      </c>
      <c r="Y40" s="14" t="n">
        <f aca="false">IF(K40=0,0,M40/K40)</f>
        <v>0.233009708737864</v>
      </c>
      <c r="Z40" s="14" t="n">
        <f aca="false">IF(K40+R40+T40+U40=0,0,(M40+R40+T40)/(K40+R40+T40+U40))</f>
        <v>0.307017543859649</v>
      </c>
      <c r="AA40" s="14" t="n">
        <f aca="false">IF(K40=0,0,X40/K40)</f>
        <v>0.368932038834951</v>
      </c>
      <c r="AB40" s="14" t="n">
        <f aca="false">Z40+AA40</f>
        <v>0.675949582694601</v>
      </c>
      <c r="AC40" s="14" t="n">
        <f aca="false">AA40-Y40</f>
        <v>0.135922330097087</v>
      </c>
      <c r="AD40" s="14" t="n">
        <f aca="false">IF(K40-S40-P40+U40=0,0,(M40-P40)/(K40-S40-P40+U40))</f>
        <v>0.342857142857143</v>
      </c>
      <c r="AE40" s="15" t="n">
        <f aca="false">IF(J40=0,0,R40/J40)</f>
        <v>0.0789473684210526</v>
      </c>
      <c r="AF40" s="15" t="n">
        <f aca="false">IF(J40=0,0,S40/J40)</f>
        <v>0.289473684210526</v>
      </c>
      <c r="AG40" s="11" t="n">
        <f aca="false">IF(J40&gt;=INDEX(球季參數!$E$2:$E$4,MATCH($A40,球季參數!$A$2:$A$4,0)),1,0)</f>
        <v>0</v>
      </c>
    </row>
    <row r="41" customFormat="false" ht="15" hidden="false" customHeight="false" outlineLevel="0" collapsed="false">
      <c r="A41" s="5" t="n">
        <v>2024</v>
      </c>
      <c r="B41" s="7" t="s">
        <v>615</v>
      </c>
      <c r="C41" s="10" t="str">
        <f aca="false">INDEX(球員主檔!$B$2:$B$749,MATCH($B41,球員主檔!$A$2:$A$749,0))</f>
        <v>Esteban Yamazaki</v>
      </c>
      <c r="D41" s="7" t="s">
        <v>354</v>
      </c>
      <c r="E41" s="10" t="str">
        <f aca="false">INDEX(球隊主檔!$C$2:$C$31,MATCH($D41,球隊主檔!$A$2:$A$31,0))</f>
        <v>坦帕灣光芒</v>
      </c>
      <c r="F41" s="10" t="str">
        <f aca="false">INDEX(球隊主檔!$D$2:$D$31,MATCH($D41,球隊主檔!$A$2:$A$31,0))</f>
        <v>美聯</v>
      </c>
      <c r="G41" s="7" t="s">
        <v>470</v>
      </c>
      <c r="H41" s="11" t="n">
        <f aca="false">INT((DATE($A41,7,1)-INDEX(球員主檔!$G$2:$G$749,MATCH($B41,球員主檔!$A$2:$A$749,0)))/365.25)</f>
        <v>29</v>
      </c>
      <c r="I41" s="12" t="n">
        <v>47</v>
      </c>
      <c r="J41" s="12" t="n">
        <v>212</v>
      </c>
      <c r="K41" s="12" t="n">
        <v>183</v>
      </c>
      <c r="L41" s="12" t="n">
        <v>24</v>
      </c>
      <c r="M41" s="12" t="n">
        <v>44</v>
      </c>
      <c r="N41" s="12" t="n">
        <v>20</v>
      </c>
      <c r="O41" s="12" t="n">
        <v>4</v>
      </c>
      <c r="P41" s="12" t="n">
        <v>2</v>
      </c>
      <c r="Q41" s="12" t="n">
        <v>17</v>
      </c>
      <c r="R41" s="12" t="n">
        <v>24</v>
      </c>
      <c r="S41" s="12" t="n">
        <v>45</v>
      </c>
      <c r="T41" s="12" t="n">
        <v>2</v>
      </c>
      <c r="U41" s="12" t="n">
        <v>3</v>
      </c>
      <c r="V41" s="12" t="n">
        <v>6</v>
      </c>
      <c r="W41" s="12" t="n">
        <v>2</v>
      </c>
      <c r="X41" s="13" t="n">
        <f aca="false">M41+N41+2*O41+3*P41</f>
        <v>78</v>
      </c>
      <c r="Y41" s="14" t="n">
        <f aca="false">IF(K41=0,0,M41/K41)</f>
        <v>0.240437158469945</v>
      </c>
      <c r="Z41" s="14" t="n">
        <f aca="false">IF(K41+R41+T41+U41=0,0,(M41+R41+T41)/(K41+R41+T41+U41))</f>
        <v>0.330188679245283</v>
      </c>
      <c r="AA41" s="14" t="n">
        <f aca="false">IF(K41=0,0,X41/K41)</f>
        <v>0.426229508196721</v>
      </c>
      <c r="AB41" s="14" t="n">
        <f aca="false">Z41+AA41</f>
        <v>0.756418187442004</v>
      </c>
      <c r="AC41" s="14" t="n">
        <f aca="false">AA41-Y41</f>
        <v>0.185792349726776</v>
      </c>
      <c r="AD41" s="14" t="n">
        <f aca="false">IF(K41-S41-P41+U41=0,0,(M41-P41)/(K41-S41-P41+U41))</f>
        <v>0.302158273381295</v>
      </c>
      <c r="AE41" s="15" t="n">
        <f aca="false">IF(J41=0,0,R41/J41)</f>
        <v>0.113207547169811</v>
      </c>
      <c r="AF41" s="15" t="n">
        <f aca="false">IF(J41=0,0,S41/J41)</f>
        <v>0.212264150943396</v>
      </c>
      <c r="AG41" s="11" t="n">
        <f aca="false">IF(J41&gt;=INDEX(球季參數!$E$2:$E$4,MATCH($A41,球季參數!$A$2:$A$4,0)),1,0)</f>
        <v>0</v>
      </c>
    </row>
    <row r="42" customFormat="false" ht="15" hidden="false" customHeight="false" outlineLevel="0" collapsed="false">
      <c r="A42" s="5" t="n">
        <v>2024</v>
      </c>
      <c r="B42" s="7" t="s">
        <v>637</v>
      </c>
      <c r="C42" s="10" t="str">
        <f aca="false">INDEX(球員主檔!$B$2:$B$749,MATCH($B42,球員主檔!$A$2:$A$749,0))</f>
        <v>Cedric Tremblay</v>
      </c>
      <c r="D42" s="7" t="s">
        <v>358</v>
      </c>
      <c r="E42" s="10" t="str">
        <f aca="false">INDEX(球隊主檔!$C$2:$C$31,MATCH($D42,球隊主檔!$A$2:$A$31,0))</f>
        <v>多倫多藍鳥</v>
      </c>
      <c r="F42" s="10" t="str">
        <f aca="false">INDEX(球隊主檔!$D$2:$D$31,MATCH($D42,球隊主檔!$A$2:$A$31,0))</f>
        <v>美聯</v>
      </c>
      <c r="G42" s="7" t="s">
        <v>470</v>
      </c>
      <c r="H42" s="11" t="n">
        <f aca="false">INT((DATE($A42,7,1)-INDEX(球員主檔!$G$2:$G$749,MATCH($B42,球員主檔!$A$2:$A$749,0)))/365.25)</f>
        <v>28</v>
      </c>
      <c r="I42" s="12" t="n">
        <v>145</v>
      </c>
      <c r="J42" s="12" t="n">
        <v>578</v>
      </c>
      <c r="K42" s="12" t="n">
        <v>521</v>
      </c>
      <c r="L42" s="12" t="n">
        <v>61</v>
      </c>
      <c r="M42" s="12" t="n">
        <v>109</v>
      </c>
      <c r="N42" s="12" t="n">
        <v>27</v>
      </c>
      <c r="O42" s="12" t="n">
        <v>10</v>
      </c>
      <c r="P42" s="12" t="n">
        <v>18</v>
      </c>
      <c r="Q42" s="12" t="n">
        <v>67</v>
      </c>
      <c r="R42" s="12" t="n">
        <v>48</v>
      </c>
      <c r="S42" s="12" t="n">
        <v>99</v>
      </c>
      <c r="T42" s="12" t="n">
        <v>2</v>
      </c>
      <c r="U42" s="12" t="n">
        <v>7</v>
      </c>
      <c r="V42" s="12" t="n">
        <v>15</v>
      </c>
      <c r="W42" s="12" t="n">
        <v>4</v>
      </c>
      <c r="X42" s="13" t="n">
        <f aca="false">M42+N42+2*O42+3*P42</f>
        <v>210</v>
      </c>
      <c r="Y42" s="14" t="n">
        <f aca="false">IF(K42=0,0,M42/K42)</f>
        <v>0.209213051823417</v>
      </c>
      <c r="Z42" s="14" t="n">
        <f aca="false">IF(K42+R42+T42+U42=0,0,(M42+R42+T42)/(K42+R42+T42+U42))</f>
        <v>0.275086505190311</v>
      </c>
      <c r="AA42" s="14" t="n">
        <f aca="false">IF(K42=0,0,X42/K42)</f>
        <v>0.403071017274472</v>
      </c>
      <c r="AB42" s="14" t="n">
        <f aca="false">Z42+AA42</f>
        <v>0.678157522464784</v>
      </c>
      <c r="AC42" s="14" t="n">
        <f aca="false">AA42-Y42</f>
        <v>0.193857965451056</v>
      </c>
      <c r="AD42" s="14" t="n">
        <f aca="false">IF(K42-S42-P42+U42=0,0,(M42-P42)/(K42-S42-P42+U42))</f>
        <v>0.221411192214112</v>
      </c>
      <c r="AE42" s="15" t="n">
        <f aca="false">IF(J42=0,0,R42/J42)</f>
        <v>0.0830449826989619</v>
      </c>
      <c r="AF42" s="15" t="n">
        <f aca="false">IF(J42=0,0,S42/J42)</f>
        <v>0.171280276816609</v>
      </c>
      <c r="AG42" s="11" t="n">
        <f aca="false">IF(J42&gt;=INDEX(球季參數!$E$2:$E$4,MATCH($A42,球季參數!$A$2:$A$4,0)),1,0)</f>
        <v>1</v>
      </c>
    </row>
    <row r="43" customFormat="false" ht="15" hidden="false" customHeight="false" outlineLevel="0" collapsed="false">
      <c r="A43" s="5" t="n">
        <v>2024</v>
      </c>
      <c r="B43" s="7" t="s">
        <v>639</v>
      </c>
      <c r="C43" s="10" t="str">
        <f aca="false">INDEX(球員主檔!$B$2:$B$749,MATCH($B43,球員主檔!$A$2:$A$749,0))</f>
        <v>Everett Underhill</v>
      </c>
      <c r="D43" s="7" t="s">
        <v>358</v>
      </c>
      <c r="E43" s="10" t="str">
        <f aca="false">INDEX(球隊主檔!$C$2:$C$31,MATCH($D43,球隊主檔!$A$2:$A$31,0))</f>
        <v>多倫多藍鳥</v>
      </c>
      <c r="F43" s="10" t="str">
        <f aca="false">INDEX(球隊主檔!$D$2:$D$31,MATCH($D43,球隊主檔!$A$2:$A$31,0))</f>
        <v>美聯</v>
      </c>
      <c r="G43" s="7" t="s">
        <v>63</v>
      </c>
      <c r="H43" s="11" t="n">
        <f aca="false">INT((DATE($A43,7,1)-INDEX(球員主檔!$G$2:$G$749,MATCH($B43,球員主檔!$A$2:$A$749,0)))/365.25)</f>
        <v>25</v>
      </c>
      <c r="I43" s="12" t="n">
        <v>152</v>
      </c>
      <c r="J43" s="12" t="n">
        <v>639</v>
      </c>
      <c r="K43" s="12" t="n">
        <v>559</v>
      </c>
      <c r="L43" s="12" t="n">
        <v>73</v>
      </c>
      <c r="M43" s="12" t="n">
        <v>171</v>
      </c>
      <c r="N43" s="12" t="n">
        <v>26</v>
      </c>
      <c r="O43" s="12" t="n">
        <v>4</v>
      </c>
      <c r="P43" s="12" t="n">
        <v>14</v>
      </c>
      <c r="Q43" s="12" t="n">
        <v>64</v>
      </c>
      <c r="R43" s="12" t="n">
        <v>63</v>
      </c>
      <c r="S43" s="12" t="n">
        <v>107</v>
      </c>
      <c r="T43" s="12" t="n">
        <v>13</v>
      </c>
      <c r="U43" s="12" t="n">
        <v>4</v>
      </c>
      <c r="V43" s="12" t="n">
        <v>3</v>
      </c>
      <c r="W43" s="12" t="n">
        <v>0</v>
      </c>
      <c r="X43" s="13" t="n">
        <f aca="false">M43+N43+2*O43+3*P43</f>
        <v>247</v>
      </c>
      <c r="Y43" s="14" t="n">
        <f aca="false">IF(K43=0,0,M43/K43)</f>
        <v>0.305903398926655</v>
      </c>
      <c r="Z43" s="14" t="n">
        <f aca="false">IF(K43+R43+T43+U43=0,0,(M43+R43+T43)/(K43+R43+T43+U43))</f>
        <v>0.386541471048513</v>
      </c>
      <c r="AA43" s="14" t="n">
        <f aca="false">IF(K43=0,0,X43/K43)</f>
        <v>0.441860465116279</v>
      </c>
      <c r="AB43" s="14" t="n">
        <f aca="false">Z43+AA43</f>
        <v>0.828401936164792</v>
      </c>
      <c r="AC43" s="14" t="n">
        <f aca="false">AA43-Y43</f>
        <v>0.135957066189624</v>
      </c>
      <c r="AD43" s="14" t="n">
        <f aca="false">IF(K43-S43-P43+U43=0,0,(M43-P43)/(K43-S43-P43+U43))</f>
        <v>0.355203619909502</v>
      </c>
      <c r="AE43" s="15" t="n">
        <f aca="false">IF(J43=0,0,R43/J43)</f>
        <v>0.0985915492957746</v>
      </c>
      <c r="AF43" s="15" t="n">
        <f aca="false">IF(J43=0,0,S43/J43)</f>
        <v>0.167449139280125</v>
      </c>
      <c r="AG43" s="11" t="n">
        <f aca="false">IF(J43&gt;=INDEX(球季參數!$E$2:$E$4,MATCH($A43,球季參數!$A$2:$A$4,0)),1,0)</f>
        <v>1</v>
      </c>
    </row>
    <row r="44" customFormat="false" ht="15" hidden="false" customHeight="false" outlineLevel="0" collapsed="false">
      <c r="A44" s="5" t="n">
        <v>2024</v>
      </c>
      <c r="B44" s="7" t="s">
        <v>641</v>
      </c>
      <c r="C44" s="10" t="str">
        <f aca="false">INDEX(球員主檔!$B$2:$B$749,MATCH($B44,球員主檔!$A$2:$A$749,0))</f>
        <v>Thiago Beckwith</v>
      </c>
      <c r="D44" s="7" t="s">
        <v>358</v>
      </c>
      <c r="E44" s="10" t="str">
        <f aca="false">INDEX(球隊主檔!$C$2:$C$31,MATCH($D44,球隊主檔!$A$2:$A$31,0))</f>
        <v>多倫多藍鳥</v>
      </c>
      <c r="F44" s="10" t="str">
        <f aca="false">INDEX(球隊主檔!$D$2:$D$31,MATCH($D44,球隊主檔!$A$2:$A$31,0))</f>
        <v>美聯</v>
      </c>
      <c r="G44" s="7" t="s">
        <v>478</v>
      </c>
      <c r="H44" s="11" t="n">
        <f aca="false">INT((DATE($A44,7,1)-INDEX(球員主檔!$G$2:$G$749,MATCH($B44,球員主檔!$A$2:$A$749,0)))/365.25)</f>
        <v>22</v>
      </c>
      <c r="I44" s="12" t="n">
        <v>143</v>
      </c>
      <c r="J44" s="12" t="n">
        <v>591</v>
      </c>
      <c r="K44" s="12" t="n">
        <v>518</v>
      </c>
      <c r="L44" s="12" t="n">
        <v>64</v>
      </c>
      <c r="M44" s="12" t="n">
        <v>126</v>
      </c>
      <c r="N44" s="12" t="n">
        <v>29</v>
      </c>
      <c r="O44" s="12" t="n">
        <v>3</v>
      </c>
      <c r="P44" s="12" t="n">
        <v>3</v>
      </c>
      <c r="Q44" s="12" t="n">
        <v>32</v>
      </c>
      <c r="R44" s="12" t="n">
        <v>65</v>
      </c>
      <c r="S44" s="12" t="n">
        <v>127</v>
      </c>
      <c r="T44" s="12" t="n">
        <v>6</v>
      </c>
      <c r="U44" s="12" t="n">
        <v>2</v>
      </c>
      <c r="V44" s="12" t="n">
        <v>16</v>
      </c>
      <c r="W44" s="12" t="n">
        <v>4</v>
      </c>
      <c r="X44" s="13" t="n">
        <f aca="false">M44+N44+2*O44+3*P44</f>
        <v>170</v>
      </c>
      <c r="Y44" s="14" t="n">
        <f aca="false">IF(K44=0,0,M44/K44)</f>
        <v>0.243243243243243</v>
      </c>
      <c r="Z44" s="14" t="n">
        <f aca="false">IF(K44+R44+T44+U44=0,0,(M44+R44+T44)/(K44+R44+T44+U44))</f>
        <v>0.333333333333333</v>
      </c>
      <c r="AA44" s="14" t="n">
        <f aca="false">IF(K44=0,0,X44/K44)</f>
        <v>0.328185328185328</v>
      </c>
      <c r="AB44" s="14" t="n">
        <f aca="false">Z44+AA44</f>
        <v>0.661518661518662</v>
      </c>
      <c r="AC44" s="14" t="n">
        <f aca="false">AA44-Y44</f>
        <v>0.0849420849420849</v>
      </c>
      <c r="AD44" s="14" t="n">
        <f aca="false">IF(K44-S44-P44+U44=0,0,(M44-P44)/(K44-S44-P44+U44))</f>
        <v>0.315384615384615</v>
      </c>
      <c r="AE44" s="15" t="n">
        <f aca="false">IF(J44=0,0,R44/J44)</f>
        <v>0.109983079526227</v>
      </c>
      <c r="AF44" s="15" t="n">
        <f aca="false">IF(J44=0,0,S44/J44)</f>
        <v>0.214890016920474</v>
      </c>
      <c r="AG44" s="11" t="n">
        <f aca="false">IF(J44&gt;=INDEX(球季參數!$E$2:$E$4,MATCH($A44,球季參數!$A$2:$A$4,0)),1,0)</f>
        <v>1</v>
      </c>
    </row>
    <row r="45" customFormat="false" ht="15" hidden="false" customHeight="false" outlineLevel="0" collapsed="false">
      <c r="A45" s="5" t="n">
        <v>2024</v>
      </c>
      <c r="B45" s="7" t="s">
        <v>643</v>
      </c>
      <c r="C45" s="10" t="str">
        <f aca="false">INDEX(球員主檔!$B$2:$B$749,MATCH($B45,球員主檔!$A$2:$A$749,0))</f>
        <v>Yusuke Wexford</v>
      </c>
      <c r="D45" s="7" t="s">
        <v>358</v>
      </c>
      <c r="E45" s="10" t="str">
        <f aca="false">INDEX(球隊主檔!$C$2:$C$31,MATCH($D45,球隊主檔!$A$2:$A$31,0))</f>
        <v>多倫多藍鳥</v>
      </c>
      <c r="F45" s="10" t="str">
        <f aca="false">INDEX(球隊主檔!$D$2:$D$31,MATCH($D45,球隊主檔!$A$2:$A$31,0))</f>
        <v>美聯</v>
      </c>
      <c r="G45" s="7" t="s">
        <v>470</v>
      </c>
      <c r="H45" s="11" t="n">
        <f aca="false">INT((DATE($A45,7,1)-INDEX(球員主檔!$G$2:$G$749,MATCH($B45,球員主檔!$A$2:$A$749,0)))/365.25)</f>
        <v>23</v>
      </c>
      <c r="I45" s="12" t="n">
        <v>105</v>
      </c>
      <c r="J45" s="12" t="n">
        <v>425</v>
      </c>
      <c r="K45" s="12" t="n">
        <v>374</v>
      </c>
      <c r="L45" s="12" t="n">
        <v>42</v>
      </c>
      <c r="M45" s="12" t="n">
        <v>88</v>
      </c>
      <c r="N45" s="12" t="n">
        <v>33</v>
      </c>
      <c r="O45" s="12" t="n">
        <v>5</v>
      </c>
      <c r="P45" s="12" t="n">
        <v>8</v>
      </c>
      <c r="Q45" s="12" t="n">
        <v>34</v>
      </c>
      <c r="R45" s="12" t="n">
        <v>48</v>
      </c>
      <c r="S45" s="12" t="n">
        <v>87</v>
      </c>
      <c r="T45" s="12" t="n">
        <v>2</v>
      </c>
      <c r="U45" s="12" t="n">
        <v>1</v>
      </c>
      <c r="V45" s="12" t="n">
        <v>24</v>
      </c>
      <c r="W45" s="12" t="n">
        <v>8</v>
      </c>
      <c r="X45" s="13" t="n">
        <f aca="false">M45+N45+2*O45+3*P45</f>
        <v>155</v>
      </c>
      <c r="Y45" s="14" t="n">
        <f aca="false">IF(K45=0,0,M45/K45)</f>
        <v>0.235294117647059</v>
      </c>
      <c r="Z45" s="14" t="n">
        <f aca="false">IF(K45+R45+T45+U45=0,0,(M45+R45+T45)/(K45+R45+T45+U45))</f>
        <v>0.324705882352941</v>
      </c>
      <c r="AA45" s="14" t="n">
        <f aca="false">IF(K45=0,0,X45/K45)</f>
        <v>0.414438502673797</v>
      </c>
      <c r="AB45" s="14" t="n">
        <f aca="false">Z45+AA45</f>
        <v>0.739144385026738</v>
      </c>
      <c r="AC45" s="14" t="n">
        <f aca="false">AA45-Y45</f>
        <v>0.179144385026738</v>
      </c>
      <c r="AD45" s="14" t="n">
        <f aca="false">IF(K45-S45-P45+U45=0,0,(M45-P45)/(K45-S45-P45+U45))</f>
        <v>0.285714285714286</v>
      </c>
      <c r="AE45" s="15" t="n">
        <f aca="false">IF(J45=0,0,R45/J45)</f>
        <v>0.112941176470588</v>
      </c>
      <c r="AF45" s="15" t="n">
        <f aca="false">IF(J45=0,0,S45/J45)</f>
        <v>0.204705882352941</v>
      </c>
      <c r="AG45" s="11" t="n">
        <f aca="false">IF(J45&gt;=INDEX(球季參數!$E$2:$E$4,MATCH($A45,球季參數!$A$2:$A$4,0)),1,0)</f>
        <v>0</v>
      </c>
    </row>
    <row r="46" customFormat="false" ht="15" hidden="false" customHeight="false" outlineLevel="0" collapsed="false">
      <c r="A46" s="5" t="n">
        <v>2024</v>
      </c>
      <c r="B46" s="7" t="s">
        <v>645</v>
      </c>
      <c r="C46" s="10" t="str">
        <f aca="false">INDEX(球員主檔!$B$2:$B$749,MATCH($B46,球員主檔!$A$2:$A$749,0))</f>
        <v>Niklas Lindquist</v>
      </c>
      <c r="D46" s="7" t="s">
        <v>358</v>
      </c>
      <c r="E46" s="10" t="str">
        <f aca="false">INDEX(球隊主檔!$C$2:$C$31,MATCH($D46,球隊主檔!$A$2:$A$31,0))</f>
        <v>多倫多藍鳥</v>
      </c>
      <c r="F46" s="10" t="str">
        <f aca="false">INDEX(球隊主檔!$D$2:$D$31,MATCH($D46,球隊主檔!$A$2:$A$31,0))</f>
        <v>美聯</v>
      </c>
      <c r="G46" s="7" t="s">
        <v>158</v>
      </c>
      <c r="H46" s="11" t="n">
        <f aca="false">INT((DATE($A46,7,1)-INDEX(球員主檔!$G$2:$G$749,MATCH($B46,球員主檔!$A$2:$A$749,0)))/365.25)</f>
        <v>28</v>
      </c>
      <c r="I46" s="12" t="n">
        <v>162</v>
      </c>
      <c r="J46" s="12" t="n">
        <v>701</v>
      </c>
      <c r="K46" s="12" t="n">
        <v>609</v>
      </c>
      <c r="L46" s="12" t="n">
        <v>91</v>
      </c>
      <c r="M46" s="12" t="n">
        <v>151</v>
      </c>
      <c r="N46" s="12" t="n">
        <v>12</v>
      </c>
      <c r="O46" s="12" t="n">
        <v>3</v>
      </c>
      <c r="P46" s="12" t="n">
        <v>37</v>
      </c>
      <c r="Q46" s="12" t="n">
        <v>118</v>
      </c>
      <c r="R46" s="12" t="n">
        <v>77</v>
      </c>
      <c r="S46" s="12" t="n">
        <v>150</v>
      </c>
      <c r="T46" s="12" t="n">
        <v>8</v>
      </c>
      <c r="U46" s="12" t="n">
        <v>7</v>
      </c>
      <c r="V46" s="12" t="n">
        <v>21</v>
      </c>
      <c r="W46" s="12" t="n">
        <v>6</v>
      </c>
      <c r="X46" s="13" t="n">
        <f aca="false">M46+N46+2*O46+3*P46</f>
        <v>280</v>
      </c>
      <c r="Y46" s="14" t="n">
        <f aca="false">IF(K46=0,0,M46/K46)</f>
        <v>0.247947454844007</v>
      </c>
      <c r="Z46" s="14" t="n">
        <f aca="false">IF(K46+R46+T46+U46=0,0,(M46+R46+T46)/(K46+R46+T46+U46))</f>
        <v>0.336661911554922</v>
      </c>
      <c r="AA46" s="14" t="n">
        <f aca="false">IF(K46=0,0,X46/K46)</f>
        <v>0.459770114942529</v>
      </c>
      <c r="AB46" s="14" t="n">
        <f aca="false">Z46+AA46</f>
        <v>0.79643202649745</v>
      </c>
      <c r="AC46" s="14" t="n">
        <f aca="false">AA46-Y46</f>
        <v>0.211822660098522</v>
      </c>
      <c r="AD46" s="14" t="n">
        <f aca="false">IF(K46-S46-P46+U46=0,0,(M46-P46)/(K46-S46-P46+U46))</f>
        <v>0.265734265734266</v>
      </c>
      <c r="AE46" s="15" t="n">
        <f aca="false">IF(J46=0,0,R46/J46)</f>
        <v>0.109843081312411</v>
      </c>
      <c r="AF46" s="15" t="n">
        <f aca="false">IF(J46=0,0,S46/J46)</f>
        <v>0.21398002853067</v>
      </c>
      <c r="AG46" s="11" t="n">
        <f aca="false">IF(J46&gt;=INDEX(球季參數!$E$2:$E$4,MATCH($A46,球季參數!$A$2:$A$4,0)),1,0)</f>
        <v>1</v>
      </c>
    </row>
    <row r="47" customFormat="false" ht="15" hidden="false" customHeight="false" outlineLevel="0" collapsed="false">
      <c r="A47" s="5" t="n">
        <v>2024</v>
      </c>
      <c r="B47" s="7" t="s">
        <v>647</v>
      </c>
      <c r="C47" s="10" t="str">
        <f aca="false">INDEX(球員主檔!$B$2:$B$749,MATCH($B47,球員主檔!$A$2:$A$749,0))</f>
        <v>Tristan Underhill</v>
      </c>
      <c r="D47" s="7" t="s">
        <v>358</v>
      </c>
      <c r="E47" s="10" t="str">
        <f aca="false">INDEX(球隊主檔!$C$2:$C$31,MATCH($D47,球隊主檔!$A$2:$A$31,0))</f>
        <v>多倫多藍鳥</v>
      </c>
      <c r="F47" s="10" t="str">
        <f aca="false">INDEX(球隊主檔!$D$2:$D$31,MATCH($D47,球隊主檔!$A$2:$A$31,0))</f>
        <v>美聯</v>
      </c>
      <c r="G47" s="7" t="s">
        <v>158</v>
      </c>
      <c r="H47" s="11" t="n">
        <f aca="false">INT((DATE($A47,7,1)-INDEX(球員主檔!$G$2:$G$749,MATCH($B47,球員主檔!$A$2:$A$749,0)))/365.25)</f>
        <v>28</v>
      </c>
      <c r="I47" s="12" t="n">
        <v>128</v>
      </c>
      <c r="J47" s="12" t="n">
        <v>542</v>
      </c>
      <c r="K47" s="12" t="n">
        <v>503</v>
      </c>
      <c r="L47" s="12" t="n">
        <v>77</v>
      </c>
      <c r="M47" s="12" t="n">
        <v>130</v>
      </c>
      <c r="N47" s="12" t="n">
        <v>37</v>
      </c>
      <c r="O47" s="12" t="n">
        <v>10</v>
      </c>
      <c r="P47" s="12" t="n">
        <v>32</v>
      </c>
      <c r="Q47" s="12" t="n">
        <v>95</v>
      </c>
      <c r="R47" s="12" t="n">
        <v>32</v>
      </c>
      <c r="S47" s="12" t="n">
        <v>172</v>
      </c>
      <c r="T47" s="12" t="n">
        <v>3</v>
      </c>
      <c r="U47" s="12" t="n">
        <v>4</v>
      </c>
      <c r="V47" s="12" t="n">
        <v>10</v>
      </c>
      <c r="W47" s="12" t="n">
        <v>3</v>
      </c>
      <c r="X47" s="13" t="n">
        <f aca="false">M47+N47+2*O47+3*P47</f>
        <v>283</v>
      </c>
      <c r="Y47" s="14" t="n">
        <f aca="false">IF(K47=0,0,M47/K47)</f>
        <v>0.25844930417495</v>
      </c>
      <c r="Z47" s="14" t="n">
        <f aca="false">IF(K47+R47+T47+U47=0,0,(M47+R47+T47)/(K47+R47+T47+U47))</f>
        <v>0.304428044280443</v>
      </c>
      <c r="AA47" s="14" t="n">
        <f aca="false">IF(K47=0,0,X47/K47)</f>
        <v>0.562624254473161</v>
      </c>
      <c r="AB47" s="14" t="n">
        <f aca="false">Z47+AA47</f>
        <v>0.867052298753604</v>
      </c>
      <c r="AC47" s="14" t="n">
        <f aca="false">AA47-Y47</f>
        <v>0.304174950298211</v>
      </c>
      <c r="AD47" s="14" t="n">
        <f aca="false">IF(K47-S47-P47+U47=0,0,(M47-P47)/(K47-S47-P47+U47))</f>
        <v>0.323432343234323</v>
      </c>
      <c r="AE47" s="15" t="n">
        <f aca="false">IF(J47=0,0,R47/J47)</f>
        <v>0.0590405904059041</v>
      </c>
      <c r="AF47" s="15" t="n">
        <f aca="false">IF(J47=0,0,S47/J47)</f>
        <v>0.317343173431734</v>
      </c>
      <c r="AG47" s="11" t="n">
        <f aca="false">IF(J47&gt;=INDEX(球季參數!$E$2:$E$4,MATCH($A47,球季參數!$A$2:$A$4,0)),1,0)</f>
        <v>1</v>
      </c>
    </row>
    <row r="48" customFormat="false" ht="15" hidden="false" customHeight="false" outlineLevel="0" collapsed="false">
      <c r="A48" s="5" t="n">
        <v>2024</v>
      </c>
      <c r="B48" s="7" t="s">
        <v>649</v>
      </c>
      <c r="C48" s="10" t="str">
        <f aca="false">INDEX(球員主檔!$B$2:$B$749,MATCH($B48,球員主檔!$A$2:$A$749,0))</f>
        <v>Ronin Kiriakis</v>
      </c>
      <c r="D48" s="7" t="s">
        <v>358</v>
      </c>
      <c r="E48" s="10" t="str">
        <f aca="false">INDEX(球隊主檔!$C$2:$C$31,MATCH($D48,球隊主檔!$A$2:$A$31,0))</f>
        <v>多倫多藍鳥</v>
      </c>
      <c r="F48" s="10" t="str">
        <f aca="false">INDEX(球隊主檔!$D$2:$D$31,MATCH($D48,球隊主檔!$A$2:$A$31,0))</f>
        <v>美聯</v>
      </c>
      <c r="G48" s="7" t="s">
        <v>483</v>
      </c>
      <c r="H48" s="11" t="n">
        <f aca="false">INT((DATE($A48,7,1)-INDEX(球員主檔!$G$2:$G$749,MATCH($B48,球員主檔!$A$2:$A$749,0)))/365.25)</f>
        <v>33</v>
      </c>
      <c r="I48" s="12" t="n">
        <v>104</v>
      </c>
      <c r="J48" s="12" t="n">
        <v>405</v>
      </c>
      <c r="K48" s="12" t="n">
        <v>351</v>
      </c>
      <c r="L48" s="12" t="n">
        <v>56</v>
      </c>
      <c r="M48" s="12" t="n">
        <v>92</v>
      </c>
      <c r="N48" s="12" t="n">
        <v>27</v>
      </c>
      <c r="O48" s="12" t="n">
        <v>7</v>
      </c>
      <c r="P48" s="12" t="n">
        <v>15</v>
      </c>
      <c r="Q48" s="12" t="n">
        <v>50</v>
      </c>
      <c r="R48" s="12" t="n">
        <v>46</v>
      </c>
      <c r="S48" s="12" t="n">
        <v>129</v>
      </c>
      <c r="T48" s="12" t="n">
        <v>6</v>
      </c>
      <c r="U48" s="12" t="n">
        <v>2</v>
      </c>
      <c r="V48" s="12" t="n">
        <v>16</v>
      </c>
      <c r="W48" s="12" t="n">
        <v>2</v>
      </c>
      <c r="X48" s="13" t="n">
        <f aca="false">M48+N48+2*O48+3*P48</f>
        <v>178</v>
      </c>
      <c r="Y48" s="14" t="n">
        <f aca="false">IF(K48=0,0,M48/K48)</f>
        <v>0.262108262108262</v>
      </c>
      <c r="Z48" s="14" t="n">
        <f aca="false">IF(K48+R48+T48+U48=0,0,(M48+R48+T48)/(K48+R48+T48+U48))</f>
        <v>0.355555555555556</v>
      </c>
      <c r="AA48" s="14" t="n">
        <f aca="false">IF(K48=0,0,X48/K48)</f>
        <v>0.507122507122507</v>
      </c>
      <c r="AB48" s="14" t="n">
        <f aca="false">Z48+AA48</f>
        <v>0.862678062678063</v>
      </c>
      <c r="AC48" s="14" t="n">
        <f aca="false">AA48-Y48</f>
        <v>0.245014245014245</v>
      </c>
      <c r="AD48" s="14" t="n">
        <f aca="false">IF(K48-S48-P48+U48=0,0,(M48-P48)/(K48-S48-P48+U48))</f>
        <v>0.368421052631579</v>
      </c>
      <c r="AE48" s="15" t="n">
        <f aca="false">IF(J48=0,0,R48/J48)</f>
        <v>0.11358024691358</v>
      </c>
      <c r="AF48" s="15" t="n">
        <f aca="false">IF(J48=0,0,S48/J48)</f>
        <v>0.318518518518519</v>
      </c>
      <c r="AG48" s="11" t="n">
        <f aca="false">IF(J48&gt;=INDEX(球季參數!$E$2:$E$4,MATCH($A48,球季參數!$A$2:$A$4,0)),1,0)</f>
        <v>0</v>
      </c>
    </row>
    <row r="49" customFormat="false" ht="15" hidden="false" customHeight="false" outlineLevel="0" collapsed="false">
      <c r="A49" s="5" t="n">
        <v>2024</v>
      </c>
      <c r="B49" s="7" t="s">
        <v>651</v>
      </c>
      <c r="C49" s="10" t="str">
        <f aca="false">INDEX(球員主檔!$B$2:$B$749,MATCH($B49,球員主檔!$A$2:$A$749,0))</f>
        <v>Jasper Rasmussen</v>
      </c>
      <c r="D49" s="7" t="s">
        <v>358</v>
      </c>
      <c r="E49" s="10" t="str">
        <f aca="false">INDEX(球隊主檔!$C$2:$C$31,MATCH($D49,球隊主檔!$A$2:$A$31,0))</f>
        <v>多倫多藍鳥</v>
      </c>
      <c r="F49" s="10" t="str">
        <f aca="false">INDEX(球隊主檔!$D$2:$D$31,MATCH($D49,球隊主檔!$A$2:$A$31,0))</f>
        <v>美聯</v>
      </c>
      <c r="G49" s="7" t="s">
        <v>473</v>
      </c>
      <c r="H49" s="11" t="n">
        <f aca="false">INT((DATE($A49,7,1)-INDEX(球員主檔!$G$2:$G$749,MATCH($B49,球員主檔!$A$2:$A$749,0)))/365.25)</f>
        <v>25</v>
      </c>
      <c r="I49" s="12" t="n">
        <v>118</v>
      </c>
      <c r="J49" s="12" t="n">
        <v>481</v>
      </c>
      <c r="K49" s="12" t="n">
        <v>416</v>
      </c>
      <c r="L49" s="12" t="n">
        <v>55</v>
      </c>
      <c r="M49" s="12" t="n">
        <v>101</v>
      </c>
      <c r="N49" s="12" t="n">
        <v>14</v>
      </c>
      <c r="O49" s="12" t="n">
        <v>9</v>
      </c>
      <c r="P49" s="12" t="n">
        <v>23</v>
      </c>
      <c r="Q49" s="12" t="n">
        <v>70</v>
      </c>
      <c r="R49" s="12" t="n">
        <v>53</v>
      </c>
      <c r="S49" s="12" t="n">
        <v>94</v>
      </c>
      <c r="T49" s="12" t="n">
        <v>10</v>
      </c>
      <c r="U49" s="12" t="n">
        <v>2</v>
      </c>
      <c r="V49" s="12" t="n">
        <v>17</v>
      </c>
      <c r="W49" s="12" t="n">
        <v>4</v>
      </c>
      <c r="X49" s="13" t="n">
        <f aca="false">M49+N49+2*O49+3*P49</f>
        <v>202</v>
      </c>
      <c r="Y49" s="14" t="n">
        <f aca="false">IF(K49=0,0,M49/K49)</f>
        <v>0.242788461538462</v>
      </c>
      <c r="Z49" s="14" t="n">
        <f aca="false">IF(K49+R49+T49+U49=0,0,(M49+R49+T49)/(K49+R49+T49+U49))</f>
        <v>0.340956340956341</v>
      </c>
      <c r="AA49" s="14" t="n">
        <f aca="false">IF(K49=0,0,X49/K49)</f>
        <v>0.485576923076923</v>
      </c>
      <c r="AB49" s="14" t="n">
        <f aca="false">Z49+AA49</f>
        <v>0.826533264033264</v>
      </c>
      <c r="AC49" s="14" t="n">
        <f aca="false">AA49-Y49</f>
        <v>0.242788461538462</v>
      </c>
      <c r="AD49" s="14" t="n">
        <f aca="false">IF(K49-S49-P49+U49=0,0,(M49-P49)/(K49-S49-P49+U49))</f>
        <v>0.259136212624585</v>
      </c>
      <c r="AE49" s="15" t="n">
        <f aca="false">IF(J49=0,0,R49/J49)</f>
        <v>0.11018711018711</v>
      </c>
      <c r="AF49" s="15" t="n">
        <f aca="false">IF(J49=0,0,S49/J49)</f>
        <v>0.195426195426195</v>
      </c>
      <c r="AG49" s="11" t="n">
        <f aca="false">IF(J49&gt;=INDEX(球季參數!$E$2:$E$4,MATCH($A49,球季參數!$A$2:$A$4,0)),1,0)</f>
        <v>0</v>
      </c>
    </row>
    <row r="50" customFormat="false" ht="15" hidden="false" customHeight="false" outlineLevel="0" collapsed="false">
      <c r="A50" s="5" t="n">
        <v>2024</v>
      </c>
      <c r="B50" s="7" t="s">
        <v>653</v>
      </c>
      <c r="C50" s="10" t="str">
        <f aca="false">INDEX(球員主檔!$B$2:$B$749,MATCH($B50,球員主檔!$A$2:$A$749,0))</f>
        <v>Rhett Halloway</v>
      </c>
      <c r="D50" s="7" t="s">
        <v>358</v>
      </c>
      <c r="E50" s="10" t="str">
        <f aca="false">INDEX(球隊主檔!$C$2:$C$31,MATCH($D50,球隊主檔!$A$2:$A$31,0))</f>
        <v>多倫多藍鳥</v>
      </c>
      <c r="F50" s="10" t="str">
        <f aca="false">INDEX(球隊主檔!$D$2:$D$31,MATCH($D50,球隊主檔!$A$2:$A$31,0))</f>
        <v>美聯</v>
      </c>
      <c r="G50" s="7" t="s">
        <v>158</v>
      </c>
      <c r="H50" s="11" t="n">
        <f aca="false">INT((DATE($A50,7,1)-INDEX(球員主檔!$G$2:$G$749,MATCH($B50,球員主檔!$A$2:$A$749,0)))/365.25)</f>
        <v>33</v>
      </c>
      <c r="I50" s="12" t="n">
        <v>36</v>
      </c>
      <c r="J50" s="12" t="n">
        <v>153</v>
      </c>
      <c r="K50" s="12" t="n">
        <v>143</v>
      </c>
      <c r="L50" s="12" t="n">
        <v>15</v>
      </c>
      <c r="M50" s="12" t="n">
        <v>31</v>
      </c>
      <c r="N50" s="12" t="n">
        <v>10</v>
      </c>
      <c r="O50" s="12" t="n">
        <v>4</v>
      </c>
      <c r="P50" s="12" t="n">
        <v>4</v>
      </c>
      <c r="Q50" s="12" t="n">
        <v>17</v>
      </c>
      <c r="R50" s="12" t="n">
        <v>7</v>
      </c>
      <c r="S50" s="12" t="n">
        <v>23</v>
      </c>
      <c r="T50" s="12" t="n">
        <v>2</v>
      </c>
      <c r="U50" s="12" t="n">
        <v>1</v>
      </c>
      <c r="V50" s="12" t="n">
        <v>5</v>
      </c>
      <c r="W50" s="12" t="n">
        <v>1</v>
      </c>
      <c r="X50" s="13" t="n">
        <f aca="false">M50+N50+2*O50+3*P50</f>
        <v>61</v>
      </c>
      <c r="Y50" s="14" t="n">
        <f aca="false">IF(K50=0,0,M50/K50)</f>
        <v>0.216783216783217</v>
      </c>
      <c r="Z50" s="14" t="n">
        <f aca="false">IF(K50+R50+T50+U50=0,0,(M50+R50+T50)/(K50+R50+T50+U50))</f>
        <v>0.261437908496732</v>
      </c>
      <c r="AA50" s="14" t="n">
        <f aca="false">IF(K50=0,0,X50/K50)</f>
        <v>0.426573426573427</v>
      </c>
      <c r="AB50" s="14" t="n">
        <f aca="false">Z50+AA50</f>
        <v>0.688011335070159</v>
      </c>
      <c r="AC50" s="14" t="n">
        <f aca="false">AA50-Y50</f>
        <v>0.20979020979021</v>
      </c>
      <c r="AD50" s="14" t="n">
        <f aca="false">IF(K50-S50-P50+U50=0,0,(M50-P50)/(K50-S50-P50+U50))</f>
        <v>0.230769230769231</v>
      </c>
      <c r="AE50" s="15" t="n">
        <f aca="false">IF(J50=0,0,R50/J50)</f>
        <v>0.0457516339869281</v>
      </c>
      <c r="AF50" s="15" t="n">
        <f aca="false">IF(J50=0,0,S50/J50)</f>
        <v>0.150326797385621</v>
      </c>
      <c r="AG50" s="11" t="n">
        <f aca="false">IF(J50&gt;=INDEX(球季參數!$E$2:$E$4,MATCH($A50,球季參數!$A$2:$A$4,0)),1,0)</f>
        <v>0</v>
      </c>
    </row>
    <row r="51" customFormat="false" ht="15" hidden="false" customHeight="false" outlineLevel="0" collapsed="false">
      <c r="A51" s="5" t="n">
        <v>2024</v>
      </c>
      <c r="B51" s="7" t="s">
        <v>655</v>
      </c>
      <c r="C51" s="10" t="str">
        <f aca="false">INDEX(球員主檔!$B$2:$B$749,MATCH($B51,球員主檔!$A$2:$A$749,0))</f>
        <v>Leandro Engelhardt</v>
      </c>
      <c r="D51" s="7" t="s">
        <v>358</v>
      </c>
      <c r="E51" s="10" t="str">
        <f aca="false">INDEX(球隊主檔!$C$2:$C$31,MATCH($D51,球隊主檔!$A$2:$A$31,0))</f>
        <v>多倫多藍鳥</v>
      </c>
      <c r="F51" s="10" t="str">
        <f aca="false">INDEX(球隊主檔!$D$2:$D$31,MATCH($D51,球隊主檔!$A$2:$A$31,0))</f>
        <v>美聯</v>
      </c>
      <c r="G51" s="7" t="s">
        <v>522</v>
      </c>
      <c r="H51" s="11" t="n">
        <f aca="false">INT((DATE($A51,7,1)-INDEX(球員主檔!$G$2:$G$749,MATCH($B51,球員主檔!$A$2:$A$749,0)))/365.25)</f>
        <v>32</v>
      </c>
      <c r="I51" s="12" t="n">
        <v>78</v>
      </c>
      <c r="J51" s="12" t="n">
        <v>327</v>
      </c>
      <c r="K51" s="12" t="n">
        <v>309</v>
      </c>
      <c r="L51" s="12" t="n">
        <v>40</v>
      </c>
      <c r="M51" s="12" t="n">
        <v>79</v>
      </c>
      <c r="N51" s="12" t="n">
        <v>12</v>
      </c>
      <c r="O51" s="12" t="n">
        <v>7</v>
      </c>
      <c r="P51" s="12" t="n">
        <v>16</v>
      </c>
      <c r="Q51" s="12" t="n">
        <v>48</v>
      </c>
      <c r="R51" s="12" t="n">
        <v>13</v>
      </c>
      <c r="S51" s="12" t="n">
        <v>56</v>
      </c>
      <c r="T51" s="12" t="n">
        <v>2</v>
      </c>
      <c r="U51" s="12" t="n">
        <v>3</v>
      </c>
      <c r="V51" s="12" t="n">
        <v>3</v>
      </c>
      <c r="W51" s="12" t="n">
        <v>1</v>
      </c>
      <c r="X51" s="13" t="n">
        <f aca="false">M51+N51+2*O51+3*P51</f>
        <v>153</v>
      </c>
      <c r="Y51" s="14" t="n">
        <f aca="false">IF(K51=0,0,M51/K51)</f>
        <v>0.255663430420712</v>
      </c>
      <c r="Z51" s="14" t="n">
        <f aca="false">IF(K51+R51+T51+U51=0,0,(M51+R51+T51)/(K51+R51+T51+U51))</f>
        <v>0.287461773700306</v>
      </c>
      <c r="AA51" s="14" t="n">
        <f aca="false">IF(K51=0,0,X51/K51)</f>
        <v>0.495145631067961</v>
      </c>
      <c r="AB51" s="14" t="n">
        <f aca="false">Z51+AA51</f>
        <v>0.782607404768267</v>
      </c>
      <c r="AC51" s="14" t="n">
        <f aca="false">AA51-Y51</f>
        <v>0.239482200647249</v>
      </c>
      <c r="AD51" s="14" t="n">
        <f aca="false">IF(K51-S51-P51+U51=0,0,(M51-P51)/(K51-S51-P51+U51))</f>
        <v>0.2625</v>
      </c>
      <c r="AE51" s="15" t="n">
        <f aca="false">IF(J51=0,0,R51/J51)</f>
        <v>0.0397553516819572</v>
      </c>
      <c r="AF51" s="15" t="n">
        <f aca="false">IF(J51=0,0,S51/J51)</f>
        <v>0.171253822629969</v>
      </c>
      <c r="AG51" s="11" t="n">
        <f aca="false">IF(J51&gt;=INDEX(球季參數!$E$2:$E$4,MATCH($A51,球季參數!$A$2:$A$4,0)),1,0)</f>
        <v>0</v>
      </c>
    </row>
    <row r="52" customFormat="false" ht="15" hidden="false" customHeight="false" outlineLevel="0" collapsed="false">
      <c r="A52" s="5" t="n">
        <v>2024</v>
      </c>
      <c r="B52" s="7" t="s">
        <v>677</v>
      </c>
      <c r="C52" s="10" t="str">
        <f aca="false">INDEX(球員主檔!$B$2:$B$749,MATCH($B52,球員主檔!$A$2:$A$749,0))</f>
        <v>Thiago Fontaine</v>
      </c>
      <c r="D52" s="7" t="s">
        <v>362</v>
      </c>
      <c r="E52" s="10" t="str">
        <f aca="false">INDEX(球隊主檔!$C$2:$C$31,MATCH($D52,球隊主檔!$A$2:$A$31,0))</f>
        <v>芝加哥白襪</v>
      </c>
      <c r="F52" s="10" t="str">
        <f aca="false">INDEX(球隊主檔!$D$2:$D$31,MATCH($D52,球隊主檔!$A$2:$A$31,0))</f>
        <v>美聯</v>
      </c>
      <c r="G52" s="7" t="s">
        <v>478</v>
      </c>
      <c r="H52" s="11" t="n">
        <f aca="false">INT((DATE($A52,7,1)-INDEX(球員主檔!$G$2:$G$749,MATCH($B52,球員主檔!$A$2:$A$749,0)))/365.25)</f>
        <v>30</v>
      </c>
      <c r="I52" s="12" t="n">
        <v>143</v>
      </c>
      <c r="J52" s="12" t="n">
        <v>572</v>
      </c>
      <c r="K52" s="12" t="n">
        <v>473</v>
      </c>
      <c r="L52" s="12" t="n">
        <v>71</v>
      </c>
      <c r="M52" s="12" t="n">
        <v>117</v>
      </c>
      <c r="N52" s="12" t="n">
        <v>15</v>
      </c>
      <c r="O52" s="12" t="n">
        <v>2</v>
      </c>
      <c r="P52" s="12" t="n">
        <v>15</v>
      </c>
      <c r="Q52" s="12" t="n">
        <v>59</v>
      </c>
      <c r="R52" s="12" t="n">
        <v>85</v>
      </c>
      <c r="S52" s="12" t="n">
        <v>127</v>
      </c>
      <c r="T52" s="12" t="n">
        <v>11</v>
      </c>
      <c r="U52" s="12" t="n">
        <v>3</v>
      </c>
      <c r="V52" s="12" t="n">
        <v>2</v>
      </c>
      <c r="W52" s="12" t="n">
        <v>0</v>
      </c>
      <c r="X52" s="13" t="n">
        <f aca="false">M52+N52+2*O52+3*P52</f>
        <v>181</v>
      </c>
      <c r="Y52" s="14" t="n">
        <f aca="false">IF(K52=0,0,M52/K52)</f>
        <v>0.247357293868922</v>
      </c>
      <c r="Z52" s="14" t="n">
        <f aca="false">IF(K52+R52+T52+U52=0,0,(M52+R52+T52)/(K52+R52+T52+U52))</f>
        <v>0.372377622377622</v>
      </c>
      <c r="AA52" s="14" t="n">
        <f aca="false">IF(K52=0,0,X52/K52)</f>
        <v>0.382663847780127</v>
      </c>
      <c r="AB52" s="14" t="n">
        <f aca="false">Z52+AA52</f>
        <v>0.755041470157749</v>
      </c>
      <c r="AC52" s="14" t="n">
        <f aca="false">AA52-Y52</f>
        <v>0.135306553911205</v>
      </c>
      <c r="AD52" s="14" t="n">
        <f aca="false">IF(K52-S52-P52+U52=0,0,(M52-P52)/(K52-S52-P52+U52))</f>
        <v>0.305389221556886</v>
      </c>
      <c r="AE52" s="15" t="n">
        <f aca="false">IF(J52=0,0,R52/J52)</f>
        <v>0.148601398601399</v>
      </c>
      <c r="AF52" s="15" t="n">
        <f aca="false">IF(J52=0,0,S52/J52)</f>
        <v>0.222027972027972</v>
      </c>
      <c r="AG52" s="11" t="n">
        <f aca="false">IF(J52&gt;=INDEX(球季參數!$E$2:$E$4,MATCH($A52,球季參數!$A$2:$A$4,0)),1,0)</f>
        <v>1</v>
      </c>
    </row>
    <row r="53" customFormat="false" ht="15" hidden="false" customHeight="false" outlineLevel="0" collapsed="false">
      <c r="A53" s="5" t="n">
        <v>2024</v>
      </c>
      <c r="B53" s="7" t="s">
        <v>679</v>
      </c>
      <c r="C53" s="10" t="str">
        <f aca="false">INDEX(球員主檔!$B$2:$B$749,MATCH($B53,球員主檔!$A$2:$A$749,0))</f>
        <v>Landon Wainwright</v>
      </c>
      <c r="D53" s="7" t="s">
        <v>362</v>
      </c>
      <c r="E53" s="10" t="str">
        <f aca="false">INDEX(球隊主檔!$C$2:$C$31,MATCH($D53,球隊主檔!$A$2:$A$31,0))</f>
        <v>芝加哥白襪</v>
      </c>
      <c r="F53" s="10" t="str">
        <f aca="false">INDEX(球隊主檔!$D$2:$D$31,MATCH($D53,球隊主檔!$A$2:$A$31,0))</f>
        <v>美聯</v>
      </c>
      <c r="G53" s="7" t="s">
        <v>473</v>
      </c>
      <c r="H53" s="11" t="n">
        <f aca="false">INT((DATE($A53,7,1)-INDEX(球員主檔!$G$2:$G$749,MATCH($B53,球員主檔!$A$2:$A$749,0)))/365.25)</f>
        <v>30</v>
      </c>
      <c r="I53" s="12" t="n">
        <v>162</v>
      </c>
      <c r="J53" s="12" t="n">
        <v>685</v>
      </c>
      <c r="K53" s="12" t="n">
        <v>649</v>
      </c>
      <c r="L53" s="12" t="n">
        <v>83</v>
      </c>
      <c r="M53" s="12" t="n">
        <v>162</v>
      </c>
      <c r="N53" s="12" t="n">
        <v>25</v>
      </c>
      <c r="O53" s="12" t="n">
        <v>3</v>
      </c>
      <c r="P53" s="12" t="n">
        <v>16</v>
      </c>
      <c r="Q53" s="12" t="n">
        <v>60</v>
      </c>
      <c r="R53" s="12" t="n">
        <v>25</v>
      </c>
      <c r="S53" s="12" t="n">
        <v>130</v>
      </c>
      <c r="T53" s="12" t="n">
        <v>3</v>
      </c>
      <c r="U53" s="12" t="n">
        <v>8</v>
      </c>
      <c r="V53" s="12" t="n">
        <v>3</v>
      </c>
      <c r="W53" s="12" t="n">
        <v>1</v>
      </c>
      <c r="X53" s="13" t="n">
        <f aca="false">M53+N53+2*O53+3*P53</f>
        <v>241</v>
      </c>
      <c r="Y53" s="14" t="n">
        <f aca="false">IF(K53=0,0,M53/K53)</f>
        <v>0.249614791987673</v>
      </c>
      <c r="Z53" s="14" t="n">
        <f aca="false">IF(K53+R53+T53+U53=0,0,(M53+R53+T53)/(K53+R53+T53+U53))</f>
        <v>0.277372262773723</v>
      </c>
      <c r="AA53" s="14" t="n">
        <f aca="false">IF(K53=0,0,X53/K53)</f>
        <v>0.371340523882897</v>
      </c>
      <c r="AB53" s="14" t="n">
        <f aca="false">Z53+AA53</f>
        <v>0.648712786656619</v>
      </c>
      <c r="AC53" s="14" t="n">
        <f aca="false">AA53-Y53</f>
        <v>0.121725731895223</v>
      </c>
      <c r="AD53" s="14" t="n">
        <f aca="false">IF(K53-S53-P53+U53=0,0,(M53-P53)/(K53-S53-P53+U53))</f>
        <v>0.285714285714286</v>
      </c>
      <c r="AE53" s="15" t="n">
        <f aca="false">IF(J53=0,0,R53/J53)</f>
        <v>0.0364963503649635</v>
      </c>
      <c r="AF53" s="15" t="n">
        <f aca="false">IF(J53=0,0,S53/J53)</f>
        <v>0.18978102189781</v>
      </c>
      <c r="AG53" s="11" t="n">
        <f aca="false">IF(J53&gt;=INDEX(球季參數!$E$2:$E$4,MATCH($A53,球季參數!$A$2:$A$4,0)),1,0)</f>
        <v>1</v>
      </c>
    </row>
    <row r="54" customFormat="false" ht="15" hidden="false" customHeight="false" outlineLevel="0" collapsed="false">
      <c r="A54" s="5" t="n">
        <v>2024</v>
      </c>
      <c r="B54" s="7" t="s">
        <v>681</v>
      </c>
      <c r="C54" s="10" t="str">
        <f aca="false">INDEX(球員主檔!$B$2:$B$749,MATCH($B54,球員主檔!$A$2:$A$749,0))</f>
        <v>Cedric Ulloa</v>
      </c>
      <c r="D54" s="7" t="s">
        <v>362</v>
      </c>
      <c r="E54" s="10" t="str">
        <f aca="false">INDEX(球隊主檔!$C$2:$C$31,MATCH($D54,球隊主檔!$A$2:$A$31,0))</f>
        <v>芝加哥白襪</v>
      </c>
      <c r="F54" s="10" t="str">
        <f aca="false">INDEX(球隊主檔!$D$2:$D$31,MATCH($D54,球隊主檔!$A$2:$A$31,0))</f>
        <v>美聯</v>
      </c>
      <c r="G54" s="7" t="s">
        <v>63</v>
      </c>
      <c r="H54" s="11" t="n">
        <f aca="false">INT((DATE($A54,7,1)-INDEX(球員主檔!$G$2:$G$749,MATCH($B54,球員主檔!$A$2:$A$749,0)))/365.25)</f>
        <v>27</v>
      </c>
      <c r="I54" s="12" t="n">
        <v>160</v>
      </c>
      <c r="J54" s="12" t="n">
        <v>684</v>
      </c>
      <c r="K54" s="12" t="n">
        <v>636</v>
      </c>
      <c r="L54" s="12" t="n">
        <v>61</v>
      </c>
      <c r="M54" s="12" t="n">
        <v>154</v>
      </c>
      <c r="N54" s="12" t="n">
        <v>29</v>
      </c>
      <c r="O54" s="12" t="n">
        <v>4</v>
      </c>
      <c r="P54" s="12" t="n">
        <v>10</v>
      </c>
      <c r="Q54" s="12" t="n">
        <v>46</v>
      </c>
      <c r="R54" s="12" t="n">
        <v>43</v>
      </c>
      <c r="S54" s="12" t="n">
        <v>131</v>
      </c>
      <c r="T54" s="12" t="n">
        <v>3</v>
      </c>
      <c r="U54" s="12" t="n">
        <v>2</v>
      </c>
      <c r="V54" s="12" t="n">
        <v>8</v>
      </c>
      <c r="W54" s="12" t="n">
        <v>1</v>
      </c>
      <c r="X54" s="13" t="n">
        <f aca="false">M54+N54+2*O54+3*P54</f>
        <v>221</v>
      </c>
      <c r="Y54" s="14" t="n">
        <f aca="false">IF(K54=0,0,M54/K54)</f>
        <v>0.242138364779874</v>
      </c>
      <c r="Z54" s="14" t="n">
        <f aca="false">IF(K54+R54+T54+U54=0,0,(M54+R54+T54)/(K54+R54+T54+U54))</f>
        <v>0.292397660818713</v>
      </c>
      <c r="AA54" s="14" t="n">
        <f aca="false">IF(K54=0,0,X54/K54)</f>
        <v>0.34748427672956</v>
      </c>
      <c r="AB54" s="14" t="n">
        <f aca="false">Z54+AA54</f>
        <v>0.639881937548273</v>
      </c>
      <c r="AC54" s="14" t="n">
        <f aca="false">AA54-Y54</f>
        <v>0.105345911949686</v>
      </c>
      <c r="AD54" s="14" t="n">
        <f aca="false">IF(K54-S54-P54+U54=0,0,(M54-P54)/(K54-S54-P54+U54))</f>
        <v>0.289738430583501</v>
      </c>
      <c r="AE54" s="15" t="n">
        <f aca="false">IF(J54=0,0,R54/J54)</f>
        <v>0.0628654970760234</v>
      </c>
      <c r="AF54" s="15" t="n">
        <f aca="false">IF(J54=0,0,S54/J54)</f>
        <v>0.191520467836257</v>
      </c>
      <c r="AG54" s="11" t="n">
        <f aca="false">IF(J54&gt;=INDEX(球季參數!$E$2:$E$4,MATCH($A54,球季參數!$A$2:$A$4,0)),1,0)</f>
        <v>1</v>
      </c>
    </row>
    <row r="55" customFormat="false" ht="15" hidden="false" customHeight="false" outlineLevel="0" collapsed="false">
      <c r="A55" s="5" t="n">
        <v>2024</v>
      </c>
      <c r="B55" s="7" t="s">
        <v>683</v>
      </c>
      <c r="C55" s="10" t="str">
        <f aca="false">INDEX(球員主檔!$B$2:$B$749,MATCH($B55,球員主檔!$A$2:$A$749,0))</f>
        <v>Jedidiah Jaramillo</v>
      </c>
      <c r="D55" s="7" t="s">
        <v>362</v>
      </c>
      <c r="E55" s="10" t="str">
        <f aca="false">INDEX(球隊主檔!$C$2:$C$31,MATCH($D55,球隊主檔!$A$2:$A$31,0))</f>
        <v>芝加哥白襪</v>
      </c>
      <c r="F55" s="10" t="str">
        <f aca="false">INDEX(球隊主檔!$D$2:$D$31,MATCH($D55,球隊主檔!$A$2:$A$31,0))</f>
        <v>美聯</v>
      </c>
      <c r="G55" s="7" t="s">
        <v>470</v>
      </c>
      <c r="H55" s="11" t="n">
        <f aca="false">INT((DATE($A55,7,1)-INDEX(球員主檔!$G$2:$G$749,MATCH($B55,球員主檔!$A$2:$A$749,0)))/365.25)</f>
        <v>28</v>
      </c>
      <c r="I55" s="12" t="n">
        <v>150</v>
      </c>
      <c r="J55" s="12" t="n">
        <v>660</v>
      </c>
      <c r="K55" s="12" t="n">
        <v>605</v>
      </c>
      <c r="L55" s="12" t="n">
        <v>73</v>
      </c>
      <c r="M55" s="12" t="n">
        <v>123</v>
      </c>
      <c r="N55" s="12" t="n">
        <v>42</v>
      </c>
      <c r="O55" s="12" t="n">
        <v>6</v>
      </c>
      <c r="P55" s="12" t="n">
        <v>18</v>
      </c>
      <c r="Q55" s="12" t="n">
        <v>66</v>
      </c>
      <c r="R55" s="12" t="n">
        <v>41</v>
      </c>
      <c r="S55" s="12" t="n">
        <v>136</v>
      </c>
      <c r="T55" s="12" t="n">
        <v>10</v>
      </c>
      <c r="U55" s="12" t="n">
        <v>4</v>
      </c>
      <c r="V55" s="12" t="n">
        <v>23</v>
      </c>
      <c r="W55" s="12" t="n">
        <v>5</v>
      </c>
      <c r="X55" s="13" t="n">
        <f aca="false">M55+N55+2*O55+3*P55</f>
        <v>231</v>
      </c>
      <c r="Y55" s="14" t="n">
        <f aca="false">IF(K55=0,0,M55/K55)</f>
        <v>0.203305785123967</v>
      </c>
      <c r="Z55" s="14" t="n">
        <f aca="false">IF(K55+R55+T55+U55=0,0,(M55+R55+T55)/(K55+R55+T55+U55))</f>
        <v>0.263636363636364</v>
      </c>
      <c r="AA55" s="14" t="n">
        <f aca="false">IF(K55=0,0,X55/K55)</f>
        <v>0.381818181818182</v>
      </c>
      <c r="AB55" s="14" t="n">
        <f aca="false">Z55+AA55</f>
        <v>0.645454545454546</v>
      </c>
      <c r="AC55" s="14" t="n">
        <f aca="false">AA55-Y55</f>
        <v>0.178512396694215</v>
      </c>
      <c r="AD55" s="14" t="n">
        <f aca="false">IF(K55-S55-P55+U55=0,0,(M55-P55)/(K55-S55-P55+U55))</f>
        <v>0.230769230769231</v>
      </c>
      <c r="AE55" s="15" t="n">
        <f aca="false">IF(J55=0,0,R55/J55)</f>
        <v>0.0621212121212121</v>
      </c>
      <c r="AF55" s="15" t="n">
        <f aca="false">IF(J55=0,0,S55/J55)</f>
        <v>0.206060606060606</v>
      </c>
      <c r="AG55" s="11" t="n">
        <f aca="false">IF(J55&gt;=INDEX(球季參數!$E$2:$E$4,MATCH($A55,球季參數!$A$2:$A$4,0)),1,0)</f>
        <v>1</v>
      </c>
    </row>
    <row r="56" customFormat="false" ht="15" hidden="false" customHeight="false" outlineLevel="0" collapsed="false">
      <c r="A56" s="5" t="n">
        <v>2024</v>
      </c>
      <c r="B56" s="7" t="s">
        <v>685</v>
      </c>
      <c r="C56" s="10" t="str">
        <f aca="false">INDEX(球員主檔!$B$2:$B$749,MATCH($B56,球員主檔!$A$2:$A$749,0))</f>
        <v>Fletcher Dubois</v>
      </c>
      <c r="D56" s="7" t="s">
        <v>362</v>
      </c>
      <c r="E56" s="10" t="str">
        <f aca="false">INDEX(球隊主檔!$C$2:$C$31,MATCH($D56,球隊主檔!$A$2:$A$31,0))</f>
        <v>芝加哥白襪</v>
      </c>
      <c r="F56" s="10" t="str">
        <f aca="false">INDEX(球隊主檔!$D$2:$D$31,MATCH($D56,球隊主檔!$A$2:$A$31,0))</f>
        <v>美聯</v>
      </c>
      <c r="G56" s="7" t="s">
        <v>63</v>
      </c>
      <c r="H56" s="11" t="n">
        <f aca="false">INT((DATE($A56,7,1)-INDEX(球員主檔!$G$2:$G$749,MATCH($B56,球員主檔!$A$2:$A$749,0)))/365.25)</f>
        <v>34</v>
      </c>
      <c r="I56" s="12" t="n">
        <v>143</v>
      </c>
      <c r="J56" s="12" t="n">
        <v>604</v>
      </c>
      <c r="K56" s="12" t="n">
        <v>518</v>
      </c>
      <c r="L56" s="12" t="n">
        <v>61</v>
      </c>
      <c r="M56" s="12" t="n">
        <v>124</v>
      </c>
      <c r="N56" s="12" t="n">
        <v>26</v>
      </c>
      <c r="O56" s="12" t="n">
        <v>1</v>
      </c>
      <c r="P56" s="12" t="n">
        <v>9</v>
      </c>
      <c r="Q56" s="12" t="n">
        <v>49</v>
      </c>
      <c r="R56" s="12" t="n">
        <v>81</v>
      </c>
      <c r="S56" s="12" t="n">
        <v>172</v>
      </c>
      <c r="T56" s="12" t="n">
        <v>2</v>
      </c>
      <c r="U56" s="12" t="n">
        <v>3</v>
      </c>
      <c r="V56" s="12" t="n">
        <v>10</v>
      </c>
      <c r="W56" s="12" t="n">
        <v>2</v>
      </c>
      <c r="X56" s="13" t="n">
        <f aca="false">M56+N56+2*O56+3*P56</f>
        <v>179</v>
      </c>
      <c r="Y56" s="14" t="n">
        <f aca="false">IF(K56=0,0,M56/K56)</f>
        <v>0.239382239382239</v>
      </c>
      <c r="Z56" s="14" t="n">
        <f aca="false">IF(K56+R56+T56+U56=0,0,(M56+R56+T56)/(K56+R56+T56+U56))</f>
        <v>0.342715231788079</v>
      </c>
      <c r="AA56" s="14" t="n">
        <f aca="false">IF(K56=0,0,X56/K56)</f>
        <v>0.345559845559846</v>
      </c>
      <c r="AB56" s="14" t="n">
        <f aca="false">Z56+AA56</f>
        <v>0.688275077347925</v>
      </c>
      <c r="AC56" s="14" t="n">
        <f aca="false">AA56-Y56</f>
        <v>0.106177606177606</v>
      </c>
      <c r="AD56" s="14" t="n">
        <f aca="false">IF(K56-S56-P56+U56=0,0,(M56-P56)/(K56-S56-P56+U56))</f>
        <v>0.338235294117647</v>
      </c>
      <c r="AE56" s="15" t="n">
        <f aca="false">IF(J56=0,0,R56/J56)</f>
        <v>0.134105960264901</v>
      </c>
      <c r="AF56" s="15" t="n">
        <f aca="false">IF(J56=0,0,S56/J56)</f>
        <v>0.28476821192053</v>
      </c>
      <c r="AG56" s="11" t="n">
        <f aca="false">IF(J56&gt;=INDEX(球季參數!$E$2:$E$4,MATCH($A56,球季參數!$A$2:$A$4,0)),1,0)</f>
        <v>1</v>
      </c>
    </row>
    <row r="57" customFormat="false" ht="15" hidden="false" customHeight="false" outlineLevel="0" collapsed="false">
      <c r="A57" s="5" t="n">
        <v>2024</v>
      </c>
      <c r="B57" s="7" t="s">
        <v>687</v>
      </c>
      <c r="C57" s="10" t="str">
        <f aca="false">INDEX(球員主檔!$B$2:$B$749,MATCH($B57,球員主檔!$A$2:$A$749,0))</f>
        <v>Thaddeus Sorrentino</v>
      </c>
      <c r="D57" s="7" t="s">
        <v>362</v>
      </c>
      <c r="E57" s="10" t="str">
        <f aca="false">INDEX(球隊主檔!$C$2:$C$31,MATCH($D57,球隊主檔!$A$2:$A$31,0))</f>
        <v>芝加哥白襪</v>
      </c>
      <c r="F57" s="10" t="str">
        <f aca="false">INDEX(球隊主檔!$D$2:$D$31,MATCH($D57,球隊主檔!$A$2:$A$31,0))</f>
        <v>美聯</v>
      </c>
      <c r="G57" s="7" t="s">
        <v>486</v>
      </c>
      <c r="H57" s="11" t="n">
        <f aca="false">INT((DATE($A57,7,1)-INDEX(球員主檔!$G$2:$G$749,MATCH($B57,球員主檔!$A$2:$A$749,0)))/365.25)</f>
        <v>26</v>
      </c>
      <c r="I57" s="12" t="n">
        <v>107</v>
      </c>
      <c r="J57" s="12" t="n">
        <v>439</v>
      </c>
      <c r="K57" s="12" t="n">
        <v>396</v>
      </c>
      <c r="L57" s="12" t="n">
        <v>41</v>
      </c>
      <c r="M57" s="12" t="n">
        <v>90</v>
      </c>
      <c r="N57" s="12" t="n">
        <v>23</v>
      </c>
      <c r="O57" s="12" t="n">
        <v>4</v>
      </c>
      <c r="P57" s="12" t="n">
        <v>10</v>
      </c>
      <c r="Q57" s="12" t="n">
        <v>39</v>
      </c>
      <c r="R57" s="12" t="n">
        <v>34</v>
      </c>
      <c r="S57" s="12" t="n">
        <v>115</v>
      </c>
      <c r="T57" s="12" t="n">
        <v>7</v>
      </c>
      <c r="U57" s="12" t="n">
        <v>2</v>
      </c>
      <c r="V57" s="12" t="n">
        <v>6</v>
      </c>
      <c r="W57" s="12" t="n">
        <v>2</v>
      </c>
      <c r="X57" s="13" t="n">
        <f aca="false">M57+N57+2*O57+3*P57</f>
        <v>151</v>
      </c>
      <c r="Y57" s="14" t="n">
        <f aca="false">IF(K57=0,0,M57/K57)</f>
        <v>0.227272727272727</v>
      </c>
      <c r="Z57" s="14" t="n">
        <f aca="false">IF(K57+R57+T57+U57=0,0,(M57+R57+T57)/(K57+R57+T57+U57))</f>
        <v>0.298405466970387</v>
      </c>
      <c r="AA57" s="14" t="n">
        <f aca="false">IF(K57=0,0,X57/K57)</f>
        <v>0.381313131313131</v>
      </c>
      <c r="AB57" s="14" t="n">
        <f aca="false">Z57+AA57</f>
        <v>0.679718598283519</v>
      </c>
      <c r="AC57" s="14" t="n">
        <f aca="false">AA57-Y57</f>
        <v>0.154040404040404</v>
      </c>
      <c r="AD57" s="14" t="n">
        <f aca="false">IF(K57-S57-P57+U57=0,0,(M57-P57)/(K57-S57-P57+U57))</f>
        <v>0.293040293040293</v>
      </c>
      <c r="AE57" s="15" t="n">
        <f aca="false">IF(J57=0,0,R57/J57)</f>
        <v>0.0774487471526196</v>
      </c>
      <c r="AF57" s="15" t="n">
        <f aca="false">IF(J57=0,0,S57/J57)</f>
        <v>0.261958997722096</v>
      </c>
      <c r="AG57" s="11" t="n">
        <f aca="false">IF(J57&gt;=INDEX(球季參數!$E$2:$E$4,MATCH($A57,球季參數!$A$2:$A$4,0)),1,0)</f>
        <v>0</v>
      </c>
    </row>
    <row r="58" customFormat="false" ht="15" hidden="false" customHeight="false" outlineLevel="0" collapsed="false">
      <c r="A58" s="5" t="n">
        <v>2024</v>
      </c>
      <c r="B58" s="7" t="s">
        <v>689</v>
      </c>
      <c r="C58" s="10" t="str">
        <f aca="false">INDEX(球員主檔!$B$2:$B$749,MATCH($B58,球員主檔!$A$2:$A$749,0))</f>
        <v>Tobias Villalobos</v>
      </c>
      <c r="D58" s="7" t="s">
        <v>362</v>
      </c>
      <c r="E58" s="10" t="str">
        <f aca="false">INDEX(球隊主檔!$C$2:$C$31,MATCH($D58,球隊主檔!$A$2:$A$31,0))</f>
        <v>芝加哥白襪</v>
      </c>
      <c r="F58" s="10" t="str">
        <f aca="false">INDEX(球隊主檔!$D$2:$D$31,MATCH($D58,球隊主檔!$A$2:$A$31,0))</f>
        <v>美聯</v>
      </c>
      <c r="G58" s="7" t="s">
        <v>522</v>
      </c>
      <c r="H58" s="11" t="n">
        <f aca="false">INT((DATE($A58,7,1)-INDEX(球員主檔!$G$2:$G$749,MATCH($B58,球員主檔!$A$2:$A$749,0)))/365.25)</f>
        <v>27</v>
      </c>
      <c r="I58" s="12" t="n">
        <v>124</v>
      </c>
      <c r="J58" s="12" t="n">
        <v>492</v>
      </c>
      <c r="K58" s="12" t="n">
        <v>446</v>
      </c>
      <c r="L58" s="12" t="n">
        <v>55</v>
      </c>
      <c r="M58" s="12" t="n">
        <v>110</v>
      </c>
      <c r="N58" s="12" t="n">
        <v>18</v>
      </c>
      <c r="O58" s="12" t="n">
        <v>7</v>
      </c>
      <c r="P58" s="12" t="n">
        <v>20</v>
      </c>
      <c r="Q58" s="12" t="n">
        <v>67</v>
      </c>
      <c r="R58" s="12" t="n">
        <v>36</v>
      </c>
      <c r="S58" s="12" t="n">
        <v>104</v>
      </c>
      <c r="T58" s="12" t="n">
        <v>9</v>
      </c>
      <c r="U58" s="12" t="n">
        <v>1</v>
      </c>
      <c r="V58" s="12" t="n">
        <v>17</v>
      </c>
      <c r="W58" s="12" t="n">
        <v>6</v>
      </c>
      <c r="X58" s="13" t="n">
        <f aca="false">M58+N58+2*O58+3*P58</f>
        <v>202</v>
      </c>
      <c r="Y58" s="14" t="n">
        <f aca="false">IF(K58=0,0,M58/K58)</f>
        <v>0.246636771300448</v>
      </c>
      <c r="Z58" s="14" t="n">
        <f aca="false">IF(K58+R58+T58+U58=0,0,(M58+R58+T58)/(K58+R58+T58+U58))</f>
        <v>0.315040650406504</v>
      </c>
      <c r="AA58" s="14" t="n">
        <f aca="false">IF(K58=0,0,X58/K58)</f>
        <v>0.452914798206278</v>
      </c>
      <c r="AB58" s="14" t="n">
        <f aca="false">Z58+AA58</f>
        <v>0.767955448612782</v>
      </c>
      <c r="AC58" s="14" t="n">
        <f aca="false">AA58-Y58</f>
        <v>0.20627802690583</v>
      </c>
      <c r="AD58" s="14" t="n">
        <f aca="false">IF(K58-S58-P58+U58=0,0,(M58-P58)/(K58-S58-P58+U58))</f>
        <v>0.278637770897833</v>
      </c>
      <c r="AE58" s="15" t="n">
        <f aca="false">IF(J58=0,0,R58/J58)</f>
        <v>0.0731707317073171</v>
      </c>
      <c r="AF58" s="15" t="n">
        <f aca="false">IF(J58=0,0,S58/J58)</f>
        <v>0.211382113821138</v>
      </c>
      <c r="AG58" s="11" t="n">
        <f aca="false">IF(J58&gt;=INDEX(球季參數!$E$2:$E$4,MATCH($A58,球季參數!$A$2:$A$4,0)),1,0)</f>
        <v>0</v>
      </c>
    </row>
    <row r="59" customFormat="false" ht="15" hidden="false" customHeight="false" outlineLevel="0" collapsed="false">
      <c r="A59" s="5" t="n">
        <v>2024</v>
      </c>
      <c r="B59" s="7" t="s">
        <v>691</v>
      </c>
      <c r="C59" s="10" t="str">
        <f aca="false">INDEX(球員主檔!$B$2:$B$749,MATCH($B59,球員主檔!$A$2:$A$749,0))</f>
        <v>Thaddeus Brightwell</v>
      </c>
      <c r="D59" s="7" t="s">
        <v>362</v>
      </c>
      <c r="E59" s="10" t="str">
        <f aca="false">INDEX(球隊主檔!$C$2:$C$31,MATCH($D59,球隊主檔!$A$2:$A$31,0))</f>
        <v>芝加哥白襪</v>
      </c>
      <c r="F59" s="10" t="str">
        <f aca="false">INDEX(球隊主檔!$D$2:$D$31,MATCH($D59,球隊主檔!$A$2:$A$31,0))</f>
        <v>美聯</v>
      </c>
      <c r="G59" s="7" t="s">
        <v>470</v>
      </c>
      <c r="H59" s="11" t="n">
        <f aca="false">INT((DATE($A59,7,1)-INDEX(球員主檔!$G$2:$G$749,MATCH($B59,球員主檔!$A$2:$A$749,0)))/365.25)</f>
        <v>22</v>
      </c>
      <c r="I59" s="12" t="n">
        <v>102</v>
      </c>
      <c r="J59" s="12" t="n">
        <v>448</v>
      </c>
      <c r="K59" s="12" t="n">
        <v>405</v>
      </c>
      <c r="L59" s="12" t="n">
        <v>60</v>
      </c>
      <c r="M59" s="12" t="n">
        <v>99</v>
      </c>
      <c r="N59" s="12" t="n">
        <v>23</v>
      </c>
      <c r="O59" s="12" t="n">
        <v>3</v>
      </c>
      <c r="P59" s="12" t="n">
        <v>24</v>
      </c>
      <c r="Q59" s="12" t="n">
        <v>78</v>
      </c>
      <c r="R59" s="12" t="n">
        <v>33</v>
      </c>
      <c r="S59" s="12" t="n">
        <v>108</v>
      </c>
      <c r="T59" s="12" t="n">
        <v>8</v>
      </c>
      <c r="U59" s="12" t="n">
        <v>2</v>
      </c>
      <c r="V59" s="12" t="n">
        <v>8</v>
      </c>
      <c r="W59" s="12" t="n">
        <v>3</v>
      </c>
      <c r="X59" s="13" t="n">
        <f aca="false">M59+N59+2*O59+3*P59</f>
        <v>200</v>
      </c>
      <c r="Y59" s="14" t="n">
        <f aca="false">IF(K59=0,0,M59/K59)</f>
        <v>0.244444444444444</v>
      </c>
      <c r="Z59" s="14" t="n">
        <f aca="false">IF(K59+R59+T59+U59=0,0,(M59+R59+T59)/(K59+R59+T59+U59))</f>
        <v>0.3125</v>
      </c>
      <c r="AA59" s="14" t="n">
        <f aca="false">IF(K59=0,0,X59/K59)</f>
        <v>0.493827160493827</v>
      </c>
      <c r="AB59" s="14" t="n">
        <f aca="false">Z59+AA59</f>
        <v>0.806327160493827</v>
      </c>
      <c r="AC59" s="14" t="n">
        <f aca="false">AA59-Y59</f>
        <v>0.249382716049383</v>
      </c>
      <c r="AD59" s="14" t="n">
        <f aca="false">IF(K59-S59-P59+U59=0,0,(M59-P59)/(K59-S59-P59+U59))</f>
        <v>0.272727272727273</v>
      </c>
      <c r="AE59" s="15" t="n">
        <f aca="false">IF(J59=0,0,R59/J59)</f>
        <v>0.0736607142857143</v>
      </c>
      <c r="AF59" s="15" t="n">
        <f aca="false">IF(J59=0,0,S59/J59)</f>
        <v>0.241071428571429</v>
      </c>
      <c r="AG59" s="11" t="n">
        <f aca="false">IF(J59&gt;=INDEX(球季參數!$E$2:$E$4,MATCH($A59,球季參數!$A$2:$A$4,0)),1,0)</f>
        <v>0</v>
      </c>
    </row>
    <row r="60" customFormat="false" ht="15" hidden="false" customHeight="false" outlineLevel="0" collapsed="false">
      <c r="A60" s="5" t="n">
        <v>2024</v>
      </c>
      <c r="B60" s="7" t="s">
        <v>693</v>
      </c>
      <c r="C60" s="10" t="str">
        <f aca="false">INDEX(球員主檔!$B$2:$B$749,MATCH($B60,球員主檔!$A$2:$A$749,0))</f>
        <v>Soren Gallimore</v>
      </c>
      <c r="D60" s="7" t="s">
        <v>362</v>
      </c>
      <c r="E60" s="10" t="str">
        <f aca="false">INDEX(球隊主檔!$C$2:$C$31,MATCH($D60,球隊主檔!$A$2:$A$31,0))</f>
        <v>芝加哥白襪</v>
      </c>
      <c r="F60" s="10" t="str">
        <f aca="false">INDEX(球隊主檔!$D$2:$D$31,MATCH($D60,球隊主檔!$A$2:$A$31,0))</f>
        <v>美聯</v>
      </c>
      <c r="G60" s="7" t="s">
        <v>162</v>
      </c>
      <c r="H60" s="11" t="n">
        <f aca="false">INT((DATE($A60,7,1)-INDEX(球員主檔!$G$2:$G$749,MATCH($B60,球員主檔!$A$2:$A$749,0)))/365.25)</f>
        <v>22</v>
      </c>
      <c r="I60" s="12" t="n">
        <v>55</v>
      </c>
      <c r="J60" s="12" t="n">
        <v>219</v>
      </c>
      <c r="K60" s="12" t="n">
        <v>209</v>
      </c>
      <c r="L60" s="12" t="n">
        <v>28</v>
      </c>
      <c r="M60" s="12" t="n">
        <v>59</v>
      </c>
      <c r="N60" s="12" t="n">
        <v>24</v>
      </c>
      <c r="O60" s="12" t="n">
        <v>4</v>
      </c>
      <c r="P60" s="12" t="n">
        <v>7</v>
      </c>
      <c r="Q60" s="12" t="n">
        <v>23</v>
      </c>
      <c r="R60" s="12" t="n">
        <v>6</v>
      </c>
      <c r="S60" s="12" t="n">
        <v>46</v>
      </c>
      <c r="T60" s="12" t="n">
        <v>1</v>
      </c>
      <c r="U60" s="12" t="n">
        <v>3</v>
      </c>
      <c r="V60" s="12" t="n">
        <v>4</v>
      </c>
      <c r="W60" s="12" t="n">
        <v>1</v>
      </c>
      <c r="X60" s="13" t="n">
        <f aca="false">M60+N60+2*O60+3*P60</f>
        <v>112</v>
      </c>
      <c r="Y60" s="14" t="n">
        <f aca="false">IF(K60=0,0,M60/K60)</f>
        <v>0.282296650717703</v>
      </c>
      <c r="Z60" s="14" t="n">
        <f aca="false">IF(K60+R60+T60+U60=0,0,(M60+R60+T60)/(K60+R60+T60+U60))</f>
        <v>0.301369863013699</v>
      </c>
      <c r="AA60" s="14" t="n">
        <f aca="false">IF(K60=0,0,X60/K60)</f>
        <v>0.535885167464115</v>
      </c>
      <c r="AB60" s="14" t="n">
        <f aca="false">Z60+AA60</f>
        <v>0.837255030477814</v>
      </c>
      <c r="AC60" s="14" t="n">
        <f aca="false">AA60-Y60</f>
        <v>0.253588516746412</v>
      </c>
      <c r="AD60" s="14" t="n">
        <f aca="false">IF(K60-S60-P60+U60=0,0,(M60-P60)/(K60-S60-P60+U60))</f>
        <v>0.327044025157233</v>
      </c>
      <c r="AE60" s="15" t="n">
        <f aca="false">IF(J60=0,0,R60/J60)</f>
        <v>0.0273972602739726</v>
      </c>
      <c r="AF60" s="15" t="n">
        <f aca="false">IF(J60=0,0,S60/J60)</f>
        <v>0.210045662100457</v>
      </c>
      <c r="AG60" s="11" t="n">
        <f aca="false">IF(J60&gt;=INDEX(球季參數!$E$2:$E$4,MATCH($A60,球季參數!$A$2:$A$4,0)),1,0)</f>
        <v>0</v>
      </c>
    </row>
    <row r="61" customFormat="false" ht="15" hidden="false" customHeight="false" outlineLevel="0" collapsed="false">
      <c r="A61" s="5" t="n">
        <v>2024</v>
      </c>
      <c r="B61" s="7" t="s">
        <v>695</v>
      </c>
      <c r="C61" s="10" t="str">
        <f aca="false">INDEX(球員主檔!$B$2:$B$749,MATCH($B61,球員主檔!$A$2:$A$749,0))</f>
        <v>Matthias Ferreira</v>
      </c>
      <c r="D61" s="7" t="s">
        <v>362</v>
      </c>
      <c r="E61" s="10" t="str">
        <f aca="false">INDEX(球隊主檔!$C$2:$C$31,MATCH($D61,球隊主檔!$A$2:$A$31,0))</f>
        <v>芝加哥白襪</v>
      </c>
      <c r="F61" s="10" t="str">
        <f aca="false">INDEX(球隊主檔!$D$2:$D$31,MATCH($D61,球隊主檔!$A$2:$A$31,0))</f>
        <v>美聯</v>
      </c>
      <c r="G61" s="7" t="s">
        <v>162</v>
      </c>
      <c r="H61" s="11" t="n">
        <f aca="false">INT((DATE($A61,7,1)-INDEX(球員主檔!$G$2:$G$749,MATCH($B61,球員主檔!$A$2:$A$749,0)))/365.25)</f>
        <v>27</v>
      </c>
      <c r="I61" s="12" t="n">
        <v>59</v>
      </c>
      <c r="J61" s="12" t="n">
        <v>269</v>
      </c>
      <c r="K61" s="12" t="n">
        <v>250</v>
      </c>
      <c r="L61" s="12" t="n">
        <v>34</v>
      </c>
      <c r="M61" s="12" t="n">
        <v>71</v>
      </c>
      <c r="N61" s="12" t="n">
        <v>30</v>
      </c>
      <c r="O61" s="12" t="n">
        <v>0</v>
      </c>
      <c r="P61" s="12" t="n">
        <v>13</v>
      </c>
      <c r="Q61" s="12" t="n">
        <v>44</v>
      </c>
      <c r="R61" s="12" t="n">
        <v>13</v>
      </c>
      <c r="S61" s="12" t="n">
        <v>79</v>
      </c>
      <c r="T61" s="12" t="n">
        <v>5</v>
      </c>
      <c r="U61" s="12" t="n">
        <v>1</v>
      </c>
      <c r="V61" s="12" t="n">
        <v>2</v>
      </c>
      <c r="W61" s="12" t="n">
        <v>0</v>
      </c>
      <c r="X61" s="13" t="n">
        <f aca="false">M61+N61+2*O61+3*P61</f>
        <v>140</v>
      </c>
      <c r="Y61" s="14" t="n">
        <f aca="false">IF(K61=0,0,M61/K61)</f>
        <v>0.284</v>
      </c>
      <c r="Z61" s="14" t="n">
        <f aca="false">IF(K61+R61+T61+U61=0,0,(M61+R61+T61)/(K61+R61+T61+U61))</f>
        <v>0.330855018587361</v>
      </c>
      <c r="AA61" s="14" t="n">
        <f aca="false">IF(K61=0,0,X61/K61)</f>
        <v>0.56</v>
      </c>
      <c r="AB61" s="14" t="n">
        <f aca="false">Z61+AA61</f>
        <v>0.890855018587361</v>
      </c>
      <c r="AC61" s="14" t="n">
        <f aca="false">AA61-Y61</f>
        <v>0.276</v>
      </c>
      <c r="AD61" s="14" t="n">
        <f aca="false">IF(K61-S61-P61+U61=0,0,(M61-P61)/(K61-S61-P61+U61))</f>
        <v>0.364779874213836</v>
      </c>
      <c r="AE61" s="15" t="n">
        <f aca="false">IF(J61=0,0,R61/J61)</f>
        <v>0.0483271375464684</v>
      </c>
      <c r="AF61" s="15" t="n">
        <f aca="false">IF(J61=0,0,S61/J61)</f>
        <v>0.29368029739777</v>
      </c>
      <c r="AG61" s="11" t="n">
        <f aca="false">IF(J61&gt;=INDEX(球季參數!$E$2:$E$4,MATCH($A61,球季參數!$A$2:$A$4,0)),1,0)</f>
        <v>0</v>
      </c>
    </row>
    <row r="62" customFormat="false" ht="15" hidden="false" customHeight="false" outlineLevel="0" collapsed="false">
      <c r="A62" s="5" t="n">
        <v>2024</v>
      </c>
      <c r="B62" s="7" t="s">
        <v>717</v>
      </c>
      <c r="C62" s="10" t="str">
        <f aca="false">INDEX(球員主檔!$B$2:$B$749,MATCH($B62,球員主檔!$A$2:$A$749,0))</f>
        <v>Tobias Esquivel</v>
      </c>
      <c r="D62" s="7" t="s">
        <v>367</v>
      </c>
      <c r="E62" s="10" t="str">
        <f aca="false">INDEX(球隊主檔!$C$2:$C$31,MATCH($D62,球隊主檔!$A$2:$A$31,0))</f>
        <v>克里夫蘭守護者</v>
      </c>
      <c r="F62" s="10" t="str">
        <f aca="false">INDEX(球隊主檔!$D$2:$D$31,MATCH($D62,球隊主檔!$A$2:$A$31,0))</f>
        <v>美聯</v>
      </c>
      <c r="G62" s="7" t="s">
        <v>470</v>
      </c>
      <c r="H62" s="11" t="n">
        <f aca="false">INT((DATE($A62,7,1)-INDEX(球員主檔!$G$2:$G$749,MATCH($B62,球員主檔!$A$2:$A$749,0)))/365.25)</f>
        <v>24</v>
      </c>
      <c r="I62" s="12" t="n">
        <v>140</v>
      </c>
      <c r="J62" s="12" t="n">
        <v>598</v>
      </c>
      <c r="K62" s="12" t="n">
        <v>541</v>
      </c>
      <c r="L62" s="12" t="n">
        <v>70</v>
      </c>
      <c r="M62" s="12" t="n">
        <v>124</v>
      </c>
      <c r="N62" s="12" t="n">
        <v>30</v>
      </c>
      <c r="O62" s="12" t="n">
        <v>2</v>
      </c>
      <c r="P62" s="12" t="n">
        <v>30</v>
      </c>
      <c r="Q62" s="12" t="n">
        <v>81</v>
      </c>
      <c r="R62" s="12" t="n">
        <v>46</v>
      </c>
      <c r="S62" s="12" t="n">
        <v>143</v>
      </c>
      <c r="T62" s="12" t="n">
        <v>9</v>
      </c>
      <c r="U62" s="12" t="n">
        <v>2</v>
      </c>
      <c r="V62" s="12" t="n">
        <v>8</v>
      </c>
      <c r="W62" s="12" t="n">
        <v>1</v>
      </c>
      <c r="X62" s="13" t="n">
        <f aca="false">M62+N62+2*O62+3*P62</f>
        <v>248</v>
      </c>
      <c r="Y62" s="14" t="n">
        <f aca="false">IF(K62=0,0,M62/K62)</f>
        <v>0.229205175600739</v>
      </c>
      <c r="Z62" s="14" t="n">
        <f aca="false">IF(K62+R62+T62+U62=0,0,(M62+R62+T62)/(K62+R62+T62+U62))</f>
        <v>0.29933110367893</v>
      </c>
      <c r="AA62" s="14" t="n">
        <f aca="false">IF(K62=0,0,X62/K62)</f>
        <v>0.458410351201479</v>
      </c>
      <c r="AB62" s="14" t="n">
        <f aca="false">Z62+AA62</f>
        <v>0.757741454880408</v>
      </c>
      <c r="AC62" s="14" t="n">
        <f aca="false">AA62-Y62</f>
        <v>0.229205175600739</v>
      </c>
      <c r="AD62" s="14" t="n">
        <f aca="false">IF(K62-S62-P62+U62=0,0,(M62-P62)/(K62-S62-P62+U62))</f>
        <v>0.254054054054054</v>
      </c>
      <c r="AE62" s="15" t="n">
        <f aca="false">IF(J62=0,0,R62/J62)</f>
        <v>0.0769230769230769</v>
      </c>
      <c r="AF62" s="15" t="n">
        <f aca="false">IF(J62=0,0,S62/J62)</f>
        <v>0.239130434782609</v>
      </c>
      <c r="AG62" s="11" t="n">
        <f aca="false">IF(J62&gt;=INDEX(球季參數!$E$2:$E$4,MATCH($A62,球季參數!$A$2:$A$4,0)),1,0)</f>
        <v>1</v>
      </c>
    </row>
    <row r="63" customFormat="false" ht="15" hidden="false" customHeight="false" outlineLevel="0" collapsed="false">
      <c r="A63" s="5" t="n">
        <v>2024</v>
      </c>
      <c r="B63" s="7" t="s">
        <v>719</v>
      </c>
      <c r="C63" s="10" t="str">
        <f aca="false">INDEX(球員主檔!$B$2:$B$749,MATCH($B63,球員主檔!$A$2:$A$749,0))</f>
        <v>Desmond Halloway</v>
      </c>
      <c r="D63" s="7" t="s">
        <v>367</v>
      </c>
      <c r="E63" s="10" t="str">
        <f aca="false">INDEX(球隊主檔!$C$2:$C$31,MATCH($D63,球隊主檔!$A$2:$A$31,0))</f>
        <v>克里夫蘭守護者</v>
      </c>
      <c r="F63" s="10" t="str">
        <f aca="false">INDEX(球隊主檔!$D$2:$D$31,MATCH($D63,球隊主檔!$A$2:$A$31,0))</f>
        <v>美聯</v>
      </c>
      <c r="G63" s="7" t="s">
        <v>63</v>
      </c>
      <c r="H63" s="11" t="n">
        <f aca="false">INT((DATE($A63,7,1)-INDEX(球員主檔!$G$2:$G$749,MATCH($B63,球員主檔!$A$2:$A$749,0)))/365.25)</f>
        <v>33</v>
      </c>
      <c r="I63" s="12" t="n">
        <v>146</v>
      </c>
      <c r="J63" s="12" t="n">
        <v>623</v>
      </c>
      <c r="K63" s="12" t="n">
        <v>584</v>
      </c>
      <c r="L63" s="12" t="n">
        <v>63</v>
      </c>
      <c r="M63" s="12" t="n">
        <v>134</v>
      </c>
      <c r="N63" s="12" t="n">
        <v>24</v>
      </c>
      <c r="O63" s="12" t="n">
        <v>5</v>
      </c>
      <c r="P63" s="12" t="n">
        <v>13</v>
      </c>
      <c r="Q63" s="12" t="n">
        <v>60</v>
      </c>
      <c r="R63" s="12" t="n">
        <v>20</v>
      </c>
      <c r="S63" s="12" t="n">
        <v>116</v>
      </c>
      <c r="T63" s="12" t="n">
        <v>13</v>
      </c>
      <c r="U63" s="12" t="n">
        <v>6</v>
      </c>
      <c r="V63" s="12" t="n">
        <v>4</v>
      </c>
      <c r="W63" s="12" t="n">
        <v>1</v>
      </c>
      <c r="X63" s="13" t="n">
        <f aca="false">M63+N63+2*O63+3*P63</f>
        <v>207</v>
      </c>
      <c r="Y63" s="14" t="n">
        <f aca="false">IF(K63=0,0,M63/K63)</f>
        <v>0.229452054794521</v>
      </c>
      <c r="Z63" s="14" t="n">
        <f aca="false">IF(K63+R63+T63+U63=0,0,(M63+R63+T63)/(K63+R63+T63+U63))</f>
        <v>0.268057784911718</v>
      </c>
      <c r="AA63" s="14" t="n">
        <f aca="false">IF(K63=0,0,X63/K63)</f>
        <v>0.354452054794521</v>
      </c>
      <c r="AB63" s="14" t="n">
        <f aca="false">Z63+AA63</f>
        <v>0.622509839706238</v>
      </c>
      <c r="AC63" s="14" t="n">
        <f aca="false">AA63-Y63</f>
        <v>0.125</v>
      </c>
      <c r="AD63" s="14" t="n">
        <f aca="false">IF(K63-S63-P63+U63=0,0,(M63-P63)/(K63-S63-P63+U63))</f>
        <v>0.262472885032538</v>
      </c>
      <c r="AE63" s="15" t="n">
        <f aca="false">IF(J63=0,0,R63/J63)</f>
        <v>0.0321027287319422</v>
      </c>
      <c r="AF63" s="15" t="n">
        <f aca="false">IF(J63=0,0,S63/J63)</f>
        <v>0.186195826645265</v>
      </c>
      <c r="AG63" s="11" t="n">
        <f aca="false">IF(J63&gt;=INDEX(球季參數!$E$2:$E$4,MATCH($A63,球季參數!$A$2:$A$4,0)),1,0)</f>
        <v>1</v>
      </c>
    </row>
    <row r="64" customFormat="false" ht="15" hidden="false" customHeight="false" outlineLevel="0" collapsed="false">
      <c r="A64" s="5" t="n">
        <v>2024</v>
      </c>
      <c r="B64" s="7" t="s">
        <v>721</v>
      </c>
      <c r="C64" s="10" t="str">
        <f aca="false">INDEX(球員主檔!$B$2:$B$749,MATCH($B64,球員主檔!$A$2:$A$749,0))</f>
        <v>Lorenzo Jovanović</v>
      </c>
      <c r="D64" s="7" t="s">
        <v>367</v>
      </c>
      <c r="E64" s="10" t="str">
        <f aca="false">INDEX(球隊主檔!$C$2:$C$31,MATCH($D64,球隊主檔!$A$2:$A$31,0))</f>
        <v>克里夫蘭守護者</v>
      </c>
      <c r="F64" s="10" t="str">
        <f aca="false">INDEX(球隊主檔!$D$2:$D$31,MATCH($D64,球隊主檔!$A$2:$A$31,0))</f>
        <v>美聯</v>
      </c>
      <c r="G64" s="7" t="s">
        <v>470</v>
      </c>
      <c r="H64" s="11" t="n">
        <f aca="false">INT((DATE($A64,7,1)-INDEX(球員主檔!$G$2:$G$749,MATCH($B64,球員主檔!$A$2:$A$749,0)))/365.25)</f>
        <v>22</v>
      </c>
      <c r="I64" s="12" t="n">
        <v>156</v>
      </c>
      <c r="J64" s="12" t="n">
        <v>683</v>
      </c>
      <c r="K64" s="12" t="n">
        <v>606</v>
      </c>
      <c r="L64" s="12" t="n">
        <v>91</v>
      </c>
      <c r="M64" s="12" t="n">
        <v>163</v>
      </c>
      <c r="N64" s="12" t="n">
        <v>17</v>
      </c>
      <c r="O64" s="12" t="n">
        <v>4</v>
      </c>
      <c r="P64" s="12" t="n">
        <v>24</v>
      </c>
      <c r="Q64" s="12" t="n">
        <v>89</v>
      </c>
      <c r="R64" s="12" t="n">
        <v>63</v>
      </c>
      <c r="S64" s="12" t="n">
        <v>166</v>
      </c>
      <c r="T64" s="12" t="n">
        <v>10</v>
      </c>
      <c r="U64" s="12" t="n">
        <v>4</v>
      </c>
      <c r="V64" s="12" t="n">
        <v>51</v>
      </c>
      <c r="W64" s="12" t="n">
        <v>9</v>
      </c>
      <c r="X64" s="13" t="n">
        <f aca="false">M64+N64+2*O64+3*P64</f>
        <v>260</v>
      </c>
      <c r="Y64" s="14" t="n">
        <f aca="false">IF(K64=0,0,M64/K64)</f>
        <v>0.268976897689769</v>
      </c>
      <c r="Z64" s="14" t="n">
        <f aca="false">IF(K64+R64+T64+U64=0,0,(M64+R64+T64)/(K64+R64+T64+U64))</f>
        <v>0.345534407027818</v>
      </c>
      <c r="AA64" s="14" t="n">
        <f aca="false">IF(K64=0,0,X64/K64)</f>
        <v>0.429042904290429</v>
      </c>
      <c r="AB64" s="14" t="n">
        <f aca="false">Z64+AA64</f>
        <v>0.774577311318248</v>
      </c>
      <c r="AC64" s="14" t="n">
        <f aca="false">AA64-Y64</f>
        <v>0.16006600660066</v>
      </c>
      <c r="AD64" s="14" t="n">
        <f aca="false">IF(K64-S64-P64+U64=0,0,(M64-P64)/(K64-S64-P64+U64))</f>
        <v>0.330952380952381</v>
      </c>
      <c r="AE64" s="15" t="n">
        <f aca="false">IF(J64=0,0,R64/J64)</f>
        <v>0.0922401171303075</v>
      </c>
      <c r="AF64" s="15" t="n">
        <f aca="false">IF(J64=0,0,S64/J64)</f>
        <v>0.243045387994144</v>
      </c>
      <c r="AG64" s="11" t="n">
        <f aca="false">IF(J64&gt;=INDEX(球季參數!$E$2:$E$4,MATCH($A64,球季參數!$A$2:$A$4,0)),1,0)</f>
        <v>1</v>
      </c>
    </row>
    <row r="65" customFormat="false" ht="15" hidden="false" customHeight="false" outlineLevel="0" collapsed="false">
      <c r="A65" s="5" t="n">
        <v>2024</v>
      </c>
      <c r="B65" s="7" t="s">
        <v>723</v>
      </c>
      <c r="C65" s="10" t="str">
        <f aca="false">INDEX(球員主檔!$B$2:$B$749,MATCH($B65,球員主檔!$A$2:$A$749,0))</f>
        <v>Cedric Thorsby</v>
      </c>
      <c r="D65" s="7" t="s">
        <v>367</v>
      </c>
      <c r="E65" s="10" t="str">
        <f aca="false">INDEX(球隊主檔!$C$2:$C$31,MATCH($D65,球隊主檔!$A$2:$A$31,0))</f>
        <v>克里夫蘭守護者</v>
      </c>
      <c r="F65" s="10" t="str">
        <f aca="false">INDEX(球隊主檔!$D$2:$D$31,MATCH($D65,球隊主檔!$A$2:$A$31,0))</f>
        <v>美聯</v>
      </c>
      <c r="G65" s="7" t="s">
        <v>478</v>
      </c>
      <c r="H65" s="11" t="n">
        <f aca="false">INT((DATE($A65,7,1)-INDEX(球員主檔!$G$2:$G$749,MATCH($B65,球員主檔!$A$2:$A$749,0)))/365.25)</f>
        <v>34</v>
      </c>
      <c r="I65" s="12" t="n">
        <v>159</v>
      </c>
      <c r="J65" s="12" t="n">
        <v>635</v>
      </c>
      <c r="K65" s="12" t="n">
        <v>566</v>
      </c>
      <c r="L65" s="12" t="n">
        <v>57</v>
      </c>
      <c r="M65" s="12" t="n">
        <v>131</v>
      </c>
      <c r="N65" s="12" t="n">
        <v>26</v>
      </c>
      <c r="O65" s="12" t="n">
        <v>1</v>
      </c>
      <c r="P65" s="12" t="n">
        <v>8</v>
      </c>
      <c r="Q65" s="12" t="n">
        <v>53</v>
      </c>
      <c r="R65" s="12" t="n">
        <v>56</v>
      </c>
      <c r="S65" s="12" t="n">
        <v>119</v>
      </c>
      <c r="T65" s="12" t="n">
        <v>9</v>
      </c>
      <c r="U65" s="12" t="n">
        <v>4</v>
      </c>
      <c r="V65" s="12" t="n">
        <v>16</v>
      </c>
      <c r="W65" s="12" t="n">
        <v>2</v>
      </c>
      <c r="X65" s="13" t="n">
        <f aca="false">M65+N65+2*O65+3*P65</f>
        <v>183</v>
      </c>
      <c r="Y65" s="14" t="n">
        <f aca="false">IF(K65=0,0,M65/K65)</f>
        <v>0.231448763250883</v>
      </c>
      <c r="Z65" s="14" t="n">
        <f aca="false">IF(K65+R65+T65+U65=0,0,(M65+R65+T65)/(K65+R65+T65+U65))</f>
        <v>0.308661417322835</v>
      </c>
      <c r="AA65" s="14" t="n">
        <f aca="false">IF(K65=0,0,X65/K65)</f>
        <v>0.323321554770318</v>
      </c>
      <c r="AB65" s="14" t="n">
        <f aca="false">Z65+AA65</f>
        <v>0.631982972093153</v>
      </c>
      <c r="AC65" s="14" t="n">
        <f aca="false">AA65-Y65</f>
        <v>0.0918727915194346</v>
      </c>
      <c r="AD65" s="14" t="n">
        <f aca="false">IF(K65-S65-P65+U65=0,0,(M65-P65)/(K65-S65-P65+U65))</f>
        <v>0.27765237020316</v>
      </c>
      <c r="AE65" s="15" t="n">
        <f aca="false">IF(J65=0,0,R65/J65)</f>
        <v>0.0881889763779528</v>
      </c>
      <c r="AF65" s="15" t="n">
        <f aca="false">IF(J65=0,0,S65/J65)</f>
        <v>0.18740157480315</v>
      </c>
      <c r="AG65" s="11" t="n">
        <f aca="false">IF(J65&gt;=INDEX(球季參數!$E$2:$E$4,MATCH($A65,球季參數!$A$2:$A$4,0)),1,0)</f>
        <v>1</v>
      </c>
    </row>
    <row r="66" customFormat="false" ht="15" hidden="false" customHeight="false" outlineLevel="0" collapsed="false">
      <c r="A66" s="5" t="n">
        <v>2024</v>
      </c>
      <c r="B66" s="7" t="s">
        <v>725</v>
      </c>
      <c r="C66" s="10" t="str">
        <f aca="false">INDEX(球員主檔!$B$2:$B$749,MATCH($B66,球員主檔!$A$2:$A$749,0))</f>
        <v>Quentin Vasquez</v>
      </c>
      <c r="D66" s="7" t="s">
        <v>367</v>
      </c>
      <c r="E66" s="10" t="str">
        <f aca="false">INDEX(球隊主檔!$C$2:$C$31,MATCH($D66,球隊主檔!$A$2:$A$31,0))</f>
        <v>克里夫蘭守護者</v>
      </c>
      <c r="F66" s="10" t="str">
        <f aca="false">INDEX(球隊主檔!$D$2:$D$31,MATCH($D66,球隊主檔!$A$2:$A$31,0))</f>
        <v>美聯</v>
      </c>
      <c r="G66" s="7" t="s">
        <v>158</v>
      </c>
      <c r="H66" s="11" t="n">
        <f aca="false">INT((DATE($A66,7,1)-INDEX(球員主檔!$G$2:$G$749,MATCH($B66,球員主檔!$A$2:$A$749,0)))/365.25)</f>
        <v>31</v>
      </c>
      <c r="I66" s="12" t="n">
        <v>130</v>
      </c>
      <c r="J66" s="12" t="n">
        <v>562</v>
      </c>
      <c r="K66" s="12" t="n">
        <v>531</v>
      </c>
      <c r="L66" s="12" t="n">
        <v>70</v>
      </c>
      <c r="M66" s="12" t="n">
        <v>129</v>
      </c>
      <c r="N66" s="12" t="n">
        <v>35</v>
      </c>
      <c r="O66" s="12" t="n">
        <v>2</v>
      </c>
      <c r="P66" s="12" t="n">
        <v>25</v>
      </c>
      <c r="Q66" s="12" t="n">
        <v>83</v>
      </c>
      <c r="R66" s="12" t="n">
        <v>24</v>
      </c>
      <c r="S66" s="12" t="n">
        <v>165</v>
      </c>
      <c r="T66" s="12" t="n">
        <v>3</v>
      </c>
      <c r="U66" s="12" t="n">
        <v>4</v>
      </c>
      <c r="V66" s="12" t="n">
        <v>30</v>
      </c>
      <c r="W66" s="12" t="n">
        <v>5</v>
      </c>
      <c r="X66" s="13" t="n">
        <f aca="false">M66+N66+2*O66+3*P66</f>
        <v>243</v>
      </c>
      <c r="Y66" s="14" t="n">
        <f aca="false">IF(K66=0,0,M66/K66)</f>
        <v>0.242937853107345</v>
      </c>
      <c r="Z66" s="14" t="n">
        <f aca="false">IF(K66+R66+T66+U66=0,0,(M66+R66+T66)/(K66+R66+T66+U66))</f>
        <v>0.277580071174377</v>
      </c>
      <c r="AA66" s="14" t="n">
        <f aca="false">IF(K66=0,0,X66/K66)</f>
        <v>0.457627118644068</v>
      </c>
      <c r="AB66" s="14" t="n">
        <f aca="false">Z66+AA66</f>
        <v>0.735207189818445</v>
      </c>
      <c r="AC66" s="14" t="n">
        <f aca="false">AA66-Y66</f>
        <v>0.214689265536723</v>
      </c>
      <c r="AD66" s="14" t="n">
        <f aca="false">IF(K66-S66-P66+U66=0,0,(M66-P66)/(K66-S66-P66+U66))</f>
        <v>0.301449275362319</v>
      </c>
      <c r="AE66" s="15" t="n">
        <f aca="false">IF(J66=0,0,R66/J66)</f>
        <v>0.0427046263345196</v>
      </c>
      <c r="AF66" s="15" t="n">
        <f aca="false">IF(J66=0,0,S66/J66)</f>
        <v>0.293594306049822</v>
      </c>
      <c r="AG66" s="11" t="n">
        <f aca="false">IF(J66&gt;=INDEX(球季參數!$E$2:$E$4,MATCH($A66,球季參數!$A$2:$A$4,0)),1,0)</f>
        <v>1</v>
      </c>
    </row>
    <row r="67" customFormat="false" ht="15" hidden="false" customHeight="false" outlineLevel="0" collapsed="false">
      <c r="A67" s="5" t="n">
        <v>2024</v>
      </c>
      <c r="B67" s="7" t="s">
        <v>727</v>
      </c>
      <c r="C67" s="10" t="str">
        <f aca="false">INDEX(球員主檔!$B$2:$B$749,MATCH($B67,球員主檔!$A$2:$A$749,0))</f>
        <v>Hugo Kowalczyk</v>
      </c>
      <c r="D67" s="7" t="s">
        <v>367</v>
      </c>
      <c r="E67" s="10" t="str">
        <f aca="false">INDEX(球隊主檔!$C$2:$C$31,MATCH($D67,球隊主檔!$A$2:$A$31,0))</f>
        <v>克里夫蘭守護者</v>
      </c>
      <c r="F67" s="10" t="str">
        <f aca="false">INDEX(球隊主檔!$D$2:$D$31,MATCH($D67,球隊主檔!$A$2:$A$31,0))</f>
        <v>美聯</v>
      </c>
      <c r="G67" s="7" t="s">
        <v>522</v>
      </c>
      <c r="H67" s="11" t="n">
        <f aca="false">INT((DATE($A67,7,1)-INDEX(球員主檔!$G$2:$G$749,MATCH($B67,球員主檔!$A$2:$A$749,0)))/365.25)</f>
        <v>26</v>
      </c>
      <c r="I67" s="12" t="n">
        <v>122</v>
      </c>
      <c r="J67" s="12" t="n">
        <v>488</v>
      </c>
      <c r="K67" s="12" t="n">
        <v>449</v>
      </c>
      <c r="L67" s="12" t="n">
        <v>52</v>
      </c>
      <c r="M67" s="12" t="n">
        <v>107</v>
      </c>
      <c r="N67" s="12" t="n">
        <v>25</v>
      </c>
      <c r="O67" s="12" t="n">
        <v>11</v>
      </c>
      <c r="P67" s="12" t="n">
        <v>20</v>
      </c>
      <c r="Q67" s="12" t="n">
        <v>70</v>
      </c>
      <c r="R67" s="12" t="n">
        <v>28</v>
      </c>
      <c r="S67" s="12" t="n">
        <v>86</v>
      </c>
      <c r="T67" s="12" t="n">
        <v>8</v>
      </c>
      <c r="U67" s="12" t="n">
        <v>3</v>
      </c>
      <c r="V67" s="12" t="n">
        <v>8</v>
      </c>
      <c r="W67" s="12" t="n">
        <v>2</v>
      </c>
      <c r="X67" s="13" t="n">
        <f aca="false">M67+N67+2*O67+3*P67</f>
        <v>214</v>
      </c>
      <c r="Y67" s="14" t="n">
        <f aca="false">IF(K67=0,0,M67/K67)</f>
        <v>0.238307349665924</v>
      </c>
      <c r="Z67" s="14" t="n">
        <f aca="false">IF(K67+R67+T67+U67=0,0,(M67+R67+T67)/(K67+R67+T67+U67))</f>
        <v>0.293032786885246</v>
      </c>
      <c r="AA67" s="14" t="n">
        <f aca="false">IF(K67=0,0,X67/K67)</f>
        <v>0.476614699331849</v>
      </c>
      <c r="AB67" s="14" t="n">
        <f aca="false">Z67+AA67</f>
        <v>0.769647486217095</v>
      </c>
      <c r="AC67" s="14" t="n">
        <f aca="false">AA67-Y67</f>
        <v>0.238307349665924</v>
      </c>
      <c r="AD67" s="14" t="n">
        <f aca="false">IF(K67-S67-P67+U67=0,0,(M67-P67)/(K67-S67-P67+U67))</f>
        <v>0.251445086705202</v>
      </c>
      <c r="AE67" s="15" t="n">
        <f aca="false">IF(J67=0,0,R67/J67)</f>
        <v>0.0573770491803279</v>
      </c>
      <c r="AF67" s="15" t="n">
        <f aca="false">IF(J67=0,0,S67/J67)</f>
        <v>0.176229508196721</v>
      </c>
      <c r="AG67" s="11" t="n">
        <f aca="false">IF(J67&gt;=INDEX(球季參數!$E$2:$E$4,MATCH($A67,球季參數!$A$2:$A$4,0)),1,0)</f>
        <v>0</v>
      </c>
    </row>
    <row r="68" customFormat="false" ht="15" hidden="false" customHeight="false" outlineLevel="0" collapsed="false">
      <c r="A68" s="5" t="n">
        <v>2024</v>
      </c>
      <c r="B68" s="7" t="s">
        <v>729</v>
      </c>
      <c r="C68" s="10" t="str">
        <f aca="false">INDEX(球員主檔!$B$2:$B$749,MATCH($B68,球員主檔!$A$2:$A$749,0))</f>
        <v>Yusuke Kowalczyk</v>
      </c>
      <c r="D68" s="7" t="s">
        <v>367</v>
      </c>
      <c r="E68" s="10" t="str">
        <f aca="false">INDEX(球隊主檔!$C$2:$C$31,MATCH($D68,球隊主檔!$A$2:$A$31,0))</f>
        <v>克里夫蘭守護者</v>
      </c>
      <c r="F68" s="10" t="str">
        <f aca="false">INDEX(球隊主檔!$D$2:$D$31,MATCH($D68,球隊主檔!$A$2:$A$31,0))</f>
        <v>美聯</v>
      </c>
      <c r="G68" s="7" t="s">
        <v>486</v>
      </c>
      <c r="H68" s="11" t="n">
        <f aca="false">INT((DATE($A68,7,1)-INDEX(球員主檔!$G$2:$G$749,MATCH($B68,球員主檔!$A$2:$A$749,0)))/365.25)</f>
        <v>28</v>
      </c>
      <c r="I68" s="12" t="n">
        <v>104</v>
      </c>
      <c r="J68" s="12" t="n">
        <v>454</v>
      </c>
      <c r="K68" s="12" t="n">
        <v>422</v>
      </c>
      <c r="L68" s="12" t="n">
        <v>56</v>
      </c>
      <c r="M68" s="12" t="n">
        <v>115</v>
      </c>
      <c r="N68" s="12" t="n">
        <v>40</v>
      </c>
      <c r="O68" s="12" t="n">
        <v>9</v>
      </c>
      <c r="P68" s="12" t="n">
        <v>19</v>
      </c>
      <c r="Q68" s="12" t="n">
        <v>64</v>
      </c>
      <c r="R68" s="12" t="n">
        <v>26</v>
      </c>
      <c r="S68" s="12" t="n">
        <v>49</v>
      </c>
      <c r="T68" s="12" t="n">
        <v>4</v>
      </c>
      <c r="U68" s="12" t="n">
        <v>2</v>
      </c>
      <c r="V68" s="12" t="n">
        <v>7</v>
      </c>
      <c r="W68" s="12" t="n">
        <v>1</v>
      </c>
      <c r="X68" s="13" t="n">
        <f aca="false">M68+N68+2*O68+3*P68</f>
        <v>230</v>
      </c>
      <c r="Y68" s="14" t="n">
        <f aca="false">IF(K68=0,0,M68/K68)</f>
        <v>0.272511848341232</v>
      </c>
      <c r="Z68" s="14" t="n">
        <f aca="false">IF(K68+R68+T68+U68=0,0,(M68+R68+T68)/(K68+R68+T68+U68))</f>
        <v>0.319383259911894</v>
      </c>
      <c r="AA68" s="14" t="n">
        <f aca="false">IF(K68=0,0,X68/K68)</f>
        <v>0.545023696682464</v>
      </c>
      <c r="AB68" s="14" t="n">
        <f aca="false">Z68+AA68</f>
        <v>0.864406956594359</v>
      </c>
      <c r="AC68" s="14" t="n">
        <f aca="false">AA68-Y68</f>
        <v>0.272511848341232</v>
      </c>
      <c r="AD68" s="14" t="n">
        <f aca="false">IF(K68-S68-P68+U68=0,0,(M68-P68)/(K68-S68-P68+U68))</f>
        <v>0.269662921348315</v>
      </c>
      <c r="AE68" s="15" t="n">
        <f aca="false">IF(J68=0,0,R68/J68)</f>
        <v>0.0572687224669604</v>
      </c>
      <c r="AF68" s="15" t="n">
        <f aca="false">IF(J68=0,0,S68/J68)</f>
        <v>0.107929515418502</v>
      </c>
      <c r="AG68" s="11" t="n">
        <f aca="false">IF(J68&gt;=INDEX(球季參數!$E$2:$E$4,MATCH($A68,球季參數!$A$2:$A$4,0)),1,0)</f>
        <v>0</v>
      </c>
    </row>
    <row r="69" customFormat="false" ht="15" hidden="false" customHeight="false" outlineLevel="0" collapsed="false">
      <c r="A69" s="5" t="n">
        <v>2024</v>
      </c>
      <c r="B69" s="7" t="s">
        <v>731</v>
      </c>
      <c r="C69" s="10" t="str">
        <f aca="false">INDEX(球員主檔!$B$2:$B$749,MATCH($B69,球員主檔!$A$2:$A$749,0))</f>
        <v>Rhett Oyelaran</v>
      </c>
      <c r="D69" s="7" t="s">
        <v>367</v>
      </c>
      <c r="E69" s="10" t="str">
        <f aca="false">INDEX(球隊主檔!$C$2:$C$31,MATCH($D69,球隊主檔!$A$2:$A$31,0))</f>
        <v>克里夫蘭守護者</v>
      </c>
      <c r="F69" s="10" t="str">
        <f aca="false">INDEX(球隊主檔!$D$2:$D$31,MATCH($D69,球隊主檔!$A$2:$A$31,0))</f>
        <v>美聯</v>
      </c>
      <c r="G69" s="7" t="s">
        <v>478</v>
      </c>
      <c r="H69" s="11" t="n">
        <f aca="false">INT((DATE($A69,7,1)-INDEX(球員主檔!$G$2:$G$749,MATCH($B69,球員主檔!$A$2:$A$749,0)))/365.25)</f>
        <v>21</v>
      </c>
      <c r="I69" s="12" t="n">
        <v>97</v>
      </c>
      <c r="J69" s="12" t="n">
        <v>411</v>
      </c>
      <c r="K69" s="12" t="n">
        <v>361</v>
      </c>
      <c r="L69" s="12" t="n">
        <v>48</v>
      </c>
      <c r="M69" s="12" t="n">
        <v>79</v>
      </c>
      <c r="N69" s="12" t="n">
        <v>24</v>
      </c>
      <c r="O69" s="12" t="n">
        <v>7</v>
      </c>
      <c r="P69" s="12" t="n">
        <v>16</v>
      </c>
      <c r="Q69" s="12" t="n">
        <v>55</v>
      </c>
      <c r="R69" s="12" t="n">
        <v>43</v>
      </c>
      <c r="S69" s="12" t="n">
        <v>96</v>
      </c>
      <c r="T69" s="12" t="n">
        <v>2</v>
      </c>
      <c r="U69" s="12" t="n">
        <v>5</v>
      </c>
      <c r="V69" s="12" t="n">
        <v>7</v>
      </c>
      <c r="W69" s="12" t="n">
        <v>2</v>
      </c>
      <c r="X69" s="13" t="n">
        <f aca="false">M69+N69+2*O69+3*P69</f>
        <v>165</v>
      </c>
      <c r="Y69" s="14" t="n">
        <f aca="false">IF(K69=0,0,M69/K69)</f>
        <v>0.218836565096953</v>
      </c>
      <c r="Z69" s="14" t="n">
        <f aca="false">IF(K69+R69+T69+U69=0,0,(M69+R69+T69)/(K69+R69+T69+U69))</f>
        <v>0.301703163017032</v>
      </c>
      <c r="AA69" s="14" t="n">
        <f aca="false">IF(K69=0,0,X69/K69)</f>
        <v>0.457063711911357</v>
      </c>
      <c r="AB69" s="14" t="n">
        <f aca="false">Z69+AA69</f>
        <v>0.758766874928389</v>
      </c>
      <c r="AC69" s="14" t="n">
        <f aca="false">AA69-Y69</f>
        <v>0.238227146814404</v>
      </c>
      <c r="AD69" s="14" t="n">
        <f aca="false">IF(K69-S69-P69+U69=0,0,(M69-P69)/(K69-S69-P69+U69))</f>
        <v>0.248031496062992</v>
      </c>
      <c r="AE69" s="15" t="n">
        <f aca="false">IF(J69=0,0,R69/J69)</f>
        <v>0.104622871046229</v>
      </c>
      <c r="AF69" s="15" t="n">
        <f aca="false">IF(J69=0,0,S69/J69)</f>
        <v>0.233576642335766</v>
      </c>
      <c r="AG69" s="11" t="n">
        <f aca="false">IF(J69&gt;=INDEX(球季參數!$E$2:$E$4,MATCH($A69,球季參數!$A$2:$A$4,0)),1,0)</f>
        <v>0</v>
      </c>
    </row>
    <row r="70" customFormat="false" ht="15" hidden="false" customHeight="false" outlineLevel="0" collapsed="false">
      <c r="A70" s="5" t="n">
        <v>2024</v>
      </c>
      <c r="B70" s="7" t="s">
        <v>733</v>
      </c>
      <c r="C70" s="10" t="str">
        <f aca="false">INDEX(球員主檔!$B$2:$B$749,MATCH($B70,球員主檔!$A$2:$A$749,0))</f>
        <v>Quentin Rasmussen</v>
      </c>
      <c r="D70" s="7" t="s">
        <v>367</v>
      </c>
      <c r="E70" s="10" t="str">
        <f aca="false">INDEX(球隊主檔!$C$2:$C$31,MATCH($D70,球隊主檔!$A$2:$A$31,0))</f>
        <v>克里夫蘭守護者</v>
      </c>
      <c r="F70" s="10" t="str">
        <f aca="false">INDEX(球隊主檔!$D$2:$D$31,MATCH($D70,球隊主檔!$A$2:$A$31,0))</f>
        <v>美聯</v>
      </c>
      <c r="G70" s="7" t="s">
        <v>470</v>
      </c>
      <c r="H70" s="11" t="n">
        <f aca="false">INT((DATE($A70,7,1)-INDEX(球員主檔!$G$2:$G$749,MATCH($B70,球員主檔!$A$2:$A$749,0)))/365.25)</f>
        <v>33</v>
      </c>
      <c r="I70" s="12" t="n">
        <v>74</v>
      </c>
      <c r="J70" s="12" t="n">
        <v>326</v>
      </c>
      <c r="K70" s="12" t="n">
        <v>290</v>
      </c>
      <c r="L70" s="12" t="n">
        <v>38</v>
      </c>
      <c r="M70" s="12" t="n">
        <v>76</v>
      </c>
      <c r="N70" s="12" t="n">
        <v>19</v>
      </c>
      <c r="O70" s="12" t="n">
        <v>0</v>
      </c>
      <c r="P70" s="12" t="n">
        <v>5</v>
      </c>
      <c r="Q70" s="12" t="n">
        <v>27</v>
      </c>
      <c r="R70" s="12" t="n">
        <v>30</v>
      </c>
      <c r="S70" s="12" t="n">
        <v>73</v>
      </c>
      <c r="T70" s="12" t="n">
        <v>5</v>
      </c>
      <c r="U70" s="12" t="n">
        <v>1</v>
      </c>
      <c r="V70" s="12" t="n">
        <v>2</v>
      </c>
      <c r="W70" s="12" t="n">
        <v>1</v>
      </c>
      <c r="X70" s="13" t="n">
        <f aca="false">M70+N70+2*O70+3*P70</f>
        <v>110</v>
      </c>
      <c r="Y70" s="14" t="n">
        <f aca="false">IF(K70=0,0,M70/K70)</f>
        <v>0.262068965517241</v>
      </c>
      <c r="Z70" s="14" t="n">
        <f aca="false">IF(K70+R70+T70+U70=0,0,(M70+R70+T70)/(K70+R70+T70+U70))</f>
        <v>0.340490797546012</v>
      </c>
      <c r="AA70" s="14" t="n">
        <f aca="false">IF(K70=0,0,X70/K70)</f>
        <v>0.379310344827586</v>
      </c>
      <c r="AB70" s="14" t="n">
        <f aca="false">Z70+AA70</f>
        <v>0.719801142373598</v>
      </c>
      <c r="AC70" s="14" t="n">
        <f aca="false">AA70-Y70</f>
        <v>0.117241379310345</v>
      </c>
      <c r="AD70" s="14" t="n">
        <f aca="false">IF(K70-S70-P70+U70=0,0,(M70-P70)/(K70-S70-P70+U70))</f>
        <v>0.333333333333333</v>
      </c>
      <c r="AE70" s="15" t="n">
        <f aca="false">IF(J70=0,0,R70/J70)</f>
        <v>0.0920245398773006</v>
      </c>
      <c r="AF70" s="15" t="n">
        <f aca="false">IF(J70=0,0,S70/J70)</f>
        <v>0.223926380368098</v>
      </c>
      <c r="AG70" s="11" t="n">
        <f aca="false">IF(J70&gt;=INDEX(球季參數!$E$2:$E$4,MATCH($A70,球季參數!$A$2:$A$4,0)),1,0)</f>
        <v>0</v>
      </c>
    </row>
    <row r="71" customFormat="false" ht="15" hidden="false" customHeight="false" outlineLevel="0" collapsed="false">
      <c r="A71" s="5" t="n">
        <v>2024</v>
      </c>
      <c r="B71" s="7" t="s">
        <v>735</v>
      </c>
      <c r="C71" s="10" t="str">
        <f aca="false">INDEX(球員主檔!$B$2:$B$749,MATCH($B71,球員主檔!$A$2:$A$749,0))</f>
        <v>Wendell Oyelaran</v>
      </c>
      <c r="D71" s="7" t="s">
        <v>367</v>
      </c>
      <c r="E71" s="10" t="str">
        <f aca="false">INDEX(球隊主檔!$C$2:$C$31,MATCH($D71,球隊主檔!$A$2:$A$31,0))</f>
        <v>克里夫蘭守護者</v>
      </c>
      <c r="F71" s="10" t="str">
        <f aca="false">INDEX(球隊主檔!$D$2:$D$31,MATCH($D71,球隊主檔!$A$2:$A$31,0))</f>
        <v>美聯</v>
      </c>
      <c r="G71" s="7" t="s">
        <v>483</v>
      </c>
      <c r="H71" s="11" t="n">
        <f aca="false">INT((DATE($A71,7,1)-INDEX(球員主檔!$G$2:$G$749,MATCH($B71,球員主檔!$A$2:$A$749,0)))/365.25)</f>
        <v>26</v>
      </c>
      <c r="I71" s="12" t="n">
        <v>51</v>
      </c>
      <c r="J71" s="12" t="n">
        <v>215</v>
      </c>
      <c r="K71" s="12" t="n">
        <v>194</v>
      </c>
      <c r="L71" s="12" t="n">
        <v>26</v>
      </c>
      <c r="M71" s="12" t="n">
        <v>53</v>
      </c>
      <c r="N71" s="12" t="n">
        <v>19</v>
      </c>
      <c r="O71" s="12" t="n">
        <v>7</v>
      </c>
      <c r="P71" s="12" t="n">
        <v>5</v>
      </c>
      <c r="Q71" s="12" t="n">
        <v>24</v>
      </c>
      <c r="R71" s="12" t="n">
        <v>18</v>
      </c>
      <c r="S71" s="12" t="n">
        <v>57</v>
      </c>
      <c r="T71" s="12" t="n">
        <v>1</v>
      </c>
      <c r="U71" s="12" t="n">
        <v>2</v>
      </c>
      <c r="V71" s="12" t="n">
        <v>4</v>
      </c>
      <c r="W71" s="12" t="n">
        <v>1</v>
      </c>
      <c r="X71" s="13" t="n">
        <f aca="false">M71+N71+2*O71+3*P71</f>
        <v>101</v>
      </c>
      <c r="Y71" s="14" t="n">
        <f aca="false">IF(K71=0,0,M71/K71)</f>
        <v>0.27319587628866</v>
      </c>
      <c r="Z71" s="14" t="n">
        <f aca="false">IF(K71+R71+T71+U71=0,0,(M71+R71+T71)/(K71+R71+T71+U71))</f>
        <v>0.334883720930233</v>
      </c>
      <c r="AA71" s="14" t="n">
        <f aca="false">IF(K71=0,0,X71/K71)</f>
        <v>0.520618556701031</v>
      </c>
      <c r="AB71" s="14" t="n">
        <f aca="false">Z71+AA71</f>
        <v>0.855502277631264</v>
      </c>
      <c r="AC71" s="14" t="n">
        <f aca="false">AA71-Y71</f>
        <v>0.247422680412371</v>
      </c>
      <c r="AD71" s="14" t="n">
        <f aca="false">IF(K71-S71-P71+U71=0,0,(M71-P71)/(K71-S71-P71+U71))</f>
        <v>0.358208955223881</v>
      </c>
      <c r="AE71" s="15" t="n">
        <f aca="false">IF(J71=0,0,R71/J71)</f>
        <v>0.0837209302325581</v>
      </c>
      <c r="AF71" s="15" t="n">
        <f aca="false">IF(J71=0,0,S71/J71)</f>
        <v>0.265116279069767</v>
      </c>
      <c r="AG71" s="11" t="n">
        <f aca="false">IF(J71&gt;=INDEX(球季參數!$E$2:$E$4,MATCH($A71,球季參數!$A$2:$A$4,0)),1,0)</f>
        <v>0</v>
      </c>
    </row>
    <row r="72" customFormat="false" ht="15" hidden="false" customHeight="false" outlineLevel="0" collapsed="false">
      <c r="A72" s="5" t="n">
        <v>2024</v>
      </c>
      <c r="B72" s="7" t="s">
        <v>757</v>
      </c>
      <c r="C72" s="10" t="str">
        <f aca="false">INDEX(球員主檔!$B$2:$B$749,MATCH($B72,球員主檔!$A$2:$A$749,0))</f>
        <v>Quentin Lemieux</v>
      </c>
      <c r="D72" s="7" t="s">
        <v>371</v>
      </c>
      <c r="E72" s="10" t="str">
        <f aca="false">INDEX(球隊主檔!$C$2:$C$31,MATCH($D72,球隊主檔!$A$2:$A$31,0))</f>
        <v>底特律老虎</v>
      </c>
      <c r="F72" s="10" t="str">
        <f aca="false">INDEX(球隊主檔!$D$2:$D$31,MATCH($D72,球隊主檔!$A$2:$A$31,0))</f>
        <v>美聯</v>
      </c>
      <c r="G72" s="7" t="s">
        <v>486</v>
      </c>
      <c r="H72" s="11" t="n">
        <f aca="false">INT((DATE($A72,7,1)-INDEX(球員主檔!$G$2:$G$749,MATCH($B72,球員主檔!$A$2:$A$749,0)))/365.25)</f>
        <v>25</v>
      </c>
      <c r="I72" s="12" t="n">
        <v>159</v>
      </c>
      <c r="J72" s="12" t="n">
        <v>637</v>
      </c>
      <c r="K72" s="12" t="n">
        <v>573</v>
      </c>
      <c r="L72" s="12" t="n">
        <v>79</v>
      </c>
      <c r="M72" s="12" t="n">
        <v>140</v>
      </c>
      <c r="N72" s="12" t="n">
        <v>7</v>
      </c>
      <c r="O72" s="12" t="n">
        <v>9</v>
      </c>
      <c r="P72" s="12" t="n">
        <v>34</v>
      </c>
      <c r="Q72" s="12" t="n">
        <v>109</v>
      </c>
      <c r="R72" s="12" t="n">
        <v>45</v>
      </c>
      <c r="S72" s="12" t="n">
        <v>150</v>
      </c>
      <c r="T72" s="12" t="n">
        <v>11</v>
      </c>
      <c r="U72" s="12" t="n">
        <v>8</v>
      </c>
      <c r="V72" s="12" t="n">
        <v>11</v>
      </c>
      <c r="W72" s="12" t="n">
        <v>4</v>
      </c>
      <c r="X72" s="13" t="n">
        <f aca="false">M72+N72+2*O72+3*P72</f>
        <v>267</v>
      </c>
      <c r="Y72" s="14" t="n">
        <f aca="false">IF(K72=0,0,M72/K72)</f>
        <v>0.244328097731239</v>
      </c>
      <c r="Z72" s="14" t="n">
        <f aca="false">IF(K72+R72+T72+U72=0,0,(M72+R72+T72)/(K72+R72+T72+U72))</f>
        <v>0.307692307692308</v>
      </c>
      <c r="AA72" s="14" t="n">
        <f aca="false">IF(K72=0,0,X72/K72)</f>
        <v>0.465968586387435</v>
      </c>
      <c r="AB72" s="14" t="n">
        <f aca="false">Z72+AA72</f>
        <v>0.773660894079742</v>
      </c>
      <c r="AC72" s="14" t="n">
        <f aca="false">AA72-Y72</f>
        <v>0.221640488656195</v>
      </c>
      <c r="AD72" s="14" t="n">
        <f aca="false">IF(K72-S72-P72+U72=0,0,(M72-P72)/(K72-S72-P72+U72))</f>
        <v>0.267002518891688</v>
      </c>
      <c r="AE72" s="15" t="n">
        <f aca="false">IF(J72=0,0,R72/J72)</f>
        <v>0.0706436420722135</v>
      </c>
      <c r="AF72" s="15" t="n">
        <f aca="false">IF(J72=0,0,S72/J72)</f>
        <v>0.235478806907378</v>
      </c>
      <c r="AG72" s="11" t="n">
        <f aca="false">IF(J72&gt;=INDEX(球季參數!$E$2:$E$4,MATCH($A72,球季參數!$A$2:$A$4,0)),1,0)</f>
        <v>1</v>
      </c>
    </row>
    <row r="73" customFormat="false" ht="15" hidden="false" customHeight="false" outlineLevel="0" collapsed="false">
      <c r="A73" s="5" t="n">
        <v>2024</v>
      </c>
      <c r="B73" s="7" t="s">
        <v>759</v>
      </c>
      <c r="C73" s="10" t="str">
        <f aca="false">INDEX(球員主檔!$B$2:$B$749,MATCH($B73,球員主檔!$A$2:$A$749,0))</f>
        <v>Joaquín Tremblay</v>
      </c>
      <c r="D73" s="7" t="s">
        <v>371</v>
      </c>
      <c r="E73" s="10" t="str">
        <f aca="false">INDEX(球隊主檔!$C$2:$C$31,MATCH($D73,球隊主檔!$A$2:$A$31,0))</f>
        <v>底特律老虎</v>
      </c>
      <c r="F73" s="10" t="str">
        <f aca="false">INDEX(球隊主檔!$D$2:$D$31,MATCH($D73,球隊主檔!$A$2:$A$31,0))</f>
        <v>美聯</v>
      </c>
      <c r="G73" s="7" t="s">
        <v>158</v>
      </c>
      <c r="H73" s="11" t="n">
        <f aca="false">INT((DATE($A73,7,1)-INDEX(球員主檔!$G$2:$G$749,MATCH($B73,球員主檔!$A$2:$A$749,0)))/365.25)</f>
        <v>34</v>
      </c>
      <c r="I73" s="12" t="n">
        <v>140</v>
      </c>
      <c r="J73" s="12" t="n">
        <v>608</v>
      </c>
      <c r="K73" s="12" t="n">
        <v>567</v>
      </c>
      <c r="L73" s="12" t="n">
        <v>65</v>
      </c>
      <c r="M73" s="12" t="n">
        <v>163</v>
      </c>
      <c r="N73" s="12" t="n">
        <v>15</v>
      </c>
      <c r="O73" s="12" t="n">
        <v>3</v>
      </c>
      <c r="P73" s="12" t="n">
        <v>20</v>
      </c>
      <c r="Q73" s="12" t="n">
        <v>90</v>
      </c>
      <c r="R73" s="12" t="n">
        <v>29</v>
      </c>
      <c r="S73" s="12" t="n">
        <v>109</v>
      </c>
      <c r="T73" s="12" t="n">
        <v>7</v>
      </c>
      <c r="U73" s="12" t="n">
        <v>5</v>
      </c>
      <c r="V73" s="12" t="n">
        <v>31</v>
      </c>
      <c r="W73" s="12" t="n">
        <v>4</v>
      </c>
      <c r="X73" s="13" t="n">
        <f aca="false">M73+N73+2*O73+3*P73</f>
        <v>244</v>
      </c>
      <c r="Y73" s="14" t="n">
        <f aca="false">IF(K73=0,0,M73/K73)</f>
        <v>0.287477954144621</v>
      </c>
      <c r="Z73" s="14" t="n">
        <f aca="false">IF(K73+R73+T73+U73=0,0,(M73+R73+T73)/(K73+R73+T73+U73))</f>
        <v>0.327302631578947</v>
      </c>
      <c r="AA73" s="14" t="n">
        <f aca="false">IF(K73=0,0,X73/K73)</f>
        <v>0.430335097001764</v>
      </c>
      <c r="AB73" s="14" t="n">
        <f aca="false">Z73+AA73</f>
        <v>0.757637728580711</v>
      </c>
      <c r="AC73" s="14" t="n">
        <f aca="false">AA73-Y73</f>
        <v>0.142857142857143</v>
      </c>
      <c r="AD73" s="14" t="n">
        <f aca="false">IF(K73-S73-P73+U73=0,0,(M73-P73)/(K73-S73-P73+U73))</f>
        <v>0.322799097065463</v>
      </c>
      <c r="AE73" s="15" t="n">
        <f aca="false">IF(J73=0,0,R73/J73)</f>
        <v>0.0476973684210526</v>
      </c>
      <c r="AF73" s="15" t="n">
        <f aca="false">IF(J73=0,0,S73/J73)</f>
        <v>0.179276315789474</v>
      </c>
      <c r="AG73" s="11" t="n">
        <f aca="false">IF(J73&gt;=INDEX(球季參數!$E$2:$E$4,MATCH($A73,球季參數!$A$2:$A$4,0)),1,0)</f>
        <v>1</v>
      </c>
    </row>
    <row r="74" customFormat="false" ht="15" hidden="false" customHeight="false" outlineLevel="0" collapsed="false">
      <c r="A74" s="5" t="n">
        <v>2024</v>
      </c>
      <c r="B74" s="7" t="s">
        <v>761</v>
      </c>
      <c r="C74" s="10" t="str">
        <f aca="false">INDEX(球員主檔!$B$2:$B$749,MATCH($B74,球員主檔!$A$2:$A$749,0))</f>
        <v>Desmond Caldera</v>
      </c>
      <c r="D74" s="7" t="s">
        <v>371</v>
      </c>
      <c r="E74" s="10" t="str">
        <f aca="false">INDEX(球隊主檔!$C$2:$C$31,MATCH($D74,球隊主檔!$A$2:$A$31,0))</f>
        <v>底特律老虎</v>
      </c>
      <c r="F74" s="10" t="str">
        <f aca="false">INDEX(球隊主檔!$D$2:$D$31,MATCH($D74,球隊主檔!$A$2:$A$31,0))</f>
        <v>美聯</v>
      </c>
      <c r="G74" s="7" t="s">
        <v>473</v>
      </c>
      <c r="H74" s="11" t="n">
        <f aca="false">INT((DATE($A74,7,1)-INDEX(球員主檔!$G$2:$G$749,MATCH($B74,球員主檔!$A$2:$A$749,0)))/365.25)</f>
        <v>30</v>
      </c>
      <c r="I74" s="12" t="n">
        <v>153</v>
      </c>
      <c r="J74" s="12" t="n">
        <v>671</v>
      </c>
      <c r="K74" s="12" t="n">
        <v>597</v>
      </c>
      <c r="L74" s="12" t="n">
        <v>75</v>
      </c>
      <c r="M74" s="12" t="n">
        <v>148</v>
      </c>
      <c r="N74" s="12" t="n">
        <v>27</v>
      </c>
      <c r="O74" s="12" t="n">
        <v>1</v>
      </c>
      <c r="P74" s="12" t="n">
        <v>25</v>
      </c>
      <c r="Q74" s="12" t="n">
        <v>88</v>
      </c>
      <c r="R74" s="12" t="n">
        <v>60</v>
      </c>
      <c r="S74" s="12" t="n">
        <v>195</v>
      </c>
      <c r="T74" s="12" t="n">
        <v>13</v>
      </c>
      <c r="U74" s="12" t="n">
        <v>1</v>
      </c>
      <c r="V74" s="12" t="n">
        <v>34</v>
      </c>
      <c r="W74" s="12" t="n">
        <v>9</v>
      </c>
      <c r="X74" s="13" t="n">
        <f aca="false">M74+N74+2*O74+3*P74</f>
        <v>252</v>
      </c>
      <c r="Y74" s="14" t="n">
        <f aca="false">IF(K74=0,0,M74/K74)</f>
        <v>0.247906197654941</v>
      </c>
      <c r="Z74" s="14" t="n">
        <f aca="false">IF(K74+R74+T74+U74=0,0,(M74+R74+T74)/(K74+R74+T74+U74))</f>
        <v>0.329359165424739</v>
      </c>
      <c r="AA74" s="14" t="n">
        <f aca="false">IF(K74=0,0,X74/K74)</f>
        <v>0.422110552763819</v>
      </c>
      <c r="AB74" s="14" t="n">
        <f aca="false">Z74+AA74</f>
        <v>0.751469718188558</v>
      </c>
      <c r="AC74" s="14" t="n">
        <f aca="false">AA74-Y74</f>
        <v>0.174204355108878</v>
      </c>
      <c r="AD74" s="14" t="n">
        <f aca="false">IF(K74-S74-P74+U74=0,0,(M74-P74)/(K74-S74-P74+U74))</f>
        <v>0.325396825396825</v>
      </c>
      <c r="AE74" s="15" t="n">
        <f aca="false">IF(J74=0,0,R74/J74)</f>
        <v>0.0894187779433681</v>
      </c>
      <c r="AF74" s="15" t="n">
        <f aca="false">IF(J74=0,0,S74/J74)</f>
        <v>0.290611028315946</v>
      </c>
      <c r="AG74" s="11" t="n">
        <f aca="false">IF(J74&gt;=INDEX(球季參數!$E$2:$E$4,MATCH($A74,球季參數!$A$2:$A$4,0)),1,0)</f>
        <v>1</v>
      </c>
    </row>
    <row r="75" customFormat="false" ht="15" hidden="false" customHeight="false" outlineLevel="0" collapsed="false">
      <c r="A75" s="5" t="n">
        <v>2024</v>
      </c>
      <c r="B75" s="7" t="s">
        <v>763</v>
      </c>
      <c r="C75" s="10" t="str">
        <f aca="false">INDEX(球員主檔!$B$2:$B$749,MATCH($B75,球員主檔!$A$2:$A$749,0))</f>
        <v>Kellan Ashworth</v>
      </c>
      <c r="D75" s="7" t="s">
        <v>371</v>
      </c>
      <c r="E75" s="10" t="str">
        <f aca="false">INDEX(球隊主檔!$C$2:$C$31,MATCH($D75,球隊主檔!$A$2:$A$31,0))</f>
        <v>底特律老虎</v>
      </c>
      <c r="F75" s="10" t="str">
        <f aca="false">INDEX(球隊主檔!$D$2:$D$31,MATCH($D75,球隊主檔!$A$2:$A$31,0))</f>
        <v>美聯</v>
      </c>
      <c r="G75" s="7" t="s">
        <v>470</v>
      </c>
      <c r="H75" s="11" t="n">
        <f aca="false">INT((DATE($A75,7,1)-INDEX(球員主檔!$G$2:$G$749,MATCH($B75,球員主檔!$A$2:$A$749,0)))/365.25)</f>
        <v>30</v>
      </c>
      <c r="I75" s="12" t="n">
        <v>152</v>
      </c>
      <c r="J75" s="12" t="n">
        <v>644</v>
      </c>
      <c r="K75" s="12" t="n">
        <v>606</v>
      </c>
      <c r="L75" s="12" t="n">
        <v>49</v>
      </c>
      <c r="M75" s="12" t="n">
        <v>127</v>
      </c>
      <c r="N75" s="12" t="n">
        <v>36</v>
      </c>
      <c r="O75" s="12" t="n">
        <v>3</v>
      </c>
      <c r="P75" s="12" t="n">
        <v>12</v>
      </c>
      <c r="Q75" s="12" t="n">
        <v>49</v>
      </c>
      <c r="R75" s="12" t="n">
        <v>30</v>
      </c>
      <c r="S75" s="12" t="n">
        <v>100</v>
      </c>
      <c r="T75" s="12" t="n">
        <v>2</v>
      </c>
      <c r="U75" s="12" t="n">
        <v>6</v>
      </c>
      <c r="V75" s="12" t="n">
        <v>33</v>
      </c>
      <c r="W75" s="12" t="n">
        <v>10</v>
      </c>
      <c r="X75" s="13" t="n">
        <f aca="false">M75+N75+2*O75+3*P75</f>
        <v>205</v>
      </c>
      <c r="Y75" s="14" t="n">
        <f aca="false">IF(K75=0,0,M75/K75)</f>
        <v>0.20957095709571</v>
      </c>
      <c r="Z75" s="14" t="n">
        <f aca="false">IF(K75+R75+T75+U75=0,0,(M75+R75+T75)/(K75+R75+T75+U75))</f>
        <v>0.246894409937888</v>
      </c>
      <c r="AA75" s="14" t="n">
        <f aca="false">IF(K75=0,0,X75/K75)</f>
        <v>0.338283828382838</v>
      </c>
      <c r="AB75" s="14" t="n">
        <f aca="false">Z75+AA75</f>
        <v>0.585178238320727</v>
      </c>
      <c r="AC75" s="14" t="n">
        <f aca="false">AA75-Y75</f>
        <v>0.128712871287129</v>
      </c>
      <c r="AD75" s="14" t="n">
        <f aca="false">IF(K75-S75-P75+U75=0,0,(M75-P75)/(K75-S75-P75+U75))</f>
        <v>0.23</v>
      </c>
      <c r="AE75" s="15" t="n">
        <f aca="false">IF(J75=0,0,R75/J75)</f>
        <v>0.046583850931677</v>
      </c>
      <c r="AF75" s="15" t="n">
        <f aca="false">IF(J75=0,0,S75/J75)</f>
        <v>0.15527950310559</v>
      </c>
      <c r="AG75" s="11" t="n">
        <f aca="false">IF(J75&gt;=INDEX(球季參數!$E$2:$E$4,MATCH($A75,球季參數!$A$2:$A$4,0)),1,0)</f>
        <v>1</v>
      </c>
    </row>
    <row r="76" customFormat="false" ht="15" hidden="false" customHeight="false" outlineLevel="0" collapsed="false">
      <c r="A76" s="5" t="n">
        <v>2024</v>
      </c>
      <c r="B76" s="7" t="s">
        <v>765</v>
      </c>
      <c r="C76" s="10" t="str">
        <f aca="false">INDEX(球員主檔!$B$2:$B$749,MATCH($B76,球員主檔!$A$2:$A$749,0))</f>
        <v>Oakley Cavanaugh</v>
      </c>
      <c r="D76" s="7" t="s">
        <v>371</v>
      </c>
      <c r="E76" s="10" t="str">
        <f aca="false">INDEX(球隊主檔!$C$2:$C$31,MATCH($D76,球隊主檔!$A$2:$A$31,0))</f>
        <v>底特律老虎</v>
      </c>
      <c r="F76" s="10" t="str">
        <f aca="false">INDEX(球隊主檔!$D$2:$D$31,MATCH($D76,球隊主檔!$A$2:$A$31,0))</f>
        <v>美聯</v>
      </c>
      <c r="G76" s="7" t="s">
        <v>63</v>
      </c>
      <c r="H76" s="11" t="n">
        <f aca="false">INT((DATE($A76,7,1)-INDEX(球員主檔!$G$2:$G$749,MATCH($B76,球員主檔!$A$2:$A$749,0)))/365.25)</f>
        <v>25</v>
      </c>
      <c r="I76" s="12" t="n">
        <v>161</v>
      </c>
      <c r="J76" s="12" t="n">
        <v>673</v>
      </c>
      <c r="K76" s="12" t="n">
        <v>586</v>
      </c>
      <c r="L76" s="12" t="n">
        <v>94</v>
      </c>
      <c r="M76" s="12" t="n">
        <v>171</v>
      </c>
      <c r="N76" s="12" t="n">
        <v>22</v>
      </c>
      <c r="O76" s="12" t="n">
        <v>9</v>
      </c>
      <c r="P76" s="12" t="n">
        <v>39</v>
      </c>
      <c r="Q76" s="12" t="n">
        <v>113</v>
      </c>
      <c r="R76" s="12" t="n">
        <v>75</v>
      </c>
      <c r="S76" s="12" t="n">
        <v>187</v>
      </c>
      <c r="T76" s="12" t="n">
        <v>7</v>
      </c>
      <c r="U76" s="12" t="n">
        <v>5</v>
      </c>
      <c r="V76" s="12" t="n">
        <v>0</v>
      </c>
      <c r="W76" s="12" t="n">
        <v>0</v>
      </c>
      <c r="X76" s="13" t="n">
        <f aca="false">M76+N76+2*O76+3*P76</f>
        <v>328</v>
      </c>
      <c r="Y76" s="14" t="n">
        <f aca="false">IF(K76=0,0,M76/K76)</f>
        <v>0.291808873720137</v>
      </c>
      <c r="Z76" s="14" t="n">
        <f aca="false">IF(K76+R76+T76+U76=0,0,(M76+R76+T76)/(K76+R76+T76+U76))</f>
        <v>0.37592867756315</v>
      </c>
      <c r="AA76" s="14" t="n">
        <f aca="false">IF(K76=0,0,X76/K76)</f>
        <v>0.559726962457338</v>
      </c>
      <c r="AB76" s="14" t="n">
        <f aca="false">Z76+AA76</f>
        <v>0.935655640020488</v>
      </c>
      <c r="AC76" s="14" t="n">
        <f aca="false">AA76-Y76</f>
        <v>0.267918088737201</v>
      </c>
      <c r="AD76" s="14" t="n">
        <f aca="false">IF(K76-S76-P76+U76=0,0,(M76-P76)/(K76-S76-P76+U76))</f>
        <v>0.361643835616438</v>
      </c>
      <c r="AE76" s="15" t="n">
        <f aca="false">IF(J76=0,0,R76/J76)</f>
        <v>0.111441307578009</v>
      </c>
      <c r="AF76" s="15" t="n">
        <f aca="false">IF(J76=0,0,S76/J76)</f>
        <v>0.277860326894502</v>
      </c>
      <c r="AG76" s="11" t="n">
        <f aca="false">IF(J76&gt;=INDEX(球季參數!$E$2:$E$4,MATCH($A76,球季參數!$A$2:$A$4,0)),1,0)</f>
        <v>1</v>
      </c>
    </row>
    <row r="77" customFormat="false" ht="15" hidden="false" customHeight="false" outlineLevel="0" collapsed="false">
      <c r="A77" s="5" t="n">
        <v>2024</v>
      </c>
      <c r="B77" s="7" t="s">
        <v>767</v>
      </c>
      <c r="C77" s="10" t="str">
        <f aca="false">INDEX(球員主檔!$B$2:$B$749,MATCH($B77,球員主檔!$A$2:$A$749,0))</f>
        <v>Garrison Oyelaran</v>
      </c>
      <c r="D77" s="7" t="s">
        <v>371</v>
      </c>
      <c r="E77" s="10" t="str">
        <f aca="false">INDEX(球隊主檔!$C$2:$C$31,MATCH($D77,球隊主檔!$A$2:$A$31,0))</f>
        <v>底特律老虎</v>
      </c>
      <c r="F77" s="10" t="str">
        <f aca="false">INDEX(球隊主檔!$D$2:$D$31,MATCH($D77,球隊主檔!$A$2:$A$31,0))</f>
        <v>美聯</v>
      </c>
      <c r="G77" s="7" t="s">
        <v>483</v>
      </c>
      <c r="H77" s="11" t="n">
        <f aca="false">INT((DATE($A77,7,1)-INDEX(球員主檔!$G$2:$G$749,MATCH($B77,球員主檔!$A$2:$A$749,0)))/365.25)</f>
        <v>26</v>
      </c>
      <c r="I77" s="12" t="n">
        <v>97</v>
      </c>
      <c r="J77" s="12" t="n">
        <v>392</v>
      </c>
      <c r="K77" s="12" t="n">
        <v>342</v>
      </c>
      <c r="L77" s="12" t="n">
        <v>57</v>
      </c>
      <c r="M77" s="12" t="n">
        <v>88</v>
      </c>
      <c r="N77" s="12" t="n">
        <v>30</v>
      </c>
      <c r="O77" s="12" t="n">
        <v>4</v>
      </c>
      <c r="P77" s="12" t="n">
        <v>19</v>
      </c>
      <c r="Q77" s="12" t="n">
        <v>55</v>
      </c>
      <c r="R77" s="12" t="n">
        <v>39</v>
      </c>
      <c r="S77" s="12" t="n">
        <v>46</v>
      </c>
      <c r="T77" s="12" t="n">
        <v>8</v>
      </c>
      <c r="U77" s="12" t="n">
        <v>3</v>
      </c>
      <c r="V77" s="12" t="n">
        <v>21</v>
      </c>
      <c r="W77" s="12" t="n">
        <v>5</v>
      </c>
      <c r="X77" s="13" t="n">
        <f aca="false">M77+N77+2*O77+3*P77</f>
        <v>183</v>
      </c>
      <c r="Y77" s="14" t="n">
        <f aca="false">IF(K77=0,0,M77/K77)</f>
        <v>0.257309941520468</v>
      </c>
      <c r="Z77" s="14" t="n">
        <f aca="false">IF(K77+R77+T77+U77=0,0,(M77+R77+T77)/(K77+R77+T77+U77))</f>
        <v>0.344387755102041</v>
      </c>
      <c r="AA77" s="14" t="n">
        <f aca="false">IF(K77=0,0,X77/K77)</f>
        <v>0.535087719298246</v>
      </c>
      <c r="AB77" s="14" t="n">
        <f aca="false">Z77+AA77</f>
        <v>0.879475474400286</v>
      </c>
      <c r="AC77" s="14" t="n">
        <f aca="false">AA77-Y77</f>
        <v>0.277777777777778</v>
      </c>
      <c r="AD77" s="14" t="n">
        <f aca="false">IF(K77-S77-P77+U77=0,0,(M77-P77)/(K77-S77-P77+U77))</f>
        <v>0.246428571428571</v>
      </c>
      <c r="AE77" s="15" t="n">
        <f aca="false">IF(J77=0,0,R77/J77)</f>
        <v>0.0994897959183674</v>
      </c>
      <c r="AF77" s="15" t="n">
        <f aca="false">IF(J77=0,0,S77/J77)</f>
        <v>0.11734693877551</v>
      </c>
      <c r="AG77" s="11" t="n">
        <f aca="false">IF(J77&gt;=INDEX(球季參數!$E$2:$E$4,MATCH($A77,球季參數!$A$2:$A$4,0)),1,0)</f>
        <v>0</v>
      </c>
    </row>
    <row r="78" customFormat="false" ht="15" hidden="false" customHeight="false" outlineLevel="0" collapsed="false">
      <c r="A78" s="5" t="n">
        <v>2024</v>
      </c>
      <c r="B78" s="7" t="s">
        <v>769</v>
      </c>
      <c r="C78" s="10" t="str">
        <f aca="false">INDEX(球員主檔!$B$2:$B$749,MATCH($B78,球員主檔!$A$2:$A$749,0))</f>
        <v>Percival Stroheim</v>
      </c>
      <c r="D78" s="7" t="s">
        <v>371</v>
      </c>
      <c r="E78" s="10" t="str">
        <f aca="false">INDEX(球隊主檔!$C$2:$C$31,MATCH($D78,球隊主檔!$A$2:$A$31,0))</f>
        <v>底特律老虎</v>
      </c>
      <c r="F78" s="10" t="str">
        <f aca="false">INDEX(球隊主檔!$D$2:$D$31,MATCH($D78,球隊主檔!$A$2:$A$31,0))</f>
        <v>美聯</v>
      </c>
      <c r="G78" s="7" t="s">
        <v>473</v>
      </c>
      <c r="H78" s="11" t="n">
        <f aca="false">INT((DATE($A78,7,1)-INDEX(球員主檔!$G$2:$G$749,MATCH($B78,球員主檔!$A$2:$A$749,0)))/365.25)</f>
        <v>26</v>
      </c>
      <c r="I78" s="12" t="n">
        <v>126</v>
      </c>
      <c r="J78" s="12" t="n">
        <v>498</v>
      </c>
      <c r="K78" s="12" t="n">
        <v>452</v>
      </c>
      <c r="L78" s="12" t="n">
        <v>51</v>
      </c>
      <c r="M78" s="12" t="n">
        <v>110</v>
      </c>
      <c r="N78" s="12" t="n">
        <v>40</v>
      </c>
      <c r="O78" s="12" t="n">
        <v>5</v>
      </c>
      <c r="P78" s="12" t="n">
        <v>7</v>
      </c>
      <c r="Q78" s="12" t="n">
        <v>43</v>
      </c>
      <c r="R78" s="12" t="n">
        <v>40</v>
      </c>
      <c r="S78" s="12" t="n">
        <v>111</v>
      </c>
      <c r="T78" s="12" t="n">
        <v>2</v>
      </c>
      <c r="U78" s="12" t="n">
        <v>4</v>
      </c>
      <c r="V78" s="12" t="n">
        <v>10</v>
      </c>
      <c r="W78" s="12" t="n">
        <v>2</v>
      </c>
      <c r="X78" s="13" t="n">
        <f aca="false">M78+N78+2*O78+3*P78</f>
        <v>181</v>
      </c>
      <c r="Y78" s="14" t="n">
        <f aca="false">IF(K78=0,0,M78/K78)</f>
        <v>0.243362831858407</v>
      </c>
      <c r="Z78" s="14" t="n">
        <f aca="false">IF(K78+R78+T78+U78=0,0,(M78+R78+T78)/(K78+R78+T78+U78))</f>
        <v>0.305220883534137</v>
      </c>
      <c r="AA78" s="14" t="n">
        <f aca="false">IF(K78=0,0,X78/K78)</f>
        <v>0.400442477876106</v>
      </c>
      <c r="AB78" s="14" t="n">
        <f aca="false">Z78+AA78</f>
        <v>0.705663361410243</v>
      </c>
      <c r="AC78" s="14" t="n">
        <f aca="false">AA78-Y78</f>
        <v>0.157079646017699</v>
      </c>
      <c r="AD78" s="14" t="n">
        <f aca="false">IF(K78-S78-P78+U78=0,0,(M78-P78)/(K78-S78-P78+U78))</f>
        <v>0.304733727810651</v>
      </c>
      <c r="AE78" s="15" t="n">
        <f aca="false">IF(J78=0,0,R78/J78)</f>
        <v>0.0803212851405623</v>
      </c>
      <c r="AF78" s="15" t="n">
        <f aca="false">IF(J78=0,0,S78/J78)</f>
        <v>0.22289156626506</v>
      </c>
      <c r="AG78" s="11" t="n">
        <f aca="false">IF(J78&gt;=INDEX(球季參數!$E$2:$E$4,MATCH($A78,球季參數!$A$2:$A$4,0)),1,0)</f>
        <v>0</v>
      </c>
    </row>
    <row r="79" customFormat="false" ht="15" hidden="false" customHeight="false" outlineLevel="0" collapsed="false">
      <c r="A79" s="5" t="n">
        <v>2024</v>
      </c>
      <c r="B79" s="7" t="s">
        <v>771</v>
      </c>
      <c r="C79" s="10" t="str">
        <f aca="false">INDEX(球員主檔!$B$2:$B$749,MATCH($B79,球員主檔!$A$2:$A$749,0))</f>
        <v>Landon Nordstrom</v>
      </c>
      <c r="D79" s="7" t="s">
        <v>371</v>
      </c>
      <c r="E79" s="10" t="str">
        <f aca="false">INDEX(球隊主檔!$C$2:$C$31,MATCH($D79,球隊主檔!$A$2:$A$31,0))</f>
        <v>底特律老虎</v>
      </c>
      <c r="F79" s="10" t="str">
        <f aca="false">INDEX(球隊主檔!$D$2:$D$31,MATCH($D79,球隊主檔!$A$2:$A$31,0))</f>
        <v>美聯</v>
      </c>
      <c r="G79" s="7" t="s">
        <v>473</v>
      </c>
      <c r="H79" s="11" t="n">
        <f aca="false">INT((DATE($A79,7,1)-INDEX(球員主檔!$G$2:$G$749,MATCH($B79,球員主檔!$A$2:$A$749,0)))/365.25)</f>
        <v>25</v>
      </c>
      <c r="I79" s="12" t="n">
        <v>108</v>
      </c>
      <c r="J79" s="12" t="n">
        <v>466</v>
      </c>
      <c r="K79" s="12" t="n">
        <v>426</v>
      </c>
      <c r="L79" s="12" t="n">
        <v>51</v>
      </c>
      <c r="M79" s="12" t="n">
        <v>120</v>
      </c>
      <c r="N79" s="12" t="n">
        <v>16</v>
      </c>
      <c r="O79" s="12" t="n">
        <v>12</v>
      </c>
      <c r="P79" s="12" t="n">
        <v>13</v>
      </c>
      <c r="Q79" s="12" t="n">
        <v>59</v>
      </c>
      <c r="R79" s="12" t="n">
        <v>35</v>
      </c>
      <c r="S79" s="12" t="n">
        <v>105</v>
      </c>
      <c r="T79" s="12" t="n">
        <v>3</v>
      </c>
      <c r="U79" s="12" t="n">
        <v>2</v>
      </c>
      <c r="V79" s="12" t="n">
        <v>5</v>
      </c>
      <c r="W79" s="12" t="n">
        <v>1</v>
      </c>
      <c r="X79" s="13" t="n">
        <f aca="false">M79+N79+2*O79+3*P79</f>
        <v>199</v>
      </c>
      <c r="Y79" s="14" t="n">
        <f aca="false">IF(K79=0,0,M79/K79)</f>
        <v>0.28169014084507</v>
      </c>
      <c r="Z79" s="14" t="n">
        <f aca="false">IF(K79+R79+T79+U79=0,0,(M79+R79+T79)/(K79+R79+T79+U79))</f>
        <v>0.339055793991416</v>
      </c>
      <c r="AA79" s="14" t="n">
        <f aca="false">IF(K79=0,0,X79/K79)</f>
        <v>0.467136150234742</v>
      </c>
      <c r="AB79" s="14" t="n">
        <f aca="false">Z79+AA79</f>
        <v>0.806191944226158</v>
      </c>
      <c r="AC79" s="14" t="n">
        <f aca="false">AA79-Y79</f>
        <v>0.185446009389671</v>
      </c>
      <c r="AD79" s="14" t="n">
        <f aca="false">IF(K79-S79-P79+U79=0,0,(M79-P79)/(K79-S79-P79+U79))</f>
        <v>0.345161290322581</v>
      </c>
      <c r="AE79" s="15" t="n">
        <f aca="false">IF(J79=0,0,R79/J79)</f>
        <v>0.0751072961373391</v>
      </c>
      <c r="AF79" s="15" t="n">
        <f aca="false">IF(J79=0,0,S79/J79)</f>
        <v>0.225321888412017</v>
      </c>
      <c r="AG79" s="11" t="n">
        <f aca="false">IF(J79&gt;=INDEX(球季參數!$E$2:$E$4,MATCH($A79,球季參數!$A$2:$A$4,0)),1,0)</f>
        <v>0</v>
      </c>
    </row>
    <row r="80" customFormat="false" ht="15" hidden="false" customHeight="false" outlineLevel="0" collapsed="false">
      <c r="A80" s="5" t="n">
        <v>2024</v>
      </c>
      <c r="B80" s="7" t="s">
        <v>773</v>
      </c>
      <c r="C80" s="10" t="str">
        <f aca="false">INDEX(球員主檔!$B$2:$B$749,MATCH($B80,球員主檔!$A$2:$A$749,0))</f>
        <v>Bernardo Brightwell</v>
      </c>
      <c r="D80" s="7" t="s">
        <v>371</v>
      </c>
      <c r="E80" s="10" t="str">
        <f aca="false">INDEX(球隊主檔!$C$2:$C$31,MATCH($D80,球隊主檔!$A$2:$A$31,0))</f>
        <v>底特律老虎</v>
      </c>
      <c r="F80" s="10" t="str">
        <f aca="false">INDEX(球隊主檔!$D$2:$D$31,MATCH($D80,球隊主檔!$A$2:$A$31,0))</f>
        <v>美聯</v>
      </c>
      <c r="G80" s="7" t="s">
        <v>483</v>
      </c>
      <c r="H80" s="11" t="n">
        <f aca="false">INT((DATE($A80,7,1)-INDEX(球員主檔!$G$2:$G$749,MATCH($B80,球員主檔!$A$2:$A$749,0)))/365.25)</f>
        <v>32</v>
      </c>
      <c r="I80" s="12" t="n">
        <v>63</v>
      </c>
      <c r="J80" s="12" t="n">
        <v>275</v>
      </c>
      <c r="K80" s="12" t="n">
        <v>247</v>
      </c>
      <c r="L80" s="12" t="n">
        <v>31</v>
      </c>
      <c r="M80" s="12" t="n">
        <v>54</v>
      </c>
      <c r="N80" s="12" t="n">
        <v>23</v>
      </c>
      <c r="O80" s="12" t="n">
        <v>2</v>
      </c>
      <c r="P80" s="12" t="n">
        <v>6</v>
      </c>
      <c r="Q80" s="12" t="n">
        <v>25</v>
      </c>
      <c r="R80" s="12" t="n">
        <v>25</v>
      </c>
      <c r="S80" s="12" t="n">
        <v>79</v>
      </c>
      <c r="T80" s="12" t="n">
        <v>2</v>
      </c>
      <c r="U80" s="12" t="n">
        <v>1</v>
      </c>
      <c r="V80" s="12" t="n">
        <v>1</v>
      </c>
      <c r="W80" s="12" t="n">
        <v>0</v>
      </c>
      <c r="X80" s="13" t="n">
        <f aca="false">M80+N80+2*O80+3*P80</f>
        <v>99</v>
      </c>
      <c r="Y80" s="14" t="n">
        <f aca="false">IF(K80=0,0,M80/K80)</f>
        <v>0.218623481781377</v>
      </c>
      <c r="Z80" s="14" t="n">
        <f aca="false">IF(K80+R80+T80+U80=0,0,(M80+R80+T80)/(K80+R80+T80+U80))</f>
        <v>0.294545454545455</v>
      </c>
      <c r="AA80" s="14" t="n">
        <f aca="false">IF(K80=0,0,X80/K80)</f>
        <v>0.40080971659919</v>
      </c>
      <c r="AB80" s="14" t="n">
        <f aca="false">Z80+AA80</f>
        <v>0.695355171144645</v>
      </c>
      <c r="AC80" s="14" t="n">
        <f aca="false">AA80-Y80</f>
        <v>0.182186234817814</v>
      </c>
      <c r="AD80" s="14" t="n">
        <f aca="false">IF(K80-S80-P80+U80=0,0,(M80-P80)/(K80-S80-P80+U80))</f>
        <v>0.294478527607362</v>
      </c>
      <c r="AE80" s="15" t="n">
        <f aca="false">IF(J80=0,0,R80/J80)</f>
        <v>0.0909090909090909</v>
      </c>
      <c r="AF80" s="15" t="n">
        <f aca="false">IF(J80=0,0,S80/J80)</f>
        <v>0.287272727272727</v>
      </c>
      <c r="AG80" s="11" t="n">
        <f aca="false">IF(J80&gt;=INDEX(球季參數!$E$2:$E$4,MATCH($A80,球季參數!$A$2:$A$4,0)),1,0)</f>
        <v>0</v>
      </c>
    </row>
    <row r="81" customFormat="false" ht="15" hidden="false" customHeight="false" outlineLevel="0" collapsed="false">
      <c r="A81" s="5" t="n">
        <v>2024</v>
      </c>
      <c r="B81" s="7" t="s">
        <v>775</v>
      </c>
      <c r="C81" s="10" t="str">
        <f aca="false">INDEX(球員主檔!$B$2:$B$749,MATCH($B81,球員主檔!$A$2:$A$749,0))</f>
        <v>Silas Ibarra</v>
      </c>
      <c r="D81" s="7" t="s">
        <v>371</v>
      </c>
      <c r="E81" s="10" t="str">
        <f aca="false">INDEX(球隊主檔!$C$2:$C$31,MATCH($D81,球隊主檔!$A$2:$A$31,0))</f>
        <v>底特律老虎</v>
      </c>
      <c r="F81" s="10" t="str">
        <f aca="false">INDEX(球隊主檔!$D$2:$D$31,MATCH($D81,球隊主檔!$A$2:$A$31,0))</f>
        <v>美聯</v>
      </c>
      <c r="G81" s="7" t="s">
        <v>473</v>
      </c>
      <c r="H81" s="11" t="n">
        <f aca="false">INT((DATE($A81,7,1)-INDEX(球員主檔!$G$2:$G$749,MATCH($B81,球員主檔!$A$2:$A$749,0)))/365.25)</f>
        <v>27</v>
      </c>
      <c r="I81" s="12" t="n">
        <v>77</v>
      </c>
      <c r="J81" s="12" t="n">
        <v>306</v>
      </c>
      <c r="K81" s="12" t="n">
        <v>268</v>
      </c>
      <c r="L81" s="12" t="n">
        <v>40</v>
      </c>
      <c r="M81" s="12" t="n">
        <v>62</v>
      </c>
      <c r="N81" s="12" t="n">
        <v>12</v>
      </c>
      <c r="O81" s="12" t="n">
        <v>3</v>
      </c>
      <c r="P81" s="12" t="n">
        <v>13</v>
      </c>
      <c r="Q81" s="12" t="n">
        <v>46</v>
      </c>
      <c r="R81" s="12" t="n">
        <v>36</v>
      </c>
      <c r="S81" s="12" t="n">
        <v>49</v>
      </c>
      <c r="T81" s="12" t="n">
        <v>1</v>
      </c>
      <c r="U81" s="12" t="n">
        <v>1</v>
      </c>
      <c r="V81" s="12" t="n">
        <v>6</v>
      </c>
      <c r="W81" s="12" t="n">
        <v>2</v>
      </c>
      <c r="X81" s="13" t="n">
        <f aca="false">M81+N81+2*O81+3*P81</f>
        <v>119</v>
      </c>
      <c r="Y81" s="14" t="n">
        <f aca="false">IF(K81=0,0,M81/K81)</f>
        <v>0.23134328358209</v>
      </c>
      <c r="Z81" s="14" t="n">
        <f aca="false">IF(K81+R81+T81+U81=0,0,(M81+R81+T81)/(K81+R81+T81+U81))</f>
        <v>0.323529411764706</v>
      </c>
      <c r="AA81" s="14" t="n">
        <f aca="false">IF(K81=0,0,X81/K81)</f>
        <v>0.444029850746269</v>
      </c>
      <c r="AB81" s="14" t="n">
        <f aca="false">Z81+AA81</f>
        <v>0.767559262510975</v>
      </c>
      <c r="AC81" s="14" t="n">
        <f aca="false">AA81-Y81</f>
        <v>0.212686567164179</v>
      </c>
      <c r="AD81" s="14" t="n">
        <f aca="false">IF(K81-S81-P81+U81=0,0,(M81-P81)/(K81-S81-P81+U81))</f>
        <v>0.236714975845411</v>
      </c>
      <c r="AE81" s="15" t="n">
        <f aca="false">IF(J81=0,0,R81/J81)</f>
        <v>0.117647058823529</v>
      </c>
      <c r="AF81" s="15" t="n">
        <f aca="false">IF(J81=0,0,S81/J81)</f>
        <v>0.160130718954248</v>
      </c>
      <c r="AG81" s="11" t="n">
        <f aca="false">IF(J81&gt;=INDEX(球季參數!$E$2:$E$4,MATCH($A81,球季參數!$A$2:$A$4,0)),1,0)</f>
        <v>0</v>
      </c>
    </row>
    <row r="82" customFormat="false" ht="15" hidden="false" customHeight="false" outlineLevel="0" collapsed="false">
      <c r="A82" s="5" t="n">
        <v>2024</v>
      </c>
      <c r="B82" s="7" t="s">
        <v>797</v>
      </c>
      <c r="C82" s="10" t="str">
        <f aca="false">INDEX(球員主檔!$B$2:$B$749,MATCH($B82,球員主檔!$A$2:$A$749,0))</f>
        <v>Yusuke Brightwell</v>
      </c>
      <c r="D82" s="7" t="s">
        <v>375</v>
      </c>
      <c r="E82" s="10" t="str">
        <f aca="false">INDEX(球隊主檔!$C$2:$C$31,MATCH($D82,球隊主檔!$A$2:$A$31,0))</f>
        <v>堪薩斯市皇家</v>
      </c>
      <c r="F82" s="10" t="str">
        <f aca="false">INDEX(球隊主檔!$D$2:$D$31,MATCH($D82,球隊主檔!$A$2:$A$31,0))</f>
        <v>美聯</v>
      </c>
      <c r="G82" s="7" t="s">
        <v>483</v>
      </c>
      <c r="H82" s="11" t="n">
        <f aca="false">INT((DATE($A82,7,1)-INDEX(球員主檔!$G$2:$G$749,MATCH($B82,球員主檔!$A$2:$A$749,0)))/365.25)</f>
        <v>27</v>
      </c>
      <c r="I82" s="12" t="n">
        <v>84</v>
      </c>
      <c r="J82" s="12" t="n">
        <v>365</v>
      </c>
      <c r="K82" s="12" t="n">
        <v>305</v>
      </c>
      <c r="L82" s="12" t="n">
        <v>41</v>
      </c>
      <c r="M82" s="12" t="n">
        <v>73</v>
      </c>
      <c r="N82" s="12" t="n">
        <v>17</v>
      </c>
      <c r="O82" s="12" t="n">
        <v>12</v>
      </c>
      <c r="P82" s="12" t="n">
        <v>10</v>
      </c>
      <c r="Q82" s="12" t="n">
        <v>32</v>
      </c>
      <c r="R82" s="12" t="n">
        <v>50</v>
      </c>
      <c r="S82" s="12" t="n">
        <v>72</v>
      </c>
      <c r="T82" s="12" t="n">
        <v>7</v>
      </c>
      <c r="U82" s="12" t="n">
        <v>3</v>
      </c>
      <c r="V82" s="12" t="n">
        <v>13</v>
      </c>
      <c r="W82" s="12" t="n">
        <v>3</v>
      </c>
      <c r="X82" s="13" t="n">
        <f aca="false">M82+N82+2*O82+3*P82</f>
        <v>144</v>
      </c>
      <c r="Y82" s="14" t="n">
        <f aca="false">IF(K82=0,0,M82/K82)</f>
        <v>0.239344262295082</v>
      </c>
      <c r="Z82" s="14" t="n">
        <f aca="false">IF(K82+R82+T82+U82=0,0,(M82+R82+T82)/(K82+R82+T82+U82))</f>
        <v>0.356164383561644</v>
      </c>
      <c r="AA82" s="14" t="n">
        <f aca="false">IF(K82=0,0,X82/K82)</f>
        <v>0.472131147540984</v>
      </c>
      <c r="AB82" s="14" t="n">
        <f aca="false">Z82+AA82</f>
        <v>0.828295531102627</v>
      </c>
      <c r="AC82" s="14" t="n">
        <f aca="false">AA82-Y82</f>
        <v>0.232786885245902</v>
      </c>
      <c r="AD82" s="14" t="n">
        <f aca="false">IF(K82-S82-P82+U82=0,0,(M82-P82)/(K82-S82-P82+U82))</f>
        <v>0.278761061946903</v>
      </c>
      <c r="AE82" s="15" t="n">
        <f aca="false">IF(J82=0,0,R82/J82)</f>
        <v>0.136986301369863</v>
      </c>
      <c r="AF82" s="15" t="n">
        <f aca="false">IF(J82=0,0,S82/J82)</f>
        <v>0.197260273972603</v>
      </c>
      <c r="AG82" s="11" t="n">
        <f aca="false">IF(J82&gt;=INDEX(球季參數!$E$2:$E$4,MATCH($A82,球季參數!$A$2:$A$4,0)),1,0)</f>
        <v>0</v>
      </c>
    </row>
    <row r="83" customFormat="false" ht="15" hidden="false" customHeight="false" outlineLevel="0" collapsed="false">
      <c r="A83" s="5" t="n">
        <v>2024</v>
      </c>
      <c r="B83" s="7" t="s">
        <v>799</v>
      </c>
      <c r="C83" s="10" t="str">
        <f aca="false">INDEX(球員主檔!$B$2:$B$749,MATCH($B83,球員主檔!$A$2:$A$749,0))</f>
        <v>Cedric Garrity</v>
      </c>
      <c r="D83" s="7" t="s">
        <v>375</v>
      </c>
      <c r="E83" s="10" t="str">
        <f aca="false">INDEX(球隊主檔!$C$2:$C$31,MATCH($D83,球隊主檔!$A$2:$A$31,0))</f>
        <v>堪薩斯市皇家</v>
      </c>
      <c r="F83" s="10" t="str">
        <f aca="false">INDEX(球隊主檔!$D$2:$D$31,MATCH($D83,球隊主檔!$A$2:$A$31,0))</f>
        <v>美聯</v>
      </c>
      <c r="G83" s="7" t="s">
        <v>483</v>
      </c>
      <c r="H83" s="11" t="n">
        <f aca="false">INT((DATE($A83,7,1)-INDEX(球員主檔!$G$2:$G$749,MATCH($B83,球員主檔!$A$2:$A$749,0)))/365.25)</f>
        <v>27</v>
      </c>
      <c r="I83" s="12" t="n">
        <v>112</v>
      </c>
      <c r="J83" s="12" t="n">
        <v>463</v>
      </c>
      <c r="K83" s="12" t="n">
        <v>441</v>
      </c>
      <c r="L83" s="12" t="n">
        <v>49</v>
      </c>
      <c r="M83" s="12" t="n">
        <v>120</v>
      </c>
      <c r="N83" s="12" t="n">
        <v>40</v>
      </c>
      <c r="O83" s="12" t="n">
        <v>6</v>
      </c>
      <c r="P83" s="12" t="n">
        <v>11</v>
      </c>
      <c r="Q83" s="12" t="n">
        <v>44</v>
      </c>
      <c r="R83" s="12" t="n">
        <v>14</v>
      </c>
      <c r="S83" s="12" t="n">
        <v>95</v>
      </c>
      <c r="T83" s="12" t="n">
        <v>5</v>
      </c>
      <c r="U83" s="12" t="n">
        <v>3</v>
      </c>
      <c r="V83" s="12" t="n">
        <v>9</v>
      </c>
      <c r="W83" s="12" t="n">
        <v>2</v>
      </c>
      <c r="X83" s="13" t="n">
        <f aca="false">M83+N83+2*O83+3*P83</f>
        <v>205</v>
      </c>
      <c r="Y83" s="14" t="n">
        <f aca="false">IF(K83=0,0,M83/K83)</f>
        <v>0.272108843537415</v>
      </c>
      <c r="Z83" s="14" t="n">
        <f aca="false">IF(K83+R83+T83+U83=0,0,(M83+R83+T83)/(K83+R83+T83+U83))</f>
        <v>0.300215982721382</v>
      </c>
      <c r="AA83" s="14" t="n">
        <f aca="false">IF(K83=0,0,X83/K83)</f>
        <v>0.464852607709751</v>
      </c>
      <c r="AB83" s="14" t="n">
        <f aca="false">Z83+AA83</f>
        <v>0.765068590431133</v>
      </c>
      <c r="AC83" s="14" t="n">
        <f aca="false">AA83-Y83</f>
        <v>0.192743764172336</v>
      </c>
      <c r="AD83" s="14" t="n">
        <f aca="false">IF(K83-S83-P83+U83=0,0,(M83-P83)/(K83-S83-P83+U83))</f>
        <v>0.322485207100592</v>
      </c>
      <c r="AE83" s="15" t="n">
        <f aca="false">IF(J83=0,0,R83/J83)</f>
        <v>0.0302375809935205</v>
      </c>
      <c r="AF83" s="15" t="n">
        <f aca="false">IF(J83=0,0,S83/J83)</f>
        <v>0.205183585313175</v>
      </c>
      <c r="AG83" s="11" t="n">
        <f aca="false">IF(J83&gt;=INDEX(球季參數!$E$2:$E$4,MATCH($A83,球季參數!$A$2:$A$4,0)),1,0)</f>
        <v>0</v>
      </c>
    </row>
    <row r="84" customFormat="false" ht="15" hidden="false" customHeight="false" outlineLevel="0" collapsed="false">
      <c r="A84" s="5" t="n">
        <v>2024</v>
      </c>
      <c r="B84" s="7" t="s">
        <v>801</v>
      </c>
      <c r="C84" s="10" t="str">
        <f aca="false">INDEX(球員主檔!$B$2:$B$749,MATCH($B84,球員主檔!$A$2:$A$749,0))</f>
        <v>Desmond Zielinski</v>
      </c>
      <c r="D84" s="7" t="s">
        <v>375</v>
      </c>
      <c r="E84" s="10" t="str">
        <f aca="false">INDEX(球隊主檔!$C$2:$C$31,MATCH($D84,球隊主檔!$A$2:$A$31,0))</f>
        <v>堪薩斯市皇家</v>
      </c>
      <c r="F84" s="10" t="str">
        <f aca="false">INDEX(球隊主檔!$D$2:$D$31,MATCH($D84,球隊主檔!$A$2:$A$31,0))</f>
        <v>美聯</v>
      </c>
      <c r="G84" s="7" t="s">
        <v>483</v>
      </c>
      <c r="H84" s="11" t="n">
        <f aca="false">INT((DATE($A84,7,1)-INDEX(球員主檔!$G$2:$G$749,MATCH($B84,球員主檔!$A$2:$A$749,0)))/365.25)</f>
        <v>29</v>
      </c>
      <c r="I84" s="12" t="n">
        <v>146</v>
      </c>
      <c r="J84" s="12" t="n">
        <v>587</v>
      </c>
      <c r="K84" s="12" t="n">
        <v>507</v>
      </c>
      <c r="L84" s="12" t="n">
        <v>68</v>
      </c>
      <c r="M84" s="12" t="n">
        <v>128</v>
      </c>
      <c r="N84" s="12" t="n">
        <v>35</v>
      </c>
      <c r="O84" s="12" t="n">
        <v>8</v>
      </c>
      <c r="P84" s="12" t="n">
        <v>21</v>
      </c>
      <c r="Q84" s="12" t="n">
        <v>78</v>
      </c>
      <c r="R84" s="12" t="n">
        <v>75</v>
      </c>
      <c r="S84" s="12" t="n">
        <v>184</v>
      </c>
      <c r="T84" s="12" t="n">
        <v>2</v>
      </c>
      <c r="U84" s="12" t="n">
        <v>3</v>
      </c>
      <c r="V84" s="12" t="n">
        <v>1</v>
      </c>
      <c r="W84" s="12" t="n">
        <v>0</v>
      </c>
      <c r="X84" s="13" t="n">
        <f aca="false">M84+N84+2*O84+3*P84</f>
        <v>242</v>
      </c>
      <c r="Y84" s="14" t="n">
        <f aca="false">IF(K84=0,0,M84/K84)</f>
        <v>0.252465483234714</v>
      </c>
      <c r="Z84" s="14" t="n">
        <f aca="false">IF(K84+R84+T84+U84=0,0,(M84+R84+T84)/(K84+R84+T84+U84))</f>
        <v>0.34923339011925</v>
      </c>
      <c r="AA84" s="14" t="n">
        <f aca="false">IF(K84=0,0,X84/K84)</f>
        <v>0.477317554240631</v>
      </c>
      <c r="AB84" s="14" t="n">
        <f aca="false">Z84+AA84</f>
        <v>0.826550944359882</v>
      </c>
      <c r="AC84" s="14" t="n">
        <f aca="false">AA84-Y84</f>
        <v>0.224852071005917</v>
      </c>
      <c r="AD84" s="14" t="n">
        <f aca="false">IF(K84-S84-P84+U84=0,0,(M84-P84)/(K84-S84-P84+U84))</f>
        <v>0.350819672131148</v>
      </c>
      <c r="AE84" s="15" t="n">
        <f aca="false">IF(J84=0,0,R84/J84)</f>
        <v>0.127768313458262</v>
      </c>
      <c r="AF84" s="15" t="n">
        <f aca="false">IF(J84=0,0,S84/J84)</f>
        <v>0.313458262350937</v>
      </c>
      <c r="AG84" s="11" t="n">
        <f aca="false">IF(J84&gt;=INDEX(球季參數!$E$2:$E$4,MATCH($A84,球季參數!$A$2:$A$4,0)),1,0)</f>
        <v>1</v>
      </c>
    </row>
    <row r="85" customFormat="false" ht="15" hidden="false" customHeight="false" outlineLevel="0" collapsed="false">
      <c r="A85" s="5" t="n">
        <v>2024</v>
      </c>
      <c r="B85" s="7" t="s">
        <v>803</v>
      </c>
      <c r="C85" s="10" t="str">
        <f aca="false">INDEX(球員主檔!$B$2:$B$749,MATCH($B85,球員主檔!$A$2:$A$749,0))</f>
        <v>Percival Esquivel</v>
      </c>
      <c r="D85" s="7" t="s">
        <v>375</v>
      </c>
      <c r="E85" s="10" t="str">
        <f aca="false">INDEX(球隊主檔!$C$2:$C$31,MATCH($D85,球隊主檔!$A$2:$A$31,0))</f>
        <v>堪薩斯市皇家</v>
      </c>
      <c r="F85" s="10" t="str">
        <f aca="false">INDEX(球隊主檔!$D$2:$D$31,MATCH($D85,球隊主檔!$A$2:$A$31,0))</f>
        <v>美聯</v>
      </c>
      <c r="G85" s="7" t="s">
        <v>483</v>
      </c>
      <c r="H85" s="11" t="n">
        <f aca="false">INT((DATE($A85,7,1)-INDEX(球員主檔!$G$2:$G$749,MATCH($B85,球員主檔!$A$2:$A$749,0)))/365.25)</f>
        <v>25</v>
      </c>
      <c r="I85" s="12" t="n">
        <v>88</v>
      </c>
      <c r="J85" s="12" t="n">
        <v>368</v>
      </c>
      <c r="K85" s="12" t="n">
        <v>342</v>
      </c>
      <c r="L85" s="12" t="n">
        <v>36</v>
      </c>
      <c r="M85" s="12" t="n">
        <v>78</v>
      </c>
      <c r="N85" s="12" t="n">
        <v>25</v>
      </c>
      <c r="O85" s="12" t="n">
        <v>10</v>
      </c>
      <c r="P85" s="12" t="n">
        <v>11</v>
      </c>
      <c r="Q85" s="12" t="n">
        <v>38</v>
      </c>
      <c r="R85" s="12" t="n">
        <v>18</v>
      </c>
      <c r="S85" s="12" t="n">
        <v>81</v>
      </c>
      <c r="T85" s="12" t="n">
        <v>5</v>
      </c>
      <c r="U85" s="12" t="n">
        <v>3</v>
      </c>
      <c r="V85" s="12" t="n">
        <v>13</v>
      </c>
      <c r="W85" s="12" t="n">
        <v>2</v>
      </c>
      <c r="X85" s="13" t="n">
        <f aca="false">M85+N85+2*O85+3*P85</f>
        <v>156</v>
      </c>
      <c r="Y85" s="14" t="n">
        <f aca="false">IF(K85=0,0,M85/K85)</f>
        <v>0.228070175438596</v>
      </c>
      <c r="Z85" s="14" t="n">
        <f aca="false">IF(K85+R85+T85+U85=0,0,(M85+R85+T85)/(K85+R85+T85+U85))</f>
        <v>0.27445652173913</v>
      </c>
      <c r="AA85" s="14" t="n">
        <f aca="false">IF(K85=0,0,X85/K85)</f>
        <v>0.456140350877193</v>
      </c>
      <c r="AB85" s="14" t="n">
        <f aca="false">Z85+AA85</f>
        <v>0.730596872616323</v>
      </c>
      <c r="AC85" s="14" t="n">
        <f aca="false">AA85-Y85</f>
        <v>0.228070175438596</v>
      </c>
      <c r="AD85" s="14" t="n">
        <f aca="false">IF(K85-S85-P85+U85=0,0,(M85-P85)/(K85-S85-P85+U85))</f>
        <v>0.264822134387352</v>
      </c>
      <c r="AE85" s="15" t="n">
        <f aca="false">IF(J85=0,0,R85/J85)</f>
        <v>0.0489130434782609</v>
      </c>
      <c r="AF85" s="15" t="n">
        <f aca="false">IF(J85=0,0,S85/J85)</f>
        <v>0.220108695652174</v>
      </c>
      <c r="AG85" s="11" t="n">
        <f aca="false">IF(J85&gt;=INDEX(球季參數!$E$2:$E$4,MATCH($A85,球季參數!$A$2:$A$4,0)),1,0)</f>
        <v>0</v>
      </c>
    </row>
    <row r="86" customFormat="false" ht="15" hidden="false" customHeight="false" outlineLevel="0" collapsed="false">
      <c r="A86" s="5" t="n">
        <v>2024</v>
      </c>
      <c r="B86" s="7" t="s">
        <v>805</v>
      </c>
      <c r="C86" s="10" t="str">
        <f aca="false">INDEX(球員主檔!$B$2:$B$749,MATCH($B86,球員主檔!$A$2:$A$749,0))</f>
        <v>Seonwoo Beckwith</v>
      </c>
      <c r="D86" s="7" t="s">
        <v>375</v>
      </c>
      <c r="E86" s="10" t="str">
        <f aca="false">INDEX(球隊主檔!$C$2:$C$31,MATCH($D86,球隊主檔!$A$2:$A$31,0))</f>
        <v>堪薩斯市皇家</v>
      </c>
      <c r="F86" s="10" t="str">
        <f aca="false">INDEX(球隊主檔!$D$2:$D$31,MATCH($D86,球隊主檔!$A$2:$A$31,0))</f>
        <v>美聯</v>
      </c>
      <c r="G86" s="7" t="s">
        <v>473</v>
      </c>
      <c r="H86" s="11" t="n">
        <f aca="false">INT((DATE($A86,7,1)-INDEX(球員主檔!$G$2:$G$749,MATCH($B86,球員主檔!$A$2:$A$749,0)))/365.25)</f>
        <v>25</v>
      </c>
      <c r="I86" s="12" t="n">
        <v>162</v>
      </c>
      <c r="J86" s="12" t="n">
        <v>678</v>
      </c>
      <c r="K86" s="12" t="n">
        <v>613</v>
      </c>
      <c r="L86" s="12" t="n">
        <v>63</v>
      </c>
      <c r="M86" s="12" t="n">
        <v>137</v>
      </c>
      <c r="N86" s="12" t="n">
        <v>21</v>
      </c>
      <c r="O86" s="12" t="n">
        <v>2</v>
      </c>
      <c r="P86" s="12" t="n">
        <v>19</v>
      </c>
      <c r="Q86" s="12" t="n">
        <v>79</v>
      </c>
      <c r="R86" s="12" t="n">
        <v>55</v>
      </c>
      <c r="S86" s="12" t="n">
        <v>186</v>
      </c>
      <c r="T86" s="12" t="n">
        <v>2</v>
      </c>
      <c r="U86" s="12" t="n">
        <v>8</v>
      </c>
      <c r="V86" s="12" t="n">
        <v>19</v>
      </c>
      <c r="W86" s="12" t="n">
        <v>5</v>
      </c>
      <c r="X86" s="13" t="n">
        <f aca="false">M86+N86+2*O86+3*P86</f>
        <v>219</v>
      </c>
      <c r="Y86" s="14" t="n">
        <f aca="false">IF(K86=0,0,M86/K86)</f>
        <v>0.223491027732463</v>
      </c>
      <c r="Z86" s="14" t="n">
        <f aca="false">IF(K86+R86+T86+U86=0,0,(M86+R86+T86)/(K86+R86+T86+U86))</f>
        <v>0.286135693215339</v>
      </c>
      <c r="AA86" s="14" t="n">
        <f aca="false">IF(K86=0,0,X86/K86)</f>
        <v>0.357259380097879</v>
      </c>
      <c r="AB86" s="14" t="n">
        <f aca="false">Z86+AA86</f>
        <v>0.643395073313219</v>
      </c>
      <c r="AC86" s="14" t="n">
        <f aca="false">AA86-Y86</f>
        <v>0.133768352365416</v>
      </c>
      <c r="AD86" s="14" t="n">
        <f aca="false">IF(K86-S86-P86+U86=0,0,(M86-P86)/(K86-S86-P86+U86))</f>
        <v>0.283653846153846</v>
      </c>
      <c r="AE86" s="15" t="n">
        <f aca="false">IF(J86=0,0,R86/J86)</f>
        <v>0.0811209439528024</v>
      </c>
      <c r="AF86" s="15" t="n">
        <f aca="false">IF(J86=0,0,S86/J86)</f>
        <v>0.274336283185841</v>
      </c>
      <c r="AG86" s="11" t="n">
        <f aca="false">IF(J86&gt;=INDEX(球季參數!$E$2:$E$4,MATCH($A86,球季參數!$A$2:$A$4,0)),1,0)</f>
        <v>1</v>
      </c>
    </row>
    <row r="87" customFormat="false" ht="15" hidden="false" customHeight="false" outlineLevel="0" collapsed="false">
      <c r="A87" s="5" t="n">
        <v>2024</v>
      </c>
      <c r="B87" s="7" t="s">
        <v>807</v>
      </c>
      <c r="C87" s="10" t="str">
        <f aca="false">INDEX(球員主檔!$B$2:$B$749,MATCH($B87,球員主檔!$A$2:$A$749,0))</f>
        <v>Quentin Eberhardt</v>
      </c>
      <c r="D87" s="7" t="s">
        <v>375</v>
      </c>
      <c r="E87" s="10" t="str">
        <f aca="false">INDEX(球隊主檔!$C$2:$C$31,MATCH($D87,球隊主檔!$A$2:$A$31,0))</f>
        <v>堪薩斯市皇家</v>
      </c>
      <c r="F87" s="10" t="str">
        <f aca="false">INDEX(球隊主檔!$D$2:$D$31,MATCH($D87,球隊主檔!$A$2:$A$31,0))</f>
        <v>美聯</v>
      </c>
      <c r="G87" s="7" t="s">
        <v>470</v>
      </c>
      <c r="H87" s="11" t="n">
        <f aca="false">INT((DATE($A87,7,1)-INDEX(球員主檔!$G$2:$G$749,MATCH($B87,球員主檔!$A$2:$A$749,0)))/365.25)</f>
        <v>27</v>
      </c>
      <c r="I87" s="12" t="n">
        <v>117</v>
      </c>
      <c r="J87" s="12" t="n">
        <v>497</v>
      </c>
      <c r="K87" s="12" t="n">
        <v>452</v>
      </c>
      <c r="L87" s="12" t="n">
        <v>60</v>
      </c>
      <c r="M87" s="12" t="n">
        <v>139</v>
      </c>
      <c r="N87" s="12" t="n">
        <v>42</v>
      </c>
      <c r="O87" s="12" t="n">
        <v>4</v>
      </c>
      <c r="P87" s="12" t="n">
        <v>12</v>
      </c>
      <c r="Q87" s="12" t="n">
        <v>65</v>
      </c>
      <c r="R87" s="12" t="n">
        <v>40</v>
      </c>
      <c r="S87" s="12" t="n">
        <v>140</v>
      </c>
      <c r="T87" s="12" t="n">
        <v>3</v>
      </c>
      <c r="U87" s="12" t="n">
        <v>2</v>
      </c>
      <c r="V87" s="12" t="n">
        <v>8</v>
      </c>
      <c r="W87" s="12" t="n">
        <v>1</v>
      </c>
      <c r="X87" s="13" t="n">
        <f aca="false">M87+N87+2*O87+3*P87</f>
        <v>225</v>
      </c>
      <c r="Y87" s="14" t="n">
        <f aca="false">IF(K87=0,0,M87/K87)</f>
        <v>0.307522123893805</v>
      </c>
      <c r="Z87" s="14" t="n">
        <f aca="false">IF(K87+R87+T87+U87=0,0,(M87+R87+T87)/(K87+R87+T87+U87))</f>
        <v>0.366197183098592</v>
      </c>
      <c r="AA87" s="14" t="n">
        <f aca="false">IF(K87=0,0,X87/K87)</f>
        <v>0.497787610619469</v>
      </c>
      <c r="AB87" s="14" t="n">
        <f aca="false">Z87+AA87</f>
        <v>0.863984793718061</v>
      </c>
      <c r="AC87" s="14" t="n">
        <f aca="false">AA87-Y87</f>
        <v>0.190265486725664</v>
      </c>
      <c r="AD87" s="14" t="n">
        <f aca="false">IF(K87-S87-P87+U87=0,0,(M87-P87)/(K87-S87-P87+U87))</f>
        <v>0.420529801324503</v>
      </c>
      <c r="AE87" s="15" t="n">
        <f aca="false">IF(J87=0,0,R87/J87)</f>
        <v>0.0804828973843058</v>
      </c>
      <c r="AF87" s="15" t="n">
        <f aca="false">IF(J87=0,0,S87/J87)</f>
        <v>0.28169014084507</v>
      </c>
      <c r="AG87" s="11" t="n">
        <f aca="false">IF(J87&gt;=INDEX(球季參數!$E$2:$E$4,MATCH($A87,球季參數!$A$2:$A$4,0)),1,0)</f>
        <v>0</v>
      </c>
    </row>
    <row r="88" customFormat="false" ht="15" hidden="false" customHeight="false" outlineLevel="0" collapsed="false">
      <c r="A88" s="5" t="n">
        <v>2024</v>
      </c>
      <c r="B88" s="7" t="s">
        <v>809</v>
      </c>
      <c r="C88" s="10" t="str">
        <f aca="false">INDEX(球員主檔!$B$2:$B$749,MATCH($B88,球員主檔!$A$2:$A$749,0))</f>
        <v>Cassius Mbeki</v>
      </c>
      <c r="D88" s="7" t="s">
        <v>375</v>
      </c>
      <c r="E88" s="10" t="str">
        <f aca="false">INDEX(球隊主檔!$C$2:$C$31,MATCH($D88,球隊主檔!$A$2:$A$31,0))</f>
        <v>堪薩斯市皇家</v>
      </c>
      <c r="F88" s="10" t="str">
        <f aca="false">INDEX(球隊主檔!$D$2:$D$31,MATCH($D88,球隊主檔!$A$2:$A$31,0))</f>
        <v>美聯</v>
      </c>
      <c r="G88" s="7" t="s">
        <v>162</v>
      </c>
      <c r="H88" s="11" t="n">
        <f aca="false">INT((DATE($A88,7,1)-INDEX(球員主檔!$G$2:$G$749,MATCH($B88,球員主檔!$A$2:$A$749,0)))/365.25)</f>
        <v>30</v>
      </c>
      <c r="I88" s="12" t="n">
        <v>102</v>
      </c>
      <c r="J88" s="12" t="n">
        <v>417</v>
      </c>
      <c r="K88" s="12" t="n">
        <v>378</v>
      </c>
      <c r="L88" s="12" t="n">
        <v>51</v>
      </c>
      <c r="M88" s="12" t="n">
        <v>92</v>
      </c>
      <c r="N88" s="12" t="n">
        <v>26</v>
      </c>
      <c r="O88" s="12" t="n">
        <v>3</v>
      </c>
      <c r="P88" s="12" t="n">
        <v>18</v>
      </c>
      <c r="Q88" s="12" t="n">
        <v>62</v>
      </c>
      <c r="R88" s="12" t="n">
        <v>26</v>
      </c>
      <c r="S88" s="12" t="n">
        <v>63</v>
      </c>
      <c r="T88" s="12" t="n">
        <v>8</v>
      </c>
      <c r="U88" s="12" t="n">
        <v>5</v>
      </c>
      <c r="V88" s="12" t="n">
        <v>6</v>
      </c>
      <c r="W88" s="12" t="n">
        <v>1</v>
      </c>
      <c r="X88" s="13" t="n">
        <f aca="false">M88+N88+2*O88+3*P88</f>
        <v>178</v>
      </c>
      <c r="Y88" s="14" t="n">
        <f aca="false">IF(K88=0,0,M88/K88)</f>
        <v>0.243386243386243</v>
      </c>
      <c r="Z88" s="14" t="n">
        <f aca="false">IF(K88+R88+T88+U88=0,0,(M88+R88+T88)/(K88+R88+T88+U88))</f>
        <v>0.302158273381295</v>
      </c>
      <c r="AA88" s="14" t="n">
        <f aca="false">IF(K88=0,0,X88/K88)</f>
        <v>0.470899470899471</v>
      </c>
      <c r="AB88" s="14" t="n">
        <f aca="false">Z88+AA88</f>
        <v>0.773057744280766</v>
      </c>
      <c r="AC88" s="14" t="n">
        <f aca="false">AA88-Y88</f>
        <v>0.227513227513228</v>
      </c>
      <c r="AD88" s="14" t="n">
        <f aca="false">IF(K88-S88-P88+U88=0,0,(M88-P88)/(K88-S88-P88+U88))</f>
        <v>0.245033112582781</v>
      </c>
      <c r="AE88" s="15" t="n">
        <f aca="false">IF(J88=0,0,R88/J88)</f>
        <v>0.0623501199040767</v>
      </c>
      <c r="AF88" s="15" t="n">
        <f aca="false">IF(J88=0,0,S88/J88)</f>
        <v>0.151079136690648</v>
      </c>
      <c r="AG88" s="11" t="n">
        <f aca="false">IF(J88&gt;=INDEX(球季參數!$E$2:$E$4,MATCH($A88,球季參數!$A$2:$A$4,0)),1,0)</f>
        <v>0</v>
      </c>
    </row>
    <row r="89" customFormat="false" ht="15" hidden="false" customHeight="false" outlineLevel="0" collapsed="false">
      <c r="A89" s="5" t="n">
        <v>2024</v>
      </c>
      <c r="B89" s="7" t="s">
        <v>811</v>
      </c>
      <c r="C89" s="10" t="str">
        <f aca="false">INDEX(球員主檔!$B$2:$B$749,MATCH($B89,球員主檔!$A$2:$A$749,0))</f>
        <v>Dorian Ashworth</v>
      </c>
      <c r="D89" s="7" t="s">
        <v>375</v>
      </c>
      <c r="E89" s="10" t="str">
        <f aca="false">INDEX(球隊主檔!$C$2:$C$31,MATCH($D89,球隊主檔!$A$2:$A$31,0))</f>
        <v>堪薩斯市皇家</v>
      </c>
      <c r="F89" s="10" t="str">
        <f aca="false">INDEX(球隊主檔!$D$2:$D$31,MATCH($D89,球隊主檔!$A$2:$A$31,0))</f>
        <v>美聯</v>
      </c>
      <c r="G89" s="7" t="s">
        <v>470</v>
      </c>
      <c r="H89" s="11" t="n">
        <f aca="false">INT((DATE($A89,7,1)-INDEX(球員主檔!$G$2:$G$749,MATCH($B89,球員主檔!$A$2:$A$749,0)))/365.25)</f>
        <v>31</v>
      </c>
      <c r="I89" s="12" t="n">
        <v>107</v>
      </c>
      <c r="J89" s="12" t="n">
        <v>451</v>
      </c>
      <c r="K89" s="12" t="n">
        <v>410</v>
      </c>
      <c r="L89" s="12" t="n">
        <v>54</v>
      </c>
      <c r="M89" s="12" t="n">
        <v>98</v>
      </c>
      <c r="N89" s="12" t="n">
        <v>20</v>
      </c>
      <c r="O89" s="12" t="n">
        <v>4</v>
      </c>
      <c r="P89" s="12" t="n">
        <v>16</v>
      </c>
      <c r="Q89" s="12" t="n">
        <v>45</v>
      </c>
      <c r="R89" s="12" t="n">
        <v>32</v>
      </c>
      <c r="S89" s="12" t="n">
        <v>111</v>
      </c>
      <c r="T89" s="12" t="n">
        <v>5</v>
      </c>
      <c r="U89" s="12" t="n">
        <v>4</v>
      </c>
      <c r="V89" s="12" t="n">
        <v>5</v>
      </c>
      <c r="W89" s="12" t="n">
        <v>1</v>
      </c>
      <c r="X89" s="13" t="n">
        <f aca="false">M89+N89+2*O89+3*P89</f>
        <v>174</v>
      </c>
      <c r="Y89" s="14" t="n">
        <f aca="false">IF(K89=0,0,M89/K89)</f>
        <v>0.239024390243902</v>
      </c>
      <c r="Z89" s="14" t="n">
        <f aca="false">IF(K89+R89+T89+U89=0,0,(M89+R89+T89)/(K89+R89+T89+U89))</f>
        <v>0.299334811529933</v>
      </c>
      <c r="AA89" s="14" t="n">
        <f aca="false">IF(K89=0,0,X89/K89)</f>
        <v>0.424390243902439</v>
      </c>
      <c r="AB89" s="14" t="n">
        <f aca="false">Z89+AA89</f>
        <v>0.723725055432372</v>
      </c>
      <c r="AC89" s="14" t="n">
        <f aca="false">AA89-Y89</f>
        <v>0.185365853658537</v>
      </c>
      <c r="AD89" s="14" t="n">
        <f aca="false">IF(K89-S89-P89+U89=0,0,(M89-P89)/(K89-S89-P89+U89))</f>
        <v>0.285714285714286</v>
      </c>
      <c r="AE89" s="15" t="n">
        <f aca="false">IF(J89=0,0,R89/J89)</f>
        <v>0.0709534368070953</v>
      </c>
      <c r="AF89" s="15" t="n">
        <f aca="false">IF(J89=0,0,S89/J89)</f>
        <v>0.246119733924612</v>
      </c>
      <c r="AG89" s="11" t="n">
        <f aca="false">IF(J89&gt;=INDEX(球季參數!$E$2:$E$4,MATCH($A89,球季參數!$A$2:$A$4,0)),1,0)</f>
        <v>0</v>
      </c>
    </row>
    <row r="90" customFormat="false" ht="15" hidden="false" customHeight="false" outlineLevel="0" collapsed="false">
      <c r="A90" s="5" t="n">
        <v>2024</v>
      </c>
      <c r="B90" s="7" t="s">
        <v>813</v>
      </c>
      <c r="C90" s="10" t="str">
        <f aca="false">INDEX(球員主檔!$B$2:$B$749,MATCH($B90,球員主檔!$A$2:$A$749,0))</f>
        <v>Marcus Delacroix</v>
      </c>
      <c r="D90" s="7" t="s">
        <v>375</v>
      </c>
      <c r="E90" s="10" t="str">
        <f aca="false">INDEX(球隊主檔!$C$2:$C$31,MATCH($D90,球隊主檔!$A$2:$A$31,0))</f>
        <v>堪薩斯市皇家</v>
      </c>
      <c r="F90" s="10" t="str">
        <f aca="false">INDEX(球隊主檔!$D$2:$D$31,MATCH($D90,球隊主檔!$A$2:$A$31,0))</f>
        <v>美聯</v>
      </c>
      <c r="G90" s="7" t="s">
        <v>63</v>
      </c>
      <c r="H90" s="11" t="n">
        <f aca="false">INT((DATE($A90,7,1)-INDEX(球員主檔!$G$2:$G$749,MATCH($B90,球員主檔!$A$2:$A$749,0)))/365.25)</f>
        <v>27</v>
      </c>
      <c r="I90" s="12" t="n">
        <v>55</v>
      </c>
      <c r="J90" s="12" t="n">
        <v>242</v>
      </c>
      <c r="K90" s="12" t="n">
        <v>217</v>
      </c>
      <c r="L90" s="12" t="n">
        <v>27</v>
      </c>
      <c r="M90" s="12" t="n">
        <v>52</v>
      </c>
      <c r="N90" s="12" t="n">
        <v>19</v>
      </c>
      <c r="O90" s="12" t="n">
        <v>4</v>
      </c>
      <c r="P90" s="12" t="n">
        <v>7</v>
      </c>
      <c r="Q90" s="12" t="n">
        <v>26</v>
      </c>
      <c r="R90" s="12" t="n">
        <v>21</v>
      </c>
      <c r="S90" s="12" t="n">
        <v>83</v>
      </c>
      <c r="T90" s="12" t="n">
        <v>1</v>
      </c>
      <c r="U90" s="12" t="n">
        <v>3</v>
      </c>
      <c r="V90" s="12" t="n">
        <v>8</v>
      </c>
      <c r="W90" s="12" t="n">
        <v>2</v>
      </c>
      <c r="X90" s="13" t="n">
        <f aca="false">M90+N90+2*O90+3*P90</f>
        <v>100</v>
      </c>
      <c r="Y90" s="14" t="n">
        <f aca="false">IF(K90=0,0,M90/K90)</f>
        <v>0.23963133640553</v>
      </c>
      <c r="Z90" s="14" t="n">
        <f aca="false">IF(K90+R90+T90+U90=0,0,(M90+R90+T90)/(K90+R90+T90+U90))</f>
        <v>0.305785123966942</v>
      </c>
      <c r="AA90" s="14" t="n">
        <f aca="false">IF(K90=0,0,X90/K90)</f>
        <v>0.460829493087558</v>
      </c>
      <c r="AB90" s="14" t="n">
        <f aca="false">Z90+AA90</f>
        <v>0.7666146170545</v>
      </c>
      <c r="AC90" s="14" t="n">
        <f aca="false">AA90-Y90</f>
        <v>0.221198156682028</v>
      </c>
      <c r="AD90" s="14" t="n">
        <f aca="false">IF(K90-S90-P90+U90=0,0,(M90-P90)/(K90-S90-P90+U90))</f>
        <v>0.346153846153846</v>
      </c>
      <c r="AE90" s="15" t="n">
        <f aca="false">IF(J90=0,0,R90/J90)</f>
        <v>0.0867768595041322</v>
      </c>
      <c r="AF90" s="15" t="n">
        <f aca="false">IF(J90=0,0,S90/J90)</f>
        <v>0.34297520661157</v>
      </c>
      <c r="AG90" s="11" t="n">
        <f aca="false">IF(J90&gt;=INDEX(球季參數!$E$2:$E$4,MATCH($A90,球季參數!$A$2:$A$4,0)),1,0)</f>
        <v>0</v>
      </c>
    </row>
    <row r="91" customFormat="false" ht="15" hidden="false" customHeight="false" outlineLevel="0" collapsed="false">
      <c r="A91" s="5" t="n">
        <v>2024</v>
      </c>
      <c r="B91" s="7" t="s">
        <v>815</v>
      </c>
      <c r="C91" s="10" t="str">
        <f aca="false">INDEX(球員主檔!$B$2:$B$749,MATCH($B91,球員主檔!$A$2:$A$749,0))</f>
        <v>Griffin Ravenscroft</v>
      </c>
      <c r="D91" s="7" t="s">
        <v>375</v>
      </c>
      <c r="E91" s="10" t="str">
        <f aca="false">INDEX(球隊主檔!$C$2:$C$31,MATCH($D91,球隊主檔!$A$2:$A$31,0))</f>
        <v>堪薩斯市皇家</v>
      </c>
      <c r="F91" s="10" t="str">
        <f aca="false">INDEX(球隊主檔!$D$2:$D$31,MATCH($D91,球隊主檔!$A$2:$A$31,0))</f>
        <v>美聯</v>
      </c>
      <c r="G91" s="7" t="s">
        <v>486</v>
      </c>
      <c r="H91" s="11" t="n">
        <f aca="false">INT((DATE($A91,7,1)-INDEX(球員主檔!$G$2:$G$749,MATCH($B91,球員主檔!$A$2:$A$749,0)))/365.25)</f>
        <v>27</v>
      </c>
      <c r="I91" s="12" t="n">
        <v>41</v>
      </c>
      <c r="J91" s="12" t="n">
        <v>166</v>
      </c>
      <c r="K91" s="12" t="n">
        <v>152</v>
      </c>
      <c r="L91" s="12" t="n">
        <v>20</v>
      </c>
      <c r="M91" s="12" t="n">
        <v>36</v>
      </c>
      <c r="N91" s="12" t="n">
        <v>10</v>
      </c>
      <c r="O91" s="12" t="n">
        <v>7</v>
      </c>
      <c r="P91" s="12" t="n">
        <v>5</v>
      </c>
      <c r="Q91" s="12" t="n">
        <v>20</v>
      </c>
      <c r="R91" s="12" t="n">
        <v>12</v>
      </c>
      <c r="S91" s="12" t="n">
        <v>39</v>
      </c>
      <c r="T91" s="12" t="n">
        <v>1</v>
      </c>
      <c r="U91" s="12" t="n">
        <v>1</v>
      </c>
      <c r="V91" s="12" t="n">
        <v>8</v>
      </c>
      <c r="W91" s="12" t="n">
        <v>3</v>
      </c>
      <c r="X91" s="13" t="n">
        <f aca="false">M91+N91+2*O91+3*P91</f>
        <v>75</v>
      </c>
      <c r="Y91" s="14" t="n">
        <f aca="false">IF(K91=0,0,M91/K91)</f>
        <v>0.236842105263158</v>
      </c>
      <c r="Z91" s="14" t="n">
        <f aca="false">IF(K91+R91+T91+U91=0,0,(M91+R91+T91)/(K91+R91+T91+U91))</f>
        <v>0.295180722891566</v>
      </c>
      <c r="AA91" s="14" t="n">
        <f aca="false">IF(K91=0,0,X91/K91)</f>
        <v>0.493421052631579</v>
      </c>
      <c r="AB91" s="14" t="n">
        <f aca="false">Z91+AA91</f>
        <v>0.788601775523145</v>
      </c>
      <c r="AC91" s="14" t="n">
        <f aca="false">AA91-Y91</f>
        <v>0.256578947368421</v>
      </c>
      <c r="AD91" s="14" t="n">
        <f aca="false">IF(K91-S91-P91+U91=0,0,(M91-P91)/(K91-S91-P91+U91))</f>
        <v>0.284403669724771</v>
      </c>
      <c r="AE91" s="15" t="n">
        <f aca="false">IF(J91=0,0,R91/J91)</f>
        <v>0.072289156626506</v>
      </c>
      <c r="AF91" s="15" t="n">
        <f aca="false">IF(J91=0,0,S91/J91)</f>
        <v>0.234939759036145</v>
      </c>
      <c r="AG91" s="11" t="n">
        <f aca="false">IF(J91&gt;=INDEX(球季參數!$E$2:$E$4,MATCH($A91,球季參數!$A$2:$A$4,0)),1,0)</f>
        <v>0</v>
      </c>
    </row>
    <row r="92" customFormat="false" ht="15" hidden="false" customHeight="false" outlineLevel="0" collapsed="false">
      <c r="A92" s="5" t="n">
        <v>2024</v>
      </c>
      <c r="B92" s="7" t="s">
        <v>837</v>
      </c>
      <c r="C92" s="10" t="str">
        <f aca="false">INDEX(球員主檔!$B$2:$B$749,MATCH($B92,球員主檔!$A$2:$A$749,0))</f>
        <v>Dashiell Uchendu</v>
      </c>
      <c r="D92" s="7" t="s">
        <v>379</v>
      </c>
      <c r="E92" s="10" t="str">
        <f aca="false">INDEX(球隊主檔!$C$2:$C$31,MATCH($D92,球隊主檔!$A$2:$A$31,0))</f>
        <v>明尼蘇達雙城</v>
      </c>
      <c r="F92" s="10" t="str">
        <f aca="false">INDEX(球隊主檔!$D$2:$D$31,MATCH($D92,球隊主檔!$A$2:$A$31,0))</f>
        <v>美聯</v>
      </c>
      <c r="G92" s="7" t="s">
        <v>522</v>
      </c>
      <c r="H92" s="11" t="n">
        <f aca="false">INT((DATE($A92,7,1)-INDEX(球員主檔!$G$2:$G$749,MATCH($B92,球員主檔!$A$2:$A$749,0)))/365.25)</f>
        <v>33</v>
      </c>
      <c r="I92" s="12" t="n">
        <v>152</v>
      </c>
      <c r="J92" s="12" t="n">
        <v>665</v>
      </c>
      <c r="K92" s="12" t="n">
        <v>583</v>
      </c>
      <c r="L92" s="12" t="n">
        <v>71</v>
      </c>
      <c r="M92" s="12" t="n">
        <v>118</v>
      </c>
      <c r="N92" s="12" t="n">
        <v>22</v>
      </c>
      <c r="O92" s="12" t="n">
        <v>2</v>
      </c>
      <c r="P92" s="12" t="n">
        <v>23</v>
      </c>
      <c r="Q92" s="12" t="n">
        <v>84</v>
      </c>
      <c r="R92" s="12" t="n">
        <v>70</v>
      </c>
      <c r="S92" s="12" t="n">
        <v>204</v>
      </c>
      <c r="T92" s="12" t="n">
        <v>8</v>
      </c>
      <c r="U92" s="12" t="n">
        <v>4</v>
      </c>
      <c r="V92" s="12" t="n">
        <v>11</v>
      </c>
      <c r="W92" s="12" t="n">
        <v>4</v>
      </c>
      <c r="X92" s="13" t="n">
        <f aca="false">M92+N92+2*O92+3*P92</f>
        <v>213</v>
      </c>
      <c r="Y92" s="14" t="n">
        <f aca="false">IF(K92=0,0,M92/K92)</f>
        <v>0.202401372212693</v>
      </c>
      <c r="Z92" s="14" t="n">
        <f aca="false">IF(K92+R92+T92+U92=0,0,(M92+R92+T92)/(K92+R92+T92+U92))</f>
        <v>0.294736842105263</v>
      </c>
      <c r="AA92" s="14" t="n">
        <f aca="false">IF(K92=0,0,X92/K92)</f>
        <v>0.365351629502573</v>
      </c>
      <c r="AB92" s="14" t="n">
        <f aca="false">Z92+AA92</f>
        <v>0.660088471607836</v>
      </c>
      <c r="AC92" s="14" t="n">
        <f aca="false">AA92-Y92</f>
        <v>0.16295025728988</v>
      </c>
      <c r="AD92" s="14" t="n">
        <f aca="false">IF(K92-S92-P92+U92=0,0,(M92-P92)/(K92-S92-P92+U92))</f>
        <v>0.263888888888889</v>
      </c>
      <c r="AE92" s="15" t="n">
        <f aca="false">IF(J92=0,0,R92/J92)</f>
        <v>0.105263157894737</v>
      </c>
      <c r="AF92" s="15" t="n">
        <f aca="false">IF(J92=0,0,S92/J92)</f>
        <v>0.306766917293233</v>
      </c>
      <c r="AG92" s="11" t="n">
        <f aca="false">IF(J92&gt;=INDEX(球季參數!$E$2:$E$4,MATCH($A92,球季參數!$A$2:$A$4,0)),1,0)</f>
        <v>1</v>
      </c>
    </row>
    <row r="93" customFormat="false" ht="15" hidden="false" customHeight="false" outlineLevel="0" collapsed="false">
      <c r="A93" s="5" t="n">
        <v>2024</v>
      </c>
      <c r="B93" s="7" t="s">
        <v>839</v>
      </c>
      <c r="C93" s="10" t="str">
        <f aca="false">INDEX(球員主檔!$B$2:$B$749,MATCH($B93,球員主檔!$A$2:$A$749,0))</f>
        <v>Barrett Yarbrough</v>
      </c>
      <c r="D93" s="7" t="s">
        <v>379</v>
      </c>
      <c r="E93" s="10" t="str">
        <f aca="false">INDEX(球隊主檔!$C$2:$C$31,MATCH($D93,球隊主檔!$A$2:$A$31,0))</f>
        <v>明尼蘇達雙城</v>
      </c>
      <c r="F93" s="10" t="str">
        <f aca="false">INDEX(球隊主檔!$D$2:$D$31,MATCH($D93,球隊主檔!$A$2:$A$31,0))</f>
        <v>美聯</v>
      </c>
      <c r="G93" s="7" t="s">
        <v>158</v>
      </c>
      <c r="H93" s="11" t="n">
        <f aca="false">INT((DATE($A93,7,1)-INDEX(球員主檔!$G$2:$G$749,MATCH($B93,球員主檔!$A$2:$A$749,0)))/365.25)</f>
        <v>28</v>
      </c>
      <c r="I93" s="12" t="n">
        <v>156</v>
      </c>
      <c r="J93" s="12" t="n">
        <v>671</v>
      </c>
      <c r="K93" s="12" t="n">
        <v>577</v>
      </c>
      <c r="L93" s="12" t="n">
        <v>86</v>
      </c>
      <c r="M93" s="12" t="n">
        <v>166</v>
      </c>
      <c r="N93" s="12" t="n">
        <v>26</v>
      </c>
      <c r="O93" s="12" t="n">
        <v>2</v>
      </c>
      <c r="P93" s="12" t="n">
        <v>5</v>
      </c>
      <c r="Q93" s="12" t="n">
        <v>40</v>
      </c>
      <c r="R93" s="12" t="n">
        <v>84</v>
      </c>
      <c r="S93" s="12" t="n">
        <v>143</v>
      </c>
      <c r="T93" s="12" t="n">
        <v>5</v>
      </c>
      <c r="U93" s="12" t="n">
        <v>5</v>
      </c>
      <c r="V93" s="12" t="n">
        <v>5</v>
      </c>
      <c r="W93" s="12" t="n">
        <v>1</v>
      </c>
      <c r="X93" s="13" t="n">
        <f aca="false">M93+N93+2*O93+3*P93</f>
        <v>211</v>
      </c>
      <c r="Y93" s="14" t="n">
        <f aca="false">IF(K93=0,0,M93/K93)</f>
        <v>0.287694974003466</v>
      </c>
      <c r="Z93" s="14" t="n">
        <f aca="false">IF(K93+R93+T93+U93=0,0,(M93+R93+T93)/(K93+R93+T93+U93))</f>
        <v>0.380029806259314</v>
      </c>
      <c r="AA93" s="14" t="n">
        <f aca="false">IF(K93=0,0,X93/K93)</f>
        <v>0.365684575389948</v>
      </c>
      <c r="AB93" s="14" t="n">
        <f aca="false">Z93+AA93</f>
        <v>0.745714381649262</v>
      </c>
      <c r="AC93" s="14" t="n">
        <f aca="false">AA93-Y93</f>
        <v>0.0779896013864818</v>
      </c>
      <c r="AD93" s="14" t="n">
        <f aca="false">IF(K93-S93-P93+U93=0,0,(M93-P93)/(K93-S93-P93+U93))</f>
        <v>0.370967741935484</v>
      </c>
      <c r="AE93" s="15" t="n">
        <f aca="false">IF(J93=0,0,R93/J93)</f>
        <v>0.125186289120715</v>
      </c>
      <c r="AF93" s="15" t="n">
        <f aca="false">IF(J93=0,0,S93/J93)</f>
        <v>0.213114754098361</v>
      </c>
      <c r="AG93" s="11" t="n">
        <f aca="false">IF(J93&gt;=INDEX(球季參數!$E$2:$E$4,MATCH($A93,球季參數!$A$2:$A$4,0)),1,0)</f>
        <v>1</v>
      </c>
    </row>
    <row r="94" customFormat="false" ht="15" hidden="false" customHeight="false" outlineLevel="0" collapsed="false">
      <c r="A94" s="5" t="n">
        <v>2024</v>
      </c>
      <c r="B94" s="7" t="s">
        <v>841</v>
      </c>
      <c r="C94" s="10" t="str">
        <f aca="false">INDEX(球員主檔!$B$2:$B$749,MATCH($B94,球員主檔!$A$2:$A$749,0))</f>
        <v>Dimitri Prendergast</v>
      </c>
      <c r="D94" s="7" t="s">
        <v>379</v>
      </c>
      <c r="E94" s="10" t="str">
        <f aca="false">INDEX(球隊主檔!$C$2:$C$31,MATCH($D94,球隊主檔!$A$2:$A$31,0))</f>
        <v>明尼蘇達雙城</v>
      </c>
      <c r="F94" s="10" t="str">
        <f aca="false">INDEX(球隊主檔!$D$2:$D$31,MATCH($D94,球隊主檔!$A$2:$A$31,0))</f>
        <v>美聯</v>
      </c>
      <c r="G94" s="7" t="s">
        <v>470</v>
      </c>
      <c r="H94" s="11" t="n">
        <f aca="false">INT((DATE($A94,7,1)-INDEX(球員主檔!$G$2:$G$749,MATCH($B94,球員主檔!$A$2:$A$749,0)))/365.25)</f>
        <v>30</v>
      </c>
      <c r="I94" s="12" t="n">
        <v>147</v>
      </c>
      <c r="J94" s="12" t="n">
        <v>577</v>
      </c>
      <c r="K94" s="12" t="n">
        <v>523</v>
      </c>
      <c r="L94" s="12" t="n">
        <v>72</v>
      </c>
      <c r="M94" s="12" t="n">
        <v>120</v>
      </c>
      <c r="N94" s="12" t="n">
        <v>17</v>
      </c>
      <c r="O94" s="12" t="n">
        <v>3</v>
      </c>
      <c r="P94" s="12" t="n">
        <v>24</v>
      </c>
      <c r="Q94" s="12" t="n">
        <v>67</v>
      </c>
      <c r="R94" s="12" t="n">
        <v>50</v>
      </c>
      <c r="S94" s="12" t="n">
        <v>175</v>
      </c>
      <c r="T94" s="12" t="n">
        <v>2</v>
      </c>
      <c r="U94" s="12" t="n">
        <v>2</v>
      </c>
      <c r="V94" s="12" t="n">
        <v>10</v>
      </c>
      <c r="W94" s="12" t="n">
        <v>4</v>
      </c>
      <c r="X94" s="13" t="n">
        <f aca="false">M94+N94+2*O94+3*P94</f>
        <v>215</v>
      </c>
      <c r="Y94" s="14" t="n">
        <f aca="false">IF(K94=0,0,M94/K94)</f>
        <v>0.229445506692161</v>
      </c>
      <c r="Z94" s="14" t="n">
        <f aca="false">IF(K94+R94+T94+U94=0,0,(M94+R94+T94)/(K94+R94+T94+U94))</f>
        <v>0.298093587521664</v>
      </c>
      <c r="AA94" s="14" t="n">
        <f aca="false">IF(K94=0,0,X94/K94)</f>
        <v>0.411089866156788</v>
      </c>
      <c r="AB94" s="14" t="n">
        <f aca="false">Z94+AA94</f>
        <v>0.709183453678452</v>
      </c>
      <c r="AC94" s="14" t="n">
        <f aca="false">AA94-Y94</f>
        <v>0.181644359464627</v>
      </c>
      <c r="AD94" s="14" t="n">
        <f aca="false">IF(K94-S94-P94+U94=0,0,(M94-P94)/(K94-S94-P94+U94))</f>
        <v>0.294478527607362</v>
      </c>
      <c r="AE94" s="15" t="n">
        <f aca="false">IF(J94=0,0,R94/J94)</f>
        <v>0.0866551126516465</v>
      </c>
      <c r="AF94" s="15" t="n">
        <f aca="false">IF(J94=0,0,S94/J94)</f>
        <v>0.303292894280763</v>
      </c>
      <c r="AG94" s="11" t="n">
        <f aca="false">IF(J94&gt;=INDEX(球季參數!$E$2:$E$4,MATCH($A94,球季參數!$A$2:$A$4,0)),1,0)</f>
        <v>1</v>
      </c>
    </row>
    <row r="95" customFormat="false" ht="15" hidden="false" customHeight="false" outlineLevel="0" collapsed="false">
      <c r="A95" s="5" t="n">
        <v>2024</v>
      </c>
      <c r="B95" s="7" t="s">
        <v>843</v>
      </c>
      <c r="C95" s="10" t="str">
        <f aca="false">INDEX(球員主檔!$B$2:$B$749,MATCH($B95,球員主檔!$A$2:$A$749,0))</f>
        <v>Hugo Ravenscroft</v>
      </c>
      <c r="D95" s="7" t="s">
        <v>379</v>
      </c>
      <c r="E95" s="10" t="str">
        <f aca="false">INDEX(球隊主檔!$C$2:$C$31,MATCH($D95,球隊主檔!$A$2:$A$31,0))</f>
        <v>明尼蘇達雙城</v>
      </c>
      <c r="F95" s="10" t="str">
        <f aca="false">INDEX(球隊主檔!$D$2:$D$31,MATCH($D95,球隊主檔!$A$2:$A$31,0))</f>
        <v>美聯</v>
      </c>
      <c r="G95" s="7" t="s">
        <v>162</v>
      </c>
      <c r="H95" s="11" t="n">
        <f aca="false">INT((DATE($A95,7,1)-INDEX(球員主檔!$G$2:$G$749,MATCH($B95,球員主檔!$A$2:$A$749,0)))/365.25)</f>
        <v>28</v>
      </c>
      <c r="I95" s="12" t="n">
        <v>150</v>
      </c>
      <c r="J95" s="12" t="n">
        <v>661</v>
      </c>
      <c r="K95" s="12" t="n">
        <v>599</v>
      </c>
      <c r="L95" s="12" t="n">
        <v>81</v>
      </c>
      <c r="M95" s="12" t="n">
        <v>173</v>
      </c>
      <c r="N95" s="12" t="n">
        <v>36</v>
      </c>
      <c r="O95" s="12" t="n">
        <v>4</v>
      </c>
      <c r="P95" s="12" t="n">
        <v>6</v>
      </c>
      <c r="Q95" s="12" t="n">
        <v>49</v>
      </c>
      <c r="R95" s="12" t="n">
        <v>50</v>
      </c>
      <c r="S95" s="12" t="n">
        <v>123</v>
      </c>
      <c r="T95" s="12" t="n">
        <v>9</v>
      </c>
      <c r="U95" s="12" t="n">
        <v>3</v>
      </c>
      <c r="V95" s="12" t="n">
        <v>34</v>
      </c>
      <c r="W95" s="12" t="n">
        <v>9</v>
      </c>
      <c r="X95" s="13" t="n">
        <f aca="false">M95+N95+2*O95+3*P95</f>
        <v>235</v>
      </c>
      <c r="Y95" s="14" t="n">
        <f aca="false">IF(K95=0,0,M95/K95)</f>
        <v>0.28881469115192</v>
      </c>
      <c r="Z95" s="14" t="n">
        <f aca="false">IF(K95+R95+T95+U95=0,0,(M95+R95+T95)/(K95+R95+T95+U95))</f>
        <v>0.350983358547655</v>
      </c>
      <c r="AA95" s="14" t="n">
        <f aca="false">IF(K95=0,0,X95/K95)</f>
        <v>0.392320534223706</v>
      </c>
      <c r="AB95" s="14" t="n">
        <f aca="false">Z95+AA95</f>
        <v>0.743303892771361</v>
      </c>
      <c r="AC95" s="14" t="n">
        <f aca="false">AA95-Y95</f>
        <v>0.103505843071786</v>
      </c>
      <c r="AD95" s="14" t="n">
        <f aca="false">IF(K95-S95-P95+U95=0,0,(M95-P95)/(K95-S95-P95+U95))</f>
        <v>0.353065539112051</v>
      </c>
      <c r="AE95" s="15" t="n">
        <f aca="false">IF(J95=0,0,R95/J95)</f>
        <v>0.075642965204236</v>
      </c>
      <c r="AF95" s="15" t="n">
        <f aca="false">IF(J95=0,0,S95/J95)</f>
        <v>0.186081694402421</v>
      </c>
      <c r="AG95" s="11" t="n">
        <f aca="false">IF(J95&gt;=INDEX(球季參數!$E$2:$E$4,MATCH($A95,球季參數!$A$2:$A$4,0)),1,0)</f>
        <v>1</v>
      </c>
    </row>
    <row r="96" customFormat="false" ht="15" hidden="false" customHeight="false" outlineLevel="0" collapsed="false">
      <c r="A96" s="5" t="n">
        <v>2024</v>
      </c>
      <c r="B96" s="7" t="s">
        <v>845</v>
      </c>
      <c r="C96" s="10" t="str">
        <f aca="false">INDEX(球員主檔!$B$2:$B$749,MATCH($B96,球員主檔!$A$2:$A$749,0))</f>
        <v>Niklas Zbornak</v>
      </c>
      <c r="D96" s="7" t="s">
        <v>379</v>
      </c>
      <c r="E96" s="10" t="str">
        <f aca="false">INDEX(球隊主檔!$C$2:$C$31,MATCH($D96,球隊主檔!$A$2:$A$31,0))</f>
        <v>明尼蘇達雙城</v>
      </c>
      <c r="F96" s="10" t="str">
        <f aca="false">INDEX(球隊主檔!$D$2:$D$31,MATCH($D96,球隊主檔!$A$2:$A$31,0))</f>
        <v>美聯</v>
      </c>
      <c r="G96" s="7" t="s">
        <v>158</v>
      </c>
      <c r="H96" s="11" t="n">
        <f aca="false">INT((DATE($A96,7,1)-INDEX(球員主檔!$G$2:$G$749,MATCH($B96,球員主檔!$A$2:$A$749,0)))/365.25)</f>
        <v>25</v>
      </c>
      <c r="I96" s="12" t="n">
        <v>130</v>
      </c>
      <c r="J96" s="12" t="n">
        <v>572</v>
      </c>
      <c r="K96" s="12" t="n">
        <v>532</v>
      </c>
      <c r="L96" s="12" t="n">
        <v>85</v>
      </c>
      <c r="M96" s="12" t="n">
        <v>148</v>
      </c>
      <c r="N96" s="12" t="n">
        <v>28</v>
      </c>
      <c r="O96" s="12" t="n">
        <v>11</v>
      </c>
      <c r="P96" s="12" t="n">
        <v>42</v>
      </c>
      <c r="Q96" s="12" t="n">
        <v>116</v>
      </c>
      <c r="R96" s="12" t="n">
        <v>30</v>
      </c>
      <c r="S96" s="12" t="n">
        <v>158</v>
      </c>
      <c r="T96" s="12" t="n">
        <v>9</v>
      </c>
      <c r="U96" s="12" t="n">
        <v>1</v>
      </c>
      <c r="V96" s="12" t="n">
        <v>18</v>
      </c>
      <c r="W96" s="12" t="n">
        <v>5</v>
      </c>
      <c r="X96" s="13" t="n">
        <f aca="false">M96+N96+2*O96+3*P96</f>
        <v>324</v>
      </c>
      <c r="Y96" s="14" t="n">
        <f aca="false">IF(K96=0,0,M96/K96)</f>
        <v>0.278195488721805</v>
      </c>
      <c r="Z96" s="14" t="n">
        <f aca="false">IF(K96+R96+T96+U96=0,0,(M96+R96+T96)/(K96+R96+T96+U96))</f>
        <v>0.326923076923077</v>
      </c>
      <c r="AA96" s="14" t="n">
        <f aca="false">IF(K96=0,0,X96/K96)</f>
        <v>0.609022556390978</v>
      </c>
      <c r="AB96" s="14" t="n">
        <f aca="false">Z96+AA96</f>
        <v>0.935945633314054</v>
      </c>
      <c r="AC96" s="14" t="n">
        <f aca="false">AA96-Y96</f>
        <v>0.330827067669173</v>
      </c>
      <c r="AD96" s="14" t="n">
        <f aca="false">IF(K96-S96-P96+U96=0,0,(M96-P96)/(K96-S96-P96+U96))</f>
        <v>0.318318318318318</v>
      </c>
      <c r="AE96" s="15" t="n">
        <f aca="false">IF(J96=0,0,R96/J96)</f>
        <v>0.0524475524475525</v>
      </c>
      <c r="AF96" s="15" t="n">
        <f aca="false">IF(J96=0,0,S96/J96)</f>
        <v>0.276223776223776</v>
      </c>
      <c r="AG96" s="11" t="n">
        <f aca="false">IF(J96&gt;=INDEX(球季參數!$E$2:$E$4,MATCH($A96,球季參數!$A$2:$A$4,0)),1,0)</f>
        <v>1</v>
      </c>
    </row>
    <row r="97" customFormat="false" ht="15" hidden="false" customHeight="false" outlineLevel="0" collapsed="false">
      <c r="A97" s="5" t="n">
        <v>2024</v>
      </c>
      <c r="B97" s="7" t="s">
        <v>847</v>
      </c>
      <c r="C97" s="10" t="str">
        <f aca="false">INDEX(球員主檔!$B$2:$B$749,MATCH($B97,球員主檔!$A$2:$A$749,0))</f>
        <v>Alonso Eberhardt</v>
      </c>
      <c r="D97" s="7" t="s">
        <v>379</v>
      </c>
      <c r="E97" s="10" t="str">
        <f aca="false">INDEX(球隊主檔!$C$2:$C$31,MATCH($D97,球隊主檔!$A$2:$A$31,0))</f>
        <v>明尼蘇達雙城</v>
      </c>
      <c r="F97" s="10" t="str">
        <f aca="false">INDEX(球隊主檔!$D$2:$D$31,MATCH($D97,球隊主檔!$A$2:$A$31,0))</f>
        <v>美聯</v>
      </c>
      <c r="G97" s="7" t="s">
        <v>483</v>
      </c>
      <c r="H97" s="11" t="n">
        <f aca="false">INT((DATE($A97,7,1)-INDEX(球員主檔!$G$2:$G$749,MATCH($B97,球員主檔!$A$2:$A$749,0)))/365.25)</f>
        <v>27</v>
      </c>
      <c r="I97" s="12" t="n">
        <v>92</v>
      </c>
      <c r="J97" s="12" t="n">
        <v>408</v>
      </c>
      <c r="K97" s="12" t="n">
        <v>352</v>
      </c>
      <c r="L97" s="12" t="n">
        <v>47</v>
      </c>
      <c r="M97" s="12" t="n">
        <v>80</v>
      </c>
      <c r="N97" s="12" t="n">
        <v>18</v>
      </c>
      <c r="O97" s="12" t="n">
        <v>2</v>
      </c>
      <c r="P97" s="12" t="n">
        <v>17</v>
      </c>
      <c r="Q97" s="12" t="n">
        <v>46</v>
      </c>
      <c r="R97" s="12" t="n">
        <v>51</v>
      </c>
      <c r="S97" s="12" t="n">
        <v>72</v>
      </c>
      <c r="T97" s="12" t="n">
        <v>3</v>
      </c>
      <c r="U97" s="12" t="n">
        <v>2</v>
      </c>
      <c r="V97" s="12" t="n">
        <v>5</v>
      </c>
      <c r="W97" s="12" t="n">
        <v>1</v>
      </c>
      <c r="X97" s="13" t="n">
        <f aca="false">M97+N97+2*O97+3*P97</f>
        <v>153</v>
      </c>
      <c r="Y97" s="14" t="n">
        <f aca="false">IF(K97=0,0,M97/K97)</f>
        <v>0.227272727272727</v>
      </c>
      <c r="Z97" s="14" t="n">
        <f aca="false">IF(K97+R97+T97+U97=0,0,(M97+R97+T97)/(K97+R97+T97+U97))</f>
        <v>0.32843137254902</v>
      </c>
      <c r="AA97" s="14" t="n">
        <f aca="false">IF(K97=0,0,X97/K97)</f>
        <v>0.434659090909091</v>
      </c>
      <c r="AB97" s="14" t="n">
        <f aca="false">Z97+AA97</f>
        <v>0.763090463458111</v>
      </c>
      <c r="AC97" s="14" t="n">
        <f aca="false">AA97-Y97</f>
        <v>0.207386363636364</v>
      </c>
      <c r="AD97" s="14" t="n">
        <f aca="false">IF(K97-S97-P97+U97=0,0,(M97-P97)/(K97-S97-P97+U97))</f>
        <v>0.237735849056604</v>
      </c>
      <c r="AE97" s="15" t="n">
        <f aca="false">IF(J97=0,0,R97/J97)</f>
        <v>0.125</v>
      </c>
      <c r="AF97" s="15" t="n">
        <f aca="false">IF(J97=0,0,S97/J97)</f>
        <v>0.176470588235294</v>
      </c>
      <c r="AG97" s="11" t="n">
        <f aca="false">IF(J97&gt;=INDEX(球季參數!$E$2:$E$4,MATCH($A97,球季參數!$A$2:$A$4,0)),1,0)</f>
        <v>0</v>
      </c>
    </row>
    <row r="98" customFormat="false" ht="15" hidden="false" customHeight="false" outlineLevel="0" collapsed="false">
      <c r="A98" s="5" t="n">
        <v>2024</v>
      </c>
      <c r="B98" s="7" t="s">
        <v>849</v>
      </c>
      <c r="C98" s="10" t="str">
        <f aca="false">INDEX(球員主檔!$B$2:$B$749,MATCH($B98,球員主檔!$A$2:$A$749,0))</f>
        <v>Yusuke Yamazaki</v>
      </c>
      <c r="D98" s="7" t="s">
        <v>379</v>
      </c>
      <c r="E98" s="10" t="str">
        <f aca="false">INDEX(球隊主檔!$C$2:$C$31,MATCH($D98,球隊主檔!$A$2:$A$31,0))</f>
        <v>明尼蘇達雙城</v>
      </c>
      <c r="F98" s="10" t="str">
        <f aca="false">INDEX(球隊主檔!$D$2:$D$31,MATCH($D98,球隊主檔!$A$2:$A$31,0))</f>
        <v>美聯</v>
      </c>
      <c r="G98" s="7" t="s">
        <v>486</v>
      </c>
      <c r="H98" s="11" t="n">
        <f aca="false">INT((DATE($A98,7,1)-INDEX(球員主檔!$G$2:$G$749,MATCH($B98,球員主檔!$A$2:$A$749,0)))/365.25)</f>
        <v>28</v>
      </c>
      <c r="I98" s="12" t="n">
        <v>93</v>
      </c>
      <c r="J98" s="12" t="n">
        <v>366</v>
      </c>
      <c r="K98" s="12" t="n">
        <v>323</v>
      </c>
      <c r="L98" s="12" t="n">
        <v>43</v>
      </c>
      <c r="M98" s="12" t="n">
        <v>74</v>
      </c>
      <c r="N98" s="12" t="n">
        <v>27</v>
      </c>
      <c r="O98" s="12" t="n">
        <v>1</v>
      </c>
      <c r="P98" s="12" t="n">
        <v>8</v>
      </c>
      <c r="Q98" s="12" t="n">
        <v>32</v>
      </c>
      <c r="R98" s="12" t="n">
        <v>39</v>
      </c>
      <c r="S98" s="12" t="n">
        <v>89</v>
      </c>
      <c r="T98" s="12" t="n">
        <v>3</v>
      </c>
      <c r="U98" s="12" t="n">
        <v>1</v>
      </c>
      <c r="V98" s="12" t="n">
        <v>7</v>
      </c>
      <c r="W98" s="12" t="n">
        <v>1</v>
      </c>
      <c r="X98" s="13" t="n">
        <f aca="false">M98+N98+2*O98+3*P98</f>
        <v>127</v>
      </c>
      <c r="Y98" s="14" t="n">
        <f aca="false">IF(K98=0,0,M98/K98)</f>
        <v>0.229102167182663</v>
      </c>
      <c r="Z98" s="14" t="n">
        <f aca="false">IF(K98+R98+T98+U98=0,0,(M98+R98+T98)/(K98+R98+T98+U98))</f>
        <v>0.316939890710383</v>
      </c>
      <c r="AA98" s="14" t="n">
        <f aca="false">IF(K98=0,0,X98/K98)</f>
        <v>0.393188854489164</v>
      </c>
      <c r="AB98" s="14" t="n">
        <f aca="false">Z98+AA98</f>
        <v>0.710128745199547</v>
      </c>
      <c r="AC98" s="14" t="n">
        <f aca="false">AA98-Y98</f>
        <v>0.164086687306502</v>
      </c>
      <c r="AD98" s="14" t="n">
        <f aca="false">IF(K98-S98-P98+U98=0,0,(M98-P98)/(K98-S98-P98+U98))</f>
        <v>0.290748898678414</v>
      </c>
      <c r="AE98" s="15" t="n">
        <f aca="false">IF(J98=0,0,R98/J98)</f>
        <v>0.10655737704918</v>
      </c>
      <c r="AF98" s="15" t="n">
        <f aca="false">IF(J98=0,0,S98/J98)</f>
        <v>0.243169398907104</v>
      </c>
      <c r="AG98" s="11" t="n">
        <f aca="false">IF(J98&gt;=INDEX(球季參數!$E$2:$E$4,MATCH($A98,球季參數!$A$2:$A$4,0)),1,0)</f>
        <v>0</v>
      </c>
    </row>
    <row r="99" customFormat="false" ht="15" hidden="false" customHeight="false" outlineLevel="0" collapsed="false">
      <c r="A99" s="5" t="n">
        <v>2024</v>
      </c>
      <c r="B99" s="7" t="s">
        <v>851</v>
      </c>
      <c r="C99" s="10" t="str">
        <f aca="false">INDEX(球員主檔!$B$2:$B$749,MATCH($B99,球員主檔!$A$2:$A$749,0))</f>
        <v>Marcus Rasmussen</v>
      </c>
      <c r="D99" s="7" t="s">
        <v>379</v>
      </c>
      <c r="E99" s="10" t="str">
        <f aca="false">INDEX(球隊主檔!$C$2:$C$31,MATCH($D99,球隊主檔!$A$2:$A$31,0))</f>
        <v>明尼蘇達雙城</v>
      </c>
      <c r="F99" s="10" t="str">
        <f aca="false">INDEX(球隊主檔!$D$2:$D$31,MATCH($D99,球隊主檔!$A$2:$A$31,0))</f>
        <v>美聯</v>
      </c>
      <c r="G99" s="7" t="s">
        <v>473</v>
      </c>
      <c r="H99" s="11" t="n">
        <f aca="false">INT((DATE($A99,7,1)-INDEX(球員主檔!$G$2:$G$749,MATCH($B99,球員主檔!$A$2:$A$749,0)))/365.25)</f>
        <v>22</v>
      </c>
      <c r="I99" s="12" t="n">
        <v>95</v>
      </c>
      <c r="J99" s="12" t="n">
        <v>375</v>
      </c>
      <c r="K99" s="12" t="n">
        <v>346</v>
      </c>
      <c r="L99" s="12" t="n">
        <v>49</v>
      </c>
      <c r="M99" s="12" t="n">
        <v>73</v>
      </c>
      <c r="N99" s="12" t="n">
        <v>14</v>
      </c>
      <c r="O99" s="12" t="n">
        <v>6</v>
      </c>
      <c r="P99" s="12" t="n">
        <v>22</v>
      </c>
      <c r="Q99" s="12" t="n">
        <v>69</v>
      </c>
      <c r="R99" s="12" t="n">
        <v>25</v>
      </c>
      <c r="S99" s="12" t="n">
        <v>59</v>
      </c>
      <c r="T99" s="12" t="n">
        <v>3</v>
      </c>
      <c r="U99" s="12" t="n">
        <v>1</v>
      </c>
      <c r="V99" s="12" t="n">
        <v>8</v>
      </c>
      <c r="W99" s="12" t="n">
        <v>2</v>
      </c>
      <c r="X99" s="13" t="n">
        <f aca="false">M99+N99+2*O99+3*P99</f>
        <v>165</v>
      </c>
      <c r="Y99" s="14" t="n">
        <f aca="false">IF(K99=0,0,M99/K99)</f>
        <v>0.210982658959538</v>
      </c>
      <c r="Z99" s="14" t="n">
        <f aca="false">IF(K99+R99+T99+U99=0,0,(M99+R99+T99)/(K99+R99+T99+U99))</f>
        <v>0.269333333333333</v>
      </c>
      <c r="AA99" s="14" t="n">
        <f aca="false">IF(K99=0,0,X99/K99)</f>
        <v>0.476878612716763</v>
      </c>
      <c r="AB99" s="14" t="n">
        <f aca="false">Z99+AA99</f>
        <v>0.746211946050096</v>
      </c>
      <c r="AC99" s="14" t="n">
        <f aca="false">AA99-Y99</f>
        <v>0.265895953757225</v>
      </c>
      <c r="AD99" s="14" t="n">
        <f aca="false">IF(K99-S99-P99+U99=0,0,(M99-P99)/(K99-S99-P99+U99))</f>
        <v>0.191729323308271</v>
      </c>
      <c r="AE99" s="15" t="n">
        <f aca="false">IF(J99=0,0,R99/J99)</f>
        <v>0.0666666666666667</v>
      </c>
      <c r="AF99" s="15" t="n">
        <f aca="false">IF(J99=0,0,S99/J99)</f>
        <v>0.157333333333333</v>
      </c>
      <c r="AG99" s="11" t="n">
        <f aca="false">IF(J99&gt;=INDEX(球季參數!$E$2:$E$4,MATCH($A99,球季參數!$A$2:$A$4,0)),1,0)</f>
        <v>0</v>
      </c>
    </row>
    <row r="100" customFormat="false" ht="15" hidden="false" customHeight="false" outlineLevel="0" collapsed="false">
      <c r="A100" s="5" t="n">
        <v>2024</v>
      </c>
      <c r="B100" s="7" t="s">
        <v>853</v>
      </c>
      <c r="C100" s="10" t="str">
        <f aca="false">INDEX(球員主檔!$B$2:$B$749,MATCH($B100,球員主檔!$A$2:$A$749,0))</f>
        <v>Tobias Dunmore</v>
      </c>
      <c r="D100" s="7" t="s">
        <v>379</v>
      </c>
      <c r="E100" s="10" t="str">
        <f aca="false">INDEX(球隊主檔!$C$2:$C$31,MATCH($D100,球隊主檔!$A$2:$A$31,0))</f>
        <v>明尼蘇達雙城</v>
      </c>
      <c r="F100" s="10" t="str">
        <f aca="false">INDEX(球隊主檔!$D$2:$D$31,MATCH($D100,球隊主檔!$A$2:$A$31,0))</f>
        <v>美聯</v>
      </c>
      <c r="G100" s="7" t="s">
        <v>478</v>
      </c>
      <c r="H100" s="11" t="n">
        <f aca="false">INT((DATE($A100,7,1)-INDEX(球員主檔!$G$2:$G$749,MATCH($B100,球員主檔!$A$2:$A$749,0)))/365.25)</f>
        <v>25</v>
      </c>
      <c r="I100" s="12" t="n">
        <v>22</v>
      </c>
      <c r="J100" s="12" t="n">
        <v>100</v>
      </c>
      <c r="K100" s="12" t="n">
        <v>92</v>
      </c>
      <c r="L100" s="12" t="n">
        <v>8</v>
      </c>
      <c r="M100" s="12" t="n">
        <v>20</v>
      </c>
      <c r="N100" s="12" t="n">
        <v>8</v>
      </c>
      <c r="O100" s="12" t="n">
        <v>2</v>
      </c>
      <c r="P100" s="12" t="n">
        <v>0</v>
      </c>
      <c r="Q100" s="12" t="n">
        <v>4</v>
      </c>
      <c r="R100" s="12" t="n">
        <v>8</v>
      </c>
      <c r="S100" s="12" t="n">
        <v>27</v>
      </c>
      <c r="T100" s="12" t="n">
        <v>0</v>
      </c>
      <c r="U100" s="12" t="n">
        <v>0</v>
      </c>
      <c r="V100" s="12" t="n">
        <v>3</v>
      </c>
      <c r="W100" s="12" t="n">
        <v>1</v>
      </c>
      <c r="X100" s="13" t="n">
        <f aca="false">M100+N100+2*O100+3*P100</f>
        <v>32</v>
      </c>
      <c r="Y100" s="14" t="n">
        <f aca="false">IF(K100=0,0,M100/K100)</f>
        <v>0.217391304347826</v>
      </c>
      <c r="Z100" s="14" t="n">
        <f aca="false">IF(K100+R100+T100+U100=0,0,(M100+R100+T100)/(K100+R100+T100+U100))</f>
        <v>0.28</v>
      </c>
      <c r="AA100" s="14" t="n">
        <f aca="false">IF(K100=0,0,X100/K100)</f>
        <v>0.347826086956522</v>
      </c>
      <c r="AB100" s="14" t="n">
        <f aca="false">Z100+AA100</f>
        <v>0.627826086956522</v>
      </c>
      <c r="AC100" s="14" t="n">
        <f aca="false">AA100-Y100</f>
        <v>0.130434782608696</v>
      </c>
      <c r="AD100" s="14" t="n">
        <f aca="false">IF(K100-S100-P100+U100=0,0,(M100-P100)/(K100-S100-P100+U100))</f>
        <v>0.307692307692308</v>
      </c>
      <c r="AE100" s="15" t="n">
        <f aca="false">IF(J100=0,0,R100/J100)</f>
        <v>0.08</v>
      </c>
      <c r="AF100" s="15" t="n">
        <f aca="false">IF(J100=0,0,S100/J100)</f>
        <v>0.27</v>
      </c>
      <c r="AG100" s="11" t="n">
        <f aca="false">IF(J100&gt;=INDEX(球季參數!$E$2:$E$4,MATCH($A100,球季參數!$A$2:$A$4,0)),1,0)</f>
        <v>0</v>
      </c>
    </row>
    <row r="101" customFormat="false" ht="15" hidden="false" customHeight="false" outlineLevel="0" collapsed="false">
      <c r="A101" s="5" t="n">
        <v>2024</v>
      </c>
      <c r="B101" s="7" t="s">
        <v>855</v>
      </c>
      <c r="C101" s="10" t="str">
        <f aca="false">INDEX(球員主檔!$B$2:$B$749,MATCH($B101,球員主檔!$A$2:$A$749,0))</f>
        <v>Sawyer Oyelaran</v>
      </c>
      <c r="D101" s="7" t="s">
        <v>379</v>
      </c>
      <c r="E101" s="10" t="str">
        <f aca="false">INDEX(球隊主檔!$C$2:$C$31,MATCH($D101,球隊主檔!$A$2:$A$31,0))</f>
        <v>明尼蘇達雙城</v>
      </c>
      <c r="F101" s="10" t="str">
        <f aca="false">INDEX(球隊主檔!$D$2:$D$31,MATCH($D101,球隊主檔!$A$2:$A$31,0))</f>
        <v>美聯</v>
      </c>
      <c r="G101" s="7" t="s">
        <v>522</v>
      </c>
      <c r="H101" s="11" t="n">
        <f aca="false">INT((DATE($A101,7,1)-INDEX(球員主檔!$G$2:$G$749,MATCH($B101,球員主檔!$A$2:$A$749,0)))/365.25)</f>
        <v>26</v>
      </c>
      <c r="I101" s="12" t="n">
        <v>44</v>
      </c>
      <c r="J101" s="12" t="n">
        <v>177</v>
      </c>
      <c r="K101" s="12" t="n">
        <v>167</v>
      </c>
      <c r="L101" s="12" t="n">
        <v>22</v>
      </c>
      <c r="M101" s="12" t="n">
        <v>43</v>
      </c>
      <c r="N101" s="12" t="n">
        <v>17</v>
      </c>
      <c r="O101" s="12" t="n">
        <v>2</v>
      </c>
      <c r="P101" s="12" t="n">
        <v>5</v>
      </c>
      <c r="Q101" s="12" t="n">
        <v>23</v>
      </c>
      <c r="R101" s="12" t="n">
        <v>8</v>
      </c>
      <c r="S101" s="12" t="n">
        <v>54</v>
      </c>
      <c r="T101" s="12" t="n">
        <v>2</v>
      </c>
      <c r="U101" s="12" t="n">
        <v>0</v>
      </c>
      <c r="V101" s="12" t="n">
        <v>1</v>
      </c>
      <c r="W101" s="12" t="n">
        <v>0</v>
      </c>
      <c r="X101" s="13" t="n">
        <f aca="false">M101+N101+2*O101+3*P101</f>
        <v>79</v>
      </c>
      <c r="Y101" s="14" t="n">
        <f aca="false">IF(K101=0,0,M101/K101)</f>
        <v>0.25748502994012</v>
      </c>
      <c r="Z101" s="14" t="n">
        <f aca="false">IF(K101+R101+T101+U101=0,0,(M101+R101+T101)/(K101+R101+T101+U101))</f>
        <v>0.299435028248588</v>
      </c>
      <c r="AA101" s="14" t="n">
        <f aca="false">IF(K101=0,0,X101/K101)</f>
        <v>0.473053892215569</v>
      </c>
      <c r="AB101" s="14" t="n">
        <f aca="false">Z101+AA101</f>
        <v>0.772488920464157</v>
      </c>
      <c r="AC101" s="14" t="n">
        <f aca="false">AA101-Y101</f>
        <v>0.215568862275449</v>
      </c>
      <c r="AD101" s="14" t="n">
        <f aca="false">IF(K101-S101-P101+U101=0,0,(M101-P101)/(K101-S101-P101+U101))</f>
        <v>0.351851851851852</v>
      </c>
      <c r="AE101" s="15" t="n">
        <f aca="false">IF(J101=0,0,R101/J101)</f>
        <v>0.0451977401129944</v>
      </c>
      <c r="AF101" s="15" t="n">
        <f aca="false">IF(J101=0,0,S101/J101)</f>
        <v>0.305084745762712</v>
      </c>
      <c r="AG101" s="11" t="n">
        <f aca="false">IF(J101&gt;=INDEX(球季參數!$E$2:$E$4,MATCH($A101,球季參數!$A$2:$A$4,0)),1,0)</f>
        <v>0</v>
      </c>
    </row>
    <row r="102" customFormat="false" ht="15" hidden="false" customHeight="false" outlineLevel="0" collapsed="false">
      <c r="A102" s="5" t="n">
        <v>2024</v>
      </c>
      <c r="B102" s="7" t="s">
        <v>877</v>
      </c>
      <c r="C102" s="10" t="str">
        <f aca="false">INDEX(球員主檔!$B$2:$B$749,MATCH($B102,球員主檔!$A$2:$A$749,0))</f>
        <v>Jedidiah Ferreira</v>
      </c>
      <c r="D102" s="7" t="s">
        <v>383</v>
      </c>
      <c r="E102" s="10" t="str">
        <f aca="false">INDEX(球隊主檔!$C$2:$C$31,MATCH($D102,球隊主檔!$A$2:$A$31,0))</f>
        <v>運動家</v>
      </c>
      <c r="F102" s="10" t="str">
        <f aca="false">INDEX(球隊主檔!$D$2:$D$31,MATCH($D102,球隊主檔!$A$2:$A$31,0))</f>
        <v>美聯</v>
      </c>
      <c r="G102" s="7" t="s">
        <v>162</v>
      </c>
      <c r="H102" s="11" t="n">
        <f aca="false">INT((DATE($A102,7,1)-INDEX(球員主檔!$G$2:$G$749,MATCH($B102,球員主檔!$A$2:$A$749,0)))/365.25)</f>
        <v>27</v>
      </c>
      <c r="I102" s="12" t="n">
        <v>143</v>
      </c>
      <c r="J102" s="12" t="n">
        <v>622</v>
      </c>
      <c r="K102" s="12" t="n">
        <v>561</v>
      </c>
      <c r="L102" s="12" t="n">
        <v>103</v>
      </c>
      <c r="M102" s="12" t="n">
        <v>163</v>
      </c>
      <c r="N102" s="12" t="n">
        <v>20</v>
      </c>
      <c r="O102" s="12" t="n">
        <v>4</v>
      </c>
      <c r="P102" s="12" t="n">
        <v>52</v>
      </c>
      <c r="Q102" s="12" t="n">
        <v>137</v>
      </c>
      <c r="R102" s="12" t="n">
        <v>44</v>
      </c>
      <c r="S102" s="12" t="n">
        <v>160</v>
      </c>
      <c r="T102" s="12" t="n">
        <v>11</v>
      </c>
      <c r="U102" s="12" t="n">
        <v>6</v>
      </c>
      <c r="V102" s="12" t="n">
        <v>26</v>
      </c>
      <c r="W102" s="12" t="n">
        <v>5</v>
      </c>
      <c r="X102" s="13" t="n">
        <f aca="false">M102+N102+2*O102+3*P102</f>
        <v>347</v>
      </c>
      <c r="Y102" s="14" t="n">
        <f aca="false">IF(K102=0,0,M102/K102)</f>
        <v>0.290552584670232</v>
      </c>
      <c r="Z102" s="14" t="n">
        <f aca="false">IF(K102+R102+T102+U102=0,0,(M102+R102+T102)/(K102+R102+T102+U102))</f>
        <v>0.35048231511254</v>
      </c>
      <c r="AA102" s="14" t="n">
        <f aca="false">IF(K102=0,0,X102/K102)</f>
        <v>0.618538324420677</v>
      </c>
      <c r="AB102" s="14" t="n">
        <f aca="false">Z102+AA102</f>
        <v>0.969020639533218</v>
      </c>
      <c r="AC102" s="14" t="n">
        <f aca="false">AA102-Y102</f>
        <v>0.327985739750446</v>
      </c>
      <c r="AD102" s="14" t="n">
        <f aca="false">IF(K102-S102-P102+U102=0,0,(M102-P102)/(K102-S102-P102+U102))</f>
        <v>0.312676056338028</v>
      </c>
      <c r="AE102" s="15" t="n">
        <f aca="false">IF(J102=0,0,R102/J102)</f>
        <v>0.0707395498392283</v>
      </c>
      <c r="AF102" s="15" t="n">
        <f aca="false">IF(J102=0,0,S102/J102)</f>
        <v>0.257234726688103</v>
      </c>
      <c r="AG102" s="11" t="n">
        <f aca="false">IF(J102&gt;=INDEX(球季參數!$E$2:$E$4,MATCH($A102,球季參數!$A$2:$A$4,0)),1,0)</f>
        <v>1</v>
      </c>
    </row>
    <row r="103" customFormat="false" ht="15" hidden="false" customHeight="false" outlineLevel="0" collapsed="false">
      <c r="A103" s="5" t="n">
        <v>2024</v>
      </c>
      <c r="B103" s="7" t="s">
        <v>879</v>
      </c>
      <c r="C103" s="10" t="str">
        <f aca="false">INDEX(球員主檔!$B$2:$B$749,MATCH($B103,球員主檔!$A$2:$A$749,0))</f>
        <v>Thiago Kowalczyk</v>
      </c>
      <c r="D103" s="7" t="s">
        <v>383</v>
      </c>
      <c r="E103" s="10" t="str">
        <f aca="false">INDEX(球隊主檔!$C$2:$C$31,MATCH($D103,球隊主檔!$A$2:$A$31,0))</f>
        <v>運動家</v>
      </c>
      <c r="F103" s="10" t="str">
        <f aca="false">INDEX(球隊主檔!$D$2:$D$31,MATCH($D103,球隊主檔!$A$2:$A$31,0))</f>
        <v>美聯</v>
      </c>
      <c r="G103" s="7" t="s">
        <v>522</v>
      </c>
      <c r="H103" s="11" t="n">
        <f aca="false">INT((DATE($A103,7,1)-INDEX(球員主檔!$G$2:$G$749,MATCH($B103,球員主檔!$A$2:$A$749,0)))/365.25)</f>
        <v>26</v>
      </c>
      <c r="I103" s="12" t="n">
        <v>145</v>
      </c>
      <c r="J103" s="12" t="n">
        <v>601</v>
      </c>
      <c r="K103" s="12" t="n">
        <v>508</v>
      </c>
      <c r="L103" s="12" t="n">
        <v>61</v>
      </c>
      <c r="M103" s="12" t="n">
        <v>105</v>
      </c>
      <c r="N103" s="12" t="n">
        <v>28</v>
      </c>
      <c r="O103" s="12" t="n">
        <v>2</v>
      </c>
      <c r="P103" s="12" t="n">
        <v>9</v>
      </c>
      <c r="Q103" s="12" t="n">
        <v>37</v>
      </c>
      <c r="R103" s="12" t="n">
        <v>80</v>
      </c>
      <c r="S103" s="12" t="n">
        <v>133</v>
      </c>
      <c r="T103" s="12" t="n">
        <v>8</v>
      </c>
      <c r="U103" s="12" t="n">
        <v>5</v>
      </c>
      <c r="V103" s="12" t="n">
        <v>14</v>
      </c>
      <c r="W103" s="12" t="n">
        <v>2</v>
      </c>
      <c r="X103" s="13" t="n">
        <f aca="false">M103+N103+2*O103+3*P103</f>
        <v>164</v>
      </c>
      <c r="Y103" s="14" t="n">
        <f aca="false">IF(K103=0,0,M103/K103)</f>
        <v>0.206692913385827</v>
      </c>
      <c r="Z103" s="14" t="n">
        <f aca="false">IF(K103+R103+T103+U103=0,0,(M103+R103+T103)/(K103+R103+T103+U103))</f>
        <v>0.321131447587354</v>
      </c>
      <c r="AA103" s="14" t="n">
        <f aca="false">IF(K103=0,0,X103/K103)</f>
        <v>0.322834645669291</v>
      </c>
      <c r="AB103" s="14" t="n">
        <f aca="false">Z103+AA103</f>
        <v>0.643966093256646</v>
      </c>
      <c r="AC103" s="14" t="n">
        <f aca="false">AA103-Y103</f>
        <v>0.116141732283465</v>
      </c>
      <c r="AD103" s="14" t="n">
        <f aca="false">IF(K103-S103-P103+U103=0,0,(M103-P103)/(K103-S103-P103+U103))</f>
        <v>0.258760107816712</v>
      </c>
      <c r="AE103" s="15" t="n">
        <f aca="false">IF(J103=0,0,R103/J103)</f>
        <v>0.133111480865225</v>
      </c>
      <c r="AF103" s="15" t="n">
        <f aca="false">IF(J103=0,0,S103/J103)</f>
        <v>0.221297836938436</v>
      </c>
      <c r="AG103" s="11" t="n">
        <f aca="false">IF(J103&gt;=INDEX(球季參數!$E$2:$E$4,MATCH($A103,球季參數!$A$2:$A$4,0)),1,0)</f>
        <v>1</v>
      </c>
    </row>
    <row r="104" customFormat="false" ht="15" hidden="false" customHeight="false" outlineLevel="0" collapsed="false">
      <c r="A104" s="5" t="n">
        <v>2024</v>
      </c>
      <c r="B104" s="7" t="s">
        <v>881</v>
      </c>
      <c r="C104" s="10" t="str">
        <f aca="false">INDEX(球員主檔!$B$2:$B$749,MATCH($B104,球員主檔!$A$2:$A$749,0))</f>
        <v>Emilio Ostrowski</v>
      </c>
      <c r="D104" s="7" t="s">
        <v>383</v>
      </c>
      <c r="E104" s="10" t="str">
        <f aca="false">INDEX(球隊主檔!$C$2:$C$31,MATCH($D104,球隊主檔!$A$2:$A$31,0))</f>
        <v>運動家</v>
      </c>
      <c r="F104" s="10" t="str">
        <f aca="false">INDEX(球隊主檔!$D$2:$D$31,MATCH($D104,球隊主檔!$A$2:$A$31,0))</f>
        <v>美聯</v>
      </c>
      <c r="G104" s="7" t="s">
        <v>473</v>
      </c>
      <c r="H104" s="11" t="n">
        <f aca="false">INT((DATE($A104,7,1)-INDEX(球員主檔!$G$2:$G$749,MATCH($B104,球員主檔!$A$2:$A$749,0)))/365.25)</f>
        <v>27</v>
      </c>
      <c r="I104" s="12" t="n">
        <v>132</v>
      </c>
      <c r="J104" s="12" t="n">
        <v>587</v>
      </c>
      <c r="K104" s="12" t="n">
        <v>531</v>
      </c>
      <c r="L104" s="12" t="n">
        <v>70</v>
      </c>
      <c r="M104" s="12" t="n">
        <v>135</v>
      </c>
      <c r="N104" s="12" t="n">
        <v>20</v>
      </c>
      <c r="O104" s="12" t="n">
        <v>7</v>
      </c>
      <c r="P104" s="12" t="n">
        <v>33</v>
      </c>
      <c r="Q104" s="12" t="n">
        <v>106</v>
      </c>
      <c r="R104" s="12" t="n">
        <v>46</v>
      </c>
      <c r="S104" s="12" t="n">
        <v>134</v>
      </c>
      <c r="T104" s="12" t="n">
        <v>3</v>
      </c>
      <c r="U104" s="12" t="n">
        <v>7</v>
      </c>
      <c r="V104" s="12" t="n">
        <v>43</v>
      </c>
      <c r="W104" s="12" t="n">
        <v>5</v>
      </c>
      <c r="X104" s="13" t="n">
        <f aca="false">M104+N104+2*O104+3*P104</f>
        <v>268</v>
      </c>
      <c r="Y104" s="14" t="n">
        <f aca="false">IF(K104=0,0,M104/K104)</f>
        <v>0.254237288135593</v>
      </c>
      <c r="Z104" s="14" t="n">
        <f aca="false">IF(K104+R104+T104+U104=0,0,(M104+R104+T104)/(K104+R104+T104+U104))</f>
        <v>0.313458262350937</v>
      </c>
      <c r="AA104" s="14" t="n">
        <f aca="false">IF(K104=0,0,X104/K104)</f>
        <v>0.504708097928437</v>
      </c>
      <c r="AB104" s="14" t="n">
        <f aca="false">Z104+AA104</f>
        <v>0.818166360279374</v>
      </c>
      <c r="AC104" s="14" t="n">
        <f aca="false">AA104-Y104</f>
        <v>0.250470809792844</v>
      </c>
      <c r="AD104" s="14" t="n">
        <f aca="false">IF(K104-S104-P104+U104=0,0,(M104-P104)/(K104-S104-P104+U104))</f>
        <v>0.274932614555256</v>
      </c>
      <c r="AE104" s="15" t="n">
        <f aca="false">IF(J104=0,0,R104/J104)</f>
        <v>0.0783645655877343</v>
      </c>
      <c r="AF104" s="15" t="n">
        <f aca="false">IF(J104=0,0,S104/J104)</f>
        <v>0.228279386712095</v>
      </c>
      <c r="AG104" s="11" t="n">
        <f aca="false">IF(J104&gt;=INDEX(球季參數!$E$2:$E$4,MATCH($A104,球季參數!$A$2:$A$4,0)),1,0)</f>
        <v>1</v>
      </c>
    </row>
    <row r="105" customFormat="false" ht="15" hidden="false" customHeight="false" outlineLevel="0" collapsed="false">
      <c r="A105" s="5" t="n">
        <v>2024</v>
      </c>
      <c r="B105" s="7" t="s">
        <v>883</v>
      </c>
      <c r="C105" s="10" t="str">
        <f aca="false">INDEX(球員主檔!$B$2:$B$749,MATCH($B105,球員主檔!$A$2:$A$749,0))</f>
        <v>Cassius Ibarra</v>
      </c>
      <c r="D105" s="7" t="s">
        <v>383</v>
      </c>
      <c r="E105" s="10" t="str">
        <f aca="false">INDEX(球隊主檔!$C$2:$C$31,MATCH($D105,球隊主檔!$A$2:$A$31,0))</f>
        <v>運動家</v>
      </c>
      <c r="F105" s="10" t="str">
        <f aca="false">INDEX(球隊主檔!$D$2:$D$31,MATCH($D105,球隊主檔!$A$2:$A$31,0))</f>
        <v>美聯</v>
      </c>
      <c r="G105" s="7" t="s">
        <v>470</v>
      </c>
      <c r="H105" s="11" t="n">
        <f aca="false">INT((DATE($A105,7,1)-INDEX(球員主檔!$G$2:$G$749,MATCH($B105,球員主檔!$A$2:$A$749,0)))/365.25)</f>
        <v>26</v>
      </c>
      <c r="I105" s="12" t="n">
        <v>102</v>
      </c>
      <c r="J105" s="12" t="n">
        <v>419</v>
      </c>
      <c r="K105" s="12" t="n">
        <v>369</v>
      </c>
      <c r="L105" s="12" t="n">
        <v>45</v>
      </c>
      <c r="M105" s="12" t="n">
        <v>74</v>
      </c>
      <c r="N105" s="12" t="n">
        <v>22</v>
      </c>
      <c r="O105" s="12" t="n">
        <v>3</v>
      </c>
      <c r="P105" s="12" t="n">
        <v>19</v>
      </c>
      <c r="Q105" s="12" t="n">
        <v>51</v>
      </c>
      <c r="R105" s="12" t="n">
        <v>44</v>
      </c>
      <c r="S105" s="12" t="n">
        <v>96</v>
      </c>
      <c r="T105" s="12" t="n">
        <v>2</v>
      </c>
      <c r="U105" s="12" t="n">
        <v>4</v>
      </c>
      <c r="V105" s="12" t="n">
        <v>12</v>
      </c>
      <c r="W105" s="12" t="n">
        <v>4</v>
      </c>
      <c r="X105" s="13" t="n">
        <f aca="false">M105+N105+2*O105+3*P105</f>
        <v>159</v>
      </c>
      <c r="Y105" s="14" t="n">
        <f aca="false">IF(K105=0,0,M105/K105)</f>
        <v>0.200542005420054</v>
      </c>
      <c r="Z105" s="14" t="n">
        <f aca="false">IF(K105+R105+T105+U105=0,0,(M105+R105+T105)/(K105+R105+T105+U105))</f>
        <v>0.286396181384248</v>
      </c>
      <c r="AA105" s="14" t="n">
        <f aca="false">IF(K105=0,0,X105/K105)</f>
        <v>0.430894308943089</v>
      </c>
      <c r="AB105" s="14" t="n">
        <f aca="false">Z105+AA105</f>
        <v>0.717290490327338</v>
      </c>
      <c r="AC105" s="14" t="n">
        <f aca="false">AA105-Y105</f>
        <v>0.230352303523035</v>
      </c>
      <c r="AD105" s="14" t="n">
        <f aca="false">IF(K105-S105-P105+U105=0,0,(M105-P105)/(K105-S105-P105+U105))</f>
        <v>0.213178294573643</v>
      </c>
      <c r="AE105" s="15" t="n">
        <f aca="false">IF(J105=0,0,R105/J105)</f>
        <v>0.105011933174224</v>
      </c>
      <c r="AF105" s="15" t="n">
        <f aca="false">IF(J105=0,0,S105/J105)</f>
        <v>0.229116945107399</v>
      </c>
      <c r="AG105" s="11" t="n">
        <f aca="false">IF(J105&gt;=INDEX(球季參數!$E$2:$E$4,MATCH($A105,球季參數!$A$2:$A$4,0)),1,0)</f>
        <v>0</v>
      </c>
    </row>
    <row r="106" customFormat="false" ht="15" hidden="false" customHeight="false" outlineLevel="0" collapsed="false">
      <c r="A106" s="5" t="n">
        <v>2024</v>
      </c>
      <c r="B106" s="7" t="s">
        <v>885</v>
      </c>
      <c r="C106" s="10" t="str">
        <f aca="false">INDEX(球員主檔!$B$2:$B$749,MATCH($B106,球員主檔!$A$2:$A$749,0))</f>
        <v>Esteban Beckwith</v>
      </c>
      <c r="D106" s="7" t="s">
        <v>383</v>
      </c>
      <c r="E106" s="10" t="str">
        <f aca="false">INDEX(球隊主檔!$C$2:$C$31,MATCH($D106,球隊主檔!$A$2:$A$31,0))</f>
        <v>運動家</v>
      </c>
      <c r="F106" s="10" t="str">
        <f aca="false">INDEX(球隊主檔!$D$2:$D$31,MATCH($D106,球隊主檔!$A$2:$A$31,0))</f>
        <v>美聯</v>
      </c>
      <c r="G106" s="7" t="s">
        <v>486</v>
      </c>
      <c r="H106" s="11" t="n">
        <f aca="false">INT((DATE($A106,7,1)-INDEX(球員主檔!$G$2:$G$749,MATCH($B106,球員主檔!$A$2:$A$749,0)))/365.25)</f>
        <v>22</v>
      </c>
      <c r="I106" s="12" t="n">
        <v>162</v>
      </c>
      <c r="J106" s="12" t="n">
        <v>640</v>
      </c>
      <c r="K106" s="12" t="n">
        <v>572</v>
      </c>
      <c r="L106" s="12" t="n">
        <v>83</v>
      </c>
      <c r="M106" s="12" t="n">
        <v>167</v>
      </c>
      <c r="N106" s="12" t="n">
        <v>26</v>
      </c>
      <c r="O106" s="12" t="n">
        <v>0</v>
      </c>
      <c r="P106" s="12" t="n">
        <v>8</v>
      </c>
      <c r="Q106" s="12" t="n">
        <v>56</v>
      </c>
      <c r="R106" s="12" t="n">
        <v>51</v>
      </c>
      <c r="S106" s="12" t="n">
        <v>162</v>
      </c>
      <c r="T106" s="12" t="n">
        <v>12</v>
      </c>
      <c r="U106" s="12" t="n">
        <v>5</v>
      </c>
      <c r="V106" s="12" t="n">
        <v>4</v>
      </c>
      <c r="W106" s="12" t="n">
        <v>1</v>
      </c>
      <c r="X106" s="13" t="n">
        <f aca="false">M106+N106+2*O106+3*P106</f>
        <v>217</v>
      </c>
      <c r="Y106" s="14" t="n">
        <f aca="false">IF(K106=0,0,M106/K106)</f>
        <v>0.291958041958042</v>
      </c>
      <c r="Z106" s="14" t="n">
        <f aca="false">IF(K106+R106+T106+U106=0,0,(M106+R106+T106)/(K106+R106+T106+U106))</f>
        <v>0.359375</v>
      </c>
      <c r="AA106" s="14" t="n">
        <f aca="false">IF(K106=0,0,X106/K106)</f>
        <v>0.379370629370629</v>
      </c>
      <c r="AB106" s="14" t="n">
        <f aca="false">Z106+AA106</f>
        <v>0.738745629370629</v>
      </c>
      <c r="AC106" s="14" t="n">
        <f aca="false">AA106-Y106</f>
        <v>0.0874125874125874</v>
      </c>
      <c r="AD106" s="14" t="n">
        <f aca="false">IF(K106-S106-P106+U106=0,0,(M106-P106)/(K106-S106-P106+U106))</f>
        <v>0.390663390663391</v>
      </c>
      <c r="AE106" s="15" t="n">
        <f aca="false">IF(J106=0,0,R106/J106)</f>
        <v>0.0796875</v>
      </c>
      <c r="AF106" s="15" t="n">
        <f aca="false">IF(J106=0,0,S106/J106)</f>
        <v>0.253125</v>
      </c>
      <c r="AG106" s="11" t="n">
        <f aca="false">IF(J106&gt;=INDEX(球季參數!$E$2:$E$4,MATCH($A106,球季參數!$A$2:$A$4,0)),1,0)</f>
        <v>1</v>
      </c>
    </row>
    <row r="107" customFormat="false" ht="15" hidden="false" customHeight="false" outlineLevel="0" collapsed="false">
      <c r="A107" s="5" t="n">
        <v>2024</v>
      </c>
      <c r="B107" s="7" t="s">
        <v>887</v>
      </c>
      <c r="C107" s="10" t="str">
        <f aca="false">INDEX(球員主檔!$B$2:$B$749,MATCH($B107,球員主檔!$A$2:$A$749,0))</f>
        <v>Porter Fontaine</v>
      </c>
      <c r="D107" s="7" t="s">
        <v>383</v>
      </c>
      <c r="E107" s="10" t="str">
        <f aca="false">INDEX(球隊主檔!$C$2:$C$31,MATCH($D107,球隊主檔!$A$2:$A$31,0))</f>
        <v>運動家</v>
      </c>
      <c r="F107" s="10" t="str">
        <f aca="false">INDEX(球隊主檔!$D$2:$D$31,MATCH($D107,球隊主檔!$A$2:$A$31,0))</f>
        <v>美聯</v>
      </c>
      <c r="G107" s="7" t="s">
        <v>478</v>
      </c>
      <c r="H107" s="11" t="n">
        <f aca="false">INT((DATE($A107,7,1)-INDEX(球員主檔!$G$2:$G$749,MATCH($B107,球員主檔!$A$2:$A$749,0)))/365.25)</f>
        <v>26</v>
      </c>
      <c r="I107" s="12" t="n">
        <v>112</v>
      </c>
      <c r="J107" s="12" t="n">
        <v>486</v>
      </c>
      <c r="K107" s="12" t="n">
        <v>449</v>
      </c>
      <c r="L107" s="12" t="n">
        <v>55</v>
      </c>
      <c r="M107" s="12" t="n">
        <v>130</v>
      </c>
      <c r="N107" s="12" t="n">
        <v>22</v>
      </c>
      <c r="O107" s="12" t="n">
        <v>3</v>
      </c>
      <c r="P107" s="12" t="n">
        <v>16</v>
      </c>
      <c r="Q107" s="12" t="n">
        <v>62</v>
      </c>
      <c r="R107" s="12" t="n">
        <v>31</v>
      </c>
      <c r="S107" s="12" t="n">
        <v>103</v>
      </c>
      <c r="T107" s="12" t="n">
        <v>4</v>
      </c>
      <c r="U107" s="12" t="n">
        <v>2</v>
      </c>
      <c r="V107" s="12" t="n">
        <v>4</v>
      </c>
      <c r="W107" s="12" t="n">
        <v>1</v>
      </c>
      <c r="X107" s="13" t="n">
        <f aca="false">M107+N107+2*O107+3*P107</f>
        <v>206</v>
      </c>
      <c r="Y107" s="14" t="n">
        <f aca="false">IF(K107=0,0,M107/K107)</f>
        <v>0.289532293986637</v>
      </c>
      <c r="Z107" s="14" t="n">
        <f aca="false">IF(K107+R107+T107+U107=0,0,(M107+R107+T107)/(K107+R107+T107+U107))</f>
        <v>0.339506172839506</v>
      </c>
      <c r="AA107" s="14" t="n">
        <f aca="false">IF(K107=0,0,X107/K107)</f>
        <v>0.458797327394209</v>
      </c>
      <c r="AB107" s="14" t="n">
        <f aca="false">Z107+AA107</f>
        <v>0.798303500233716</v>
      </c>
      <c r="AC107" s="14" t="n">
        <f aca="false">AA107-Y107</f>
        <v>0.169265033407572</v>
      </c>
      <c r="AD107" s="14" t="n">
        <f aca="false">IF(K107-S107-P107+U107=0,0,(M107-P107)/(K107-S107-P107+U107))</f>
        <v>0.343373493975904</v>
      </c>
      <c r="AE107" s="15" t="n">
        <f aca="false">IF(J107=0,0,R107/J107)</f>
        <v>0.0637860082304527</v>
      </c>
      <c r="AF107" s="15" t="n">
        <f aca="false">IF(J107=0,0,S107/J107)</f>
        <v>0.211934156378601</v>
      </c>
      <c r="AG107" s="11" t="n">
        <f aca="false">IF(J107&gt;=INDEX(球季參數!$E$2:$E$4,MATCH($A107,球季參數!$A$2:$A$4,0)),1,0)</f>
        <v>0</v>
      </c>
    </row>
    <row r="108" customFormat="false" ht="15" hidden="false" customHeight="false" outlineLevel="0" collapsed="false">
      <c r="A108" s="5" t="n">
        <v>2024</v>
      </c>
      <c r="B108" s="7" t="s">
        <v>889</v>
      </c>
      <c r="C108" s="10" t="str">
        <f aca="false">INDEX(球員主檔!$B$2:$B$749,MATCH($B108,球員主檔!$A$2:$A$749,0))</f>
        <v>Landon Ulloa</v>
      </c>
      <c r="D108" s="7" t="s">
        <v>383</v>
      </c>
      <c r="E108" s="10" t="str">
        <f aca="false">INDEX(球隊主檔!$C$2:$C$31,MATCH($D108,球隊主檔!$A$2:$A$31,0))</f>
        <v>運動家</v>
      </c>
      <c r="F108" s="10" t="str">
        <f aca="false">INDEX(球隊主檔!$D$2:$D$31,MATCH($D108,球隊主檔!$A$2:$A$31,0))</f>
        <v>美聯</v>
      </c>
      <c r="G108" s="7" t="s">
        <v>158</v>
      </c>
      <c r="H108" s="11" t="n">
        <f aca="false">INT((DATE($A108,7,1)-INDEX(球員主檔!$G$2:$G$749,MATCH($B108,球員主檔!$A$2:$A$749,0)))/365.25)</f>
        <v>26</v>
      </c>
      <c r="I108" s="12" t="n">
        <v>119</v>
      </c>
      <c r="J108" s="12" t="n">
        <v>481</v>
      </c>
      <c r="K108" s="12" t="n">
        <v>418</v>
      </c>
      <c r="L108" s="12" t="n">
        <v>61</v>
      </c>
      <c r="M108" s="12" t="n">
        <v>119</v>
      </c>
      <c r="N108" s="12" t="n">
        <v>14</v>
      </c>
      <c r="O108" s="12" t="n">
        <v>2</v>
      </c>
      <c r="P108" s="12" t="n">
        <v>12</v>
      </c>
      <c r="Q108" s="12" t="n">
        <v>51</v>
      </c>
      <c r="R108" s="12" t="n">
        <v>53</v>
      </c>
      <c r="S108" s="12" t="n">
        <v>137</v>
      </c>
      <c r="T108" s="12" t="n">
        <v>7</v>
      </c>
      <c r="U108" s="12" t="n">
        <v>3</v>
      </c>
      <c r="V108" s="12" t="n">
        <v>11</v>
      </c>
      <c r="W108" s="12" t="n">
        <v>2</v>
      </c>
      <c r="X108" s="13" t="n">
        <f aca="false">M108+N108+2*O108+3*P108</f>
        <v>173</v>
      </c>
      <c r="Y108" s="14" t="n">
        <f aca="false">IF(K108=0,0,M108/K108)</f>
        <v>0.284688995215311</v>
      </c>
      <c r="Z108" s="14" t="n">
        <f aca="false">IF(K108+R108+T108+U108=0,0,(M108+R108+T108)/(K108+R108+T108+U108))</f>
        <v>0.372141372141372</v>
      </c>
      <c r="AA108" s="14" t="n">
        <f aca="false">IF(K108=0,0,X108/K108)</f>
        <v>0.413875598086124</v>
      </c>
      <c r="AB108" s="14" t="n">
        <f aca="false">Z108+AA108</f>
        <v>0.786016970227497</v>
      </c>
      <c r="AC108" s="14" t="n">
        <f aca="false">AA108-Y108</f>
        <v>0.129186602870813</v>
      </c>
      <c r="AD108" s="14" t="n">
        <f aca="false">IF(K108-S108-P108+U108=0,0,(M108-P108)/(K108-S108-P108+U108))</f>
        <v>0.393382352941176</v>
      </c>
      <c r="AE108" s="15" t="n">
        <f aca="false">IF(J108=0,0,R108/J108)</f>
        <v>0.11018711018711</v>
      </c>
      <c r="AF108" s="15" t="n">
        <f aca="false">IF(J108=0,0,S108/J108)</f>
        <v>0.284823284823285</v>
      </c>
      <c r="AG108" s="11" t="n">
        <f aca="false">IF(J108&gt;=INDEX(球季參數!$E$2:$E$4,MATCH($A108,球季參數!$A$2:$A$4,0)),1,0)</f>
        <v>0</v>
      </c>
    </row>
    <row r="109" customFormat="false" ht="15" hidden="false" customHeight="false" outlineLevel="0" collapsed="false">
      <c r="A109" s="5" t="n">
        <v>2024</v>
      </c>
      <c r="B109" s="7" t="s">
        <v>891</v>
      </c>
      <c r="C109" s="10" t="str">
        <f aca="false">INDEX(球員主檔!$B$2:$B$749,MATCH($B109,球員主檔!$A$2:$A$749,0))</f>
        <v>Ronin Nordstrom</v>
      </c>
      <c r="D109" s="7" t="s">
        <v>383</v>
      </c>
      <c r="E109" s="10" t="str">
        <f aca="false">INDEX(球隊主檔!$C$2:$C$31,MATCH($D109,球隊主檔!$A$2:$A$31,0))</f>
        <v>運動家</v>
      </c>
      <c r="F109" s="10" t="str">
        <f aca="false">INDEX(球隊主檔!$D$2:$D$31,MATCH($D109,球隊主檔!$A$2:$A$31,0))</f>
        <v>美聯</v>
      </c>
      <c r="G109" s="7" t="s">
        <v>470</v>
      </c>
      <c r="H109" s="11" t="n">
        <f aca="false">INT((DATE($A109,7,1)-INDEX(球員主檔!$G$2:$G$749,MATCH($B109,球員主檔!$A$2:$A$749,0)))/365.25)</f>
        <v>24</v>
      </c>
      <c r="I109" s="12" t="n">
        <v>134</v>
      </c>
      <c r="J109" s="12" t="n">
        <v>559</v>
      </c>
      <c r="K109" s="12" t="n">
        <v>480</v>
      </c>
      <c r="L109" s="12" t="n">
        <v>79</v>
      </c>
      <c r="M109" s="12" t="n">
        <v>125</v>
      </c>
      <c r="N109" s="12" t="n">
        <v>26</v>
      </c>
      <c r="O109" s="12" t="n">
        <v>2</v>
      </c>
      <c r="P109" s="12" t="n">
        <v>20</v>
      </c>
      <c r="Q109" s="12" t="n">
        <v>67</v>
      </c>
      <c r="R109" s="12" t="n">
        <v>62</v>
      </c>
      <c r="S109" s="12" t="n">
        <v>54</v>
      </c>
      <c r="T109" s="12" t="n">
        <v>11</v>
      </c>
      <c r="U109" s="12" t="n">
        <v>6</v>
      </c>
      <c r="V109" s="12" t="n">
        <v>20</v>
      </c>
      <c r="W109" s="12" t="n">
        <v>5</v>
      </c>
      <c r="X109" s="13" t="n">
        <f aca="false">M109+N109+2*O109+3*P109</f>
        <v>215</v>
      </c>
      <c r="Y109" s="14" t="n">
        <f aca="false">IF(K109=0,0,M109/K109)</f>
        <v>0.260416666666667</v>
      </c>
      <c r="Z109" s="14" t="n">
        <f aca="false">IF(K109+R109+T109+U109=0,0,(M109+R109+T109)/(K109+R109+T109+U109))</f>
        <v>0.354203935599284</v>
      </c>
      <c r="AA109" s="14" t="n">
        <f aca="false">IF(K109=0,0,X109/K109)</f>
        <v>0.447916666666667</v>
      </c>
      <c r="AB109" s="14" t="n">
        <f aca="false">Z109+AA109</f>
        <v>0.802120602265951</v>
      </c>
      <c r="AC109" s="14" t="n">
        <f aca="false">AA109-Y109</f>
        <v>0.1875</v>
      </c>
      <c r="AD109" s="14" t="n">
        <f aca="false">IF(K109-S109-P109+U109=0,0,(M109-P109)/(K109-S109-P109+U109))</f>
        <v>0.254854368932039</v>
      </c>
      <c r="AE109" s="15" t="n">
        <f aca="false">IF(J109=0,0,R109/J109)</f>
        <v>0.110912343470483</v>
      </c>
      <c r="AF109" s="15" t="n">
        <f aca="false">IF(J109=0,0,S109/J109)</f>
        <v>0.0966010733452594</v>
      </c>
      <c r="AG109" s="11" t="n">
        <f aca="false">IF(J109&gt;=INDEX(球季參數!$E$2:$E$4,MATCH($A109,球季參數!$A$2:$A$4,0)),1,0)</f>
        <v>1</v>
      </c>
    </row>
    <row r="110" customFormat="false" ht="15" hidden="false" customHeight="false" outlineLevel="0" collapsed="false">
      <c r="A110" s="5" t="n">
        <v>2024</v>
      </c>
      <c r="B110" s="7" t="s">
        <v>893</v>
      </c>
      <c r="C110" s="10" t="str">
        <f aca="false">INDEX(球員主檔!$B$2:$B$749,MATCH($B110,球員主檔!$A$2:$A$749,0))</f>
        <v>Thiago Arceneaux</v>
      </c>
      <c r="D110" s="7" t="s">
        <v>383</v>
      </c>
      <c r="E110" s="10" t="str">
        <f aca="false">INDEX(球隊主檔!$C$2:$C$31,MATCH($D110,球隊主檔!$A$2:$A$31,0))</f>
        <v>運動家</v>
      </c>
      <c r="F110" s="10" t="str">
        <f aca="false">INDEX(球隊主檔!$D$2:$D$31,MATCH($D110,球隊主檔!$A$2:$A$31,0))</f>
        <v>美聯</v>
      </c>
      <c r="G110" s="7" t="s">
        <v>478</v>
      </c>
      <c r="H110" s="11" t="n">
        <f aca="false">INT((DATE($A110,7,1)-INDEX(球員主檔!$G$2:$G$749,MATCH($B110,球員主檔!$A$2:$A$749,0)))/365.25)</f>
        <v>30</v>
      </c>
      <c r="I110" s="12" t="n">
        <v>47</v>
      </c>
      <c r="J110" s="12" t="n">
        <v>184</v>
      </c>
      <c r="K110" s="12" t="n">
        <v>165</v>
      </c>
      <c r="L110" s="12" t="n">
        <v>17</v>
      </c>
      <c r="M110" s="12" t="n">
        <v>38</v>
      </c>
      <c r="N110" s="12" t="n">
        <v>12</v>
      </c>
      <c r="O110" s="12" t="n">
        <v>6</v>
      </c>
      <c r="P110" s="12" t="n">
        <v>3</v>
      </c>
      <c r="Q110" s="12" t="n">
        <v>14</v>
      </c>
      <c r="R110" s="12" t="n">
        <v>16</v>
      </c>
      <c r="S110" s="12" t="n">
        <v>36</v>
      </c>
      <c r="T110" s="12" t="n">
        <v>2</v>
      </c>
      <c r="U110" s="12" t="n">
        <v>1</v>
      </c>
      <c r="V110" s="12" t="n">
        <v>2</v>
      </c>
      <c r="W110" s="12" t="n">
        <v>0</v>
      </c>
      <c r="X110" s="13" t="n">
        <f aca="false">M110+N110+2*O110+3*P110</f>
        <v>71</v>
      </c>
      <c r="Y110" s="14" t="n">
        <f aca="false">IF(K110=0,0,M110/K110)</f>
        <v>0.23030303030303</v>
      </c>
      <c r="Z110" s="14" t="n">
        <f aca="false">IF(K110+R110+T110+U110=0,0,(M110+R110+T110)/(K110+R110+T110+U110))</f>
        <v>0.304347826086957</v>
      </c>
      <c r="AA110" s="14" t="n">
        <f aca="false">IF(K110=0,0,X110/K110)</f>
        <v>0.43030303030303</v>
      </c>
      <c r="AB110" s="14" t="n">
        <f aca="false">Z110+AA110</f>
        <v>0.734650856389987</v>
      </c>
      <c r="AC110" s="14" t="n">
        <f aca="false">AA110-Y110</f>
        <v>0.2</v>
      </c>
      <c r="AD110" s="14" t="n">
        <f aca="false">IF(K110-S110-P110+U110=0,0,(M110-P110)/(K110-S110-P110+U110))</f>
        <v>0.275590551181102</v>
      </c>
      <c r="AE110" s="15" t="n">
        <f aca="false">IF(J110=0,0,R110/J110)</f>
        <v>0.0869565217391304</v>
      </c>
      <c r="AF110" s="15" t="n">
        <f aca="false">IF(J110=0,0,S110/J110)</f>
        <v>0.195652173913044</v>
      </c>
      <c r="AG110" s="11" t="n">
        <f aca="false">IF(J110&gt;=INDEX(球季參數!$E$2:$E$4,MATCH($A110,球季參數!$A$2:$A$4,0)),1,0)</f>
        <v>0</v>
      </c>
    </row>
    <row r="111" customFormat="false" ht="15" hidden="false" customHeight="false" outlineLevel="0" collapsed="false">
      <c r="A111" s="5" t="n">
        <v>2024</v>
      </c>
      <c r="B111" s="7" t="s">
        <v>895</v>
      </c>
      <c r="C111" s="10" t="str">
        <f aca="false">INDEX(球員主檔!$B$2:$B$749,MATCH($B111,球員主檔!$A$2:$A$749,0))</f>
        <v>Dimitri Engelhardt</v>
      </c>
      <c r="D111" s="7" t="s">
        <v>383</v>
      </c>
      <c r="E111" s="10" t="str">
        <f aca="false">INDEX(球隊主檔!$C$2:$C$31,MATCH($D111,球隊主檔!$A$2:$A$31,0))</f>
        <v>運動家</v>
      </c>
      <c r="F111" s="10" t="str">
        <f aca="false">INDEX(球隊主檔!$D$2:$D$31,MATCH($D111,球隊主檔!$A$2:$A$31,0))</f>
        <v>美聯</v>
      </c>
      <c r="G111" s="7" t="s">
        <v>158</v>
      </c>
      <c r="H111" s="11" t="n">
        <f aca="false">INT((DATE($A111,7,1)-INDEX(球員主檔!$G$2:$G$749,MATCH($B111,球員主檔!$A$2:$A$749,0)))/365.25)</f>
        <v>27</v>
      </c>
      <c r="I111" s="12" t="n">
        <v>56</v>
      </c>
      <c r="J111" s="12" t="n">
        <v>223</v>
      </c>
      <c r="K111" s="12" t="n">
        <v>198</v>
      </c>
      <c r="L111" s="12" t="n">
        <v>19</v>
      </c>
      <c r="M111" s="12" t="n">
        <v>39</v>
      </c>
      <c r="N111" s="12" t="n">
        <v>16</v>
      </c>
      <c r="O111" s="12" t="n">
        <v>4</v>
      </c>
      <c r="P111" s="12" t="n">
        <v>3</v>
      </c>
      <c r="Q111" s="12" t="n">
        <v>17</v>
      </c>
      <c r="R111" s="12" t="n">
        <v>20</v>
      </c>
      <c r="S111" s="12" t="n">
        <v>53</v>
      </c>
      <c r="T111" s="12" t="n">
        <v>4</v>
      </c>
      <c r="U111" s="12" t="n">
        <v>1</v>
      </c>
      <c r="V111" s="12" t="n">
        <v>5</v>
      </c>
      <c r="W111" s="12" t="n">
        <v>1</v>
      </c>
      <c r="X111" s="13" t="n">
        <f aca="false">M111+N111+2*O111+3*P111</f>
        <v>72</v>
      </c>
      <c r="Y111" s="14" t="n">
        <f aca="false">IF(K111=0,0,M111/K111)</f>
        <v>0.196969696969697</v>
      </c>
      <c r="Z111" s="14" t="n">
        <f aca="false">IF(K111+R111+T111+U111=0,0,(M111+R111+T111)/(K111+R111+T111+U111))</f>
        <v>0.282511210762332</v>
      </c>
      <c r="AA111" s="14" t="n">
        <f aca="false">IF(K111=0,0,X111/K111)</f>
        <v>0.363636363636364</v>
      </c>
      <c r="AB111" s="14" t="n">
        <f aca="false">Z111+AA111</f>
        <v>0.646147574398696</v>
      </c>
      <c r="AC111" s="14" t="n">
        <f aca="false">AA111-Y111</f>
        <v>0.166666666666667</v>
      </c>
      <c r="AD111" s="14" t="n">
        <f aca="false">IF(K111-S111-P111+U111=0,0,(M111-P111)/(K111-S111-P111+U111))</f>
        <v>0.251748251748252</v>
      </c>
      <c r="AE111" s="15" t="n">
        <f aca="false">IF(J111=0,0,R111/J111)</f>
        <v>0.0896860986547085</v>
      </c>
      <c r="AF111" s="15" t="n">
        <f aca="false">IF(J111=0,0,S111/J111)</f>
        <v>0.237668161434978</v>
      </c>
      <c r="AG111" s="11" t="n">
        <f aca="false">IF(J111&gt;=INDEX(球季參數!$E$2:$E$4,MATCH($A111,球季參數!$A$2:$A$4,0)),1,0)</f>
        <v>0</v>
      </c>
    </row>
    <row r="112" customFormat="false" ht="15" hidden="false" customHeight="false" outlineLevel="0" collapsed="false">
      <c r="A112" s="5" t="n">
        <v>2024</v>
      </c>
      <c r="B112" s="7" t="s">
        <v>917</v>
      </c>
      <c r="C112" s="10" t="str">
        <f aca="false">INDEX(球員主檔!$B$2:$B$749,MATCH($B112,球員主檔!$A$2:$A$749,0))</f>
        <v>Ignacio Ibarra</v>
      </c>
      <c r="D112" s="7" t="s">
        <v>388</v>
      </c>
      <c r="E112" s="10" t="str">
        <f aca="false">INDEX(球隊主檔!$C$2:$C$31,MATCH($D112,球隊主檔!$A$2:$A$31,0))</f>
        <v>休士頓太空人</v>
      </c>
      <c r="F112" s="10" t="str">
        <f aca="false">INDEX(球隊主檔!$D$2:$D$31,MATCH($D112,球隊主檔!$A$2:$A$31,0))</f>
        <v>美聯</v>
      </c>
      <c r="G112" s="7" t="s">
        <v>473</v>
      </c>
      <c r="H112" s="11" t="n">
        <f aca="false">INT((DATE($A112,7,1)-INDEX(球員主檔!$G$2:$G$749,MATCH($B112,球員主檔!$A$2:$A$749,0)))/365.25)</f>
        <v>24</v>
      </c>
      <c r="I112" s="12" t="n">
        <v>136</v>
      </c>
      <c r="J112" s="12" t="n">
        <v>573</v>
      </c>
      <c r="K112" s="12" t="n">
        <v>533</v>
      </c>
      <c r="L112" s="12" t="n">
        <v>62</v>
      </c>
      <c r="M112" s="12" t="n">
        <v>125</v>
      </c>
      <c r="N112" s="12" t="n">
        <v>24</v>
      </c>
      <c r="O112" s="12" t="n">
        <v>9</v>
      </c>
      <c r="P112" s="12" t="n">
        <v>17</v>
      </c>
      <c r="Q112" s="12" t="n">
        <v>64</v>
      </c>
      <c r="R112" s="12" t="n">
        <v>32</v>
      </c>
      <c r="S112" s="12" t="n">
        <v>124</v>
      </c>
      <c r="T112" s="12" t="n">
        <v>5</v>
      </c>
      <c r="U112" s="12" t="n">
        <v>3</v>
      </c>
      <c r="V112" s="12" t="n">
        <v>10</v>
      </c>
      <c r="W112" s="12" t="n">
        <v>1</v>
      </c>
      <c r="X112" s="13" t="n">
        <f aca="false">M112+N112+2*O112+3*P112</f>
        <v>218</v>
      </c>
      <c r="Y112" s="14" t="n">
        <f aca="false">IF(K112=0,0,M112/K112)</f>
        <v>0.234521575984991</v>
      </c>
      <c r="Z112" s="14" t="n">
        <f aca="false">IF(K112+R112+T112+U112=0,0,(M112+R112+T112)/(K112+R112+T112+U112))</f>
        <v>0.282722513089005</v>
      </c>
      <c r="AA112" s="14" t="n">
        <f aca="false">IF(K112=0,0,X112/K112)</f>
        <v>0.409005628517824</v>
      </c>
      <c r="AB112" s="14" t="n">
        <f aca="false">Z112+AA112</f>
        <v>0.691728141606829</v>
      </c>
      <c r="AC112" s="14" t="n">
        <f aca="false">AA112-Y112</f>
        <v>0.174484052532833</v>
      </c>
      <c r="AD112" s="14" t="n">
        <f aca="false">IF(K112-S112-P112+U112=0,0,(M112-P112)/(K112-S112-P112+U112))</f>
        <v>0.273417721518987</v>
      </c>
      <c r="AE112" s="15" t="n">
        <f aca="false">IF(J112=0,0,R112/J112)</f>
        <v>0.0558464223385689</v>
      </c>
      <c r="AF112" s="15" t="n">
        <f aca="false">IF(J112=0,0,S112/J112)</f>
        <v>0.216404886561955</v>
      </c>
      <c r="AG112" s="11" t="n">
        <f aca="false">IF(J112&gt;=INDEX(球季參數!$E$2:$E$4,MATCH($A112,球季參數!$A$2:$A$4,0)),1,0)</f>
        <v>1</v>
      </c>
    </row>
    <row r="113" customFormat="false" ht="15" hidden="false" customHeight="false" outlineLevel="0" collapsed="false">
      <c r="A113" s="5" t="n">
        <v>2024</v>
      </c>
      <c r="B113" s="7" t="s">
        <v>919</v>
      </c>
      <c r="C113" s="10" t="str">
        <f aca="false">INDEX(球員主檔!$B$2:$B$749,MATCH($B113,球員主檔!$A$2:$A$749,0))</f>
        <v>Thaddeus Goddard</v>
      </c>
      <c r="D113" s="7" t="s">
        <v>388</v>
      </c>
      <c r="E113" s="10" t="str">
        <f aca="false">INDEX(球隊主檔!$C$2:$C$31,MATCH($D113,球隊主檔!$A$2:$A$31,0))</f>
        <v>休士頓太空人</v>
      </c>
      <c r="F113" s="10" t="str">
        <f aca="false">INDEX(球隊主檔!$D$2:$D$31,MATCH($D113,球隊主檔!$A$2:$A$31,0))</f>
        <v>美聯</v>
      </c>
      <c r="G113" s="7" t="s">
        <v>162</v>
      </c>
      <c r="H113" s="11" t="n">
        <f aca="false">INT((DATE($A113,7,1)-INDEX(球員主檔!$G$2:$G$749,MATCH($B113,球員主檔!$A$2:$A$749,0)))/365.25)</f>
        <v>27</v>
      </c>
      <c r="I113" s="12" t="n">
        <v>154</v>
      </c>
      <c r="J113" s="12" t="n">
        <v>682</v>
      </c>
      <c r="K113" s="12" t="n">
        <v>629</v>
      </c>
      <c r="L113" s="12" t="n">
        <v>75</v>
      </c>
      <c r="M113" s="12" t="n">
        <v>156</v>
      </c>
      <c r="N113" s="12" t="n">
        <v>28</v>
      </c>
      <c r="O113" s="12" t="n">
        <v>5</v>
      </c>
      <c r="P113" s="12" t="n">
        <v>13</v>
      </c>
      <c r="Q113" s="12" t="n">
        <v>65</v>
      </c>
      <c r="R113" s="12" t="n">
        <v>40</v>
      </c>
      <c r="S113" s="12" t="n">
        <v>201</v>
      </c>
      <c r="T113" s="12" t="n">
        <v>11</v>
      </c>
      <c r="U113" s="12" t="n">
        <v>2</v>
      </c>
      <c r="V113" s="12" t="n">
        <v>9</v>
      </c>
      <c r="W113" s="12" t="n">
        <v>3</v>
      </c>
      <c r="X113" s="13" t="n">
        <f aca="false">M113+N113+2*O113+3*P113</f>
        <v>233</v>
      </c>
      <c r="Y113" s="14" t="n">
        <f aca="false">IF(K113=0,0,M113/K113)</f>
        <v>0.248012718600954</v>
      </c>
      <c r="Z113" s="14" t="n">
        <f aca="false">IF(K113+R113+T113+U113=0,0,(M113+R113+T113)/(K113+R113+T113+U113))</f>
        <v>0.303519061583578</v>
      </c>
      <c r="AA113" s="14" t="n">
        <f aca="false">IF(K113=0,0,X113/K113)</f>
        <v>0.370429252782194</v>
      </c>
      <c r="AB113" s="14" t="n">
        <f aca="false">Z113+AA113</f>
        <v>0.673948314365772</v>
      </c>
      <c r="AC113" s="14" t="n">
        <f aca="false">AA113-Y113</f>
        <v>0.12241653418124</v>
      </c>
      <c r="AD113" s="14" t="n">
        <f aca="false">IF(K113-S113-P113+U113=0,0,(M113-P113)/(K113-S113-P113+U113))</f>
        <v>0.342925659472422</v>
      </c>
      <c r="AE113" s="15" t="n">
        <f aca="false">IF(J113=0,0,R113/J113)</f>
        <v>0.0586510263929619</v>
      </c>
      <c r="AF113" s="15" t="n">
        <f aca="false">IF(J113=0,0,S113/J113)</f>
        <v>0.294721407624633</v>
      </c>
      <c r="AG113" s="11" t="n">
        <f aca="false">IF(J113&gt;=INDEX(球季參數!$E$2:$E$4,MATCH($A113,球季參數!$A$2:$A$4,0)),1,0)</f>
        <v>1</v>
      </c>
    </row>
    <row r="114" customFormat="false" ht="15" hidden="false" customHeight="false" outlineLevel="0" collapsed="false">
      <c r="A114" s="5" t="n">
        <v>2024</v>
      </c>
      <c r="B114" s="7" t="s">
        <v>921</v>
      </c>
      <c r="C114" s="10" t="str">
        <f aca="false">INDEX(球員主檔!$B$2:$B$749,MATCH($B114,球員主檔!$A$2:$A$749,0))</f>
        <v>Alonso Yoshinaga</v>
      </c>
      <c r="D114" s="7" t="s">
        <v>388</v>
      </c>
      <c r="E114" s="10" t="str">
        <f aca="false">INDEX(球隊主檔!$C$2:$C$31,MATCH($D114,球隊主檔!$A$2:$A$31,0))</f>
        <v>休士頓太空人</v>
      </c>
      <c r="F114" s="10" t="str">
        <f aca="false">INDEX(球隊主檔!$D$2:$D$31,MATCH($D114,球隊主檔!$A$2:$A$31,0))</f>
        <v>美聯</v>
      </c>
      <c r="G114" s="7" t="s">
        <v>158</v>
      </c>
      <c r="H114" s="11" t="n">
        <f aca="false">INT((DATE($A114,7,1)-INDEX(球員主檔!$G$2:$G$749,MATCH($B114,球員主檔!$A$2:$A$749,0)))/365.25)</f>
        <v>28</v>
      </c>
      <c r="I114" s="12" t="n">
        <v>147</v>
      </c>
      <c r="J114" s="12" t="n">
        <v>610</v>
      </c>
      <c r="K114" s="12" t="n">
        <v>578</v>
      </c>
      <c r="L114" s="12" t="n">
        <v>79</v>
      </c>
      <c r="M114" s="12" t="n">
        <v>164</v>
      </c>
      <c r="N114" s="12" t="n">
        <v>39</v>
      </c>
      <c r="O114" s="12" t="n">
        <v>2</v>
      </c>
      <c r="P114" s="12" t="n">
        <v>24</v>
      </c>
      <c r="Q114" s="12" t="n">
        <v>74</v>
      </c>
      <c r="R114" s="12" t="n">
        <v>19</v>
      </c>
      <c r="S114" s="12" t="n">
        <v>132</v>
      </c>
      <c r="T114" s="12" t="n">
        <v>5</v>
      </c>
      <c r="U114" s="12" t="n">
        <v>8</v>
      </c>
      <c r="V114" s="12" t="n">
        <v>3</v>
      </c>
      <c r="W114" s="12" t="n">
        <v>1</v>
      </c>
      <c r="X114" s="13" t="n">
        <f aca="false">M114+N114+2*O114+3*P114</f>
        <v>279</v>
      </c>
      <c r="Y114" s="14" t="n">
        <f aca="false">IF(K114=0,0,M114/K114)</f>
        <v>0.283737024221453</v>
      </c>
      <c r="Z114" s="14" t="n">
        <f aca="false">IF(K114+R114+T114+U114=0,0,(M114+R114+T114)/(K114+R114+T114+U114))</f>
        <v>0.308196721311475</v>
      </c>
      <c r="AA114" s="14" t="n">
        <f aca="false">IF(K114=0,0,X114/K114)</f>
        <v>0.482698961937716</v>
      </c>
      <c r="AB114" s="14" t="n">
        <f aca="false">Z114+AA114</f>
        <v>0.790895683249192</v>
      </c>
      <c r="AC114" s="14" t="n">
        <f aca="false">AA114-Y114</f>
        <v>0.198961937716263</v>
      </c>
      <c r="AD114" s="14" t="n">
        <f aca="false">IF(K114-S114-P114+U114=0,0,(M114-P114)/(K114-S114-P114+U114))</f>
        <v>0.325581395348837</v>
      </c>
      <c r="AE114" s="15" t="n">
        <f aca="false">IF(J114=0,0,R114/J114)</f>
        <v>0.0311475409836066</v>
      </c>
      <c r="AF114" s="15" t="n">
        <f aca="false">IF(J114=0,0,S114/J114)</f>
        <v>0.216393442622951</v>
      </c>
      <c r="AG114" s="11" t="n">
        <f aca="false">IF(J114&gt;=INDEX(球季參數!$E$2:$E$4,MATCH($A114,球季參數!$A$2:$A$4,0)),1,0)</f>
        <v>1</v>
      </c>
    </row>
    <row r="115" customFormat="false" ht="15" hidden="false" customHeight="false" outlineLevel="0" collapsed="false">
      <c r="A115" s="5" t="n">
        <v>2024</v>
      </c>
      <c r="B115" s="7" t="s">
        <v>923</v>
      </c>
      <c r="C115" s="10" t="str">
        <f aca="false">INDEX(球員主檔!$B$2:$B$749,MATCH($B115,球員主檔!$A$2:$A$749,0))</f>
        <v>Ronin Zamarripa</v>
      </c>
      <c r="D115" s="7" t="s">
        <v>388</v>
      </c>
      <c r="E115" s="10" t="str">
        <f aca="false">INDEX(球隊主檔!$C$2:$C$31,MATCH($D115,球隊主檔!$A$2:$A$31,0))</f>
        <v>休士頓太空人</v>
      </c>
      <c r="F115" s="10" t="str">
        <f aca="false">INDEX(球隊主檔!$D$2:$D$31,MATCH($D115,球隊主檔!$A$2:$A$31,0))</f>
        <v>美聯</v>
      </c>
      <c r="G115" s="7" t="s">
        <v>483</v>
      </c>
      <c r="H115" s="11" t="n">
        <f aca="false">INT((DATE($A115,7,1)-INDEX(球員主檔!$G$2:$G$749,MATCH($B115,球員主檔!$A$2:$A$749,0)))/365.25)</f>
        <v>23</v>
      </c>
      <c r="I115" s="12" t="n">
        <v>142</v>
      </c>
      <c r="J115" s="12" t="n">
        <v>589</v>
      </c>
      <c r="K115" s="12" t="n">
        <v>562</v>
      </c>
      <c r="L115" s="12" t="n">
        <v>56</v>
      </c>
      <c r="M115" s="12" t="n">
        <v>121</v>
      </c>
      <c r="N115" s="12" t="n">
        <v>26</v>
      </c>
      <c r="O115" s="12" t="n">
        <v>10</v>
      </c>
      <c r="P115" s="12" t="n">
        <v>10</v>
      </c>
      <c r="Q115" s="12" t="n">
        <v>49</v>
      </c>
      <c r="R115" s="12" t="n">
        <v>16</v>
      </c>
      <c r="S115" s="12" t="n">
        <v>101</v>
      </c>
      <c r="T115" s="12" t="n">
        <v>9</v>
      </c>
      <c r="U115" s="12" t="n">
        <v>2</v>
      </c>
      <c r="V115" s="12" t="n">
        <v>16</v>
      </c>
      <c r="W115" s="12" t="n">
        <v>6</v>
      </c>
      <c r="X115" s="13" t="n">
        <f aca="false">M115+N115+2*O115+3*P115</f>
        <v>197</v>
      </c>
      <c r="Y115" s="14" t="n">
        <f aca="false">IF(K115=0,0,M115/K115)</f>
        <v>0.215302491103203</v>
      </c>
      <c r="Z115" s="14" t="n">
        <f aca="false">IF(K115+R115+T115+U115=0,0,(M115+R115+T115)/(K115+R115+T115+U115))</f>
        <v>0.247877758913413</v>
      </c>
      <c r="AA115" s="14" t="n">
        <f aca="false">IF(K115=0,0,X115/K115)</f>
        <v>0.350533807829182</v>
      </c>
      <c r="AB115" s="14" t="n">
        <f aca="false">Z115+AA115</f>
        <v>0.598411566742594</v>
      </c>
      <c r="AC115" s="14" t="n">
        <f aca="false">AA115-Y115</f>
        <v>0.135231316725979</v>
      </c>
      <c r="AD115" s="14" t="n">
        <f aca="false">IF(K115-S115-P115+U115=0,0,(M115-P115)/(K115-S115-P115+U115))</f>
        <v>0.245033112582781</v>
      </c>
      <c r="AE115" s="15" t="n">
        <f aca="false">IF(J115=0,0,R115/J115)</f>
        <v>0.0271646859083192</v>
      </c>
      <c r="AF115" s="15" t="n">
        <f aca="false">IF(J115=0,0,S115/J115)</f>
        <v>0.171477079796265</v>
      </c>
      <c r="AG115" s="11" t="n">
        <f aca="false">IF(J115&gt;=INDEX(球季參數!$E$2:$E$4,MATCH($A115,球季參數!$A$2:$A$4,0)),1,0)</f>
        <v>1</v>
      </c>
    </row>
    <row r="116" customFormat="false" ht="15" hidden="false" customHeight="false" outlineLevel="0" collapsed="false">
      <c r="A116" s="5" t="n">
        <v>2024</v>
      </c>
      <c r="B116" s="7" t="s">
        <v>925</v>
      </c>
      <c r="C116" s="10" t="str">
        <f aca="false">INDEX(球員主檔!$B$2:$B$749,MATCH($B116,球員主檔!$A$2:$A$749,0))</f>
        <v>Joaquín Okafor</v>
      </c>
      <c r="D116" s="7" t="s">
        <v>388</v>
      </c>
      <c r="E116" s="10" t="str">
        <f aca="false">INDEX(球隊主檔!$C$2:$C$31,MATCH($D116,球隊主檔!$A$2:$A$31,0))</f>
        <v>休士頓太空人</v>
      </c>
      <c r="F116" s="10" t="str">
        <f aca="false">INDEX(球隊主檔!$D$2:$D$31,MATCH($D116,球隊主檔!$A$2:$A$31,0))</f>
        <v>美聯</v>
      </c>
      <c r="G116" s="7" t="s">
        <v>162</v>
      </c>
      <c r="H116" s="11" t="n">
        <f aca="false">INT((DATE($A116,7,1)-INDEX(球員主檔!$G$2:$G$749,MATCH($B116,球員主檔!$A$2:$A$749,0)))/365.25)</f>
        <v>27</v>
      </c>
      <c r="I116" s="12" t="n">
        <v>162</v>
      </c>
      <c r="J116" s="12" t="n">
        <v>625</v>
      </c>
      <c r="K116" s="12" t="n">
        <v>592</v>
      </c>
      <c r="L116" s="12" t="n">
        <v>78</v>
      </c>
      <c r="M116" s="12" t="n">
        <v>135</v>
      </c>
      <c r="N116" s="12" t="n">
        <v>15</v>
      </c>
      <c r="O116" s="12" t="n">
        <v>3</v>
      </c>
      <c r="P116" s="12" t="n">
        <v>34</v>
      </c>
      <c r="Q116" s="12" t="n">
        <v>94</v>
      </c>
      <c r="R116" s="12" t="n">
        <v>20</v>
      </c>
      <c r="S116" s="12" t="n">
        <v>77</v>
      </c>
      <c r="T116" s="12" t="n">
        <v>11</v>
      </c>
      <c r="U116" s="12" t="n">
        <v>2</v>
      </c>
      <c r="V116" s="12" t="n">
        <v>7</v>
      </c>
      <c r="W116" s="12" t="n">
        <v>1</v>
      </c>
      <c r="X116" s="13" t="n">
        <f aca="false">M116+N116+2*O116+3*P116</f>
        <v>258</v>
      </c>
      <c r="Y116" s="14" t="n">
        <f aca="false">IF(K116=0,0,M116/K116)</f>
        <v>0.228040540540541</v>
      </c>
      <c r="Z116" s="14" t="n">
        <f aca="false">IF(K116+R116+T116+U116=0,0,(M116+R116+T116)/(K116+R116+T116+U116))</f>
        <v>0.2656</v>
      </c>
      <c r="AA116" s="14" t="n">
        <f aca="false">IF(K116=0,0,X116/K116)</f>
        <v>0.435810810810811</v>
      </c>
      <c r="AB116" s="14" t="n">
        <f aca="false">Z116+AA116</f>
        <v>0.701410810810811</v>
      </c>
      <c r="AC116" s="14" t="n">
        <f aca="false">AA116-Y116</f>
        <v>0.20777027027027</v>
      </c>
      <c r="AD116" s="14" t="n">
        <f aca="false">IF(K116-S116-P116+U116=0,0,(M116-P116)/(K116-S116-P116+U116))</f>
        <v>0.209109730848861</v>
      </c>
      <c r="AE116" s="15" t="n">
        <f aca="false">IF(J116=0,0,R116/J116)</f>
        <v>0.032</v>
      </c>
      <c r="AF116" s="15" t="n">
        <f aca="false">IF(J116=0,0,S116/J116)</f>
        <v>0.1232</v>
      </c>
      <c r="AG116" s="11" t="n">
        <f aca="false">IF(J116&gt;=INDEX(球季參數!$E$2:$E$4,MATCH($A116,球季參數!$A$2:$A$4,0)),1,0)</f>
        <v>1</v>
      </c>
    </row>
    <row r="117" customFormat="false" ht="15" hidden="false" customHeight="false" outlineLevel="0" collapsed="false">
      <c r="A117" s="5" t="n">
        <v>2024</v>
      </c>
      <c r="B117" s="7" t="s">
        <v>927</v>
      </c>
      <c r="C117" s="10" t="str">
        <f aca="false">INDEX(球員主檔!$B$2:$B$749,MATCH($B117,球員主檔!$A$2:$A$749,0))</f>
        <v>Alonso Zielinski</v>
      </c>
      <c r="D117" s="7" t="s">
        <v>388</v>
      </c>
      <c r="E117" s="10" t="str">
        <f aca="false">INDEX(球隊主檔!$C$2:$C$31,MATCH($D117,球隊主檔!$A$2:$A$31,0))</f>
        <v>休士頓太空人</v>
      </c>
      <c r="F117" s="10" t="str">
        <f aca="false">INDEX(球隊主檔!$D$2:$D$31,MATCH($D117,球隊主檔!$A$2:$A$31,0))</f>
        <v>美聯</v>
      </c>
      <c r="G117" s="7" t="s">
        <v>63</v>
      </c>
      <c r="H117" s="11" t="n">
        <f aca="false">INT((DATE($A117,7,1)-INDEX(球員主檔!$G$2:$G$749,MATCH($B117,球員主檔!$A$2:$A$749,0)))/365.25)</f>
        <v>27</v>
      </c>
      <c r="I117" s="12" t="n">
        <v>100</v>
      </c>
      <c r="J117" s="12" t="n">
        <v>443</v>
      </c>
      <c r="K117" s="12" t="n">
        <v>402</v>
      </c>
      <c r="L117" s="12" t="n">
        <v>46</v>
      </c>
      <c r="M117" s="12" t="n">
        <v>90</v>
      </c>
      <c r="N117" s="12" t="n">
        <v>26</v>
      </c>
      <c r="O117" s="12" t="n">
        <v>1</v>
      </c>
      <c r="P117" s="12" t="n">
        <v>7</v>
      </c>
      <c r="Q117" s="12" t="n">
        <v>33</v>
      </c>
      <c r="R117" s="12" t="n">
        <v>31</v>
      </c>
      <c r="S117" s="12" t="n">
        <v>109</v>
      </c>
      <c r="T117" s="12" t="n">
        <v>7</v>
      </c>
      <c r="U117" s="12" t="n">
        <v>3</v>
      </c>
      <c r="V117" s="12" t="n">
        <v>3</v>
      </c>
      <c r="W117" s="12" t="n">
        <v>1</v>
      </c>
      <c r="X117" s="13" t="n">
        <f aca="false">M117+N117+2*O117+3*P117</f>
        <v>139</v>
      </c>
      <c r="Y117" s="14" t="n">
        <f aca="false">IF(K117=0,0,M117/K117)</f>
        <v>0.223880597014925</v>
      </c>
      <c r="Z117" s="14" t="n">
        <f aca="false">IF(K117+R117+T117+U117=0,0,(M117+R117+T117)/(K117+R117+T117+U117))</f>
        <v>0.288939051918736</v>
      </c>
      <c r="AA117" s="14" t="n">
        <f aca="false">IF(K117=0,0,X117/K117)</f>
        <v>0.345771144278607</v>
      </c>
      <c r="AB117" s="14" t="n">
        <f aca="false">Z117+AA117</f>
        <v>0.634710196197343</v>
      </c>
      <c r="AC117" s="14" t="n">
        <f aca="false">AA117-Y117</f>
        <v>0.121890547263682</v>
      </c>
      <c r="AD117" s="14" t="n">
        <f aca="false">IF(K117-S117-P117+U117=0,0,(M117-P117)/(K117-S117-P117+U117))</f>
        <v>0.28719723183391</v>
      </c>
      <c r="AE117" s="15" t="n">
        <f aca="false">IF(J117=0,0,R117/J117)</f>
        <v>0.0699774266365689</v>
      </c>
      <c r="AF117" s="15" t="n">
        <f aca="false">IF(J117=0,0,S117/J117)</f>
        <v>0.246049661399549</v>
      </c>
      <c r="AG117" s="11" t="n">
        <f aca="false">IF(J117&gt;=INDEX(球季參數!$E$2:$E$4,MATCH($A117,球季參數!$A$2:$A$4,0)),1,0)</f>
        <v>0</v>
      </c>
    </row>
    <row r="118" customFormat="false" ht="15" hidden="false" customHeight="false" outlineLevel="0" collapsed="false">
      <c r="A118" s="5" t="n">
        <v>2024</v>
      </c>
      <c r="B118" s="7" t="s">
        <v>929</v>
      </c>
      <c r="C118" s="10" t="str">
        <f aca="false">INDEX(球員主檔!$B$2:$B$749,MATCH($B118,球員主檔!$A$2:$A$749,0))</f>
        <v>Cassius Pellerin</v>
      </c>
      <c r="D118" s="7" t="s">
        <v>388</v>
      </c>
      <c r="E118" s="10" t="str">
        <f aca="false">INDEX(球隊主檔!$C$2:$C$31,MATCH($D118,球隊主檔!$A$2:$A$31,0))</f>
        <v>休士頓太空人</v>
      </c>
      <c r="F118" s="10" t="str">
        <f aca="false">INDEX(球隊主檔!$D$2:$D$31,MATCH($D118,球隊主檔!$A$2:$A$31,0))</f>
        <v>美聯</v>
      </c>
      <c r="G118" s="7" t="s">
        <v>486</v>
      </c>
      <c r="H118" s="11" t="n">
        <f aca="false">INT((DATE($A118,7,1)-INDEX(球員主檔!$G$2:$G$749,MATCH($B118,球員主檔!$A$2:$A$749,0)))/365.25)</f>
        <v>26</v>
      </c>
      <c r="I118" s="12" t="n">
        <v>115</v>
      </c>
      <c r="J118" s="12" t="n">
        <v>494</v>
      </c>
      <c r="K118" s="12" t="n">
        <v>432</v>
      </c>
      <c r="L118" s="12" t="n">
        <v>65</v>
      </c>
      <c r="M118" s="12" t="n">
        <v>125</v>
      </c>
      <c r="N118" s="12" t="n">
        <v>38</v>
      </c>
      <c r="O118" s="12" t="n">
        <v>11</v>
      </c>
      <c r="P118" s="12" t="n">
        <v>13</v>
      </c>
      <c r="Q118" s="12" t="n">
        <v>65</v>
      </c>
      <c r="R118" s="12" t="n">
        <v>50</v>
      </c>
      <c r="S118" s="12" t="n">
        <v>142</v>
      </c>
      <c r="T118" s="12" t="n">
        <v>10</v>
      </c>
      <c r="U118" s="12" t="n">
        <v>2</v>
      </c>
      <c r="V118" s="12" t="n">
        <v>7</v>
      </c>
      <c r="W118" s="12" t="n">
        <v>2</v>
      </c>
      <c r="X118" s="13" t="n">
        <f aca="false">M118+N118+2*O118+3*P118</f>
        <v>224</v>
      </c>
      <c r="Y118" s="14" t="n">
        <f aca="false">IF(K118=0,0,M118/K118)</f>
        <v>0.289351851851852</v>
      </c>
      <c r="Z118" s="14" t="n">
        <f aca="false">IF(K118+R118+T118+U118=0,0,(M118+R118+T118)/(K118+R118+T118+U118))</f>
        <v>0.374493927125506</v>
      </c>
      <c r="AA118" s="14" t="n">
        <f aca="false">IF(K118=0,0,X118/K118)</f>
        <v>0.518518518518519</v>
      </c>
      <c r="AB118" s="14" t="n">
        <f aca="false">Z118+AA118</f>
        <v>0.893012445644025</v>
      </c>
      <c r="AC118" s="14" t="n">
        <f aca="false">AA118-Y118</f>
        <v>0.229166666666667</v>
      </c>
      <c r="AD118" s="14" t="n">
        <f aca="false">IF(K118-S118-P118+U118=0,0,(M118-P118)/(K118-S118-P118+U118))</f>
        <v>0.401433691756272</v>
      </c>
      <c r="AE118" s="15" t="n">
        <f aca="false">IF(J118=0,0,R118/J118)</f>
        <v>0.101214574898785</v>
      </c>
      <c r="AF118" s="15" t="n">
        <f aca="false">IF(J118=0,0,S118/J118)</f>
        <v>0.287449392712551</v>
      </c>
      <c r="AG118" s="11" t="n">
        <f aca="false">IF(J118&gt;=INDEX(球季參數!$E$2:$E$4,MATCH($A118,球季參數!$A$2:$A$4,0)),1,0)</f>
        <v>0</v>
      </c>
    </row>
    <row r="119" customFormat="false" ht="15" hidden="false" customHeight="false" outlineLevel="0" collapsed="false">
      <c r="A119" s="5" t="n">
        <v>2024</v>
      </c>
      <c r="B119" s="7" t="s">
        <v>931</v>
      </c>
      <c r="C119" s="10" t="str">
        <f aca="false">INDEX(球員主檔!$B$2:$B$749,MATCH($B119,球員主檔!$A$2:$A$749,0))</f>
        <v>Ulises Sorrentino</v>
      </c>
      <c r="D119" s="7" t="s">
        <v>388</v>
      </c>
      <c r="E119" s="10" t="str">
        <f aca="false">INDEX(球隊主檔!$C$2:$C$31,MATCH($D119,球隊主檔!$A$2:$A$31,0))</f>
        <v>休士頓太空人</v>
      </c>
      <c r="F119" s="10" t="str">
        <f aca="false">INDEX(球隊主檔!$D$2:$D$31,MATCH($D119,球隊主檔!$A$2:$A$31,0))</f>
        <v>美聯</v>
      </c>
      <c r="G119" s="7" t="s">
        <v>158</v>
      </c>
      <c r="H119" s="11" t="n">
        <f aca="false">INT((DATE($A119,7,1)-INDEX(球員主檔!$G$2:$G$749,MATCH($B119,球員主檔!$A$2:$A$749,0)))/365.25)</f>
        <v>30</v>
      </c>
      <c r="I119" s="12" t="n">
        <v>86</v>
      </c>
      <c r="J119" s="12" t="n">
        <v>382</v>
      </c>
      <c r="K119" s="12" t="n">
        <v>359</v>
      </c>
      <c r="L119" s="12" t="n">
        <v>33</v>
      </c>
      <c r="M119" s="12" t="n">
        <v>82</v>
      </c>
      <c r="N119" s="12" t="n">
        <v>21</v>
      </c>
      <c r="O119" s="12" t="n">
        <v>5</v>
      </c>
      <c r="P119" s="12" t="n">
        <v>10</v>
      </c>
      <c r="Q119" s="12" t="n">
        <v>45</v>
      </c>
      <c r="R119" s="12" t="n">
        <v>17</v>
      </c>
      <c r="S119" s="12" t="n">
        <v>115</v>
      </c>
      <c r="T119" s="12" t="n">
        <v>5</v>
      </c>
      <c r="U119" s="12" t="n">
        <v>1</v>
      </c>
      <c r="V119" s="12" t="n">
        <v>6</v>
      </c>
      <c r="W119" s="12" t="n">
        <v>2</v>
      </c>
      <c r="X119" s="13" t="n">
        <f aca="false">M119+N119+2*O119+3*P119</f>
        <v>143</v>
      </c>
      <c r="Y119" s="14" t="n">
        <f aca="false">IF(K119=0,0,M119/K119)</f>
        <v>0.228412256267409</v>
      </c>
      <c r="Z119" s="14" t="n">
        <f aca="false">IF(K119+R119+T119+U119=0,0,(M119+R119+T119)/(K119+R119+T119+U119))</f>
        <v>0.272251308900524</v>
      </c>
      <c r="AA119" s="14" t="n">
        <f aca="false">IF(K119=0,0,X119/K119)</f>
        <v>0.398328690807799</v>
      </c>
      <c r="AB119" s="14" t="n">
        <f aca="false">Z119+AA119</f>
        <v>0.670579999708323</v>
      </c>
      <c r="AC119" s="14" t="n">
        <f aca="false">AA119-Y119</f>
        <v>0.16991643454039</v>
      </c>
      <c r="AD119" s="14" t="n">
        <f aca="false">IF(K119-S119-P119+U119=0,0,(M119-P119)/(K119-S119-P119+U119))</f>
        <v>0.306382978723404</v>
      </c>
      <c r="AE119" s="15" t="n">
        <f aca="false">IF(J119=0,0,R119/J119)</f>
        <v>0.0445026178010471</v>
      </c>
      <c r="AF119" s="15" t="n">
        <f aca="false">IF(J119=0,0,S119/J119)</f>
        <v>0.301047120418848</v>
      </c>
      <c r="AG119" s="11" t="n">
        <f aca="false">IF(J119&gt;=INDEX(球季參數!$E$2:$E$4,MATCH($A119,球季參數!$A$2:$A$4,0)),1,0)</f>
        <v>0</v>
      </c>
    </row>
    <row r="120" customFormat="false" ht="15" hidden="false" customHeight="false" outlineLevel="0" collapsed="false">
      <c r="A120" s="5" t="n">
        <v>2024</v>
      </c>
      <c r="B120" s="7" t="s">
        <v>933</v>
      </c>
      <c r="C120" s="10" t="str">
        <f aca="false">INDEX(球員主檔!$B$2:$B$749,MATCH($B120,球員主檔!$A$2:$A$749,0))</f>
        <v>Bernardo Vasquez</v>
      </c>
      <c r="D120" s="7" t="s">
        <v>388</v>
      </c>
      <c r="E120" s="10" t="str">
        <f aca="false">INDEX(球隊主檔!$C$2:$C$31,MATCH($D120,球隊主檔!$A$2:$A$31,0))</f>
        <v>休士頓太空人</v>
      </c>
      <c r="F120" s="10" t="str">
        <f aca="false">INDEX(球隊主檔!$D$2:$D$31,MATCH($D120,球隊主檔!$A$2:$A$31,0))</f>
        <v>美聯</v>
      </c>
      <c r="G120" s="7" t="s">
        <v>483</v>
      </c>
      <c r="H120" s="11" t="n">
        <f aca="false">INT((DATE($A120,7,1)-INDEX(球員主檔!$G$2:$G$749,MATCH($B120,球員主檔!$A$2:$A$749,0)))/365.25)</f>
        <v>25</v>
      </c>
      <c r="I120" s="12" t="n">
        <v>66</v>
      </c>
      <c r="J120" s="12" t="n">
        <v>271</v>
      </c>
      <c r="K120" s="12" t="n">
        <v>244</v>
      </c>
      <c r="L120" s="12" t="n">
        <v>26</v>
      </c>
      <c r="M120" s="12" t="n">
        <v>54</v>
      </c>
      <c r="N120" s="12" t="n">
        <v>15</v>
      </c>
      <c r="O120" s="12" t="n">
        <v>3</v>
      </c>
      <c r="P120" s="12" t="n">
        <v>6</v>
      </c>
      <c r="Q120" s="12" t="n">
        <v>23</v>
      </c>
      <c r="R120" s="12" t="n">
        <v>25</v>
      </c>
      <c r="S120" s="12" t="n">
        <v>57</v>
      </c>
      <c r="T120" s="12" t="n">
        <v>1</v>
      </c>
      <c r="U120" s="12" t="n">
        <v>1</v>
      </c>
      <c r="V120" s="12" t="n">
        <v>2</v>
      </c>
      <c r="W120" s="12" t="n">
        <v>1</v>
      </c>
      <c r="X120" s="13" t="n">
        <f aca="false">M120+N120+2*O120+3*P120</f>
        <v>93</v>
      </c>
      <c r="Y120" s="14" t="n">
        <f aca="false">IF(K120=0,0,M120/K120)</f>
        <v>0.221311475409836</v>
      </c>
      <c r="Z120" s="14" t="n">
        <f aca="false">IF(K120+R120+T120+U120=0,0,(M120+R120+T120)/(K120+R120+T120+U120))</f>
        <v>0.29520295202952</v>
      </c>
      <c r="AA120" s="14" t="n">
        <f aca="false">IF(K120=0,0,X120/K120)</f>
        <v>0.381147540983607</v>
      </c>
      <c r="AB120" s="14" t="n">
        <f aca="false">Z120+AA120</f>
        <v>0.676350493013127</v>
      </c>
      <c r="AC120" s="14" t="n">
        <f aca="false">AA120-Y120</f>
        <v>0.15983606557377</v>
      </c>
      <c r="AD120" s="14" t="n">
        <f aca="false">IF(K120-S120-P120+U120=0,0,(M120-P120)/(K120-S120-P120+U120))</f>
        <v>0.263736263736264</v>
      </c>
      <c r="AE120" s="15" t="n">
        <f aca="false">IF(J120=0,0,R120/J120)</f>
        <v>0.0922509225092251</v>
      </c>
      <c r="AF120" s="15" t="n">
        <f aca="false">IF(J120=0,0,S120/J120)</f>
        <v>0.210332103321033</v>
      </c>
      <c r="AG120" s="11" t="n">
        <f aca="false">IF(J120&gt;=INDEX(球季參數!$E$2:$E$4,MATCH($A120,球季參數!$A$2:$A$4,0)),1,0)</f>
        <v>0</v>
      </c>
    </row>
    <row r="121" customFormat="false" ht="15" hidden="false" customHeight="false" outlineLevel="0" collapsed="false">
      <c r="A121" s="5" t="n">
        <v>2024</v>
      </c>
      <c r="B121" s="7" t="s">
        <v>935</v>
      </c>
      <c r="C121" s="10" t="str">
        <f aca="false">INDEX(球員主檔!$B$2:$B$749,MATCH($B121,球員主檔!$A$2:$A$749,0))</f>
        <v>Ulises Wexford</v>
      </c>
      <c r="D121" s="7" t="s">
        <v>388</v>
      </c>
      <c r="E121" s="10" t="str">
        <f aca="false">INDEX(球隊主檔!$C$2:$C$31,MATCH($D121,球隊主檔!$A$2:$A$31,0))</f>
        <v>休士頓太空人</v>
      </c>
      <c r="F121" s="10" t="str">
        <f aca="false">INDEX(球隊主檔!$D$2:$D$31,MATCH($D121,球隊主檔!$A$2:$A$31,0))</f>
        <v>美聯</v>
      </c>
      <c r="G121" s="7" t="s">
        <v>486</v>
      </c>
      <c r="H121" s="11" t="n">
        <f aca="false">INT((DATE($A121,7,1)-INDEX(球員主檔!$G$2:$G$749,MATCH($B121,球員主檔!$A$2:$A$749,0)))/365.25)</f>
        <v>32</v>
      </c>
      <c r="I121" s="12" t="n">
        <v>66</v>
      </c>
      <c r="J121" s="12" t="n">
        <v>257</v>
      </c>
      <c r="K121" s="12" t="n">
        <v>236</v>
      </c>
      <c r="L121" s="12" t="n">
        <v>30</v>
      </c>
      <c r="M121" s="12" t="n">
        <v>57</v>
      </c>
      <c r="N121" s="12" t="n">
        <v>21</v>
      </c>
      <c r="O121" s="12" t="n">
        <v>9</v>
      </c>
      <c r="P121" s="12" t="n">
        <v>5</v>
      </c>
      <c r="Q121" s="12" t="n">
        <v>23</v>
      </c>
      <c r="R121" s="12" t="n">
        <v>19</v>
      </c>
      <c r="S121" s="12" t="n">
        <v>68</v>
      </c>
      <c r="T121" s="12" t="n">
        <v>1</v>
      </c>
      <c r="U121" s="12" t="n">
        <v>1</v>
      </c>
      <c r="V121" s="12" t="n">
        <v>8</v>
      </c>
      <c r="W121" s="12" t="n">
        <v>1</v>
      </c>
      <c r="X121" s="13" t="n">
        <f aca="false">M121+N121+2*O121+3*P121</f>
        <v>111</v>
      </c>
      <c r="Y121" s="14" t="n">
        <f aca="false">IF(K121=0,0,M121/K121)</f>
        <v>0.241525423728814</v>
      </c>
      <c r="Z121" s="14" t="n">
        <f aca="false">IF(K121+R121+T121+U121=0,0,(M121+R121+T121)/(K121+R121+T121+U121))</f>
        <v>0.299610894941634</v>
      </c>
      <c r="AA121" s="14" t="n">
        <f aca="false">IF(K121=0,0,X121/K121)</f>
        <v>0.470338983050848</v>
      </c>
      <c r="AB121" s="14" t="n">
        <f aca="false">Z121+AA121</f>
        <v>0.769949877992482</v>
      </c>
      <c r="AC121" s="14" t="n">
        <f aca="false">AA121-Y121</f>
        <v>0.228813559322034</v>
      </c>
      <c r="AD121" s="14" t="n">
        <f aca="false">IF(K121-S121-P121+U121=0,0,(M121-P121)/(K121-S121-P121+U121))</f>
        <v>0.317073170731707</v>
      </c>
      <c r="AE121" s="15" t="n">
        <f aca="false">IF(J121=0,0,R121/J121)</f>
        <v>0.0739299610894942</v>
      </c>
      <c r="AF121" s="15" t="n">
        <f aca="false">IF(J121=0,0,S121/J121)</f>
        <v>0.264591439688716</v>
      </c>
      <c r="AG121" s="11" t="n">
        <f aca="false">IF(J121&gt;=INDEX(球季參數!$E$2:$E$4,MATCH($A121,球季參數!$A$2:$A$4,0)),1,0)</f>
        <v>0</v>
      </c>
    </row>
    <row r="122" customFormat="false" ht="15" hidden="false" customHeight="false" outlineLevel="0" collapsed="false">
      <c r="A122" s="5" t="n">
        <v>2024</v>
      </c>
      <c r="B122" s="7" t="s">
        <v>957</v>
      </c>
      <c r="C122" s="10" t="str">
        <f aca="false">INDEX(球員主檔!$B$2:$B$749,MATCH($B122,球員主檔!$A$2:$A$749,0))</f>
        <v>Ulises Pellerin</v>
      </c>
      <c r="D122" s="7" t="s">
        <v>392</v>
      </c>
      <c r="E122" s="10" t="str">
        <f aca="false">INDEX(球隊主檔!$C$2:$C$31,MATCH($D122,球隊主檔!$A$2:$A$31,0))</f>
        <v>洛杉磯天使</v>
      </c>
      <c r="F122" s="10" t="str">
        <f aca="false">INDEX(球隊主檔!$D$2:$D$31,MATCH($D122,球隊主檔!$A$2:$A$31,0))</f>
        <v>美聯</v>
      </c>
      <c r="G122" s="7" t="s">
        <v>473</v>
      </c>
      <c r="H122" s="11" t="n">
        <f aca="false">INT((DATE($A122,7,1)-INDEX(球員主檔!$G$2:$G$749,MATCH($B122,球員主檔!$A$2:$A$749,0)))/365.25)</f>
        <v>28</v>
      </c>
      <c r="I122" s="12" t="n">
        <v>154</v>
      </c>
      <c r="J122" s="12" t="n">
        <v>652</v>
      </c>
      <c r="K122" s="12" t="n">
        <v>592</v>
      </c>
      <c r="L122" s="12" t="n">
        <v>59</v>
      </c>
      <c r="M122" s="12" t="n">
        <v>150</v>
      </c>
      <c r="N122" s="12" t="n">
        <v>43</v>
      </c>
      <c r="O122" s="12" t="n">
        <v>3</v>
      </c>
      <c r="P122" s="12" t="n">
        <v>5</v>
      </c>
      <c r="Q122" s="12" t="n">
        <v>37</v>
      </c>
      <c r="R122" s="12" t="n">
        <v>44</v>
      </c>
      <c r="S122" s="12" t="n">
        <v>126</v>
      </c>
      <c r="T122" s="12" t="n">
        <v>12</v>
      </c>
      <c r="U122" s="12" t="n">
        <v>4</v>
      </c>
      <c r="V122" s="12" t="n">
        <v>34</v>
      </c>
      <c r="W122" s="12" t="n">
        <v>10</v>
      </c>
      <c r="X122" s="13" t="n">
        <f aca="false">M122+N122+2*O122+3*P122</f>
        <v>214</v>
      </c>
      <c r="Y122" s="14" t="n">
        <f aca="false">IF(K122=0,0,M122/K122)</f>
        <v>0.253378378378378</v>
      </c>
      <c r="Z122" s="14" t="n">
        <f aca="false">IF(K122+R122+T122+U122=0,0,(M122+R122+T122)/(K122+R122+T122+U122))</f>
        <v>0.315950920245399</v>
      </c>
      <c r="AA122" s="14" t="n">
        <f aca="false">IF(K122=0,0,X122/K122)</f>
        <v>0.361486486486487</v>
      </c>
      <c r="AB122" s="14" t="n">
        <f aca="false">Z122+AA122</f>
        <v>0.677437406731885</v>
      </c>
      <c r="AC122" s="14" t="n">
        <f aca="false">AA122-Y122</f>
        <v>0.108108108108108</v>
      </c>
      <c r="AD122" s="14" t="n">
        <f aca="false">IF(K122-S122-P122+U122=0,0,(M122-P122)/(K122-S122-P122+U122))</f>
        <v>0.311827956989247</v>
      </c>
      <c r="AE122" s="15" t="n">
        <f aca="false">IF(J122=0,0,R122/J122)</f>
        <v>0.0674846625766871</v>
      </c>
      <c r="AF122" s="15" t="n">
        <f aca="false">IF(J122=0,0,S122/J122)</f>
        <v>0.193251533742331</v>
      </c>
      <c r="AG122" s="11" t="n">
        <f aca="false">IF(J122&gt;=INDEX(球季參數!$E$2:$E$4,MATCH($A122,球季參數!$A$2:$A$4,0)),1,0)</f>
        <v>1</v>
      </c>
    </row>
    <row r="123" customFormat="false" ht="15" hidden="false" customHeight="false" outlineLevel="0" collapsed="false">
      <c r="A123" s="5" t="n">
        <v>2024</v>
      </c>
      <c r="B123" s="7" t="s">
        <v>959</v>
      </c>
      <c r="C123" s="10" t="str">
        <f aca="false">INDEX(球員主檔!$B$2:$B$749,MATCH($B123,球員主檔!$A$2:$A$749,0))</f>
        <v>Sousuke Sorrentino</v>
      </c>
      <c r="D123" s="7" t="s">
        <v>392</v>
      </c>
      <c r="E123" s="10" t="str">
        <f aca="false">INDEX(球隊主檔!$C$2:$C$31,MATCH($D123,球隊主檔!$A$2:$A$31,0))</f>
        <v>洛杉磯天使</v>
      </c>
      <c r="F123" s="10" t="str">
        <f aca="false">INDEX(球隊主檔!$D$2:$D$31,MATCH($D123,球隊主檔!$A$2:$A$31,0))</f>
        <v>美聯</v>
      </c>
      <c r="G123" s="7" t="s">
        <v>483</v>
      </c>
      <c r="H123" s="11" t="n">
        <f aca="false">INT((DATE($A123,7,1)-INDEX(球員主檔!$G$2:$G$749,MATCH($B123,球員主檔!$A$2:$A$749,0)))/365.25)</f>
        <v>26</v>
      </c>
      <c r="I123" s="12" t="n">
        <v>157</v>
      </c>
      <c r="J123" s="12" t="n">
        <v>650</v>
      </c>
      <c r="K123" s="12" t="n">
        <v>575</v>
      </c>
      <c r="L123" s="12" t="n">
        <v>76</v>
      </c>
      <c r="M123" s="12" t="n">
        <v>162</v>
      </c>
      <c r="N123" s="12" t="n">
        <v>12</v>
      </c>
      <c r="O123" s="12" t="n">
        <v>3</v>
      </c>
      <c r="P123" s="12" t="n">
        <v>12</v>
      </c>
      <c r="Q123" s="12" t="n">
        <v>54</v>
      </c>
      <c r="R123" s="12" t="n">
        <v>63</v>
      </c>
      <c r="S123" s="12" t="n">
        <v>122</v>
      </c>
      <c r="T123" s="12" t="n">
        <v>8</v>
      </c>
      <c r="U123" s="12" t="n">
        <v>4</v>
      </c>
      <c r="V123" s="12" t="n">
        <v>15</v>
      </c>
      <c r="W123" s="12" t="n">
        <v>4</v>
      </c>
      <c r="X123" s="13" t="n">
        <f aca="false">M123+N123+2*O123+3*P123</f>
        <v>216</v>
      </c>
      <c r="Y123" s="14" t="n">
        <f aca="false">IF(K123=0,0,M123/K123)</f>
        <v>0.281739130434783</v>
      </c>
      <c r="Z123" s="14" t="n">
        <f aca="false">IF(K123+R123+T123+U123=0,0,(M123+R123+T123)/(K123+R123+T123+U123))</f>
        <v>0.358461538461538</v>
      </c>
      <c r="AA123" s="14" t="n">
        <f aca="false">IF(K123=0,0,X123/K123)</f>
        <v>0.375652173913043</v>
      </c>
      <c r="AB123" s="14" t="n">
        <f aca="false">Z123+AA123</f>
        <v>0.734113712374582</v>
      </c>
      <c r="AC123" s="14" t="n">
        <f aca="false">AA123-Y123</f>
        <v>0.0939130434782609</v>
      </c>
      <c r="AD123" s="14" t="n">
        <f aca="false">IF(K123-S123-P123+U123=0,0,(M123-P123)/(K123-S123-P123+U123))</f>
        <v>0.337078651685393</v>
      </c>
      <c r="AE123" s="15" t="n">
        <f aca="false">IF(J123=0,0,R123/J123)</f>
        <v>0.0969230769230769</v>
      </c>
      <c r="AF123" s="15" t="n">
        <f aca="false">IF(J123=0,0,S123/J123)</f>
        <v>0.187692307692308</v>
      </c>
      <c r="AG123" s="11" t="n">
        <f aca="false">IF(J123&gt;=INDEX(球季參數!$E$2:$E$4,MATCH($A123,球季參數!$A$2:$A$4,0)),1,0)</f>
        <v>1</v>
      </c>
    </row>
    <row r="124" customFormat="false" ht="15" hidden="false" customHeight="false" outlineLevel="0" collapsed="false">
      <c r="A124" s="5" t="n">
        <v>2024</v>
      </c>
      <c r="B124" s="7" t="s">
        <v>961</v>
      </c>
      <c r="C124" s="10" t="str">
        <f aca="false">INDEX(球員主檔!$B$2:$B$749,MATCH($B124,球員主檔!$A$2:$A$749,0))</f>
        <v>Dorian Montalvo</v>
      </c>
      <c r="D124" s="7" t="s">
        <v>392</v>
      </c>
      <c r="E124" s="10" t="str">
        <f aca="false">INDEX(球隊主檔!$C$2:$C$31,MATCH($D124,球隊主檔!$A$2:$A$31,0))</f>
        <v>洛杉磯天使</v>
      </c>
      <c r="F124" s="10" t="str">
        <f aca="false">INDEX(球隊主檔!$D$2:$D$31,MATCH($D124,球隊主檔!$A$2:$A$31,0))</f>
        <v>美聯</v>
      </c>
      <c r="G124" s="7" t="s">
        <v>522</v>
      </c>
      <c r="H124" s="11" t="n">
        <f aca="false">INT((DATE($A124,7,1)-INDEX(球員主檔!$G$2:$G$749,MATCH($B124,球員主檔!$A$2:$A$749,0)))/365.25)</f>
        <v>29</v>
      </c>
      <c r="I124" s="12" t="n">
        <v>144</v>
      </c>
      <c r="J124" s="12" t="n">
        <v>637</v>
      </c>
      <c r="K124" s="12" t="n">
        <v>571</v>
      </c>
      <c r="L124" s="12" t="n">
        <v>70</v>
      </c>
      <c r="M124" s="12" t="n">
        <v>149</v>
      </c>
      <c r="N124" s="12" t="n">
        <v>23</v>
      </c>
      <c r="O124" s="12" t="n">
        <v>6</v>
      </c>
      <c r="P124" s="12" t="n">
        <v>4</v>
      </c>
      <c r="Q124" s="12" t="n">
        <v>35</v>
      </c>
      <c r="R124" s="12" t="n">
        <v>55</v>
      </c>
      <c r="S124" s="12" t="n">
        <v>151</v>
      </c>
      <c r="T124" s="12" t="n">
        <v>4</v>
      </c>
      <c r="U124" s="12" t="n">
        <v>7</v>
      </c>
      <c r="V124" s="12" t="n">
        <v>12</v>
      </c>
      <c r="W124" s="12" t="n">
        <v>2</v>
      </c>
      <c r="X124" s="13" t="n">
        <f aca="false">M124+N124+2*O124+3*P124</f>
        <v>196</v>
      </c>
      <c r="Y124" s="14" t="n">
        <f aca="false">IF(K124=0,0,M124/K124)</f>
        <v>0.260945709281962</v>
      </c>
      <c r="Z124" s="14" t="n">
        <f aca="false">IF(K124+R124+T124+U124=0,0,(M124+R124+T124)/(K124+R124+T124+U124))</f>
        <v>0.326530612244898</v>
      </c>
      <c r="AA124" s="14" t="n">
        <f aca="false">IF(K124=0,0,X124/K124)</f>
        <v>0.343257443082312</v>
      </c>
      <c r="AB124" s="14" t="n">
        <f aca="false">Z124+AA124</f>
        <v>0.66978805532721</v>
      </c>
      <c r="AC124" s="14" t="n">
        <f aca="false">AA124-Y124</f>
        <v>0.0823117338003502</v>
      </c>
      <c r="AD124" s="14" t="n">
        <f aca="false">IF(K124-S124-P124+U124=0,0,(M124-P124)/(K124-S124-P124+U124))</f>
        <v>0.342789598108747</v>
      </c>
      <c r="AE124" s="15" t="n">
        <f aca="false">IF(J124=0,0,R124/J124)</f>
        <v>0.0863422291993721</v>
      </c>
      <c r="AF124" s="15" t="n">
        <f aca="false">IF(J124=0,0,S124/J124)</f>
        <v>0.237048665620094</v>
      </c>
      <c r="AG124" s="11" t="n">
        <f aca="false">IF(J124&gt;=INDEX(球季參數!$E$2:$E$4,MATCH($A124,球季參數!$A$2:$A$4,0)),1,0)</f>
        <v>1</v>
      </c>
    </row>
    <row r="125" customFormat="false" ht="15" hidden="false" customHeight="false" outlineLevel="0" collapsed="false">
      <c r="A125" s="5" t="n">
        <v>2024</v>
      </c>
      <c r="B125" s="7" t="s">
        <v>963</v>
      </c>
      <c r="C125" s="10" t="str">
        <f aca="false">INDEX(球員主檔!$B$2:$B$749,MATCH($B125,球員主檔!$A$2:$A$749,0))</f>
        <v>Cassius Rasmussen</v>
      </c>
      <c r="D125" s="7" t="s">
        <v>392</v>
      </c>
      <c r="E125" s="10" t="str">
        <f aca="false">INDEX(球隊主檔!$C$2:$C$31,MATCH($D125,球隊主檔!$A$2:$A$31,0))</f>
        <v>洛杉磯天使</v>
      </c>
      <c r="F125" s="10" t="str">
        <f aca="false">INDEX(球隊主檔!$D$2:$D$31,MATCH($D125,球隊主檔!$A$2:$A$31,0))</f>
        <v>美聯</v>
      </c>
      <c r="G125" s="7" t="s">
        <v>478</v>
      </c>
      <c r="H125" s="11" t="n">
        <f aca="false">INT((DATE($A125,7,1)-INDEX(球員主檔!$G$2:$G$749,MATCH($B125,球員主檔!$A$2:$A$749,0)))/365.25)</f>
        <v>24</v>
      </c>
      <c r="I125" s="12" t="n">
        <v>153</v>
      </c>
      <c r="J125" s="12" t="n">
        <v>689</v>
      </c>
      <c r="K125" s="12" t="n">
        <v>621</v>
      </c>
      <c r="L125" s="12" t="n">
        <v>79</v>
      </c>
      <c r="M125" s="12" t="n">
        <v>181</v>
      </c>
      <c r="N125" s="12" t="n">
        <v>34</v>
      </c>
      <c r="O125" s="12" t="n">
        <v>3</v>
      </c>
      <c r="P125" s="12" t="n">
        <v>18</v>
      </c>
      <c r="Q125" s="12" t="n">
        <v>77</v>
      </c>
      <c r="R125" s="12" t="n">
        <v>51</v>
      </c>
      <c r="S125" s="12" t="n">
        <v>185</v>
      </c>
      <c r="T125" s="12" t="n">
        <v>10</v>
      </c>
      <c r="U125" s="12" t="n">
        <v>7</v>
      </c>
      <c r="V125" s="12" t="n">
        <v>10</v>
      </c>
      <c r="W125" s="12" t="n">
        <v>1</v>
      </c>
      <c r="X125" s="13" t="n">
        <f aca="false">M125+N125+2*O125+3*P125</f>
        <v>275</v>
      </c>
      <c r="Y125" s="14" t="n">
        <f aca="false">IF(K125=0,0,M125/K125)</f>
        <v>0.2914653784219</v>
      </c>
      <c r="Z125" s="14" t="n">
        <f aca="false">IF(K125+R125+T125+U125=0,0,(M125+R125+T125)/(K125+R125+T125+U125))</f>
        <v>0.351233671988389</v>
      </c>
      <c r="AA125" s="14" t="n">
        <f aca="false">IF(K125=0,0,X125/K125)</f>
        <v>0.442834138486312</v>
      </c>
      <c r="AB125" s="14" t="n">
        <f aca="false">Z125+AA125</f>
        <v>0.794067810474701</v>
      </c>
      <c r="AC125" s="14" t="n">
        <f aca="false">AA125-Y125</f>
        <v>0.151368760064412</v>
      </c>
      <c r="AD125" s="14" t="n">
        <f aca="false">IF(K125-S125-P125+U125=0,0,(M125-P125)/(K125-S125-P125+U125))</f>
        <v>0.383529411764706</v>
      </c>
      <c r="AE125" s="15" t="n">
        <f aca="false">IF(J125=0,0,R125/J125)</f>
        <v>0.0740203193033382</v>
      </c>
      <c r="AF125" s="15" t="n">
        <f aca="false">IF(J125=0,0,S125/J125)</f>
        <v>0.268505079825835</v>
      </c>
      <c r="AG125" s="11" t="n">
        <f aca="false">IF(J125&gt;=INDEX(球季參數!$E$2:$E$4,MATCH($A125,球季參數!$A$2:$A$4,0)),1,0)</f>
        <v>1</v>
      </c>
    </row>
    <row r="126" customFormat="false" ht="15" hidden="false" customHeight="false" outlineLevel="0" collapsed="false">
      <c r="A126" s="5" t="n">
        <v>2024</v>
      </c>
      <c r="B126" s="7" t="s">
        <v>965</v>
      </c>
      <c r="C126" s="10" t="str">
        <f aca="false">INDEX(球員主檔!$B$2:$B$749,MATCH($B126,球員主檔!$A$2:$A$749,0))</f>
        <v>Nolan Thorsby</v>
      </c>
      <c r="D126" s="7" t="s">
        <v>392</v>
      </c>
      <c r="E126" s="10" t="str">
        <f aca="false">INDEX(球隊主檔!$C$2:$C$31,MATCH($D126,球隊主檔!$A$2:$A$31,0))</f>
        <v>洛杉磯天使</v>
      </c>
      <c r="F126" s="10" t="str">
        <f aca="false">INDEX(球隊主檔!$D$2:$D$31,MATCH($D126,球隊主檔!$A$2:$A$31,0))</f>
        <v>美聯</v>
      </c>
      <c r="G126" s="7" t="s">
        <v>470</v>
      </c>
      <c r="H126" s="11" t="n">
        <f aca="false">INT((DATE($A126,7,1)-INDEX(球員主檔!$G$2:$G$749,MATCH($B126,球員主檔!$A$2:$A$749,0)))/365.25)</f>
        <v>28</v>
      </c>
      <c r="I126" s="12" t="n">
        <v>162</v>
      </c>
      <c r="J126" s="12" t="n">
        <v>689</v>
      </c>
      <c r="K126" s="12" t="n">
        <v>608</v>
      </c>
      <c r="L126" s="12" t="n">
        <v>88</v>
      </c>
      <c r="M126" s="12" t="n">
        <v>137</v>
      </c>
      <c r="N126" s="12" t="n">
        <v>33</v>
      </c>
      <c r="O126" s="12" t="n">
        <v>8</v>
      </c>
      <c r="P126" s="12" t="n">
        <v>33</v>
      </c>
      <c r="Q126" s="12" t="n">
        <v>95</v>
      </c>
      <c r="R126" s="12" t="n">
        <v>63</v>
      </c>
      <c r="S126" s="12" t="n">
        <v>109</v>
      </c>
      <c r="T126" s="12" t="n">
        <v>12</v>
      </c>
      <c r="U126" s="12" t="n">
        <v>6</v>
      </c>
      <c r="V126" s="12" t="n">
        <v>41</v>
      </c>
      <c r="W126" s="12" t="n">
        <v>13</v>
      </c>
      <c r="X126" s="13" t="n">
        <f aca="false">M126+N126+2*O126+3*P126</f>
        <v>285</v>
      </c>
      <c r="Y126" s="14" t="n">
        <f aca="false">IF(K126=0,0,M126/K126)</f>
        <v>0.225328947368421</v>
      </c>
      <c r="Z126" s="14" t="n">
        <f aca="false">IF(K126+R126+T126+U126=0,0,(M126+R126+T126)/(K126+R126+T126+U126))</f>
        <v>0.307692307692308</v>
      </c>
      <c r="AA126" s="14" t="n">
        <f aca="false">IF(K126=0,0,X126/K126)</f>
        <v>0.46875</v>
      </c>
      <c r="AB126" s="14" t="n">
        <f aca="false">Z126+AA126</f>
        <v>0.776442307692308</v>
      </c>
      <c r="AC126" s="14" t="n">
        <f aca="false">AA126-Y126</f>
        <v>0.243421052631579</v>
      </c>
      <c r="AD126" s="14" t="n">
        <f aca="false">IF(K126-S126-P126+U126=0,0,(M126-P126)/(K126-S126-P126+U126))</f>
        <v>0.220338983050847</v>
      </c>
      <c r="AE126" s="15" t="n">
        <f aca="false">IF(J126=0,0,R126/J126)</f>
        <v>0.0914368650217707</v>
      </c>
      <c r="AF126" s="15" t="n">
        <f aca="false">IF(J126=0,0,S126/J126)</f>
        <v>0.158200290275762</v>
      </c>
      <c r="AG126" s="11" t="n">
        <f aca="false">IF(J126&gt;=INDEX(球季參數!$E$2:$E$4,MATCH($A126,球季參數!$A$2:$A$4,0)),1,0)</f>
        <v>1</v>
      </c>
    </row>
    <row r="127" customFormat="false" ht="15" hidden="false" customHeight="false" outlineLevel="0" collapsed="false">
      <c r="A127" s="5" t="n">
        <v>2024</v>
      </c>
      <c r="B127" s="7" t="s">
        <v>967</v>
      </c>
      <c r="C127" s="10" t="str">
        <f aca="false">INDEX(球員主檔!$B$2:$B$749,MATCH($B127,球員主檔!$A$2:$A$749,0))</f>
        <v>Niklas Marchetti</v>
      </c>
      <c r="D127" s="7" t="s">
        <v>392</v>
      </c>
      <c r="E127" s="10" t="str">
        <f aca="false">INDEX(球隊主檔!$C$2:$C$31,MATCH($D127,球隊主檔!$A$2:$A$31,0))</f>
        <v>洛杉磯天使</v>
      </c>
      <c r="F127" s="10" t="str">
        <f aca="false">INDEX(球隊主檔!$D$2:$D$31,MATCH($D127,球隊主檔!$A$2:$A$31,0))</f>
        <v>美聯</v>
      </c>
      <c r="G127" s="7" t="s">
        <v>473</v>
      </c>
      <c r="H127" s="11" t="n">
        <f aca="false">INT((DATE($A127,7,1)-INDEX(球員主檔!$G$2:$G$749,MATCH($B127,球員主檔!$A$2:$A$749,0)))/365.25)</f>
        <v>25</v>
      </c>
      <c r="I127" s="12" t="n">
        <v>36</v>
      </c>
      <c r="J127" s="12" t="n">
        <v>160</v>
      </c>
      <c r="K127" s="12" t="n">
        <v>143</v>
      </c>
      <c r="L127" s="12" t="n">
        <v>20</v>
      </c>
      <c r="M127" s="12" t="n">
        <v>39</v>
      </c>
      <c r="N127" s="12" t="n">
        <v>17</v>
      </c>
      <c r="O127" s="12" t="n">
        <v>3</v>
      </c>
      <c r="P127" s="12" t="n">
        <v>3</v>
      </c>
      <c r="Q127" s="12" t="n">
        <v>15</v>
      </c>
      <c r="R127" s="12" t="n">
        <v>13</v>
      </c>
      <c r="S127" s="12" t="n">
        <v>24</v>
      </c>
      <c r="T127" s="12" t="n">
        <v>3</v>
      </c>
      <c r="U127" s="12" t="n">
        <v>1</v>
      </c>
      <c r="V127" s="12" t="n">
        <v>6</v>
      </c>
      <c r="W127" s="12" t="n">
        <v>2</v>
      </c>
      <c r="X127" s="13" t="n">
        <f aca="false">M127+N127+2*O127+3*P127</f>
        <v>71</v>
      </c>
      <c r="Y127" s="14" t="n">
        <f aca="false">IF(K127=0,0,M127/K127)</f>
        <v>0.272727272727273</v>
      </c>
      <c r="Z127" s="14" t="n">
        <f aca="false">IF(K127+R127+T127+U127=0,0,(M127+R127+T127)/(K127+R127+T127+U127))</f>
        <v>0.34375</v>
      </c>
      <c r="AA127" s="14" t="n">
        <f aca="false">IF(K127=0,0,X127/K127)</f>
        <v>0.496503496503497</v>
      </c>
      <c r="AB127" s="14" t="n">
        <f aca="false">Z127+AA127</f>
        <v>0.840253496503497</v>
      </c>
      <c r="AC127" s="14" t="n">
        <f aca="false">AA127-Y127</f>
        <v>0.223776223776224</v>
      </c>
      <c r="AD127" s="14" t="n">
        <f aca="false">IF(K127-S127-P127+U127=0,0,(M127-P127)/(K127-S127-P127+U127))</f>
        <v>0.307692307692308</v>
      </c>
      <c r="AE127" s="15" t="n">
        <f aca="false">IF(J127=0,0,R127/J127)</f>
        <v>0.08125</v>
      </c>
      <c r="AF127" s="15" t="n">
        <f aca="false">IF(J127=0,0,S127/J127)</f>
        <v>0.15</v>
      </c>
      <c r="AG127" s="11" t="n">
        <f aca="false">IF(J127&gt;=INDEX(球季參數!$E$2:$E$4,MATCH($A127,球季參數!$A$2:$A$4,0)),1,0)</f>
        <v>0</v>
      </c>
    </row>
    <row r="128" customFormat="false" ht="15" hidden="false" customHeight="false" outlineLevel="0" collapsed="false">
      <c r="A128" s="5" t="n">
        <v>2024</v>
      </c>
      <c r="B128" s="7" t="s">
        <v>969</v>
      </c>
      <c r="C128" s="10" t="str">
        <f aca="false">INDEX(球員主檔!$B$2:$B$749,MATCH($B128,球員主檔!$A$2:$A$749,0))</f>
        <v>Holden Kiriakis</v>
      </c>
      <c r="D128" s="7" t="s">
        <v>392</v>
      </c>
      <c r="E128" s="10" t="str">
        <f aca="false">INDEX(球隊主檔!$C$2:$C$31,MATCH($D128,球隊主檔!$A$2:$A$31,0))</f>
        <v>洛杉磯天使</v>
      </c>
      <c r="F128" s="10" t="str">
        <f aca="false">INDEX(球隊主檔!$D$2:$D$31,MATCH($D128,球隊主檔!$A$2:$A$31,0))</f>
        <v>美聯</v>
      </c>
      <c r="G128" s="7" t="s">
        <v>486</v>
      </c>
      <c r="H128" s="11" t="n">
        <f aca="false">INT((DATE($A128,7,1)-INDEX(球員主檔!$G$2:$G$749,MATCH($B128,球員主檔!$A$2:$A$749,0)))/365.25)</f>
        <v>23</v>
      </c>
      <c r="I128" s="12" t="n">
        <v>117</v>
      </c>
      <c r="J128" s="12" t="n">
        <v>493</v>
      </c>
      <c r="K128" s="12" t="n">
        <v>451</v>
      </c>
      <c r="L128" s="12" t="n">
        <v>53</v>
      </c>
      <c r="M128" s="12" t="n">
        <v>85</v>
      </c>
      <c r="N128" s="12" t="n">
        <v>23</v>
      </c>
      <c r="O128" s="12" t="n">
        <v>11</v>
      </c>
      <c r="P128" s="12" t="n">
        <v>17</v>
      </c>
      <c r="Q128" s="12" t="n">
        <v>59</v>
      </c>
      <c r="R128" s="12" t="n">
        <v>31</v>
      </c>
      <c r="S128" s="12" t="n">
        <v>104</v>
      </c>
      <c r="T128" s="12" t="n">
        <v>6</v>
      </c>
      <c r="U128" s="12" t="n">
        <v>5</v>
      </c>
      <c r="V128" s="12" t="n">
        <v>9</v>
      </c>
      <c r="W128" s="12" t="n">
        <v>1</v>
      </c>
      <c r="X128" s="13" t="n">
        <f aca="false">M128+N128+2*O128+3*P128</f>
        <v>181</v>
      </c>
      <c r="Y128" s="14" t="n">
        <f aca="false">IF(K128=0,0,M128/K128)</f>
        <v>0.188470066518847</v>
      </c>
      <c r="Z128" s="14" t="n">
        <f aca="false">IF(K128+R128+T128+U128=0,0,(M128+R128+T128)/(K128+R128+T128+U128))</f>
        <v>0.247464503042596</v>
      </c>
      <c r="AA128" s="14" t="n">
        <f aca="false">IF(K128=0,0,X128/K128)</f>
        <v>0.401330376940133</v>
      </c>
      <c r="AB128" s="14" t="n">
        <f aca="false">Z128+AA128</f>
        <v>0.648794879982729</v>
      </c>
      <c r="AC128" s="14" t="n">
        <f aca="false">AA128-Y128</f>
        <v>0.212860310421286</v>
      </c>
      <c r="AD128" s="14" t="n">
        <f aca="false">IF(K128-S128-P128+U128=0,0,(M128-P128)/(K128-S128-P128+U128))</f>
        <v>0.202985074626866</v>
      </c>
      <c r="AE128" s="15" t="n">
        <f aca="false">IF(J128=0,0,R128/J128)</f>
        <v>0.0628803245436106</v>
      </c>
      <c r="AF128" s="15" t="n">
        <f aca="false">IF(J128=0,0,S128/J128)</f>
        <v>0.210953346855984</v>
      </c>
      <c r="AG128" s="11" t="n">
        <f aca="false">IF(J128&gt;=INDEX(球季參數!$E$2:$E$4,MATCH($A128,球季參數!$A$2:$A$4,0)),1,0)</f>
        <v>0</v>
      </c>
    </row>
    <row r="129" customFormat="false" ht="15" hidden="false" customHeight="false" outlineLevel="0" collapsed="false">
      <c r="A129" s="5" t="n">
        <v>2024</v>
      </c>
      <c r="B129" s="7" t="s">
        <v>971</v>
      </c>
      <c r="C129" s="10" t="str">
        <f aca="false">INDEX(球員主檔!$B$2:$B$749,MATCH($B129,球員主檔!$A$2:$A$749,0))</f>
        <v>Yusuke Kestrel</v>
      </c>
      <c r="D129" s="7" t="s">
        <v>392</v>
      </c>
      <c r="E129" s="10" t="str">
        <f aca="false">INDEX(球隊主檔!$C$2:$C$31,MATCH($D129,球隊主檔!$A$2:$A$31,0))</f>
        <v>洛杉磯天使</v>
      </c>
      <c r="F129" s="10" t="str">
        <f aca="false">INDEX(球隊主檔!$D$2:$D$31,MATCH($D129,球隊主檔!$A$2:$A$31,0))</f>
        <v>美聯</v>
      </c>
      <c r="G129" s="7" t="s">
        <v>486</v>
      </c>
      <c r="H129" s="11" t="n">
        <f aca="false">INT((DATE($A129,7,1)-INDEX(球員主檔!$G$2:$G$749,MATCH($B129,球員主檔!$A$2:$A$749,0)))/365.25)</f>
        <v>28</v>
      </c>
      <c r="I129" s="12" t="n">
        <v>87</v>
      </c>
      <c r="J129" s="12" t="n">
        <v>369</v>
      </c>
      <c r="K129" s="12" t="n">
        <v>326</v>
      </c>
      <c r="L129" s="12" t="n">
        <v>39</v>
      </c>
      <c r="M129" s="12" t="n">
        <v>82</v>
      </c>
      <c r="N129" s="12" t="n">
        <v>27</v>
      </c>
      <c r="O129" s="12" t="n">
        <v>5</v>
      </c>
      <c r="P129" s="12" t="n">
        <v>7</v>
      </c>
      <c r="Q129" s="12" t="n">
        <v>33</v>
      </c>
      <c r="R129" s="12" t="n">
        <v>38</v>
      </c>
      <c r="S129" s="12" t="n">
        <v>77</v>
      </c>
      <c r="T129" s="12" t="n">
        <v>1</v>
      </c>
      <c r="U129" s="12" t="n">
        <v>4</v>
      </c>
      <c r="V129" s="12" t="n">
        <v>7</v>
      </c>
      <c r="W129" s="12" t="n">
        <v>1</v>
      </c>
      <c r="X129" s="13" t="n">
        <f aca="false">M129+N129+2*O129+3*P129</f>
        <v>140</v>
      </c>
      <c r="Y129" s="14" t="n">
        <f aca="false">IF(K129=0,0,M129/K129)</f>
        <v>0.251533742331288</v>
      </c>
      <c r="Z129" s="14" t="n">
        <f aca="false">IF(K129+R129+T129+U129=0,0,(M129+R129+T129)/(K129+R129+T129+U129))</f>
        <v>0.327913279132791</v>
      </c>
      <c r="AA129" s="14" t="n">
        <f aca="false">IF(K129=0,0,X129/K129)</f>
        <v>0.429447852760736</v>
      </c>
      <c r="AB129" s="14" t="n">
        <f aca="false">Z129+AA129</f>
        <v>0.757361131893528</v>
      </c>
      <c r="AC129" s="14" t="n">
        <f aca="false">AA129-Y129</f>
        <v>0.177914110429448</v>
      </c>
      <c r="AD129" s="14" t="n">
        <f aca="false">IF(K129-S129-P129+U129=0,0,(M129-P129)/(K129-S129-P129+U129))</f>
        <v>0.304878048780488</v>
      </c>
      <c r="AE129" s="15" t="n">
        <f aca="false">IF(J129=0,0,R129/J129)</f>
        <v>0.102981029810298</v>
      </c>
      <c r="AF129" s="15" t="n">
        <f aca="false">IF(J129=0,0,S129/J129)</f>
        <v>0.208672086720867</v>
      </c>
      <c r="AG129" s="11" t="n">
        <f aca="false">IF(J129&gt;=INDEX(球季參數!$E$2:$E$4,MATCH($A129,球季參數!$A$2:$A$4,0)),1,0)</f>
        <v>0</v>
      </c>
    </row>
    <row r="130" customFormat="false" ht="15" hidden="false" customHeight="false" outlineLevel="0" collapsed="false">
      <c r="A130" s="5" t="n">
        <v>2024</v>
      </c>
      <c r="B130" s="7" t="s">
        <v>973</v>
      </c>
      <c r="C130" s="10" t="str">
        <f aca="false">INDEX(球員主檔!$B$2:$B$749,MATCH($B130,球員主檔!$A$2:$A$749,0))</f>
        <v>Landon Prendergast</v>
      </c>
      <c r="D130" s="7" t="s">
        <v>392</v>
      </c>
      <c r="E130" s="10" t="str">
        <f aca="false">INDEX(球隊主檔!$C$2:$C$31,MATCH($D130,球隊主檔!$A$2:$A$31,0))</f>
        <v>洛杉磯天使</v>
      </c>
      <c r="F130" s="10" t="str">
        <f aca="false">INDEX(球隊主檔!$D$2:$D$31,MATCH($D130,球隊主檔!$A$2:$A$31,0))</f>
        <v>美聯</v>
      </c>
      <c r="G130" s="7" t="s">
        <v>470</v>
      </c>
      <c r="H130" s="11" t="n">
        <f aca="false">INT((DATE($A130,7,1)-INDEX(球員主檔!$G$2:$G$749,MATCH($B130,球員主檔!$A$2:$A$749,0)))/365.25)</f>
        <v>25</v>
      </c>
      <c r="I130" s="12" t="n">
        <v>84</v>
      </c>
      <c r="J130" s="12" t="n">
        <v>328</v>
      </c>
      <c r="K130" s="12" t="n">
        <v>305</v>
      </c>
      <c r="L130" s="12" t="n">
        <v>40</v>
      </c>
      <c r="M130" s="12" t="n">
        <v>78</v>
      </c>
      <c r="N130" s="12" t="n">
        <v>20</v>
      </c>
      <c r="O130" s="12" t="n">
        <v>3</v>
      </c>
      <c r="P130" s="12" t="n">
        <v>9</v>
      </c>
      <c r="Q130" s="12" t="n">
        <v>32</v>
      </c>
      <c r="R130" s="12" t="n">
        <v>19</v>
      </c>
      <c r="S130" s="12" t="n">
        <v>83</v>
      </c>
      <c r="T130" s="12" t="n">
        <v>1</v>
      </c>
      <c r="U130" s="12" t="n">
        <v>3</v>
      </c>
      <c r="V130" s="12" t="n">
        <v>18</v>
      </c>
      <c r="W130" s="12" t="n">
        <v>5</v>
      </c>
      <c r="X130" s="13" t="n">
        <f aca="false">M130+N130+2*O130+3*P130</f>
        <v>131</v>
      </c>
      <c r="Y130" s="14" t="n">
        <f aca="false">IF(K130=0,0,M130/K130)</f>
        <v>0.255737704918033</v>
      </c>
      <c r="Z130" s="14" t="n">
        <f aca="false">IF(K130+R130+T130+U130=0,0,(M130+R130+T130)/(K130+R130+T130+U130))</f>
        <v>0.298780487804878</v>
      </c>
      <c r="AA130" s="14" t="n">
        <f aca="false">IF(K130=0,0,X130/K130)</f>
        <v>0.429508196721311</v>
      </c>
      <c r="AB130" s="14" t="n">
        <f aca="false">Z130+AA130</f>
        <v>0.72828868452619</v>
      </c>
      <c r="AC130" s="14" t="n">
        <f aca="false">AA130-Y130</f>
        <v>0.173770491803279</v>
      </c>
      <c r="AD130" s="14" t="n">
        <f aca="false">IF(K130-S130-P130+U130=0,0,(M130-P130)/(K130-S130-P130+U130))</f>
        <v>0.319444444444444</v>
      </c>
      <c r="AE130" s="15" t="n">
        <f aca="false">IF(J130=0,0,R130/J130)</f>
        <v>0.0579268292682927</v>
      </c>
      <c r="AF130" s="15" t="n">
        <f aca="false">IF(J130=0,0,S130/J130)</f>
        <v>0.253048780487805</v>
      </c>
      <c r="AG130" s="11" t="n">
        <f aca="false">IF(J130&gt;=INDEX(球季參數!$E$2:$E$4,MATCH($A130,球季參數!$A$2:$A$4,0)),1,0)</f>
        <v>0</v>
      </c>
    </row>
    <row r="131" customFormat="false" ht="15" hidden="false" customHeight="false" outlineLevel="0" collapsed="false">
      <c r="A131" s="5" t="n">
        <v>2024</v>
      </c>
      <c r="B131" s="7" t="s">
        <v>975</v>
      </c>
      <c r="C131" s="10" t="str">
        <f aca="false">INDEX(球員主檔!$B$2:$B$749,MATCH($B131,球員主檔!$A$2:$A$749,0))</f>
        <v>Dorian Novotný</v>
      </c>
      <c r="D131" s="7" t="s">
        <v>392</v>
      </c>
      <c r="E131" s="10" t="str">
        <f aca="false">INDEX(球隊主檔!$C$2:$C$31,MATCH($D131,球隊主檔!$A$2:$A$31,0))</f>
        <v>洛杉磯天使</v>
      </c>
      <c r="F131" s="10" t="str">
        <f aca="false">INDEX(球隊主檔!$D$2:$D$31,MATCH($D131,球隊主檔!$A$2:$A$31,0))</f>
        <v>美聯</v>
      </c>
      <c r="G131" s="7" t="s">
        <v>478</v>
      </c>
      <c r="H131" s="11" t="n">
        <f aca="false">INT((DATE($A131,7,1)-INDEX(球員主檔!$G$2:$G$749,MATCH($B131,球員主檔!$A$2:$A$749,0)))/365.25)</f>
        <v>25</v>
      </c>
      <c r="I131" s="12" t="n">
        <v>66</v>
      </c>
      <c r="J131" s="12" t="n">
        <v>288</v>
      </c>
      <c r="K131" s="12" t="n">
        <v>241</v>
      </c>
      <c r="L131" s="12" t="n">
        <v>25</v>
      </c>
      <c r="M131" s="12" t="n">
        <v>47</v>
      </c>
      <c r="N131" s="12" t="n">
        <v>18</v>
      </c>
      <c r="O131" s="12" t="n">
        <v>5</v>
      </c>
      <c r="P131" s="12" t="n">
        <v>5</v>
      </c>
      <c r="Q131" s="12" t="n">
        <v>18</v>
      </c>
      <c r="R131" s="12" t="n">
        <v>39</v>
      </c>
      <c r="S131" s="12" t="n">
        <v>39</v>
      </c>
      <c r="T131" s="12" t="n">
        <v>6</v>
      </c>
      <c r="U131" s="12" t="n">
        <v>2</v>
      </c>
      <c r="V131" s="12" t="n">
        <v>7</v>
      </c>
      <c r="W131" s="12" t="n">
        <v>1</v>
      </c>
      <c r="X131" s="13" t="n">
        <f aca="false">M131+N131+2*O131+3*P131</f>
        <v>90</v>
      </c>
      <c r="Y131" s="14" t="n">
        <f aca="false">IF(K131=0,0,M131/K131)</f>
        <v>0.195020746887967</v>
      </c>
      <c r="Z131" s="14" t="n">
        <f aca="false">IF(K131+R131+T131+U131=0,0,(M131+R131+T131)/(K131+R131+T131+U131))</f>
        <v>0.319444444444444</v>
      </c>
      <c r="AA131" s="14" t="n">
        <f aca="false">IF(K131=0,0,X131/K131)</f>
        <v>0.37344398340249</v>
      </c>
      <c r="AB131" s="14" t="n">
        <f aca="false">Z131+AA131</f>
        <v>0.692888427846934</v>
      </c>
      <c r="AC131" s="14" t="n">
        <f aca="false">AA131-Y131</f>
        <v>0.178423236514523</v>
      </c>
      <c r="AD131" s="14" t="n">
        <f aca="false">IF(K131-S131-P131+U131=0,0,(M131-P131)/(K131-S131-P131+U131))</f>
        <v>0.21105527638191</v>
      </c>
      <c r="AE131" s="15" t="n">
        <f aca="false">IF(J131=0,0,R131/J131)</f>
        <v>0.135416666666667</v>
      </c>
      <c r="AF131" s="15" t="n">
        <f aca="false">IF(J131=0,0,S131/J131)</f>
        <v>0.135416666666667</v>
      </c>
      <c r="AG131" s="11" t="n">
        <f aca="false">IF(J131&gt;=INDEX(球季參數!$E$2:$E$4,MATCH($A131,球季參數!$A$2:$A$4,0)),1,0)</f>
        <v>0</v>
      </c>
    </row>
    <row r="132" customFormat="false" ht="15" hidden="false" customHeight="false" outlineLevel="0" collapsed="false">
      <c r="A132" s="5" t="n">
        <v>2024</v>
      </c>
      <c r="B132" s="7" t="s">
        <v>997</v>
      </c>
      <c r="C132" s="10" t="str">
        <f aca="false">INDEX(球員主檔!$B$2:$B$749,MATCH($B132,球員主檔!$A$2:$A$749,0))</f>
        <v>Ulises Zamarripa</v>
      </c>
      <c r="D132" s="7" t="s">
        <v>396</v>
      </c>
      <c r="E132" s="10" t="str">
        <f aca="false">INDEX(球隊主檔!$C$2:$C$31,MATCH($D132,球隊主檔!$A$2:$A$31,0))</f>
        <v>西雅圖水手</v>
      </c>
      <c r="F132" s="10" t="str">
        <f aca="false">INDEX(球隊主檔!$D$2:$D$31,MATCH($D132,球隊主檔!$A$2:$A$31,0))</f>
        <v>美聯</v>
      </c>
      <c r="G132" s="7" t="s">
        <v>522</v>
      </c>
      <c r="H132" s="11" t="n">
        <f aca="false">INT((DATE($A132,7,1)-INDEX(球員主檔!$G$2:$G$749,MATCH($B132,球員主檔!$A$2:$A$749,0)))/365.25)</f>
        <v>26</v>
      </c>
      <c r="I132" s="12" t="n">
        <v>134</v>
      </c>
      <c r="J132" s="12" t="n">
        <v>601</v>
      </c>
      <c r="K132" s="12" t="n">
        <v>532</v>
      </c>
      <c r="L132" s="12" t="n">
        <v>79</v>
      </c>
      <c r="M132" s="12" t="n">
        <v>136</v>
      </c>
      <c r="N132" s="12" t="n">
        <v>15</v>
      </c>
      <c r="O132" s="12" t="n">
        <v>5</v>
      </c>
      <c r="P132" s="12" t="n">
        <v>18</v>
      </c>
      <c r="Q132" s="12" t="n">
        <v>70</v>
      </c>
      <c r="R132" s="12" t="n">
        <v>59</v>
      </c>
      <c r="S132" s="12" t="n">
        <v>155</v>
      </c>
      <c r="T132" s="12" t="n">
        <v>4</v>
      </c>
      <c r="U132" s="12" t="n">
        <v>6</v>
      </c>
      <c r="V132" s="12" t="n">
        <v>41</v>
      </c>
      <c r="W132" s="12" t="n">
        <v>9</v>
      </c>
      <c r="X132" s="13" t="n">
        <f aca="false">M132+N132+2*O132+3*P132</f>
        <v>215</v>
      </c>
      <c r="Y132" s="14" t="n">
        <f aca="false">IF(K132=0,0,M132/K132)</f>
        <v>0.255639097744361</v>
      </c>
      <c r="Z132" s="14" t="n">
        <f aca="false">IF(K132+R132+T132+U132=0,0,(M132+R132+T132)/(K132+R132+T132+U132))</f>
        <v>0.331114808652246</v>
      </c>
      <c r="AA132" s="14" t="n">
        <f aca="false">IF(K132=0,0,X132/K132)</f>
        <v>0.404135338345865</v>
      </c>
      <c r="AB132" s="14" t="n">
        <f aca="false">Z132+AA132</f>
        <v>0.735250146998111</v>
      </c>
      <c r="AC132" s="14" t="n">
        <f aca="false">AA132-Y132</f>
        <v>0.148496240601504</v>
      </c>
      <c r="AD132" s="14" t="n">
        <f aca="false">IF(K132-S132-P132+U132=0,0,(M132-P132)/(K132-S132-P132+U132))</f>
        <v>0.323287671232877</v>
      </c>
      <c r="AE132" s="15" t="n">
        <f aca="false">IF(J132=0,0,R132/J132)</f>
        <v>0.0981697171381032</v>
      </c>
      <c r="AF132" s="15" t="n">
        <f aca="false">IF(J132=0,0,S132/J132)</f>
        <v>0.257903494176373</v>
      </c>
      <c r="AG132" s="11" t="n">
        <f aca="false">IF(J132&gt;=INDEX(球季參數!$E$2:$E$4,MATCH($A132,球季參數!$A$2:$A$4,0)),1,0)</f>
        <v>1</v>
      </c>
    </row>
    <row r="133" customFormat="false" ht="15" hidden="false" customHeight="false" outlineLevel="0" collapsed="false">
      <c r="A133" s="5" t="n">
        <v>2024</v>
      </c>
      <c r="B133" s="7" t="s">
        <v>999</v>
      </c>
      <c r="C133" s="10" t="str">
        <f aca="false">INDEX(球員主檔!$B$2:$B$749,MATCH($B133,球員主檔!$A$2:$A$749,0))</f>
        <v>Dashiell Ferreira</v>
      </c>
      <c r="D133" s="7" t="s">
        <v>396</v>
      </c>
      <c r="E133" s="10" t="str">
        <f aca="false">INDEX(球隊主檔!$C$2:$C$31,MATCH($D133,球隊主檔!$A$2:$A$31,0))</f>
        <v>西雅圖水手</v>
      </c>
      <c r="F133" s="10" t="str">
        <f aca="false">INDEX(球隊主檔!$D$2:$D$31,MATCH($D133,球隊主檔!$A$2:$A$31,0))</f>
        <v>美聯</v>
      </c>
      <c r="G133" s="7" t="s">
        <v>158</v>
      </c>
      <c r="H133" s="11" t="n">
        <f aca="false">INT((DATE($A133,7,1)-INDEX(球員主檔!$G$2:$G$749,MATCH($B133,球員主檔!$A$2:$A$749,0)))/365.25)</f>
        <v>27</v>
      </c>
      <c r="I133" s="12" t="n">
        <v>141</v>
      </c>
      <c r="J133" s="12" t="n">
        <v>579</v>
      </c>
      <c r="K133" s="12" t="n">
        <v>555</v>
      </c>
      <c r="L133" s="12" t="n">
        <v>66</v>
      </c>
      <c r="M133" s="12" t="n">
        <v>132</v>
      </c>
      <c r="N133" s="12" t="n">
        <v>23</v>
      </c>
      <c r="O133" s="12" t="n">
        <v>9</v>
      </c>
      <c r="P133" s="12" t="n">
        <v>21</v>
      </c>
      <c r="Q133" s="12" t="n">
        <v>78</v>
      </c>
      <c r="R133" s="12" t="n">
        <v>19</v>
      </c>
      <c r="S133" s="12" t="n">
        <v>134</v>
      </c>
      <c r="T133" s="12" t="n">
        <v>2</v>
      </c>
      <c r="U133" s="12" t="n">
        <v>3</v>
      </c>
      <c r="V133" s="12" t="n">
        <v>23</v>
      </c>
      <c r="W133" s="12" t="n">
        <v>5</v>
      </c>
      <c r="X133" s="13" t="n">
        <f aca="false">M133+N133+2*O133+3*P133</f>
        <v>236</v>
      </c>
      <c r="Y133" s="14" t="n">
        <f aca="false">IF(K133=0,0,M133/K133)</f>
        <v>0.237837837837838</v>
      </c>
      <c r="Z133" s="14" t="n">
        <f aca="false">IF(K133+R133+T133+U133=0,0,(M133+R133+T133)/(K133+R133+T133+U133))</f>
        <v>0.264248704663212</v>
      </c>
      <c r="AA133" s="14" t="n">
        <f aca="false">IF(K133=0,0,X133/K133)</f>
        <v>0.425225225225225</v>
      </c>
      <c r="AB133" s="14" t="n">
        <f aca="false">Z133+AA133</f>
        <v>0.689473929888438</v>
      </c>
      <c r="AC133" s="14" t="n">
        <f aca="false">AA133-Y133</f>
        <v>0.187387387387387</v>
      </c>
      <c r="AD133" s="14" t="n">
        <f aca="false">IF(K133-S133-P133+U133=0,0,(M133-P133)/(K133-S133-P133+U133))</f>
        <v>0.275434243176179</v>
      </c>
      <c r="AE133" s="15" t="n">
        <f aca="false">IF(J133=0,0,R133/J133)</f>
        <v>0.0328151986183074</v>
      </c>
      <c r="AF133" s="15" t="n">
        <f aca="false">IF(J133=0,0,S133/J133)</f>
        <v>0.231433506044905</v>
      </c>
      <c r="AG133" s="11" t="n">
        <f aca="false">IF(J133&gt;=INDEX(球季參數!$E$2:$E$4,MATCH($A133,球季參數!$A$2:$A$4,0)),1,0)</f>
        <v>1</v>
      </c>
    </row>
    <row r="134" customFormat="false" ht="15" hidden="false" customHeight="false" outlineLevel="0" collapsed="false">
      <c r="A134" s="5" t="n">
        <v>2024</v>
      </c>
      <c r="B134" s="7" t="s">
        <v>1001</v>
      </c>
      <c r="C134" s="10" t="str">
        <f aca="false">INDEX(球員主檔!$B$2:$B$749,MATCH($B134,球員主檔!$A$2:$A$749,0))</f>
        <v>Kellan Ibarra</v>
      </c>
      <c r="D134" s="7" t="s">
        <v>396</v>
      </c>
      <c r="E134" s="10" t="str">
        <f aca="false">INDEX(球隊主檔!$C$2:$C$31,MATCH($D134,球隊主檔!$A$2:$A$31,0))</f>
        <v>西雅圖水手</v>
      </c>
      <c r="F134" s="10" t="str">
        <f aca="false">INDEX(球隊主檔!$D$2:$D$31,MATCH($D134,球隊主檔!$A$2:$A$31,0))</f>
        <v>美聯</v>
      </c>
      <c r="G134" s="7" t="s">
        <v>486</v>
      </c>
      <c r="H134" s="11" t="n">
        <f aca="false">INT((DATE($A134,7,1)-INDEX(球員主檔!$G$2:$G$749,MATCH($B134,球員主檔!$A$2:$A$749,0)))/365.25)</f>
        <v>30</v>
      </c>
      <c r="I134" s="12" t="n">
        <v>134</v>
      </c>
      <c r="J134" s="12" t="n">
        <v>577</v>
      </c>
      <c r="K134" s="12" t="n">
        <v>471</v>
      </c>
      <c r="L134" s="12" t="n">
        <v>66</v>
      </c>
      <c r="M134" s="12" t="n">
        <v>106</v>
      </c>
      <c r="N134" s="12" t="n">
        <v>36</v>
      </c>
      <c r="O134" s="12" t="n">
        <v>1</v>
      </c>
      <c r="P134" s="12" t="n">
        <v>27</v>
      </c>
      <c r="Q134" s="12" t="n">
        <v>74</v>
      </c>
      <c r="R134" s="12" t="n">
        <v>92</v>
      </c>
      <c r="S134" s="12" t="n">
        <v>129</v>
      </c>
      <c r="T134" s="12" t="n">
        <v>12</v>
      </c>
      <c r="U134" s="12" t="n">
        <v>2</v>
      </c>
      <c r="V134" s="12" t="n">
        <v>13</v>
      </c>
      <c r="W134" s="12" t="n">
        <v>3</v>
      </c>
      <c r="X134" s="13" t="n">
        <f aca="false">M134+N134+2*O134+3*P134</f>
        <v>225</v>
      </c>
      <c r="Y134" s="14" t="n">
        <f aca="false">IF(K134=0,0,M134/K134)</f>
        <v>0.225053078556263</v>
      </c>
      <c r="Z134" s="14" t="n">
        <f aca="false">IF(K134+R134+T134+U134=0,0,(M134+R134+T134)/(K134+R134+T134+U134))</f>
        <v>0.363951473136915</v>
      </c>
      <c r="AA134" s="14" t="n">
        <f aca="false">IF(K134=0,0,X134/K134)</f>
        <v>0.477707006369427</v>
      </c>
      <c r="AB134" s="14" t="n">
        <f aca="false">Z134+AA134</f>
        <v>0.841658479506342</v>
      </c>
      <c r="AC134" s="14" t="n">
        <f aca="false">AA134-Y134</f>
        <v>0.252653927813164</v>
      </c>
      <c r="AD134" s="14" t="n">
        <f aca="false">IF(K134-S134-P134+U134=0,0,(M134-P134)/(K134-S134-P134+U134))</f>
        <v>0.249211356466877</v>
      </c>
      <c r="AE134" s="15" t="n">
        <f aca="false">IF(J134=0,0,R134/J134)</f>
        <v>0.159445407279029</v>
      </c>
      <c r="AF134" s="15" t="n">
        <f aca="false">IF(J134=0,0,S134/J134)</f>
        <v>0.223570190641248</v>
      </c>
      <c r="AG134" s="11" t="n">
        <f aca="false">IF(J134&gt;=INDEX(球季參數!$E$2:$E$4,MATCH($A134,球季參數!$A$2:$A$4,0)),1,0)</f>
        <v>1</v>
      </c>
    </row>
    <row r="135" customFormat="false" ht="15" hidden="false" customHeight="false" outlineLevel="0" collapsed="false">
      <c r="A135" s="5" t="n">
        <v>2024</v>
      </c>
      <c r="B135" s="7" t="s">
        <v>1003</v>
      </c>
      <c r="C135" s="10" t="str">
        <f aca="false">INDEX(球員主檔!$B$2:$B$749,MATCH($B135,球員主檔!$A$2:$A$749,0))</f>
        <v>Desmond Wexford</v>
      </c>
      <c r="D135" s="7" t="s">
        <v>396</v>
      </c>
      <c r="E135" s="10" t="str">
        <f aca="false">INDEX(球隊主檔!$C$2:$C$31,MATCH($D135,球隊主檔!$A$2:$A$31,0))</f>
        <v>西雅圖水手</v>
      </c>
      <c r="F135" s="10" t="str">
        <f aca="false">INDEX(球隊主檔!$D$2:$D$31,MATCH($D135,球隊主檔!$A$2:$A$31,0))</f>
        <v>美聯</v>
      </c>
      <c r="G135" s="7" t="s">
        <v>470</v>
      </c>
      <c r="H135" s="11" t="n">
        <f aca="false">INT((DATE($A135,7,1)-INDEX(球員主檔!$G$2:$G$749,MATCH($B135,球員主檔!$A$2:$A$749,0)))/365.25)</f>
        <v>27</v>
      </c>
      <c r="I135" s="12" t="n">
        <v>140</v>
      </c>
      <c r="J135" s="12" t="n">
        <v>602</v>
      </c>
      <c r="K135" s="12" t="n">
        <v>532</v>
      </c>
      <c r="L135" s="12" t="n">
        <v>66</v>
      </c>
      <c r="M135" s="12" t="n">
        <v>107</v>
      </c>
      <c r="N135" s="12" t="n">
        <v>28</v>
      </c>
      <c r="O135" s="12" t="n">
        <v>8</v>
      </c>
      <c r="P135" s="12" t="n">
        <v>23</v>
      </c>
      <c r="Q135" s="12" t="n">
        <v>80</v>
      </c>
      <c r="R135" s="12" t="n">
        <v>57</v>
      </c>
      <c r="S135" s="12" t="n">
        <v>182</v>
      </c>
      <c r="T135" s="12" t="n">
        <v>9</v>
      </c>
      <c r="U135" s="12" t="n">
        <v>4</v>
      </c>
      <c r="V135" s="12" t="n">
        <v>23</v>
      </c>
      <c r="W135" s="12" t="n">
        <v>6</v>
      </c>
      <c r="X135" s="13" t="n">
        <f aca="false">M135+N135+2*O135+3*P135</f>
        <v>220</v>
      </c>
      <c r="Y135" s="14" t="n">
        <f aca="false">IF(K135=0,0,M135/K135)</f>
        <v>0.201127819548872</v>
      </c>
      <c r="Z135" s="14" t="n">
        <f aca="false">IF(K135+R135+T135+U135=0,0,(M135+R135+T135)/(K135+R135+T135+U135))</f>
        <v>0.287375415282392</v>
      </c>
      <c r="AA135" s="14" t="n">
        <f aca="false">IF(K135=0,0,X135/K135)</f>
        <v>0.413533834586466</v>
      </c>
      <c r="AB135" s="14" t="n">
        <f aca="false">Z135+AA135</f>
        <v>0.700909249868858</v>
      </c>
      <c r="AC135" s="14" t="n">
        <f aca="false">AA135-Y135</f>
        <v>0.212406015037594</v>
      </c>
      <c r="AD135" s="14" t="n">
        <f aca="false">IF(K135-S135-P135+U135=0,0,(M135-P135)/(K135-S135-P135+U135))</f>
        <v>0.253776435045317</v>
      </c>
      <c r="AE135" s="15" t="n">
        <f aca="false">IF(J135=0,0,R135/J135)</f>
        <v>0.0946843853820598</v>
      </c>
      <c r="AF135" s="15" t="n">
        <f aca="false">IF(J135=0,0,S135/J135)</f>
        <v>0.302325581395349</v>
      </c>
      <c r="AG135" s="11" t="n">
        <f aca="false">IF(J135&gt;=INDEX(球季參數!$E$2:$E$4,MATCH($A135,球季參數!$A$2:$A$4,0)),1,0)</f>
        <v>1</v>
      </c>
    </row>
    <row r="136" customFormat="false" ht="15" hidden="false" customHeight="false" outlineLevel="0" collapsed="false">
      <c r="A136" s="5" t="n">
        <v>2024</v>
      </c>
      <c r="B136" s="7" t="s">
        <v>1005</v>
      </c>
      <c r="C136" s="10" t="str">
        <f aca="false">INDEX(球員主檔!$B$2:$B$749,MATCH($B136,球員主檔!$A$2:$A$749,0))</f>
        <v>Everett Arceneaux</v>
      </c>
      <c r="D136" s="7" t="s">
        <v>396</v>
      </c>
      <c r="E136" s="10" t="str">
        <f aca="false">INDEX(球隊主檔!$C$2:$C$31,MATCH($D136,球隊主檔!$A$2:$A$31,0))</f>
        <v>西雅圖水手</v>
      </c>
      <c r="F136" s="10" t="str">
        <f aca="false">INDEX(球隊主檔!$D$2:$D$31,MATCH($D136,球隊主檔!$A$2:$A$31,0))</f>
        <v>美聯</v>
      </c>
      <c r="G136" s="7" t="s">
        <v>473</v>
      </c>
      <c r="H136" s="11" t="n">
        <f aca="false">INT((DATE($A136,7,1)-INDEX(球員主檔!$G$2:$G$749,MATCH($B136,球員主檔!$A$2:$A$749,0)))/365.25)</f>
        <v>26</v>
      </c>
      <c r="I136" s="12" t="n">
        <v>162</v>
      </c>
      <c r="J136" s="12" t="n">
        <v>638</v>
      </c>
      <c r="K136" s="12" t="n">
        <v>605</v>
      </c>
      <c r="L136" s="12" t="n">
        <v>71</v>
      </c>
      <c r="M136" s="12" t="n">
        <v>163</v>
      </c>
      <c r="N136" s="12" t="n">
        <v>13</v>
      </c>
      <c r="O136" s="12" t="n">
        <v>2</v>
      </c>
      <c r="P136" s="12" t="n">
        <v>21</v>
      </c>
      <c r="Q136" s="12" t="n">
        <v>81</v>
      </c>
      <c r="R136" s="12" t="n">
        <v>23</v>
      </c>
      <c r="S136" s="12" t="n">
        <v>92</v>
      </c>
      <c r="T136" s="12" t="n">
        <v>5</v>
      </c>
      <c r="U136" s="12" t="n">
        <v>5</v>
      </c>
      <c r="V136" s="12" t="n">
        <v>17</v>
      </c>
      <c r="W136" s="12" t="n">
        <v>2</v>
      </c>
      <c r="X136" s="13" t="n">
        <f aca="false">M136+N136+2*O136+3*P136</f>
        <v>243</v>
      </c>
      <c r="Y136" s="14" t="n">
        <f aca="false">IF(K136=0,0,M136/K136)</f>
        <v>0.269421487603306</v>
      </c>
      <c r="Z136" s="14" t="n">
        <f aca="false">IF(K136+R136+T136+U136=0,0,(M136+R136+T136)/(K136+R136+T136+U136))</f>
        <v>0.299373040752351</v>
      </c>
      <c r="AA136" s="14" t="n">
        <f aca="false">IF(K136=0,0,X136/K136)</f>
        <v>0.401652892561983</v>
      </c>
      <c r="AB136" s="14" t="n">
        <f aca="false">Z136+AA136</f>
        <v>0.701025933314335</v>
      </c>
      <c r="AC136" s="14" t="n">
        <f aca="false">AA136-Y136</f>
        <v>0.132231404958678</v>
      </c>
      <c r="AD136" s="14" t="n">
        <f aca="false">IF(K136-S136-P136+U136=0,0,(M136-P136)/(K136-S136-P136+U136))</f>
        <v>0.285714285714286</v>
      </c>
      <c r="AE136" s="15" t="n">
        <f aca="false">IF(J136=0,0,R136/J136)</f>
        <v>0.0360501567398119</v>
      </c>
      <c r="AF136" s="15" t="n">
        <f aca="false">IF(J136=0,0,S136/J136)</f>
        <v>0.144200626959248</v>
      </c>
      <c r="AG136" s="11" t="n">
        <f aca="false">IF(J136&gt;=INDEX(球季參數!$E$2:$E$4,MATCH($A136,球季參數!$A$2:$A$4,0)),1,0)</f>
        <v>1</v>
      </c>
    </row>
    <row r="137" customFormat="false" ht="15" hidden="false" customHeight="false" outlineLevel="0" collapsed="false">
      <c r="A137" s="5" t="n">
        <v>2024</v>
      </c>
      <c r="B137" s="7" t="s">
        <v>1007</v>
      </c>
      <c r="C137" s="10" t="str">
        <f aca="false">INDEX(球員主檔!$B$2:$B$749,MATCH($B137,球員主檔!$A$2:$A$749,0))</f>
        <v>Marcus Tanabe</v>
      </c>
      <c r="D137" s="7" t="s">
        <v>396</v>
      </c>
      <c r="E137" s="10" t="str">
        <f aca="false">INDEX(球隊主檔!$C$2:$C$31,MATCH($D137,球隊主檔!$A$2:$A$31,0))</f>
        <v>西雅圖水手</v>
      </c>
      <c r="F137" s="10" t="str">
        <f aca="false">INDEX(球隊主檔!$D$2:$D$31,MATCH($D137,球隊主檔!$A$2:$A$31,0))</f>
        <v>美聯</v>
      </c>
      <c r="G137" s="7" t="s">
        <v>63</v>
      </c>
      <c r="H137" s="11" t="n">
        <f aca="false">INT((DATE($A137,7,1)-INDEX(球員主檔!$G$2:$G$749,MATCH($B137,球員主檔!$A$2:$A$749,0)))/365.25)</f>
        <v>26</v>
      </c>
      <c r="I137" s="12" t="n">
        <v>124</v>
      </c>
      <c r="J137" s="12" t="n">
        <v>495</v>
      </c>
      <c r="K137" s="12" t="n">
        <v>456</v>
      </c>
      <c r="L137" s="12" t="n">
        <v>55</v>
      </c>
      <c r="M137" s="12" t="n">
        <v>105</v>
      </c>
      <c r="N137" s="12" t="n">
        <v>20</v>
      </c>
      <c r="O137" s="12" t="n">
        <v>5</v>
      </c>
      <c r="P137" s="12" t="n">
        <v>22</v>
      </c>
      <c r="Q137" s="12" t="n">
        <v>67</v>
      </c>
      <c r="R137" s="12" t="n">
        <v>32</v>
      </c>
      <c r="S137" s="12" t="n">
        <v>149</v>
      </c>
      <c r="T137" s="12" t="n">
        <v>4</v>
      </c>
      <c r="U137" s="12" t="n">
        <v>3</v>
      </c>
      <c r="V137" s="12" t="n">
        <v>7</v>
      </c>
      <c r="W137" s="12" t="n">
        <v>1</v>
      </c>
      <c r="X137" s="13" t="n">
        <f aca="false">M137+N137+2*O137+3*P137</f>
        <v>201</v>
      </c>
      <c r="Y137" s="14" t="n">
        <f aca="false">IF(K137=0,0,M137/K137)</f>
        <v>0.230263157894737</v>
      </c>
      <c r="Z137" s="14" t="n">
        <f aca="false">IF(K137+R137+T137+U137=0,0,(M137+R137+T137)/(K137+R137+T137+U137))</f>
        <v>0.284848484848485</v>
      </c>
      <c r="AA137" s="14" t="n">
        <f aca="false">IF(K137=0,0,X137/K137)</f>
        <v>0.440789473684211</v>
      </c>
      <c r="AB137" s="14" t="n">
        <f aca="false">Z137+AA137</f>
        <v>0.725637958532695</v>
      </c>
      <c r="AC137" s="14" t="n">
        <f aca="false">AA137-Y137</f>
        <v>0.210526315789474</v>
      </c>
      <c r="AD137" s="14" t="n">
        <f aca="false">IF(K137-S137-P137+U137=0,0,(M137-P137)/(K137-S137-P137+U137))</f>
        <v>0.288194444444444</v>
      </c>
      <c r="AE137" s="15" t="n">
        <f aca="false">IF(J137=0,0,R137/J137)</f>
        <v>0.0646464646464647</v>
      </c>
      <c r="AF137" s="15" t="n">
        <f aca="false">IF(J137=0,0,S137/J137)</f>
        <v>0.301010101010101</v>
      </c>
      <c r="AG137" s="11" t="n">
        <f aca="false">IF(J137&gt;=INDEX(球季參數!$E$2:$E$4,MATCH($A137,球季參數!$A$2:$A$4,0)),1,0)</f>
        <v>0</v>
      </c>
    </row>
    <row r="138" customFormat="false" ht="15" hidden="false" customHeight="false" outlineLevel="0" collapsed="false">
      <c r="A138" s="5" t="n">
        <v>2024</v>
      </c>
      <c r="B138" s="7" t="s">
        <v>1009</v>
      </c>
      <c r="C138" s="10" t="str">
        <f aca="false">INDEX(球員主檔!$B$2:$B$749,MATCH($B138,球員主檔!$A$2:$A$749,0))</f>
        <v>Mateo Eberhardt</v>
      </c>
      <c r="D138" s="7" t="s">
        <v>396</v>
      </c>
      <c r="E138" s="10" t="str">
        <f aca="false">INDEX(球隊主檔!$C$2:$C$31,MATCH($D138,球隊主檔!$A$2:$A$31,0))</f>
        <v>西雅圖水手</v>
      </c>
      <c r="F138" s="10" t="str">
        <f aca="false">INDEX(球隊主檔!$D$2:$D$31,MATCH($D138,球隊主檔!$A$2:$A$31,0))</f>
        <v>美聯</v>
      </c>
      <c r="G138" s="7" t="s">
        <v>483</v>
      </c>
      <c r="H138" s="11" t="n">
        <f aca="false">INT((DATE($A138,7,1)-INDEX(球員主檔!$G$2:$G$749,MATCH($B138,球員主檔!$A$2:$A$749,0)))/365.25)</f>
        <v>25</v>
      </c>
      <c r="I138" s="12" t="n">
        <v>87</v>
      </c>
      <c r="J138" s="12" t="n">
        <v>370</v>
      </c>
      <c r="K138" s="12" t="n">
        <v>349</v>
      </c>
      <c r="L138" s="12" t="n">
        <v>42</v>
      </c>
      <c r="M138" s="12" t="n">
        <v>92</v>
      </c>
      <c r="N138" s="12" t="n">
        <v>14</v>
      </c>
      <c r="O138" s="12" t="n">
        <v>14</v>
      </c>
      <c r="P138" s="12" t="n">
        <v>16</v>
      </c>
      <c r="Q138" s="12" t="n">
        <v>47</v>
      </c>
      <c r="R138" s="12" t="n">
        <v>17</v>
      </c>
      <c r="S138" s="12" t="n">
        <v>63</v>
      </c>
      <c r="T138" s="12" t="n">
        <v>3</v>
      </c>
      <c r="U138" s="12" t="n">
        <v>1</v>
      </c>
      <c r="V138" s="12" t="n">
        <v>24</v>
      </c>
      <c r="W138" s="12" t="n">
        <v>4</v>
      </c>
      <c r="X138" s="13" t="n">
        <f aca="false">M138+N138+2*O138+3*P138</f>
        <v>182</v>
      </c>
      <c r="Y138" s="14" t="n">
        <f aca="false">IF(K138=0,0,M138/K138)</f>
        <v>0.263610315186246</v>
      </c>
      <c r="Z138" s="14" t="n">
        <f aca="false">IF(K138+R138+T138+U138=0,0,(M138+R138+T138)/(K138+R138+T138+U138))</f>
        <v>0.302702702702703</v>
      </c>
      <c r="AA138" s="14" t="n">
        <f aca="false">IF(K138=0,0,X138/K138)</f>
        <v>0.521489971346705</v>
      </c>
      <c r="AB138" s="14" t="n">
        <f aca="false">Z138+AA138</f>
        <v>0.824192674049408</v>
      </c>
      <c r="AC138" s="14" t="n">
        <f aca="false">AA138-Y138</f>
        <v>0.257879656160458</v>
      </c>
      <c r="AD138" s="14" t="n">
        <f aca="false">IF(K138-S138-P138+U138=0,0,(M138-P138)/(K138-S138-P138+U138))</f>
        <v>0.280442804428044</v>
      </c>
      <c r="AE138" s="15" t="n">
        <f aca="false">IF(J138=0,0,R138/J138)</f>
        <v>0.045945945945946</v>
      </c>
      <c r="AF138" s="15" t="n">
        <f aca="false">IF(J138=0,0,S138/J138)</f>
        <v>0.17027027027027</v>
      </c>
      <c r="AG138" s="11" t="n">
        <f aca="false">IF(J138&gt;=INDEX(球季參數!$E$2:$E$4,MATCH($A138,球季參數!$A$2:$A$4,0)),1,0)</f>
        <v>0</v>
      </c>
    </row>
    <row r="139" customFormat="false" ht="15" hidden="false" customHeight="false" outlineLevel="0" collapsed="false">
      <c r="A139" s="5" t="n">
        <v>2024</v>
      </c>
      <c r="B139" s="7" t="s">
        <v>1011</v>
      </c>
      <c r="C139" s="10" t="str">
        <f aca="false">INDEX(球員主檔!$B$2:$B$749,MATCH($B139,球員主檔!$A$2:$A$749,0))</f>
        <v>Griffin Arceneaux</v>
      </c>
      <c r="D139" s="7" t="s">
        <v>396</v>
      </c>
      <c r="E139" s="10" t="str">
        <f aca="false">INDEX(球隊主檔!$C$2:$C$31,MATCH($D139,球隊主檔!$A$2:$A$31,0))</f>
        <v>西雅圖水手</v>
      </c>
      <c r="F139" s="10" t="str">
        <f aca="false">INDEX(球隊主檔!$D$2:$D$31,MATCH($D139,球隊主檔!$A$2:$A$31,0))</f>
        <v>美聯</v>
      </c>
      <c r="G139" s="7" t="s">
        <v>470</v>
      </c>
      <c r="H139" s="11" t="n">
        <f aca="false">INT((DATE($A139,7,1)-INDEX(球員主檔!$G$2:$G$749,MATCH($B139,球員主檔!$A$2:$A$749,0)))/365.25)</f>
        <v>25</v>
      </c>
      <c r="I139" s="12" t="n">
        <v>89</v>
      </c>
      <c r="J139" s="12" t="n">
        <v>395</v>
      </c>
      <c r="K139" s="12" t="n">
        <v>361</v>
      </c>
      <c r="L139" s="12" t="n">
        <v>51</v>
      </c>
      <c r="M139" s="12" t="n">
        <v>97</v>
      </c>
      <c r="N139" s="12" t="n">
        <v>17</v>
      </c>
      <c r="O139" s="12" t="n">
        <v>1</v>
      </c>
      <c r="P139" s="12" t="n">
        <v>19</v>
      </c>
      <c r="Q139" s="12" t="n">
        <v>62</v>
      </c>
      <c r="R139" s="12" t="n">
        <v>25</v>
      </c>
      <c r="S139" s="12" t="n">
        <v>68</v>
      </c>
      <c r="T139" s="12" t="n">
        <v>5</v>
      </c>
      <c r="U139" s="12" t="n">
        <v>4</v>
      </c>
      <c r="V139" s="12" t="n">
        <v>12</v>
      </c>
      <c r="W139" s="12" t="n">
        <v>4</v>
      </c>
      <c r="X139" s="13" t="n">
        <f aca="false">M139+N139+2*O139+3*P139</f>
        <v>173</v>
      </c>
      <c r="Y139" s="14" t="n">
        <f aca="false">IF(K139=0,0,M139/K139)</f>
        <v>0.268698060941828</v>
      </c>
      <c r="Z139" s="14" t="n">
        <f aca="false">IF(K139+R139+T139+U139=0,0,(M139+R139+T139)/(K139+R139+T139+U139))</f>
        <v>0.321518987341772</v>
      </c>
      <c r="AA139" s="14" t="n">
        <f aca="false">IF(K139=0,0,X139/K139)</f>
        <v>0.479224376731302</v>
      </c>
      <c r="AB139" s="14" t="n">
        <f aca="false">Z139+AA139</f>
        <v>0.800743364073074</v>
      </c>
      <c r="AC139" s="14" t="n">
        <f aca="false">AA139-Y139</f>
        <v>0.210526315789474</v>
      </c>
      <c r="AD139" s="14" t="n">
        <f aca="false">IF(K139-S139-P139+U139=0,0,(M139-P139)/(K139-S139-P139+U139))</f>
        <v>0.280575539568345</v>
      </c>
      <c r="AE139" s="15" t="n">
        <f aca="false">IF(J139=0,0,R139/J139)</f>
        <v>0.0632911392405063</v>
      </c>
      <c r="AF139" s="15" t="n">
        <f aca="false">IF(J139=0,0,S139/J139)</f>
        <v>0.172151898734177</v>
      </c>
      <c r="AG139" s="11" t="n">
        <f aca="false">IF(J139&gt;=INDEX(球季參數!$E$2:$E$4,MATCH($A139,球季參數!$A$2:$A$4,0)),1,0)</f>
        <v>0</v>
      </c>
    </row>
    <row r="140" customFormat="false" ht="15" hidden="false" customHeight="false" outlineLevel="0" collapsed="false">
      <c r="A140" s="5" t="n">
        <v>2024</v>
      </c>
      <c r="B140" s="7" t="s">
        <v>1013</v>
      </c>
      <c r="C140" s="10" t="str">
        <f aca="false">INDEX(球員主檔!$B$2:$B$749,MATCH($B140,球員主檔!$A$2:$A$749,0))</f>
        <v>Everett Novotný</v>
      </c>
      <c r="D140" s="7" t="s">
        <v>396</v>
      </c>
      <c r="E140" s="10" t="str">
        <f aca="false">INDEX(球隊主檔!$C$2:$C$31,MATCH($D140,球隊主檔!$A$2:$A$31,0))</f>
        <v>西雅圖水手</v>
      </c>
      <c r="F140" s="10" t="str">
        <f aca="false">INDEX(球隊主檔!$D$2:$D$31,MATCH($D140,球隊主檔!$A$2:$A$31,0))</f>
        <v>美聯</v>
      </c>
      <c r="G140" s="7" t="s">
        <v>158</v>
      </c>
      <c r="H140" s="11" t="n">
        <f aca="false">INT((DATE($A140,7,1)-INDEX(球員主檔!$G$2:$G$749,MATCH($B140,球員主檔!$A$2:$A$749,0)))/365.25)</f>
        <v>28</v>
      </c>
      <c r="I140" s="12" t="n">
        <v>67</v>
      </c>
      <c r="J140" s="12" t="n">
        <v>300</v>
      </c>
      <c r="K140" s="12" t="n">
        <v>272</v>
      </c>
      <c r="L140" s="12" t="n">
        <v>35</v>
      </c>
      <c r="M140" s="12" t="n">
        <v>75</v>
      </c>
      <c r="N140" s="12" t="n">
        <v>31</v>
      </c>
      <c r="O140" s="12" t="n">
        <v>4</v>
      </c>
      <c r="P140" s="12" t="n">
        <v>9</v>
      </c>
      <c r="Q140" s="12" t="n">
        <v>38</v>
      </c>
      <c r="R140" s="12" t="n">
        <v>24</v>
      </c>
      <c r="S140" s="12" t="n">
        <v>60</v>
      </c>
      <c r="T140" s="12" t="n">
        <v>2</v>
      </c>
      <c r="U140" s="12" t="n">
        <v>2</v>
      </c>
      <c r="V140" s="12" t="n">
        <v>3</v>
      </c>
      <c r="W140" s="12" t="n">
        <v>1</v>
      </c>
      <c r="X140" s="13" t="n">
        <f aca="false">M140+N140+2*O140+3*P140</f>
        <v>141</v>
      </c>
      <c r="Y140" s="14" t="n">
        <f aca="false">IF(K140=0,0,M140/K140)</f>
        <v>0.275735294117647</v>
      </c>
      <c r="Z140" s="14" t="n">
        <f aca="false">IF(K140+R140+T140+U140=0,0,(M140+R140+T140)/(K140+R140+T140+U140))</f>
        <v>0.336666666666667</v>
      </c>
      <c r="AA140" s="14" t="n">
        <f aca="false">IF(K140=0,0,X140/K140)</f>
        <v>0.518382352941177</v>
      </c>
      <c r="AB140" s="14" t="n">
        <f aca="false">Z140+AA140</f>
        <v>0.855049019607843</v>
      </c>
      <c r="AC140" s="14" t="n">
        <f aca="false">AA140-Y140</f>
        <v>0.242647058823529</v>
      </c>
      <c r="AD140" s="14" t="n">
        <f aca="false">IF(K140-S140-P140+U140=0,0,(M140-P140)/(K140-S140-P140+U140))</f>
        <v>0.321951219512195</v>
      </c>
      <c r="AE140" s="15" t="n">
        <f aca="false">IF(J140=0,0,R140/J140)</f>
        <v>0.08</v>
      </c>
      <c r="AF140" s="15" t="n">
        <f aca="false">IF(J140=0,0,S140/J140)</f>
        <v>0.2</v>
      </c>
      <c r="AG140" s="11" t="n">
        <f aca="false">IF(J140&gt;=INDEX(球季參數!$E$2:$E$4,MATCH($A140,球季參數!$A$2:$A$4,0)),1,0)</f>
        <v>0</v>
      </c>
    </row>
    <row r="141" customFormat="false" ht="15" hidden="false" customHeight="false" outlineLevel="0" collapsed="false">
      <c r="A141" s="5" t="n">
        <v>2024</v>
      </c>
      <c r="B141" s="7" t="s">
        <v>1015</v>
      </c>
      <c r="C141" s="10" t="str">
        <f aca="false">INDEX(球員主檔!$B$2:$B$749,MATCH($B141,球員主檔!$A$2:$A$749,0))</f>
        <v>Tobias Alcorn</v>
      </c>
      <c r="D141" s="7" t="s">
        <v>396</v>
      </c>
      <c r="E141" s="10" t="str">
        <f aca="false">INDEX(球隊主檔!$C$2:$C$31,MATCH($D141,球隊主檔!$A$2:$A$31,0))</f>
        <v>西雅圖水手</v>
      </c>
      <c r="F141" s="10" t="str">
        <f aca="false">INDEX(球隊主檔!$D$2:$D$31,MATCH($D141,球隊主檔!$A$2:$A$31,0))</f>
        <v>美聯</v>
      </c>
      <c r="G141" s="7" t="s">
        <v>478</v>
      </c>
      <c r="H141" s="11" t="n">
        <f aca="false">INT((DATE($A141,7,1)-INDEX(球員主檔!$G$2:$G$749,MATCH($B141,球員主檔!$A$2:$A$749,0)))/365.25)</f>
        <v>27</v>
      </c>
      <c r="I141" s="12" t="n">
        <v>64</v>
      </c>
      <c r="J141" s="12" t="n">
        <v>287</v>
      </c>
      <c r="K141" s="12" t="n">
        <v>265</v>
      </c>
      <c r="L141" s="12" t="n">
        <v>24</v>
      </c>
      <c r="M141" s="12" t="n">
        <v>61</v>
      </c>
      <c r="N141" s="12" t="n">
        <v>21</v>
      </c>
      <c r="O141" s="12" t="n">
        <v>11</v>
      </c>
      <c r="P141" s="12" t="n">
        <v>3</v>
      </c>
      <c r="Q141" s="12" t="n">
        <v>21</v>
      </c>
      <c r="R141" s="12" t="n">
        <v>18</v>
      </c>
      <c r="S141" s="12" t="n">
        <v>46</v>
      </c>
      <c r="T141" s="12" t="n">
        <v>3</v>
      </c>
      <c r="U141" s="12" t="n">
        <v>1</v>
      </c>
      <c r="V141" s="12" t="n">
        <v>7</v>
      </c>
      <c r="W141" s="12" t="n">
        <v>1</v>
      </c>
      <c r="X141" s="13" t="n">
        <f aca="false">M141+N141+2*O141+3*P141</f>
        <v>113</v>
      </c>
      <c r="Y141" s="14" t="n">
        <f aca="false">IF(K141=0,0,M141/K141)</f>
        <v>0.230188679245283</v>
      </c>
      <c r="Z141" s="14" t="n">
        <f aca="false">IF(K141+R141+T141+U141=0,0,(M141+R141+T141)/(K141+R141+T141+U141))</f>
        <v>0.285714285714286</v>
      </c>
      <c r="AA141" s="14" t="n">
        <f aca="false">IF(K141=0,0,X141/K141)</f>
        <v>0.426415094339623</v>
      </c>
      <c r="AB141" s="14" t="n">
        <f aca="false">Z141+AA141</f>
        <v>0.712129380053908</v>
      </c>
      <c r="AC141" s="14" t="n">
        <f aca="false">AA141-Y141</f>
        <v>0.19622641509434</v>
      </c>
      <c r="AD141" s="14" t="n">
        <f aca="false">IF(K141-S141-P141+U141=0,0,(M141-P141)/(K141-S141-P141+U141))</f>
        <v>0.267281105990783</v>
      </c>
      <c r="AE141" s="15" t="n">
        <f aca="false">IF(J141=0,0,R141/J141)</f>
        <v>0.0627177700348432</v>
      </c>
      <c r="AF141" s="15" t="n">
        <f aca="false">IF(J141=0,0,S141/J141)</f>
        <v>0.160278745644599</v>
      </c>
      <c r="AG141" s="11" t="n">
        <f aca="false">IF(J141&gt;=INDEX(球季參數!$E$2:$E$4,MATCH($A141,球季參數!$A$2:$A$4,0)),1,0)</f>
        <v>0</v>
      </c>
    </row>
    <row r="142" customFormat="false" ht="15" hidden="false" customHeight="false" outlineLevel="0" collapsed="false">
      <c r="A142" s="5" t="n">
        <v>2024</v>
      </c>
      <c r="B142" s="7" t="s">
        <v>1037</v>
      </c>
      <c r="C142" s="10" t="str">
        <f aca="false">INDEX(球員主檔!$B$2:$B$749,MATCH($B142,球員主檔!$A$2:$A$749,0))</f>
        <v>Haruto Haverford</v>
      </c>
      <c r="D142" s="7" t="s">
        <v>400</v>
      </c>
      <c r="E142" s="10" t="str">
        <f aca="false">INDEX(球隊主檔!$C$2:$C$31,MATCH($D142,球隊主檔!$A$2:$A$31,0))</f>
        <v>德州遊騎兵</v>
      </c>
      <c r="F142" s="10" t="str">
        <f aca="false">INDEX(球隊主檔!$D$2:$D$31,MATCH($D142,球隊主檔!$A$2:$A$31,0))</f>
        <v>美聯</v>
      </c>
      <c r="G142" s="7" t="s">
        <v>158</v>
      </c>
      <c r="H142" s="11" t="n">
        <f aca="false">INT((DATE($A142,7,1)-INDEX(球員主檔!$G$2:$G$749,MATCH($B142,球員主檔!$A$2:$A$749,0)))/365.25)</f>
        <v>25</v>
      </c>
      <c r="I142" s="12" t="n">
        <v>154</v>
      </c>
      <c r="J142" s="12" t="n">
        <v>632</v>
      </c>
      <c r="K142" s="12" t="n">
        <v>552</v>
      </c>
      <c r="L142" s="12" t="n">
        <v>81</v>
      </c>
      <c r="M142" s="12" t="n">
        <v>153</v>
      </c>
      <c r="N142" s="12" t="n">
        <v>30</v>
      </c>
      <c r="O142" s="12" t="n">
        <v>9</v>
      </c>
      <c r="P142" s="12" t="n">
        <v>20</v>
      </c>
      <c r="Q142" s="12" t="n">
        <v>78</v>
      </c>
      <c r="R142" s="12" t="n">
        <v>64</v>
      </c>
      <c r="S142" s="12" t="n">
        <v>57</v>
      </c>
      <c r="T142" s="12" t="n">
        <v>10</v>
      </c>
      <c r="U142" s="12" t="n">
        <v>6</v>
      </c>
      <c r="V142" s="12" t="n">
        <v>12</v>
      </c>
      <c r="W142" s="12" t="n">
        <v>2</v>
      </c>
      <c r="X142" s="13" t="n">
        <f aca="false">M142+N142+2*O142+3*P142</f>
        <v>261</v>
      </c>
      <c r="Y142" s="14" t="n">
        <f aca="false">IF(K142=0,0,M142/K142)</f>
        <v>0.277173913043478</v>
      </c>
      <c r="Z142" s="14" t="n">
        <f aca="false">IF(K142+R142+T142+U142=0,0,(M142+R142+T142)/(K142+R142+T142+U142))</f>
        <v>0.359177215189873</v>
      </c>
      <c r="AA142" s="14" t="n">
        <f aca="false">IF(K142=0,0,X142/K142)</f>
        <v>0.472826086956522</v>
      </c>
      <c r="AB142" s="14" t="n">
        <f aca="false">Z142+AA142</f>
        <v>0.832003302146395</v>
      </c>
      <c r="AC142" s="14" t="n">
        <f aca="false">AA142-Y142</f>
        <v>0.195652173913043</v>
      </c>
      <c r="AD142" s="14" t="n">
        <f aca="false">IF(K142-S142-P142+U142=0,0,(M142-P142)/(K142-S142-P142+U142))</f>
        <v>0.276507276507277</v>
      </c>
      <c r="AE142" s="15" t="n">
        <f aca="false">IF(J142=0,0,R142/J142)</f>
        <v>0.10126582278481</v>
      </c>
      <c r="AF142" s="15" t="n">
        <f aca="false">IF(J142=0,0,S142/J142)</f>
        <v>0.0901898734177215</v>
      </c>
      <c r="AG142" s="11" t="n">
        <f aca="false">IF(J142&gt;=INDEX(球季參數!$E$2:$E$4,MATCH($A142,球季參數!$A$2:$A$4,0)),1,0)</f>
        <v>1</v>
      </c>
    </row>
    <row r="143" customFormat="false" ht="15" hidden="false" customHeight="false" outlineLevel="0" collapsed="false">
      <c r="A143" s="5" t="n">
        <v>2024</v>
      </c>
      <c r="B143" s="7" t="s">
        <v>1039</v>
      </c>
      <c r="C143" s="10" t="str">
        <f aca="false">INDEX(球員主檔!$B$2:$B$749,MATCH($B143,球員主檔!$A$2:$A$749,0))</f>
        <v>Bernardo Nordstrom</v>
      </c>
      <c r="D143" s="7" t="s">
        <v>400</v>
      </c>
      <c r="E143" s="10" t="str">
        <f aca="false">INDEX(球隊主檔!$C$2:$C$31,MATCH($D143,球隊主檔!$A$2:$A$31,0))</f>
        <v>德州遊騎兵</v>
      </c>
      <c r="F143" s="10" t="str">
        <f aca="false">INDEX(球隊主檔!$D$2:$D$31,MATCH($D143,球隊主檔!$A$2:$A$31,0))</f>
        <v>美聯</v>
      </c>
      <c r="G143" s="7" t="s">
        <v>63</v>
      </c>
      <c r="H143" s="11" t="n">
        <f aca="false">INT((DATE($A143,7,1)-INDEX(球員主檔!$G$2:$G$749,MATCH($B143,球員主檔!$A$2:$A$749,0)))/365.25)</f>
        <v>28</v>
      </c>
      <c r="I143" s="12" t="n">
        <v>92</v>
      </c>
      <c r="J143" s="12" t="n">
        <v>395</v>
      </c>
      <c r="K143" s="12" t="n">
        <v>352</v>
      </c>
      <c r="L143" s="12" t="n">
        <v>49</v>
      </c>
      <c r="M143" s="12" t="n">
        <v>97</v>
      </c>
      <c r="N143" s="12" t="n">
        <v>25</v>
      </c>
      <c r="O143" s="12" t="n">
        <v>6</v>
      </c>
      <c r="P143" s="12" t="n">
        <v>21</v>
      </c>
      <c r="Q143" s="12" t="n">
        <v>69</v>
      </c>
      <c r="R143" s="12" t="n">
        <v>33</v>
      </c>
      <c r="S143" s="12" t="n">
        <v>87</v>
      </c>
      <c r="T143" s="12" t="n">
        <v>6</v>
      </c>
      <c r="U143" s="12" t="n">
        <v>4</v>
      </c>
      <c r="V143" s="12" t="n">
        <v>8</v>
      </c>
      <c r="W143" s="12" t="n">
        <v>3</v>
      </c>
      <c r="X143" s="13" t="n">
        <f aca="false">M143+N143+2*O143+3*P143</f>
        <v>197</v>
      </c>
      <c r="Y143" s="14" t="n">
        <f aca="false">IF(K143=0,0,M143/K143)</f>
        <v>0.275568181818182</v>
      </c>
      <c r="Z143" s="14" t="n">
        <f aca="false">IF(K143+R143+T143+U143=0,0,(M143+R143+T143)/(K143+R143+T143+U143))</f>
        <v>0.344303797468354</v>
      </c>
      <c r="AA143" s="14" t="n">
        <f aca="false">IF(K143=0,0,X143/K143)</f>
        <v>0.559659090909091</v>
      </c>
      <c r="AB143" s="14" t="n">
        <f aca="false">Z143+AA143</f>
        <v>0.903962888377445</v>
      </c>
      <c r="AC143" s="14" t="n">
        <f aca="false">AA143-Y143</f>
        <v>0.284090909090909</v>
      </c>
      <c r="AD143" s="14" t="n">
        <f aca="false">IF(K143-S143-P143+U143=0,0,(M143-P143)/(K143-S143-P143+U143))</f>
        <v>0.306451612903226</v>
      </c>
      <c r="AE143" s="15" t="n">
        <f aca="false">IF(J143=0,0,R143/J143)</f>
        <v>0.0835443037974684</v>
      </c>
      <c r="AF143" s="15" t="n">
        <f aca="false">IF(J143=0,0,S143/J143)</f>
        <v>0.220253164556962</v>
      </c>
      <c r="AG143" s="11" t="n">
        <f aca="false">IF(J143&gt;=INDEX(球季參數!$E$2:$E$4,MATCH($A143,球季參數!$A$2:$A$4,0)),1,0)</f>
        <v>0</v>
      </c>
    </row>
    <row r="144" customFormat="false" ht="15" hidden="false" customHeight="false" outlineLevel="0" collapsed="false">
      <c r="A144" s="5" t="n">
        <v>2024</v>
      </c>
      <c r="B144" s="7" t="s">
        <v>1041</v>
      </c>
      <c r="C144" s="10" t="str">
        <f aca="false">INDEX(球員主檔!$B$2:$B$749,MATCH($B144,球員主檔!$A$2:$A$749,0))</f>
        <v>Osvaldo Zamarripa</v>
      </c>
      <c r="D144" s="7" t="s">
        <v>400</v>
      </c>
      <c r="E144" s="10" t="str">
        <f aca="false">INDEX(球隊主檔!$C$2:$C$31,MATCH($D144,球隊主檔!$A$2:$A$31,0))</f>
        <v>德州遊騎兵</v>
      </c>
      <c r="F144" s="10" t="str">
        <f aca="false">INDEX(球隊主檔!$D$2:$D$31,MATCH($D144,球隊主檔!$A$2:$A$31,0))</f>
        <v>美聯</v>
      </c>
      <c r="G144" s="7" t="s">
        <v>162</v>
      </c>
      <c r="H144" s="11" t="n">
        <f aca="false">INT((DATE($A144,7,1)-INDEX(球員主檔!$G$2:$G$749,MATCH($B144,球員主檔!$A$2:$A$749,0)))/365.25)</f>
        <v>30</v>
      </c>
      <c r="I144" s="12" t="n">
        <v>154</v>
      </c>
      <c r="J144" s="12" t="n">
        <v>603</v>
      </c>
      <c r="K144" s="12" t="n">
        <v>513</v>
      </c>
      <c r="L144" s="12" t="n">
        <v>70</v>
      </c>
      <c r="M144" s="12" t="n">
        <v>135</v>
      </c>
      <c r="N144" s="12" t="n">
        <v>24</v>
      </c>
      <c r="O144" s="12" t="n">
        <v>2</v>
      </c>
      <c r="P144" s="12" t="n">
        <v>10</v>
      </c>
      <c r="Q144" s="12" t="n">
        <v>50</v>
      </c>
      <c r="R144" s="12" t="n">
        <v>77</v>
      </c>
      <c r="S144" s="12" t="n">
        <v>158</v>
      </c>
      <c r="T144" s="12" t="n">
        <v>8</v>
      </c>
      <c r="U144" s="12" t="n">
        <v>5</v>
      </c>
      <c r="V144" s="12" t="n">
        <v>26</v>
      </c>
      <c r="W144" s="12" t="n">
        <v>6</v>
      </c>
      <c r="X144" s="13" t="n">
        <f aca="false">M144+N144+2*O144+3*P144</f>
        <v>193</v>
      </c>
      <c r="Y144" s="14" t="n">
        <f aca="false">IF(K144=0,0,M144/K144)</f>
        <v>0.263157894736842</v>
      </c>
      <c r="Z144" s="14" t="n">
        <f aca="false">IF(K144+R144+T144+U144=0,0,(M144+R144+T144)/(K144+R144+T144+U144))</f>
        <v>0.364842454394693</v>
      </c>
      <c r="AA144" s="14" t="n">
        <f aca="false">IF(K144=0,0,X144/K144)</f>
        <v>0.376218323586745</v>
      </c>
      <c r="AB144" s="14" t="n">
        <f aca="false">Z144+AA144</f>
        <v>0.741060777981438</v>
      </c>
      <c r="AC144" s="14" t="n">
        <f aca="false">AA144-Y144</f>
        <v>0.113060428849903</v>
      </c>
      <c r="AD144" s="14" t="n">
        <f aca="false">IF(K144-S144-P144+U144=0,0,(M144-P144)/(K144-S144-P144+U144))</f>
        <v>0.357142857142857</v>
      </c>
      <c r="AE144" s="15" t="n">
        <f aca="false">IF(J144=0,0,R144/J144)</f>
        <v>0.127694859038143</v>
      </c>
      <c r="AF144" s="15" t="n">
        <f aca="false">IF(J144=0,0,S144/J144)</f>
        <v>0.262023217247098</v>
      </c>
      <c r="AG144" s="11" t="n">
        <f aca="false">IF(J144&gt;=INDEX(球季參數!$E$2:$E$4,MATCH($A144,球季參數!$A$2:$A$4,0)),1,0)</f>
        <v>1</v>
      </c>
    </row>
    <row r="145" customFormat="false" ht="15" hidden="false" customHeight="false" outlineLevel="0" collapsed="false">
      <c r="A145" s="5" t="n">
        <v>2024</v>
      </c>
      <c r="B145" s="7" t="s">
        <v>1043</v>
      </c>
      <c r="C145" s="10" t="str">
        <f aca="false">INDEX(球員主檔!$B$2:$B$749,MATCH($B145,球員主檔!$A$2:$A$749,0))</f>
        <v>Benedikt Montalvo</v>
      </c>
      <c r="D145" s="7" t="s">
        <v>400</v>
      </c>
      <c r="E145" s="10" t="str">
        <f aca="false">INDEX(球隊主檔!$C$2:$C$31,MATCH($D145,球隊主檔!$A$2:$A$31,0))</f>
        <v>德州遊騎兵</v>
      </c>
      <c r="F145" s="10" t="str">
        <f aca="false">INDEX(球隊主檔!$D$2:$D$31,MATCH($D145,球隊主檔!$A$2:$A$31,0))</f>
        <v>美聯</v>
      </c>
      <c r="G145" s="7" t="s">
        <v>478</v>
      </c>
      <c r="H145" s="11" t="n">
        <f aca="false">INT((DATE($A145,7,1)-INDEX(球員主檔!$G$2:$G$749,MATCH($B145,球員主檔!$A$2:$A$749,0)))/365.25)</f>
        <v>27</v>
      </c>
      <c r="I145" s="12" t="n">
        <v>143</v>
      </c>
      <c r="J145" s="12" t="n">
        <v>582</v>
      </c>
      <c r="K145" s="12" t="n">
        <v>510</v>
      </c>
      <c r="L145" s="12" t="n">
        <v>67</v>
      </c>
      <c r="M145" s="12" t="n">
        <v>128</v>
      </c>
      <c r="N145" s="12" t="n">
        <v>36</v>
      </c>
      <c r="O145" s="12" t="n">
        <v>8</v>
      </c>
      <c r="P145" s="12" t="n">
        <v>28</v>
      </c>
      <c r="Q145" s="12" t="n">
        <v>76</v>
      </c>
      <c r="R145" s="12" t="n">
        <v>59</v>
      </c>
      <c r="S145" s="12" t="n">
        <v>119</v>
      </c>
      <c r="T145" s="12" t="n">
        <v>10</v>
      </c>
      <c r="U145" s="12" t="n">
        <v>3</v>
      </c>
      <c r="V145" s="12" t="n">
        <v>16</v>
      </c>
      <c r="W145" s="12" t="n">
        <v>4</v>
      </c>
      <c r="X145" s="13" t="n">
        <f aca="false">M145+N145+2*O145+3*P145</f>
        <v>264</v>
      </c>
      <c r="Y145" s="14" t="n">
        <f aca="false">IF(K145=0,0,M145/K145)</f>
        <v>0.250980392156863</v>
      </c>
      <c r="Z145" s="14" t="n">
        <f aca="false">IF(K145+R145+T145+U145=0,0,(M145+R145+T145)/(K145+R145+T145+U145))</f>
        <v>0.338487972508591</v>
      </c>
      <c r="AA145" s="14" t="n">
        <f aca="false">IF(K145=0,0,X145/K145)</f>
        <v>0.51764705882353</v>
      </c>
      <c r="AB145" s="14" t="n">
        <f aca="false">Z145+AA145</f>
        <v>0.856135031332121</v>
      </c>
      <c r="AC145" s="14" t="n">
        <f aca="false">AA145-Y145</f>
        <v>0.266666666666667</v>
      </c>
      <c r="AD145" s="14" t="n">
        <f aca="false">IF(K145-S145-P145+U145=0,0,(M145-P145)/(K145-S145-P145+U145))</f>
        <v>0.273224043715847</v>
      </c>
      <c r="AE145" s="15" t="n">
        <f aca="false">IF(J145=0,0,R145/J145)</f>
        <v>0.101374570446735</v>
      </c>
      <c r="AF145" s="15" t="n">
        <f aca="false">IF(J145=0,0,S145/J145)</f>
        <v>0.20446735395189</v>
      </c>
      <c r="AG145" s="11" t="n">
        <f aca="false">IF(J145&gt;=INDEX(球季參數!$E$2:$E$4,MATCH($A145,球季參數!$A$2:$A$4,0)),1,0)</f>
        <v>1</v>
      </c>
    </row>
    <row r="146" customFormat="false" ht="15" hidden="false" customHeight="false" outlineLevel="0" collapsed="false">
      <c r="A146" s="5" t="n">
        <v>2024</v>
      </c>
      <c r="B146" s="7" t="s">
        <v>1045</v>
      </c>
      <c r="C146" s="10" t="str">
        <f aca="false">INDEX(球員主檔!$B$2:$B$749,MATCH($B146,球員主檔!$A$2:$A$749,0))</f>
        <v>Vicente Jernigan</v>
      </c>
      <c r="D146" s="7" t="s">
        <v>400</v>
      </c>
      <c r="E146" s="10" t="str">
        <f aca="false">INDEX(球隊主檔!$C$2:$C$31,MATCH($D146,球隊主檔!$A$2:$A$31,0))</f>
        <v>德州遊騎兵</v>
      </c>
      <c r="F146" s="10" t="str">
        <f aca="false">INDEX(球隊主檔!$D$2:$D$31,MATCH($D146,球隊主檔!$A$2:$A$31,0))</f>
        <v>美聯</v>
      </c>
      <c r="G146" s="7" t="s">
        <v>158</v>
      </c>
      <c r="H146" s="11" t="n">
        <f aca="false">INT((DATE($A146,7,1)-INDEX(球員主檔!$G$2:$G$749,MATCH($B146,球員主檔!$A$2:$A$749,0)))/365.25)</f>
        <v>25</v>
      </c>
      <c r="I146" s="12" t="n">
        <v>155</v>
      </c>
      <c r="J146" s="12" t="n">
        <v>665</v>
      </c>
      <c r="K146" s="12" t="n">
        <v>570</v>
      </c>
      <c r="L146" s="12" t="n">
        <v>97</v>
      </c>
      <c r="M146" s="12" t="n">
        <v>150</v>
      </c>
      <c r="N146" s="12" t="n">
        <v>26</v>
      </c>
      <c r="O146" s="12" t="n">
        <v>3</v>
      </c>
      <c r="P146" s="12" t="n">
        <v>35</v>
      </c>
      <c r="Q146" s="12" t="n">
        <v>108</v>
      </c>
      <c r="R146" s="12" t="n">
        <v>78</v>
      </c>
      <c r="S146" s="12" t="n">
        <v>162</v>
      </c>
      <c r="T146" s="12" t="n">
        <v>12</v>
      </c>
      <c r="U146" s="12" t="n">
        <v>5</v>
      </c>
      <c r="V146" s="12" t="n">
        <v>48</v>
      </c>
      <c r="W146" s="12" t="n">
        <v>6</v>
      </c>
      <c r="X146" s="13" t="n">
        <f aca="false">M146+N146+2*O146+3*P146</f>
        <v>287</v>
      </c>
      <c r="Y146" s="14" t="n">
        <f aca="false">IF(K146=0,0,M146/K146)</f>
        <v>0.263157894736842</v>
      </c>
      <c r="Z146" s="14" t="n">
        <f aca="false">IF(K146+R146+T146+U146=0,0,(M146+R146+T146)/(K146+R146+T146+U146))</f>
        <v>0.360902255639098</v>
      </c>
      <c r="AA146" s="14" t="n">
        <f aca="false">IF(K146=0,0,X146/K146)</f>
        <v>0.503508771929825</v>
      </c>
      <c r="AB146" s="14" t="n">
        <f aca="false">Z146+AA146</f>
        <v>0.864411027568922</v>
      </c>
      <c r="AC146" s="14" t="n">
        <f aca="false">AA146-Y146</f>
        <v>0.240350877192982</v>
      </c>
      <c r="AD146" s="14" t="n">
        <f aca="false">IF(K146-S146-P146+U146=0,0,(M146-P146)/(K146-S146-P146+U146))</f>
        <v>0.304232804232804</v>
      </c>
      <c r="AE146" s="15" t="n">
        <f aca="false">IF(J146=0,0,R146/J146)</f>
        <v>0.117293233082707</v>
      </c>
      <c r="AF146" s="15" t="n">
        <f aca="false">IF(J146=0,0,S146/J146)</f>
        <v>0.243609022556391</v>
      </c>
      <c r="AG146" s="11" t="n">
        <f aca="false">IF(J146&gt;=INDEX(球季參數!$E$2:$E$4,MATCH($A146,球季參數!$A$2:$A$4,0)),1,0)</f>
        <v>1</v>
      </c>
    </row>
    <row r="147" customFormat="false" ht="15" hidden="false" customHeight="false" outlineLevel="0" collapsed="false">
      <c r="A147" s="5" t="n">
        <v>2024</v>
      </c>
      <c r="B147" s="7" t="s">
        <v>1047</v>
      </c>
      <c r="C147" s="10" t="str">
        <f aca="false">INDEX(球員主檔!$B$2:$B$749,MATCH($B147,球員主檔!$A$2:$A$749,0))</f>
        <v>Camilo Kestrel</v>
      </c>
      <c r="D147" s="7" t="s">
        <v>400</v>
      </c>
      <c r="E147" s="10" t="str">
        <f aca="false">INDEX(球隊主檔!$C$2:$C$31,MATCH($D147,球隊主檔!$A$2:$A$31,0))</f>
        <v>德州遊騎兵</v>
      </c>
      <c r="F147" s="10" t="str">
        <f aca="false">INDEX(球隊主檔!$D$2:$D$31,MATCH($D147,球隊主檔!$A$2:$A$31,0))</f>
        <v>美聯</v>
      </c>
      <c r="G147" s="7" t="s">
        <v>63</v>
      </c>
      <c r="H147" s="11" t="n">
        <f aca="false">INT((DATE($A147,7,1)-INDEX(球員主檔!$G$2:$G$749,MATCH($B147,球員主檔!$A$2:$A$749,0)))/365.25)</f>
        <v>29</v>
      </c>
      <c r="I147" s="12" t="n">
        <v>142</v>
      </c>
      <c r="J147" s="12" t="n">
        <v>549</v>
      </c>
      <c r="K147" s="12" t="n">
        <v>486</v>
      </c>
      <c r="L147" s="12" t="n">
        <v>58</v>
      </c>
      <c r="M147" s="12" t="n">
        <v>121</v>
      </c>
      <c r="N147" s="12" t="n">
        <v>35</v>
      </c>
      <c r="O147" s="12" t="n">
        <v>4</v>
      </c>
      <c r="P147" s="12" t="n">
        <v>14</v>
      </c>
      <c r="Q147" s="12" t="n">
        <v>57</v>
      </c>
      <c r="R147" s="12" t="n">
        <v>56</v>
      </c>
      <c r="S147" s="12" t="n">
        <v>99</v>
      </c>
      <c r="T147" s="12" t="n">
        <v>5</v>
      </c>
      <c r="U147" s="12" t="n">
        <v>2</v>
      </c>
      <c r="V147" s="12" t="n">
        <v>16</v>
      </c>
      <c r="W147" s="12" t="n">
        <v>4</v>
      </c>
      <c r="X147" s="13" t="n">
        <f aca="false">M147+N147+2*O147+3*P147</f>
        <v>206</v>
      </c>
      <c r="Y147" s="14" t="n">
        <f aca="false">IF(K147=0,0,M147/K147)</f>
        <v>0.248971193415638</v>
      </c>
      <c r="Z147" s="14" t="n">
        <f aca="false">IF(K147+R147+T147+U147=0,0,(M147+R147+T147)/(K147+R147+T147+U147))</f>
        <v>0.331511839708561</v>
      </c>
      <c r="AA147" s="14" t="n">
        <f aca="false">IF(K147=0,0,X147/K147)</f>
        <v>0.423868312757202</v>
      </c>
      <c r="AB147" s="14" t="n">
        <f aca="false">Z147+AA147</f>
        <v>0.755380152465763</v>
      </c>
      <c r="AC147" s="14" t="n">
        <f aca="false">AA147-Y147</f>
        <v>0.174897119341564</v>
      </c>
      <c r="AD147" s="14" t="n">
        <f aca="false">IF(K147-S147-P147+U147=0,0,(M147-P147)/(K147-S147-P147+U147))</f>
        <v>0.285333333333333</v>
      </c>
      <c r="AE147" s="15" t="n">
        <f aca="false">IF(J147=0,0,R147/J147)</f>
        <v>0.10200364298725</v>
      </c>
      <c r="AF147" s="15" t="n">
        <f aca="false">IF(J147=0,0,S147/J147)</f>
        <v>0.180327868852459</v>
      </c>
      <c r="AG147" s="11" t="n">
        <f aca="false">IF(J147&gt;=INDEX(球季參數!$E$2:$E$4,MATCH($A147,球季參數!$A$2:$A$4,0)),1,0)</f>
        <v>1</v>
      </c>
    </row>
    <row r="148" customFormat="false" ht="15" hidden="false" customHeight="false" outlineLevel="0" collapsed="false">
      <c r="A148" s="5" t="n">
        <v>2024</v>
      </c>
      <c r="B148" s="7" t="s">
        <v>1049</v>
      </c>
      <c r="C148" s="10" t="str">
        <f aca="false">INDEX(球員主檔!$B$2:$B$749,MATCH($B148,球員主檔!$A$2:$A$749,0))</f>
        <v>Wyatt Yoshinaga</v>
      </c>
      <c r="D148" s="7" t="s">
        <v>400</v>
      </c>
      <c r="E148" s="10" t="str">
        <f aca="false">INDEX(球隊主檔!$C$2:$C$31,MATCH($D148,球隊主檔!$A$2:$A$31,0))</f>
        <v>德州遊騎兵</v>
      </c>
      <c r="F148" s="10" t="str">
        <f aca="false">INDEX(球隊主檔!$D$2:$D$31,MATCH($D148,球隊主檔!$A$2:$A$31,0))</f>
        <v>美聯</v>
      </c>
      <c r="G148" s="7" t="s">
        <v>63</v>
      </c>
      <c r="H148" s="11" t="n">
        <f aca="false">INT((DATE($A148,7,1)-INDEX(球員主檔!$G$2:$G$749,MATCH($B148,球員主檔!$A$2:$A$749,0)))/365.25)</f>
        <v>31</v>
      </c>
      <c r="I148" s="12" t="n">
        <v>139</v>
      </c>
      <c r="J148" s="12" t="n">
        <v>551</v>
      </c>
      <c r="K148" s="12" t="n">
        <v>491</v>
      </c>
      <c r="L148" s="12" t="n">
        <v>59</v>
      </c>
      <c r="M148" s="12" t="n">
        <v>127</v>
      </c>
      <c r="N148" s="12" t="n">
        <v>29</v>
      </c>
      <c r="O148" s="12" t="n">
        <v>8</v>
      </c>
      <c r="P148" s="12" t="n">
        <v>12</v>
      </c>
      <c r="Q148" s="12" t="n">
        <v>51</v>
      </c>
      <c r="R148" s="12" t="n">
        <v>56</v>
      </c>
      <c r="S148" s="12" t="n">
        <v>108</v>
      </c>
      <c r="T148" s="12" t="n">
        <v>3</v>
      </c>
      <c r="U148" s="12" t="n">
        <v>1</v>
      </c>
      <c r="V148" s="12" t="n">
        <v>15</v>
      </c>
      <c r="W148" s="12" t="n">
        <v>4</v>
      </c>
      <c r="X148" s="13" t="n">
        <f aca="false">M148+N148+2*O148+3*P148</f>
        <v>208</v>
      </c>
      <c r="Y148" s="14" t="n">
        <f aca="false">IF(K148=0,0,M148/K148)</f>
        <v>0.258655804480652</v>
      </c>
      <c r="Z148" s="14" t="n">
        <f aca="false">IF(K148+R148+T148+U148=0,0,(M148+R148+T148)/(K148+R148+T148+U148))</f>
        <v>0.337568058076225</v>
      </c>
      <c r="AA148" s="14" t="n">
        <f aca="false">IF(K148=0,0,X148/K148)</f>
        <v>0.423625254582485</v>
      </c>
      <c r="AB148" s="14" t="n">
        <f aca="false">Z148+AA148</f>
        <v>0.76119331265871</v>
      </c>
      <c r="AC148" s="14" t="n">
        <f aca="false">AA148-Y148</f>
        <v>0.164969450101833</v>
      </c>
      <c r="AD148" s="14" t="n">
        <f aca="false">IF(K148-S148-P148+U148=0,0,(M148-P148)/(K148-S148-P148+U148))</f>
        <v>0.309139784946237</v>
      </c>
      <c r="AE148" s="15" t="n">
        <f aca="false">IF(J148=0,0,R148/J148)</f>
        <v>0.101633393829401</v>
      </c>
      <c r="AF148" s="15" t="n">
        <f aca="false">IF(J148=0,0,S148/J148)</f>
        <v>0.196007259528131</v>
      </c>
      <c r="AG148" s="11" t="n">
        <f aca="false">IF(J148&gt;=INDEX(球季參數!$E$2:$E$4,MATCH($A148,球季參數!$A$2:$A$4,0)),1,0)</f>
        <v>1</v>
      </c>
    </row>
    <row r="149" customFormat="false" ht="15" hidden="false" customHeight="false" outlineLevel="0" collapsed="false">
      <c r="A149" s="5" t="n">
        <v>2024</v>
      </c>
      <c r="B149" s="7" t="s">
        <v>1051</v>
      </c>
      <c r="C149" s="10" t="str">
        <f aca="false">INDEX(球員主檔!$B$2:$B$749,MATCH($B149,球員主檔!$A$2:$A$749,0))</f>
        <v>Dimitri Wainwright</v>
      </c>
      <c r="D149" s="7" t="s">
        <v>400</v>
      </c>
      <c r="E149" s="10" t="str">
        <f aca="false">INDEX(球隊主檔!$C$2:$C$31,MATCH($D149,球隊主檔!$A$2:$A$31,0))</f>
        <v>德州遊騎兵</v>
      </c>
      <c r="F149" s="10" t="str">
        <f aca="false">INDEX(球隊主檔!$D$2:$D$31,MATCH($D149,球隊主檔!$A$2:$A$31,0))</f>
        <v>美聯</v>
      </c>
      <c r="G149" s="7" t="s">
        <v>478</v>
      </c>
      <c r="H149" s="11" t="n">
        <f aca="false">INT((DATE($A149,7,1)-INDEX(球員主檔!$G$2:$G$749,MATCH($B149,球員主檔!$A$2:$A$749,0)))/365.25)</f>
        <v>31</v>
      </c>
      <c r="I149" s="12" t="n">
        <v>65</v>
      </c>
      <c r="J149" s="12" t="n">
        <v>257</v>
      </c>
      <c r="K149" s="12" t="n">
        <v>231</v>
      </c>
      <c r="L149" s="12" t="n">
        <v>28</v>
      </c>
      <c r="M149" s="12" t="n">
        <v>58</v>
      </c>
      <c r="N149" s="12" t="n">
        <v>24</v>
      </c>
      <c r="O149" s="12" t="n">
        <v>5</v>
      </c>
      <c r="P149" s="12" t="n">
        <v>6</v>
      </c>
      <c r="Q149" s="12" t="n">
        <v>30</v>
      </c>
      <c r="R149" s="12" t="n">
        <v>23</v>
      </c>
      <c r="S149" s="12" t="n">
        <v>69</v>
      </c>
      <c r="T149" s="12" t="n">
        <v>3</v>
      </c>
      <c r="U149" s="12" t="n">
        <v>0</v>
      </c>
      <c r="V149" s="12" t="n">
        <v>5</v>
      </c>
      <c r="W149" s="12" t="n">
        <v>1</v>
      </c>
      <c r="X149" s="13" t="n">
        <f aca="false">M149+N149+2*O149+3*P149</f>
        <v>110</v>
      </c>
      <c r="Y149" s="14" t="n">
        <f aca="false">IF(K149=0,0,M149/K149)</f>
        <v>0.251082251082251</v>
      </c>
      <c r="Z149" s="14" t="n">
        <f aca="false">IF(K149+R149+T149+U149=0,0,(M149+R149+T149)/(K149+R149+T149+U149))</f>
        <v>0.326848249027237</v>
      </c>
      <c r="AA149" s="14" t="n">
        <f aca="false">IF(K149=0,0,X149/K149)</f>
        <v>0.476190476190476</v>
      </c>
      <c r="AB149" s="14" t="n">
        <f aca="false">Z149+AA149</f>
        <v>0.803038725217714</v>
      </c>
      <c r="AC149" s="14" t="n">
        <f aca="false">AA149-Y149</f>
        <v>0.225108225108225</v>
      </c>
      <c r="AD149" s="14" t="n">
        <f aca="false">IF(K149-S149-P149+U149=0,0,(M149-P149)/(K149-S149-P149+U149))</f>
        <v>0.333333333333333</v>
      </c>
      <c r="AE149" s="15" t="n">
        <f aca="false">IF(J149=0,0,R149/J149)</f>
        <v>0.0894941634241245</v>
      </c>
      <c r="AF149" s="15" t="n">
        <f aca="false">IF(J149=0,0,S149/J149)</f>
        <v>0.268482490272374</v>
      </c>
      <c r="AG149" s="11" t="n">
        <f aca="false">IF(J149&gt;=INDEX(球季參數!$E$2:$E$4,MATCH($A149,球季參數!$A$2:$A$4,0)),1,0)</f>
        <v>0</v>
      </c>
    </row>
    <row r="150" customFormat="false" ht="15" hidden="false" customHeight="false" outlineLevel="0" collapsed="false">
      <c r="A150" s="5" t="n">
        <v>2024</v>
      </c>
      <c r="B150" s="7" t="s">
        <v>1053</v>
      </c>
      <c r="C150" s="10" t="str">
        <f aca="false">INDEX(球員主檔!$B$2:$B$749,MATCH($B150,球員主檔!$A$2:$A$749,0))</f>
        <v>Camilo Brightwell</v>
      </c>
      <c r="D150" s="7" t="s">
        <v>400</v>
      </c>
      <c r="E150" s="10" t="str">
        <f aca="false">INDEX(球隊主檔!$C$2:$C$31,MATCH($D150,球隊主檔!$A$2:$A$31,0))</f>
        <v>德州遊騎兵</v>
      </c>
      <c r="F150" s="10" t="str">
        <f aca="false">INDEX(球隊主檔!$D$2:$D$31,MATCH($D150,球隊主檔!$A$2:$A$31,0))</f>
        <v>美聯</v>
      </c>
      <c r="G150" s="7" t="s">
        <v>478</v>
      </c>
      <c r="H150" s="11" t="n">
        <f aca="false">INT((DATE($A150,7,1)-INDEX(球員主檔!$G$2:$G$749,MATCH($B150,球員主檔!$A$2:$A$749,0)))/365.25)</f>
        <v>22</v>
      </c>
      <c r="I150" s="12" t="n">
        <v>39</v>
      </c>
      <c r="J150" s="12" t="n">
        <v>165</v>
      </c>
      <c r="K150" s="12" t="n">
        <v>150</v>
      </c>
      <c r="L150" s="12" t="n">
        <v>20</v>
      </c>
      <c r="M150" s="12" t="n">
        <v>38</v>
      </c>
      <c r="N150" s="12" t="n">
        <v>12</v>
      </c>
      <c r="O150" s="12" t="n">
        <v>6</v>
      </c>
      <c r="P150" s="12" t="n">
        <v>4</v>
      </c>
      <c r="Q150" s="12" t="n">
        <v>19</v>
      </c>
      <c r="R150" s="12" t="n">
        <v>12</v>
      </c>
      <c r="S150" s="12" t="n">
        <v>46</v>
      </c>
      <c r="T150" s="12" t="n">
        <v>1</v>
      </c>
      <c r="U150" s="12" t="n">
        <v>2</v>
      </c>
      <c r="V150" s="12" t="n">
        <v>6</v>
      </c>
      <c r="W150" s="12" t="n">
        <v>1</v>
      </c>
      <c r="X150" s="13" t="n">
        <f aca="false">M150+N150+2*O150+3*P150</f>
        <v>74</v>
      </c>
      <c r="Y150" s="14" t="n">
        <f aca="false">IF(K150=0,0,M150/K150)</f>
        <v>0.253333333333333</v>
      </c>
      <c r="Z150" s="14" t="n">
        <f aca="false">IF(K150+R150+T150+U150=0,0,(M150+R150+T150)/(K150+R150+T150+U150))</f>
        <v>0.309090909090909</v>
      </c>
      <c r="AA150" s="14" t="n">
        <f aca="false">IF(K150=0,0,X150/K150)</f>
        <v>0.493333333333333</v>
      </c>
      <c r="AB150" s="14" t="n">
        <f aca="false">Z150+AA150</f>
        <v>0.802424242424243</v>
      </c>
      <c r="AC150" s="14" t="n">
        <f aca="false">AA150-Y150</f>
        <v>0.24</v>
      </c>
      <c r="AD150" s="14" t="n">
        <f aca="false">IF(K150-S150-P150+U150=0,0,(M150-P150)/(K150-S150-P150+U150))</f>
        <v>0.333333333333333</v>
      </c>
      <c r="AE150" s="15" t="n">
        <f aca="false">IF(J150=0,0,R150/J150)</f>
        <v>0.0727272727272727</v>
      </c>
      <c r="AF150" s="15" t="n">
        <f aca="false">IF(J150=0,0,S150/J150)</f>
        <v>0.278787878787879</v>
      </c>
      <c r="AG150" s="11" t="n">
        <f aca="false">IF(J150&gt;=INDEX(球季參數!$E$2:$E$4,MATCH($A150,球季參數!$A$2:$A$4,0)),1,0)</f>
        <v>0</v>
      </c>
    </row>
    <row r="151" customFormat="false" ht="15" hidden="false" customHeight="false" outlineLevel="0" collapsed="false">
      <c r="A151" s="5" t="n">
        <v>2024</v>
      </c>
      <c r="B151" s="7" t="s">
        <v>1055</v>
      </c>
      <c r="C151" s="10" t="str">
        <f aca="false">INDEX(球員主檔!$B$2:$B$749,MATCH($B151,球員主檔!$A$2:$A$749,0))</f>
        <v>Esteban Nordstrom</v>
      </c>
      <c r="D151" s="7" t="s">
        <v>400</v>
      </c>
      <c r="E151" s="10" t="str">
        <f aca="false">INDEX(球隊主檔!$C$2:$C$31,MATCH($D151,球隊主檔!$A$2:$A$31,0))</f>
        <v>德州遊騎兵</v>
      </c>
      <c r="F151" s="10" t="str">
        <f aca="false">INDEX(球隊主檔!$D$2:$D$31,MATCH($D151,球隊主檔!$A$2:$A$31,0))</f>
        <v>美聯</v>
      </c>
      <c r="G151" s="7" t="s">
        <v>470</v>
      </c>
      <c r="H151" s="11" t="n">
        <f aca="false">INT((DATE($A151,7,1)-INDEX(球員主檔!$G$2:$G$749,MATCH($B151,球員主檔!$A$2:$A$749,0)))/365.25)</f>
        <v>28</v>
      </c>
      <c r="I151" s="12" t="n">
        <v>62</v>
      </c>
      <c r="J151" s="12" t="n">
        <v>242</v>
      </c>
      <c r="K151" s="12" t="n">
        <v>215</v>
      </c>
      <c r="L151" s="12" t="n">
        <v>26</v>
      </c>
      <c r="M151" s="12" t="n">
        <v>49</v>
      </c>
      <c r="N151" s="12" t="n">
        <v>19</v>
      </c>
      <c r="O151" s="12" t="n">
        <v>5</v>
      </c>
      <c r="P151" s="12" t="n">
        <v>6</v>
      </c>
      <c r="Q151" s="12" t="n">
        <v>22</v>
      </c>
      <c r="R151" s="12" t="n">
        <v>21</v>
      </c>
      <c r="S151" s="12" t="n">
        <v>41</v>
      </c>
      <c r="T151" s="12" t="n">
        <v>5</v>
      </c>
      <c r="U151" s="12" t="n">
        <v>1</v>
      </c>
      <c r="V151" s="12" t="n">
        <v>4</v>
      </c>
      <c r="W151" s="12" t="n">
        <v>1</v>
      </c>
      <c r="X151" s="13" t="n">
        <f aca="false">M151+N151+2*O151+3*P151</f>
        <v>96</v>
      </c>
      <c r="Y151" s="14" t="n">
        <f aca="false">IF(K151=0,0,M151/K151)</f>
        <v>0.227906976744186</v>
      </c>
      <c r="Z151" s="14" t="n">
        <f aca="false">IF(K151+R151+T151+U151=0,0,(M151+R151+T151)/(K151+R151+T151+U151))</f>
        <v>0.309917355371901</v>
      </c>
      <c r="AA151" s="14" t="n">
        <f aca="false">IF(K151=0,0,X151/K151)</f>
        <v>0.446511627906977</v>
      </c>
      <c r="AB151" s="14" t="n">
        <f aca="false">Z151+AA151</f>
        <v>0.756428983278878</v>
      </c>
      <c r="AC151" s="14" t="n">
        <f aca="false">AA151-Y151</f>
        <v>0.218604651162791</v>
      </c>
      <c r="AD151" s="14" t="n">
        <f aca="false">IF(K151-S151-P151+U151=0,0,(M151-P151)/(K151-S151-P151+U151))</f>
        <v>0.254437869822485</v>
      </c>
      <c r="AE151" s="15" t="n">
        <f aca="false">IF(J151=0,0,R151/J151)</f>
        <v>0.0867768595041322</v>
      </c>
      <c r="AF151" s="15" t="n">
        <f aca="false">IF(J151=0,0,S151/J151)</f>
        <v>0.169421487603306</v>
      </c>
      <c r="AG151" s="11" t="n">
        <f aca="false">IF(J151&gt;=INDEX(球季參數!$E$2:$E$4,MATCH($A151,球季參數!$A$2:$A$4,0)),1,0)</f>
        <v>0</v>
      </c>
    </row>
    <row r="152" customFormat="false" ht="15" hidden="false" customHeight="false" outlineLevel="0" collapsed="false">
      <c r="A152" s="5" t="n">
        <v>2024</v>
      </c>
      <c r="B152" s="7" t="s">
        <v>1077</v>
      </c>
      <c r="C152" s="10" t="str">
        <f aca="false">INDEX(球員主檔!$B$2:$B$749,MATCH($B152,球員主檔!$A$2:$A$749,0))</f>
        <v>Emilio Cavanaugh</v>
      </c>
      <c r="D152" s="7" t="s">
        <v>404</v>
      </c>
      <c r="E152" s="10" t="str">
        <f aca="false">INDEX(球隊主檔!$C$2:$C$31,MATCH($D152,球隊主檔!$A$2:$A$31,0))</f>
        <v>亞特蘭大勇士</v>
      </c>
      <c r="F152" s="10" t="str">
        <f aca="false">INDEX(球隊主檔!$D$2:$D$31,MATCH($D152,球隊主檔!$A$2:$A$31,0))</f>
        <v>國聯</v>
      </c>
      <c r="G152" s="7" t="s">
        <v>470</v>
      </c>
      <c r="H152" s="11" t="n">
        <f aca="false">INT((DATE($A152,7,1)-INDEX(球員主檔!$G$2:$G$749,MATCH($B152,球員主檔!$A$2:$A$749,0)))/365.25)</f>
        <v>24</v>
      </c>
      <c r="I152" s="12" t="n">
        <v>143</v>
      </c>
      <c r="J152" s="12" t="n">
        <v>572</v>
      </c>
      <c r="K152" s="12" t="n">
        <v>499</v>
      </c>
      <c r="L152" s="12" t="n">
        <v>75</v>
      </c>
      <c r="M152" s="12" t="n">
        <v>125</v>
      </c>
      <c r="N152" s="12" t="n">
        <v>24</v>
      </c>
      <c r="O152" s="12" t="n">
        <v>5</v>
      </c>
      <c r="P152" s="12" t="n">
        <v>20</v>
      </c>
      <c r="Q152" s="12" t="n">
        <v>69</v>
      </c>
      <c r="R152" s="12" t="n">
        <v>65</v>
      </c>
      <c r="S152" s="12" t="n">
        <v>146</v>
      </c>
      <c r="T152" s="12" t="n">
        <v>5</v>
      </c>
      <c r="U152" s="12" t="n">
        <v>3</v>
      </c>
      <c r="V152" s="12" t="n">
        <v>14</v>
      </c>
      <c r="W152" s="12" t="n">
        <v>3</v>
      </c>
      <c r="X152" s="13" t="n">
        <f aca="false">M152+N152+2*O152+3*P152</f>
        <v>219</v>
      </c>
      <c r="Y152" s="14" t="n">
        <f aca="false">IF(K152=0,0,M152/K152)</f>
        <v>0.250501002004008</v>
      </c>
      <c r="Z152" s="14" t="n">
        <f aca="false">IF(K152+R152+T152+U152=0,0,(M152+R152+T152)/(K152+R152+T152+U152))</f>
        <v>0.340909090909091</v>
      </c>
      <c r="AA152" s="14" t="n">
        <f aca="false">IF(K152=0,0,X152/K152)</f>
        <v>0.438877755511022</v>
      </c>
      <c r="AB152" s="14" t="n">
        <f aca="false">Z152+AA152</f>
        <v>0.779786846420113</v>
      </c>
      <c r="AC152" s="14" t="n">
        <f aca="false">AA152-Y152</f>
        <v>0.188376753507014</v>
      </c>
      <c r="AD152" s="14" t="n">
        <f aca="false">IF(K152-S152-P152+U152=0,0,(M152-P152)/(K152-S152-P152+U152))</f>
        <v>0.3125</v>
      </c>
      <c r="AE152" s="15" t="n">
        <f aca="false">IF(J152=0,0,R152/J152)</f>
        <v>0.113636363636364</v>
      </c>
      <c r="AF152" s="15" t="n">
        <f aca="false">IF(J152=0,0,S152/J152)</f>
        <v>0.255244755244755</v>
      </c>
      <c r="AG152" s="11" t="n">
        <f aca="false">IF(J152&gt;=INDEX(球季參數!$E$2:$E$4,MATCH($A152,球季參數!$A$2:$A$4,0)),1,0)</f>
        <v>1</v>
      </c>
    </row>
    <row r="153" customFormat="false" ht="15" hidden="false" customHeight="false" outlineLevel="0" collapsed="false">
      <c r="A153" s="5" t="n">
        <v>2024</v>
      </c>
      <c r="B153" s="7" t="s">
        <v>1079</v>
      </c>
      <c r="C153" s="10" t="str">
        <f aca="false">INDEX(球員主檔!$B$2:$B$749,MATCH($B153,球員主檔!$A$2:$A$749,0))</f>
        <v>Augustin Vandermeer</v>
      </c>
      <c r="D153" s="7" t="s">
        <v>404</v>
      </c>
      <c r="E153" s="10" t="str">
        <f aca="false">INDEX(球隊主檔!$C$2:$C$31,MATCH($D153,球隊主檔!$A$2:$A$31,0))</f>
        <v>亞特蘭大勇士</v>
      </c>
      <c r="F153" s="10" t="str">
        <f aca="false">INDEX(球隊主檔!$D$2:$D$31,MATCH($D153,球隊主檔!$A$2:$A$31,0))</f>
        <v>國聯</v>
      </c>
      <c r="G153" s="7" t="s">
        <v>483</v>
      </c>
      <c r="H153" s="11" t="n">
        <f aca="false">INT((DATE($A153,7,1)-INDEX(球員主檔!$G$2:$G$749,MATCH($B153,球員主檔!$A$2:$A$749,0)))/365.25)</f>
        <v>27</v>
      </c>
      <c r="I153" s="12" t="n">
        <v>137</v>
      </c>
      <c r="J153" s="12" t="n">
        <v>595</v>
      </c>
      <c r="K153" s="12" t="n">
        <v>508</v>
      </c>
      <c r="L153" s="12" t="n">
        <v>67</v>
      </c>
      <c r="M153" s="12" t="n">
        <v>123</v>
      </c>
      <c r="N153" s="12" t="n">
        <v>41</v>
      </c>
      <c r="O153" s="12" t="n">
        <v>12</v>
      </c>
      <c r="P153" s="12" t="n">
        <v>18</v>
      </c>
      <c r="Q153" s="12" t="n">
        <v>59</v>
      </c>
      <c r="R153" s="12" t="n">
        <v>73</v>
      </c>
      <c r="S153" s="12" t="n">
        <v>141</v>
      </c>
      <c r="T153" s="12" t="n">
        <v>10</v>
      </c>
      <c r="U153" s="12" t="n">
        <v>4</v>
      </c>
      <c r="V153" s="12" t="n">
        <v>5</v>
      </c>
      <c r="W153" s="12" t="n">
        <v>1</v>
      </c>
      <c r="X153" s="13" t="n">
        <f aca="false">M153+N153+2*O153+3*P153</f>
        <v>242</v>
      </c>
      <c r="Y153" s="14" t="n">
        <f aca="false">IF(K153=0,0,M153/K153)</f>
        <v>0.242125984251969</v>
      </c>
      <c r="Z153" s="14" t="n">
        <f aca="false">IF(K153+R153+T153+U153=0,0,(M153+R153+T153)/(K153+R153+T153+U153))</f>
        <v>0.346218487394958</v>
      </c>
      <c r="AA153" s="14" t="n">
        <f aca="false">IF(K153=0,0,X153/K153)</f>
        <v>0.476377952755906</v>
      </c>
      <c r="AB153" s="14" t="n">
        <f aca="false">Z153+AA153</f>
        <v>0.822596440150863</v>
      </c>
      <c r="AC153" s="14" t="n">
        <f aca="false">AA153-Y153</f>
        <v>0.234251968503937</v>
      </c>
      <c r="AD153" s="14" t="n">
        <f aca="false">IF(K153-S153-P153+U153=0,0,(M153-P153)/(K153-S153-P153+U153))</f>
        <v>0.297450424929178</v>
      </c>
      <c r="AE153" s="15" t="n">
        <f aca="false">IF(J153=0,0,R153/J153)</f>
        <v>0.122689075630252</v>
      </c>
      <c r="AF153" s="15" t="n">
        <f aca="false">IF(J153=0,0,S153/J153)</f>
        <v>0.236974789915966</v>
      </c>
      <c r="AG153" s="11" t="n">
        <f aca="false">IF(J153&gt;=INDEX(球季參數!$E$2:$E$4,MATCH($A153,球季參數!$A$2:$A$4,0)),1,0)</f>
        <v>1</v>
      </c>
    </row>
    <row r="154" customFormat="false" ht="15" hidden="false" customHeight="false" outlineLevel="0" collapsed="false">
      <c r="A154" s="5" t="n">
        <v>2024</v>
      </c>
      <c r="B154" s="7" t="s">
        <v>1081</v>
      </c>
      <c r="C154" s="10" t="str">
        <f aca="false">INDEX(球員主檔!$B$2:$B$749,MATCH($B154,球員主檔!$A$2:$A$749,0))</f>
        <v>Minjae Quiroga</v>
      </c>
      <c r="D154" s="7" t="s">
        <v>404</v>
      </c>
      <c r="E154" s="10" t="str">
        <f aca="false">INDEX(球隊主檔!$C$2:$C$31,MATCH($D154,球隊主檔!$A$2:$A$31,0))</f>
        <v>亞特蘭大勇士</v>
      </c>
      <c r="F154" s="10" t="str">
        <f aca="false">INDEX(球隊主檔!$D$2:$D$31,MATCH($D154,球隊主檔!$A$2:$A$31,0))</f>
        <v>國聯</v>
      </c>
      <c r="G154" s="7" t="s">
        <v>522</v>
      </c>
      <c r="H154" s="11" t="n">
        <f aca="false">INT((DATE($A154,7,1)-INDEX(球員主檔!$G$2:$G$749,MATCH($B154,球員主檔!$A$2:$A$749,0)))/365.25)</f>
        <v>24</v>
      </c>
      <c r="I154" s="12" t="n">
        <v>157</v>
      </c>
      <c r="J154" s="12" t="n">
        <v>655</v>
      </c>
      <c r="K154" s="12" t="n">
        <v>573</v>
      </c>
      <c r="L154" s="12" t="n">
        <v>75</v>
      </c>
      <c r="M154" s="12" t="n">
        <v>133</v>
      </c>
      <c r="N154" s="12" t="n">
        <v>37</v>
      </c>
      <c r="O154" s="12" t="n">
        <v>7</v>
      </c>
      <c r="P154" s="12" t="n">
        <v>13</v>
      </c>
      <c r="Q154" s="12" t="n">
        <v>55</v>
      </c>
      <c r="R154" s="12" t="n">
        <v>76</v>
      </c>
      <c r="S154" s="12" t="n">
        <v>192</v>
      </c>
      <c r="T154" s="12" t="n">
        <v>2</v>
      </c>
      <c r="U154" s="12" t="n">
        <v>4</v>
      </c>
      <c r="V154" s="12" t="n">
        <v>36</v>
      </c>
      <c r="W154" s="12" t="n">
        <v>6</v>
      </c>
      <c r="X154" s="13" t="n">
        <f aca="false">M154+N154+2*O154+3*P154</f>
        <v>223</v>
      </c>
      <c r="Y154" s="14" t="n">
        <f aca="false">IF(K154=0,0,M154/K154)</f>
        <v>0.232111692844677</v>
      </c>
      <c r="Z154" s="14" t="n">
        <f aca="false">IF(K154+R154+T154+U154=0,0,(M154+R154+T154)/(K154+R154+T154+U154))</f>
        <v>0.322137404580153</v>
      </c>
      <c r="AA154" s="14" t="n">
        <f aca="false">IF(K154=0,0,X154/K154)</f>
        <v>0.389179755671902</v>
      </c>
      <c r="AB154" s="14" t="n">
        <f aca="false">Z154+AA154</f>
        <v>0.711317160252055</v>
      </c>
      <c r="AC154" s="14" t="n">
        <f aca="false">AA154-Y154</f>
        <v>0.157068062827225</v>
      </c>
      <c r="AD154" s="14" t="n">
        <f aca="false">IF(K154-S154-P154+U154=0,0,(M154-P154)/(K154-S154-P154+U154))</f>
        <v>0.32258064516129</v>
      </c>
      <c r="AE154" s="15" t="n">
        <f aca="false">IF(J154=0,0,R154/J154)</f>
        <v>0.116030534351145</v>
      </c>
      <c r="AF154" s="15" t="n">
        <f aca="false">IF(J154=0,0,S154/J154)</f>
        <v>0.293129770992366</v>
      </c>
      <c r="AG154" s="11" t="n">
        <f aca="false">IF(J154&gt;=INDEX(球季參數!$E$2:$E$4,MATCH($A154,球季參數!$A$2:$A$4,0)),1,0)</f>
        <v>1</v>
      </c>
    </row>
    <row r="155" customFormat="false" ht="15" hidden="false" customHeight="false" outlineLevel="0" collapsed="false">
      <c r="A155" s="5" t="n">
        <v>2024</v>
      </c>
      <c r="B155" s="7" t="s">
        <v>1083</v>
      </c>
      <c r="C155" s="10" t="str">
        <f aca="false">INDEX(球員主檔!$B$2:$B$749,MATCH($B155,球員主檔!$A$2:$A$749,0))</f>
        <v>Zane Dunmore</v>
      </c>
      <c r="D155" s="7" t="s">
        <v>404</v>
      </c>
      <c r="E155" s="10" t="str">
        <f aca="false">INDEX(球隊主檔!$C$2:$C$31,MATCH($D155,球隊主檔!$A$2:$A$31,0))</f>
        <v>亞特蘭大勇士</v>
      </c>
      <c r="F155" s="10" t="str">
        <f aca="false">INDEX(球隊主檔!$D$2:$D$31,MATCH($D155,球隊主檔!$A$2:$A$31,0))</f>
        <v>國聯</v>
      </c>
      <c r="G155" s="7" t="s">
        <v>473</v>
      </c>
      <c r="H155" s="11" t="n">
        <f aca="false">INT((DATE($A155,7,1)-INDEX(球員主檔!$G$2:$G$749,MATCH($B155,球員主檔!$A$2:$A$749,0)))/365.25)</f>
        <v>26</v>
      </c>
      <c r="I155" s="12" t="n">
        <v>93</v>
      </c>
      <c r="J155" s="12" t="n">
        <v>403</v>
      </c>
      <c r="K155" s="12" t="n">
        <v>342</v>
      </c>
      <c r="L155" s="12" t="n">
        <v>49</v>
      </c>
      <c r="M155" s="12" t="n">
        <v>76</v>
      </c>
      <c r="N155" s="12" t="n">
        <v>18</v>
      </c>
      <c r="O155" s="12" t="n">
        <v>7</v>
      </c>
      <c r="P155" s="12" t="n">
        <v>15</v>
      </c>
      <c r="Q155" s="12" t="n">
        <v>48</v>
      </c>
      <c r="R155" s="12" t="n">
        <v>54</v>
      </c>
      <c r="S155" s="12" t="n">
        <v>92</v>
      </c>
      <c r="T155" s="12" t="n">
        <v>2</v>
      </c>
      <c r="U155" s="12" t="n">
        <v>5</v>
      </c>
      <c r="V155" s="12" t="n">
        <v>5</v>
      </c>
      <c r="W155" s="12" t="n">
        <v>2</v>
      </c>
      <c r="X155" s="13" t="n">
        <f aca="false">M155+N155+2*O155+3*P155</f>
        <v>153</v>
      </c>
      <c r="Y155" s="14" t="n">
        <f aca="false">IF(K155=0,0,M155/K155)</f>
        <v>0.222222222222222</v>
      </c>
      <c r="Z155" s="14" t="n">
        <f aca="false">IF(K155+R155+T155+U155=0,0,(M155+R155+T155)/(K155+R155+T155+U155))</f>
        <v>0.327543424317618</v>
      </c>
      <c r="AA155" s="14" t="n">
        <f aca="false">IF(K155=0,0,X155/K155)</f>
        <v>0.447368421052632</v>
      </c>
      <c r="AB155" s="14" t="n">
        <f aca="false">Z155+AA155</f>
        <v>0.77491184537025</v>
      </c>
      <c r="AC155" s="14" t="n">
        <f aca="false">AA155-Y155</f>
        <v>0.225146198830409</v>
      </c>
      <c r="AD155" s="14" t="n">
        <f aca="false">IF(K155-S155-P155+U155=0,0,(M155-P155)/(K155-S155-P155+U155))</f>
        <v>0.254166666666667</v>
      </c>
      <c r="AE155" s="15" t="n">
        <f aca="false">IF(J155=0,0,R155/J155)</f>
        <v>0.133995037220844</v>
      </c>
      <c r="AF155" s="15" t="n">
        <f aca="false">IF(J155=0,0,S155/J155)</f>
        <v>0.228287841191067</v>
      </c>
      <c r="AG155" s="11" t="n">
        <f aca="false">IF(J155&gt;=INDEX(球季參數!$E$2:$E$4,MATCH($A155,球季參數!$A$2:$A$4,0)),1,0)</f>
        <v>0</v>
      </c>
    </row>
    <row r="156" customFormat="false" ht="15" hidden="false" customHeight="false" outlineLevel="0" collapsed="false">
      <c r="A156" s="5" t="n">
        <v>2024</v>
      </c>
      <c r="B156" s="7" t="s">
        <v>1085</v>
      </c>
      <c r="C156" s="10" t="str">
        <f aca="false">INDEX(球員主檔!$B$2:$B$749,MATCH($B156,球員主檔!$A$2:$A$749,0))</f>
        <v>Quentin Sorrentino</v>
      </c>
      <c r="D156" s="7" t="s">
        <v>404</v>
      </c>
      <c r="E156" s="10" t="str">
        <f aca="false">INDEX(球隊主檔!$C$2:$C$31,MATCH($D156,球隊主檔!$A$2:$A$31,0))</f>
        <v>亞特蘭大勇士</v>
      </c>
      <c r="F156" s="10" t="str">
        <f aca="false">INDEX(球隊主檔!$D$2:$D$31,MATCH($D156,球隊主檔!$A$2:$A$31,0))</f>
        <v>國聯</v>
      </c>
      <c r="G156" s="7" t="s">
        <v>522</v>
      </c>
      <c r="H156" s="11" t="n">
        <f aca="false">INT((DATE($A156,7,1)-INDEX(球員主檔!$G$2:$G$749,MATCH($B156,球員主檔!$A$2:$A$749,0)))/365.25)</f>
        <v>33</v>
      </c>
      <c r="I156" s="12" t="n">
        <v>159</v>
      </c>
      <c r="J156" s="12" t="n">
        <v>698</v>
      </c>
      <c r="K156" s="12" t="n">
        <v>618</v>
      </c>
      <c r="L156" s="12" t="n">
        <v>54</v>
      </c>
      <c r="M156" s="12" t="n">
        <v>121</v>
      </c>
      <c r="N156" s="12" t="n">
        <v>38</v>
      </c>
      <c r="O156" s="12" t="n">
        <v>2</v>
      </c>
      <c r="P156" s="12" t="n">
        <v>10</v>
      </c>
      <c r="Q156" s="12" t="n">
        <v>56</v>
      </c>
      <c r="R156" s="12" t="n">
        <v>63</v>
      </c>
      <c r="S156" s="12" t="n">
        <v>144</v>
      </c>
      <c r="T156" s="12" t="n">
        <v>12</v>
      </c>
      <c r="U156" s="12" t="n">
        <v>5</v>
      </c>
      <c r="V156" s="12" t="n">
        <v>14</v>
      </c>
      <c r="W156" s="12" t="n">
        <v>1</v>
      </c>
      <c r="X156" s="13" t="n">
        <f aca="false">M156+N156+2*O156+3*P156</f>
        <v>193</v>
      </c>
      <c r="Y156" s="14" t="n">
        <f aca="false">IF(K156=0,0,M156/K156)</f>
        <v>0.1957928802589</v>
      </c>
      <c r="Z156" s="14" t="n">
        <f aca="false">IF(K156+R156+T156+U156=0,0,(M156+R156+T156)/(K156+R156+T156+U156))</f>
        <v>0.28080229226361</v>
      </c>
      <c r="AA156" s="14" t="n">
        <f aca="false">IF(K156=0,0,X156/K156)</f>
        <v>0.312297734627832</v>
      </c>
      <c r="AB156" s="14" t="n">
        <f aca="false">Z156+AA156</f>
        <v>0.593100026891442</v>
      </c>
      <c r="AC156" s="14" t="n">
        <f aca="false">AA156-Y156</f>
        <v>0.116504854368932</v>
      </c>
      <c r="AD156" s="14" t="n">
        <f aca="false">IF(K156-S156-P156+U156=0,0,(M156-P156)/(K156-S156-P156+U156))</f>
        <v>0.236673773987207</v>
      </c>
      <c r="AE156" s="15" t="n">
        <f aca="false">IF(J156=0,0,R156/J156)</f>
        <v>0.0902578796561605</v>
      </c>
      <c r="AF156" s="15" t="n">
        <f aca="false">IF(J156=0,0,S156/J156)</f>
        <v>0.206303724928367</v>
      </c>
      <c r="AG156" s="11" t="n">
        <f aca="false">IF(J156&gt;=INDEX(球季參數!$E$2:$E$4,MATCH($A156,球季參數!$A$2:$A$4,0)),1,0)</f>
        <v>1</v>
      </c>
    </row>
    <row r="157" customFormat="false" ht="15" hidden="false" customHeight="false" outlineLevel="0" collapsed="false">
      <c r="A157" s="5" t="n">
        <v>2024</v>
      </c>
      <c r="B157" s="7" t="s">
        <v>1087</v>
      </c>
      <c r="C157" s="10" t="str">
        <f aca="false">INDEX(球員主檔!$B$2:$B$749,MATCH($B157,球員主檔!$A$2:$A$749,0))</f>
        <v>Hugo Esquivel</v>
      </c>
      <c r="D157" s="7" t="s">
        <v>404</v>
      </c>
      <c r="E157" s="10" t="str">
        <f aca="false">INDEX(球隊主檔!$C$2:$C$31,MATCH($D157,球隊主檔!$A$2:$A$31,0))</f>
        <v>亞特蘭大勇士</v>
      </c>
      <c r="F157" s="10" t="str">
        <f aca="false">INDEX(球隊主檔!$D$2:$D$31,MATCH($D157,球隊主檔!$A$2:$A$31,0))</f>
        <v>國聯</v>
      </c>
      <c r="G157" s="7" t="s">
        <v>162</v>
      </c>
      <c r="H157" s="11" t="n">
        <f aca="false">INT((DATE($A157,7,1)-INDEX(球員主檔!$G$2:$G$749,MATCH($B157,球員主檔!$A$2:$A$749,0)))/365.25)</f>
        <v>25</v>
      </c>
      <c r="I157" s="12" t="n">
        <v>124</v>
      </c>
      <c r="J157" s="12" t="n">
        <v>514</v>
      </c>
      <c r="K157" s="12" t="n">
        <v>472</v>
      </c>
      <c r="L157" s="12" t="n">
        <v>58</v>
      </c>
      <c r="M157" s="12" t="n">
        <v>149</v>
      </c>
      <c r="N157" s="12" t="n">
        <v>32</v>
      </c>
      <c r="O157" s="12" t="n">
        <v>3</v>
      </c>
      <c r="P157" s="12" t="n">
        <v>11</v>
      </c>
      <c r="Q157" s="12" t="n">
        <v>67</v>
      </c>
      <c r="R157" s="12" t="n">
        <v>31</v>
      </c>
      <c r="S157" s="12" t="n">
        <v>110</v>
      </c>
      <c r="T157" s="12" t="n">
        <v>6</v>
      </c>
      <c r="U157" s="12" t="n">
        <v>5</v>
      </c>
      <c r="V157" s="12" t="n">
        <v>19</v>
      </c>
      <c r="W157" s="12" t="n">
        <v>6</v>
      </c>
      <c r="X157" s="13" t="n">
        <f aca="false">M157+N157+2*O157+3*P157</f>
        <v>220</v>
      </c>
      <c r="Y157" s="14" t="n">
        <f aca="false">IF(K157=0,0,M157/K157)</f>
        <v>0.315677966101695</v>
      </c>
      <c r="Z157" s="14" t="n">
        <f aca="false">IF(K157+R157+T157+U157=0,0,(M157+R157+T157)/(K157+R157+T157+U157))</f>
        <v>0.361867704280156</v>
      </c>
      <c r="AA157" s="14" t="n">
        <f aca="false">IF(K157=0,0,X157/K157)</f>
        <v>0.466101694915254</v>
      </c>
      <c r="AB157" s="14" t="n">
        <f aca="false">Z157+AA157</f>
        <v>0.82796939919541</v>
      </c>
      <c r="AC157" s="14" t="n">
        <f aca="false">AA157-Y157</f>
        <v>0.150423728813559</v>
      </c>
      <c r="AD157" s="14" t="n">
        <f aca="false">IF(K157-S157-P157+U157=0,0,(M157-P157)/(K157-S157-P157+U157))</f>
        <v>0.387640449438202</v>
      </c>
      <c r="AE157" s="15" t="n">
        <f aca="false">IF(J157=0,0,R157/J157)</f>
        <v>0.0603112840466926</v>
      </c>
      <c r="AF157" s="15" t="n">
        <f aca="false">IF(J157=0,0,S157/J157)</f>
        <v>0.214007782101167</v>
      </c>
      <c r="AG157" s="11" t="n">
        <f aca="false">IF(J157&gt;=INDEX(球季參數!$E$2:$E$4,MATCH($A157,球季參數!$A$2:$A$4,0)),1,0)</f>
        <v>1</v>
      </c>
    </row>
    <row r="158" customFormat="false" ht="15" hidden="false" customHeight="false" outlineLevel="0" collapsed="false">
      <c r="A158" s="5" t="n">
        <v>2024</v>
      </c>
      <c r="B158" s="7" t="s">
        <v>1089</v>
      </c>
      <c r="C158" s="10" t="str">
        <f aca="false">INDEX(球員主檔!$B$2:$B$749,MATCH($B158,球員主檔!$A$2:$A$749,0))</f>
        <v>Rhett Ulloa</v>
      </c>
      <c r="D158" s="7" t="s">
        <v>404</v>
      </c>
      <c r="E158" s="10" t="str">
        <f aca="false">INDEX(球隊主檔!$C$2:$C$31,MATCH($D158,球隊主檔!$A$2:$A$31,0))</f>
        <v>亞特蘭大勇士</v>
      </c>
      <c r="F158" s="10" t="str">
        <f aca="false">INDEX(球隊主檔!$D$2:$D$31,MATCH($D158,球隊主檔!$A$2:$A$31,0))</f>
        <v>國聯</v>
      </c>
      <c r="G158" s="7" t="s">
        <v>63</v>
      </c>
      <c r="H158" s="11" t="n">
        <f aca="false">INT((DATE($A158,7,1)-INDEX(球員主檔!$G$2:$G$749,MATCH($B158,球員主檔!$A$2:$A$749,0)))/365.25)</f>
        <v>27</v>
      </c>
      <c r="I158" s="12" t="n">
        <v>127</v>
      </c>
      <c r="J158" s="12" t="n">
        <v>547</v>
      </c>
      <c r="K158" s="12" t="n">
        <v>518</v>
      </c>
      <c r="L158" s="12" t="n">
        <v>61</v>
      </c>
      <c r="M158" s="12" t="n">
        <v>143</v>
      </c>
      <c r="N158" s="12" t="n">
        <v>36</v>
      </c>
      <c r="O158" s="12" t="n">
        <v>4</v>
      </c>
      <c r="P158" s="12" t="n">
        <v>17</v>
      </c>
      <c r="Q158" s="12" t="n">
        <v>57</v>
      </c>
      <c r="R158" s="12" t="n">
        <v>19</v>
      </c>
      <c r="S158" s="12" t="n">
        <v>82</v>
      </c>
      <c r="T158" s="12" t="n">
        <v>9</v>
      </c>
      <c r="U158" s="12" t="n">
        <v>1</v>
      </c>
      <c r="V158" s="12" t="n">
        <v>4</v>
      </c>
      <c r="W158" s="12" t="n">
        <v>1</v>
      </c>
      <c r="X158" s="13" t="n">
        <f aca="false">M158+N158+2*O158+3*P158</f>
        <v>238</v>
      </c>
      <c r="Y158" s="14" t="n">
        <f aca="false">IF(K158=0,0,M158/K158)</f>
        <v>0.276061776061776</v>
      </c>
      <c r="Z158" s="14" t="n">
        <f aca="false">IF(K158+R158+T158+U158=0,0,(M158+R158+T158)/(K158+R158+T158+U158))</f>
        <v>0.312614259597806</v>
      </c>
      <c r="AA158" s="14" t="n">
        <f aca="false">IF(K158=0,0,X158/K158)</f>
        <v>0.45945945945946</v>
      </c>
      <c r="AB158" s="14" t="n">
        <f aca="false">Z158+AA158</f>
        <v>0.772073719057266</v>
      </c>
      <c r="AC158" s="14" t="n">
        <f aca="false">AA158-Y158</f>
        <v>0.183397683397683</v>
      </c>
      <c r="AD158" s="14" t="n">
        <f aca="false">IF(K158-S158-P158+U158=0,0,(M158-P158)/(K158-S158-P158+U158))</f>
        <v>0.3</v>
      </c>
      <c r="AE158" s="15" t="n">
        <f aca="false">IF(J158=0,0,R158/J158)</f>
        <v>0.0347349177330896</v>
      </c>
      <c r="AF158" s="15" t="n">
        <f aca="false">IF(J158=0,0,S158/J158)</f>
        <v>0.149908592321755</v>
      </c>
      <c r="AG158" s="11" t="n">
        <f aca="false">IF(J158&gt;=INDEX(球季參數!$E$2:$E$4,MATCH($A158,球季參數!$A$2:$A$4,0)),1,0)</f>
        <v>1</v>
      </c>
    </row>
    <row r="159" customFormat="false" ht="15" hidden="false" customHeight="false" outlineLevel="0" collapsed="false">
      <c r="A159" s="5" t="n">
        <v>2024</v>
      </c>
      <c r="B159" s="7" t="s">
        <v>1091</v>
      </c>
      <c r="C159" s="10" t="str">
        <f aca="false">INDEX(球員主檔!$B$2:$B$749,MATCH($B159,球員主檔!$A$2:$A$749,0))</f>
        <v>Alonso Nakagawa</v>
      </c>
      <c r="D159" s="7" t="s">
        <v>404</v>
      </c>
      <c r="E159" s="10" t="str">
        <f aca="false">INDEX(球隊主檔!$C$2:$C$31,MATCH($D159,球隊主檔!$A$2:$A$31,0))</f>
        <v>亞特蘭大勇士</v>
      </c>
      <c r="F159" s="10" t="str">
        <f aca="false">INDEX(球隊主檔!$D$2:$D$31,MATCH($D159,球隊主檔!$A$2:$A$31,0))</f>
        <v>國聯</v>
      </c>
      <c r="G159" s="7" t="s">
        <v>158</v>
      </c>
      <c r="H159" s="11" t="n">
        <f aca="false">INT((DATE($A159,7,1)-INDEX(球員主檔!$G$2:$G$749,MATCH($B159,球員主檔!$A$2:$A$749,0)))/365.25)</f>
        <v>28</v>
      </c>
      <c r="I159" s="12" t="n">
        <v>127</v>
      </c>
      <c r="J159" s="12" t="n">
        <v>534</v>
      </c>
      <c r="K159" s="12" t="n">
        <v>482</v>
      </c>
      <c r="L159" s="12" t="n">
        <v>53</v>
      </c>
      <c r="M159" s="12" t="n">
        <v>108</v>
      </c>
      <c r="N159" s="12" t="n">
        <v>16</v>
      </c>
      <c r="O159" s="12" t="n">
        <v>2</v>
      </c>
      <c r="P159" s="12" t="n">
        <v>17</v>
      </c>
      <c r="Q159" s="12" t="n">
        <v>52</v>
      </c>
      <c r="R159" s="12" t="n">
        <v>49</v>
      </c>
      <c r="S159" s="12" t="n">
        <v>119</v>
      </c>
      <c r="T159" s="12" t="n">
        <v>1</v>
      </c>
      <c r="U159" s="12" t="n">
        <v>2</v>
      </c>
      <c r="V159" s="12" t="n">
        <v>3</v>
      </c>
      <c r="W159" s="12" t="n">
        <v>0</v>
      </c>
      <c r="X159" s="13" t="n">
        <f aca="false">M159+N159+2*O159+3*P159</f>
        <v>179</v>
      </c>
      <c r="Y159" s="14" t="n">
        <f aca="false">IF(K159=0,0,M159/K159)</f>
        <v>0.224066390041494</v>
      </c>
      <c r="Z159" s="14" t="n">
        <f aca="false">IF(K159+R159+T159+U159=0,0,(M159+R159+T159)/(K159+R159+T159+U159))</f>
        <v>0.295880149812734</v>
      </c>
      <c r="AA159" s="14" t="n">
        <f aca="false">IF(K159=0,0,X159/K159)</f>
        <v>0.371369294605809</v>
      </c>
      <c r="AB159" s="14" t="n">
        <f aca="false">Z159+AA159</f>
        <v>0.667249444418543</v>
      </c>
      <c r="AC159" s="14" t="n">
        <f aca="false">AA159-Y159</f>
        <v>0.147302904564315</v>
      </c>
      <c r="AD159" s="14" t="n">
        <f aca="false">IF(K159-S159-P159+U159=0,0,(M159-P159)/(K159-S159-P159+U159))</f>
        <v>0.261494252873563</v>
      </c>
      <c r="AE159" s="15" t="n">
        <f aca="false">IF(J159=0,0,R159/J159)</f>
        <v>0.0917602996254682</v>
      </c>
      <c r="AF159" s="15" t="n">
        <f aca="false">IF(J159=0,0,S159/J159)</f>
        <v>0.222846441947566</v>
      </c>
      <c r="AG159" s="11" t="n">
        <f aca="false">IF(J159&gt;=INDEX(球季參數!$E$2:$E$4,MATCH($A159,球季參數!$A$2:$A$4,0)),1,0)</f>
        <v>1</v>
      </c>
    </row>
    <row r="160" customFormat="false" ht="15" hidden="false" customHeight="false" outlineLevel="0" collapsed="false">
      <c r="A160" s="5" t="n">
        <v>2024</v>
      </c>
      <c r="B160" s="7" t="s">
        <v>1093</v>
      </c>
      <c r="C160" s="10" t="str">
        <f aca="false">INDEX(球員主檔!$B$2:$B$749,MATCH($B160,球員主檔!$A$2:$A$749,0))</f>
        <v>Benedikt Lindquist</v>
      </c>
      <c r="D160" s="7" t="s">
        <v>404</v>
      </c>
      <c r="E160" s="10" t="str">
        <f aca="false">INDEX(球隊主檔!$C$2:$C$31,MATCH($D160,球隊主檔!$A$2:$A$31,0))</f>
        <v>亞特蘭大勇士</v>
      </c>
      <c r="F160" s="10" t="str">
        <f aca="false">INDEX(球隊主檔!$D$2:$D$31,MATCH($D160,球隊主檔!$A$2:$A$31,0))</f>
        <v>國聯</v>
      </c>
      <c r="G160" s="7" t="s">
        <v>470</v>
      </c>
      <c r="H160" s="11" t="n">
        <f aca="false">INT((DATE($A160,7,1)-INDEX(球員主檔!$G$2:$G$749,MATCH($B160,球員主檔!$A$2:$A$749,0)))/365.25)</f>
        <v>26</v>
      </c>
      <c r="I160" s="12" t="n">
        <v>53</v>
      </c>
      <c r="J160" s="12" t="n">
        <v>224</v>
      </c>
      <c r="K160" s="12" t="n">
        <v>203</v>
      </c>
      <c r="L160" s="12" t="n">
        <v>28</v>
      </c>
      <c r="M160" s="12" t="n">
        <v>54</v>
      </c>
      <c r="N160" s="12" t="n">
        <v>24</v>
      </c>
      <c r="O160" s="12" t="n">
        <v>2</v>
      </c>
      <c r="P160" s="12" t="n">
        <v>6</v>
      </c>
      <c r="Q160" s="12" t="n">
        <v>23</v>
      </c>
      <c r="R160" s="12" t="n">
        <v>18</v>
      </c>
      <c r="S160" s="12" t="n">
        <v>84</v>
      </c>
      <c r="T160" s="12" t="n">
        <v>2</v>
      </c>
      <c r="U160" s="12" t="n">
        <v>1</v>
      </c>
      <c r="V160" s="12" t="n">
        <v>5</v>
      </c>
      <c r="W160" s="12" t="n">
        <v>2</v>
      </c>
      <c r="X160" s="13" t="n">
        <f aca="false">M160+N160+2*O160+3*P160</f>
        <v>100</v>
      </c>
      <c r="Y160" s="14" t="n">
        <f aca="false">IF(K160=0,0,M160/K160)</f>
        <v>0.266009852216749</v>
      </c>
      <c r="Z160" s="14" t="n">
        <f aca="false">IF(K160+R160+T160+U160=0,0,(M160+R160+T160)/(K160+R160+T160+U160))</f>
        <v>0.330357142857143</v>
      </c>
      <c r="AA160" s="14" t="n">
        <f aca="false">IF(K160=0,0,X160/K160)</f>
        <v>0.492610837438424</v>
      </c>
      <c r="AB160" s="14" t="n">
        <f aca="false">Z160+AA160</f>
        <v>0.822967980295567</v>
      </c>
      <c r="AC160" s="14" t="n">
        <f aca="false">AA160-Y160</f>
        <v>0.226600985221675</v>
      </c>
      <c r="AD160" s="14" t="n">
        <f aca="false">IF(K160-S160-P160+U160=0,0,(M160-P160)/(K160-S160-P160+U160))</f>
        <v>0.421052631578947</v>
      </c>
      <c r="AE160" s="15" t="n">
        <f aca="false">IF(J160=0,0,R160/J160)</f>
        <v>0.0803571428571429</v>
      </c>
      <c r="AF160" s="15" t="n">
        <f aca="false">IF(J160=0,0,S160/J160)</f>
        <v>0.375</v>
      </c>
      <c r="AG160" s="11" t="n">
        <f aca="false">IF(J160&gt;=INDEX(球季參數!$E$2:$E$4,MATCH($A160,球季參數!$A$2:$A$4,0)),1,0)</f>
        <v>0</v>
      </c>
    </row>
    <row r="161" customFormat="false" ht="15" hidden="false" customHeight="false" outlineLevel="0" collapsed="false">
      <c r="A161" s="5" t="n">
        <v>2024</v>
      </c>
      <c r="B161" s="7" t="s">
        <v>1095</v>
      </c>
      <c r="C161" s="10" t="str">
        <f aca="false">INDEX(球員主檔!$B$2:$B$749,MATCH($B161,球員主檔!$A$2:$A$749,0))</f>
        <v>Quentin Beckwith</v>
      </c>
      <c r="D161" s="7" t="s">
        <v>404</v>
      </c>
      <c r="E161" s="10" t="str">
        <f aca="false">INDEX(球隊主檔!$C$2:$C$31,MATCH($D161,球隊主檔!$A$2:$A$31,0))</f>
        <v>亞特蘭大勇士</v>
      </c>
      <c r="F161" s="10" t="str">
        <f aca="false">INDEX(球隊主檔!$D$2:$D$31,MATCH($D161,球隊主檔!$A$2:$A$31,0))</f>
        <v>國聯</v>
      </c>
      <c r="G161" s="7" t="s">
        <v>162</v>
      </c>
      <c r="H161" s="11" t="n">
        <f aca="false">INT((DATE($A161,7,1)-INDEX(球員主檔!$G$2:$G$749,MATCH($B161,球員主檔!$A$2:$A$749,0)))/365.25)</f>
        <v>26</v>
      </c>
      <c r="I161" s="12" t="n">
        <v>78</v>
      </c>
      <c r="J161" s="12" t="n">
        <v>345</v>
      </c>
      <c r="K161" s="12" t="n">
        <v>315</v>
      </c>
      <c r="L161" s="12" t="n">
        <v>37</v>
      </c>
      <c r="M161" s="12" t="n">
        <v>69</v>
      </c>
      <c r="N161" s="12" t="n">
        <v>31</v>
      </c>
      <c r="O161" s="12" t="n">
        <v>3</v>
      </c>
      <c r="P161" s="12" t="n">
        <v>8</v>
      </c>
      <c r="Q161" s="12" t="n">
        <v>32</v>
      </c>
      <c r="R161" s="12" t="n">
        <v>25</v>
      </c>
      <c r="S161" s="12" t="n">
        <v>72</v>
      </c>
      <c r="T161" s="12" t="n">
        <v>4</v>
      </c>
      <c r="U161" s="12" t="n">
        <v>1</v>
      </c>
      <c r="V161" s="12" t="n">
        <v>22</v>
      </c>
      <c r="W161" s="12" t="n">
        <v>7</v>
      </c>
      <c r="X161" s="13" t="n">
        <f aca="false">M161+N161+2*O161+3*P161</f>
        <v>130</v>
      </c>
      <c r="Y161" s="14" t="n">
        <f aca="false">IF(K161=0,0,M161/K161)</f>
        <v>0.219047619047619</v>
      </c>
      <c r="Z161" s="14" t="n">
        <f aca="false">IF(K161+R161+T161+U161=0,0,(M161+R161+T161)/(K161+R161+T161+U161))</f>
        <v>0.284057971014493</v>
      </c>
      <c r="AA161" s="14" t="n">
        <f aca="false">IF(K161=0,0,X161/K161)</f>
        <v>0.412698412698413</v>
      </c>
      <c r="AB161" s="14" t="n">
        <f aca="false">Z161+AA161</f>
        <v>0.696756383712905</v>
      </c>
      <c r="AC161" s="14" t="n">
        <f aca="false">AA161-Y161</f>
        <v>0.193650793650794</v>
      </c>
      <c r="AD161" s="14" t="n">
        <f aca="false">IF(K161-S161-P161+U161=0,0,(M161-P161)/(K161-S161-P161+U161))</f>
        <v>0.258474576271186</v>
      </c>
      <c r="AE161" s="15" t="n">
        <f aca="false">IF(J161=0,0,R161/J161)</f>
        <v>0.072463768115942</v>
      </c>
      <c r="AF161" s="15" t="n">
        <f aca="false">IF(J161=0,0,S161/J161)</f>
        <v>0.208695652173913</v>
      </c>
      <c r="AG161" s="11" t="n">
        <f aca="false">IF(J161&gt;=INDEX(球季參數!$E$2:$E$4,MATCH($A161,球季參數!$A$2:$A$4,0)),1,0)</f>
        <v>0</v>
      </c>
    </row>
    <row r="162" customFormat="false" ht="15" hidden="false" customHeight="false" outlineLevel="0" collapsed="false">
      <c r="A162" s="5" t="n">
        <v>2024</v>
      </c>
      <c r="B162" s="7" t="s">
        <v>1117</v>
      </c>
      <c r="C162" s="10" t="str">
        <f aca="false">INDEX(球員主檔!$B$2:$B$749,MATCH($B162,球員主檔!$A$2:$A$749,0))</f>
        <v>Landon Ferreira</v>
      </c>
      <c r="D162" s="7" t="s">
        <v>410</v>
      </c>
      <c r="E162" s="10" t="str">
        <f aca="false">INDEX(球隊主檔!$C$2:$C$31,MATCH($D162,球隊主檔!$A$2:$A$31,0))</f>
        <v>邁阿密馬林魚</v>
      </c>
      <c r="F162" s="10" t="str">
        <f aca="false">INDEX(球隊主檔!$D$2:$D$31,MATCH($D162,球隊主檔!$A$2:$A$31,0))</f>
        <v>國聯</v>
      </c>
      <c r="G162" s="7" t="s">
        <v>470</v>
      </c>
      <c r="H162" s="11" t="n">
        <f aca="false">INT((DATE($A162,7,1)-INDEX(球員主檔!$G$2:$G$749,MATCH($B162,球員主檔!$A$2:$A$749,0)))/365.25)</f>
        <v>31</v>
      </c>
      <c r="I162" s="12" t="n">
        <v>145</v>
      </c>
      <c r="J162" s="12" t="n">
        <v>623</v>
      </c>
      <c r="K162" s="12" t="n">
        <v>539</v>
      </c>
      <c r="L162" s="12" t="n">
        <v>72</v>
      </c>
      <c r="M162" s="12" t="n">
        <v>104</v>
      </c>
      <c r="N162" s="12" t="n">
        <v>13</v>
      </c>
      <c r="O162" s="12" t="n">
        <v>10</v>
      </c>
      <c r="P162" s="12" t="n">
        <v>27</v>
      </c>
      <c r="Q162" s="12" t="n">
        <v>78</v>
      </c>
      <c r="R162" s="12" t="n">
        <v>74</v>
      </c>
      <c r="S162" s="12" t="n">
        <v>109</v>
      </c>
      <c r="T162" s="12" t="n">
        <v>9</v>
      </c>
      <c r="U162" s="12" t="n">
        <v>1</v>
      </c>
      <c r="V162" s="12" t="n">
        <v>36</v>
      </c>
      <c r="W162" s="12" t="n">
        <v>11</v>
      </c>
      <c r="X162" s="13" t="n">
        <f aca="false">M162+N162+2*O162+3*P162</f>
        <v>218</v>
      </c>
      <c r="Y162" s="14" t="n">
        <f aca="false">IF(K162=0,0,M162/K162)</f>
        <v>0.192949907235622</v>
      </c>
      <c r="Z162" s="14" t="n">
        <f aca="false">IF(K162+R162+T162+U162=0,0,(M162+R162+T162)/(K162+R162+T162+U162))</f>
        <v>0.30016051364366</v>
      </c>
      <c r="AA162" s="14" t="n">
        <f aca="false">IF(K162=0,0,X162/K162)</f>
        <v>0.404452690166976</v>
      </c>
      <c r="AB162" s="14" t="n">
        <f aca="false">Z162+AA162</f>
        <v>0.704613203810636</v>
      </c>
      <c r="AC162" s="14" t="n">
        <f aca="false">AA162-Y162</f>
        <v>0.211502782931354</v>
      </c>
      <c r="AD162" s="14" t="n">
        <f aca="false">IF(K162-S162-P162+U162=0,0,(M162-P162)/(K162-S162-P162+U162))</f>
        <v>0.190594059405941</v>
      </c>
      <c r="AE162" s="15" t="n">
        <f aca="false">IF(J162=0,0,R162/J162)</f>
        <v>0.118780096308186</v>
      </c>
      <c r="AF162" s="15" t="n">
        <f aca="false">IF(J162=0,0,S162/J162)</f>
        <v>0.174959871589085</v>
      </c>
      <c r="AG162" s="11" t="n">
        <f aca="false">IF(J162&gt;=INDEX(球季參數!$E$2:$E$4,MATCH($A162,球季參數!$A$2:$A$4,0)),1,0)</f>
        <v>1</v>
      </c>
    </row>
    <row r="163" customFormat="false" ht="15" hidden="false" customHeight="false" outlineLevel="0" collapsed="false">
      <c r="A163" s="5" t="n">
        <v>2024</v>
      </c>
      <c r="B163" s="7" t="s">
        <v>1119</v>
      </c>
      <c r="C163" s="10" t="str">
        <f aca="false">INDEX(球員主檔!$B$2:$B$749,MATCH($B163,球員主檔!$A$2:$A$749,0))</f>
        <v>Osvaldo Dunmore</v>
      </c>
      <c r="D163" s="7" t="s">
        <v>410</v>
      </c>
      <c r="E163" s="10" t="str">
        <f aca="false">INDEX(球隊主檔!$C$2:$C$31,MATCH($D163,球隊主檔!$A$2:$A$31,0))</f>
        <v>邁阿密馬林魚</v>
      </c>
      <c r="F163" s="10" t="str">
        <f aca="false">INDEX(球隊主檔!$D$2:$D$31,MATCH($D163,球隊主檔!$A$2:$A$31,0))</f>
        <v>國聯</v>
      </c>
      <c r="G163" s="7" t="s">
        <v>522</v>
      </c>
      <c r="H163" s="11" t="n">
        <f aca="false">INT((DATE($A163,7,1)-INDEX(球員主檔!$G$2:$G$749,MATCH($B163,球員主檔!$A$2:$A$749,0)))/365.25)</f>
        <v>22</v>
      </c>
      <c r="I163" s="12" t="n">
        <v>134</v>
      </c>
      <c r="J163" s="12" t="n">
        <v>588</v>
      </c>
      <c r="K163" s="12" t="n">
        <v>512</v>
      </c>
      <c r="L163" s="12" t="n">
        <v>71</v>
      </c>
      <c r="M163" s="12" t="n">
        <v>141</v>
      </c>
      <c r="N163" s="12" t="n">
        <v>25</v>
      </c>
      <c r="O163" s="12" t="n">
        <v>4</v>
      </c>
      <c r="P163" s="12" t="n">
        <v>10</v>
      </c>
      <c r="Q163" s="12" t="n">
        <v>54</v>
      </c>
      <c r="R163" s="12" t="n">
        <v>72</v>
      </c>
      <c r="S163" s="12" t="n">
        <v>115</v>
      </c>
      <c r="T163" s="12" t="n">
        <v>3</v>
      </c>
      <c r="U163" s="12" t="n">
        <v>1</v>
      </c>
      <c r="V163" s="12" t="n">
        <v>1</v>
      </c>
      <c r="W163" s="12" t="n">
        <v>0</v>
      </c>
      <c r="X163" s="13" t="n">
        <f aca="false">M163+N163+2*O163+3*P163</f>
        <v>204</v>
      </c>
      <c r="Y163" s="14" t="n">
        <f aca="false">IF(K163=0,0,M163/K163)</f>
        <v>0.275390625</v>
      </c>
      <c r="Z163" s="14" t="n">
        <f aca="false">IF(K163+R163+T163+U163=0,0,(M163+R163+T163)/(K163+R163+T163+U163))</f>
        <v>0.36734693877551</v>
      </c>
      <c r="AA163" s="14" t="n">
        <f aca="false">IF(K163=0,0,X163/K163)</f>
        <v>0.3984375</v>
      </c>
      <c r="AB163" s="14" t="n">
        <f aca="false">Z163+AA163</f>
        <v>0.76578443877551</v>
      </c>
      <c r="AC163" s="14" t="n">
        <f aca="false">AA163-Y163</f>
        <v>0.123046875</v>
      </c>
      <c r="AD163" s="14" t="n">
        <f aca="false">IF(K163-S163-P163+U163=0,0,(M163-P163)/(K163-S163-P163+U163))</f>
        <v>0.337628865979381</v>
      </c>
      <c r="AE163" s="15" t="n">
        <f aca="false">IF(J163=0,0,R163/J163)</f>
        <v>0.122448979591837</v>
      </c>
      <c r="AF163" s="15" t="n">
        <f aca="false">IF(J163=0,0,S163/J163)</f>
        <v>0.195578231292517</v>
      </c>
      <c r="AG163" s="11" t="n">
        <f aca="false">IF(J163&gt;=INDEX(球季參數!$E$2:$E$4,MATCH($A163,球季參數!$A$2:$A$4,0)),1,0)</f>
        <v>1</v>
      </c>
    </row>
    <row r="164" customFormat="false" ht="15" hidden="false" customHeight="false" outlineLevel="0" collapsed="false">
      <c r="A164" s="5" t="n">
        <v>2024</v>
      </c>
      <c r="B164" s="7" t="s">
        <v>1121</v>
      </c>
      <c r="C164" s="10" t="str">
        <f aca="false">INDEX(球員主檔!$B$2:$B$749,MATCH($B164,球員主檔!$A$2:$A$749,0))</f>
        <v>Zane Oyelaran</v>
      </c>
      <c r="D164" s="7" t="s">
        <v>410</v>
      </c>
      <c r="E164" s="10" t="str">
        <f aca="false">INDEX(球隊主檔!$C$2:$C$31,MATCH($D164,球隊主檔!$A$2:$A$31,0))</f>
        <v>邁阿密馬林魚</v>
      </c>
      <c r="F164" s="10" t="str">
        <f aca="false">INDEX(球隊主檔!$D$2:$D$31,MATCH($D164,球隊主檔!$A$2:$A$31,0))</f>
        <v>國聯</v>
      </c>
      <c r="G164" s="7" t="s">
        <v>483</v>
      </c>
      <c r="H164" s="11" t="n">
        <f aca="false">INT((DATE($A164,7,1)-INDEX(球員主檔!$G$2:$G$749,MATCH($B164,球員主檔!$A$2:$A$749,0)))/365.25)</f>
        <v>28</v>
      </c>
      <c r="I164" s="12" t="n">
        <v>144</v>
      </c>
      <c r="J164" s="12" t="n">
        <v>599</v>
      </c>
      <c r="K164" s="12" t="n">
        <v>534</v>
      </c>
      <c r="L164" s="12" t="n">
        <v>74</v>
      </c>
      <c r="M164" s="12" t="n">
        <v>120</v>
      </c>
      <c r="N164" s="12" t="n">
        <v>29</v>
      </c>
      <c r="O164" s="12" t="n">
        <v>13</v>
      </c>
      <c r="P164" s="12" t="n">
        <v>23</v>
      </c>
      <c r="Q164" s="12" t="n">
        <v>76</v>
      </c>
      <c r="R164" s="12" t="n">
        <v>60</v>
      </c>
      <c r="S164" s="12" t="n">
        <v>187</v>
      </c>
      <c r="T164" s="12" t="n">
        <v>3</v>
      </c>
      <c r="U164" s="12" t="n">
        <v>2</v>
      </c>
      <c r="V164" s="12" t="n">
        <v>30</v>
      </c>
      <c r="W164" s="12" t="n">
        <v>3</v>
      </c>
      <c r="X164" s="13" t="n">
        <f aca="false">M164+N164+2*O164+3*P164</f>
        <v>244</v>
      </c>
      <c r="Y164" s="14" t="n">
        <f aca="false">IF(K164=0,0,M164/K164)</f>
        <v>0.224719101123596</v>
      </c>
      <c r="Z164" s="14" t="n">
        <f aca="false">IF(K164+R164+T164+U164=0,0,(M164+R164+T164)/(K164+R164+T164+U164))</f>
        <v>0.30550918196995</v>
      </c>
      <c r="AA164" s="14" t="n">
        <f aca="false">IF(K164=0,0,X164/K164)</f>
        <v>0.456928838951311</v>
      </c>
      <c r="AB164" s="14" t="n">
        <f aca="false">Z164+AA164</f>
        <v>0.762438020921261</v>
      </c>
      <c r="AC164" s="14" t="n">
        <f aca="false">AA164-Y164</f>
        <v>0.232209737827715</v>
      </c>
      <c r="AD164" s="14" t="n">
        <f aca="false">IF(K164-S164-P164+U164=0,0,(M164-P164)/(K164-S164-P164+U164))</f>
        <v>0.297546012269939</v>
      </c>
      <c r="AE164" s="15" t="n">
        <f aca="false">IF(J164=0,0,R164/J164)</f>
        <v>0.10016694490818</v>
      </c>
      <c r="AF164" s="15" t="n">
        <f aca="false">IF(J164=0,0,S164/J164)</f>
        <v>0.312186978297162</v>
      </c>
      <c r="AG164" s="11" t="n">
        <f aca="false">IF(J164&gt;=INDEX(球季參數!$E$2:$E$4,MATCH($A164,球季參數!$A$2:$A$4,0)),1,0)</f>
        <v>1</v>
      </c>
    </row>
    <row r="165" customFormat="false" ht="15" hidden="false" customHeight="false" outlineLevel="0" collapsed="false">
      <c r="A165" s="5" t="n">
        <v>2024</v>
      </c>
      <c r="B165" s="7" t="s">
        <v>1123</v>
      </c>
      <c r="C165" s="10" t="str">
        <f aca="false">INDEX(球員主檔!$B$2:$B$749,MATCH($B165,球員主檔!$A$2:$A$749,0))</f>
        <v>Esteban Uchendu</v>
      </c>
      <c r="D165" s="7" t="s">
        <v>410</v>
      </c>
      <c r="E165" s="10" t="str">
        <f aca="false">INDEX(球隊主檔!$C$2:$C$31,MATCH($D165,球隊主檔!$A$2:$A$31,0))</f>
        <v>邁阿密馬林魚</v>
      </c>
      <c r="F165" s="10" t="str">
        <f aca="false">INDEX(球隊主檔!$D$2:$D$31,MATCH($D165,球隊主檔!$A$2:$A$31,0))</f>
        <v>國聯</v>
      </c>
      <c r="G165" s="7" t="s">
        <v>63</v>
      </c>
      <c r="H165" s="11" t="n">
        <f aca="false">INT((DATE($A165,7,1)-INDEX(球員主檔!$G$2:$G$749,MATCH($B165,球員主檔!$A$2:$A$749,0)))/365.25)</f>
        <v>27</v>
      </c>
      <c r="I165" s="12" t="n">
        <v>150</v>
      </c>
      <c r="J165" s="12" t="n">
        <v>622</v>
      </c>
      <c r="K165" s="12" t="n">
        <v>586</v>
      </c>
      <c r="L165" s="12" t="n">
        <v>58</v>
      </c>
      <c r="M165" s="12" t="n">
        <v>123</v>
      </c>
      <c r="N165" s="12" t="n">
        <v>29</v>
      </c>
      <c r="O165" s="12" t="n">
        <v>5</v>
      </c>
      <c r="P165" s="12" t="n">
        <v>13</v>
      </c>
      <c r="Q165" s="12" t="n">
        <v>63</v>
      </c>
      <c r="R165" s="12" t="n">
        <v>27</v>
      </c>
      <c r="S165" s="12" t="n">
        <v>118</v>
      </c>
      <c r="T165" s="12" t="n">
        <v>7</v>
      </c>
      <c r="U165" s="12" t="n">
        <v>2</v>
      </c>
      <c r="V165" s="12" t="n">
        <v>14</v>
      </c>
      <c r="W165" s="12" t="n">
        <v>5</v>
      </c>
      <c r="X165" s="13" t="n">
        <f aca="false">M165+N165+2*O165+3*P165</f>
        <v>201</v>
      </c>
      <c r="Y165" s="14" t="n">
        <f aca="false">IF(K165=0,0,M165/K165)</f>
        <v>0.209897610921502</v>
      </c>
      <c r="Z165" s="14" t="n">
        <f aca="false">IF(K165+R165+T165+U165=0,0,(M165+R165+T165)/(K165+R165+T165+U165))</f>
        <v>0.252411575562701</v>
      </c>
      <c r="AA165" s="14" t="n">
        <f aca="false">IF(K165=0,0,X165/K165)</f>
        <v>0.343003412969283</v>
      </c>
      <c r="AB165" s="14" t="n">
        <f aca="false">Z165+AA165</f>
        <v>0.595414988531984</v>
      </c>
      <c r="AC165" s="14" t="n">
        <f aca="false">AA165-Y165</f>
        <v>0.133105802047782</v>
      </c>
      <c r="AD165" s="14" t="n">
        <f aca="false">IF(K165-S165-P165+U165=0,0,(M165-P165)/(K165-S165-P165+U165))</f>
        <v>0.240700218818381</v>
      </c>
      <c r="AE165" s="15" t="n">
        <f aca="false">IF(J165=0,0,R165/J165)</f>
        <v>0.0434083601286174</v>
      </c>
      <c r="AF165" s="15" t="n">
        <f aca="false">IF(J165=0,0,S165/J165)</f>
        <v>0.189710610932476</v>
      </c>
      <c r="AG165" s="11" t="n">
        <f aca="false">IF(J165&gt;=INDEX(球季參數!$E$2:$E$4,MATCH($A165,球季參數!$A$2:$A$4,0)),1,0)</f>
        <v>1</v>
      </c>
    </row>
    <row r="166" customFormat="false" ht="15" hidden="false" customHeight="false" outlineLevel="0" collapsed="false">
      <c r="A166" s="5" t="n">
        <v>2024</v>
      </c>
      <c r="B166" s="7" t="s">
        <v>1125</v>
      </c>
      <c r="C166" s="10" t="str">
        <f aca="false">INDEX(球員主檔!$B$2:$B$749,MATCH($B166,球員主檔!$A$2:$A$749,0))</f>
        <v>Leandro Lemieux</v>
      </c>
      <c r="D166" s="7" t="s">
        <v>410</v>
      </c>
      <c r="E166" s="10" t="str">
        <f aca="false">INDEX(球隊主檔!$C$2:$C$31,MATCH($D166,球隊主檔!$A$2:$A$31,0))</f>
        <v>邁阿密馬林魚</v>
      </c>
      <c r="F166" s="10" t="str">
        <f aca="false">INDEX(球隊主檔!$D$2:$D$31,MATCH($D166,球隊主檔!$A$2:$A$31,0))</f>
        <v>國聯</v>
      </c>
      <c r="G166" s="7" t="s">
        <v>473</v>
      </c>
      <c r="H166" s="11" t="n">
        <f aca="false">INT((DATE($A166,7,1)-INDEX(球員主檔!$G$2:$G$749,MATCH($B166,球員主檔!$A$2:$A$749,0)))/365.25)</f>
        <v>26</v>
      </c>
      <c r="I166" s="12" t="n">
        <v>151</v>
      </c>
      <c r="J166" s="12" t="n">
        <v>664</v>
      </c>
      <c r="K166" s="12" t="n">
        <v>602</v>
      </c>
      <c r="L166" s="12" t="n">
        <v>78</v>
      </c>
      <c r="M166" s="12" t="n">
        <v>179</v>
      </c>
      <c r="N166" s="12" t="n">
        <v>46</v>
      </c>
      <c r="O166" s="12" t="n">
        <v>5</v>
      </c>
      <c r="P166" s="12" t="n">
        <v>12</v>
      </c>
      <c r="Q166" s="12" t="n">
        <v>63</v>
      </c>
      <c r="R166" s="12" t="n">
        <v>47</v>
      </c>
      <c r="S166" s="12" t="n">
        <v>197</v>
      </c>
      <c r="T166" s="12" t="n">
        <v>11</v>
      </c>
      <c r="U166" s="12" t="n">
        <v>4</v>
      </c>
      <c r="V166" s="12" t="n">
        <v>12</v>
      </c>
      <c r="W166" s="12" t="n">
        <v>4</v>
      </c>
      <c r="X166" s="13" t="n">
        <f aca="false">M166+N166+2*O166+3*P166</f>
        <v>271</v>
      </c>
      <c r="Y166" s="14" t="n">
        <f aca="false">IF(K166=0,0,M166/K166)</f>
        <v>0.29734219269103</v>
      </c>
      <c r="Z166" s="14" t="n">
        <f aca="false">IF(K166+R166+T166+U166=0,0,(M166+R166+T166)/(K166+R166+T166+U166))</f>
        <v>0.356927710843374</v>
      </c>
      <c r="AA166" s="14" t="n">
        <f aca="false">IF(K166=0,0,X166/K166)</f>
        <v>0.450166112956811</v>
      </c>
      <c r="AB166" s="14" t="n">
        <f aca="false">Z166+AA166</f>
        <v>0.807093823800184</v>
      </c>
      <c r="AC166" s="14" t="n">
        <f aca="false">AA166-Y166</f>
        <v>0.152823920265781</v>
      </c>
      <c r="AD166" s="14" t="n">
        <f aca="false">IF(K166-S166-P166+U166=0,0,(M166-P166)/(K166-S166-P166+U166))</f>
        <v>0.420654911838791</v>
      </c>
      <c r="AE166" s="15" t="n">
        <f aca="false">IF(J166=0,0,R166/J166)</f>
        <v>0.0707831325301205</v>
      </c>
      <c r="AF166" s="15" t="n">
        <f aca="false">IF(J166=0,0,S166/J166)</f>
        <v>0.296686746987952</v>
      </c>
      <c r="AG166" s="11" t="n">
        <f aca="false">IF(J166&gt;=INDEX(球季參數!$E$2:$E$4,MATCH($A166,球季參數!$A$2:$A$4,0)),1,0)</f>
        <v>1</v>
      </c>
    </row>
    <row r="167" customFormat="false" ht="15" hidden="false" customHeight="false" outlineLevel="0" collapsed="false">
      <c r="A167" s="5" t="n">
        <v>2024</v>
      </c>
      <c r="B167" s="7" t="s">
        <v>1127</v>
      </c>
      <c r="C167" s="10" t="str">
        <f aca="false">INDEX(球員主檔!$B$2:$B$749,MATCH($B167,球員主檔!$A$2:$A$749,0))</f>
        <v>Jedidiah Ashworth</v>
      </c>
      <c r="D167" s="7" t="s">
        <v>410</v>
      </c>
      <c r="E167" s="10" t="str">
        <f aca="false">INDEX(球隊主檔!$C$2:$C$31,MATCH($D167,球隊主檔!$A$2:$A$31,0))</f>
        <v>邁阿密馬林魚</v>
      </c>
      <c r="F167" s="10" t="str">
        <f aca="false">INDEX(球隊主檔!$D$2:$D$31,MATCH($D167,球隊主檔!$A$2:$A$31,0))</f>
        <v>國聯</v>
      </c>
      <c r="G167" s="7" t="s">
        <v>478</v>
      </c>
      <c r="H167" s="11" t="n">
        <f aca="false">INT((DATE($A167,7,1)-INDEX(球員主檔!$G$2:$G$749,MATCH($B167,球員主檔!$A$2:$A$749,0)))/365.25)</f>
        <v>30</v>
      </c>
      <c r="I167" s="12" t="n">
        <v>127</v>
      </c>
      <c r="J167" s="12" t="n">
        <v>522</v>
      </c>
      <c r="K167" s="12" t="n">
        <v>462</v>
      </c>
      <c r="L167" s="12" t="n">
        <v>46</v>
      </c>
      <c r="M167" s="12" t="n">
        <v>99</v>
      </c>
      <c r="N167" s="12" t="n">
        <v>24</v>
      </c>
      <c r="O167" s="12" t="n">
        <v>3</v>
      </c>
      <c r="P167" s="12" t="n">
        <v>4</v>
      </c>
      <c r="Q167" s="12" t="n">
        <v>35</v>
      </c>
      <c r="R167" s="12" t="n">
        <v>52</v>
      </c>
      <c r="S167" s="12" t="n">
        <v>91</v>
      </c>
      <c r="T167" s="12" t="n">
        <v>2</v>
      </c>
      <c r="U167" s="12" t="n">
        <v>6</v>
      </c>
      <c r="V167" s="12" t="n">
        <v>12</v>
      </c>
      <c r="W167" s="12" t="n">
        <v>3</v>
      </c>
      <c r="X167" s="13" t="n">
        <f aca="false">M167+N167+2*O167+3*P167</f>
        <v>141</v>
      </c>
      <c r="Y167" s="14" t="n">
        <f aca="false">IF(K167=0,0,M167/K167)</f>
        <v>0.214285714285714</v>
      </c>
      <c r="Z167" s="14" t="n">
        <f aca="false">IF(K167+R167+T167+U167=0,0,(M167+R167+T167)/(K167+R167+T167+U167))</f>
        <v>0.293103448275862</v>
      </c>
      <c r="AA167" s="14" t="n">
        <f aca="false">IF(K167=0,0,X167/K167)</f>
        <v>0.305194805194805</v>
      </c>
      <c r="AB167" s="14" t="n">
        <f aca="false">Z167+AA167</f>
        <v>0.598298253470667</v>
      </c>
      <c r="AC167" s="14" t="n">
        <f aca="false">AA167-Y167</f>
        <v>0.0909090909090909</v>
      </c>
      <c r="AD167" s="14" t="n">
        <f aca="false">IF(K167-S167-P167+U167=0,0,(M167-P167)/(K167-S167-P167+U167))</f>
        <v>0.254691689008043</v>
      </c>
      <c r="AE167" s="15" t="n">
        <f aca="false">IF(J167=0,0,R167/J167)</f>
        <v>0.0996168582375479</v>
      </c>
      <c r="AF167" s="15" t="n">
        <f aca="false">IF(J167=0,0,S167/J167)</f>
        <v>0.174329501915709</v>
      </c>
      <c r="AG167" s="11" t="n">
        <f aca="false">IF(J167&gt;=INDEX(球季參數!$E$2:$E$4,MATCH($A167,球季參數!$A$2:$A$4,0)),1,0)</f>
        <v>1</v>
      </c>
    </row>
    <row r="168" customFormat="false" ht="15" hidden="false" customHeight="false" outlineLevel="0" collapsed="false">
      <c r="A168" s="5" t="n">
        <v>2024</v>
      </c>
      <c r="B168" s="7" t="s">
        <v>1129</v>
      </c>
      <c r="C168" s="10" t="str">
        <f aca="false">INDEX(球員主檔!$B$2:$B$749,MATCH($B168,球員主檔!$A$2:$A$749,0))</f>
        <v>Caspian Fontaine</v>
      </c>
      <c r="D168" s="7" t="s">
        <v>410</v>
      </c>
      <c r="E168" s="10" t="str">
        <f aca="false">INDEX(球隊主檔!$C$2:$C$31,MATCH($D168,球隊主檔!$A$2:$A$31,0))</f>
        <v>邁阿密馬林魚</v>
      </c>
      <c r="F168" s="10" t="str">
        <f aca="false">INDEX(球隊主檔!$D$2:$D$31,MATCH($D168,球隊主檔!$A$2:$A$31,0))</f>
        <v>國聯</v>
      </c>
      <c r="G168" s="7" t="s">
        <v>483</v>
      </c>
      <c r="H168" s="11" t="n">
        <f aca="false">INT((DATE($A168,7,1)-INDEX(球員主檔!$G$2:$G$749,MATCH($B168,球員主檔!$A$2:$A$749,0)))/365.25)</f>
        <v>28</v>
      </c>
      <c r="I168" s="12" t="n">
        <v>111</v>
      </c>
      <c r="J168" s="12" t="n">
        <v>485</v>
      </c>
      <c r="K168" s="12" t="n">
        <v>441</v>
      </c>
      <c r="L168" s="12" t="n">
        <v>52</v>
      </c>
      <c r="M168" s="12" t="n">
        <v>112</v>
      </c>
      <c r="N168" s="12" t="n">
        <v>25</v>
      </c>
      <c r="O168" s="12" t="n">
        <v>1</v>
      </c>
      <c r="P168" s="12" t="n">
        <v>8</v>
      </c>
      <c r="Q168" s="12" t="n">
        <v>39</v>
      </c>
      <c r="R168" s="12" t="n">
        <v>30</v>
      </c>
      <c r="S168" s="12" t="n">
        <v>105</v>
      </c>
      <c r="T168" s="12" t="n">
        <v>9</v>
      </c>
      <c r="U168" s="12" t="n">
        <v>5</v>
      </c>
      <c r="V168" s="12" t="n">
        <v>1</v>
      </c>
      <c r="W168" s="12" t="n">
        <v>0</v>
      </c>
      <c r="X168" s="13" t="n">
        <f aca="false">M168+N168+2*O168+3*P168</f>
        <v>163</v>
      </c>
      <c r="Y168" s="14" t="n">
        <f aca="false">IF(K168=0,0,M168/K168)</f>
        <v>0.253968253968254</v>
      </c>
      <c r="Z168" s="14" t="n">
        <f aca="false">IF(K168+R168+T168+U168=0,0,(M168+R168+T168)/(K168+R168+T168+U168))</f>
        <v>0.311340206185567</v>
      </c>
      <c r="AA168" s="14" t="n">
        <f aca="false">IF(K168=0,0,X168/K168)</f>
        <v>0.369614512471655</v>
      </c>
      <c r="AB168" s="14" t="n">
        <f aca="false">Z168+AA168</f>
        <v>0.680954718657222</v>
      </c>
      <c r="AC168" s="14" t="n">
        <f aca="false">AA168-Y168</f>
        <v>0.115646258503401</v>
      </c>
      <c r="AD168" s="14" t="n">
        <f aca="false">IF(K168-S168-P168+U168=0,0,(M168-P168)/(K168-S168-P168+U168))</f>
        <v>0.312312312312312</v>
      </c>
      <c r="AE168" s="15" t="n">
        <f aca="false">IF(J168=0,0,R168/J168)</f>
        <v>0.0618556701030928</v>
      </c>
      <c r="AF168" s="15" t="n">
        <f aca="false">IF(J168=0,0,S168/J168)</f>
        <v>0.216494845360825</v>
      </c>
      <c r="AG168" s="11" t="n">
        <f aca="false">IF(J168&gt;=INDEX(球季參數!$E$2:$E$4,MATCH($A168,球季參數!$A$2:$A$4,0)),1,0)</f>
        <v>0</v>
      </c>
    </row>
    <row r="169" customFormat="false" ht="15" hidden="false" customHeight="false" outlineLevel="0" collapsed="false">
      <c r="A169" s="5" t="n">
        <v>2024</v>
      </c>
      <c r="B169" s="7" t="s">
        <v>1131</v>
      </c>
      <c r="C169" s="10" t="str">
        <f aca="false">INDEX(球員主檔!$B$2:$B$749,MATCH($B169,球員主檔!$A$2:$A$749,0))</f>
        <v>Porter Wainwright</v>
      </c>
      <c r="D169" s="7" t="s">
        <v>410</v>
      </c>
      <c r="E169" s="10" t="str">
        <f aca="false">INDEX(球隊主檔!$C$2:$C$31,MATCH($D169,球隊主檔!$A$2:$A$31,0))</f>
        <v>邁阿密馬林魚</v>
      </c>
      <c r="F169" s="10" t="str">
        <f aca="false">INDEX(球隊主檔!$D$2:$D$31,MATCH($D169,球隊主檔!$A$2:$A$31,0))</f>
        <v>國聯</v>
      </c>
      <c r="G169" s="7" t="s">
        <v>478</v>
      </c>
      <c r="H169" s="11" t="n">
        <f aca="false">INT((DATE($A169,7,1)-INDEX(球員主檔!$G$2:$G$749,MATCH($B169,球員主檔!$A$2:$A$749,0)))/365.25)</f>
        <v>29</v>
      </c>
      <c r="I169" s="12" t="n">
        <v>103</v>
      </c>
      <c r="J169" s="12" t="n">
        <v>403</v>
      </c>
      <c r="K169" s="12" t="n">
        <v>349</v>
      </c>
      <c r="L169" s="12" t="n">
        <v>48</v>
      </c>
      <c r="M169" s="12" t="n">
        <v>77</v>
      </c>
      <c r="N169" s="12" t="n">
        <v>25</v>
      </c>
      <c r="O169" s="12" t="n">
        <v>7</v>
      </c>
      <c r="P169" s="12" t="n">
        <v>14</v>
      </c>
      <c r="Q169" s="12" t="n">
        <v>45</v>
      </c>
      <c r="R169" s="12" t="n">
        <v>44</v>
      </c>
      <c r="S169" s="12" t="n">
        <v>94</v>
      </c>
      <c r="T169" s="12" t="n">
        <v>7</v>
      </c>
      <c r="U169" s="12" t="n">
        <v>3</v>
      </c>
      <c r="V169" s="12" t="n">
        <v>5</v>
      </c>
      <c r="W169" s="12" t="n">
        <v>2</v>
      </c>
      <c r="X169" s="13" t="n">
        <f aca="false">M169+N169+2*O169+3*P169</f>
        <v>158</v>
      </c>
      <c r="Y169" s="14" t="n">
        <f aca="false">IF(K169=0,0,M169/K169)</f>
        <v>0.220630372492837</v>
      </c>
      <c r="Z169" s="14" t="n">
        <f aca="false">IF(K169+R169+T169+U169=0,0,(M169+R169+T169)/(K169+R169+T169+U169))</f>
        <v>0.317617866004963</v>
      </c>
      <c r="AA169" s="14" t="n">
        <f aca="false">IF(K169=0,0,X169/K169)</f>
        <v>0.452722063037249</v>
      </c>
      <c r="AB169" s="14" t="n">
        <f aca="false">Z169+AA169</f>
        <v>0.770339929042212</v>
      </c>
      <c r="AC169" s="14" t="n">
        <f aca="false">AA169-Y169</f>
        <v>0.232091690544413</v>
      </c>
      <c r="AD169" s="14" t="n">
        <f aca="false">IF(K169-S169-P169+U169=0,0,(M169-P169)/(K169-S169-P169+U169))</f>
        <v>0.258196721311475</v>
      </c>
      <c r="AE169" s="15" t="n">
        <f aca="false">IF(J169=0,0,R169/J169)</f>
        <v>0.109181141439206</v>
      </c>
      <c r="AF169" s="15" t="n">
        <f aca="false">IF(J169=0,0,S169/J169)</f>
        <v>0.233250620347395</v>
      </c>
      <c r="AG169" s="11" t="n">
        <f aca="false">IF(J169&gt;=INDEX(球季參數!$E$2:$E$4,MATCH($A169,球季參數!$A$2:$A$4,0)),1,0)</f>
        <v>0</v>
      </c>
    </row>
    <row r="170" customFormat="false" ht="15" hidden="false" customHeight="false" outlineLevel="0" collapsed="false">
      <c r="A170" s="5" t="n">
        <v>2024</v>
      </c>
      <c r="B170" s="7" t="s">
        <v>1133</v>
      </c>
      <c r="C170" s="10" t="str">
        <f aca="false">INDEX(球員主檔!$B$2:$B$749,MATCH($B170,球員主檔!$A$2:$A$749,0))</f>
        <v>Camilo Arceneaux</v>
      </c>
      <c r="D170" s="7" t="s">
        <v>410</v>
      </c>
      <c r="E170" s="10" t="str">
        <f aca="false">INDEX(球隊主檔!$C$2:$C$31,MATCH($D170,球隊主檔!$A$2:$A$31,0))</f>
        <v>邁阿密馬林魚</v>
      </c>
      <c r="F170" s="10" t="str">
        <f aca="false">INDEX(球隊主檔!$D$2:$D$31,MATCH($D170,球隊主檔!$A$2:$A$31,0))</f>
        <v>國聯</v>
      </c>
      <c r="G170" s="7" t="s">
        <v>162</v>
      </c>
      <c r="H170" s="11" t="n">
        <f aca="false">INT((DATE($A170,7,1)-INDEX(球員主檔!$G$2:$G$749,MATCH($B170,球員主檔!$A$2:$A$749,0)))/365.25)</f>
        <v>23</v>
      </c>
      <c r="I170" s="12" t="n">
        <v>39</v>
      </c>
      <c r="J170" s="12" t="n">
        <v>174</v>
      </c>
      <c r="K170" s="12" t="n">
        <v>156</v>
      </c>
      <c r="L170" s="12" t="n">
        <v>17</v>
      </c>
      <c r="M170" s="12" t="n">
        <v>42</v>
      </c>
      <c r="N170" s="12" t="n">
        <v>19</v>
      </c>
      <c r="O170" s="12" t="n">
        <v>4</v>
      </c>
      <c r="P170" s="12" t="n">
        <v>2</v>
      </c>
      <c r="Q170" s="12" t="n">
        <v>14</v>
      </c>
      <c r="R170" s="12" t="n">
        <v>14</v>
      </c>
      <c r="S170" s="12" t="n">
        <v>40</v>
      </c>
      <c r="T170" s="12" t="n">
        <v>2</v>
      </c>
      <c r="U170" s="12" t="n">
        <v>2</v>
      </c>
      <c r="V170" s="12" t="n">
        <v>3</v>
      </c>
      <c r="W170" s="12" t="n">
        <v>1</v>
      </c>
      <c r="X170" s="13" t="n">
        <f aca="false">M170+N170+2*O170+3*P170</f>
        <v>75</v>
      </c>
      <c r="Y170" s="14" t="n">
        <f aca="false">IF(K170=0,0,M170/K170)</f>
        <v>0.269230769230769</v>
      </c>
      <c r="Z170" s="14" t="n">
        <f aca="false">IF(K170+R170+T170+U170=0,0,(M170+R170+T170)/(K170+R170+T170+U170))</f>
        <v>0.333333333333333</v>
      </c>
      <c r="AA170" s="14" t="n">
        <f aca="false">IF(K170=0,0,X170/K170)</f>
        <v>0.480769230769231</v>
      </c>
      <c r="AB170" s="14" t="n">
        <f aca="false">Z170+AA170</f>
        <v>0.814102564102564</v>
      </c>
      <c r="AC170" s="14" t="n">
        <f aca="false">AA170-Y170</f>
        <v>0.211538461538462</v>
      </c>
      <c r="AD170" s="14" t="n">
        <f aca="false">IF(K170-S170-P170+U170=0,0,(M170-P170)/(K170-S170-P170+U170))</f>
        <v>0.344827586206897</v>
      </c>
      <c r="AE170" s="15" t="n">
        <f aca="false">IF(J170=0,0,R170/J170)</f>
        <v>0.0804597701149425</v>
      </c>
      <c r="AF170" s="15" t="n">
        <f aca="false">IF(J170=0,0,S170/J170)</f>
        <v>0.229885057471264</v>
      </c>
      <c r="AG170" s="11" t="n">
        <f aca="false">IF(J170&gt;=INDEX(球季參數!$E$2:$E$4,MATCH($A170,球季參數!$A$2:$A$4,0)),1,0)</f>
        <v>0</v>
      </c>
    </row>
    <row r="171" customFormat="false" ht="15" hidden="false" customHeight="false" outlineLevel="0" collapsed="false">
      <c r="A171" s="5" t="n">
        <v>2024</v>
      </c>
      <c r="B171" s="7" t="s">
        <v>1135</v>
      </c>
      <c r="C171" s="10" t="str">
        <f aca="false">INDEX(球員主檔!$B$2:$B$749,MATCH($B171,球員主檔!$A$2:$A$749,0))</f>
        <v>Konrad Lemieux</v>
      </c>
      <c r="D171" s="7" t="s">
        <v>410</v>
      </c>
      <c r="E171" s="10" t="str">
        <f aca="false">INDEX(球隊主檔!$C$2:$C$31,MATCH($D171,球隊主檔!$A$2:$A$31,0))</f>
        <v>邁阿密馬林魚</v>
      </c>
      <c r="F171" s="10" t="str">
        <f aca="false">INDEX(球隊主檔!$D$2:$D$31,MATCH($D171,球隊主檔!$A$2:$A$31,0))</f>
        <v>國聯</v>
      </c>
      <c r="G171" s="7" t="s">
        <v>522</v>
      </c>
      <c r="H171" s="11" t="n">
        <f aca="false">INT((DATE($A171,7,1)-INDEX(球員主檔!$G$2:$G$749,MATCH($B171,球員主檔!$A$2:$A$749,0)))/365.25)</f>
        <v>34</v>
      </c>
      <c r="I171" s="12" t="n">
        <v>75</v>
      </c>
      <c r="J171" s="12" t="n">
        <v>340</v>
      </c>
      <c r="K171" s="12" t="n">
        <v>325</v>
      </c>
      <c r="L171" s="12" t="n">
        <v>28</v>
      </c>
      <c r="M171" s="12" t="n">
        <v>66</v>
      </c>
      <c r="N171" s="12" t="n">
        <v>15</v>
      </c>
      <c r="O171" s="12" t="n">
        <v>4</v>
      </c>
      <c r="P171" s="12" t="n">
        <v>6</v>
      </c>
      <c r="Q171" s="12" t="n">
        <v>25</v>
      </c>
      <c r="R171" s="12" t="n">
        <v>9</v>
      </c>
      <c r="S171" s="12" t="n">
        <v>106</v>
      </c>
      <c r="T171" s="12" t="n">
        <v>5</v>
      </c>
      <c r="U171" s="12" t="n">
        <v>1</v>
      </c>
      <c r="V171" s="12" t="n">
        <v>3</v>
      </c>
      <c r="W171" s="12" t="n">
        <v>1</v>
      </c>
      <c r="X171" s="13" t="n">
        <f aca="false">M171+N171+2*O171+3*P171</f>
        <v>107</v>
      </c>
      <c r="Y171" s="14" t="n">
        <f aca="false">IF(K171=0,0,M171/K171)</f>
        <v>0.203076923076923</v>
      </c>
      <c r="Z171" s="14" t="n">
        <f aca="false">IF(K171+R171+T171+U171=0,0,(M171+R171+T171)/(K171+R171+T171+U171))</f>
        <v>0.235294117647059</v>
      </c>
      <c r="AA171" s="14" t="n">
        <f aca="false">IF(K171=0,0,X171/K171)</f>
        <v>0.329230769230769</v>
      </c>
      <c r="AB171" s="14" t="n">
        <f aca="false">Z171+AA171</f>
        <v>0.564524886877828</v>
      </c>
      <c r="AC171" s="14" t="n">
        <f aca="false">AA171-Y171</f>
        <v>0.126153846153846</v>
      </c>
      <c r="AD171" s="14" t="n">
        <f aca="false">IF(K171-S171-P171+U171=0,0,(M171-P171)/(K171-S171-P171+U171))</f>
        <v>0.280373831775701</v>
      </c>
      <c r="AE171" s="15" t="n">
        <f aca="false">IF(J171=0,0,R171/J171)</f>
        <v>0.0264705882352941</v>
      </c>
      <c r="AF171" s="15" t="n">
        <f aca="false">IF(J171=0,0,S171/J171)</f>
        <v>0.311764705882353</v>
      </c>
      <c r="AG171" s="11" t="n">
        <f aca="false">IF(J171&gt;=INDEX(球季參數!$E$2:$E$4,MATCH($A171,球季參數!$A$2:$A$4,0)),1,0)</f>
        <v>0</v>
      </c>
    </row>
    <row r="172" customFormat="false" ht="15" hidden="false" customHeight="false" outlineLevel="0" collapsed="false">
      <c r="A172" s="5" t="n">
        <v>2024</v>
      </c>
      <c r="B172" s="7" t="s">
        <v>1157</v>
      </c>
      <c r="C172" s="10" t="str">
        <f aca="false">INDEX(球員主檔!$B$2:$B$749,MATCH($B172,球員主檔!$A$2:$A$749,0))</f>
        <v>Tobias Garrity</v>
      </c>
      <c r="D172" s="7" t="s">
        <v>414</v>
      </c>
      <c r="E172" s="10" t="str">
        <f aca="false">INDEX(球隊主檔!$C$2:$C$31,MATCH($D172,球隊主檔!$A$2:$A$31,0))</f>
        <v>紐約大都會</v>
      </c>
      <c r="F172" s="10" t="str">
        <f aca="false">INDEX(球隊主檔!$D$2:$D$31,MATCH($D172,球隊主檔!$A$2:$A$31,0))</f>
        <v>國聯</v>
      </c>
      <c r="G172" s="7" t="s">
        <v>483</v>
      </c>
      <c r="H172" s="11" t="n">
        <f aca="false">INT((DATE($A172,7,1)-INDEX(球員主檔!$G$2:$G$749,MATCH($B172,球員主檔!$A$2:$A$749,0)))/365.25)</f>
        <v>33</v>
      </c>
      <c r="I172" s="12" t="n">
        <v>153</v>
      </c>
      <c r="J172" s="12" t="n">
        <v>676</v>
      </c>
      <c r="K172" s="12" t="n">
        <v>638</v>
      </c>
      <c r="L172" s="12" t="n">
        <v>70</v>
      </c>
      <c r="M172" s="12" t="n">
        <v>155</v>
      </c>
      <c r="N172" s="12" t="n">
        <v>28</v>
      </c>
      <c r="O172" s="12" t="n">
        <v>3</v>
      </c>
      <c r="P172" s="12" t="n">
        <v>23</v>
      </c>
      <c r="Q172" s="12" t="n">
        <v>80</v>
      </c>
      <c r="R172" s="12" t="n">
        <v>36</v>
      </c>
      <c r="S172" s="12" t="n">
        <v>205</v>
      </c>
      <c r="T172" s="12" t="n">
        <v>1</v>
      </c>
      <c r="U172" s="12" t="n">
        <v>1</v>
      </c>
      <c r="V172" s="12" t="n">
        <v>12</v>
      </c>
      <c r="W172" s="12" t="n">
        <v>4</v>
      </c>
      <c r="X172" s="13" t="n">
        <f aca="false">M172+N172+2*O172+3*P172</f>
        <v>258</v>
      </c>
      <c r="Y172" s="14" t="n">
        <f aca="false">IF(K172=0,0,M172/K172)</f>
        <v>0.24294670846395</v>
      </c>
      <c r="Z172" s="14" t="n">
        <f aca="false">IF(K172+R172+T172+U172=0,0,(M172+R172+T172)/(K172+R172+T172+U172))</f>
        <v>0.284023668639053</v>
      </c>
      <c r="AA172" s="14" t="n">
        <f aca="false">IF(K172=0,0,X172/K172)</f>
        <v>0.404388714733542</v>
      </c>
      <c r="AB172" s="14" t="n">
        <f aca="false">Z172+AA172</f>
        <v>0.688412383372596</v>
      </c>
      <c r="AC172" s="14" t="n">
        <f aca="false">AA172-Y172</f>
        <v>0.161442006269593</v>
      </c>
      <c r="AD172" s="14" t="n">
        <f aca="false">IF(K172-S172-P172+U172=0,0,(M172-P172)/(K172-S172-P172+U172))</f>
        <v>0.321167883211679</v>
      </c>
      <c r="AE172" s="15" t="n">
        <f aca="false">IF(J172=0,0,R172/J172)</f>
        <v>0.0532544378698225</v>
      </c>
      <c r="AF172" s="15" t="n">
        <f aca="false">IF(J172=0,0,S172/J172)</f>
        <v>0.303254437869823</v>
      </c>
      <c r="AG172" s="11" t="n">
        <f aca="false">IF(J172&gt;=INDEX(球季參數!$E$2:$E$4,MATCH($A172,球季參數!$A$2:$A$4,0)),1,0)</f>
        <v>1</v>
      </c>
    </row>
    <row r="173" customFormat="false" ht="15" hidden="false" customHeight="false" outlineLevel="0" collapsed="false">
      <c r="A173" s="5" t="n">
        <v>2024</v>
      </c>
      <c r="B173" s="7" t="s">
        <v>1159</v>
      </c>
      <c r="C173" s="10" t="str">
        <f aca="false">INDEX(球員主檔!$B$2:$B$749,MATCH($B173,球員主檔!$A$2:$A$749,0))</f>
        <v>Esteban Thorsby</v>
      </c>
      <c r="D173" s="7" t="s">
        <v>414</v>
      </c>
      <c r="E173" s="10" t="str">
        <f aca="false">INDEX(球隊主檔!$C$2:$C$31,MATCH($D173,球隊主檔!$A$2:$A$31,0))</f>
        <v>紐約大都會</v>
      </c>
      <c r="F173" s="10" t="str">
        <f aca="false">INDEX(球隊主檔!$D$2:$D$31,MATCH($D173,球隊主檔!$A$2:$A$31,0))</f>
        <v>國聯</v>
      </c>
      <c r="G173" s="7" t="s">
        <v>483</v>
      </c>
      <c r="H173" s="11" t="n">
        <f aca="false">INT((DATE($A173,7,1)-INDEX(球員主檔!$G$2:$G$749,MATCH($B173,球員主檔!$A$2:$A$749,0)))/365.25)</f>
        <v>26</v>
      </c>
      <c r="I173" s="12" t="n">
        <v>112</v>
      </c>
      <c r="J173" s="12" t="n">
        <v>462</v>
      </c>
      <c r="K173" s="12" t="n">
        <v>404</v>
      </c>
      <c r="L173" s="12" t="n">
        <v>69</v>
      </c>
      <c r="M173" s="12" t="n">
        <v>113</v>
      </c>
      <c r="N173" s="12" t="n">
        <v>13</v>
      </c>
      <c r="O173" s="12" t="n">
        <v>7</v>
      </c>
      <c r="P173" s="12" t="n">
        <v>25</v>
      </c>
      <c r="Q173" s="12" t="n">
        <v>80</v>
      </c>
      <c r="R173" s="12" t="n">
        <v>46</v>
      </c>
      <c r="S173" s="12" t="n">
        <v>76</v>
      </c>
      <c r="T173" s="12" t="n">
        <v>9</v>
      </c>
      <c r="U173" s="12" t="n">
        <v>3</v>
      </c>
      <c r="V173" s="12" t="n">
        <v>1</v>
      </c>
      <c r="W173" s="12" t="n">
        <v>0</v>
      </c>
      <c r="X173" s="13" t="n">
        <f aca="false">M173+N173+2*O173+3*P173</f>
        <v>215</v>
      </c>
      <c r="Y173" s="14" t="n">
        <f aca="false">IF(K173=0,0,M173/K173)</f>
        <v>0.27970297029703</v>
      </c>
      <c r="Z173" s="14" t="n">
        <f aca="false">IF(K173+R173+T173+U173=0,0,(M173+R173+T173)/(K173+R173+T173+U173))</f>
        <v>0.363636363636364</v>
      </c>
      <c r="AA173" s="14" t="n">
        <f aca="false">IF(K173=0,0,X173/K173)</f>
        <v>0.532178217821782</v>
      </c>
      <c r="AB173" s="14" t="n">
        <f aca="false">Z173+AA173</f>
        <v>0.895814581458146</v>
      </c>
      <c r="AC173" s="14" t="n">
        <f aca="false">AA173-Y173</f>
        <v>0.252475247524753</v>
      </c>
      <c r="AD173" s="14" t="n">
        <f aca="false">IF(K173-S173-P173+U173=0,0,(M173-P173)/(K173-S173-P173+U173))</f>
        <v>0.287581699346405</v>
      </c>
      <c r="AE173" s="15" t="n">
        <f aca="false">IF(J173=0,0,R173/J173)</f>
        <v>0.0995670995670996</v>
      </c>
      <c r="AF173" s="15" t="n">
        <f aca="false">IF(J173=0,0,S173/J173)</f>
        <v>0.164502164502165</v>
      </c>
      <c r="AG173" s="11" t="n">
        <f aca="false">IF(J173&gt;=INDEX(球季參數!$E$2:$E$4,MATCH($A173,球季參數!$A$2:$A$4,0)),1,0)</f>
        <v>0</v>
      </c>
    </row>
    <row r="174" customFormat="false" ht="15" hidden="false" customHeight="false" outlineLevel="0" collapsed="false">
      <c r="A174" s="5" t="n">
        <v>2024</v>
      </c>
      <c r="B174" s="7" t="s">
        <v>1161</v>
      </c>
      <c r="C174" s="10" t="str">
        <f aca="false">INDEX(球員主檔!$B$2:$B$749,MATCH($B174,球員主檔!$A$2:$A$749,0))</f>
        <v>Everett Montalvo</v>
      </c>
      <c r="D174" s="7" t="s">
        <v>414</v>
      </c>
      <c r="E174" s="10" t="str">
        <f aca="false">INDEX(球隊主檔!$C$2:$C$31,MATCH($D174,球隊主檔!$A$2:$A$31,0))</f>
        <v>紐約大都會</v>
      </c>
      <c r="F174" s="10" t="str">
        <f aca="false">INDEX(球隊主檔!$D$2:$D$31,MATCH($D174,球隊主檔!$A$2:$A$31,0))</f>
        <v>國聯</v>
      </c>
      <c r="G174" s="7" t="s">
        <v>483</v>
      </c>
      <c r="H174" s="11" t="n">
        <f aca="false">INT((DATE($A174,7,1)-INDEX(球員主檔!$G$2:$G$749,MATCH($B174,球員主檔!$A$2:$A$749,0)))/365.25)</f>
        <v>30</v>
      </c>
      <c r="I174" s="12" t="n">
        <v>156</v>
      </c>
      <c r="J174" s="12" t="n">
        <v>626</v>
      </c>
      <c r="K174" s="12" t="n">
        <v>560</v>
      </c>
      <c r="L174" s="12" t="n">
        <v>63</v>
      </c>
      <c r="M174" s="12" t="n">
        <v>114</v>
      </c>
      <c r="N174" s="12" t="n">
        <v>12</v>
      </c>
      <c r="O174" s="12" t="n">
        <v>7</v>
      </c>
      <c r="P174" s="12" t="n">
        <v>22</v>
      </c>
      <c r="Q174" s="12" t="n">
        <v>66</v>
      </c>
      <c r="R174" s="12" t="n">
        <v>50</v>
      </c>
      <c r="S174" s="12" t="n">
        <v>196</v>
      </c>
      <c r="T174" s="12" t="n">
        <v>11</v>
      </c>
      <c r="U174" s="12" t="n">
        <v>5</v>
      </c>
      <c r="V174" s="12" t="n">
        <v>21</v>
      </c>
      <c r="W174" s="12" t="n">
        <v>6</v>
      </c>
      <c r="X174" s="13" t="n">
        <f aca="false">M174+N174+2*O174+3*P174</f>
        <v>206</v>
      </c>
      <c r="Y174" s="14" t="n">
        <f aca="false">IF(K174=0,0,M174/K174)</f>
        <v>0.203571428571429</v>
      </c>
      <c r="Z174" s="14" t="n">
        <f aca="false">IF(K174+R174+T174+U174=0,0,(M174+R174+T174)/(K174+R174+T174+U174))</f>
        <v>0.279552715654952</v>
      </c>
      <c r="AA174" s="14" t="n">
        <f aca="false">IF(K174=0,0,X174/K174)</f>
        <v>0.367857142857143</v>
      </c>
      <c r="AB174" s="14" t="n">
        <f aca="false">Z174+AA174</f>
        <v>0.647409858512095</v>
      </c>
      <c r="AC174" s="14" t="n">
        <f aca="false">AA174-Y174</f>
        <v>0.164285714285714</v>
      </c>
      <c r="AD174" s="14" t="n">
        <f aca="false">IF(K174-S174-P174+U174=0,0,(M174-P174)/(K174-S174-P174+U174))</f>
        <v>0.265129682997118</v>
      </c>
      <c r="AE174" s="15" t="n">
        <f aca="false">IF(J174=0,0,R174/J174)</f>
        <v>0.0798722044728435</v>
      </c>
      <c r="AF174" s="15" t="n">
        <f aca="false">IF(J174=0,0,S174/J174)</f>
        <v>0.313099041533546</v>
      </c>
      <c r="AG174" s="11" t="n">
        <f aca="false">IF(J174&gt;=INDEX(球季參數!$E$2:$E$4,MATCH($A174,球季參數!$A$2:$A$4,0)),1,0)</f>
        <v>1</v>
      </c>
    </row>
    <row r="175" customFormat="false" ht="15" hidden="false" customHeight="false" outlineLevel="0" collapsed="false">
      <c r="A175" s="5" t="n">
        <v>2024</v>
      </c>
      <c r="B175" s="7" t="s">
        <v>1163</v>
      </c>
      <c r="C175" s="10" t="str">
        <f aca="false">INDEX(球員主檔!$B$2:$B$749,MATCH($B175,球員主檔!$A$2:$A$749,0))</f>
        <v>Esteban Cavanaugh</v>
      </c>
      <c r="D175" s="7" t="s">
        <v>414</v>
      </c>
      <c r="E175" s="10" t="str">
        <f aca="false">INDEX(球隊主檔!$C$2:$C$31,MATCH($D175,球隊主檔!$A$2:$A$31,0))</f>
        <v>紐約大都會</v>
      </c>
      <c r="F175" s="10" t="str">
        <f aca="false">INDEX(球隊主檔!$D$2:$D$31,MATCH($D175,球隊主檔!$A$2:$A$31,0))</f>
        <v>國聯</v>
      </c>
      <c r="G175" s="7" t="s">
        <v>63</v>
      </c>
      <c r="H175" s="11" t="n">
        <f aca="false">INT((DATE($A175,7,1)-INDEX(球員主檔!$G$2:$G$749,MATCH($B175,球員主檔!$A$2:$A$749,0)))/365.25)</f>
        <v>30</v>
      </c>
      <c r="I175" s="12" t="n">
        <v>130</v>
      </c>
      <c r="J175" s="12" t="n">
        <v>565</v>
      </c>
      <c r="K175" s="12" t="n">
        <v>513</v>
      </c>
      <c r="L175" s="12" t="n">
        <v>73</v>
      </c>
      <c r="M175" s="12" t="n">
        <v>128</v>
      </c>
      <c r="N175" s="12" t="n">
        <v>36</v>
      </c>
      <c r="O175" s="12" t="n">
        <v>8</v>
      </c>
      <c r="P175" s="12" t="n">
        <v>16</v>
      </c>
      <c r="Q175" s="12" t="n">
        <v>66</v>
      </c>
      <c r="R175" s="12" t="n">
        <v>39</v>
      </c>
      <c r="S175" s="12" t="n">
        <v>87</v>
      </c>
      <c r="T175" s="12" t="n">
        <v>8</v>
      </c>
      <c r="U175" s="12" t="n">
        <v>5</v>
      </c>
      <c r="V175" s="12" t="n">
        <v>38</v>
      </c>
      <c r="W175" s="12" t="n">
        <v>7</v>
      </c>
      <c r="X175" s="13" t="n">
        <f aca="false">M175+N175+2*O175+3*P175</f>
        <v>228</v>
      </c>
      <c r="Y175" s="14" t="n">
        <f aca="false">IF(K175=0,0,M175/K175)</f>
        <v>0.249512670565302</v>
      </c>
      <c r="Z175" s="14" t="n">
        <f aca="false">IF(K175+R175+T175+U175=0,0,(M175+R175+T175)/(K175+R175+T175+U175))</f>
        <v>0.309734513274336</v>
      </c>
      <c r="AA175" s="14" t="n">
        <f aca="false">IF(K175=0,0,X175/K175)</f>
        <v>0.444444444444444</v>
      </c>
      <c r="AB175" s="14" t="n">
        <f aca="false">Z175+AA175</f>
        <v>0.754178957718781</v>
      </c>
      <c r="AC175" s="14" t="n">
        <f aca="false">AA175-Y175</f>
        <v>0.194931773879142</v>
      </c>
      <c r="AD175" s="14" t="n">
        <f aca="false">IF(K175-S175-P175+U175=0,0,(M175-P175)/(K175-S175-P175+U175))</f>
        <v>0.269879518072289</v>
      </c>
      <c r="AE175" s="15" t="n">
        <f aca="false">IF(J175=0,0,R175/J175)</f>
        <v>0.0690265486725664</v>
      </c>
      <c r="AF175" s="15" t="n">
        <f aca="false">IF(J175=0,0,S175/J175)</f>
        <v>0.153982300884956</v>
      </c>
      <c r="AG175" s="11" t="n">
        <f aca="false">IF(J175&gt;=INDEX(球季參數!$E$2:$E$4,MATCH($A175,球季參數!$A$2:$A$4,0)),1,0)</f>
        <v>1</v>
      </c>
    </row>
    <row r="176" customFormat="false" ht="15" hidden="false" customHeight="false" outlineLevel="0" collapsed="false">
      <c r="A176" s="5" t="n">
        <v>2024</v>
      </c>
      <c r="B176" s="7" t="s">
        <v>1165</v>
      </c>
      <c r="C176" s="10" t="str">
        <f aca="false">INDEX(球員主檔!$B$2:$B$749,MATCH($B176,球員主檔!$A$2:$A$749,0))</f>
        <v>Porter Beckwith</v>
      </c>
      <c r="D176" s="7" t="s">
        <v>414</v>
      </c>
      <c r="E176" s="10" t="str">
        <f aca="false">INDEX(球隊主檔!$C$2:$C$31,MATCH($D176,球隊主檔!$A$2:$A$31,0))</f>
        <v>紐約大都會</v>
      </c>
      <c r="F176" s="10" t="str">
        <f aca="false">INDEX(球隊主檔!$D$2:$D$31,MATCH($D176,球隊主檔!$A$2:$A$31,0))</f>
        <v>國聯</v>
      </c>
      <c r="G176" s="7" t="s">
        <v>470</v>
      </c>
      <c r="H176" s="11" t="n">
        <f aca="false">INT((DATE($A176,7,1)-INDEX(球員主檔!$G$2:$G$749,MATCH($B176,球員主檔!$A$2:$A$749,0)))/365.25)</f>
        <v>27</v>
      </c>
      <c r="I176" s="12" t="n">
        <v>138</v>
      </c>
      <c r="J176" s="12" t="n">
        <v>562</v>
      </c>
      <c r="K176" s="12" t="n">
        <v>522</v>
      </c>
      <c r="L176" s="12" t="n">
        <v>74</v>
      </c>
      <c r="M176" s="12" t="n">
        <v>148</v>
      </c>
      <c r="N176" s="12" t="n">
        <v>36</v>
      </c>
      <c r="O176" s="12" t="n">
        <v>4</v>
      </c>
      <c r="P176" s="12" t="n">
        <v>10</v>
      </c>
      <c r="Q176" s="12" t="n">
        <v>59</v>
      </c>
      <c r="R176" s="12" t="n">
        <v>29</v>
      </c>
      <c r="S176" s="12" t="n">
        <v>134</v>
      </c>
      <c r="T176" s="12" t="n">
        <v>10</v>
      </c>
      <c r="U176" s="12" t="n">
        <v>1</v>
      </c>
      <c r="V176" s="12" t="n">
        <v>9</v>
      </c>
      <c r="W176" s="12" t="n">
        <v>2</v>
      </c>
      <c r="X176" s="13" t="n">
        <f aca="false">M176+N176+2*O176+3*P176</f>
        <v>222</v>
      </c>
      <c r="Y176" s="14" t="n">
        <f aca="false">IF(K176=0,0,M176/K176)</f>
        <v>0.283524904214559</v>
      </c>
      <c r="Z176" s="14" t="n">
        <f aca="false">IF(K176+R176+T176+U176=0,0,(M176+R176+T176)/(K176+R176+T176+U176))</f>
        <v>0.332740213523132</v>
      </c>
      <c r="AA176" s="14" t="n">
        <f aca="false">IF(K176=0,0,X176/K176)</f>
        <v>0.425287356321839</v>
      </c>
      <c r="AB176" s="14" t="n">
        <f aca="false">Z176+AA176</f>
        <v>0.758027569844971</v>
      </c>
      <c r="AC176" s="14" t="n">
        <f aca="false">AA176-Y176</f>
        <v>0.14176245210728</v>
      </c>
      <c r="AD176" s="14" t="n">
        <f aca="false">IF(K176-S176-P176+U176=0,0,(M176-P176)/(K176-S176-P176+U176))</f>
        <v>0.364116094986807</v>
      </c>
      <c r="AE176" s="15" t="n">
        <f aca="false">IF(J176=0,0,R176/J176)</f>
        <v>0.0516014234875445</v>
      </c>
      <c r="AF176" s="15" t="n">
        <f aca="false">IF(J176=0,0,S176/J176)</f>
        <v>0.238434163701068</v>
      </c>
      <c r="AG176" s="11" t="n">
        <f aca="false">IF(J176&gt;=INDEX(球季參數!$E$2:$E$4,MATCH($A176,球季參數!$A$2:$A$4,0)),1,0)</f>
        <v>1</v>
      </c>
    </row>
    <row r="177" customFormat="false" ht="15" hidden="false" customHeight="false" outlineLevel="0" collapsed="false">
      <c r="A177" s="5" t="n">
        <v>2024</v>
      </c>
      <c r="B177" s="7" t="s">
        <v>1167</v>
      </c>
      <c r="C177" s="10" t="str">
        <f aca="false">INDEX(球員主檔!$B$2:$B$749,MATCH($B177,球員主檔!$A$2:$A$749,0))</f>
        <v>Griffin Tremblay</v>
      </c>
      <c r="D177" s="7" t="s">
        <v>414</v>
      </c>
      <c r="E177" s="10" t="str">
        <f aca="false">INDEX(球隊主檔!$C$2:$C$31,MATCH($D177,球隊主檔!$A$2:$A$31,0))</f>
        <v>紐約大都會</v>
      </c>
      <c r="F177" s="10" t="str">
        <f aca="false">INDEX(球隊主檔!$D$2:$D$31,MATCH($D177,球隊主檔!$A$2:$A$31,0))</f>
        <v>國聯</v>
      </c>
      <c r="G177" s="7" t="s">
        <v>473</v>
      </c>
      <c r="H177" s="11" t="n">
        <f aca="false">INT((DATE($A177,7,1)-INDEX(球員主檔!$G$2:$G$749,MATCH($B177,球員主檔!$A$2:$A$749,0)))/365.25)</f>
        <v>26</v>
      </c>
      <c r="I177" s="12" t="n">
        <v>131</v>
      </c>
      <c r="J177" s="12" t="n">
        <v>531</v>
      </c>
      <c r="K177" s="12" t="n">
        <v>476</v>
      </c>
      <c r="L177" s="12" t="n">
        <v>62</v>
      </c>
      <c r="M177" s="12" t="n">
        <v>111</v>
      </c>
      <c r="N177" s="12" t="n">
        <v>19</v>
      </c>
      <c r="O177" s="12" t="n">
        <v>6</v>
      </c>
      <c r="P177" s="12" t="n">
        <v>16</v>
      </c>
      <c r="Q177" s="12" t="n">
        <v>56</v>
      </c>
      <c r="R177" s="12" t="n">
        <v>42</v>
      </c>
      <c r="S177" s="12" t="n">
        <v>119</v>
      </c>
      <c r="T177" s="12" t="n">
        <v>7</v>
      </c>
      <c r="U177" s="12" t="n">
        <v>6</v>
      </c>
      <c r="V177" s="12" t="n">
        <v>3</v>
      </c>
      <c r="W177" s="12" t="n">
        <v>1</v>
      </c>
      <c r="X177" s="13" t="n">
        <f aca="false">M177+N177+2*O177+3*P177</f>
        <v>190</v>
      </c>
      <c r="Y177" s="14" t="n">
        <f aca="false">IF(K177=0,0,M177/K177)</f>
        <v>0.233193277310924</v>
      </c>
      <c r="Z177" s="14" t="n">
        <f aca="false">IF(K177+R177+T177+U177=0,0,(M177+R177+T177)/(K177+R177+T177+U177))</f>
        <v>0.301318267419962</v>
      </c>
      <c r="AA177" s="14" t="n">
        <f aca="false">IF(K177=0,0,X177/K177)</f>
        <v>0.399159663865546</v>
      </c>
      <c r="AB177" s="14" t="n">
        <f aca="false">Z177+AA177</f>
        <v>0.700477931285509</v>
      </c>
      <c r="AC177" s="14" t="n">
        <f aca="false">AA177-Y177</f>
        <v>0.165966386554622</v>
      </c>
      <c r="AD177" s="14" t="n">
        <f aca="false">IF(K177-S177-P177+U177=0,0,(M177-P177)/(K177-S177-P177+U177))</f>
        <v>0.273775216138329</v>
      </c>
      <c r="AE177" s="15" t="n">
        <f aca="false">IF(J177=0,0,R177/J177)</f>
        <v>0.0790960451977401</v>
      </c>
      <c r="AF177" s="15" t="n">
        <f aca="false">IF(J177=0,0,S177/J177)</f>
        <v>0.224105461393597</v>
      </c>
      <c r="AG177" s="11" t="n">
        <f aca="false">IF(J177&gt;=INDEX(球季參數!$E$2:$E$4,MATCH($A177,球季參數!$A$2:$A$4,0)),1,0)</f>
        <v>1</v>
      </c>
    </row>
    <row r="178" customFormat="false" ht="15" hidden="false" customHeight="false" outlineLevel="0" collapsed="false">
      <c r="A178" s="5" t="n">
        <v>2024</v>
      </c>
      <c r="B178" s="7" t="s">
        <v>1169</v>
      </c>
      <c r="C178" s="10" t="str">
        <f aca="false">INDEX(球員主檔!$B$2:$B$749,MATCH($B178,球員主檔!$A$2:$A$749,0))</f>
        <v>Thiago Novotný</v>
      </c>
      <c r="D178" s="7" t="s">
        <v>414</v>
      </c>
      <c r="E178" s="10" t="str">
        <f aca="false">INDEX(球隊主檔!$C$2:$C$31,MATCH($D178,球隊主檔!$A$2:$A$31,0))</f>
        <v>紐約大都會</v>
      </c>
      <c r="F178" s="10" t="str">
        <f aca="false">INDEX(球隊主檔!$D$2:$D$31,MATCH($D178,球隊主檔!$A$2:$A$31,0))</f>
        <v>國聯</v>
      </c>
      <c r="G178" s="7" t="s">
        <v>63</v>
      </c>
      <c r="H178" s="11" t="n">
        <f aca="false">INT((DATE($A178,7,1)-INDEX(球員主檔!$G$2:$G$749,MATCH($B178,球員主檔!$A$2:$A$749,0)))/365.25)</f>
        <v>31</v>
      </c>
      <c r="I178" s="12" t="n">
        <v>100</v>
      </c>
      <c r="J178" s="12" t="n">
        <v>418</v>
      </c>
      <c r="K178" s="12" t="n">
        <v>374</v>
      </c>
      <c r="L178" s="12" t="n">
        <v>45</v>
      </c>
      <c r="M178" s="12" t="n">
        <v>93</v>
      </c>
      <c r="N178" s="12" t="n">
        <v>37</v>
      </c>
      <c r="O178" s="12" t="n">
        <v>9</v>
      </c>
      <c r="P178" s="12" t="n">
        <v>11</v>
      </c>
      <c r="Q178" s="12" t="n">
        <v>44</v>
      </c>
      <c r="R178" s="12" t="n">
        <v>31</v>
      </c>
      <c r="S178" s="12" t="n">
        <v>67</v>
      </c>
      <c r="T178" s="12" t="n">
        <v>8</v>
      </c>
      <c r="U178" s="12" t="n">
        <v>5</v>
      </c>
      <c r="V178" s="12" t="n">
        <v>8</v>
      </c>
      <c r="W178" s="12" t="n">
        <v>2</v>
      </c>
      <c r="X178" s="13" t="n">
        <f aca="false">M178+N178+2*O178+3*P178</f>
        <v>181</v>
      </c>
      <c r="Y178" s="14" t="n">
        <f aca="false">IF(K178=0,0,M178/K178)</f>
        <v>0.248663101604278</v>
      </c>
      <c r="Z178" s="14" t="n">
        <f aca="false">IF(K178+R178+T178+U178=0,0,(M178+R178+T178)/(K178+R178+T178+U178))</f>
        <v>0.315789473684211</v>
      </c>
      <c r="AA178" s="14" t="n">
        <f aca="false">IF(K178=0,0,X178/K178)</f>
        <v>0.483957219251337</v>
      </c>
      <c r="AB178" s="14" t="n">
        <f aca="false">Z178+AA178</f>
        <v>0.799746692935548</v>
      </c>
      <c r="AC178" s="14" t="n">
        <f aca="false">AA178-Y178</f>
        <v>0.235294117647059</v>
      </c>
      <c r="AD178" s="14" t="n">
        <f aca="false">IF(K178-S178-P178+U178=0,0,(M178-P178)/(K178-S178-P178+U178))</f>
        <v>0.272425249169435</v>
      </c>
      <c r="AE178" s="15" t="n">
        <f aca="false">IF(J178=0,0,R178/J178)</f>
        <v>0.0741626794258373</v>
      </c>
      <c r="AF178" s="15" t="n">
        <f aca="false">IF(J178=0,0,S178/J178)</f>
        <v>0.160287081339713</v>
      </c>
      <c r="AG178" s="11" t="n">
        <f aca="false">IF(J178&gt;=INDEX(球季參數!$E$2:$E$4,MATCH($A178,球季參數!$A$2:$A$4,0)),1,0)</f>
        <v>0</v>
      </c>
    </row>
    <row r="179" customFormat="false" ht="15" hidden="false" customHeight="false" outlineLevel="0" collapsed="false">
      <c r="A179" s="5" t="n">
        <v>2024</v>
      </c>
      <c r="B179" s="7" t="s">
        <v>1171</v>
      </c>
      <c r="C179" s="10" t="str">
        <f aca="false">INDEX(球員主檔!$B$2:$B$749,MATCH($B179,球員主檔!$A$2:$A$749,0))</f>
        <v>Osvaldo Vasquez</v>
      </c>
      <c r="D179" s="7" t="s">
        <v>414</v>
      </c>
      <c r="E179" s="10" t="str">
        <f aca="false">INDEX(球隊主檔!$C$2:$C$31,MATCH($D179,球隊主檔!$A$2:$A$31,0))</f>
        <v>紐約大都會</v>
      </c>
      <c r="F179" s="10" t="str">
        <f aca="false">INDEX(球隊主檔!$D$2:$D$31,MATCH($D179,球隊主檔!$A$2:$A$31,0))</f>
        <v>國聯</v>
      </c>
      <c r="G179" s="7" t="s">
        <v>162</v>
      </c>
      <c r="H179" s="11" t="n">
        <f aca="false">INT((DATE($A179,7,1)-INDEX(球員主檔!$G$2:$G$749,MATCH($B179,球員主檔!$A$2:$A$749,0)))/365.25)</f>
        <v>30</v>
      </c>
      <c r="I179" s="12" t="n">
        <v>91</v>
      </c>
      <c r="J179" s="12" t="n">
        <v>410</v>
      </c>
      <c r="K179" s="12" t="n">
        <v>354</v>
      </c>
      <c r="L179" s="12" t="n">
        <v>47</v>
      </c>
      <c r="M179" s="12" t="n">
        <v>94</v>
      </c>
      <c r="N179" s="12" t="n">
        <v>13</v>
      </c>
      <c r="O179" s="12" t="n">
        <v>2</v>
      </c>
      <c r="P179" s="12" t="n">
        <v>7</v>
      </c>
      <c r="Q179" s="12" t="n">
        <v>36</v>
      </c>
      <c r="R179" s="12" t="n">
        <v>47</v>
      </c>
      <c r="S179" s="12" t="n">
        <v>128</v>
      </c>
      <c r="T179" s="12" t="n">
        <v>7</v>
      </c>
      <c r="U179" s="12" t="n">
        <v>2</v>
      </c>
      <c r="V179" s="12" t="n">
        <v>6</v>
      </c>
      <c r="W179" s="12" t="n">
        <v>1</v>
      </c>
      <c r="X179" s="13" t="n">
        <f aca="false">M179+N179+2*O179+3*P179</f>
        <v>132</v>
      </c>
      <c r="Y179" s="14" t="n">
        <f aca="false">IF(K179=0,0,M179/K179)</f>
        <v>0.265536723163842</v>
      </c>
      <c r="Z179" s="14" t="n">
        <f aca="false">IF(K179+R179+T179+U179=0,0,(M179+R179+T179)/(K179+R179+T179+U179))</f>
        <v>0.360975609756098</v>
      </c>
      <c r="AA179" s="14" t="n">
        <f aca="false">IF(K179=0,0,X179/K179)</f>
        <v>0.372881355932203</v>
      </c>
      <c r="AB179" s="14" t="n">
        <f aca="false">Z179+AA179</f>
        <v>0.733856965688301</v>
      </c>
      <c r="AC179" s="14" t="n">
        <f aca="false">AA179-Y179</f>
        <v>0.107344632768362</v>
      </c>
      <c r="AD179" s="14" t="n">
        <f aca="false">IF(K179-S179-P179+U179=0,0,(M179-P179)/(K179-S179-P179+U179))</f>
        <v>0.393665158371041</v>
      </c>
      <c r="AE179" s="15" t="n">
        <f aca="false">IF(J179=0,0,R179/J179)</f>
        <v>0.114634146341463</v>
      </c>
      <c r="AF179" s="15" t="n">
        <f aca="false">IF(J179=0,0,S179/J179)</f>
        <v>0.31219512195122</v>
      </c>
      <c r="AG179" s="11" t="n">
        <f aca="false">IF(J179&gt;=INDEX(球季參數!$E$2:$E$4,MATCH($A179,球季參數!$A$2:$A$4,0)),1,0)</f>
        <v>0</v>
      </c>
    </row>
    <row r="180" customFormat="false" ht="15" hidden="false" customHeight="false" outlineLevel="0" collapsed="false">
      <c r="A180" s="5" t="n">
        <v>2024</v>
      </c>
      <c r="B180" s="7" t="s">
        <v>1173</v>
      </c>
      <c r="C180" s="10" t="str">
        <f aca="false">INDEX(球員主檔!$B$2:$B$749,MATCH($B180,球員主檔!$A$2:$A$749,0))</f>
        <v>Desmond Paszkiewicz</v>
      </c>
      <c r="D180" s="7" t="s">
        <v>414</v>
      </c>
      <c r="E180" s="10" t="str">
        <f aca="false">INDEX(球隊主檔!$C$2:$C$31,MATCH($D180,球隊主檔!$A$2:$A$31,0))</f>
        <v>紐約大都會</v>
      </c>
      <c r="F180" s="10" t="str">
        <f aca="false">INDEX(球隊主檔!$D$2:$D$31,MATCH($D180,球隊主檔!$A$2:$A$31,0))</f>
        <v>國聯</v>
      </c>
      <c r="G180" s="7" t="s">
        <v>158</v>
      </c>
      <c r="H180" s="11" t="n">
        <f aca="false">INT((DATE($A180,7,1)-INDEX(球員主檔!$G$2:$G$749,MATCH($B180,球員主檔!$A$2:$A$749,0)))/365.25)</f>
        <v>28</v>
      </c>
      <c r="I180" s="12" t="n">
        <v>52</v>
      </c>
      <c r="J180" s="12" t="n">
        <v>221</v>
      </c>
      <c r="K180" s="12" t="n">
        <v>194</v>
      </c>
      <c r="L180" s="12" t="n">
        <v>24</v>
      </c>
      <c r="M180" s="12" t="n">
        <v>49</v>
      </c>
      <c r="N180" s="12" t="n">
        <v>17</v>
      </c>
      <c r="O180" s="12" t="n">
        <v>1</v>
      </c>
      <c r="P180" s="12" t="n">
        <v>4</v>
      </c>
      <c r="Q180" s="12" t="n">
        <v>19</v>
      </c>
      <c r="R180" s="12" t="n">
        <v>22</v>
      </c>
      <c r="S180" s="12" t="n">
        <v>56</v>
      </c>
      <c r="T180" s="12" t="n">
        <v>2</v>
      </c>
      <c r="U180" s="12" t="n">
        <v>3</v>
      </c>
      <c r="V180" s="12" t="n">
        <v>5</v>
      </c>
      <c r="W180" s="12" t="n">
        <v>1</v>
      </c>
      <c r="X180" s="13" t="n">
        <f aca="false">M180+N180+2*O180+3*P180</f>
        <v>80</v>
      </c>
      <c r="Y180" s="14" t="n">
        <f aca="false">IF(K180=0,0,M180/K180)</f>
        <v>0.252577319587629</v>
      </c>
      <c r="Z180" s="14" t="n">
        <f aca="false">IF(K180+R180+T180+U180=0,0,(M180+R180+T180)/(K180+R180+T180+U180))</f>
        <v>0.330316742081448</v>
      </c>
      <c r="AA180" s="14" t="n">
        <f aca="false">IF(K180=0,0,X180/K180)</f>
        <v>0.412371134020619</v>
      </c>
      <c r="AB180" s="14" t="n">
        <f aca="false">Z180+AA180</f>
        <v>0.742687876102067</v>
      </c>
      <c r="AC180" s="14" t="n">
        <f aca="false">AA180-Y180</f>
        <v>0.15979381443299</v>
      </c>
      <c r="AD180" s="14" t="n">
        <f aca="false">IF(K180-S180-P180+U180=0,0,(M180-P180)/(K180-S180-P180+U180))</f>
        <v>0.328467153284672</v>
      </c>
      <c r="AE180" s="15" t="n">
        <f aca="false">IF(J180=0,0,R180/J180)</f>
        <v>0.0995475113122172</v>
      </c>
      <c r="AF180" s="15" t="n">
        <f aca="false">IF(J180=0,0,S180/J180)</f>
        <v>0.253393665158371</v>
      </c>
      <c r="AG180" s="11" t="n">
        <f aca="false">IF(J180&gt;=INDEX(球季參數!$E$2:$E$4,MATCH($A180,球季參數!$A$2:$A$4,0)),1,0)</f>
        <v>0</v>
      </c>
    </row>
    <row r="181" customFormat="false" ht="15" hidden="false" customHeight="false" outlineLevel="0" collapsed="false">
      <c r="A181" s="5" t="n">
        <v>2024</v>
      </c>
      <c r="B181" s="7" t="s">
        <v>1175</v>
      </c>
      <c r="C181" s="10" t="str">
        <f aca="false">INDEX(球員主檔!$B$2:$B$749,MATCH($B181,球員主檔!$A$2:$A$749,0))</f>
        <v>Oakley Tremblay</v>
      </c>
      <c r="D181" s="7" t="s">
        <v>414</v>
      </c>
      <c r="E181" s="10" t="str">
        <f aca="false">INDEX(球隊主檔!$C$2:$C$31,MATCH($D181,球隊主檔!$A$2:$A$31,0))</f>
        <v>紐約大都會</v>
      </c>
      <c r="F181" s="10" t="str">
        <f aca="false">INDEX(球隊主檔!$D$2:$D$31,MATCH($D181,球隊主檔!$A$2:$A$31,0))</f>
        <v>國聯</v>
      </c>
      <c r="G181" s="7" t="s">
        <v>486</v>
      </c>
      <c r="H181" s="11" t="n">
        <f aca="false">INT((DATE($A181,7,1)-INDEX(球員主檔!$G$2:$G$749,MATCH($B181,球員主檔!$A$2:$A$749,0)))/365.25)</f>
        <v>24</v>
      </c>
      <c r="I181" s="12" t="n">
        <v>55</v>
      </c>
      <c r="J181" s="12" t="n">
        <v>217</v>
      </c>
      <c r="K181" s="12" t="n">
        <v>194</v>
      </c>
      <c r="L181" s="12" t="n">
        <v>22</v>
      </c>
      <c r="M181" s="12" t="n">
        <v>47</v>
      </c>
      <c r="N181" s="12" t="n">
        <v>19</v>
      </c>
      <c r="O181" s="12" t="n">
        <v>4</v>
      </c>
      <c r="P181" s="12" t="n">
        <v>5</v>
      </c>
      <c r="Q181" s="12" t="n">
        <v>20</v>
      </c>
      <c r="R181" s="12" t="n">
        <v>18</v>
      </c>
      <c r="S181" s="12" t="n">
        <v>44</v>
      </c>
      <c r="T181" s="12" t="n">
        <v>4</v>
      </c>
      <c r="U181" s="12" t="n">
        <v>1</v>
      </c>
      <c r="V181" s="12" t="n">
        <v>3</v>
      </c>
      <c r="W181" s="12" t="n">
        <v>1</v>
      </c>
      <c r="X181" s="13" t="n">
        <f aca="false">M181+N181+2*O181+3*P181</f>
        <v>89</v>
      </c>
      <c r="Y181" s="14" t="n">
        <f aca="false">IF(K181=0,0,M181/K181)</f>
        <v>0.242268041237113</v>
      </c>
      <c r="Z181" s="14" t="n">
        <f aca="false">IF(K181+R181+T181+U181=0,0,(M181+R181+T181)/(K181+R181+T181+U181))</f>
        <v>0.317972350230415</v>
      </c>
      <c r="AA181" s="14" t="n">
        <f aca="false">IF(K181=0,0,X181/K181)</f>
        <v>0.458762886597938</v>
      </c>
      <c r="AB181" s="14" t="n">
        <f aca="false">Z181+AA181</f>
        <v>0.776735236828353</v>
      </c>
      <c r="AC181" s="14" t="n">
        <f aca="false">AA181-Y181</f>
        <v>0.216494845360825</v>
      </c>
      <c r="AD181" s="14" t="n">
        <f aca="false">IF(K181-S181-P181+U181=0,0,(M181-P181)/(K181-S181-P181+U181))</f>
        <v>0.287671232876712</v>
      </c>
      <c r="AE181" s="15" t="n">
        <f aca="false">IF(J181=0,0,R181/J181)</f>
        <v>0.0829493087557604</v>
      </c>
      <c r="AF181" s="15" t="n">
        <f aca="false">IF(J181=0,0,S181/J181)</f>
        <v>0.202764976958525</v>
      </c>
      <c r="AG181" s="11" t="n">
        <f aca="false">IF(J181&gt;=INDEX(球季參數!$E$2:$E$4,MATCH($A181,球季參數!$A$2:$A$4,0)),1,0)</f>
        <v>0</v>
      </c>
    </row>
    <row r="182" customFormat="false" ht="15" hidden="false" customHeight="false" outlineLevel="0" collapsed="false">
      <c r="A182" s="5" t="n">
        <v>2024</v>
      </c>
      <c r="B182" s="7" t="s">
        <v>1197</v>
      </c>
      <c r="C182" s="10" t="str">
        <f aca="false">INDEX(球員主檔!$B$2:$B$749,MATCH($B182,球員主檔!$A$2:$A$749,0))</f>
        <v>Everett Tanabe</v>
      </c>
      <c r="D182" s="7" t="s">
        <v>418</v>
      </c>
      <c r="E182" s="10" t="str">
        <f aca="false">INDEX(球隊主檔!$C$2:$C$31,MATCH($D182,球隊主檔!$A$2:$A$31,0))</f>
        <v>費城費城人</v>
      </c>
      <c r="F182" s="10" t="str">
        <f aca="false">INDEX(球隊主檔!$D$2:$D$31,MATCH($D182,球隊主檔!$A$2:$A$31,0))</f>
        <v>國聯</v>
      </c>
      <c r="G182" s="7" t="s">
        <v>483</v>
      </c>
      <c r="H182" s="11" t="n">
        <f aca="false">INT((DATE($A182,7,1)-INDEX(球員主檔!$G$2:$G$749,MATCH($B182,球員主檔!$A$2:$A$749,0)))/365.25)</f>
        <v>22</v>
      </c>
      <c r="I182" s="12" t="n">
        <v>154</v>
      </c>
      <c r="J182" s="12" t="n">
        <v>607</v>
      </c>
      <c r="K182" s="12" t="n">
        <v>490</v>
      </c>
      <c r="L182" s="12" t="n">
        <v>65</v>
      </c>
      <c r="M182" s="12" t="n">
        <v>94</v>
      </c>
      <c r="N182" s="12" t="n">
        <v>31</v>
      </c>
      <c r="O182" s="12" t="n">
        <v>10</v>
      </c>
      <c r="P182" s="12" t="n">
        <v>16</v>
      </c>
      <c r="Q182" s="12" t="n">
        <v>48</v>
      </c>
      <c r="R182" s="12" t="n">
        <v>104</v>
      </c>
      <c r="S182" s="12" t="n">
        <v>117</v>
      </c>
      <c r="T182" s="12" t="n">
        <v>11</v>
      </c>
      <c r="U182" s="12" t="n">
        <v>2</v>
      </c>
      <c r="V182" s="12" t="n">
        <v>19</v>
      </c>
      <c r="W182" s="12" t="n">
        <v>4</v>
      </c>
      <c r="X182" s="13" t="n">
        <f aca="false">M182+N182+2*O182+3*P182</f>
        <v>193</v>
      </c>
      <c r="Y182" s="14" t="n">
        <f aca="false">IF(K182=0,0,M182/K182)</f>
        <v>0.191836734693878</v>
      </c>
      <c r="Z182" s="14" t="n">
        <f aca="false">IF(K182+R182+T182+U182=0,0,(M182+R182+T182)/(K182+R182+T182+U182))</f>
        <v>0.344316309719934</v>
      </c>
      <c r="AA182" s="14" t="n">
        <f aca="false">IF(K182=0,0,X182/K182)</f>
        <v>0.393877551020408</v>
      </c>
      <c r="AB182" s="14" t="n">
        <f aca="false">Z182+AA182</f>
        <v>0.738193860740342</v>
      </c>
      <c r="AC182" s="14" t="n">
        <f aca="false">AA182-Y182</f>
        <v>0.202040816326531</v>
      </c>
      <c r="AD182" s="14" t="n">
        <f aca="false">IF(K182-S182-P182+U182=0,0,(M182-P182)/(K182-S182-P182+U182))</f>
        <v>0.217270194986072</v>
      </c>
      <c r="AE182" s="15" t="n">
        <f aca="false">IF(J182=0,0,R182/J182)</f>
        <v>0.171334431630972</v>
      </c>
      <c r="AF182" s="15" t="n">
        <f aca="false">IF(J182=0,0,S182/J182)</f>
        <v>0.192751235584844</v>
      </c>
      <c r="AG182" s="11" t="n">
        <f aca="false">IF(J182&gt;=INDEX(球季參數!$E$2:$E$4,MATCH($A182,球季參數!$A$2:$A$4,0)),1,0)</f>
        <v>1</v>
      </c>
    </row>
    <row r="183" customFormat="false" ht="15" hidden="false" customHeight="false" outlineLevel="0" collapsed="false">
      <c r="A183" s="5" t="n">
        <v>2024</v>
      </c>
      <c r="B183" s="7" t="s">
        <v>1199</v>
      </c>
      <c r="C183" s="10" t="str">
        <f aca="false">INDEX(球員主檔!$B$2:$B$749,MATCH($B183,球員主檔!$A$2:$A$749,0))</f>
        <v>Emilio Delacroix</v>
      </c>
      <c r="D183" s="7" t="s">
        <v>418</v>
      </c>
      <c r="E183" s="10" t="str">
        <f aca="false">INDEX(球隊主檔!$C$2:$C$31,MATCH($D183,球隊主檔!$A$2:$A$31,0))</f>
        <v>費城費城人</v>
      </c>
      <c r="F183" s="10" t="str">
        <f aca="false">INDEX(球隊主檔!$D$2:$D$31,MATCH($D183,球隊主檔!$A$2:$A$31,0))</f>
        <v>國聯</v>
      </c>
      <c r="G183" s="7" t="s">
        <v>470</v>
      </c>
      <c r="H183" s="11" t="n">
        <f aca="false">INT((DATE($A183,7,1)-INDEX(球員主檔!$G$2:$G$749,MATCH($B183,球員主檔!$A$2:$A$749,0)))/365.25)</f>
        <v>28</v>
      </c>
      <c r="I183" s="12" t="n">
        <v>130</v>
      </c>
      <c r="J183" s="12" t="n">
        <v>565</v>
      </c>
      <c r="K183" s="12" t="n">
        <v>502</v>
      </c>
      <c r="L183" s="12" t="n">
        <v>85</v>
      </c>
      <c r="M183" s="12" t="n">
        <v>130</v>
      </c>
      <c r="N183" s="12" t="n">
        <v>12</v>
      </c>
      <c r="O183" s="12" t="n">
        <v>4</v>
      </c>
      <c r="P183" s="12" t="n">
        <v>31</v>
      </c>
      <c r="Q183" s="12" t="n">
        <v>102</v>
      </c>
      <c r="R183" s="12" t="n">
        <v>48</v>
      </c>
      <c r="S183" s="12" t="n">
        <v>121</v>
      </c>
      <c r="T183" s="12" t="n">
        <v>8</v>
      </c>
      <c r="U183" s="12" t="n">
        <v>7</v>
      </c>
      <c r="V183" s="12" t="n">
        <v>28</v>
      </c>
      <c r="W183" s="12" t="n">
        <v>6</v>
      </c>
      <c r="X183" s="13" t="n">
        <f aca="false">M183+N183+2*O183+3*P183</f>
        <v>243</v>
      </c>
      <c r="Y183" s="14" t="n">
        <f aca="false">IF(K183=0,0,M183/K183)</f>
        <v>0.258964143426295</v>
      </c>
      <c r="Z183" s="14" t="n">
        <f aca="false">IF(K183+R183+T183+U183=0,0,(M183+R183+T183)/(K183+R183+T183+U183))</f>
        <v>0.329203539823009</v>
      </c>
      <c r="AA183" s="14" t="n">
        <f aca="false">IF(K183=0,0,X183/K183)</f>
        <v>0.48406374501992</v>
      </c>
      <c r="AB183" s="14" t="n">
        <f aca="false">Z183+AA183</f>
        <v>0.813267284842929</v>
      </c>
      <c r="AC183" s="14" t="n">
        <f aca="false">AA183-Y183</f>
        <v>0.225099601593626</v>
      </c>
      <c r="AD183" s="14" t="n">
        <f aca="false">IF(K183-S183-P183+U183=0,0,(M183-P183)/(K183-S183-P183+U183))</f>
        <v>0.277310924369748</v>
      </c>
      <c r="AE183" s="15" t="n">
        <f aca="false">IF(J183=0,0,R183/J183)</f>
        <v>0.0849557522123894</v>
      </c>
      <c r="AF183" s="15" t="n">
        <f aca="false">IF(J183=0,0,S183/J183)</f>
        <v>0.214159292035398</v>
      </c>
      <c r="AG183" s="11" t="n">
        <f aca="false">IF(J183&gt;=INDEX(球季參數!$E$2:$E$4,MATCH($A183,球季參數!$A$2:$A$4,0)),1,0)</f>
        <v>1</v>
      </c>
    </row>
    <row r="184" customFormat="false" ht="15" hidden="false" customHeight="false" outlineLevel="0" collapsed="false">
      <c r="A184" s="5" t="n">
        <v>2024</v>
      </c>
      <c r="B184" s="7" t="s">
        <v>1201</v>
      </c>
      <c r="C184" s="10" t="str">
        <f aca="false">INDEX(球員主檔!$B$2:$B$749,MATCH($B184,球員主檔!$A$2:$A$749,0))</f>
        <v>Silas Ashworth</v>
      </c>
      <c r="D184" s="7" t="s">
        <v>418</v>
      </c>
      <c r="E184" s="10" t="str">
        <f aca="false">INDEX(球隊主檔!$C$2:$C$31,MATCH($D184,球隊主檔!$A$2:$A$31,0))</f>
        <v>費城費城人</v>
      </c>
      <c r="F184" s="10" t="str">
        <f aca="false">INDEX(球隊主檔!$D$2:$D$31,MATCH($D184,球隊主檔!$A$2:$A$31,0))</f>
        <v>國聯</v>
      </c>
      <c r="G184" s="7" t="s">
        <v>63</v>
      </c>
      <c r="H184" s="11" t="n">
        <f aca="false">INT((DATE($A184,7,1)-INDEX(球員主檔!$G$2:$G$749,MATCH($B184,球員主檔!$A$2:$A$749,0)))/365.25)</f>
        <v>30</v>
      </c>
      <c r="I184" s="12" t="n">
        <v>162</v>
      </c>
      <c r="J184" s="12" t="n">
        <v>689</v>
      </c>
      <c r="K184" s="12" t="n">
        <v>612</v>
      </c>
      <c r="L184" s="12" t="n">
        <v>69</v>
      </c>
      <c r="M184" s="12" t="n">
        <v>152</v>
      </c>
      <c r="N184" s="12" t="n">
        <v>26</v>
      </c>
      <c r="O184" s="12" t="n">
        <v>1</v>
      </c>
      <c r="P184" s="12" t="n">
        <v>14</v>
      </c>
      <c r="Q184" s="12" t="n">
        <v>61</v>
      </c>
      <c r="R184" s="12" t="n">
        <v>69</v>
      </c>
      <c r="S184" s="12" t="n">
        <v>180</v>
      </c>
      <c r="T184" s="12" t="n">
        <v>6</v>
      </c>
      <c r="U184" s="12" t="n">
        <v>2</v>
      </c>
      <c r="V184" s="12" t="n">
        <v>18</v>
      </c>
      <c r="W184" s="12" t="n">
        <v>4</v>
      </c>
      <c r="X184" s="13" t="n">
        <f aca="false">M184+N184+2*O184+3*P184</f>
        <v>222</v>
      </c>
      <c r="Y184" s="14" t="n">
        <f aca="false">IF(K184=0,0,M184/K184)</f>
        <v>0.248366013071895</v>
      </c>
      <c r="Z184" s="14" t="n">
        <f aca="false">IF(K184+R184+T184+U184=0,0,(M184+R184+T184)/(K184+R184+T184+U184))</f>
        <v>0.329462989840348</v>
      </c>
      <c r="AA184" s="14" t="n">
        <f aca="false">IF(K184=0,0,X184/K184)</f>
        <v>0.362745098039216</v>
      </c>
      <c r="AB184" s="14" t="n">
        <f aca="false">Z184+AA184</f>
        <v>0.692208087879564</v>
      </c>
      <c r="AC184" s="14" t="n">
        <f aca="false">AA184-Y184</f>
        <v>0.11437908496732</v>
      </c>
      <c r="AD184" s="14" t="n">
        <f aca="false">IF(K184-S184-P184+U184=0,0,(M184-P184)/(K184-S184-P184+U184))</f>
        <v>0.328571428571429</v>
      </c>
      <c r="AE184" s="15" t="n">
        <f aca="false">IF(J184=0,0,R184/J184)</f>
        <v>0.100145137880987</v>
      </c>
      <c r="AF184" s="15" t="n">
        <f aca="false">IF(J184=0,0,S184/J184)</f>
        <v>0.261248185776488</v>
      </c>
      <c r="AG184" s="11" t="n">
        <f aca="false">IF(J184&gt;=INDEX(球季參數!$E$2:$E$4,MATCH($A184,球季參數!$A$2:$A$4,0)),1,0)</f>
        <v>1</v>
      </c>
    </row>
    <row r="185" customFormat="false" ht="15" hidden="false" customHeight="false" outlineLevel="0" collapsed="false">
      <c r="A185" s="5" t="n">
        <v>2024</v>
      </c>
      <c r="B185" s="7" t="s">
        <v>1203</v>
      </c>
      <c r="C185" s="10" t="str">
        <f aca="false">INDEX(球員主檔!$B$2:$B$749,MATCH($B185,球員主檔!$A$2:$A$749,0))</f>
        <v>Zane Ashworth</v>
      </c>
      <c r="D185" s="7" t="s">
        <v>418</v>
      </c>
      <c r="E185" s="10" t="str">
        <f aca="false">INDEX(球隊主檔!$C$2:$C$31,MATCH($D185,球隊主檔!$A$2:$A$31,0))</f>
        <v>費城費城人</v>
      </c>
      <c r="F185" s="10" t="str">
        <f aca="false">INDEX(球隊主檔!$D$2:$D$31,MATCH($D185,球隊主檔!$A$2:$A$31,0))</f>
        <v>國聯</v>
      </c>
      <c r="G185" s="7" t="s">
        <v>483</v>
      </c>
      <c r="H185" s="11" t="n">
        <f aca="false">INT((DATE($A185,7,1)-INDEX(球員主檔!$G$2:$G$749,MATCH($B185,球員主檔!$A$2:$A$749,0)))/365.25)</f>
        <v>24</v>
      </c>
      <c r="I185" s="12" t="n">
        <v>133</v>
      </c>
      <c r="J185" s="12" t="n">
        <v>584</v>
      </c>
      <c r="K185" s="12" t="n">
        <v>494</v>
      </c>
      <c r="L185" s="12" t="n">
        <v>78</v>
      </c>
      <c r="M185" s="12" t="n">
        <v>146</v>
      </c>
      <c r="N185" s="12" t="n">
        <v>39</v>
      </c>
      <c r="O185" s="12" t="n">
        <v>3</v>
      </c>
      <c r="P185" s="12" t="n">
        <v>10</v>
      </c>
      <c r="Q185" s="12" t="n">
        <v>60</v>
      </c>
      <c r="R185" s="12" t="n">
        <v>74</v>
      </c>
      <c r="S185" s="12" t="n">
        <v>165</v>
      </c>
      <c r="T185" s="12" t="n">
        <v>12</v>
      </c>
      <c r="U185" s="12" t="n">
        <v>4</v>
      </c>
      <c r="V185" s="12" t="n">
        <v>20</v>
      </c>
      <c r="W185" s="12" t="n">
        <v>4</v>
      </c>
      <c r="X185" s="13" t="n">
        <f aca="false">M185+N185+2*O185+3*P185</f>
        <v>221</v>
      </c>
      <c r="Y185" s="14" t="n">
        <f aca="false">IF(K185=0,0,M185/K185)</f>
        <v>0.295546558704453</v>
      </c>
      <c r="Z185" s="14" t="n">
        <f aca="false">IF(K185+R185+T185+U185=0,0,(M185+R185+T185)/(K185+R185+T185+U185))</f>
        <v>0.397260273972603</v>
      </c>
      <c r="AA185" s="14" t="n">
        <f aca="false">IF(K185=0,0,X185/K185)</f>
        <v>0.447368421052632</v>
      </c>
      <c r="AB185" s="14" t="n">
        <f aca="false">Z185+AA185</f>
        <v>0.844628695025234</v>
      </c>
      <c r="AC185" s="14" t="n">
        <f aca="false">AA185-Y185</f>
        <v>0.151821862348178</v>
      </c>
      <c r="AD185" s="14" t="n">
        <f aca="false">IF(K185-S185-P185+U185=0,0,(M185-P185)/(K185-S185-P185+U185))</f>
        <v>0.421052631578947</v>
      </c>
      <c r="AE185" s="15" t="n">
        <f aca="false">IF(J185=0,0,R185/J185)</f>
        <v>0.126712328767123</v>
      </c>
      <c r="AF185" s="15" t="n">
        <f aca="false">IF(J185=0,0,S185/J185)</f>
        <v>0.282534246575343</v>
      </c>
      <c r="AG185" s="11" t="n">
        <f aca="false">IF(J185&gt;=INDEX(球季參數!$E$2:$E$4,MATCH($A185,球季參數!$A$2:$A$4,0)),1,0)</f>
        <v>1</v>
      </c>
    </row>
    <row r="186" customFormat="false" ht="15" hidden="false" customHeight="false" outlineLevel="0" collapsed="false">
      <c r="A186" s="5" t="n">
        <v>2024</v>
      </c>
      <c r="B186" s="7" t="s">
        <v>1205</v>
      </c>
      <c r="C186" s="10" t="str">
        <f aca="false">INDEX(球員主檔!$B$2:$B$749,MATCH($B186,球員主檔!$A$2:$A$749,0))</f>
        <v>Sousuke Rasmussen</v>
      </c>
      <c r="D186" s="7" t="s">
        <v>418</v>
      </c>
      <c r="E186" s="10" t="str">
        <f aca="false">INDEX(球隊主檔!$C$2:$C$31,MATCH($D186,球隊主檔!$A$2:$A$31,0))</f>
        <v>費城費城人</v>
      </c>
      <c r="F186" s="10" t="str">
        <f aca="false">INDEX(球隊主檔!$D$2:$D$31,MATCH($D186,球隊主檔!$A$2:$A$31,0))</f>
        <v>國聯</v>
      </c>
      <c r="G186" s="7" t="s">
        <v>470</v>
      </c>
      <c r="H186" s="11" t="n">
        <f aca="false">INT((DATE($A186,7,1)-INDEX(球員主檔!$G$2:$G$749,MATCH($B186,球員主檔!$A$2:$A$749,0)))/365.25)</f>
        <v>28</v>
      </c>
      <c r="I186" s="12" t="n">
        <v>131</v>
      </c>
      <c r="J186" s="12" t="n">
        <v>566</v>
      </c>
      <c r="K186" s="12" t="n">
        <v>490</v>
      </c>
      <c r="L186" s="12" t="n">
        <v>87</v>
      </c>
      <c r="M186" s="12" t="n">
        <v>129</v>
      </c>
      <c r="N186" s="12" t="n">
        <v>29</v>
      </c>
      <c r="O186" s="12" t="n">
        <v>6</v>
      </c>
      <c r="P186" s="12" t="n">
        <v>26</v>
      </c>
      <c r="Q186" s="12" t="n">
        <v>80</v>
      </c>
      <c r="R186" s="12" t="n">
        <v>70</v>
      </c>
      <c r="S186" s="12" t="n">
        <v>141</v>
      </c>
      <c r="T186" s="12" t="n">
        <v>2</v>
      </c>
      <c r="U186" s="12" t="n">
        <v>4</v>
      </c>
      <c r="V186" s="12" t="n">
        <v>18</v>
      </c>
      <c r="W186" s="12" t="n">
        <v>4</v>
      </c>
      <c r="X186" s="13" t="n">
        <f aca="false">M186+N186+2*O186+3*P186</f>
        <v>248</v>
      </c>
      <c r="Y186" s="14" t="n">
        <f aca="false">IF(K186=0,0,M186/K186)</f>
        <v>0.263265306122449</v>
      </c>
      <c r="Z186" s="14" t="n">
        <f aca="false">IF(K186+R186+T186+U186=0,0,(M186+R186+T186)/(K186+R186+T186+U186))</f>
        <v>0.355123674911661</v>
      </c>
      <c r="AA186" s="14" t="n">
        <f aca="false">IF(K186=0,0,X186/K186)</f>
        <v>0.506122448979592</v>
      </c>
      <c r="AB186" s="14" t="n">
        <f aca="false">Z186+AA186</f>
        <v>0.861246123891253</v>
      </c>
      <c r="AC186" s="14" t="n">
        <f aca="false">AA186-Y186</f>
        <v>0.242857142857143</v>
      </c>
      <c r="AD186" s="14" t="n">
        <f aca="false">IF(K186-S186-P186+U186=0,0,(M186-P186)/(K186-S186-P186+U186))</f>
        <v>0.314984709480122</v>
      </c>
      <c r="AE186" s="15" t="n">
        <f aca="false">IF(J186=0,0,R186/J186)</f>
        <v>0.123674911660777</v>
      </c>
      <c r="AF186" s="15" t="n">
        <f aca="false">IF(J186=0,0,S186/J186)</f>
        <v>0.249116607773852</v>
      </c>
      <c r="AG186" s="11" t="n">
        <f aca="false">IF(J186&gt;=INDEX(球季參數!$E$2:$E$4,MATCH($A186,球季參數!$A$2:$A$4,0)),1,0)</f>
        <v>1</v>
      </c>
    </row>
    <row r="187" customFormat="false" ht="15" hidden="false" customHeight="false" outlineLevel="0" collapsed="false">
      <c r="A187" s="5" t="n">
        <v>2024</v>
      </c>
      <c r="B187" s="7" t="s">
        <v>1207</v>
      </c>
      <c r="C187" s="10" t="str">
        <f aca="false">INDEX(球員主檔!$B$2:$B$749,MATCH($B187,球員主檔!$A$2:$A$749,0))</f>
        <v>Holden Caldera</v>
      </c>
      <c r="D187" s="7" t="s">
        <v>418</v>
      </c>
      <c r="E187" s="10" t="str">
        <f aca="false">INDEX(球隊主檔!$C$2:$C$31,MATCH($D187,球隊主檔!$A$2:$A$31,0))</f>
        <v>費城費城人</v>
      </c>
      <c r="F187" s="10" t="str">
        <f aca="false">INDEX(球隊主檔!$D$2:$D$31,MATCH($D187,球隊主檔!$A$2:$A$31,0))</f>
        <v>國聯</v>
      </c>
      <c r="G187" s="7" t="s">
        <v>478</v>
      </c>
      <c r="H187" s="11" t="n">
        <f aca="false">INT((DATE($A187,7,1)-INDEX(球員主檔!$G$2:$G$749,MATCH($B187,球員主檔!$A$2:$A$749,0)))/365.25)</f>
        <v>25</v>
      </c>
      <c r="I187" s="12" t="n">
        <v>118</v>
      </c>
      <c r="J187" s="12" t="n">
        <v>482</v>
      </c>
      <c r="K187" s="12" t="n">
        <v>446</v>
      </c>
      <c r="L187" s="12" t="n">
        <v>46</v>
      </c>
      <c r="M187" s="12" t="n">
        <v>110</v>
      </c>
      <c r="N187" s="12" t="n">
        <v>15</v>
      </c>
      <c r="O187" s="12" t="n">
        <v>12</v>
      </c>
      <c r="P187" s="12" t="n">
        <v>7</v>
      </c>
      <c r="Q187" s="12" t="n">
        <v>35</v>
      </c>
      <c r="R187" s="12" t="n">
        <v>23</v>
      </c>
      <c r="S187" s="12" t="n">
        <v>138</v>
      </c>
      <c r="T187" s="12" t="n">
        <v>9</v>
      </c>
      <c r="U187" s="12" t="n">
        <v>4</v>
      </c>
      <c r="V187" s="12" t="n">
        <v>31</v>
      </c>
      <c r="W187" s="12" t="n">
        <v>9</v>
      </c>
      <c r="X187" s="13" t="n">
        <f aca="false">M187+N187+2*O187+3*P187</f>
        <v>170</v>
      </c>
      <c r="Y187" s="14" t="n">
        <f aca="false">IF(K187=0,0,M187/K187)</f>
        <v>0.246636771300448</v>
      </c>
      <c r="Z187" s="14" t="n">
        <f aca="false">IF(K187+R187+T187+U187=0,0,(M187+R187+T187)/(K187+R187+T187+U187))</f>
        <v>0.294605809128631</v>
      </c>
      <c r="AA187" s="14" t="n">
        <f aca="false">IF(K187=0,0,X187/K187)</f>
        <v>0.381165919282511</v>
      </c>
      <c r="AB187" s="14" t="n">
        <f aca="false">Z187+AA187</f>
        <v>0.675771728411142</v>
      </c>
      <c r="AC187" s="14" t="n">
        <f aca="false">AA187-Y187</f>
        <v>0.134529147982063</v>
      </c>
      <c r="AD187" s="14" t="n">
        <f aca="false">IF(K187-S187-P187+U187=0,0,(M187-P187)/(K187-S187-P187+U187))</f>
        <v>0.337704918032787</v>
      </c>
      <c r="AE187" s="15" t="n">
        <f aca="false">IF(J187=0,0,R187/J187)</f>
        <v>0.0477178423236515</v>
      </c>
      <c r="AF187" s="15" t="n">
        <f aca="false">IF(J187=0,0,S187/J187)</f>
        <v>0.286307053941909</v>
      </c>
      <c r="AG187" s="11" t="n">
        <f aca="false">IF(J187&gt;=INDEX(球季參數!$E$2:$E$4,MATCH($A187,球季參數!$A$2:$A$4,0)),1,0)</f>
        <v>0</v>
      </c>
    </row>
    <row r="188" customFormat="false" ht="15" hidden="false" customHeight="false" outlineLevel="0" collapsed="false">
      <c r="A188" s="5" t="n">
        <v>2024</v>
      </c>
      <c r="B188" s="7" t="s">
        <v>1209</v>
      </c>
      <c r="C188" s="10" t="str">
        <f aca="false">INDEX(球員主檔!$B$2:$B$749,MATCH($B188,球員主檔!$A$2:$A$749,0))</f>
        <v>Dashiell Whitmore</v>
      </c>
      <c r="D188" s="7" t="s">
        <v>418</v>
      </c>
      <c r="E188" s="10" t="str">
        <f aca="false">INDEX(球隊主檔!$C$2:$C$31,MATCH($D188,球隊主檔!$A$2:$A$31,0))</f>
        <v>費城費城人</v>
      </c>
      <c r="F188" s="10" t="str">
        <f aca="false">INDEX(球隊主檔!$D$2:$D$31,MATCH($D188,球隊主檔!$A$2:$A$31,0))</f>
        <v>國聯</v>
      </c>
      <c r="G188" s="7" t="s">
        <v>158</v>
      </c>
      <c r="H188" s="11" t="n">
        <f aca="false">INT((DATE($A188,7,1)-INDEX(球員主檔!$G$2:$G$749,MATCH($B188,球員主檔!$A$2:$A$749,0)))/365.25)</f>
        <v>26</v>
      </c>
      <c r="I188" s="12" t="n">
        <v>121</v>
      </c>
      <c r="J188" s="12" t="n">
        <v>468</v>
      </c>
      <c r="K188" s="12" t="n">
        <v>420</v>
      </c>
      <c r="L188" s="12" t="n">
        <v>58</v>
      </c>
      <c r="M188" s="12" t="n">
        <v>103</v>
      </c>
      <c r="N188" s="12" t="n">
        <v>22</v>
      </c>
      <c r="O188" s="12" t="n">
        <v>6</v>
      </c>
      <c r="P188" s="12" t="n">
        <v>16</v>
      </c>
      <c r="Q188" s="12" t="n">
        <v>60</v>
      </c>
      <c r="R188" s="12" t="n">
        <v>36</v>
      </c>
      <c r="S188" s="12" t="n">
        <v>100</v>
      </c>
      <c r="T188" s="12" t="n">
        <v>7</v>
      </c>
      <c r="U188" s="12" t="n">
        <v>5</v>
      </c>
      <c r="V188" s="12" t="n">
        <v>7</v>
      </c>
      <c r="W188" s="12" t="n">
        <v>2</v>
      </c>
      <c r="X188" s="13" t="n">
        <f aca="false">M188+N188+2*O188+3*P188</f>
        <v>185</v>
      </c>
      <c r="Y188" s="14" t="n">
        <f aca="false">IF(K188=0,0,M188/K188)</f>
        <v>0.245238095238095</v>
      </c>
      <c r="Z188" s="14" t="n">
        <f aca="false">IF(K188+R188+T188+U188=0,0,(M188+R188+T188)/(K188+R188+T188+U188))</f>
        <v>0.311965811965812</v>
      </c>
      <c r="AA188" s="14" t="n">
        <f aca="false">IF(K188=0,0,X188/K188)</f>
        <v>0.44047619047619</v>
      </c>
      <c r="AB188" s="14" t="n">
        <f aca="false">Z188+AA188</f>
        <v>0.752442002442002</v>
      </c>
      <c r="AC188" s="14" t="n">
        <f aca="false">AA188-Y188</f>
        <v>0.195238095238095</v>
      </c>
      <c r="AD188" s="14" t="n">
        <f aca="false">IF(K188-S188-P188+U188=0,0,(M188-P188)/(K188-S188-P188+U188))</f>
        <v>0.281553398058252</v>
      </c>
      <c r="AE188" s="15" t="n">
        <f aca="false">IF(J188=0,0,R188/J188)</f>
        <v>0.0769230769230769</v>
      </c>
      <c r="AF188" s="15" t="n">
        <f aca="false">IF(J188=0,0,S188/J188)</f>
        <v>0.213675213675214</v>
      </c>
      <c r="AG188" s="11" t="n">
        <f aca="false">IF(J188&gt;=INDEX(球季參數!$E$2:$E$4,MATCH($A188,球季參數!$A$2:$A$4,0)),1,0)</f>
        <v>0</v>
      </c>
    </row>
    <row r="189" customFormat="false" ht="15" hidden="false" customHeight="false" outlineLevel="0" collapsed="false">
      <c r="A189" s="5" t="n">
        <v>2024</v>
      </c>
      <c r="B189" s="7" t="s">
        <v>1211</v>
      </c>
      <c r="C189" s="10" t="str">
        <f aca="false">INDEX(球員主檔!$B$2:$B$749,MATCH($B189,球員主檔!$A$2:$A$749,0))</f>
        <v>Osvaldo Brightwell</v>
      </c>
      <c r="D189" s="7" t="s">
        <v>418</v>
      </c>
      <c r="E189" s="10" t="str">
        <f aca="false">INDEX(球隊主檔!$C$2:$C$31,MATCH($D189,球隊主檔!$A$2:$A$31,0))</f>
        <v>費城費城人</v>
      </c>
      <c r="F189" s="10" t="str">
        <f aca="false">INDEX(球隊主檔!$D$2:$D$31,MATCH($D189,球隊主檔!$A$2:$A$31,0))</f>
        <v>國聯</v>
      </c>
      <c r="G189" s="7" t="s">
        <v>473</v>
      </c>
      <c r="H189" s="11" t="n">
        <f aca="false">INT((DATE($A189,7,1)-INDEX(球員主檔!$G$2:$G$749,MATCH($B189,球員主檔!$A$2:$A$749,0)))/365.25)</f>
        <v>28</v>
      </c>
      <c r="I189" s="12" t="n">
        <v>112</v>
      </c>
      <c r="J189" s="12" t="n">
        <v>505</v>
      </c>
      <c r="K189" s="12" t="n">
        <v>479</v>
      </c>
      <c r="L189" s="12" t="n">
        <v>60</v>
      </c>
      <c r="M189" s="12" t="n">
        <v>127</v>
      </c>
      <c r="N189" s="12" t="n">
        <v>23</v>
      </c>
      <c r="O189" s="12" t="n">
        <v>4</v>
      </c>
      <c r="P189" s="12" t="n">
        <v>7</v>
      </c>
      <c r="Q189" s="12" t="n">
        <v>38</v>
      </c>
      <c r="R189" s="12" t="n">
        <v>20</v>
      </c>
      <c r="S189" s="12" t="n">
        <v>142</v>
      </c>
      <c r="T189" s="12" t="n">
        <v>1</v>
      </c>
      <c r="U189" s="12" t="n">
        <v>5</v>
      </c>
      <c r="V189" s="12" t="n">
        <v>10</v>
      </c>
      <c r="W189" s="12" t="n">
        <v>2</v>
      </c>
      <c r="X189" s="13" t="n">
        <f aca="false">M189+N189+2*O189+3*P189</f>
        <v>179</v>
      </c>
      <c r="Y189" s="14" t="n">
        <f aca="false">IF(K189=0,0,M189/K189)</f>
        <v>0.265135699373695</v>
      </c>
      <c r="Z189" s="14" t="n">
        <f aca="false">IF(K189+R189+T189+U189=0,0,(M189+R189+T189)/(K189+R189+T189+U189))</f>
        <v>0.293069306930693</v>
      </c>
      <c r="AA189" s="14" t="n">
        <f aca="false">IF(K189=0,0,X189/K189)</f>
        <v>0.373695198329854</v>
      </c>
      <c r="AB189" s="14" t="n">
        <f aca="false">Z189+AA189</f>
        <v>0.666764505260547</v>
      </c>
      <c r="AC189" s="14" t="n">
        <f aca="false">AA189-Y189</f>
        <v>0.108559498956159</v>
      </c>
      <c r="AD189" s="14" t="n">
        <f aca="false">IF(K189-S189-P189+U189=0,0,(M189-P189)/(K189-S189-P189+U189))</f>
        <v>0.358208955223881</v>
      </c>
      <c r="AE189" s="15" t="n">
        <f aca="false">IF(J189=0,0,R189/J189)</f>
        <v>0.0396039603960396</v>
      </c>
      <c r="AF189" s="15" t="n">
        <f aca="false">IF(J189=0,0,S189/J189)</f>
        <v>0.281188118811881</v>
      </c>
      <c r="AG189" s="11" t="n">
        <f aca="false">IF(J189&gt;=INDEX(球季參數!$E$2:$E$4,MATCH($A189,球季參數!$A$2:$A$4,0)),1,0)</f>
        <v>1</v>
      </c>
    </row>
    <row r="190" customFormat="false" ht="15" hidden="false" customHeight="false" outlineLevel="0" collapsed="false">
      <c r="A190" s="5" t="n">
        <v>2024</v>
      </c>
      <c r="B190" s="7" t="s">
        <v>1213</v>
      </c>
      <c r="C190" s="10" t="str">
        <f aca="false">INDEX(球員主檔!$B$2:$B$749,MATCH($B190,球員主檔!$A$2:$A$749,0))</f>
        <v>Wendell Fairbanks</v>
      </c>
      <c r="D190" s="7" t="s">
        <v>418</v>
      </c>
      <c r="E190" s="10" t="str">
        <f aca="false">INDEX(球隊主檔!$C$2:$C$31,MATCH($D190,球隊主檔!$A$2:$A$31,0))</f>
        <v>費城費城人</v>
      </c>
      <c r="F190" s="10" t="str">
        <f aca="false">INDEX(球隊主檔!$D$2:$D$31,MATCH($D190,球隊主檔!$A$2:$A$31,0))</f>
        <v>國聯</v>
      </c>
      <c r="G190" s="7" t="s">
        <v>162</v>
      </c>
      <c r="H190" s="11" t="n">
        <f aca="false">INT((DATE($A190,7,1)-INDEX(球員主檔!$G$2:$G$749,MATCH($B190,球員主檔!$A$2:$A$749,0)))/365.25)</f>
        <v>27</v>
      </c>
      <c r="I190" s="12" t="n">
        <v>54</v>
      </c>
      <c r="J190" s="12" t="n">
        <v>237</v>
      </c>
      <c r="K190" s="12" t="n">
        <v>214</v>
      </c>
      <c r="L190" s="12" t="n">
        <v>25</v>
      </c>
      <c r="M190" s="12" t="n">
        <v>49</v>
      </c>
      <c r="N190" s="12" t="n">
        <v>18</v>
      </c>
      <c r="O190" s="12" t="n">
        <v>5</v>
      </c>
      <c r="P190" s="12" t="n">
        <v>6</v>
      </c>
      <c r="Q190" s="12" t="n">
        <v>26</v>
      </c>
      <c r="R190" s="12" t="n">
        <v>17</v>
      </c>
      <c r="S190" s="12" t="n">
        <v>38</v>
      </c>
      <c r="T190" s="12" t="n">
        <v>3</v>
      </c>
      <c r="U190" s="12" t="n">
        <v>3</v>
      </c>
      <c r="V190" s="12" t="n">
        <v>3</v>
      </c>
      <c r="W190" s="12" t="n">
        <v>1</v>
      </c>
      <c r="X190" s="13" t="n">
        <f aca="false">M190+N190+2*O190+3*P190</f>
        <v>95</v>
      </c>
      <c r="Y190" s="14" t="n">
        <f aca="false">IF(K190=0,0,M190/K190)</f>
        <v>0.228971962616822</v>
      </c>
      <c r="Z190" s="14" t="n">
        <f aca="false">IF(K190+R190+T190+U190=0,0,(M190+R190+T190)/(K190+R190+T190+U190))</f>
        <v>0.291139240506329</v>
      </c>
      <c r="AA190" s="14" t="n">
        <f aca="false">IF(K190=0,0,X190/K190)</f>
        <v>0.44392523364486</v>
      </c>
      <c r="AB190" s="14" t="n">
        <f aca="false">Z190+AA190</f>
        <v>0.735064474151189</v>
      </c>
      <c r="AC190" s="14" t="n">
        <f aca="false">AA190-Y190</f>
        <v>0.214953271028037</v>
      </c>
      <c r="AD190" s="14" t="n">
        <f aca="false">IF(K190-S190-P190+U190=0,0,(M190-P190)/(K190-S190-P190+U190))</f>
        <v>0.248554913294798</v>
      </c>
      <c r="AE190" s="15" t="n">
        <f aca="false">IF(J190=0,0,R190/J190)</f>
        <v>0.0717299578059072</v>
      </c>
      <c r="AF190" s="15" t="n">
        <f aca="false">IF(J190=0,0,S190/J190)</f>
        <v>0.160337552742616</v>
      </c>
      <c r="AG190" s="11" t="n">
        <f aca="false">IF(J190&gt;=INDEX(球季參數!$E$2:$E$4,MATCH($A190,球季參數!$A$2:$A$4,0)),1,0)</f>
        <v>0</v>
      </c>
    </row>
    <row r="191" customFormat="false" ht="15" hidden="false" customHeight="false" outlineLevel="0" collapsed="false">
      <c r="A191" s="5" t="n">
        <v>2024</v>
      </c>
      <c r="B191" s="7" t="s">
        <v>1215</v>
      </c>
      <c r="C191" s="10" t="str">
        <f aca="false">INDEX(球員主檔!$B$2:$B$749,MATCH($B191,球員主檔!$A$2:$A$749,0))</f>
        <v>Zane Underhill</v>
      </c>
      <c r="D191" s="7" t="s">
        <v>418</v>
      </c>
      <c r="E191" s="10" t="str">
        <f aca="false">INDEX(球隊主檔!$C$2:$C$31,MATCH($D191,球隊主檔!$A$2:$A$31,0))</f>
        <v>費城費城人</v>
      </c>
      <c r="F191" s="10" t="str">
        <f aca="false">INDEX(球隊主檔!$D$2:$D$31,MATCH($D191,球隊主檔!$A$2:$A$31,0))</f>
        <v>國聯</v>
      </c>
      <c r="G191" s="7" t="s">
        <v>473</v>
      </c>
      <c r="H191" s="11" t="n">
        <f aca="false">INT((DATE($A191,7,1)-INDEX(球員主檔!$G$2:$G$749,MATCH($B191,球員主檔!$A$2:$A$749,0)))/365.25)</f>
        <v>30</v>
      </c>
      <c r="I191" s="12" t="n">
        <v>81</v>
      </c>
      <c r="J191" s="12" t="n">
        <v>335</v>
      </c>
      <c r="K191" s="12" t="n">
        <v>301</v>
      </c>
      <c r="L191" s="12" t="n">
        <v>38</v>
      </c>
      <c r="M191" s="12" t="n">
        <v>63</v>
      </c>
      <c r="N191" s="12" t="n">
        <v>19</v>
      </c>
      <c r="O191" s="12" t="n">
        <v>3</v>
      </c>
      <c r="P191" s="12" t="n">
        <v>16</v>
      </c>
      <c r="Q191" s="12" t="n">
        <v>50</v>
      </c>
      <c r="R191" s="12" t="n">
        <v>27</v>
      </c>
      <c r="S191" s="12" t="n">
        <v>45</v>
      </c>
      <c r="T191" s="12" t="n">
        <v>6</v>
      </c>
      <c r="U191" s="12" t="n">
        <v>1</v>
      </c>
      <c r="V191" s="12" t="n">
        <v>2</v>
      </c>
      <c r="W191" s="12" t="n">
        <v>1</v>
      </c>
      <c r="X191" s="13" t="n">
        <f aca="false">M191+N191+2*O191+3*P191</f>
        <v>136</v>
      </c>
      <c r="Y191" s="14" t="n">
        <f aca="false">IF(K191=0,0,M191/K191)</f>
        <v>0.209302325581395</v>
      </c>
      <c r="Z191" s="14" t="n">
        <f aca="false">IF(K191+R191+T191+U191=0,0,(M191+R191+T191)/(K191+R191+T191+U191))</f>
        <v>0.286567164179105</v>
      </c>
      <c r="AA191" s="14" t="n">
        <f aca="false">IF(K191=0,0,X191/K191)</f>
        <v>0.451827242524917</v>
      </c>
      <c r="AB191" s="14" t="n">
        <f aca="false">Z191+AA191</f>
        <v>0.738394406704022</v>
      </c>
      <c r="AC191" s="14" t="n">
        <f aca="false">AA191-Y191</f>
        <v>0.242524916943522</v>
      </c>
      <c r="AD191" s="14" t="n">
        <f aca="false">IF(K191-S191-P191+U191=0,0,(M191-P191)/(K191-S191-P191+U191))</f>
        <v>0.195020746887967</v>
      </c>
      <c r="AE191" s="15" t="n">
        <f aca="false">IF(J191=0,0,R191/J191)</f>
        <v>0.0805970149253731</v>
      </c>
      <c r="AF191" s="15" t="n">
        <f aca="false">IF(J191=0,0,S191/J191)</f>
        <v>0.134328358208955</v>
      </c>
      <c r="AG191" s="11" t="n">
        <f aca="false">IF(J191&gt;=INDEX(球季參數!$E$2:$E$4,MATCH($A191,球季參數!$A$2:$A$4,0)),1,0)</f>
        <v>0</v>
      </c>
    </row>
    <row r="192" customFormat="false" ht="15" hidden="false" customHeight="false" outlineLevel="0" collapsed="false">
      <c r="A192" s="5" t="n">
        <v>2024</v>
      </c>
      <c r="B192" s="7" t="s">
        <v>1237</v>
      </c>
      <c r="C192" s="10" t="str">
        <f aca="false">INDEX(球員主檔!$B$2:$B$749,MATCH($B192,球員主檔!$A$2:$A$749,0))</f>
        <v>Cedric Yarbrough</v>
      </c>
      <c r="D192" s="7" t="s">
        <v>422</v>
      </c>
      <c r="E192" s="10" t="str">
        <f aca="false">INDEX(球隊主檔!$C$2:$C$31,MATCH($D192,球隊主檔!$A$2:$A$31,0))</f>
        <v>華盛頓國民</v>
      </c>
      <c r="F192" s="10" t="str">
        <f aca="false">INDEX(球隊主檔!$D$2:$D$31,MATCH($D192,球隊主檔!$A$2:$A$31,0))</f>
        <v>國聯</v>
      </c>
      <c r="G192" s="7" t="s">
        <v>486</v>
      </c>
      <c r="H192" s="11" t="n">
        <f aca="false">INT((DATE($A192,7,1)-INDEX(球員主檔!$G$2:$G$749,MATCH($B192,球員主檔!$A$2:$A$749,0)))/365.25)</f>
        <v>29</v>
      </c>
      <c r="I192" s="12" t="n">
        <v>147</v>
      </c>
      <c r="J192" s="12" t="n">
        <v>582</v>
      </c>
      <c r="K192" s="12" t="n">
        <v>520</v>
      </c>
      <c r="L192" s="12" t="n">
        <v>58</v>
      </c>
      <c r="M192" s="12" t="n">
        <v>121</v>
      </c>
      <c r="N192" s="12" t="n">
        <v>32</v>
      </c>
      <c r="O192" s="12" t="n">
        <v>6</v>
      </c>
      <c r="P192" s="12" t="n">
        <v>18</v>
      </c>
      <c r="Q192" s="12" t="n">
        <v>66</v>
      </c>
      <c r="R192" s="12" t="n">
        <v>55</v>
      </c>
      <c r="S192" s="12" t="n">
        <v>137</v>
      </c>
      <c r="T192" s="12" t="n">
        <v>1</v>
      </c>
      <c r="U192" s="12" t="n">
        <v>6</v>
      </c>
      <c r="V192" s="12" t="n">
        <v>25</v>
      </c>
      <c r="W192" s="12" t="n">
        <v>7</v>
      </c>
      <c r="X192" s="13" t="n">
        <f aca="false">M192+N192+2*O192+3*P192</f>
        <v>219</v>
      </c>
      <c r="Y192" s="14" t="n">
        <f aca="false">IF(K192=0,0,M192/K192)</f>
        <v>0.232692307692308</v>
      </c>
      <c r="Z192" s="14" t="n">
        <f aca="false">IF(K192+R192+T192+U192=0,0,(M192+R192+T192)/(K192+R192+T192+U192))</f>
        <v>0.304123711340206</v>
      </c>
      <c r="AA192" s="14" t="n">
        <f aca="false">IF(K192=0,0,X192/K192)</f>
        <v>0.421153846153846</v>
      </c>
      <c r="AB192" s="14" t="n">
        <f aca="false">Z192+AA192</f>
        <v>0.725277557494052</v>
      </c>
      <c r="AC192" s="14" t="n">
        <f aca="false">AA192-Y192</f>
        <v>0.188461538461538</v>
      </c>
      <c r="AD192" s="14" t="n">
        <f aca="false">IF(K192-S192-P192+U192=0,0,(M192-P192)/(K192-S192-P192+U192))</f>
        <v>0.277628032345014</v>
      </c>
      <c r="AE192" s="15" t="n">
        <f aca="false">IF(J192=0,0,R192/J192)</f>
        <v>0.0945017182130584</v>
      </c>
      <c r="AF192" s="15" t="n">
        <f aca="false">IF(J192=0,0,S192/J192)</f>
        <v>0.235395189003436</v>
      </c>
      <c r="AG192" s="11" t="n">
        <f aca="false">IF(J192&gt;=INDEX(球季參數!$E$2:$E$4,MATCH($A192,球季參數!$A$2:$A$4,0)),1,0)</f>
        <v>1</v>
      </c>
    </row>
    <row r="193" customFormat="false" ht="15" hidden="false" customHeight="false" outlineLevel="0" collapsed="false">
      <c r="A193" s="5" t="n">
        <v>2024</v>
      </c>
      <c r="B193" s="7" t="s">
        <v>1239</v>
      </c>
      <c r="C193" s="10" t="str">
        <f aca="false">INDEX(球員主檔!$B$2:$B$749,MATCH($B193,球員主檔!$A$2:$A$749,0))</f>
        <v>Fletcher Kowalczyk</v>
      </c>
      <c r="D193" s="7" t="s">
        <v>422</v>
      </c>
      <c r="E193" s="10" t="str">
        <f aca="false">INDEX(球隊主檔!$C$2:$C$31,MATCH($D193,球隊主檔!$A$2:$A$31,0))</f>
        <v>華盛頓國民</v>
      </c>
      <c r="F193" s="10" t="str">
        <f aca="false">INDEX(球隊主檔!$D$2:$D$31,MATCH($D193,球隊主檔!$A$2:$A$31,0))</f>
        <v>國聯</v>
      </c>
      <c r="G193" s="7" t="s">
        <v>522</v>
      </c>
      <c r="H193" s="11" t="n">
        <f aca="false">INT((DATE($A193,7,1)-INDEX(球員主檔!$G$2:$G$749,MATCH($B193,球員主檔!$A$2:$A$749,0)))/365.25)</f>
        <v>26</v>
      </c>
      <c r="I193" s="12" t="n">
        <v>132</v>
      </c>
      <c r="J193" s="12" t="n">
        <v>580</v>
      </c>
      <c r="K193" s="12" t="n">
        <v>531</v>
      </c>
      <c r="L193" s="12" t="n">
        <v>66</v>
      </c>
      <c r="M193" s="12" t="n">
        <v>149</v>
      </c>
      <c r="N193" s="12" t="n">
        <v>15</v>
      </c>
      <c r="O193" s="12" t="n">
        <v>3</v>
      </c>
      <c r="P193" s="12" t="n">
        <v>20</v>
      </c>
      <c r="Q193" s="12" t="n">
        <v>77</v>
      </c>
      <c r="R193" s="12" t="n">
        <v>36</v>
      </c>
      <c r="S193" s="12" t="n">
        <v>107</v>
      </c>
      <c r="T193" s="12" t="n">
        <v>5</v>
      </c>
      <c r="U193" s="12" t="n">
        <v>8</v>
      </c>
      <c r="V193" s="12" t="n">
        <v>17</v>
      </c>
      <c r="W193" s="12" t="n">
        <v>5</v>
      </c>
      <c r="X193" s="13" t="n">
        <f aca="false">M193+N193+2*O193+3*P193</f>
        <v>230</v>
      </c>
      <c r="Y193" s="14" t="n">
        <f aca="false">IF(K193=0,0,M193/K193)</f>
        <v>0.28060263653484</v>
      </c>
      <c r="Z193" s="14" t="n">
        <f aca="false">IF(K193+R193+T193+U193=0,0,(M193+R193+T193)/(K193+R193+T193+U193))</f>
        <v>0.327586206896552</v>
      </c>
      <c r="AA193" s="14" t="n">
        <f aca="false">IF(K193=0,0,X193/K193)</f>
        <v>0.433145009416196</v>
      </c>
      <c r="AB193" s="14" t="n">
        <f aca="false">Z193+AA193</f>
        <v>0.760731216312748</v>
      </c>
      <c r="AC193" s="14" t="n">
        <f aca="false">AA193-Y193</f>
        <v>0.152542372881356</v>
      </c>
      <c r="AD193" s="14" t="n">
        <f aca="false">IF(K193-S193-P193+U193=0,0,(M193-P193)/(K193-S193-P193+U193))</f>
        <v>0.313106796116505</v>
      </c>
      <c r="AE193" s="15" t="n">
        <f aca="false">IF(J193=0,0,R193/J193)</f>
        <v>0.0620689655172414</v>
      </c>
      <c r="AF193" s="15" t="n">
        <f aca="false">IF(J193=0,0,S193/J193)</f>
        <v>0.18448275862069</v>
      </c>
      <c r="AG193" s="11" t="n">
        <f aca="false">IF(J193&gt;=INDEX(球季參數!$E$2:$E$4,MATCH($A193,球季參數!$A$2:$A$4,0)),1,0)</f>
        <v>1</v>
      </c>
    </row>
    <row r="194" customFormat="false" ht="15" hidden="false" customHeight="false" outlineLevel="0" collapsed="false">
      <c r="A194" s="5" t="n">
        <v>2024</v>
      </c>
      <c r="B194" s="7" t="s">
        <v>1241</v>
      </c>
      <c r="C194" s="10" t="str">
        <f aca="false">INDEX(球員主檔!$B$2:$B$749,MATCH($B194,球員主檔!$A$2:$A$749,0))</f>
        <v>Rhett Yamazaki</v>
      </c>
      <c r="D194" s="7" t="s">
        <v>422</v>
      </c>
      <c r="E194" s="10" t="str">
        <f aca="false">INDEX(球隊主檔!$C$2:$C$31,MATCH($D194,球隊主檔!$A$2:$A$31,0))</f>
        <v>華盛頓國民</v>
      </c>
      <c r="F194" s="10" t="str">
        <f aca="false">INDEX(球隊主檔!$D$2:$D$31,MATCH($D194,球隊主檔!$A$2:$A$31,0))</f>
        <v>國聯</v>
      </c>
      <c r="G194" s="7" t="s">
        <v>478</v>
      </c>
      <c r="H194" s="11" t="n">
        <f aca="false">INT((DATE($A194,7,1)-INDEX(球員主檔!$G$2:$G$749,MATCH($B194,球員主檔!$A$2:$A$749,0)))/365.25)</f>
        <v>30</v>
      </c>
      <c r="I194" s="12" t="n">
        <v>162</v>
      </c>
      <c r="J194" s="12" t="n">
        <v>655</v>
      </c>
      <c r="K194" s="12" t="n">
        <v>564</v>
      </c>
      <c r="L194" s="12" t="n">
        <v>72</v>
      </c>
      <c r="M194" s="12" t="n">
        <v>121</v>
      </c>
      <c r="N194" s="12" t="n">
        <v>39</v>
      </c>
      <c r="O194" s="12" t="n">
        <v>6</v>
      </c>
      <c r="P194" s="12" t="n">
        <v>29</v>
      </c>
      <c r="Q194" s="12" t="n">
        <v>82</v>
      </c>
      <c r="R194" s="12" t="n">
        <v>76</v>
      </c>
      <c r="S194" s="12" t="n">
        <v>89</v>
      </c>
      <c r="T194" s="12" t="n">
        <v>9</v>
      </c>
      <c r="U194" s="12" t="n">
        <v>6</v>
      </c>
      <c r="V194" s="12" t="n">
        <v>32</v>
      </c>
      <c r="W194" s="12" t="n">
        <v>10</v>
      </c>
      <c r="X194" s="13" t="n">
        <f aca="false">M194+N194+2*O194+3*P194</f>
        <v>259</v>
      </c>
      <c r="Y194" s="14" t="n">
        <f aca="false">IF(K194=0,0,M194/K194)</f>
        <v>0.214539007092199</v>
      </c>
      <c r="Z194" s="14" t="n">
        <f aca="false">IF(K194+R194+T194+U194=0,0,(M194+R194+T194)/(K194+R194+T194+U194))</f>
        <v>0.314503816793893</v>
      </c>
      <c r="AA194" s="14" t="n">
        <f aca="false">IF(K194=0,0,X194/K194)</f>
        <v>0.459219858156028</v>
      </c>
      <c r="AB194" s="14" t="n">
        <f aca="false">Z194+AA194</f>
        <v>0.773723674949921</v>
      </c>
      <c r="AC194" s="14" t="n">
        <f aca="false">AA194-Y194</f>
        <v>0.24468085106383</v>
      </c>
      <c r="AD194" s="14" t="n">
        <f aca="false">IF(K194-S194-P194+U194=0,0,(M194-P194)/(K194-S194-P194+U194))</f>
        <v>0.20353982300885</v>
      </c>
      <c r="AE194" s="15" t="n">
        <f aca="false">IF(J194=0,0,R194/J194)</f>
        <v>0.116030534351145</v>
      </c>
      <c r="AF194" s="15" t="n">
        <f aca="false">IF(J194=0,0,S194/J194)</f>
        <v>0.13587786259542</v>
      </c>
      <c r="AG194" s="11" t="n">
        <f aca="false">IF(J194&gt;=INDEX(球季參數!$E$2:$E$4,MATCH($A194,球季參數!$A$2:$A$4,0)),1,0)</f>
        <v>1</v>
      </c>
    </row>
    <row r="195" customFormat="false" ht="15" hidden="false" customHeight="false" outlineLevel="0" collapsed="false">
      <c r="A195" s="5" t="n">
        <v>2024</v>
      </c>
      <c r="B195" s="7" t="s">
        <v>1243</v>
      </c>
      <c r="C195" s="10" t="str">
        <f aca="false">INDEX(球員主檔!$B$2:$B$749,MATCH($B195,球員主檔!$A$2:$A$749,0))</f>
        <v>Jedidiah Blackwood</v>
      </c>
      <c r="D195" s="7" t="s">
        <v>422</v>
      </c>
      <c r="E195" s="10" t="str">
        <f aca="false">INDEX(球隊主檔!$C$2:$C$31,MATCH($D195,球隊主檔!$A$2:$A$31,0))</f>
        <v>華盛頓國民</v>
      </c>
      <c r="F195" s="10" t="str">
        <f aca="false">INDEX(球隊主檔!$D$2:$D$31,MATCH($D195,球隊主檔!$A$2:$A$31,0))</f>
        <v>國聯</v>
      </c>
      <c r="G195" s="7" t="s">
        <v>483</v>
      </c>
      <c r="H195" s="11" t="n">
        <f aca="false">INT((DATE($A195,7,1)-INDEX(球員主檔!$G$2:$G$749,MATCH($B195,球員主檔!$A$2:$A$749,0)))/365.25)</f>
        <v>30</v>
      </c>
      <c r="I195" s="12" t="n">
        <v>162</v>
      </c>
      <c r="J195" s="12" t="n">
        <v>668</v>
      </c>
      <c r="K195" s="12" t="n">
        <v>600</v>
      </c>
      <c r="L195" s="12" t="n">
        <v>63</v>
      </c>
      <c r="M195" s="12" t="n">
        <v>146</v>
      </c>
      <c r="N195" s="12" t="n">
        <v>40</v>
      </c>
      <c r="O195" s="12" t="n">
        <v>10</v>
      </c>
      <c r="P195" s="12" t="n">
        <v>11</v>
      </c>
      <c r="Q195" s="12" t="n">
        <v>63</v>
      </c>
      <c r="R195" s="12" t="n">
        <v>53</v>
      </c>
      <c r="S195" s="12" t="n">
        <v>170</v>
      </c>
      <c r="T195" s="12" t="n">
        <v>10</v>
      </c>
      <c r="U195" s="12" t="n">
        <v>5</v>
      </c>
      <c r="V195" s="12" t="n">
        <v>4</v>
      </c>
      <c r="W195" s="12" t="n">
        <v>1</v>
      </c>
      <c r="X195" s="13" t="n">
        <f aca="false">M195+N195+2*O195+3*P195</f>
        <v>239</v>
      </c>
      <c r="Y195" s="14" t="n">
        <f aca="false">IF(K195=0,0,M195/K195)</f>
        <v>0.243333333333333</v>
      </c>
      <c r="Z195" s="14" t="n">
        <f aca="false">IF(K195+R195+T195+U195=0,0,(M195+R195+T195)/(K195+R195+T195+U195))</f>
        <v>0.312874251497006</v>
      </c>
      <c r="AA195" s="14" t="n">
        <f aca="false">IF(K195=0,0,X195/K195)</f>
        <v>0.398333333333333</v>
      </c>
      <c r="AB195" s="14" t="n">
        <f aca="false">Z195+AA195</f>
        <v>0.711207584830339</v>
      </c>
      <c r="AC195" s="14" t="n">
        <f aca="false">AA195-Y195</f>
        <v>0.155</v>
      </c>
      <c r="AD195" s="14" t="n">
        <f aca="false">IF(K195-S195-P195+U195=0,0,(M195-P195)/(K195-S195-P195+U195))</f>
        <v>0.318396226415094</v>
      </c>
      <c r="AE195" s="15" t="n">
        <f aca="false">IF(J195=0,0,R195/J195)</f>
        <v>0.0793413173652695</v>
      </c>
      <c r="AF195" s="15" t="n">
        <f aca="false">IF(J195=0,0,S195/J195)</f>
        <v>0.254491017964072</v>
      </c>
      <c r="AG195" s="11" t="n">
        <f aca="false">IF(J195&gt;=INDEX(球季參數!$E$2:$E$4,MATCH($A195,球季參數!$A$2:$A$4,0)),1,0)</f>
        <v>1</v>
      </c>
    </row>
    <row r="196" customFormat="false" ht="15" hidden="false" customHeight="false" outlineLevel="0" collapsed="false">
      <c r="A196" s="5" t="n">
        <v>2024</v>
      </c>
      <c r="B196" s="7" t="s">
        <v>1245</v>
      </c>
      <c r="C196" s="10" t="str">
        <f aca="false">INDEX(球員主檔!$B$2:$B$749,MATCH($B196,球員主檔!$A$2:$A$749,0))</f>
        <v>Jedidiah Zbornak</v>
      </c>
      <c r="D196" s="7" t="s">
        <v>422</v>
      </c>
      <c r="E196" s="10" t="str">
        <f aca="false">INDEX(球隊主檔!$C$2:$C$31,MATCH($D196,球隊主檔!$A$2:$A$31,0))</f>
        <v>華盛頓國民</v>
      </c>
      <c r="F196" s="10" t="str">
        <f aca="false">INDEX(球隊主檔!$D$2:$D$31,MATCH($D196,球隊主檔!$A$2:$A$31,0))</f>
        <v>國聯</v>
      </c>
      <c r="G196" s="7" t="s">
        <v>483</v>
      </c>
      <c r="H196" s="11" t="n">
        <f aca="false">INT((DATE($A196,7,1)-INDEX(球員主檔!$G$2:$G$749,MATCH($B196,球員主檔!$A$2:$A$749,0)))/365.25)</f>
        <v>29</v>
      </c>
      <c r="I196" s="12" t="n">
        <v>157</v>
      </c>
      <c r="J196" s="12" t="n">
        <v>628</v>
      </c>
      <c r="K196" s="12" t="n">
        <v>562</v>
      </c>
      <c r="L196" s="12" t="n">
        <v>72</v>
      </c>
      <c r="M196" s="12" t="n">
        <v>123</v>
      </c>
      <c r="N196" s="12" t="n">
        <v>20</v>
      </c>
      <c r="O196" s="12" t="n">
        <v>7</v>
      </c>
      <c r="P196" s="12" t="n">
        <v>14</v>
      </c>
      <c r="Q196" s="12" t="n">
        <v>60</v>
      </c>
      <c r="R196" s="12" t="n">
        <v>54</v>
      </c>
      <c r="S196" s="12" t="n">
        <v>207</v>
      </c>
      <c r="T196" s="12" t="n">
        <v>10</v>
      </c>
      <c r="U196" s="12" t="n">
        <v>2</v>
      </c>
      <c r="V196" s="12" t="n">
        <v>10</v>
      </c>
      <c r="W196" s="12" t="n">
        <v>3</v>
      </c>
      <c r="X196" s="13" t="n">
        <f aca="false">M196+N196+2*O196+3*P196</f>
        <v>199</v>
      </c>
      <c r="Y196" s="14" t="n">
        <f aca="false">IF(K196=0,0,M196/K196)</f>
        <v>0.218861209964413</v>
      </c>
      <c r="Z196" s="14" t="n">
        <f aca="false">IF(K196+R196+T196+U196=0,0,(M196+R196+T196)/(K196+R196+T196+U196))</f>
        <v>0.297770700636943</v>
      </c>
      <c r="AA196" s="14" t="n">
        <f aca="false">IF(K196=0,0,X196/K196)</f>
        <v>0.354092526690392</v>
      </c>
      <c r="AB196" s="14" t="n">
        <f aca="false">Z196+AA196</f>
        <v>0.651863227327334</v>
      </c>
      <c r="AC196" s="14" t="n">
        <f aca="false">AA196-Y196</f>
        <v>0.135231316725979</v>
      </c>
      <c r="AD196" s="14" t="n">
        <f aca="false">IF(K196-S196-P196+U196=0,0,(M196-P196)/(K196-S196-P196+U196))</f>
        <v>0.317784256559767</v>
      </c>
      <c r="AE196" s="15" t="n">
        <f aca="false">IF(J196=0,0,R196/J196)</f>
        <v>0.0859872611464968</v>
      </c>
      <c r="AF196" s="15" t="n">
        <f aca="false">IF(J196=0,0,S196/J196)</f>
        <v>0.329617834394904</v>
      </c>
      <c r="AG196" s="11" t="n">
        <f aca="false">IF(J196&gt;=INDEX(球季參數!$E$2:$E$4,MATCH($A196,球季參數!$A$2:$A$4,0)),1,0)</f>
        <v>1</v>
      </c>
    </row>
    <row r="197" customFormat="false" ht="15" hidden="false" customHeight="false" outlineLevel="0" collapsed="false">
      <c r="A197" s="5" t="n">
        <v>2024</v>
      </c>
      <c r="B197" s="7" t="s">
        <v>1247</v>
      </c>
      <c r="C197" s="10" t="str">
        <f aca="false">INDEX(球員主檔!$B$2:$B$749,MATCH($B197,球員主檔!$A$2:$A$749,0))</f>
        <v>Porter Underhill</v>
      </c>
      <c r="D197" s="7" t="s">
        <v>422</v>
      </c>
      <c r="E197" s="10" t="str">
        <f aca="false">INDEX(球隊主檔!$C$2:$C$31,MATCH($D197,球隊主檔!$A$2:$A$31,0))</f>
        <v>華盛頓國民</v>
      </c>
      <c r="F197" s="10" t="str">
        <f aca="false">INDEX(球隊主檔!$D$2:$D$31,MATCH($D197,球隊主檔!$A$2:$A$31,0))</f>
        <v>國聯</v>
      </c>
      <c r="G197" s="7" t="s">
        <v>473</v>
      </c>
      <c r="H197" s="11" t="n">
        <f aca="false">INT((DATE($A197,7,1)-INDEX(球員主檔!$G$2:$G$749,MATCH($B197,球員主檔!$A$2:$A$749,0)))/365.25)</f>
        <v>27</v>
      </c>
      <c r="I197" s="12" t="n">
        <v>105</v>
      </c>
      <c r="J197" s="12" t="n">
        <v>420</v>
      </c>
      <c r="K197" s="12" t="n">
        <v>397</v>
      </c>
      <c r="L197" s="12" t="n">
        <v>60</v>
      </c>
      <c r="M197" s="12" t="n">
        <v>120</v>
      </c>
      <c r="N197" s="12" t="n">
        <v>43</v>
      </c>
      <c r="O197" s="12" t="n">
        <v>8</v>
      </c>
      <c r="P197" s="12" t="n">
        <v>17</v>
      </c>
      <c r="Q197" s="12" t="n">
        <v>67</v>
      </c>
      <c r="R197" s="12" t="n">
        <v>13</v>
      </c>
      <c r="S197" s="12" t="n">
        <v>83</v>
      </c>
      <c r="T197" s="12" t="n">
        <v>6</v>
      </c>
      <c r="U197" s="12" t="n">
        <v>4</v>
      </c>
      <c r="V197" s="12" t="n">
        <v>16</v>
      </c>
      <c r="W197" s="12" t="n">
        <v>2</v>
      </c>
      <c r="X197" s="13" t="n">
        <f aca="false">M197+N197+2*O197+3*P197</f>
        <v>230</v>
      </c>
      <c r="Y197" s="14" t="n">
        <f aca="false">IF(K197=0,0,M197/K197)</f>
        <v>0.302267002518892</v>
      </c>
      <c r="Z197" s="14" t="n">
        <f aca="false">IF(K197+R197+T197+U197=0,0,(M197+R197+T197)/(K197+R197+T197+U197))</f>
        <v>0.330952380952381</v>
      </c>
      <c r="AA197" s="14" t="n">
        <f aca="false">IF(K197=0,0,X197/K197)</f>
        <v>0.579345088161209</v>
      </c>
      <c r="AB197" s="14" t="n">
        <f aca="false">Z197+AA197</f>
        <v>0.91029746911359</v>
      </c>
      <c r="AC197" s="14" t="n">
        <f aca="false">AA197-Y197</f>
        <v>0.277078085642317</v>
      </c>
      <c r="AD197" s="14" t="n">
        <f aca="false">IF(K197-S197-P197+U197=0,0,(M197-P197)/(K197-S197-P197+U197))</f>
        <v>0.3421926910299</v>
      </c>
      <c r="AE197" s="15" t="n">
        <f aca="false">IF(J197=0,0,R197/J197)</f>
        <v>0.030952380952381</v>
      </c>
      <c r="AF197" s="15" t="n">
        <f aca="false">IF(J197=0,0,S197/J197)</f>
        <v>0.197619047619048</v>
      </c>
      <c r="AG197" s="11" t="n">
        <f aca="false">IF(J197&gt;=INDEX(球季參數!$E$2:$E$4,MATCH($A197,球季參數!$A$2:$A$4,0)),1,0)</f>
        <v>0</v>
      </c>
    </row>
    <row r="198" customFormat="false" ht="15" hidden="false" customHeight="false" outlineLevel="0" collapsed="false">
      <c r="A198" s="5" t="n">
        <v>2024</v>
      </c>
      <c r="B198" s="7" t="s">
        <v>1249</v>
      </c>
      <c r="C198" s="10" t="str">
        <f aca="false">INDEX(球員主檔!$B$2:$B$749,MATCH($B198,球員主檔!$A$2:$A$749,0))</f>
        <v>Desmond Delacroix</v>
      </c>
      <c r="D198" s="7" t="s">
        <v>422</v>
      </c>
      <c r="E198" s="10" t="str">
        <f aca="false">INDEX(球隊主檔!$C$2:$C$31,MATCH($D198,球隊主檔!$A$2:$A$31,0))</f>
        <v>華盛頓國民</v>
      </c>
      <c r="F198" s="10" t="str">
        <f aca="false">INDEX(球隊主檔!$D$2:$D$31,MATCH($D198,球隊主檔!$A$2:$A$31,0))</f>
        <v>國聯</v>
      </c>
      <c r="G198" s="7" t="s">
        <v>483</v>
      </c>
      <c r="H198" s="11" t="n">
        <f aca="false">INT((DATE($A198,7,1)-INDEX(球員主檔!$G$2:$G$749,MATCH($B198,球員主檔!$A$2:$A$749,0)))/365.25)</f>
        <v>27</v>
      </c>
      <c r="I198" s="12" t="n">
        <v>100</v>
      </c>
      <c r="J198" s="12" t="n">
        <v>413</v>
      </c>
      <c r="K198" s="12" t="n">
        <v>384</v>
      </c>
      <c r="L198" s="12" t="n">
        <v>41</v>
      </c>
      <c r="M198" s="12" t="n">
        <v>89</v>
      </c>
      <c r="N198" s="12" t="n">
        <v>34</v>
      </c>
      <c r="O198" s="12" t="n">
        <v>10</v>
      </c>
      <c r="P198" s="12" t="n">
        <v>9</v>
      </c>
      <c r="Q198" s="12" t="n">
        <v>45</v>
      </c>
      <c r="R198" s="12" t="n">
        <v>17</v>
      </c>
      <c r="S198" s="12" t="n">
        <v>95</v>
      </c>
      <c r="T198" s="12" t="n">
        <v>7</v>
      </c>
      <c r="U198" s="12" t="n">
        <v>5</v>
      </c>
      <c r="V198" s="12" t="n">
        <v>8</v>
      </c>
      <c r="W198" s="12" t="n">
        <v>1</v>
      </c>
      <c r="X198" s="13" t="n">
        <f aca="false">M198+N198+2*O198+3*P198</f>
        <v>170</v>
      </c>
      <c r="Y198" s="14" t="n">
        <f aca="false">IF(K198=0,0,M198/K198)</f>
        <v>0.231770833333333</v>
      </c>
      <c r="Z198" s="14" t="n">
        <f aca="false">IF(K198+R198+T198+U198=0,0,(M198+R198+T198)/(K198+R198+T198+U198))</f>
        <v>0.273607748184019</v>
      </c>
      <c r="AA198" s="14" t="n">
        <f aca="false">IF(K198=0,0,X198/K198)</f>
        <v>0.442708333333333</v>
      </c>
      <c r="AB198" s="14" t="n">
        <f aca="false">Z198+AA198</f>
        <v>0.716316081517353</v>
      </c>
      <c r="AC198" s="14" t="n">
        <f aca="false">AA198-Y198</f>
        <v>0.2109375</v>
      </c>
      <c r="AD198" s="14" t="n">
        <f aca="false">IF(K198-S198-P198+U198=0,0,(M198-P198)/(K198-S198-P198+U198))</f>
        <v>0.280701754385965</v>
      </c>
      <c r="AE198" s="15" t="n">
        <f aca="false">IF(J198=0,0,R198/J198)</f>
        <v>0.0411622276029056</v>
      </c>
      <c r="AF198" s="15" t="n">
        <f aca="false">IF(J198=0,0,S198/J198)</f>
        <v>0.230024213075061</v>
      </c>
      <c r="AG198" s="11" t="n">
        <f aca="false">IF(J198&gt;=INDEX(球季參數!$E$2:$E$4,MATCH($A198,球季參數!$A$2:$A$4,0)),1,0)</f>
        <v>0</v>
      </c>
    </row>
    <row r="199" customFormat="false" ht="15" hidden="false" customHeight="false" outlineLevel="0" collapsed="false">
      <c r="A199" s="5" t="n">
        <v>2024</v>
      </c>
      <c r="B199" s="7" t="s">
        <v>1251</v>
      </c>
      <c r="C199" s="10" t="str">
        <f aca="false">INDEX(球員主檔!$B$2:$B$749,MATCH($B199,球員主檔!$A$2:$A$749,0))</f>
        <v>Landon Eberhardt</v>
      </c>
      <c r="D199" s="7" t="s">
        <v>422</v>
      </c>
      <c r="E199" s="10" t="str">
        <f aca="false">INDEX(球隊主檔!$C$2:$C$31,MATCH($D199,球隊主檔!$A$2:$A$31,0))</f>
        <v>華盛頓國民</v>
      </c>
      <c r="F199" s="10" t="str">
        <f aca="false">INDEX(球隊主檔!$D$2:$D$31,MATCH($D199,球隊主檔!$A$2:$A$31,0))</f>
        <v>國聯</v>
      </c>
      <c r="G199" s="7" t="s">
        <v>63</v>
      </c>
      <c r="H199" s="11" t="n">
        <f aca="false">INT((DATE($A199,7,1)-INDEX(球員主檔!$G$2:$G$749,MATCH($B199,球員主檔!$A$2:$A$749,0)))/365.25)</f>
        <v>27</v>
      </c>
      <c r="I199" s="12" t="n">
        <v>118</v>
      </c>
      <c r="J199" s="12" t="n">
        <v>472</v>
      </c>
      <c r="K199" s="12" t="n">
        <v>401</v>
      </c>
      <c r="L199" s="12" t="n">
        <v>51</v>
      </c>
      <c r="M199" s="12" t="n">
        <v>72</v>
      </c>
      <c r="N199" s="12" t="n">
        <v>25</v>
      </c>
      <c r="O199" s="12" t="n">
        <v>1</v>
      </c>
      <c r="P199" s="12" t="n">
        <v>16</v>
      </c>
      <c r="Q199" s="12" t="n">
        <v>49</v>
      </c>
      <c r="R199" s="12" t="n">
        <v>59</v>
      </c>
      <c r="S199" s="12" t="n">
        <v>69</v>
      </c>
      <c r="T199" s="12" t="n">
        <v>8</v>
      </c>
      <c r="U199" s="12" t="n">
        <v>4</v>
      </c>
      <c r="V199" s="12" t="n">
        <v>7</v>
      </c>
      <c r="W199" s="12" t="n">
        <v>2</v>
      </c>
      <c r="X199" s="13" t="n">
        <f aca="false">M199+N199+2*O199+3*P199</f>
        <v>147</v>
      </c>
      <c r="Y199" s="14" t="n">
        <f aca="false">IF(K199=0,0,M199/K199)</f>
        <v>0.179551122194514</v>
      </c>
      <c r="Z199" s="14" t="n">
        <f aca="false">IF(K199+R199+T199+U199=0,0,(M199+R199+T199)/(K199+R199+T199+U199))</f>
        <v>0.294491525423729</v>
      </c>
      <c r="AA199" s="14" t="n">
        <f aca="false">IF(K199=0,0,X199/K199)</f>
        <v>0.366583541147132</v>
      </c>
      <c r="AB199" s="14" t="n">
        <f aca="false">Z199+AA199</f>
        <v>0.661075066570861</v>
      </c>
      <c r="AC199" s="14" t="n">
        <f aca="false">AA199-Y199</f>
        <v>0.187032418952618</v>
      </c>
      <c r="AD199" s="14" t="n">
        <f aca="false">IF(K199-S199-P199+U199=0,0,(M199-P199)/(K199-S199-P199+U199))</f>
        <v>0.175</v>
      </c>
      <c r="AE199" s="15" t="n">
        <f aca="false">IF(J199=0,0,R199/J199)</f>
        <v>0.125</v>
      </c>
      <c r="AF199" s="15" t="n">
        <f aca="false">IF(J199=0,0,S199/J199)</f>
        <v>0.146186440677966</v>
      </c>
      <c r="AG199" s="11" t="n">
        <f aca="false">IF(J199&gt;=INDEX(球季參數!$E$2:$E$4,MATCH($A199,球季參數!$A$2:$A$4,0)),1,0)</f>
        <v>0</v>
      </c>
    </row>
    <row r="200" customFormat="false" ht="15" hidden="false" customHeight="false" outlineLevel="0" collapsed="false">
      <c r="A200" s="5" t="n">
        <v>2024</v>
      </c>
      <c r="B200" s="7" t="s">
        <v>1253</v>
      </c>
      <c r="C200" s="10" t="str">
        <f aca="false">INDEX(球員主檔!$B$2:$B$749,MATCH($B200,球員主檔!$A$2:$A$749,0))</f>
        <v>Jedidiah Okafor</v>
      </c>
      <c r="D200" s="7" t="s">
        <v>422</v>
      </c>
      <c r="E200" s="10" t="str">
        <f aca="false">INDEX(球隊主檔!$C$2:$C$31,MATCH($D200,球隊主檔!$A$2:$A$31,0))</f>
        <v>華盛頓國民</v>
      </c>
      <c r="F200" s="10" t="str">
        <f aca="false">INDEX(球隊主檔!$D$2:$D$31,MATCH($D200,球隊主檔!$A$2:$A$31,0))</f>
        <v>國聯</v>
      </c>
      <c r="G200" s="7" t="s">
        <v>478</v>
      </c>
      <c r="H200" s="11" t="n">
        <f aca="false">INT((DATE($A200,7,1)-INDEX(球員主檔!$G$2:$G$749,MATCH($B200,球員主檔!$A$2:$A$749,0)))/365.25)</f>
        <v>27</v>
      </c>
      <c r="I200" s="12" t="n">
        <v>82</v>
      </c>
      <c r="J200" s="12" t="n">
        <v>334</v>
      </c>
      <c r="K200" s="12" t="n">
        <v>303</v>
      </c>
      <c r="L200" s="12" t="n">
        <v>39</v>
      </c>
      <c r="M200" s="12" t="n">
        <v>77</v>
      </c>
      <c r="N200" s="12" t="n">
        <v>30</v>
      </c>
      <c r="O200" s="12" t="n">
        <v>4</v>
      </c>
      <c r="P200" s="12" t="n">
        <v>12</v>
      </c>
      <c r="Q200" s="12" t="n">
        <v>42</v>
      </c>
      <c r="R200" s="12" t="n">
        <v>26</v>
      </c>
      <c r="S200" s="12" t="n">
        <v>58</v>
      </c>
      <c r="T200" s="12" t="n">
        <v>3</v>
      </c>
      <c r="U200" s="12" t="n">
        <v>2</v>
      </c>
      <c r="V200" s="12" t="n">
        <v>20</v>
      </c>
      <c r="W200" s="12" t="n">
        <v>5</v>
      </c>
      <c r="X200" s="13" t="n">
        <f aca="false">M200+N200+2*O200+3*P200</f>
        <v>151</v>
      </c>
      <c r="Y200" s="14" t="n">
        <f aca="false">IF(K200=0,0,M200/K200)</f>
        <v>0.254125412541254</v>
      </c>
      <c r="Z200" s="14" t="n">
        <f aca="false">IF(K200+R200+T200+U200=0,0,(M200+R200+T200)/(K200+R200+T200+U200))</f>
        <v>0.317365269461078</v>
      </c>
      <c r="AA200" s="14" t="n">
        <f aca="false">IF(K200=0,0,X200/K200)</f>
        <v>0.498349834983498</v>
      </c>
      <c r="AB200" s="14" t="n">
        <f aca="false">Z200+AA200</f>
        <v>0.815715104444576</v>
      </c>
      <c r="AC200" s="14" t="n">
        <f aca="false">AA200-Y200</f>
        <v>0.244224422442244</v>
      </c>
      <c r="AD200" s="14" t="n">
        <f aca="false">IF(K200-S200-P200+U200=0,0,(M200-P200)/(K200-S200-P200+U200))</f>
        <v>0.276595744680851</v>
      </c>
      <c r="AE200" s="15" t="n">
        <f aca="false">IF(J200=0,0,R200/J200)</f>
        <v>0.0778443113772455</v>
      </c>
      <c r="AF200" s="15" t="n">
        <f aca="false">IF(J200=0,0,S200/J200)</f>
        <v>0.173652694610778</v>
      </c>
      <c r="AG200" s="11" t="n">
        <f aca="false">IF(J200&gt;=INDEX(球季參數!$E$2:$E$4,MATCH($A200,球季參數!$A$2:$A$4,0)),1,0)</f>
        <v>0</v>
      </c>
    </row>
    <row r="201" customFormat="false" ht="15" hidden="false" customHeight="false" outlineLevel="0" collapsed="false">
      <c r="A201" s="5" t="n">
        <v>2024</v>
      </c>
      <c r="B201" s="7" t="s">
        <v>1255</v>
      </c>
      <c r="C201" s="10" t="str">
        <f aca="false">INDEX(球員主檔!$B$2:$B$749,MATCH($B201,球員主檔!$A$2:$A$749,0))</f>
        <v>Everett Paszkiewicz</v>
      </c>
      <c r="D201" s="7" t="s">
        <v>422</v>
      </c>
      <c r="E201" s="10" t="str">
        <f aca="false">INDEX(球隊主檔!$C$2:$C$31,MATCH($D201,球隊主檔!$A$2:$A$31,0))</f>
        <v>華盛頓國民</v>
      </c>
      <c r="F201" s="10" t="str">
        <f aca="false">INDEX(球隊主檔!$D$2:$D$31,MATCH($D201,球隊主檔!$A$2:$A$31,0))</f>
        <v>國聯</v>
      </c>
      <c r="G201" s="7" t="s">
        <v>473</v>
      </c>
      <c r="H201" s="11" t="n">
        <f aca="false">INT((DATE($A201,7,1)-INDEX(球員主檔!$G$2:$G$749,MATCH($B201,球員主檔!$A$2:$A$749,0)))/365.25)</f>
        <v>33</v>
      </c>
      <c r="I201" s="12" t="n">
        <v>55</v>
      </c>
      <c r="J201" s="12" t="n">
        <v>238</v>
      </c>
      <c r="K201" s="12" t="n">
        <v>213</v>
      </c>
      <c r="L201" s="12" t="n">
        <v>25</v>
      </c>
      <c r="M201" s="12" t="n">
        <v>43</v>
      </c>
      <c r="N201" s="12" t="n">
        <v>16</v>
      </c>
      <c r="O201" s="12" t="n">
        <v>4</v>
      </c>
      <c r="P201" s="12" t="n">
        <v>5</v>
      </c>
      <c r="Q201" s="12" t="n">
        <v>18</v>
      </c>
      <c r="R201" s="12" t="n">
        <v>22</v>
      </c>
      <c r="S201" s="12" t="n">
        <v>43</v>
      </c>
      <c r="T201" s="12" t="n">
        <v>1</v>
      </c>
      <c r="U201" s="12" t="n">
        <v>2</v>
      </c>
      <c r="V201" s="12" t="n">
        <v>1</v>
      </c>
      <c r="W201" s="12" t="n">
        <v>0</v>
      </c>
      <c r="X201" s="13" t="n">
        <f aca="false">M201+N201+2*O201+3*P201</f>
        <v>82</v>
      </c>
      <c r="Y201" s="14" t="n">
        <f aca="false">IF(K201=0,0,M201/K201)</f>
        <v>0.2018779342723</v>
      </c>
      <c r="Z201" s="14" t="n">
        <f aca="false">IF(K201+R201+T201+U201=0,0,(M201+R201+T201)/(K201+R201+T201+U201))</f>
        <v>0.277310924369748</v>
      </c>
      <c r="AA201" s="14" t="n">
        <f aca="false">IF(K201=0,0,X201/K201)</f>
        <v>0.384976525821596</v>
      </c>
      <c r="AB201" s="14" t="n">
        <f aca="false">Z201+AA201</f>
        <v>0.662287450191344</v>
      </c>
      <c r="AC201" s="14" t="n">
        <f aca="false">AA201-Y201</f>
        <v>0.183098591549296</v>
      </c>
      <c r="AD201" s="14" t="n">
        <f aca="false">IF(K201-S201-P201+U201=0,0,(M201-P201)/(K201-S201-P201+U201))</f>
        <v>0.227544910179641</v>
      </c>
      <c r="AE201" s="15" t="n">
        <f aca="false">IF(J201=0,0,R201/J201)</f>
        <v>0.092436974789916</v>
      </c>
      <c r="AF201" s="15" t="n">
        <f aca="false">IF(J201=0,0,S201/J201)</f>
        <v>0.180672268907563</v>
      </c>
      <c r="AG201" s="11" t="n">
        <f aca="false">IF(J201&gt;=INDEX(球季參數!$E$2:$E$4,MATCH($A201,球季參數!$A$2:$A$4,0)),1,0)</f>
        <v>0</v>
      </c>
    </row>
    <row r="202" customFormat="false" ht="15" hidden="false" customHeight="false" outlineLevel="0" collapsed="false">
      <c r="A202" s="5" t="n">
        <v>2024</v>
      </c>
      <c r="B202" s="7" t="s">
        <v>1277</v>
      </c>
      <c r="C202" s="10" t="str">
        <f aca="false">INDEX(球員主檔!$B$2:$B$749,MATCH($B202,球員主檔!$A$2:$A$749,0))</f>
        <v>Alonso Jernigan</v>
      </c>
      <c r="D202" s="7" t="s">
        <v>426</v>
      </c>
      <c r="E202" s="10" t="str">
        <f aca="false">INDEX(球隊主檔!$C$2:$C$31,MATCH($D202,球隊主檔!$A$2:$A$31,0))</f>
        <v>芝加哥小熊</v>
      </c>
      <c r="F202" s="10" t="str">
        <f aca="false">INDEX(球隊主檔!$D$2:$D$31,MATCH($D202,球隊主檔!$A$2:$A$31,0))</f>
        <v>國聯</v>
      </c>
      <c r="G202" s="7" t="s">
        <v>522</v>
      </c>
      <c r="H202" s="11" t="n">
        <f aca="false">INT((DATE($A202,7,1)-INDEX(球員主檔!$G$2:$G$749,MATCH($B202,球員主檔!$A$2:$A$749,0)))/365.25)</f>
        <v>26</v>
      </c>
      <c r="I202" s="12" t="n">
        <v>155</v>
      </c>
      <c r="J202" s="12" t="n">
        <v>683</v>
      </c>
      <c r="K202" s="12" t="n">
        <v>581</v>
      </c>
      <c r="L202" s="12" t="n">
        <v>84</v>
      </c>
      <c r="M202" s="12" t="n">
        <v>137</v>
      </c>
      <c r="N202" s="12" t="n">
        <v>34</v>
      </c>
      <c r="O202" s="12" t="n">
        <v>1</v>
      </c>
      <c r="P202" s="12" t="n">
        <v>16</v>
      </c>
      <c r="Q202" s="12" t="n">
        <v>59</v>
      </c>
      <c r="R202" s="12" t="n">
        <v>81</v>
      </c>
      <c r="S202" s="12" t="n">
        <v>123</v>
      </c>
      <c r="T202" s="12" t="n">
        <v>14</v>
      </c>
      <c r="U202" s="12" t="n">
        <v>7</v>
      </c>
      <c r="V202" s="12" t="n">
        <v>5</v>
      </c>
      <c r="W202" s="12" t="n">
        <v>1</v>
      </c>
      <c r="X202" s="13" t="n">
        <f aca="false">M202+N202+2*O202+3*P202</f>
        <v>221</v>
      </c>
      <c r="Y202" s="14" t="n">
        <f aca="false">IF(K202=0,0,M202/K202)</f>
        <v>0.235800344234079</v>
      </c>
      <c r="Z202" s="14" t="n">
        <f aca="false">IF(K202+R202+T202+U202=0,0,(M202+R202+T202)/(K202+R202+T202+U202))</f>
        <v>0.339677891654466</v>
      </c>
      <c r="AA202" s="14" t="n">
        <f aca="false">IF(K202=0,0,X202/K202)</f>
        <v>0.380378657487091</v>
      </c>
      <c r="AB202" s="14" t="n">
        <f aca="false">Z202+AA202</f>
        <v>0.720056549141557</v>
      </c>
      <c r="AC202" s="14" t="n">
        <f aca="false">AA202-Y202</f>
        <v>0.144578313253012</v>
      </c>
      <c r="AD202" s="14" t="n">
        <f aca="false">IF(K202-S202-P202+U202=0,0,(M202-P202)/(K202-S202-P202+U202))</f>
        <v>0.269487750556793</v>
      </c>
      <c r="AE202" s="15" t="n">
        <f aca="false">IF(J202=0,0,R202/J202)</f>
        <v>0.118594436310395</v>
      </c>
      <c r="AF202" s="15" t="n">
        <f aca="false">IF(J202=0,0,S202/J202)</f>
        <v>0.1800878477306</v>
      </c>
      <c r="AG202" s="11" t="n">
        <f aca="false">IF(J202&gt;=INDEX(球季參數!$E$2:$E$4,MATCH($A202,球季參數!$A$2:$A$4,0)),1,0)</f>
        <v>1</v>
      </c>
    </row>
    <row r="203" customFormat="false" ht="15" hidden="false" customHeight="false" outlineLevel="0" collapsed="false">
      <c r="A203" s="5" t="n">
        <v>2024</v>
      </c>
      <c r="B203" s="7" t="s">
        <v>1279</v>
      </c>
      <c r="C203" s="10" t="str">
        <f aca="false">INDEX(球員主檔!$B$2:$B$749,MATCH($B203,球員主檔!$A$2:$A$749,0))</f>
        <v>Camilo Vasquez</v>
      </c>
      <c r="D203" s="7" t="s">
        <v>426</v>
      </c>
      <c r="E203" s="10" t="str">
        <f aca="false">INDEX(球隊主檔!$C$2:$C$31,MATCH($D203,球隊主檔!$A$2:$A$31,0))</f>
        <v>芝加哥小熊</v>
      </c>
      <c r="F203" s="10" t="str">
        <f aca="false">INDEX(球隊主檔!$D$2:$D$31,MATCH($D203,球隊主檔!$A$2:$A$31,0))</f>
        <v>國聯</v>
      </c>
      <c r="G203" s="7" t="s">
        <v>162</v>
      </c>
      <c r="H203" s="11" t="n">
        <f aca="false">INT((DATE($A203,7,1)-INDEX(球員主檔!$G$2:$G$749,MATCH($B203,球員主檔!$A$2:$A$749,0)))/365.25)</f>
        <v>27</v>
      </c>
      <c r="I203" s="12" t="n">
        <v>53</v>
      </c>
      <c r="J203" s="12" t="n">
        <v>218</v>
      </c>
      <c r="K203" s="12" t="n">
        <v>182</v>
      </c>
      <c r="L203" s="12" t="n">
        <v>32</v>
      </c>
      <c r="M203" s="12" t="n">
        <v>47</v>
      </c>
      <c r="N203" s="12" t="n">
        <v>15</v>
      </c>
      <c r="O203" s="12" t="n">
        <v>5</v>
      </c>
      <c r="P203" s="12" t="n">
        <v>8</v>
      </c>
      <c r="Q203" s="12" t="n">
        <v>27</v>
      </c>
      <c r="R203" s="12" t="n">
        <v>30</v>
      </c>
      <c r="S203" s="12" t="n">
        <v>45</v>
      </c>
      <c r="T203" s="12" t="n">
        <v>4</v>
      </c>
      <c r="U203" s="12" t="n">
        <v>2</v>
      </c>
      <c r="V203" s="12" t="n">
        <v>3</v>
      </c>
      <c r="W203" s="12" t="n">
        <v>1</v>
      </c>
      <c r="X203" s="13" t="n">
        <f aca="false">M203+N203+2*O203+3*P203</f>
        <v>96</v>
      </c>
      <c r="Y203" s="14" t="n">
        <f aca="false">IF(K203=0,0,M203/K203)</f>
        <v>0.258241758241758</v>
      </c>
      <c r="Z203" s="14" t="n">
        <f aca="false">IF(K203+R203+T203+U203=0,0,(M203+R203+T203)/(K203+R203+T203+U203))</f>
        <v>0.371559633027523</v>
      </c>
      <c r="AA203" s="14" t="n">
        <f aca="false">IF(K203=0,0,X203/K203)</f>
        <v>0.527472527472528</v>
      </c>
      <c r="AB203" s="14" t="n">
        <f aca="false">Z203+AA203</f>
        <v>0.89903216050005</v>
      </c>
      <c r="AC203" s="14" t="n">
        <f aca="false">AA203-Y203</f>
        <v>0.269230769230769</v>
      </c>
      <c r="AD203" s="14" t="n">
        <f aca="false">IF(K203-S203-P203+U203=0,0,(M203-P203)/(K203-S203-P203+U203))</f>
        <v>0.297709923664122</v>
      </c>
      <c r="AE203" s="15" t="n">
        <f aca="false">IF(J203=0,0,R203/J203)</f>
        <v>0.137614678899083</v>
      </c>
      <c r="AF203" s="15" t="n">
        <f aca="false">IF(J203=0,0,S203/J203)</f>
        <v>0.206422018348624</v>
      </c>
      <c r="AG203" s="11" t="n">
        <f aca="false">IF(J203&gt;=INDEX(球季參數!$E$2:$E$4,MATCH($A203,球季參數!$A$2:$A$4,0)),1,0)</f>
        <v>0</v>
      </c>
    </row>
    <row r="204" customFormat="false" ht="15" hidden="false" customHeight="false" outlineLevel="0" collapsed="false">
      <c r="A204" s="5" t="n">
        <v>2024</v>
      </c>
      <c r="B204" s="7" t="s">
        <v>1281</v>
      </c>
      <c r="C204" s="10" t="str">
        <f aca="false">INDEX(球員主檔!$B$2:$B$749,MATCH($B204,球員主檔!$A$2:$A$749,0))</f>
        <v>Jedidiah Caldera</v>
      </c>
      <c r="D204" s="7" t="s">
        <v>426</v>
      </c>
      <c r="E204" s="10" t="str">
        <f aca="false">INDEX(球隊主檔!$C$2:$C$31,MATCH($D204,球隊主檔!$A$2:$A$31,0))</f>
        <v>芝加哥小熊</v>
      </c>
      <c r="F204" s="10" t="str">
        <f aca="false">INDEX(球隊主檔!$D$2:$D$31,MATCH($D204,球隊主檔!$A$2:$A$31,0))</f>
        <v>國聯</v>
      </c>
      <c r="G204" s="7" t="s">
        <v>522</v>
      </c>
      <c r="H204" s="11" t="n">
        <f aca="false">INT((DATE($A204,7,1)-INDEX(球員主檔!$G$2:$G$749,MATCH($B204,球員主檔!$A$2:$A$749,0)))/365.25)</f>
        <v>30</v>
      </c>
      <c r="I204" s="12" t="n">
        <v>150</v>
      </c>
      <c r="J204" s="12" t="n">
        <v>672</v>
      </c>
      <c r="K204" s="12" t="n">
        <v>607</v>
      </c>
      <c r="L204" s="12" t="n">
        <v>77</v>
      </c>
      <c r="M204" s="12" t="n">
        <v>133</v>
      </c>
      <c r="N204" s="12" t="n">
        <v>29</v>
      </c>
      <c r="O204" s="12" t="n">
        <v>2</v>
      </c>
      <c r="P204" s="12" t="n">
        <v>34</v>
      </c>
      <c r="Q204" s="12" t="n">
        <v>104</v>
      </c>
      <c r="R204" s="12" t="n">
        <v>49</v>
      </c>
      <c r="S204" s="12" t="n">
        <v>176</v>
      </c>
      <c r="T204" s="12" t="n">
        <v>14</v>
      </c>
      <c r="U204" s="12" t="n">
        <v>2</v>
      </c>
      <c r="V204" s="12" t="n">
        <v>7</v>
      </c>
      <c r="W204" s="12" t="n">
        <v>1</v>
      </c>
      <c r="X204" s="13" t="n">
        <f aca="false">M204+N204+2*O204+3*P204</f>
        <v>268</v>
      </c>
      <c r="Y204" s="14" t="n">
        <f aca="false">IF(K204=0,0,M204/K204)</f>
        <v>0.219110378912685</v>
      </c>
      <c r="Z204" s="14" t="n">
        <f aca="false">IF(K204+R204+T204+U204=0,0,(M204+R204+T204)/(K204+R204+T204+U204))</f>
        <v>0.291666666666667</v>
      </c>
      <c r="AA204" s="14" t="n">
        <f aca="false">IF(K204=0,0,X204/K204)</f>
        <v>0.441515650741351</v>
      </c>
      <c r="AB204" s="14" t="n">
        <f aca="false">Z204+AA204</f>
        <v>0.733182317408018</v>
      </c>
      <c r="AC204" s="14" t="n">
        <f aca="false">AA204-Y204</f>
        <v>0.222405271828666</v>
      </c>
      <c r="AD204" s="14" t="n">
        <f aca="false">IF(K204-S204-P204+U204=0,0,(M204-P204)/(K204-S204-P204+U204))</f>
        <v>0.24812030075188</v>
      </c>
      <c r="AE204" s="15" t="n">
        <f aca="false">IF(J204=0,0,R204/J204)</f>
        <v>0.0729166666666667</v>
      </c>
      <c r="AF204" s="15" t="n">
        <f aca="false">IF(J204=0,0,S204/J204)</f>
        <v>0.261904761904762</v>
      </c>
      <c r="AG204" s="11" t="n">
        <f aca="false">IF(J204&gt;=INDEX(球季參數!$E$2:$E$4,MATCH($A204,球季參數!$A$2:$A$4,0)),1,0)</f>
        <v>1</v>
      </c>
    </row>
    <row r="205" customFormat="false" ht="15" hidden="false" customHeight="false" outlineLevel="0" collapsed="false">
      <c r="A205" s="5" t="n">
        <v>2024</v>
      </c>
      <c r="B205" s="7" t="s">
        <v>1283</v>
      </c>
      <c r="C205" s="10" t="str">
        <f aca="false">INDEX(球員主檔!$B$2:$B$749,MATCH($B205,球員主檔!$A$2:$A$749,0))</f>
        <v>Esteban Paszkiewicz</v>
      </c>
      <c r="D205" s="7" t="s">
        <v>426</v>
      </c>
      <c r="E205" s="10" t="str">
        <f aca="false">INDEX(球隊主檔!$C$2:$C$31,MATCH($D205,球隊主檔!$A$2:$A$31,0))</f>
        <v>芝加哥小熊</v>
      </c>
      <c r="F205" s="10" t="str">
        <f aca="false">INDEX(球隊主檔!$D$2:$D$31,MATCH($D205,球隊主檔!$A$2:$A$31,0))</f>
        <v>國聯</v>
      </c>
      <c r="G205" s="7" t="s">
        <v>522</v>
      </c>
      <c r="H205" s="11" t="n">
        <f aca="false">INT((DATE($A205,7,1)-INDEX(球員主檔!$G$2:$G$749,MATCH($B205,球員主檔!$A$2:$A$749,0)))/365.25)</f>
        <v>25</v>
      </c>
      <c r="I205" s="12" t="n">
        <v>152</v>
      </c>
      <c r="J205" s="12" t="n">
        <v>635</v>
      </c>
      <c r="K205" s="12" t="n">
        <v>575</v>
      </c>
      <c r="L205" s="12" t="n">
        <v>60</v>
      </c>
      <c r="M205" s="12" t="n">
        <v>127</v>
      </c>
      <c r="N205" s="12" t="n">
        <v>37</v>
      </c>
      <c r="O205" s="12" t="n">
        <v>4</v>
      </c>
      <c r="P205" s="12" t="n">
        <v>8</v>
      </c>
      <c r="Q205" s="12" t="n">
        <v>44</v>
      </c>
      <c r="R205" s="12" t="n">
        <v>43</v>
      </c>
      <c r="S205" s="12" t="n">
        <v>155</v>
      </c>
      <c r="T205" s="12" t="n">
        <v>9</v>
      </c>
      <c r="U205" s="12" t="n">
        <v>8</v>
      </c>
      <c r="V205" s="12" t="n">
        <v>16</v>
      </c>
      <c r="W205" s="12" t="n">
        <v>4</v>
      </c>
      <c r="X205" s="13" t="n">
        <f aca="false">M205+N205+2*O205+3*P205</f>
        <v>196</v>
      </c>
      <c r="Y205" s="14" t="n">
        <f aca="false">IF(K205=0,0,M205/K205)</f>
        <v>0.220869565217391</v>
      </c>
      <c r="Z205" s="14" t="n">
        <f aca="false">IF(K205+R205+T205+U205=0,0,(M205+R205+T205)/(K205+R205+T205+U205))</f>
        <v>0.281889763779528</v>
      </c>
      <c r="AA205" s="14" t="n">
        <f aca="false">IF(K205=0,0,X205/K205)</f>
        <v>0.340869565217391</v>
      </c>
      <c r="AB205" s="14" t="n">
        <f aca="false">Z205+AA205</f>
        <v>0.622759328996919</v>
      </c>
      <c r="AC205" s="14" t="n">
        <f aca="false">AA205-Y205</f>
        <v>0.12</v>
      </c>
      <c r="AD205" s="14" t="n">
        <f aca="false">IF(K205-S205-P205+U205=0,0,(M205-P205)/(K205-S205-P205+U205))</f>
        <v>0.283333333333333</v>
      </c>
      <c r="AE205" s="15" t="n">
        <f aca="false">IF(J205=0,0,R205/J205)</f>
        <v>0.0677165354330709</v>
      </c>
      <c r="AF205" s="15" t="n">
        <f aca="false">IF(J205=0,0,S205/J205)</f>
        <v>0.244094488188976</v>
      </c>
      <c r="AG205" s="11" t="n">
        <f aca="false">IF(J205&gt;=INDEX(球季參數!$E$2:$E$4,MATCH($A205,球季參數!$A$2:$A$4,0)),1,0)</f>
        <v>1</v>
      </c>
    </row>
    <row r="206" customFormat="false" ht="15" hidden="false" customHeight="false" outlineLevel="0" collapsed="false">
      <c r="A206" s="5" t="n">
        <v>2024</v>
      </c>
      <c r="B206" s="7" t="s">
        <v>1285</v>
      </c>
      <c r="C206" s="10" t="str">
        <f aca="false">INDEX(球員主檔!$B$2:$B$749,MATCH($B206,球員主檔!$A$2:$A$749,0))</f>
        <v>Cassius Okafor</v>
      </c>
      <c r="D206" s="7" t="s">
        <v>426</v>
      </c>
      <c r="E206" s="10" t="str">
        <f aca="false">INDEX(球隊主檔!$C$2:$C$31,MATCH($D206,球隊主檔!$A$2:$A$31,0))</f>
        <v>芝加哥小熊</v>
      </c>
      <c r="F206" s="10" t="str">
        <f aca="false">INDEX(球隊主檔!$D$2:$D$31,MATCH($D206,球隊主檔!$A$2:$A$31,0))</f>
        <v>國聯</v>
      </c>
      <c r="G206" s="7" t="s">
        <v>470</v>
      </c>
      <c r="H206" s="11" t="n">
        <f aca="false">INT((DATE($A206,7,1)-INDEX(球員主檔!$G$2:$G$749,MATCH($B206,球員主檔!$A$2:$A$749,0)))/365.25)</f>
        <v>28</v>
      </c>
      <c r="I206" s="12" t="n">
        <v>127</v>
      </c>
      <c r="J206" s="12" t="n">
        <v>572</v>
      </c>
      <c r="K206" s="12" t="n">
        <v>493</v>
      </c>
      <c r="L206" s="12" t="n">
        <v>82</v>
      </c>
      <c r="M206" s="12" t="n">
        <v>139</v>
      </c>
      <c r="N206" s="12" t="n">
        <v>29</v>
      </c>
      <c r="O206" s="12" t="n">
        <v>7</v>
      </c>
      <c r="P206" s="12" t="n">
        <v>24</v>
      </c>
      <c r="Q206" s="12" t="n">
        <v>78</v>
      </c>
      <c r="R206" s="12" t="n">
        <v>62</v>
      </c>
      <c r="S206" s="12" t="n">
        <v>146</v>
      </c>
      <c r="T206" s="12" t="n">
        <v>10</v>
      </c>
      <c r="U206" s="12" t="n">
        <v>7</v>
      </c>
      <c r="V206" s="12" t="n">
        <v>24</v>
      </c>
      <c r="W206" s="12" t="n">
        <v>5</v>
      </c>
      <c r="X206" s="13" t="n">
        <f aca="false">M206+N206+2*O206+3*P206</f>
        <v>254</v>
      </c>
      <c r="Y206" s="14" t="n">
        <f aca="false">IF(K206=0,0,M206/K206)</f>
        <v>0.281947261663286</v>
      </c>
      <c r="Z206" s="14" t="n">
        <f aca="false">IF(K206+R206+T206+U206=0,0,(M206+R206+T206)/(K206+R206+T206+U206))</f>
        <v>0.368881118881119</v>
      </c>
      <c r="AA206" s="14" t="n">
        <f aca="false">IF(K206=0,0,X206/K206)</f>
        <v>0.515212981744422</v>
      </c>
      <c r="AB206" s="14" t="n">
        <f aca="false">Z206+AA206</f>
        <v>0.884094100625541</v>
      </c>
      <c r="AC206" s="14" t="n">
        <f aca="false">AA206-Y206</f>
        <v>0.233265720081136</v>
      </c>
      <c r="AD206" s="14" t="n">
        <f aca="false">IF(K206-S206-P206+U206=0,0,(M206-P206)/(K206-S206-P206+U206))</f>
        <v>0.348484848484849</v>
      </c>
      <c r="AE206" s="15" t="n">
        <f aca="false">IF(J206=0,0,R206/J206)</f>
        <v>0.108391608391608</v>
      </c>
      <c r="AF206" s="15" t="n">
        <f aca="false">IF(J206=0,0,S206/J206)</f>
        <v>0.255244755244755</v>
      </c>
      <c r="AG206" s="11" t="n">
        <f aca="false">IF(J206&gt;=INDEX(球季參數!$E$2:$E$4,MATCH($A206,球季參數!$A$2:$A$4,0)),1,0)</f>
        <v>1</v>
      </c>
    </row>
    <row r="207" customFormat="false" ht="15" hidden="false" customHeight="false" outlineLevel="0" collapsed="false">
      <c r="A207" s="5" t="n">
        <v>2024</v>
      </c>
      <c r="B207" s="7" t="s">
        <v>1287</v>
      </c>
      <c r="C207" s="10" t="str">
        <f aca="false">INDEX(球員主檔!$B$2:$B$749,MATCH($B207,球員主檔!$A$2:$A$749,0))</f>
        <v>Camilo Ibarra</v>
      </c>
      <c r="D207" s="7" t="s">
        <v>426</v>
      </c>
      <c r="E207" s="10" t="str">
        <f aca="false">INDEX(球隊主檔!$C$2:$C$31,MATCH($D207,球隊主檔!$A$2:$A$31,0))</f>
        <v>芝加哥小熊</v>
      </c>
      <c r="F207" s="10" t="str">
        <f aca="false">INDEX(球隊主檔!$D$2:$D$31,MATCH($D207,球隊主檔!$A$2:$A$31,0))</f>
        <v>國聯</v>
      </c>
      <c r="G207" s="7" t="s">
        <v>473</v>
      </c>
      <c r="H207" s="11" t="n">
        <f aca="false">INT((DATE($A207,7,1)-INDEX(球員主檔!$G$2:$G$749,MATCH($B207,球員主檔!$A$2:$A$749,0)))/365.25)</f>
        <v>27</v>
      </c>
      <c r="I207" s="12" t="n">
        <v>93</v>
      </c>
      <c r="J207" s="12" t="n">
        <v>384</v>
      </c>
      <c r="K207" s="12" t="n">
        <v>335</v>
      </c>
      <c r="L207" s="12" t="n">
        <v>36</v>
      </c>
      <c r="M207" s="12" t="n">
        <v>81</v>
      </c>
      <c r="N207" s="12" t="n">
        <v>14</v>
      </c>
      <c r="O207" s="12" t="n">
        <v>3</v>
      </c>
      <c r="P207" s="12" t="n">
        <v>6</v>
      </c>
      <c r="Q207" s="12" t="n">
        <v>27</v>
      </c>
      <c r="R207" s="12" t="n">
        <v>40</v>
      </c>
      <c r="S207" s="12" t="n">
        <v>116</v>
      </c>
      <c r="T207" s="12" t="n">
        <v>5</v>
      </c>
      <c r="U207" s="12" t="n">
        <v>4</v>
      </c>
      <c r="V207" s="12" t="n">
        <v>13</v>
      </c>
      <c r="W207" s="12" t="n">
        <v>4</v>
      </c>
      <c r="X207" s="13" t="n">
        <f aca="false">M207+N207+2*O207+3*P207</f>
        <v>119</v>
      </c>
      <c r="Y207" s="14" t="n">
        <f aca="false">IF(K207=0,0,M207/K207)</f>
        <v>0.241791044776119</v>
      </c>
      <c r="Z207" s="14" t="n">
        <f aca="false">IF(K207+R207+T207+U207=0,0,(M207+R207+T207)/(K207+R207+T207+U207))</f>
        <v>0.328125</v>
      </c>
      <c r="AA207" s="14" t="n">
        <f aca="false">IF(K207=0,0,X207/K207)</f>
        <v>0.355223880597015</v>
      </c>
      <c r="AB207" s="14" t="n">
        <f aca="false">Z207+AA207</f>
        <v>0.683348880597015</v>
      </c>
      <c r="AC207" s="14" t="n">
        <f aca="false">AA207-Y207</f>
        <v>0.113432835820896</v>
      </c>
      <c r="AD207" s="14" t="n">
        <f aca="false">IF(K207-S207-P207+U207=0,0,(M207-P207)/(K207-S207-P207+U207))</f>
        <v>0.345622119815668</v>
      </c>
      <c r="AE207" s="15" t="n">
        <f aca="false">IF(J207=0,0,R207/J207)</f>
        <v>0.104166666666667</v>
      </c>
      <c r="AF207" s="15" t="n">
        <f aca="false">IF(J207=0,0,S207/J207)</f>
        <v>0.302083333333333</v>
      </c>
      <c r="AG207" s="11" t="n">
        <f aca="false">IF(J207&gt;=INDEX(球季參數!$E$2:$E$4,MATCH($A207,球季參數!$A$2:$A$4,0)),1,0)</f>
        <v>0</v>
      </c>
    </row>
    <row r="208" customFormat="false" ht="15" hidden="false" customHeight="false" outlineLevel="0" collapsed="false">
      <c r="A208" s="5" t="n">
        <v>2024</v>
      </c>
      <c r="B208" s="7" t="s">
        <v>1289</v>
      </c>
      <c r="C208" s="10" t="str">
        <f aca="false">INDEX(球員主檔!$B$2:$B$749,MATCH($B208,球員主檔!$A$2:$A$749,0))</f>
        <v>Niklas Arceneaux</v>
      </c>
      <c r="D208" s="7" t="s">
        <v>426</v>
      </c>
      <c r="E208" s="10" t="str">
        <f aca="false">INDEX(球隊主檔!$C$2:$C$31,MATCH($D208,球隊主檔!$A$2:$A$31,0))</f>
        <v>芝加哥小熊</v>
      </c>
      <c r="F208" s="10" t="str">
        <f aca="false">INDEX(球隊主檔!$D$2:$D$31,MATCH($D208,球隊主檔!$A$2:$A$31,0))</f>
        <v>國聯</v>
      </c>
      <c r="G208" s="7" t="s">
        <v>63</v>
      </c>
      <c r="H208" s="11" t="n">
        <f aca="false">INT((DATE($A208,7,1)-INDEX(球員主檔!$G$2:$G$749,MATCH($B208,球員主檔!$A$2:$A$749,0)))/365.25)</f>
        <v>24</v>
      </c>
      <c r="I208" s="12" t="n">
        <v>41</v>
      </c>
      <c r="J208" s="12" t="n">
        <v>170</v>
      </c>
      <c r="K208" s="12" t="n">
        <v>155</v>
      </c>
      <c r="L208" s="12" t="n">
        <v>18</v>
      </c>
      <c r="M208" s="12" t="n">
        <v>37</v>
      </c>
      <c r="N208" s="12" t="n">
        <v>16</v>
      </c>
      <c r="O208" s="12" t="n">
        <v>3</v>
      </c>
      <c r="P208" s="12" t="n">
        <v>3</v>
      </c>
      <c r="Q208" s="12" t="n">
        <v>15</v>
      </c>
      <c r="R208" s="12" t="n">
        <v>11</v>
      </c>
      <c r="S208" s="12" t="n">
        <v>43</v>
      </c>
      <c r="T208" s="12" t="n">
        <v>3</v>
      </c>
      <c r="U208" s="12" t="n">
        <v>1</v>
      </c>
      <c r="V208" s="12" t="n">
        <v>6</v>
      </c>
      <c r="W208" s="12" t="n">
        <v>1</v>
      </c>
      <c r="X208" s="13" t="n">
        <f aca="false">M208+N208+2*O208+3*P208</f>
        <v>68</v>
      </c>
      <c r="Y208" s="14" t="n">
        <f aca="false">IF(K208=0,0,M208/K208)</f>
        <v>0.238709677419355</v>
      </c>
      <c r="Z208" s="14" t="n">
        <f aca="false">IF(K208+R208+T208+U208=0,0,(M208+R208+T208)/(K208+R208+T208+U208))</f>
        <v>0.3</v>
      </c>
      <c r="AA208" s="14" t="n">
        <f aca="false">IF(K208=0,0,X208/K208)</f>
        <v>0.438709677419355</v>
      </c>
      <c r="AB208" s="14" t="n">
        <f aca="false">Z208+AA208</f>
        <v>0.738709677419355</v>
      </c>
      <c r="AC208" s="14" t="n">
        <f aca="false">AA208-Y208</f>
        <v>0.2</v>
      </c>
      <c r="AD208" s="14" t="n">
        <f aca="false">IF(K208-S208-P208+U208=0,0,(M208-P208)/(K208-S208-P208+U208))</f>
        <v>0.309090909090909</v>
      </c>
      <c r="AE208" s="15" t="n">
        <f aca="false">IF(J208=0,0,R208/J208)</f>
        <v>0.0647058823529412</v>
      </c>
      <c r="AF208" s="15" t="n">
        <f aca="false">IF(J208=0,0,S208/J208)</f>
        <v>0.252941176470588</v>
      </c>
      <c r="AG208" s="11" t="n">
        <f aca="false">IF(J208&gt;=INDEX(球季參數!$E$2:$E$4,MATCH($A208,球季參數!$A$2:$A$4,0)),1,0)</f>
        <v>0</v>
      </c>
    </row>
    <row r="209" customFormat="false" ht="15" hidden="false" customHeight="false" outlineLevel="0" collapsed="false">
      <c r="A209" s="5" t="n">
        <v>2024</v>
      </c>
      <c r="B209" s="7" t="s">
        <v>1291</v>
      </c>
      <c r="C209" s="10" t="str">
        <f aca="false">INDEX(球員主檔!$B$2:$B$749,MATCH($B209,球員主檔!$A$2:$A$749,0))</f>
        <v>Ignacio Nordstrom</v>
      </c>
      <c r="D209" s="7" t="s">
        <v>426</v>
      </c>
      <c r="E209" s="10" t="str">
        <f aca="false">INDEX(球隊主檔!$C$2:$C$31,MATCH($D209,球隊主檔!$A$2:$A$31,0))</f>
        <v>芝加哥小熊</v>
      </c>
      <c r="F209" s="10" t="str">
        <f aca="false">INDEX(球隊主檔!$D$2:$D$31,MATCH($D209,球隊主檔!$A$2:$A$31,0))</f>
        <v>國聯</v>
      </c>
      <c r="G209" s="7" t="s">
        <v>470</v>
      </c>
      <c r="H209" s="11" t="n">
        <f aca="false">INT((DATE($A209,7,1)-INDEX(球員主檔!$G$2:$G$749,MATCH($B209,球員主檔!$A$2:$A$749,0)))/365.25)</f>
        <v>31</v>
      </c>
      <c r="I209" s="12" t="n">
        <v>97</v>
      </c>
      <c r="J209" s="12" t="n">
        <v>428</v>
      </c>
      <c r="K209" s="12" t="n">
        <v>406</v>
      </c>
      <c r="L209" s="12" t="n">
        <v>39</v>
      </c>
      <c r="M209" s="12" t="n">
        <v>89</v>
      </c>
      <c r="N209" s="12" t="n">
        <v>21</v>
      </c>
      <c r="O209" s="12" t="n">
        <v>2</v>
      </c>
      <c r="P209" s="12" t="n">
        <v>13</v>
      </c>
      <c r="Q209" s="12" t="n">
        <v>41</v>
      </c>
      <c r="R209" s="12" t="n">
        <v>15</v>
      </c>
      <c r="S209" s="12" t="n">
        <v>126</v>
      </c>
      <c r="T209" s="12" t="n">
        <v>3</v>
      </c>
      <c r="U209" s="12" t="n">
        <v>4</v>
      </c>
      <c r="V209" s="12" t="n">
        <v>6</v>
      </c>
      <c r="W209" s="12" t="n">
        <v>1</v>
      </c>
      <c r="X209" s="13" t="n">
        <f aca="false">M209+N209+2*O209+3*P209</f>
        <v>153</v>
      </c>
      <c r="Y209" s="14" t="n">
        <f aca="false">IF(K209=0,0,M209/K209)</f>
        <v>0.219211822660099</v>
      </c>
      <c r="Z209" s="14" t="n">
        <f aca="false">IF(K209+R209+T209+U209=0,0,(M209+R209+T209)/(K209+R209+T209+U209))</f>
        <v>0.25</v>
      </c>
      <c r="AA209" s="14" t="n">
        <f aca="false">IF(K209=0,0,X209/K209)</f>
        <v>0.376847290640394</v>
      </c>
      <c r="AB209" s="14" t="n">
        <f aca="false">Z209+AA209</f>
        <v>0.626847290640394</v>
      </c>
      <c r="AC209" s="14" t="n">
        <f aca="false">AA209-Y209</f>
        <v>0.157635467980296</v>
      </c>
      <c r="AD209" s="14" t="n">
        <f aca="false">IF(K209-S209-P209+U209=0,0,(M209-P209)/(K209-S209-P209+U209))</f>
        <v>0.280442804428044</v>
      </c>
      <c r="AE209" s="15" t="n">
        <f aca="false">IF(J209=0,0,R209/J209)</f>
        <v>0.0350467289719626</v>
      </c>
      <c r="AF209" s="15" t="n">
        <f aca="false">IF(J209=0,0,S209/J209)</f>
        <v>0.294392523364486</v>
      </c>
      <c r="AG209" s="11" t="n">
        <f aca="false">IF(J209&gt;=INDEX(球季參數!$E$2:$E$4,MATCH($A209,球季參數!$A$2:$A$4,0)),1,0)</f>
        <v>0</v>
      </c>
    </row>
    <row r="210" customFormat="false" ht="15" hidden="false" customHeight="false" outlineLevel="0" collapsed="false">
      <c r="A210" s="5" t="n">
        <v>2024</v>
      </c>
      <c r="B210" s="7" t="s">
        <v>1293</v>
      </c>
      <c r="C210" s="10" t="str">
        <f aca="false">INDEX(球員主檔!$B$2:$B$749,MATCH($B210,球員主檔!$A$2:$A$749,0))</f>
        <v>Emilio Halloway</v>
      </c>
      <c r="D210" s="7" t="s">
        <v>426</v>
      </c>
      <c r="E210" s="10" t="str">
        <f aca="false">INDEX(球隊主檔!$C$2:$C$31,MATCH($D210,球隊主檔!$A$2:$A$31,0))</f>
        <v>芝加哥小熊</v>
      </c>
      <c r="F210" s="10" t="str">
        <f aca="false">INDEX(球隊主檔!$D$2:$D$31,MATCH($D210,球隊主檔!$A$2:$A$31,0))</f>
        <v>國聯</v>
      </c>
      <c r="G210" s="7" t="s">
        <v>63</v>
      </c>
      <c r="H210" s="11" t="n">
        <f aca="false">INT((DATE($A210,7,1)-INDEX(球員主檔!$G$2:$G$749,MATCH($B210,球員主檔!$A$2:$A$749,0)))/365.25)</f>
        <v>27</v>
      </c>
      <c r="I210" s="12" t="n">
        <v>28</v>
      </c>
      <c r="J210" s="12" t="n">
        <v>123</v>
      </c>
      <c r="K210" s="12" t="n">
        <v>110</v>
      </c>
      <c r="L210" s="12" t="n">
        <v>13</v>
      </c>
      <c r="M210" s="12" t="n">
        <v>29</v>
      </c>
      <c r="N210" s="12" t="n">
        <v>11</v>
      </c>
      <c r="O210" s="12" t="n">
        <v>3</v>
      </c>
      <c r="P210" s="12" t="n">
        <v>2</v>
      </c>
      <c r="Q210" s="12" t="n">
        <v>9</v>
      </c>
      <c r="R210" s="12" t="n">
        <v>10</v>
      </c>
      <c r="S210" s="12" t="n">
        <v>16</v>
      </c>
      <c r="T210" s="12" t="n">
        <v>2</v>
      </c>
      <c r="U210" s="12" t="n">
        <v>1</v>
      </c>
      <c r="V210" s="12" t="n">
        <v>5</v>
      </c>
      <c r="W210" s="12" t="n">
        <v>1</v>
      </c>
      <c r="X210" s="13" t="n">
        <f aca="false">M210+N210+2*O210+3*P210</f>
        <v>52</v>
      </c>
      <c r="Y210" s="14" t="n">
        <f aca="false">IF(K210=0,0,M210/K210)</f>
        <v>0.263636363636364</v>
      </c>
      <c r="Z210" s="14" t="n">
        <f aca="false">IF(K210+R210+T210+U210=0,0,(M210+R210+T210)/(K210+R210+T210+U210))</f>
        <v>0.333333333333333</v>
      </c>
      <c r="AA210" s="14" t="n">
        <f aca="false">IF(K210=0,0,X210/K210)</f>
        <v>0.472727272727273</v>
      </c>
      <c r="AB210" s="14" t="n">
        <f aca="false">Z210+AA210</f>
        <v>0.806060606060606</v>
      </c>
      <c r="AC210" s="14" t="n">
        <f aca="false">AA210-Y210</f>
        <v>0.209090909090909</v>
      </c>
      <c r="AD210" s="14" t="n">
        <f aca="false">IF(K210-S210-P210+U210=0,0,(M210-P210)/(K210-S210-P210+U210))</f>
        <v>0.290322580645161</v>
      </c>
      <c r="AE210" s="15" t="n">
        <f aca="false">IF(J210=0,0,R210/J210)</f>
        <v>0.0813008130081301</v>
      </c>
      <c r="AF210" s="15" t="n">
        <f aca="false">IF(J210=0,0,S210/J210)</f>
        <v>0.130081300813008</v>
      </c>
      <c r="AG210" s="11" t="n">
        <f aca="false">IF(J210&gt;=INDEX(球季參數!$E$2:$E$4,MATCH($A210,球季參數!$A$2:$A$4,0)),1,0)</f>
        <v>0</v>
      </c>
    </row>
    <row r="211" customFormat="false" ht="15" hidden="false" customHeight="false" outlineLevel="0" collapsed="false">
      <c r="A211" s="5" t="n">
        <v>2024</v>
      </c>
      <c r="B211" s="7" t="s">
        <v>1295</v>
      </c>
      <c r="C211" s="10" t="str">
        <f aca="false">INDEX(球員主檔!$B$2:$B$749,MATCH($B211,球員主檔!$A$2:$A$749,0))</f>
        <v>Sawyer Kiriakis</v>
      </c>
      <c r="D211" s="7" t="s">
        <v>426</v>
      </c>
      <c r="E211" s="10" t="str">
        <f aca="false">INDEX(球隊主檔!$C$2:$C$31,MATCH($D211,球隊主檔!$A$2:$A$31,0))</f>
        <v>芝加哥小熊</v>
      </c>
      <c r="F211" s="10" t="str">
        <f aca="false">INDEX(球隊主檔!$D$2:$D$31,MATCH($D211,球隊主檔!$A$2:$A$31,0))</f>
        <v>國聯</v>
      </c>
      <c r="G211" s="7" t="s">
        <v>63</v>
      </c>
      <c r="H211" s="11" t="n">
        <f aca="false">INT((DATE($A211,7,1)-INDEX(球員主檔!$G$2:$G$749,MATCH($B211,球員主檔!$A$2:$A$749,0)))/365.25)</f>
        <v>32</v>
      </c>
      <c r="I211" s="12" t="n">
        <v>70</v>
      </c>
      <c r="J211" s="12" t="n">
        <v>285</v>
      </c>
      <c r="K211" s="12" t="n">
        <v>260</v>
      </c>
      <c r="L211" s="12" t="n">
        <v>32</v>
      </c>
      <c r="M211" s="12" t="n">
        <v>67</v>
      </c>
      <c r="N211" s="12" t="n">
        <v>15</v>
      </c>
      <c r="O211" s="12" t="n">
        <v>8</v>
      </c>
      <c r="P211" s="12" t="n">
        <v>3</v>
      </c>
      <c r="Q211" s="12" t="n">
        <v>18</v>
      </c>
      <c r="R211" s="12" t="n">
        <v>18</v>
      </c>
      <c r="S211" s="12" t="n">
        <v>66</v>
      </c>
      <c r="T211" s="12" t="n">
        <v>5</v>
      </c>
      <c r="U211" s="12" t="n">
        <v>2</v>
      </c>
      <c r="V211" s="12" t="n">
        <v>12</v>
      </c>
      <c r="W211" s="12" t="n">
        <v>2</v>
      </c>
      <c r="X211" s="13" t="n">
        <f aca="false">M211+N211+2*O211+3*P211</f>
        <v>107</v>
      </c>
      <c r="Y211" s="14" t="n">
        <f aca="false">IF(K211=0,0,M211/K211)</f>
        <v>0.257692307692308</v>
      </c>
      <c r="Z211" s="14" t="n">
        <f aca="false">IF(K211+R211+T211+U211=0,0,(M211+R211+T211)/(K211+R211+T211+U211))</f>
        <v>0.315789473684211</v>
      </c>
      <c r="AA211" s="14" t="n">
        <f aca="false">IF(K211=0,0,X211/K211)</f>
        <v>0.411538461538462</v>
      </c>
      <c r="AB211" s="14" t="n">
        <f aca="false">Z211+AA211</f>
        <v>0.727327935222672</v>
      </c>
      <c r="AC211" s="14" t="n">
        <f aca="false">AA211-Y211</f>
        <v>0.153846153846154</v>
      </c>
      <c r="AD211" s="14" t="n">
        <f aca="false">IF(K211-S211-P211+U211=0,0,(M211-P211)/(K211-S211-P211+U211))</f>
        <v>0.33160621761658</v>
      </c>
      <c r="AE211" s="15" t="n">
        <f aca="false">IF(J211=0,0,R211/J211)</f>
        <v>0.0631578947368421</v>
      </c>
      <c r="AF211" s="15" t="n">
        <f aca="false">IF(J211=0,0,S211/J211)</f>
        <v>0.231578947368421</v>
      </c>
      <c r="AG211" s="11" t="n">
        <f aca="false">IF(J211&gt;=INDEX(球季參數!$E$2:$E$4,MATCH($A211,球季參數!$A$2:$A$4,0)),1,0)</f>
        <v>0</v>
      </c>
    </row>
    <row r="212" customFormat="false" ht="15" hidden="false" customHeight="false" outlineLevel="0" collapsed="false">
      <c r="A212" s="5" t="n">
        <v>2024</v>
      </c>
      <c r="B212" s="7" t="s">
        <v>1317</v>
      </c>
      <c r="C212" s="10" t="str">
        <f aca="false">INDEX(球員主檔!$B$2:$B$749,MATCH($B212,球員主檔!$A$2:$A$749,0))</f>
        <v>Ulises Castellón</v>
      </c>
      <c r="D212" s="7" t="s">
        <v>430</v>
      </c>
      <c r="E212" s="10" t="str">
        <f aca="false">INDEX(球隊主檔!$C$2:$C$31,MATCH($D212,球隊主檔!$A$2:$A$31,0))</f>
        <v>辛辛那提紅人</v>
      </c>
      <c r="F212" s="10" t="str">
        <f aca="false">INDEX(球隊主檔!$D$2:$D$31,MATCH($D212,球隊主檔!$A$2:$A$31,0))</f>
        <v>國聯</v>
      </c>
      <c r="G212" s="7" t="s">
        <v>486</v>
      </c>
      <c r="H212" s="11" t="n">
        <f aca="false">INT((DATE($A212,7,1)-INDEX(球員主檔!$G$2:$G$749,MATCH($B212,球員主檔!$A$2:$A$749,0)))/365.25)</f>
        <v>27</v>
      </c>
      <c r="I212" s="12" t="n">
        <v>143</v>
      </c>
      <c r="J212" s="12" t="n">
        <v>600</v>
      </c>
      <c r="K212" s="12" t="n">
        <v>535</v>
      </c>
      <c r="L212" s="12" t="n">
        <v>75</v>
      </c>
      <c r="M212" s="12" t="n">
        <v>114</v>
      </c>
      <c r="N212" s="12" t="n">
        <v>17</v>
      </c>
      <c r="O212" s="12" t="n">
        <v>3</v>
      </c>
      <c r="P212" s="12" t="n">
        <v>34</v>
      </c>
      <c r="Q212" s="12" t="n">
        <v>98</v>
      </c>
      <c r="R212" s="12" t="n">
        <v>55</v>
      </c>
      <c r="S212" s="12" t="n">
        <v>161</v>
      </c>
      <c r="T212" s="12" t="n">
        <v>5</v>
      </c>
      <c r="U212" s="12" t="n">
        <v>5</v>
      </c>
      <c r="V212" s="12" t="n">
        <v>5</v>
      </c>
      <c r="W212" s="12" t="n">
        <v>1</v>
      </c>
      <c r="X212" s="13" t="n">
        <f aca="false">M212+N212+2*O212+3*P212</f>
        <v>239</v>
      </c>
      <c r="Y212" s="14" t="n">
        <f aca="false">IF(K212=0,0,M212/K212)</f>
        <v>0.213084112149533</v>
      </c>
      <c r="Z212" s="14" t="n">
        <f aca="false">IF(K212+R212+T212+U212=0,0,(M212+R212+T212)/(K212+R212+T212+U212))</f>
        <v>0.29</v>
      </c>
      <c r="AA212" s="14" t="n">
        <f aca="false">IF(K212=0,0,X212/K212)</f>
        <v>0.446728971962617</v>
      </c>
      <c r="AB212" s="14" t="n">
        <f aca="false">Z212+AA212</f>
        <v>0.736728971962617</v>
      </c>
      <c r="AC212" s="14" t="n">
        <f aca="false">AA212-Y212</f>
        <v>0.233644859813084</v>
      </c>
      <c r="AD212" s="14" t="n">
        <f aca="false">IF(K212-S212-P212+U212=0,0,(M212-P212)/(K212-S212-P212+U212))</f>
        <v>0.231884057971015</v>
      </c>
      <c r="AE212" s="15" t="n">
        <f aca="false">IF(J212=0,0,R212/J212)</f>
        <v>0.0916666666666667</v>
      </c>
      <c r="AF212" s="15" t="n">
        <f aca="false">IF(J212=0,0,S212/J212)</f>
        <v>0.268333333333333</v>
      </c>
      <c r="AG212" s="11" t="n">
        <f aca="false">IF(J212&gt;=INDEX(球季參數!$E$2:$E$4,MATCH($A212,球季參數!$A$2:$A$4,0)),1,0)</f>
        <v>1</v>
      </c>
    </row>
    <row r="213" customFormat="false" ht="15" hidden="false" customHeight="false" outlineLevel="0" collapsed="false">
      <c r="A213" s="5" t="n">
        <v>2024</v>
      </c>
      <c r="B213" s="7" t="s">
        <v>1319</v>
      </c>
      <c r="C213" s="10" t="str">
        <f aca="false">INDEX(球員主檔!$B$2:$B$749,MATCH($B213,球員主檔!$A$2:$A$749,0))</f>
        <v>Wyatt Yamazaki</v>
      </c>
      <c r="D213" s="7" t="s">
        <v>430</v>
      </c>
      <c r="E213" s="10" t="str">
        <f aca="false">INDEX(球隊主檔!$C$2:$C$31,MATCH($D213,球隊主檔!$A$2:$A$31,0))</f>
        <v>辛辛那提紅人</v>
      </c>
      <c r="F213" s="10" t="str">
        <f aca="false">INDEX(球隊主檔!$D$2:$D$31,MATCH($D213,球隊主檔!$A$2:$A$31,0))</f>
        <v>國聯</v>
      </c>
      <c r="G213" s="7" t="s">
        <v>63</v>
      </c>
      <c r="H213" s="11" t="n">
        <f aca="false">INT((DATE($A213,7,1)-INDEX(球員主檔!$G$2:$G$749,MATCH($B213,球員主檔!$A$2:$A$749,0)))/365.25)</f>
        <v>24</v>
      </c>
      <c r="I213" s="12" t="n">
        <v>147</v>
      </c>
      <c r="J213" s="12" t="n">
        <v>661</v>
      </c>
      <c r="K213" s="12" t="n">
        <v>557</v>
      </c>
      <c r="L213" s="12" t="n">
        <v>81</v>
      </c>
      <c r="M213" s="12" t="n">
        <v>133</v>
      </c>
      <c r="N213" s="12" t="n">
        <v>28</v>
      </c>
      <c r="O213" s="12" t="n">
        <v>2</v>
      </c>
      <c r="P213" s="12" t="n">
        <v>12</v>
      </c>
      <c r="Q213" s="12" t="n">
        <v>59</v>
      </c>
      <c r="R213" s="12" t="n">
        <v>88</v>
      </c>
      <c r="S213" s="12" t="n">
        <v>176</v>
      </c>
      <c r="T213" s="12" t="n">
        <v>8</v>
      </c>
      <c r="U213" s="12" t="n">
        <v>8</v>
      </c>
      <c r="V213" s="12" t="n">
        <v>6</v>
      </c>
      <c r="W213" s="12" t="n">
        <v>2</v>
      </c>
      <c r="X213" s="13" t="n">
        <f aca="false">M213+N213+2*O213+3*P213</f>
        <v>201</v>
      </c>
      <c r="Y213" s="14" t="n">
        <f aca="false">IF(K213=0,0,M213/K213)</f>
        <v>0.238779174147217</v>
      </c>
      <c r="Z213" s="14" t="n">
        <f aca="false">IF(K213+R213+T213+U213=0,0,(M213+R213+T213)/(K213+R213+T213+U213))</f>
        <v>0.346444780635401</v>
      </c>
      <c r="AA213" s="14" t="n">
        <f aca="false">IF(K213=0,0,X213/K213)</f>
        <v>0.360861759425494</v>
      </c>
      <c r="AB213" s="14" t="n">
        <f aca="false">Z213+AA213</f>
        <v>0.707306540060895</v>
      </c>
      <c r="AC213" s="14" t="n">
        <f aca="false">AA213-Y213</f>
        <v>0.122082585278276</v>
      </c>
      <c r="AD213" s="14" t="n">
        <f aca="false">IF(K213-S213-P213+U213=0,0,(M213-P213)/(K213-S213-P213+U213))</f>
        <v>0.320954907161804</v>
      </c>
      <c r="AE213" s="15" t="n">
        <f aca="false">IF(J213=0,0,R213/J213)</f>
        <v>0.133131618759455</v>
      </c>
      <c r="AF213" s="15" t="n">
        <f aca="false">IF(J213=0,0,S213/J213)</f>
        <v>0.266263237518911</v>
      </c>
      <c r="AG213" s="11" t="n">
        <f aca="false">IF(J213&gt;=INDEX(球季參數!$E$2:$E$4,MATCH($A213,球季參數!$A$2:$A$4,0)),1,0)</f>
        <v>1</v>
      </c>
    </row>
    <row r="214" customFormat="false" ht="15" hidden="false" customHeight="false" outlineLevel="0" collapsed="false">
      <c r="A214" s="5" t="n">
        <v>2024</v>
      </c>
      <c r="B214" s="7" t="s">
        <v>1321</v>
      </c>
      <c r="C214" s="10" t="str">
        <f aca="false">INDEX(球員主檔!$B$2:$B$749,MATCH($B214,球員主檔!$A$2:$A$749,0))</f>
        <v>Emilio Yoshinaga</v>
      </c>
      <c r="D214" s="7" t="s">
        <v>430</v>
      </c>
      <c r="E214" s="10" t="str">
        <f aca="false">INDEX(球隊主檔!$C$2:$C$31,MATCH($D214,球隊主檔!$A$2:$A$31,0))</f>
        <v>辛辛那提紅人</v>
      </c>
      <c r="F214" s="10" t="str">
        <f aca="false">INDEX(球隊主檔!$D$2:$D$31,MATCH($D214,球隊主檔!$A$2:$A$31,0))</f>
        <v>國聯</v>
      </c>
      <c r="G214" s="7" t="s">
        <v>478</v>
      </c>
      <c r="H214" s="11" t="n">
        <f aca="false">INT((DATE($A214,7,1)-INDEX(球員主檔!$G$2:$G$749,MATCH($B214,球員主檔!$A$2:$A$749,0)))/365.25)</f>
        <v>30</v>
      </c>
      <c r="I214" s="12" t="n">
        <v>53</v>
      </c>
      <c r="J214" s="12" t="n">
        <v>227</v>
      </c>
      <c r="K214" s="12" t="n">
        <v>208</v>
      </c>
      <c r="L214" s="12" t="n">
        <v>28</v>
      </c>
      <c r="M214" s="12" t="n">
        <v>49</v>
      </c>
      <c r="N214" s="12" t="n">
        <v>16</v>
      </c>
      <c r="O214" s="12" t="n">
        <v>4</v>
      </c>
      <c r="P214" s="12" t="n">
        <v>9</v>
      </c>
      <c r="Q214" s="12" t="n">
        <v>32</v>
      </c>
      <c r="R214" s="12" t="n">
        <v>15</v>
      </c>
      <c r="S214" s="12" t="n">
        <v>54</v>
      </c>
      <c r="T214" s="12" t="n">
        <v>1</v>
      </c>
      <c r="U214" s="12" t="n">
        <v>3</v>
      </c>
      <c r="V214" s="12" t="n">
        <v>7</v>
      </c>
      <c r="W214" s="12" t="n">
        <v>2</v>
      </c>
      <c r="X214" s="13" t="n">
        <f aca="false">M214+N214+2*O214+3*P214</f>
        <v>100</v>
      </c>
      <c r="Y214" s="14" t="n">
        <f aca="false">IF(K214=0,0,M214/K214)</f>
        <v>0.235576923076923</v>
      </c>
      <c r="Z214" s="14" t="n">
        <f aca="false">IF(K214+R214+T214+U214=0,0,(M214+R214+T214)/(K214+R214+T214+U214))</f>
        <v>0.286343612334802</v>
      </c>
      <c r="AA214" s="14" t="n">
        <f aca="false">IF(K214=0,0,X214/K214)</f>
        <v>0.480769230769231</v>
      </c>
      <c r="AB214" s="14" t="n">
        <f aca="false">Z214+AA214</f>
        <v>0.767112843104033</v>
      </c>
      <c r="AC214" s="14" t="n">
        <f aca="false">AA214-Y214</f>
        <v>0.245192307692308</v>
      </c>
      <c r="AD214" s="14" t="n">
        <f aca="false">IF(K214-S214-P214+U214=0,0,(M214-P214)/(K214-S214-P214+U214))</f>
        <v>0.27027027027027</v>
      </c>
      <c r="AE214" s="15" t="n">
        <f aca="false">IF(J214=0,0,R214/J214)</f>
        <v>0.066079295154185</v>
      </c>
      <c r="AF214" s="15" t="n">
        <f aca="false">IF(J214=0,0,S214/J214)</f>
        <v>0.237885462555066</v>
      </c>
      <c r="AG214" s="11" t="n">
        <f aca="false">IF(J214&gt;=INDEX(球季參數!$E$2:$E$4,MATCH($A214,球季參數!$A$2:$A$4,0)),1,0)</f>
        <v>0</v>
      </c>
    </row>
    <row r="215" customFormat="false" ht="15" hidden="false" customHeight="false" outlineLevel="0" collapsed="false">
      <c r="A215" s="5" t="n">
        <v>2024</v>
      </c>
      <c r="B215" s="7" t="s">
        <v>1323</v>
      </c>
      <c r="C215" s="10" t="str">
        <f aca="false">INDEX(球員主檔!$B$2:$B$749,MATCH($B215,球員主檔!$A$2:$A$749,0))</f>
        <v>Yusuke Vasquez</v>
      </c>
      <c r="D215" s="7" t="s">
        <v>430</v>
      </c>
      <c r="E215" s="10" t="str">
        <f aca="false">INDEX(球隊主檔!$C$2:$C$31,MATCH($D215,球隊主檔!$A$2:$A$31,0))</f>
        <v>辛辛那提紅人</v>
      </c>
      <c r="F215" s="10" t="str">
        <f aca="false">INDEX(球隊主檔!$D$2:$D$31,MATCH($D215,球隊主檔!$A$2:$A$31,0))</f>
        <v>國聯</v>
      </c>
      <c r="G215" s="7" t="s">
        <v>470</v>
      </c>
      <c r="H215" s="11" t="n">
        <f aca="false">INT((DATE($A215,7,1)-INDEX(球員主檔!$G$2:$G$749,MATCH($B215,球員主檔!$A$2:$A$749,0)))/365.25)</f>
        <v>29</v>
      </c>
      <c r="I215" s="12" t="n">
        <v>50</v>
      </c>
      <c r="J215" s="12" t="n">
        <v>211</v>
      </c>
      <c r="K215" s="12" t="n">
        <v>192</v>
      </c>
      <c r="L215" s="12" t="n">
        <v>27</v>
      </c>
      <c r="M215" s="12" t="n">
        <v>51</v>
      </c>
      <c r="N215" s="12" t="n">
        <v>20</v>
      </c>
      <c r="O215" s="12" t="n">
        <v>3</v>
      </c>
      <c r="P215" s="12" t="n">
        <v>7</v>
      </c>
      <c r="Q215" s="12" t="n">
        <v>27</v>
      </c>
      <c r="R215" s="12" t="n">
        <v>16</v>
      </c>
      <c r="S215" s="12" t="n">
        <v>44</v>
      </c>
      <c r="T215" s="12" t="n">
        <v>1</v>
      </c>
      <c r="U215" s="12" t="n">
        <v>2</v>
      </c>
      <c r="V215" s="12" t="n">
        <v>5</v>
      </c>
      <c r="W215" s="12" t="n">
        <v>1</v>
      </c>
      <c r="X215" s="13" t="n">
        <f aca="false">M215+N215+2*O215+3*P215</f>
        <v>98</v>
      </c>
      <c r="Y215" s="14" t="n">
        <f aca="false">IF(K215=0,0,M215/K215)</f>
        <v>0.265625</v>
      </c>
      <c r="Z215" s="14" t="n">
        <f aca="false">IF(K215+R215+T215+U215=0,0,(M215+R215+T215)/(K215+R215+T215+U215))</f>
        <v>0.322274881516588</v>
      </c>
      <c r="AA215" s="14" t="n">
        <f aca="false">IF(K215=0,0,X215/K215)</f>
        <v>0.510416666666667</v>
      </c>
      <c r="AB215" s="14" t="n">
        <f aca="false">Z215+AA215</f>
        <v>0.832691548183254</v>
      </c>
      <c r="AC215" s="14" t="n">
        <f aca="false">AA215-Y215</f>
        <v>0.244791666666667</v>
      </c>
      <c r="AD215" s="14" t="n">
        <f aca="false">IF(K215-S215-P215+U215=0,0,(M215-P215)/(K215-S215-P215+U215))</f>
        <v>0.307692307692308</v>
      </c>
      <c r="AE215" s="15" t="n">
        <f aca="false">IF(J215=0,0,R215/J215)</f>
        <v>0.0758293838862559</v>
      </c>
      <c r="AF215" s="15" t="n">
        <f aca="false">IF(J215=0,0,S215/J215)</f>
        <v>0.208530805687204</v>
      </c>
      <c r="AG215" s="11" t="n">
        <f aca="false">IF(J215&gt;=INDEX(球季參數!$E$2:$E$4,MATCH($A215,球季參數!$A$2:$A$4,0)),1,0)</f>
        <v>0</v>
      </c>
    </row>
    <row r="216" customFormat="false" ht="15" hidden="false" customHeight="false" outlineLevel="0" collapsed="false">
      <c r="A216" s="5" t="n">
        <v>2024</v>
      </c>
      <c r="B216" s="7" t="s">
        <v>1325</v>
      </c>
      <c r="C216" s="10" t="str">
        <f aca="false">INDEX(球員主檔!$B$2:$B$749,MATCH($B216,球員主檔!$A$2:$A$749,0))</f>
        <v>Ulises Lindquist</v>
      </c>
      <c r="D216" s="7" t="s">
        <v>430</v>
      </c>
      <c r="E216" s="10" t="str">
        <f aca="false">INDEX(球隊主檔!$C$2:$C$31,MATCH($D216,球隊主檔!$A$2:$A$31,0))</f>
        <v>辛辛那提紅人</v>
      </c>
      <c r="F216" s="10" t="str">
        <f aca="false">INDEX(球隊主檔!$D$2:$D$31,MATCH($D216,球隊主檔!$A$2:$A$31,0))</f>
        <v>國聯</v>
      </c>
      <c r="G216" s="7" t="s">
        <v>483</v>
      </c>
      <c r="H216" s="11" t="n">
        <f aca="false">INT((DATE($A216,7,1)-INDEX(球員主檔!$G$2:$G$749,MATCH($B216,球員主檔!$A$2:$A$749,0)))/365.25)</f>
        <v>30</v>
      </c>
      <c r="I216" s="12" t="n">
        <v>142</v>
      </c>
      <c r="J216" s="12" t="n">
        <v>643</v>
      </c>
      <c r="K216" s="12" t="n">
        <v>573</v>
      </c>
      <c r="L216" s="12" t="n">
        <v>89</v>
      </c>
      <c r="M216" s="12" t="n">
        <v>132</v>
      </c>
      <c r="N216" s="12" t="n">
        <v>40</v>
      </c>
      <c r="O216" s="12" t="n">
        <v>2</v>
      </c>
      <c r="P216" s="12" t="n">
        <v>38</v>
      </c>
      <c r="Q216" s="12" t="n">
        <v>106</v>
      </c>
      <c r="R216" s="12" t="n">
        <v>59</v>
      </c>
      <c r="S216" s="12" t="n">
        <v>132</v>
      </c>
      <c r="T216" s="12" t="n">
        <v>4</v>
      </c>
      <c r="U216" s="12" t="n">
        <v>7</v>
      </c>
      <c r="V216" s="12" t="n">
        <v>20</v>
      </c>
      <c r="W216" s="12" t="n">
        <v>4</v>
      </c>
      <c r="X216" s="13" t="n">
        <f aca="false">M216+N216+2*O216+3*P216</f>
        <v>290</v>
      </c>
      <c r="Y216" s="14" t="n">
        <f aca="false">IF(K216=0,0,M216/K216)</f>
        <v>0.230366492146597</v>
      </c>
      <c r="Z216" s="14" t="n">
        <f aca="false">IF(K216+R216+T216+U216=0,0,(M216+R216+T216)/(K216+R216+T216+U216))</f>
        <v>0.303265940902022</v>
      </c>
      <c r="AA216" s="14" t="n">
        <f aca="false">IF(K216=0,0,X216/K216)</f>
        <v>0.506108202443281</v>
      </c>
      <c r="AB216" s="14" t="n">
        <f aca="false">Z216+AA216</f>
        <v>0.809374143345303</v>
      </c>
      <c r="AC216" s="14" t="n">
        <f aca="false">AA216-Y216</f>
        <v>0.275741710296684</v>
      </c>
      <c r="AD216" s="14" t="n">
        <f aca="false">IF(K216-S216-P216+U216=0,0,(M216-P216)/(K216-S216-P216+U216))</f>
        <v>0.229268292682927</v>
      </c>
      <c r="AE216" s="15" t="n">
        <f aca="false">IF(J216=0,0,R216/J216)</f>
        <v>0.0917573872472784</v>
      </c>
      <c r="AF216" s="15" t="n">
        <f aca="false">IF(J216=0,0,S216/J216)</f>
        <v>0.205287713841369</v>
      </c>
      <c r="AG216" s="11" t="n">
        <f aca="false">IF(J216&gt;=INDEX(球季參數!$E$2:$E$4,MATCH($A216,球季參數!$A$2:$A$4,0)),1,0)</f>
        <v>1</v>
      </c>
    </row>
    <row r="217" customFormat="false" ht="15" hidden="false" customHeight="false" outlineLevel="0" collapsed="false">
      <c r="A217" s="5" t="n">
        <v>2024</v>
      </c>
      <c r="B217" s="7" t="s">
        <v>1327</v>
      </c>
      <c r="C217" s="10" t="str">
        <f aca="false">INDEX(球員主檔!$B$2:$B$749,MATCH($B217,球員主檔!$A$2:$A$749,0))</f>
        <v>Tobias Kestrel</v>
      </c>
      <c r="D217" s="7" t="s">
        <v>430</v>
      </c>
      <c r="E217" s="10" t="str">
        <f aca="false">INDEX(球隊主檔!$C$2:$C$31,MATCH($D217,球隊主檔!$A$2:$A$31,0))</f>
        <v>辛辛那提紅人</v>
      </c>
      <c r="F217" s="10" t="str">
        <f aca="false">INDEX(球隊主檔!$D$2:$D$31,MATCH($D217,球隊主檔!$A$2:$A$31,0))</f>
        <v>國聯</v>
      </c>
      <c r="G217" s="7" t="s">
        <v>63</v>
      </c>
      <c r="H217" s="11" t="n">
        <f aca="false">INT((DATE($A217,7,1)-INDEX(球員主檔!$G$2:$G$749,MATCH($B217,球員主檔!$A$2:$A$749,0)))/365.25)</f>
        <v>25</v>
      </c>
      <c r="I217" s="12" t="n">
        <v>105</v>
      </c>
      <c r="J217" s="12" t="n">
        <v>450</v>
      </c>
      <c r="K217" s="12" t="n">
        <v>402</v>
      </c>
      <c r="L217" s="12" t="n">
        <v>55</v>
      </c>
      <c r="M217" s="12" t="n">
        <v>111</v>
      </c>
      <c r="N217" s="12" t="n">
        <v>7</v>
      </c>
      <c r="O217" s="12" t="n">
        <v>5</v>
      </c>
      <c r="P217" s="12" t="n">
        <v>8</v>
      </c>
      <c r="Q217" s="12" t="n">
        <v>48</v>
      </c>
      <c r="R217" s="12" t="n">
        <v>41</v>
      </c>
      <c r="S217" s="12" t="n">
        <v>67</v>
      </c>
      <c r="T217" s="12" t="n">
        <v>3</v>
      </c>
      <c r="U217" s="12" t="n">
        <v>4</v>
      </c>
      <c r="V217" s="12" t="n">
        <v>14</v>
      </c>
      <c r="W217" s="12" t="n">
        <v>3</v>
      </c>
      <c r="X217" s="13" t="n">
        <f aca="false">M217+N217+2*O217+3*P217</f>
        <v>152</v>
      </c>
      <c r="Y217" s="14" t="n">
        <f aca="false">IF(K217=0,0,M217/K217)</f>
        <v>0.276119402985075</v>
      </c>
      <c r="Z217" s="14" t="n">
        <f aca="false">IF(K217+R217+T217+U217=0,0,(M217+R217+T217)/(K217+R217+T217+U217))</f>
        <v>0.344444444444444</v>
      </c>
      <c r="AA217" s="14" t="n">
        <f aca="false">IF(K217=0,0,X217/K217)</f>
        <v>0.378109452736318</v>
      </c>
      <c r="AB217" s="14" t="n">
        <f aca="false">Z217+AA217</f>
        <v>0.722553897180763</v>
      </c>
      <c r="AC217" s="14" t="n">
        <f aca="false">AA217-Y217</f>
        <v>0.101990049751244</v>
      </c>
      <c r="AD217" s="14" t="n">
        <f aca="false">IF(K217-S217-P217+U217=0,0,(M217-P217)/(K217-S217-P217+U217))</f>
        <v>0.311178247734139</v>
      </c>
      <c r="AE217" s="15" t="n">
        <f aca="false">IF(J217=0,0,R217/J217)</f>
        <v>0.0911111111111111</v>
      </c>
      <c r="AF217" s="15" t="n">
        <f aca="false">IF(J217=0,0,S217/J217)</f>
        <v>0.148888888888889</v>
      </c>
      <c r="AG217" s="11" t="n">
        <f aca="false">IF(J217&gt;=INDEX(球季參數!$E$2:$E$4,MATCH($A217,球季參數!$A$2:$A$4,0)),1,0)</f>
        <v>0</v>
      </c>
    </row>
    <row r="218" customFormat="false" ht="15" hidden="false" customHeight="false" outlineLevel="0" collapsed="false">
      <c r="A218" s="5" t="n">
        <v>2024</v>
      </c>
      <c r="B218" s="7" t="s">
        <v>1329</v>
      </c>
      <c r="C218" s="10" t="str">
        <f aca="false">INDEX(球員主檔!$B$2:$B$749,MATCH($B218,球員主檔!$A$2:$A$749,0))</f>
        <v>Caspian Lemieux</v>
      </c>
      <c r="D218" s="7" t="s">
        <v>430</v>
      </c>
      <c r="E218" s="10" t="str">
        <f aca="false">INDEX(球隊主檔!$C$2:$C$31,MATCH($D218,球隊主檔!$A$2:$A$31,0))</f>
        <v>辛辛那提紅人</v>
      </c>
      <c r="F218" s="10" t="str">
        <f aca="false">INDEX(球隊主檔!$D$2:$D$31,MATCH($D218,球隊主檔!$A$2:$A$31,0))</f>
        <v>國聯</v>
      </c>
      <c r="G218" s="7" t="s">
        <v>63</v>
      </c>
      <c r="H218" s="11" t="n">
        <f aca="false">INT((DATE($A218,7,1)-INDEX(球員主檔!$G$2:$G$749,MATCH($B218,球員主檔!$A$2:$A$749,0)))/365.25)</f>
        <v>33</v>
      </c>
      <c r="I218" s="12" t="n">
        <v>111</v>
      </c>
      <c r="J218" s="12" t="n">
        <v>487</v>
      </c>
      <c r="K218" s="12" t="n">
        <v>411</v>
      </c>
      <c r="L218" s="12" t="n">
        <v>42</v>
      </c>
      <c r="M218" s="12" t="n">
        <v>88</v>
      </c>
      <c r="N218" s="12" t="n">
        <v>24</v>
      </c>
      <c r="O218" s="12" t="n">
        <v>9</v>
      </c>
      <c r="P218" s="12" t="n">
        <v>7</v>
      </c>
      <c r="Q218" s="12" t="n">
        <v>33</v>
      </c>
      <c r="R218" s="12" t="n">
        <v>69</v>
      </c>
      <c r="S218" s="12" t="n">
        <v>96</v>
      </c>
      <c r="T218" s="12" t="n">
        <v>4</v>
      </c>
      <c r="U218" s="12" t="n">
        <v>3</v>
      </c>
      <c r="V218" s="12" t="n">
        <v>2</v>
      </c>
      <c r="W218" s="12" t="n">
        <v>1</v>
      </c>
      <c r="X218" s="13" t="n">
        <f aca="false">M218+N218+2*O218+3*P218</f>
        <v>151</v>
      </c>
      <c r="Y218" s="14" t="n">
        <f aca="false">IF(K218=0,0,M218/K218)</f>
        <v>0.214111922141119</v>
      </c>
      <c r="Z218" s="14" t="n">
        <f aca="false">IF(K218+R218+T218+U218=0,0,(M218+R218+T218)/(K218+R218+T218+U218))</f>
        <v>0.330595482546201</v>
      </c>
      <c r="AA218" s="14" t="n">
        <f aca="false">IF(K218=0,0,X218/K218)</f>
        <v>0.367396593673966</v>
      </c>
      <c r="AB218" s="14" t="n">
        <f aca="false">Z218+AA218</f>
        <v>0.697992076220167</v>
      </c>
      <c r="AC218" s="14" t="n">
        <f aca="false">AA218-Y218</f>
        <v>0.153284671532847</v>
      </c>
      <c r="AD218" s="14" t="n">
        <f aca="false">IF(K218-S218-P218+U218=0,0,(M218-P218)/(K218-S218-P218+U218))</f>
        <v>0.260450160771704</v>
      </c>
      <c r="AE218" s="15" t="n">
        <f aca="false">IF(J218=0,0,R218/J218)</f>
        <v>0.141683778234086</v>
      </c>
      <c r="AF218" s="15" t="n">
        <f aca="false">IF(J218=0,0,S218/J218)</f>
        <v>0.197125256673511</v>
      </c>
      <c r="AG218" s="11" t="n">
        <f aca="false">IF(J218&gt;=INDEX(球季參數!$E$2:$E$4,MATCH($A218,球季參數!$A$2:$A$4,0)),1,0)</f>
        <v>0</v>
      </c>
    </row>
    <row r="219" customFormat="false" ht="15" hidden="false" customHeight="false" outlineLevel="0" collapsed="false">
      <c r="A219" s="5" t="n">
        <v>2024</v>
      </c>
      <c r="B219" s="7" t="s">
        <v>1331</v>
      </c>
      <c r="C219" s="10" t="str">
        <f aca="false">INDEX(球員主檔!$B$2:$B$749,MATCH($B219,球員主檔!$A$2:$A$749,0))</f>
        <v>Konrad Engelhardt</v>
      </c>
      <c r="D219" s="7" t="s">
        <v>430</v>
      </c>
      <c r="E219" s="10" t="str">
        <f aca="false">INDEX(球隊主檔!$C$2:$C$31,MATCH($D219,球隊主檔!$A$2:$A$31,0))</f>
        <v>辛辛那提紅人</v>
      </c>
      <c r="F219" s="10" t="str">
        <f aca="false">INDEX(球隊主檔!$D$2:$D$31,MATCH($D219,球隊主檔!$A$2:$A$31,0))</f>
        <v>國聯</v>
      </c>
      <c r="G219" s="7" t="s">
        <v>478</v>
      </c>
      <c r="H219" s="11" t="n">
        <f aca="false">INT((DATE($A219,7,1)-INDEX(球員主檔!$G$2:$G$749,MATCH($B219,球員主檔!$A$2:$A$749,0)))/365.25)</f>
        <v>23</v>
      </c>
      <c r="I219" s="12" t="n">
        <v>118</v>
      </c>
      <c r="J219" s="12" t="n">
        <v>515</v>
      </c>
      <c r="K219" s="12" t="n">
        <v>457</v>
      </c>
      <c r="L219" s="12" t="n">
        <v>56</v>
      </c>
      <c r="M219" s="12" t="n">
        <v>111</v>
      </c>
      <c r="N219" s="12" t="n">
        <v>42</v>
      </c>
      <c r="O219" s="12" t="n">
        <v>4</v>
      </c>
      <c r="P219" s="12" t="n">
        <v>11</v>
      </c>
      <c r="Q219" s="12" t="n">
        <v>46</v>
      </c>
      <c r="R219" s="12" t="n">
        <v>49</v>
      </c>
      <c r="S219" s="12" t="n">
        <v>81</v>
      </c>
      <c r="T219" s="12" t="n">
        <v>6</v>
      </c>
      <c r="U219" s="12" t="n">
        <v>3</v>
      </c>
      <c r="V219" s="12" t="n">
        <v>14</v>
      </c>
      <c r="W219" s="12" t="n">
        <v>3</v>
      </c>
      <c r="X219" s="13" t="n">
        <f aca="false">M219+N219+2*O219+3*P219</f>
        <v>194</v>
      </c>
      <c r="Y219" s="14" t="n">
        <f aca="false">IF(K219=0,0,M219/K219)</f>
        <v>0.242888402625821</v>
      </c>
      <c r="Z219" s="14" t="n">
        <f aca="false">IF(K219+R219+T219+U219=0,0,(M219+R219+T219)/(K219+R219+T219+U219))</f>
        <v>0.322330097087379</v>
      </c>
      <c r="AA219" s="14" t="n">
        <f aca="false">IF(K219=0,0,X219/K219)</f>
        <v>0.424507658643326</v>
      </c>
      <c r="AB219" s="14" t="n">
        <f aca="false">Z219+AA219</f>
        <v>0.746837755730705</v>
      </c>
      <c r="AC219" s="14" t="n">
        <f aca="false">AA219-Y219</f>
        <v>0.181619256017505</v>
      </c>
      <c r="AD219" s="14" t="n">
        <f aca="false">IF(K219-S219-P219+U219=0,0,(M219-P219)/(K219-S219-P219+U219))</f>
        <v>0.271739130434783</v>
      </c>
      <c r="AE219" s="15" t="n">
        <f aca="false">IF(J219=0,0,R219/J219)</f>
        <v>0.0951456310679612</v>
      </c>
      <c r="AF219" s="15" t="n">
        <f aca="false">IF(J219=0,0,S219/J219)</f>
        <v>0.157281553398058</v>
      </c>
      <c r="AG219" s="11" t="n">
        <f aca="false">IF(J219&gt;=INDEX(球季參數!$E$2:$E$4,MATCH($A219,球季參數!$A$2:$A$4,0)),1,0)</f>
        <v>1</v>
      </c>
    </row>
    <row r="220" customFormat="false" ht="15" hidden="false" customHeight="false" outlineLevel="0" collapsed="false">
      <c r="A220" s="5" t="n">
        <v>2024</v>
      </c>
      <c r="B220" s="7" t="s">
        <v>1333</v>
      </c>
      <c r="C220" s="10" t="str">
        <f aca="false">INDEX(球員主檔!$B$2:$B$749,MATCH($B220,球員主檔!$A$2:$A$749,0))</f>
        <v>Ignacio Jovanović</v>
      </c>
      <c r="D220" s="7" t="s">
        <v>430</v>
      </c>
      <c r="E220" s="10" t="str">
        <f aca="false">INDEX(球隊主檔!$C$2:$C$31,MATCH($D220,球隊主檔!$A$2:$A$31,0))</f>
        <v>辛辛那提紅人</v>
      </c>
      <c r="F220" s="10" t="str">
        <f aca="false">INDEX(球隊主檔!$D$2:$D$31,MATCH($D220,球隊主檔!$A$2:$A$31,0))</f>
        <v>國聯</v>
      </c>
      <c r="G220" s="7" t="s">
        <v>158</v>
      </c>
      <c r="H220" s="11" t="n">
        <f aca="false">INT((DATE($A220,7,1)-INDEX(球員主檔!$G$2:$G$749,MATCH($B220,球員主檔!$A$2:$A$749,0)))/365.25)</f>
        <v>26</v>
      </c>
      <c r="I220" s="12" t="n">
        <v>74</v>
      </c>
      <c r="J220" s="12" t="n">
        <v>289</v>
      </c>
      <c r="K220" s="12" t="n">
        <v>272</v>
      </c>
      <c r="L220" s="12" t="n">
        <v>36</v>
      </c>
      <c r="M220" s="12" t="n">
        <v>78</v>
      </c>
      <c r="N220" s="12" t="n">
        <v>29</v>
      </c>
      <c r="O220" s="12" t="n">
        <v>5</v>
      </c>
      <c r="P220" s="12" t="n">
        <v>14</v>
      </c>
      <c r="Q220" s="12" t="n">
        <v>47</v>
      </c>
      <c r="R220" s="12" t="n">
        <v>15</v>
      </c>
      <c r="S220" s="12" t="n">
        <v>74</v>
      </c>
      <c r="T220" s="12" t="n">
        <v>1</v>
      </c>
      <c r="U220" s="12" t="n">
        <v>1</v>
      </c>
      <c r="V220" s="12" t="n">
        <v>3</v>
      </c>
      <c r="W220" s="12" t="n">
        <v>1</v>
      </c>
      <c r="X220" s="13" t="n">
        <f aca="false">M220+N220+2*O220+3*P220</f>
        <v>159</v>
      </c>
      <c r="Y220" s="14" t="n">
        <f aca="false">IF(K220=0,0,M220/K220)</f>
        <v>0.286764705882353</v>
      </c>
      <c r="Z220" s="14" t="n">
        <f aca="false">IF(K220+R220+T220+U220=0,0,(M220+R220+T220)/(K220+R220+T220+U220))</f>
        <v>0.325259515570934</v>
      </c>
      <c r="AA220" s="14" t="n">
        <f aca="false">IF(K220=0,0,X220/K220)</f>
        <v>0.584558823529412</v>
      </c>
      <c r="AB220" s="14" t="n">
        <f aca="false">Z220+AA220</f>
        <v>0.909818339100346</v>
      </c>
      <c r="AC220" s="14" t="n">
        <f aca="false">AA220-Y220</f>
        <v>0.297794117647059</v>
      </c>
      <c r="AD220" s="14" t="n">
        <f aca="false">IF(K220-S220-P220+U220=0,0,(M220-P220)/(K220-S220-P220+U220))</f>
        <v>0.345945945945946</v>
      </c>
      <c r="AE220" s="15" t="n">
        <f aca="false">IF(J220=0,0,R220/J220)</f>
        <v>0.0519031141868512</v>
      </c>
      <c r="AF220" s="15" t="n">
        <f aca="false">IF(J220=0,0,S220/J220)</f>
        <v>0.256055363321799</v>
      </c>
      <c r="AG220" s="11" t="n">
        <f aca="false">IF(J220&gt;=INDEX(球季參數!$E$2:$E$4,MATCH($A220,球季參數!$A$2:$A$4,0)),1,0)</f>
        <v>0</v>
      </c>
    </row>
    <row r="221" customFormat="false" ht="15" hidden="false" customHeight="false" outlineLevel="0" collapsed="false">
      <c r="A221" s="5" t="n">
        <v>2024</v>
      </c>
      <c r="B221" s="7" t="s">
        <v>1335</v>
      </c>
      <c r="C221" s="10" t="str">
        <f aca="false">INDEX(球員主檔!$B$2:$B$749,MATCH($B221,球員主檔!$A$2:$A$749,0))</f>
        <v>Elias Okafor</v>
      </c>
      <c r="D221" s="7" t="s">
        <v>430</v>
      </c>
      <c r="E221" s="10" t="str">
        <f aca="false">INDEX(球隊主檔!$C$2:$C$31,MATCH($D221,球隊主檔!$A$2:$A$31,0))</f>
        <v>辛辛那提紅人</v>
      </c>
      <c r="F221" s="10" t="str">
        <f aca="false">INDEX(球隊主檔!$D$2:$D$31,MATCH($D221,球隊主檔!$A$2:$A$31,0))</f>
        <v>國聯</v>
      </c>
      <c r="G221" s="7" t="s">
        <v>162</v>
      </c>
      <c r="H221" s="11" t="n">
        <f aca="false">INT((DATE($A221,7,1)-INDEX(球員主檔!$G$2:$G$749,MATCH($B221,球員主檔!$A$2:$A$749,0)))/365.25)</f>
        <v>32</v>
      </c>
      <c r="I221" s="12" t="n">
        <v>26</v>
      </c>
      <c r="J221" s="12" t="n">
        <v>117</v>
      </c>
      <c r="K221" s="12" t="n">
        <v>105</v>
      </c>
      <c r="L221" s="12" t="n">
        <v>12</v>
      </c>
      <c r="M221" s="12" t="n">
        <v>23</v>
      </c>
      <c r="N221" s="12" t="n">
        <v>9</v>
      </c>
      <c r="O221" s="12" t="n">
        <v>2</v>
      </c>
      <c r="P221" s="12" t="n">
        <v>1</v>
      </c>
      <c r="Q221" s="12" t="n">
        <v>7</v>
      </c>
      <c r="R221" s="12" t="n">
        <v>9</v>
      </c>
      <c r="S221" s="12" t="n">
        <v>16</v>
      </c>
      <c r="T221" s="12" t="n">
        <v>2</v>
      </c>
      <c r="U221" s="12" t="n">
        <v>1</v>
      </c>
      <c r="V221" s="12" t="n">
        <v>4</v>
      </c>
      <c r="W221" s="12" t="n">
        <v>1</v>
      </c>
      <c r="X221" s="13" t="n">
        <f aca="false">M221+N221+2*O221+3*P221</f>
        <v>39</v>
      </c>
      <c r="Y221" s="14" t="n">
        <f aca="false">IF(K221=0,0,M221/K221)</f>
        <v>0.219047619047619</v>
      </c>
      <c r="Z221" s="14" t="n">
        <f aca="false">IF(K221+R221+T221+U221=0,0,(M221+R221+T221)/(K221+R221+T221+U221))</f>
        <v>0.290598290598291</v>
      </c>
      <c r="AA221" s="14" t="n">
        <f aca="false">IF(K221=0,0,X221/K221)</f>
        <v>0.371428571428571</v>
      </c>
      <c r="AB221" s="14" t="n">
        <f aca="false">Z221+AA221</f>
        <v>0.662026862026862</v>
      </c>
      <c r="AC221" s="14" t="n">
        <f aca="false">AA221-Y221</f>
        <v>0.152380952380952</v>
      </c>
      <c r="AD221" s="14" t="n">
        <f aca="false">IF(K221-S221-P221+U221=0,0,(M221-P221)/(K221-S221-P221+U221))</f>
        <v>0.247191011235955</v>
      </c>
      <c r="AE221" s="15" t="n">
        <f aca="false">IF(J221=0,0,R221/J221)</f>
        <v>0.0769230769230769</v>
      </c>
      <c r="AF221" s="15" t="n">
        <f aca="false">IF(J221=0,0,S221/J221)</f>
        <v>0.136752136752137</v>
      </c>
      <c r="AG221" s="11" t="n">
        <f aca="false">IF(J221&gt;=INDEX(球季參數!$E$2:$E$4,MATCH($A221,球季參數!$A$2:$A$4,0)),1,0)</f>
        <v>0</v>
      </c>
    </row>
    <row r="222" customFormat="false" ht="15" hidden="false" customHeight="false" outlineLevel="0" collapsed="false">
      <c r="A222" s="5" t="n">
        <v>2024</v>
      </c>
      <c r="B222" s="7" t="s">
        <v>1357</v>
      </c>
      <c r="C222" s="10" t="str">
        <f aca="false">INDEX(球員主檔!$B$2:$B$749,MATCH($B222,球員主檔!$A$2:$A$749,0))</f>
        <v>Emilio Jernigan</v>
      </c>
      <c r="D222" s="7" t="s">
        <v>434</v>
      </c>
      <c r="E222" s="10" t="str">
        <f aca="false">INDEX(球隊主檔!$C$2:$C$31,MATCH($D222,球隊主檔!$A$2:$A$31,0))</f>
        <v>密爾瓦基釀酒人</v>
      </c>
      <c r="F222" s="10" t="str">
        <f aca="false">INDEX(球隊主檔!$D$2:$D$31,MATCH($D222,球隊主檔!$A$2:$A$31,0))</f>
        <v>國聯</v>
      </c>
      <c r="G222" s="7" t="s">
        <v>158</v>
      </c>
      <c r="H222" s="11" t="n">
        <f aca="false">INT((DATE($A222,7,1)-INDEX(球員主檔!$G$2:$G$749,MATCH($B222,球員主檔!$A$2:$A$749,0)))/365.25)</f>
        <v>25</v>
      </c>
      <c r="I222" s="12" t="n">
        <v>162</v>
      </c>
      <c r="J222" s="12" t="n">
        <v>659</v>
      </c>
      <c r="K222" s="12" t="n">
        <v>576</v>
      </c>
      <c r="L222" s="12" t="n">
        <v>91</v>
      </c>
      <c r="M222" s="12" t="n">
        <v>151</v>
      </c>
      <c r="N222" s="12" t="n">
        <v>32</v>
      </c>
      <c r="O222" s="12" t="n">
        <v>10</v>
      </c>
      <c r="P222" s="12" t="n">
        <v>16</v>
      </c>
      <c r="Q222" s="12" t="n">
        <v>63</v>
      </c>
      <c r="R222" s="12" t="n">
        <v>69</v>
      </c>
      <c r="S222" s="12" t="n">
        <v>121</v>
      </c>
      <c r="T222" s="12" t="n">
        <v>11</v>
      </c>
      <c r="U222" s="12" t="n">
        <v>3</v>
      </c>
      <c r="V222" s="12" t="n">
        <v>25</v>
      </c>
      <c r="W222" s="12" t="n">
        <v>8</v>
      </c>
      <c r="X222" s="13" t="n">
        <f aca="false">M222+N222+2*O222+3*P222</f>
        <v>251</v>
      </c>
      <c r="Y222" s="14" t="n">
        <f aca="false">IF(K222=0,0,M222/K222)</f>
        <v>0.262152777777778</v>
      </c>
      <c r="Z222" s="14" t="n">
        <f aca="false">IF(K222+R222+T222+U222=0,0,(M222+R222+T222)/(K222+R222+T222+U222))</f>
        <v>0.350531107738999</v>
      </c>
      <c r="AA222" s="14" t="n">
        <f aca="false">IF(K222=0,0,X222/K222)</f>
        <v>0.435763888888889</v>
      </c>
      <c r="AB222" s="14" t="n">
        <f aca="false">Z222+AA222</f>
        <v>0.786294996627887</v>
      </c>
      <c r="AC222" s="14" t="n">
        <f aca="false">AA222-Y222</f>
        <v>0.173611111111111</v>
      </c>
      <c r="AD222" s="14" t="n">
        <f aca="false">IF(K222-S222-P222+U222=0,0,(M222-P222)/(K222-S222-P222+U222))</f>
        <v>0.305429864253394</v>
      </c>
      <c r="AE222" s="15" t="n">
        <f aca="false">IF(J222=0,0,R222/J222)</f>
        <v>0.104704097116844</v>
      </c>
      <c r="AF222" s="15" t="n">
        <f aca="false">IF(J222=0,0,S222/J222)</f>
        <v>0.18361153262519</v>
      </c>
      <c r="AG222" s="11" t="n">
        <f aca="false">IF(J222&gt;=INDEX(球季參數!$E$2:$E$4,MATCH($A222,球季參數!$A$2:$A$4,0)),1,0)</f>
        <v>1</v>
      </c>
    </row>
    <row r="223" customFormat="false" ht="15" hidden="false" customHeight="false" outlineLevel="0" collapsed="false">
      <c r="A223" s="5" t="n">
        <v>2024</v>
      </c>
      <c r="B223" s="7" t="s">
        <v>1359</v>
      </c>
      <c r="C223" s="10" t="str">
        <f aca="false">INDEX(球員主檔!$B$2:$B$749,MATCH($B223,球員主檔!$A$2:$A$749,0))</f>
        <v>Cedric Jovanović</v>
      </c>
      <c r="D223" s="7" t="s">
        <v>434</v>
      </c>
      <c r="E223" s="10" t="str">
        <f aca="false">INDEX(球隊主檔!$C$2:$C$31,MATCH($D223,球隊主檔!$A$2:$A$31,0))</f>
        <v>密爾瓦基釀酒人</v>
      </c>
      <c r="F223" s="10" t="str">
        <f aca="false">INDEX(球隊主檔!$D$2:$D$31,MATCH($D223,球隊主檔!$A$2:$A$31,0))</f>
        <v>國聯</v>
      </c>
      <c r="G223" s="7" t="s">
        <v>478</v>
      </c>
      <c r="H223" s="11" t="n">
        <f aca="false">INT((DATE($A223,7,1)-INDEX(球員主檔!$G$2:$G$749,MATCH($B223,球員主檔!$A$2:$A$749,0)))/365.25)</f>
        <v>33</v>
      </c>
      <c r="I223" s="12" t="n">
        <v>138</v>
      </c>
      <c r="J223" s="12" t="n">
        <v>609</v>
      </c>
      <c r="K223" s="12" t="n">
        <v>556</v>
      </c>
      <c r="L223" s="12" t="n">
        <v>62</v>
      </c>
      <c r="M223" s="12" t="n">
        <v>122</v>
      </c>
      <c r="N223" s="12" t="n">
        <v>33</v>
      </c>
      <c r="O223" s="12" t="n">
        <v>1</v>
      </c>
      <c r="P223" s="12" t="n">
        <v>8</v>
      </c>
      <c r="Q223" s="12" t="n">
        <v>51</v>
      </c>
      <c r="R223" s="12" t="n">
        <v>49</v>
      </c>
      <c r="S223" s="12" t="n">
        <v>95</v>
      </c>
      <c r="T223" s="12" t="n">
        <v>2</v>
      </c>
      <c r="U223" s="12" t="n">
        <v>2</v>
      </c>
      <c r="V223" s="12" t="n">
        <v>23</v>
      </c>
      <c r="W223" s="12" t="n">
        <v>8</v>
      </c>
      <c r="X223" s="13" t="n">
        <f aca="false">M223+N223+2*O223+3*P223</f>
        <v>181</v>
      </c>
      <c r="Y223" s="14" t="n">
        <f aca="false">IF(K223=0,0,M223/K223)</f>
        <v>0.219424460431655</v>
      </c>
      <c r="Z223" s="14" t="n">
        <f aca="false">IF(K223+R223+T223+U223=0,0,(M223+R223+T223)/(K223+R223+T223+U223))</f>
        <v>0.284072249589491</v>
      </c>
      <c r="AA223" s="14" t="n">
        <f aca="false">IF(K223=0,0,X223/K223)</f>
        <v>0.325539568345324</v>
      </c>
      <c r="AB223" s="14" t="n">
        <f aca="false">Z223+AA223</f>
        <v>0.609611817934815</v>
      </c>
      <c r="AC223" s="14" t="n">
        <f aca="false">AA223-Y223</f>
        <v>0.106115107913669</v>
      </c>
      <c r="AD223" s="14" t="n">
        <f aca="false">IF(K223-S223-P223+U223=0,0,(M223-P223)/(K223-S223-P223+U223))</f>
        <v>0.250549450549451</v>
      </c>
      <c r="AE223" s="15" t="n">
        <f aca="false">IF(J223=0,0,R223/J223)</f>
        <v>0.0804597701149425</v>
      </c>
      <c r="AF223" s="15" t="n">
        <f aca="false">IF(J223=0,0,S223/J223)</f>
        <v>0.155993431855501</v>
      </c>
      <c r="AG223" s="11" t="n">
        <f aca="false">IF(J223&gt;=INDEX(球季參數!$E$2:$E$4,MATCH($A223,球季參數!$A$2:$A$4,0)),1,0)</f>
        <v>1</v>
      </c>
    </row>
    <row r="224" customFormat="false" ht="15" hidden="false" customHeight="false" outlineLevel="0" collapsed="false">
      <c r="A224" s="5" t="n">
        <v>2024</v>
      </c>
      <c r="B224" s="7" t="s">
        <v>1361</v>
      </c>
      <c r="C224" s="10" t="str">
        <f aca="false">INDEX(球員主檔!$B$2:$B$749,MATCH($B224,球員主檔!$A$2:$A$749,0))</f>
        <v>Lorenzo Brightwell</v>
      </c>
      <c r="D224" s="7" t="s">
        <v>434</v>
      </c>
      <c r="E224" s="10" t="str">
        <f aca="false">INDEX(球隊主檔!$C$2:$C$31,MATCH($D224,球隊主檔!$A$2:$A$31,0))</f>
        <v>密爾瓦基釀酒人</v>
      </c>
      <c r="F224" s="10" t="str">
        <f aca="false">INDEX(球隊主檔!$D$2:$D$31,MATCH($D224,球隊主檔!$A$2:$A$31,0))</f>
        <v>國聯</v>
      </c>
      <c r="G224" s="7" t="s">
        <v>158</v>
      </c>
      <c r="H224" s="11" t="n">
        <f aca="false">INT((DATE($A224,7,1)-INDEX(球員主檔!$G$2:$G$749,MATCH($B224,球員主檔!$A$2:$A$749,0)))/365.25)</f>
        <v>32</v>
      </c>
      <c r="I224" s="12" t="n">
        <v>145</v>
      </c>
      <c r="J224" s="12" t="n">
        <v>655</v>
      </c>
      <c r="K224" s="12" t="n">
        <v>539</v>
      </c>
      <c r="L224" s="12" t="n">
        <v>72</v>
      </c>
      <c r="M224" s="12" t="n">
        <v>130</v>
      </c>
      <c r="N224" s="12" t="n">
        <v>25</v>
      </c>
      <c r="O224" s="12" t="n">
        <v>9</v>
      </c>
      <c r="P224" s="12" t="n">
        <v>23</v>
      </c>
      <c r="Q224" s="12" t="n">
        <v>70</v>
      </c>
      <c r="R224" s="12" t="n">
        <v>99</v>
      </c>
      <c r="S224" s="12" t="n">
        <v>108</v>
      </c>
      <c r="T224" s="12" t="n">
        <v>11</v>
      </c>
      <c r="U224" s="12" t="n">
        <v>6</v>
      </c>
      <c r="V224" s="12" t="n">
        <v>5</v>
      </c>
      <c r="W224" s="12" t="n">
        <v>1</v>
      </c>
      <c r="X224" s="13" t="n">
        <f aca="false">M224+N224+2*O224+3*P224</f>
        <v>242</v>
      </c>
      <c r="Y224" s="14" t="n">
        <f aca="false">IF(K224=0,0,M224/K224)</f>
        <v>0.241187384044527</v>
      </c>
      <c r="Z224" s="14" t="n">
        <f aca="false">IF(K224+R224+T224+U224=0,0,(M224+R224+T224)/(K224+R224+T224+U224))</f>
        <v>0.366412213740458</v>
      </c>
      <c r="AA224" s="14" t="n">
        <f aca="false">IF(K224=0,0,X224/K224)</f>
        <v>0.448979591836735</v>
      </c>
      <c r="AB224" s="14" t="n">
        <f aca="false">Z224+AA224</f>
        <v>0.815391805577193</v>
      </c>
      <c r="AC224" s="14" t="n">
        <f aca="false">AA224-Y224</f>
        <v>0.207792207792208</v>
      </c>
      <c r="AD224" s="14" t="n">
        <f aca="false">IF(K224-S224-P224+U224=0,0,(M224-P224)/(K224-S224-P224+U224))</f>
        <v>0.258454106280193</v>
      </c>
      <c r="AE224" s="15" t="n">
        <f aca="false">IF(J224=0,0,R224/J224)</f>
        <v>0.151145038167939</v>
      </c>
      <c r="AF224" s="15" t="n">
        <f aca="false">IF(J224=0,0,S224/J224)</f>
        <v>0.164885496183206</v>
      </c>
      <c r="AG224" s="11" t="n">
        <f aca="false">IF(J224&gt;=INDEX(球季參數!$E$2:$E$4,MATCH($A224,球季參數!$A$2:$A$4,0)),1,0)</f>
        <v>1</v>
      </c>
    </row>
    <row r="225" customFormat="false" ht="15" hidden="false" customHeight="false" outlineLevel="0" collapsed="false">
      <c r="A225" s="5" t="n">
        <v>2024</v>
      </c>
      <c r="B225" s="7" t="s">
        <v>1363</v>
      </c>
      <c r="C225" s="10" t="str">
        <f aca="false">INDEX(球員主檔!$B$2:$B$749,MATCH($B225,球員主檔!$A$2:$A$749,0))</f>
        <v>Jedidiah Hargreaves</v>
      </c>
      <c r="D225" s="7" t="s">
        <v>434</v>
      </c>
      <c r="E225" s="10" t="str">
        <f aca="false">INDEX(球隊主檔!$C$2:$C$31,MATCH($D225,球隊主檔!$A$2:$A$31,0))</f>
        <v>密爾瓦基釀酒人</v>
      </c>
      <c r="F225" s="10" t="str">
        <f aca="false">INDEX(球隊主檔!$D$2:$D$31,MATCH($D225,球隊主檔!$A$2:$A$31,0))</f>
        <v>國聯</v>
      </c>
      <c r="G225" s="7" t="s">
        <v>522</v>
      </c>
      <c r="H225" s="11" t="n">
        <f aca="false">INT((DATE($A225,7,1)-INDEX(球員主檔!$G$2:$G$749,MATCH($B225,球員主檔!$A$2:$A$749,0)))/365.25)</f>
        <v>22</v>
      </c>
      <c r="I225" s="12" t="n">
        <v>162</v>
      </c>
      <c r="J225" s="12" t="n">
        <v>688</v>
      </c>
      <c r="K225" s="12" t="n">
        <v>592</v>
      </c>
      <c r="L225" s="12" t="n">
        <v>111</v>
      </c>
      <c r="M225" s="12" t="n">
        <v>158</v>
      </c>
      <c r="N225" s="12" t="n">
        <v>19</v>
      </c>
      <c r="O225" s="12" t="n">
        <v>4</v>
      </c>
      <c r="P225" s="12" t="n">
        <v>40</v>
      </c>
      <c r="Q225" s="12" t="n">
        <v>116</v>
      </c>
      <c r="R225" s="12" t="n">
        <v>87</v>
      </c>
      <c r="S225" s="12" t="n">
        <v>199</v>
      </c>
      <c r="T225" s="12" t="n">
        <v>2</v>
      </c>
      <c r="U225" s="12" t="n">
        <v>7</v>
      </c>
      <c r="V225" s="12" t="n">
        <v>6</v>
      </c>
      <c r="W225" s="12" t="n">
        <v>2</v>
      </c>
      <c r="X225" s="13" t="n">
        <f aca="false">M225+N225+2*O225+3*P225</f>
        <v>305</v>
      </c>
      <c r="Y225" s="14" t="n">
        <f aca="false">IF(K225=0,0,M225/K225)</f>
        <v>0.266891891891892</v>
      </c>
      <c r="Z225" s="14" t="n">
        <f aca="false">IF(K225+R225+T225+U225=0,0,(M225+R225+T225)/(K225+R225+T225+U225))</f>
        <v>0.359011627906977</v>
      </c>
      <c r="AA225" s="14" t="n">
        <f aca="false">IF(K225=0,0,X225/K225)</f>
        <v>0.515202702702703</v>
      </c>
      <c r="AB225" s="14" t="n">
        <f aca="false">Z225+AA225</f>
        <v>0.87421433060968</v>
      </c>
      <c r="AC225" s="14" t="n">
        <f aca="false">AA225-Y225</f>
        <v>0.248310810810811</v>
      </c>
      <c r="AD225" s="14" t="n">
        <f aca="false">IF(K225-S225-P225+U225=0,0,(M225-P225)/(K225-S225-P225+U225))</f>
        <v>0.327777777777778</v>
      </c>
      <c r="AE225" s="15" t="n">
        <f aca="false">IF(J225=0,0,R225/J225)</f>
        <v>0.126453488372093</v>
      </c>
      <c r="AF225" s="15" t="n">
        <f aca="false">IF(J225=0,0,S225/J225)</f>
        <v>0.289244186046512</v>
      </c>
      <c r="AG225" s="11" t="n">
        <f aca="false">IF(J225&gt;=INDEX(球季參數!$E$2:$E$4,MATCH($A225,球季參數!$A$2:$A$4,0)),1,0)</f>
        <v>1</v>
      </c>
    </row>
    <row r="226" customFormat="false" ht="15" hidden="false" customHeight="false" outlineLevel="0" collapsed="false">
      <c r="A226" s="5" t="n">
        <v>2024</v>
      </c>
      <c r="B226" s="7" t="s">
        <v>1365</v>
      </c>
      <c r="C226" s="10" t="str">
        <f aca="false">INDEX(球員主檔!$B$2:$B$749,MATCH($B226,球員主檔!$A$2:$A$749,0))</f>
        <v>Konrad Thorsby</v>
      </c>
      <c r="D226" s="7" t="s">
        <v>434</v>
      </c>
      <c r="E226" s="10" t="str">
        <f aca="false">INDEX(球隊主檔!$C$2:$C$31,MATCH($D226,球隊主檔!$A$2:$A$31,0))</f>
        <v>密爾瓦基釀酒人</v>
      </c>
      <c r="F226" s="10" t="str">
        <f aca="false">INDEX(球隊主檔!$D$2:$D$31,MATCH($D226,球隊主檔!$A$2:$A$31,0))</f>
        <v>國聯</v>
      </c>
      <c r="G226" s="7" t="s">
        <v>483</v>
      </c>
      <c r="H226" s="11" t="n">
        <f aca="false">INT((DATE($A226,7,1)-INDEX(球員主檔!$G$2:$G$749,MATCH($B226,球員主檔!$A$2:$A$749,0)))/365.25)</f>
        <v>28</v>
      </c>
      <c r="I226" s="12" t="n">
        <v>142</v>
      </c>
      <c r="J226" s="12" t="n">
        <v>613</v>
      </c>
      <c r="K226" s="12" t="n">
        <v>567</v>
      </c>
      <c r="L226" s="12" t="n">
        <v>72</v>
      </c>
      <c r="M226" s="12" t="n">
        <v>118</v>
      </c>
      <c r="N226" s="12" t="n">
        <v>27</v>
      </c>
      <c r="O226" s="12" t="n">
        <v>4</v>
      </c>
      <c r="P226" s="12" t="n">
        <v>27</v>
      </c>
      <c r="Q226" s="12" t="n">
        <v>93</v>
      </c>
      <c r="R226" s="12" t="n">
        <v>33</v>
      </c>
      <c r="S226" s="12" t="n">
        <v>164</v>
      </c>
      <c r="T226" s="12" t="n">
        <v>6</v>
      </c>
      <c r="U226" s="12" t="n">
        <v>7</v>
      </c>
      <c r="V226" s="12" t="n">
        <v>20</v>
      </c>
      <c r="W226" s="12" t="n">
        <v>3</v>
      </c>
      <c r="X226" s="13" t="n">
        <f aca="false">M226+N226+2*O226+3*P226</f>
        <v>234</v>
      </c>
      <c r="Y226" s="14" t="n">
        <f aca="false">IF(K226=0,0,M226/K226)</f>
        <v>0.208112874779541</v>
      </c>
      <c r="Z226" s="14" t="n">
        <f aca="false">IF(K226+R226+T226+U226=0,0,(M226+R226+T226)/(K226+R226+T226+U226))</f>
        <v>0.256117455138662</v>
      </c>
      <c r="AA226" s="14" t="n">
        <f aca="false">IF(K226=0,0,X226/K226)</f>
        <v>0.412698412698413</v>
      </c>
      <c r="AB226" s="14" t="n">
        <f aca="false">Z226+AA226</f>
        <v>0.668815867837075</v>
      </c>
      <c r="AC226" s="14" t="n">
        <f aca="false">AA226-Y226</f>
        <v>0.204585537918871</v>
      </c>
      <c r="AD226" s="14" t="n">
        <f aca="false">IF(K226-S226-P226+U226=0,0,(M226-P226)/(K226-S226-P226+U226))</f>
        <v>0.237597911227154</v>
      </c>
      <c r="AE226" s="15" t="n">
        <f aca="false">IF(J226=0,0,R226/J226)</f>
        <v>0.0538336052202284</v>
      </c>
      <c r="AF226" s="15" t="n">
        <f aca="false">IF(J226=0,0,S226/J226)</f>
        <v>0.267536704730832</v>
      </c>
      <c r="AG226" s="11" t="n">
        <f aca="false">IF(J226&gt;=INDEX(球季參數!$E$2:$E$4,MATCH($A226,球季參數!$A$2:$A$4,0)),1,0)</f>
        <v>1</v>
      </c>
    </row>
    <row r="227" customFormat="false" ht="15" hidden="false" customHeight="false" outlineLevel="0" collapsed="false">
      <c r="A227" s="5" t="n">
        <v>2024</v>
      </c>
      <c r="B227" s="7" t="s">
        <v>1367</v>
      </c>
      <c r="C227" s="10" t="str">
        <f aca="false">INDEX(球員主檔!$B$2:$B$749,MATCH($B227,球員主檔!$A$2:$A$749,0))</f>
        <v>Lucien Marchetti</v>
      </c>
      <c r="D227" s="7" t="s">
        <v>434</v>
      </c>
      <c r="E227" s="10" t="str">
        <f aca="false">INDEX(球隊主檔!$C$2:$C$31,MATCH($D227,球隊主檔!$A$2:$A$31,0))</f>
        <v>密爾瓦基釀酒人</v>
      </c>
      <c r="F227" s="10" t="str">
        <f aca="false">INDEX(球隊主檔!$D$2:$D$31,MATCH($D227,球隊主檔!$A$2:$A$31,0))</f>
        <v>國聯</v>
      </c>
      <c r="G227" s="7" t="s">
        <v>486</v>
      </c>
      <c r="H227" s="11" t="n">
        <f aca="false">INT((DATE($A227,7,1)-INDEX(球員主檔!$G$2:$G$749,MATCH($B227,球員主檔!$A$2:$A$749,0)))/365.25)</f>
        <v>24</v>
      </c>
      <c r="I227" s="12" t="n">
        <v>102</v>
      </c>
      <c r="J227" s="12" t="n">
        <v>449</v>
      </c>
      <c r="K227" s="12" t="n">
        <v>391</v>
      </c>
      <c r="L227" s="12" t="n">
        <v>49</v>
      </c>
      <c r="M227" s="12" t="n">
        <v>114</v>
      </c>
      <c r="N227" s="12" t="n">
        <v>12</v>
      </c>
      <c r="O227" s="12" t="n">
        <v>7</v>
      </c>
      <c r="P227" s="12" t="n">
        <v>4</v>
      </c>
      <c r="Q227" s="12" t="n">
        <v>33</v>
      </c>
      <c r="R227" s="12" t="n">
        <v>51</v>
      </c>
      <c r="S227" s="12" t="n">
        <v>83</v>
      </c>
      <c r="T227" s="12" t="n">
        <v>2</v>
      </c>
      <c r="U227" s="12" t="n">
        <v>5</v>
      </c>
      <c r="V227" s="12" t="n">
        <v>3</v>
      </c>
      <c r="W227" s="12" t="n">
        <v>0</v>
      </c>
      <c r="X227" s="13" t="n">
        <f aca="false">M227+N227+2*O227+3*P227</f>
        <v>152</v>
      </c>
      <c r="Y227" s="14" t="n">
        <f aca="false">IF(K227=0,0,M227/K227)</f>
        <v>0.29156010230179</v>
      </c>
      <c r="Z227" s="14" t="n">
        <f aca="false">IF(K227+R227+T227+U227=0,0,(M227+R227+T227)/(K227+R227+T227+U227))</f>
        <v>0.371937639198218</v>
      </c>
      <c r="AA227" s="14" t="n">
        <f aca="false">IF(K227=0,0,X227/K227)</f>
        <v>0.388746803069054</v>
      </c>
      <c r="AB227" s="14" t="n">
        <f aca="false">Z227+AA227</f>
        <v>0.760684442267272</v>
      </c>
      <c r="AC227" s="14" t="n">
        <f aca="false">AA227-Y227</f>
        <v>0.0971867007672634</v>
      </c>
      <c r="AD227" s="14" t="n">
        <f aca="false">IF(K227-S227-P227+U227=0,0,(M227-P227)/(K227-S227-P227+U227))</f>
        <v>0.355987055016181</v>
      </c>
      <c r="AE227" s="15" t="n">
        <f aca="false">IF(J227=0,0,R227/J227)</f>
        <v>0.11358574610245</v>
      </c>
      <c r="AF227" s="15" t="n">
        <f aca="false">IF(J227=0,0,S227/J227)</f>
        <v>0.184855233853007</v>
      </c>
      <c r="AG227" s="11" t="n">
        <f aca="false">IF(J227&gt;=INDEX(球季參數!$E$2:$E$4,MATCH($A227,球季參數!$A$2:$A$4,0)),1,0)</f>
        <v>0</v>
      </c>
    </row>
    <row r="228" customFormat="false" ht="15" hidden="false" customHeight="false" outlineLevel="0" collapsed="false">
      <c r="A228" s="5" t="n">
        <v>2024</v>
      </c>
      <c r="B228" s="7" t="s">
        <v>1369</v>
      </c>
      <c r="C228" s="10" t="str">
        <f aca="false">INDEX(球員主檔!$B$2:$B$749,MATCH($B228,球員主檔!$A$2:$A$749,0))</f>
        <v>Hugo Underhill</v>
      </c>
      <c r="D228" s="7" t="s">
        <v>434</v>
      </c>
      <c r="E228" s="10" t="str">
        <f aca="false">INDEX(球隊主檔!$C$2:$C$31,MATCH($D228,球隊主檔!$A$2:$A$31,0))</f>
        <v>密爾瓦基釀酒人</v>
      </c>
      <c r="F228" s="10" t="str">
        <f aca="false">INDEX(球隊主檔!$D$2:$D$31,MATCH($D228,球隊主檔!$A$2:$A$31,0))</f>
        <v>國聯</v>
      </c>
      <c r="G228" s="7" t="s">
        <v>483</v>
      </c>
      <c r="H228" s="11" t="n">
        <f aca="false">INT((DATE($A228,7,1)-INDEX(球員主檔!$G$2:$G$749,MATCH($B228,球員主檔!$A$2:$A$749,0)))/365.25)</f>
        <v>27</v>
      </c>
      <c r="I228" s="12" t="n">
        <v>94</v>
      </c>
      <c r="J228" s="12" t="n">
        <v>377</v>
      </c>
      <c r="K228" s="12" t="n">
        <v>327</v>
      </c>
      <c r="L228" s="12" t="n">
        <v>40</v>
      </c>
      <c r="M228" s="12" t="n">
        <v>69</v>
      </c>
      <c r="N228" s="12" t="n">
        <v>10</v>
      </c>
      <c r="O228" s="12" t="n">
        <v>8</v>
      </c>
      <c r="P228" s="12" t="n">
        <v>14</v>
      </c>
      <c r="Q228" s="12" t="n">
        <v>37</v>
      </c>
      <c r="R228" s="12" t="n">
        <v>44</v>
      </c>
      <c r="S228" s="12" t="n">
        <v>65</v>
      </c>
      <c r="T228" s="12" t="n">
        <v>3</v>
      </c>
      <c r="U228" s="12" t="n">
        <v>3</v>
      </c>
      <c r="V228" s="12" t="n">
        <v>19</v>
      </c>
      <c r="W228" s="12" t="n">
        <v>2</v>
      </c>
      <c r="X228" s="13" t="n">
        <f aca="false">M228+N228+2*O228+3*P228</f>
        <v>137</v>
      </c>
      <c r="Y228" s="14" t="n">
        <f aca="false">IF(K228=0,0,M228/K228)</f>
        <v>0.211009174311927</v>
      </c>
      <c r="Z228" s="14" t="n">
        <f aca="false">IF(K228+R228+T228+U228=0,0,(M228+R228+T228)/(K228+R228+T228+U228))</f>
        <v>0.307692307692308</v>
      </c>
      <c r="AA228" s="14" t="n">
        <f aca="false">IF(K228=0,0,X228/K228)</f>
        <v>0.418960244648318</v>
      </c>
      <c r="AB228" s="14" t="n">
        <f aca="false">Z228+AA228</f>
        <v>0.726652552340626</v>
      </c>
      <c r="AC228" s="14" t="n">
        <f aca="false">AA228-Y228</f>
        <v>0.207951070336391</v>
      </c>
      <c r="AD228" s="14" t="n">
        <f aca="false">IF(K228-S228-P228+U228=0,0,(M228-P228)/(K228-S228-P228+U228))</f>
        <v>0.219123505976096</v>
      </c>
      <c r="AE228" s="15" t="n">
        <f aca="false">IF(J228=0,0,R228/J228)</f>
        <v>0.116710875331565</v>
      </c>
      <c r="AF228" s="15" t="n">
        <f aca="false">IF(J228=0,0,S228/J228)</f>
        <v>0.172413793103448</v>
      </c>
      <c r="AG228" s="11" t="n">
        <f aca="false">IF(J228&gt;=INDEX(球季參數!$E$2:$E$4,MATCH($A228,球季參數!$A$2:$A$4,0)),1,0)</f>
        <v>0</v>
      </c>
    </row>
    <row r="229" customFormat="false" ht="15" hidden="false" customHeight="false" outlineLevel="0" collapsed="false">
      <c r="A229" s="5" t="n">
        <v>2024</v>
      </c>
      <c r="B229" s="7" t="s">
        <v>1371</v>
      </c>
      <c r="C229" s="10" t="str">
        <f aca="false">INDEX(球員主檔!$B$2:$B$749,MATCH($B229,球員主檔!$A$2:$A$749,0))</f>
        <v>Thiago Jernigan</v>
      </c>
      <c r="D229" s="7" t="s">
        <v>434</v>
      </c>
      <c r="E229" s="10" t="str">
        <f aca="false">INDEX(球隊主檔!$C$2:$C$31,MATCH($D229,球隊主檔!$A$2:$A$31,0))</f>
        <v>密爾瓦基釀酒人</v>
      </c>
      <c r="F229" s="10" t="str">
        <f aca="false">INDEX(球隊主檔!$D$2:$D$31,MATCH($D229,球隊主檔!$A$2:$A$31,0))</f>
        <v>國聯</v>
      </c>
      <c r="G229" s="7" t="s">
        <v>63</v>
      </c>
      <c r="H229" s="11" t="n">
        <f aca="false">INT((DATE($A229,7,1)-INDEX(球員主檔!$G$2:$G$749,MATCH($B229,球員主檔!$A$2:$A$749,0)))/365.25)</f>
        <v>27</v>
      </c>
      <c r="I229" s="12" t="n">
        <v>105</v>
      </c>
      <c r="J229" s="12" t="n">
        <v>468</v>
      </c>
      <c r="K229" s="12" t="n">
        <v>421</v>
      </c>
      <c r="L229" s="12" t="n">
        <v>66</v>
      </c>
      <c r="M229" s="12" t="n">
        <v>112</v>
      </c>
      <c r="N229" s="12" t="n">
        <v>21</v>
      </c>
      <c r="O229" s="12" t="n">
        <v>6</v>
      </c>
      <c r="P229" s="12" t="n">
        <v>14</v>
      </c>
      <c r="Q229" s="12" t="n">
        <v>56</v>
      </c>
      <c r="R229" s="12" t="n">
        <v>38</v>
      </c>
      <c r="S229" s="12" t="n">
        <v>135</v>
      </c>
      <c r="T229" s="12" t="n">
        <v>7</v>
      </c>
      <c r="U229" s="12" t="n">
        <v>2</v>
      </c>
      <c r="V229" s="12" t="n">
        <v>8</v>
      </c>
      <c r="W229" s="12" t="n">
        <v>1</v>
      </c>
      <c r="X229" s="13" t="n">
        <f aca="false">M229+N229+2*O229+3*P229</f>
        <v>187</v>
      </c>
      <c r="Y229" s="14" t="n">
        <f aca="false">IF(K229=0,0,M229/K229)</f>
        <v>0.26603325415677</v>
      </c>
      <c r="Z229" s="14" t="n">
        <f aca="false">IF(K229+R229+T229+U229=0,0,(M229+R229+T229)/(K229+R229+T229+U229))</f>
        <v>0.335470085470085</v>
      </c>
      <c r="AA229" s="14" t="n">
        <f aca="false">IF(K229=0,0,X229/K229)</f>
        <v>0.444180522565321</v>
      </c>
      <c r="AB229" s="14" t="n">
        <f aca="false">Z229+AA229</f>
        <v>0.779650608035406</v>
      </c>
      <c r="AC229" s="14" t="n">
        <f aca="false">AA229-Y229</f>
        <v>0.178147268408551</v>
      </c>
      <c r="AD229" s="14" t="n">
        <f aca="false">IF(K229-S229-P229+U229=0,0,(M229-P229)/(K229-S229-P229+U229))</f>
        <v>0.357664233576642</v>
      </c>
      <c r="AE229" s="15" t="n">
        <f aca="false">IF(J229=0,0,R229/J229)</f>
        <v>0.0811965811965812</v>
      </c>
      <c r="AF229" s="15" t="n">
        <f aca="false">IF(J229=0,0,S229/J229)</f>
        <v>0.288461538461538</v>
      </c>
      <c r="AG229" s="11" t="n">
        <f aca="false">IF(J229&gt;=INDEX(球季參數!$E$2:$E$4,MATCH($A229,球季參數!$A$2:$A$4,0)),1,0)</f>
        <v>0</v>
      </c>
    </row>
    <row r="230" customFormat="false" ht="15" hidden="false" customHeight="false" outlineLevel="0" collapsed="false">
      <c r="A230" s="5" t="n">
        <v>2024</v>
      </c>
      <c r="B230" s="7" t="s">
        <v>1373</v>
      </c>
      <c r="C230" s="10" t="str">
        <f aca="false">INDEX(球員主檔!$B$2:$B$749,MATCH($B230,球員主檔!$A$2:$A$749,0))</f>
        <v>Thaddeus Villalobos</v>
      </c>
      <c r="D230" s="7" t="s">
        <v>434</v>
      </c>
      <c r="E230" s="10" t="str">
        <f aca="false">INDEX(球隊主檔!$C$2:$C$31,MATCH($D230,球隊主檔!$A$2:$A$31,0))</f>
        <v>密爾瓦基釀酒人</v>
      </c>
      <c r="F230" s="10" t="str">
        <f aca="false">INDEX(球隊主檔!$D$2:$D$31,MATCH($D230,球隊主檔!$A$2:$A$31,0))</f>
        <v>國聯</v>
      </c>
      <c r="G230" s="7" t="s">
        <v>470</v>
      </c>
      <c r="H230" s="11" t="n">
        <f aca="false">INT((DATE($A230,7,1)-INDEX(球員主檔!$G$2:$G$749,MATCH($B230,球員主檔!$A$2:$A$749,0)))/365.25)</f>
        <v>28</v>
      </c>
      <c r="I230" s="12" t="n">
        <v>65</v>
      </c>
      <c r="J230" s="12" t="n">
        <v>267</v>
      </c>
      <c r="K230" s="12" t="n">
        <v>239</v>
      </c>
      <c r="L230" s="12" t="n">
        <v>37</v>
      </c>
      <c r="M230" s="12" t="n">
        <v>69</v>
      </c>
      <c r="N230" s="12" t="n">
        <v>29</v>
      </c>
      <c r="O230" s="12" t="n">
        <v>7</v>
      </c>
      <c r="P230" s="12" t="n">
        <v>6</v>
      </c>
      <c r="Q230" s="12" t="n">
        <v>26</v>
      </c>
      <c r="R230" s="12" t="n">
        <v>23</v>
      </c>
      <c r="S230" s="12" t="n">
        <v>70</v>
      </c>
      <c r="T230" s="12" t="n">
        <v>2</v>
      </c>
      <c r="U230" s="12" t="n">
        <v>3</v>
      </c>
      <c r="V230" s="12" t="n">
        <v>8</v>
      </c>
      <c r="W230" s="12" t="n">
        <v>2</v>
      </c>
      <c r="X230" s="13" t="n">
        <f aca="false">M230+N230+2*O230+3*P230</f>
        <v>130</v>
      </c>
      <c r="Y230" s="14" t="n">
        <f aca="false">IF(K230=0,0,M230/K230)</f>
        <v>0.288702928870293</v>
      </c>
      <c r="Z230" s="14" t="n">
        <f aca="false">IF(K230+R230+T230+U230=0,0,(M230+R230+T230)/(K230+R230+T230+U230))</f>
        <v>0.352059925093633</v>
      </c>
      <c r="AA230" s="14" t="n">
        <f aca="false">IF(K230=0,0,X230/K230)</f>
        <v>0.543933054393305</v>
      </c>
      <c r="AB230" s="14" t="n">
        <f aca="false">Z230+AA230</f>
        <v>0.895992979486938</v>
      </c>
      <c r="AC230" s="14" t="n">
        <f aca="false">AA230-Y230</f>
        <v>0.255230125523013</v>
      </c>
      <c r="AD230" s="14" t="n">
        <f aca="false">IF(K230-S230-P230+U230=0,0,(M230-P230)/(K230-S230-P230+U230))</f>
        <v>0.379518072289157</v>
      </c>
      <c r="AE230" s="15" t="n">
        <f aca="false">IF(J230=0,0,R230/J230)</f>
        <v>0.0861423220973783</v>
      </c>
      <c r="AF230" s="15" t="n">
        <f aca="false">IF(J230=0,0,S230/J230)</f>
        <v>0.262172284644195</v>
      </c>
      <c r="AG230" s="11" t="n">
        <f aca="false">IF(J230&gt;=INDEX(球季參數!$E$2:$E$4,MATCH($A230,球季參數!$A$2:$A$4,0)),1,0)</f>
        <v>0</v>
      </c>
    </row>
    <row r="231" customFormat="false" ht="15" hidden="false" customHeight="false" outlineLevel="0" collapsed="false">
      <c r="A231" s="5" t="n">
        <v>2024</v>
      </c>
      <c r="B231" s="7" t="s">
        <v>1375</v>
      </c>
      <c r="C231" s="10" t="str">
        <f aca="false">INDEX(球員主檔!$B$2:$B$749,MATCH($B231,球員主檔!$A$2:$A$749,0))</f>
        <v>Mateo Caldera</v>
      </c>
      <c r="D231" s="7" t="s">
        <v>434</v>
      </c>
      <c r="E231" s="10" t="str">
        <f aca="false">INDEX(球隊主檔!$C$2:$C$31,MATCH($D231,球隊主檔!$A$2:$A$31,0))</f>
        <v>密爾瓦基釀酒人</v>
      </c>
      <c r="F231" s="10" t="str">
        <f aca="false">INDEX(球隊主檔!$D$2:$D$31,MATCH($D231,球隊主檔!$A$2:$A$31,0))</f>
        <v>國聯</v>
      </c>
      <c r="G231" s="7" t="s">
        <v>473</v>
      </c>
      <c r="H231" s="11" t="n">
        <f aca="false">INT((DATE($A231,7,1)-INDEX(球員主檔!$G$2:$G$749,MATCH($B231,球員主檔!$A$2:$A$749,0)))/365.25)</f>
        <v>32</v>
      </c>
      <c r="I231" s="12" t="n">
        <v>76</v>
      </c>
      <c r="J231" s="12" t="n">
        <v>325</v>
      </c>
      <c r="K231" s="12" t="n">
        <v>282</v>
      </c>
      <c r="L231" s="12" t="n">
        <v>40</v>
      </c>
      <c r="M231" s="12" t="n">
        <v>71</v>
      </c>
      <c r="N231" s="12" t="n">
        <v>23</v>
      </c>
      <c r="O231" s="12" t="n">
        <v>6</v>
      </c>
      <c r="P231" s="12" t="n">
        <v>7</v>
      </c>
      <c r="Q231" s="12" t="n">
        <v>32</v>
      </c>
      <c r="R231" s="12" t="n">
        <v>34</v>
      </c>
      <c r="S231" s="12" t="n">
        <v>55</v>
      </c>
      <c r="T231" s="12" t="n">
        <v>5</v>
      </c>
      <c r="U231" s="12" t="n">
        <v>4</v>
      </c>
      <c r="V231" s="12" t="n">
        <v>5</v>
      </c>
      <c r="W231" s="12" t="n">
        <v>1</v>
      </c>
      <c r="X231" s="13" t="n">
        <f aca="false">M231+N231+2*O231+3*P231</f>
        <v>127</v>
      </c>
      <c r="Y231" s="14" t="n">
        <f aca="false">IF(K231=0,0,M231/K231)</f>
        <v>0.25177304964539</v>
      </c>
      <c r="Z231" s="14" t="n">
        <f aca="false">IF(K231+R231+T231+U231=0,0,(M231+R231+T231)/(K231+R231+T231+U231))</f>
        <v>0.338461538461539</v>
      </c>
      <c r="AA231" s="14" t="n">
        <f aca="false">IF(K231=0,0,X231/K231)</f>
        <v>0.450354609929078</v>
      </c>
      <c r="AB231" s="14" t="n">
        <f aca="false">Z231+AA231</f>
        <v>0.788816148390616</v>
      </c>
      <c r="AC231" s="14" t="n">
        <f aca="false">AA231-Y231</f>
        <v>0.198581560283688</v>
      </c>
      <c r="AD231" s="14" t="n">
        <f aca="false">IF(K231-S231-P231+U231=0,0,(M231-P231)/(K231-S231-P231+U231))</f>
        <v>0.285714285714286</v>
      </c>
      <c r="AE231" s="15" t="n">
        <f aca="false">IF(J231=0,0,R231/J231)</f>
        <v>0.104615384615385</v>
      </c>
      <c r="AF231" s="15" t="n">
        <f aca="false">IF(J231=0,0,S231/J231)</f>
        <v>0.169230769230769</v>
      </c>
      <c r="AG231" s="11" t="n">
        <f aca="false">IF(J231&gt;=INDEX(球季參數!$E$2:$E$4,MATCH($A231,球季參數!$A$2:$A$4,0)),1,0)</f>
        <v>0</v>
      </c>
    </row>
    <row r="232" customFormat="false" ht="15" hidden="false" customHeight="false" outlineLevel="0" collapsed="false">
      <c r="A232" s="5" t="n">
        <v>2024</v>
      </c>
      <c r="B232" s="7" t="s">
        <v>1397</v>
      </c>
      <c r="C232" s="10" t="str">
        <f aca="false">INDEX(球員主檔!$B$2:$B$749,MATCH($B232,球員主檔!$A$2:$A$749,0))</f>
        <v>Konrad Yamazaki</v>
      </c>
      <c r="D232" s="7" t="s">
        <v>438</v>
      </c>
      <c r="E232" s="10" t="str">
        <f aca="false">INDEX(球隊主檔!$C$2:$C$31,MATCH($D232,球隊主檔!$A$2:$A$31,0))</f>
        <v>匹茲堡海盜</v>
      </c>
      <c r="F232" s="10" t="str">
        <f aca="false">INDEX(球隊主檔!$D$2:$D$31,MATCH($D232,球隊主檔!$A$2:$A$31,0))</f>
        <v>國聯</v>
      </c>
      <c r="G232" s="7" t="s">
        <v>473</v>
      </c>
      <c r="H232" s="11" t="n">
        <f aca="false">INT((DATE($A232,7,1)-INDEX(球員主檔!$G$2:$G$749,MATCH($B232,球員主檔!$A$2:$A$749,0)))/365.25)</f>
        <v>29</v>
      </c>
      <c r="I232" s="12" t="n">
        <v>136</v>
      </c>
      <c r="J232" s="12" t="n">
        <v>611</v>
      </c>
      <c r="K232" s="12" t="n">
        <v>572</v>
      </c>
      <c r="L232" s="12" t="n">
        <v>78</v>
      </c>
      <c r="M232" s="12" t="n">
        <v>168</v>
      </c>
      <c r="N232" s="12" t="n">
        <v>27</v>
      </c>
      <c r="O232" s="12" t="n">
        <v>4</v>
      </c>
      <c r="P232" s="12" t="n">
        <v>10</v>
      </c>
      <c r="Q232" s="12" t="n">
        <v>55</v>
      </c>
      <c r="R232" s="12" t="n">
        <v>25</v>
      </c>
      <c r="S232" s="12" t="n">
        <v>139</v>
      </c>
      <c r="T232" s="12" t="n">
        <v>6</v>
      </c>
      <c r="U232" s="12" t="n">
        <v>8</v>
      </c>
      <c r="V232" s="12" t="n">
        <v>13</v>
      </c>
      <c r="W232" s="12" t="n">
        <v>2</v>
      </c>
      <c r="X232" s="13" t="n">
        <f aca="false">M232+N232+2*O232+3*P232</f>
        <v>233</v>
      </c>
      <c r="Y232" s="14" t="n">
        <f aca="false">IF(K232=0,0,M232/K232)</f>
        <v>0.293706293706294</v>
      </c>
      <c r="Z232" s="14" t="n">
        <f aca="false">IF(K232+R232+T232+U232=0,0,(M232+R232+T232)/(K232+R232+T232+U232))</f>
        <v>0.32569558101473</v>
      </c>
      <c r="AA232" s="14" t="n">
        <f aca="false">IF(K232=0,0,X232/K232)</f>
        <v>0.407342657342657</v>
      </c>
      <c r="AB232" s="14" t="n">
        <f aca="false">Z232+AA232</f>
        <v>0.733038238357387</v>
      </c>
      <c r="AC232" s="14" t="n">
        <f aca="false">AA232-Y232</f>
        <v>0.113636363636364</v>
      </c>
      <c r="AD232" s="14" t="n">
        <f aca="false">IF(K232-S232-P232+U232=0,0,(M232-P232)/(K232-S232-P232+U232))</f>
        <v>0.366589327146172</v>
      </c>
      <c r="AE232" s="15" t="n">
        <f aca="false">IF(J232=0,0,R232/J232)</f>
        <v>0.0409165302782324</v>
      </c>
      <c r="AF232" s="15" t="n">
        <f aca="false">IF(J232=0,0,S232/J232)</f>
        <v>0.227495908346972</v>
      </c>
      <c r="AG232" s="11" t="n">
        <f aca="false">IF(J232&gt;=INDEX(球季參數!$E$2:$E$4,MATCH($A232,球季參數!$A$2:$A$4,0)),1,0)</f>
        <v>1</v>
      </c>
    </row>
    <row r="233" customFormat="false" ht="15" hidden="false" customHeight="false" outlineLevel="0" collapsed="false">
      <c r="A233" s="5" t="n">
        <v>2024</v>
      </c>
      <c r="B233" s="7" t="s">
        <v>1399</v>
      </c>
      <c r="C233" s="10" t="str">
        <f aca="false">INDEX(球員主檔!$B$2:$B$749,MATCH($B233,球員主檔!$A$2:$A$749,0))</f>
        <v>Augustin Underhill</v>
      </c>
      <c r="D233" s="7" t="s">
        <v>438</v>
      </c>
      <c r="E233" s="10" t="str">
        <f aca="false">INDEX(球隊主檔!$C$2:$C$31,MATCH($D233,球隊主檔!$A$2:$A$31,0))</f>
        <v>匹茲堡海盜</v>
      </c>
      <c r="F233" s="10" t="str">
        <f aca="false">INDEX(球隊主檔!$D$2:$D$31,MATCH($D233,球隊主檔!$A$2:$A$31,0))</f>
        <v>國聯</v>
      </c>
      <c r="G233" s="7" t="s">
        <v>158</v>
      </c>
      <c r="H233" s="11" t="n">
        <f aca="false">INT((DATE($A233,7,1)-INDEX(球員主檔!$G$2:$G$749,MATCH($B233,球員主檔!$A$2:$A$749,0)))/365.25)</f>
        <v>27</v>
      </c>
      <c r="I233" s="12" t="n">
        <v>144</v>
      </c>
      <c r="J233" s="12" t="n">
        <v>633</v>
      </c>
      <c r="K233" s="12" t="n">
        <v>545</v>
      </c>
      <c r="L233" s="12" t="n">
        <v>77</v>
      </c>
      <c r="M233" s="12" t="n">
        <v>133</v>
      </c>
      <c r="N233" s="12" t="n">
        <v>24</v>
      </c>
      <c r="O233" s="12" t="n">
        <v>4</v>
      </c>
      <c r="P233" s="12" t="n">
        <v>16</v>
      </c>
      <c r="Q233" s="12" t="n">
        <v>65</v>
      </c>
      <c r="R233" s="12" t="n">
        <v>75</v>
      </c>
      <c r="S233" s="12" t="n">
        <v>112</v>
      </c>
      <c r="T233" s="12" t="n">
        <v>7</v>
      </c>
      <c r="U233" s="12" t="n">
        <v>6</v>
      </c>
      <c r="V233" s="12" t="n">
        <v>31</v>
      </c>
      <c r="W233" s="12" t="n">
        <v>4</v>
      </c>
      <c r="X233" s="13" t="n">
        <f aca="false">M233+N233+2*O233+3*P233</f>
        <v>213</v>
      </c>
      <c r="Y233" s="14" t="n">
        <f aca="false">IF(K233=0,0,M233/K233)</f>
        <v>0.244036697247706</v>
      </c>
      <c r="Z233" s="14" t="n">
        <f aca="false">IF(K233+R233+T233+U233=0,0,(M233+R233+T233)/(K233+R233+T233+U233))</f>
        <v>0.339652448657188</v>
      </c>
      <c r="AA233" s="14" t="n">
        <f aca="false">IF(K233=0,0,X233/K233)</f>
        <v>0.390825688073395</v>
      </c>
      <c r="AB233" s="14" t="n">
        <f aca="false">Z233+AA233</f>
        <v>0.730478136730583</v>
      </c>
      <c r="AC233" s="14" t="n">
        <f aca="false">AA233-Y233</f>
        <v>0.146788990825688</v>
      </c>
      <c r="AD233" s="14" t="n">
        <f aca="false">IF(K233-S233-P233+U233=0,0,(M233-P233)/(K233-S233-P233+U233))</f>
        <v>0.276595744680851</v>
      </c>
      <c r="AE233" s="15" t="n">
        <f aca="false">IF(J233=0,0,R233/J233)</f>
        <v>0.118483412322275</v>
      </c>
      <c r="AF233" s="15" t="n">
        <f aca="false">IF(J233=0,0,S233/J233)</f>
        <v>0.176935229067931</v>
      </c>
      <c r="AG233" s="11" t="n">
        <f aca="false">IF(J233&gt;=INDEX(球季參數!$E$2:$E$4,MATCH($A233,球季參數!$A$2:$A$4,0)),1,0)</f>
        <v>1</v>
      </c>
    </row>
    <row r="234" customFormat="false" ht="15" hidden="false" customHeight="false" outlineLevel="0" collapsed="false">
      <c r="A234" s="5" t="n">
        <v>2024</v>
      </c>
      <c r="B234" s="7" t="s">
        <v>1401</v>
      </c>
      <c r="C234" s="10" t="str">
        <f aca="false">INDEX(球員主檔!$B$2:$B$749,MATCH($B234,球員主檔!$A$2:$A$749,0))</f>
        <v>Desmond Nordstrom</v>
      </c>
      <c r="D234" s="7" t="s">
        <v>438</v>
      </c>
      <c r="E234" s="10" t="str">
        <f aca="false">INDEX(球隊主檔!$C$2:$C$31,MATCH($D234,球隊主檔!$A$2:$A$31,0))</f>
        <v>匹茲堡海盜</v>
      </c>
      <c r="F234" s="10" t="str">
        <f aca="false">INDEX(球隊主檔!$D$2:$D$31,MATCH($D234,球隊主檔!$A$2:$A$31,0))</f>
        <v>國聯</v>
      </c>
      <c r="G234" s="7" t="s">
        <v>486</v>
      </c>
      <c r="H234" s="11" t="n">
        <f aca="false">INT((DATE($A234,7,1)-INDEX(球員主檔!$G$2:$G$749,MATCH($B234,球員主檔!$A$2:$A$749,0)))/365.25)</f>
        <v>26</v>
      </c>
      <c r="I234" s="12" t="n">
        <v>157</v>
      </c>
      <c r="J234" s="12" t="n">
        <v>642</v>
      </c>
      <c r="K234" s="12" t="n">
        <v>570</v>
      </c>
      <c r="L234" s="12" t="n">
        <v>88</v>
      </c>
      <c r="M234" s="12" t="n">
        <v>154</v>
      </c>
      <c r="N234" s="12" t="n">
        <v>23</v>
      </c>
      <c r="O234" s="12" t="n">
        <v>5</v>
      </c>
      <c r="P234" s="12" t="n">
        <v>33</v>
      </c>
      <c r="Q234" s="12" t="n">
        <v>93</v>
      </c>
      <c r="R234" s="12" t="n">
        <v>68</v>
      </c>
      <c r="S234" s="12" t="n">
        <v>135</v>
      </c>
      <c r="T234" s="12" t="n">
        <v>2</v>
      </c>
      <c r="U234" s="12" t="n">
        <v>2</v>
      </c>
      <c r="V234" s="12" t="n">
        <v>25</v>
      </c>
      <c r="W234" s="12" t="n">
        <v>7</v>
      </c>
      <c r="X234" s="13" t="n">
        <f aca="false">M234+N234+2*O234+3*P234</f>
        <v>286</v>
      </c>
      <c r="Y234" s="14" t="n">
        <f aca="false">IF(K234=0,0,M234/K234)</f>
        <v>0.270175438596491</v>
      </c>
      <c r="Z234" s="14" t="n">
        <f aca="false">IF(K234+R234+T234+U234=0,0,(M234+R234+T234)/(K234+R234+T234+U234))</f>
        <v>0.348909657320872</v>
      </c>
      <c r="AA234" s="14" t="n">
        <f aca="false">IF(K234=0,0,X234/K234)</f>
        <v>0.501754385964912</v>
      </c>
      <c r="AB234" s="14" t="n">
        <f aca="false">Z234+AA234</f>
        <v>0.850664043285785</v>
      </c>
      <c r="AC234" s="14" t="n">
        <f aca="false">AA234-Y234</f>
        <v>0.231578947368421</v>
      </c>
      <c r="AD234" s="14" t="n">
        <f aca="false">IF(K234-S234-P234+U234=0,0,(M234-P234)/(K234-S234-P234+U234))</f>
        <v>0.29950495049505</v>
      </c>
      <c r="AE234" s="15" t="n">
        <f aca="false">IF(J234=0,0,R234/J234)</f>
        <v>0.105919003115265</v>
      </c>
      <c r="AF234" s="15" t="n">
        <f aca="false">IF(J234=0,0,S234/J234)</f>
        <v>0.210280373831776</v>
      </c>
      <c r="AG234" s="11" t="n">
        <f aca="false">IF(J234&gt;=INDEX(球季參數!$E$2:$E$4,MATCH($A234,球季參數!$A$2:$A$4,0)),1,0)</f>
        <v>1</v>
      </c>
    </row>
    <row r="235" customFormat="false" ht="15" hidden="false" customHeight="false" outlineLevel="0" collapsed="false">
      <c r="A235" s="5" t="n">
        <v>2024</v>
      </c>
      <c r="B235" s="7" t="s">
        <v>1403</v>
      </c>
      <c r="C235" s="10" t="str">
        <f aca="false">INDEX(球員主檔!$B$2:$B$749,MATCH($B235,球員主檔!$A$2:$A$749,0))</f>
        <v>Rhett Vasquez</v>
      </c>
      <c r="D235" s="7" t="s">
        <v>438</v>
      </c>
      <c r="E235" s="10" t="str">
        <f aca="false">INDEX(球隊主檔!$C$2:$C$31,MATCH($D235,球隊主檔!$A$2:$A$31,0))</f>
        <v>匹茲堡海盜</v>
      </c>
      <c r="F235" s="10" t="str">
        <f aca="false">INDEX(球隊主檔!$D$2:$D$31,MATCH($D235,球隊主檔!$A$2:$A$31,0))</f>
        <v>國聯</v>
      </c>
      <c r="G235" s="7" t="s">
        <v>478</v>
      </c>
      <c r="H235" s="11" t="n">
        <f aca="false">INT((DATE($A235,7,1)-INDEX(球員主檔!$G$2:$G$749,MATCH($B235,球員主檔!$A$2:$A$749,0)))/365.25)</f>
        <v>25</v>
      </c>
      <c r="I235" s="12" t="n">
        <v>153</v>
      </c>
      <c r="J235" s="12" t="n">
        <v>593</v>
      </c>
      <c r="K235" s="12" t="n">
        <v>530</v>
      </c>
      <c r="L235" s="12" t="n">
        <v>72</v>
      </c>
      <c r="M235" s="12" t="n">
        <v>147</v>
      </c>
      <c r="N235" s="12" t="n">
        <v>37</v>
      </c>
      <c r="O235" s="12" t="n">
        <v>4</v>
      </c>
      <c r="P235" s="12" t="n">
        <v>16</v>
      </c>
      <c r="Q235" s="12" t="n">
        <v>63</v>
      </c>
      <c r="R235" s="12" t="n">
        <v>52</v>
      </c>
      <c r="S235" s="12" t="n">
        <v>156</v>
      </c>
      <c r="T235" s="12" t="n">
        <v>10</v>
      </c>
      <c r="U235" s="12" t="n">
        <v>1</v>
      </c>
      <c r="V235" s="12" t="n">
        <v>18</v>
      </c>
      <c r="W235" s="12" t="n">
        <v>4</v>
      </c>
      <c r="X235" s="13" t="n">
        <f aca="false">M235+N235+2*O235+3*P235</f>
        <v>240</v>
      </c>
      <c r="Y235" s="14" t="n">
        <f aca="false">IF(K235=0,0,M235/K235)</f>
        <v>0.277358490566038</v>
      </c>
      <c r="Z235" s="14" t="n">
        <f aca="false">IF(K235+R235+T235+U235=0,0,(M235+R235+T235)/(K235+R235+T235+U235))</f>
        <v>0.352445193929174</v>
      </c>
      <c r="AA235" s="14" t="n">
        <f aca="false">IF(K235=0,0,X235/K235)</f>
        <v>0.452830188679245</v>
      </c>
      <c r="AB235" s="14" t="n">
        <f aca="false">Z235+AA235</f>
        <v>0.805275382608419</v>
      </c>
      <c r="AC235" s="14" t="n">
        <f aca="false">AA235-Y235</f>
        <v>0.175471698113208</v>
      </c>
      <c r="AD235" s="14" t="n">
        <f aca="false">IF(K235-S235-P235+U235=0,0,(M235-P235)/(K235-S235-P235+U235))</f>
        <v>0.364902506963788</v>
      </c>
      <c r="AE235" s="15" t="n">
        <f aca="false">IF(J235=0,0,R235/J235)</f>
        <v>0.0876897133220911</v>
      </c>
      <c r="AF235" s="15" t="n">
        <f aca="false">IF(J235=0,0,S235/J235)</f>
        <v>0.263069139966273</v>
      </c>
      <c r="AG235" s="11" t="n">
        <f aca="false">IF(J235&gt;=INDEX(球季參數!$E$2:$E$4,MATCH($A235,球季參數!$A$2:$A$4,0)),1,0)</f>
        <v>1</v>
      </c>
    </row>
    <row r="236" customFormat="false" ht="15" hidden="false" customHeight="false" outlineLevel="0" collapsed="false">
      <c r="A236" s="5" t="n">
        <v>2024</v>
      </c>
      <c r="B236" s="7" t="s">
        <v>1405</v>
      </c>
      <c r="C236" s="10" t="str">
        <f aca="false">INDEX(球員主檔!$B$2:$B$749,MATCH($B236,球員主檔!$A$2:$A$749,0))</f>
        <v>Emilio Ulloa</v>
      </c>
      <c r="D236" s="7" t="s">
        <v>438</v>
      </c>
      <c r="E236" s="10" t="str">
        <f aca="false">INDEX(球隊主檔!$C$2:$C$31,MATCH($D236,球隊主檔!$A$2:$A$31,0))</f>
        <v>匹茲堡海盜</v>
      </c>
      <c r="F236" s="10" t="str">
        <f aca="false">INDEX(球隊主檔!$D$2:$D$31,MATCH($D236,球隊主檔!$A$2:$A$31,0))</f>
        <v>國聯</v>
      </c>
      <c r="G236" s="7" t="s">
        <v>478</v>
      </c>
      <c r="H236" s="11" t="n">
        <f aca="false">INT((DATE($A236,7,1)-INDEX(球員主檔!$G$2:$G$749,MATCH($B236,球員主檔!$A$2:$A$749,0)))/365.25)</f>
        <v>26</v>
      </c>
      <c r="I236" s="12" t="n">
        <v>72</v>
      </c>
      <c r="J236" s="12" t="n">
        <v>299</v>
      </c>
      <c r="K236" s="12" t="n">
        <v>267</v>
      </c>
      <c r="L236" s="12" t="n">
        <v>35</v>
      </c>
      <c r="M236" s="12" t="n">
        <v>70</v>
      </c>
      <c r="N236" s="12" t="n">
        <v>27</v>
      </c>
      <c r="O236" s="12" t="n">
        <v>2</v>
      </c>
      <c r="P236" s="12" t="n">
        <v>13</v>
      </c>
      <c r="Q236" s="12" t="n">
        <v>50</v>
      </c>
      <c r="R236" s="12" t="n">
        <v>25</v>
      </c>
      <c r="S236" s="12" t="n">
        <v>77</v>
      </c>
      <c r="T236" s="12" t="n">
        <v>5</v>
      </c>
      <c r="U236" s="12" t="n">
        <v>2</v>
      </c>
      <c r="V236" s="12" t="n">
        <v>19</v>
      </c>
      <c r="W236" s="12" t="n">
        <v>3</v>
      </c>
      <c r="X236" s="13" t="n">
        <f aca="false">M236+N236+2*O236+3*P236</f>
        <v>140</v>
      </c>
      <c r="Y236" s="14" t="n">
        <f aca="false">IF(K236=0,0,M236/K236)</f>
        <v>0.262172284644195</v>
      </c>
      <c r="Z236" s="14" t="n">
        <f aca="false">IF(K236+R236+T236+U236=0,0,(M236+R236+T236)/(K236+R236+T236+U236))</f>
        <v>0.334448160535117</v>
      </c>
      <c r="AA236" s="14" t="n">
        <f aca="false">IF(K236=0,0,X236/K236)</f>
        <v>0.52434456928839</v>
      </c>
      <c r="AB236" s="14" t="n">
        <f aca="false">Z236+AA236</f>
        <v>0.858792729823507</v>
      </c>
      <c r="AC236" s="14" t="n">
        <f aca="false">AA236-Y236</f>
        <v>0.262172284644195</v>
      </c>
      <c r="AD236" s="14" t="n">
        <f aca="false">IF(K236-S236-P236+U236=0,0,(M236-P236)/(K236-S236-P236+U236))</f>
        <v>0.318435754189944</v>
      </c>
      <c r="AE236" s="15" t="n">
        <f aca="false">IF(J236=0,0,R236/J236)</f>
        <v>0.0836120401337793</v>
      </c>
      <c r="AF236" s="15" t="n">
        <f aca="false">IF(J236=0,0,S236/J236)</f>
        <v>0.25752508361204</v>
      </c>
      <c r="AG236" s="11" t="n">
        <f aca="false">IF(J236&gt;=INDEX(球季參數!$E$2:$E$4,MATCH($A236,球季參數!$A$2:$A$4,0)),1,0)</f>
        <v>0</v>
      </c>
    </row>
    <row r="237" customFormat="false" ht="15" hidden="false" customHeight="false" outlineLevel="0" collapsed="false">
      <c r="A237" s="5" t="n">
        <v>2024</v>
      </c>
      <c r="B237" s="7" t="s">
        <v>1407</v>
      </c>
      <c r="C237" s="10" t="str">
        <f aca="false">INDEX(球員主檔!$B$2:$B$749,MATCH($B237,球員主檔!$A$2:$A$749,0))</f>
        <v>Zane Wainwright</v>
      </c>
      <c r="D237" s="7" t="s">
        <v>438</v>
      </c>
      <c r="E237" s="10" t="str">
        <f aca="false">INDEX(球隊主檔!$C$2:$C$31,MATCH($D237,球隊主檔!$A$2:$A$31,0))</f>
        <v>匹茲堡海盜</v>
      </c>
      <c r="F237" s="10" t="str">
        <f aca="false">INDEX(球隊主檔!$D$2:$D$31,MATCH($D237,球隊主檔!$A$2:$A$31,0))</f>
        <v>國聯</v>
      </c>
      <c r="G237" s="7" t="s">
        <v>486</v>
      </c>
      <c r="H237" s="11" t="n">
        <f aca="false">INT((DATE($A237,7,1)-INDEX(球員主檔!$G$2:$G$749,MATCH($B237,球員主檔!$A$2:$A$749,0)))/365.25)</f>
        <v>24</v>
      </c>
      <c r="I237" s="12" t="n">
        <v>103</v>
      </c>
      <c r="J237" s="12" t="n">
        <v>458</v>
      </c>
      <c r="K237" s="12" t="n">
        <v>421</v>
      </c>
      <c r="L237" s="12" t="n">
        <v>61</v>
      </c>
      <c r="M237" s="12" t="n">
        <v>121</v>
      </c>
      <c r="N237" s="12" t="n">
        <v>22</v>
      </c>
      <c r="O237" s="12" t="n">
        <v>2</v>
      </c>
      <c r="P237" s="12" t="n">
        <v>25</v>
      </c>
      <c r="Q237" s="12" t="n">
        <v>82</v>
      </c>
      <c r="R237" s="12" t="n">
        <v>31</v>
      </c>
      <c r="S237" s="12" t="n">
        <v>105</v>
      </c>
      <c r="T237" s="12" t="n">
        <v>2</v>
      </c>
      <c r="U237" s="12" t="n">
        <v>4</v>
      </c>
      <c r="V237" s="12" t="n">
        <v>19</v>
      </c>
      <c r="W237" s="12" t="n">
        <v>4</v>
      </c>
      <c r="X237" s="13" t="n">
        <f aca="false">M237+N237+2*O237+3*P237</f>
        <v>222</v>
      </c>
      <c r="Y237" s="14" t="n">
        <f aca="false">IF(K237=0,0,M237/K237)</f>
        <v>0.287410926365796</v>
      </c>
      <c r="Z237" s="14" t="n">
        <f aca="false">IF(K237+R237+T237+U237=0,0,(M237+R237+T237)/(K237+R237+T237+U237))</f>
        <v>0.336244541484716</v>
      </c>
      <c r="AA237" s="14" t="n">
        <f aca="false">IF(K237=0,0,X237/K237)</f>
        <v>0.527315914489311</v>
      </c>
      <c r="AB237" s="14" t="n">
        <f aca="false">Z237+AA237</f>
        <v>0.863560455974027</v>
      </c>
      <c r="AC237" s="14" t="n">
        <f aca="false">AA237-Y237</f>
        <v>0.239904988123515</v>
      </c>
      <c r="AD237" s="14" t="n">
        <f aca="false">IF(K237-S237-P237+U237=0,0,(M237-P237)/(K237-S237-P237+U237))</f>
        <v>0.325423728813559</v>
      </c>
      <c r="AE237" s="15" t="n">
        <f aca="false">IF(J237=0,0,R237/J237)</f>
        <v>0.0676855895196507</v>
      </c>
      <c r="AF237" s="15" t="n">
        <f aca="false">IF(J237=0,0,S237/J237)</f>
        <v>0.229257641921397</v>
      </c>
      <c r="AG237" s="11" t="n">
        <f aca="false">IF(J237&gt;=INDEX(球季參數!$E$2:$E$4,MATCH($A237,球季參數!$A$2:$A$4,0)),1,0)</f>
        <v>0</v>
      </c>
    </row>
    <row r="238" customFormat="false" ht="15" hidden="false" customHeight="false" outlineLevel="0" collapsed="false">
      <c r="A238" s="5" t="n">
        <v>2024</v>
      </c>
      <c r="B238" s="7" t="s">
        <v>1409</v>
      </c>
      <c r="C238" s="10" t="str">
        <f aca="false">INDEX(球員主檔!$B$2:$B$749,MATCH($B238,球員主檔!$A$2:$A$749,0))</f>
        <v>Jedidiah Ulloa</v>
      </c>
      <c r="D238" s="7" t="s">
        <v>438</v>
      </c>
      <c r="E238" s="10" t="str">
        <f aca="false">INDEX(球隊主檔!$C$2:$C$31,MATCH($D238,球隊主檔!$A$2:$A$31,0))</f>
        <v>匹茲堡海盜</v>
      </c>
      <c r="F238" s="10" t="str">
        <f aca="false">INDEX(球隊主檔!$D$2:$D$31,MATCH($D238,球隊主檔!$A$2:$A$31,0))</f>
        <v>國聯</v>
      </c>
      <c r="G238" s="7" t="s">
        <v>478</v>
      </c>
      <c r="H238" s="11" t="n">
        <f aca="false">INT((DATE($A238,7,1)-INDEX(球員主檔!$G$2:$G$749,MATCH($B238,球員主檔!$A$2:$A$749,0)))/365.25)</f>
        <v>29</v>
      </c>
      <c r="I238" s="12" t="n">
        <v>88</v>
      </c>
      <c r="J238" s="12" t="n">
        <v>362</v>
      </c>
      <c r="K238" s="12" t="n">
        <v>333</v>
      </c>
      <c r="L238" s="12" t="n">
        <v>46</v>
      </c>
      <c r="M238" s="12" t="n">
        <v>88</v>
      </c>
      <c r="N238" s="12" t="n">
        <v>29</v>
      </c>
      <c r="O238" s="12" t="n">
        <v>11</v>
      </c>
      <c r="P238" s="12" t="n">
        <v>14</v>
      </c>
      <c r="Q238" s="12" t="n">
        <v>56</v>
      </c>
      <c r="R238" s="12" t="n">
        <v>23</v>
      </c>
      <c r="S238" s="12" t="n">
        <v>89</v>
      </c>
      <c r="T238" s="12" t="n">
        <v>5</v>
      </c>
      <c r="U238" s="12" t="n">
        <v>1</v>
      </c>
      <c r="V238" s="12" t="n">
        <v>6</v>
      </c>
      <c r="W238" s="12" t="n">
        <v>2</v>
      </c>
      <c r="X238" s="13" t="n">
        <f aca="false">M238+N238+2*O238+3*P238</f>
        <v>181</v>
      </c>
      <c r="Y238" s="14" t="n">
        <f aca="false">IF(K238=0,0,M238/K238)</f>
        <v>0.264264264264264</v>
      </c>
      <c r="Z238" s="14" t="n">
        <f aca="false">IF(K238+R238+T238+U238=0,0,(M238+R238+T238)/(K238+R238+T238+U238))</f>
        <v>0.320441988950276</v>
      </c>
      <c r="AA238" s="14" t="n">
        <f aca="false">IF(K238=0,0,X238/K238)</f>
        <v>0.543543543543544</v>
      </c>
      <c r="AB238" s="14" t="n">
        <f aca="false">Z238+AA238</f>
        <v>0.86398553249382</v>
      </c>
      <c r="AC238" s="14" t="n">
        <f aca="false">AA238-Y238</f>
        <v>0.279279279279279</v>
      </c>
      <c r="AD238" s="14" t="n">
        <f aca="false">IF(K238-S238-P238+U238=0,0,(M238-P238)/(K238-S238-P238+U238))</f>
        <v>0.32034632034632</v>
      </c>
      <c r="AE238" s="15" t="n">
        <f aca="false">IF(J238=0,0,R238/J238)</f>
        <v>0.06353591160221</v>
      </c>
      <c r="AF238" s="15" t="n">
        <f aca="false">IF(J238=0,0,S238/J238)</f>
        <v>0.24585635359116</v>
      </c>
      <c r="AG238" s="11" t="n">
        <f aca="false">IF(J238&gt;=INDEX(球季參數!$E$2:$E$4,MATCH($A238,球季參數!$A$2:$A$4,0)),1,0)</f>
        <v>0</v>
      </c>
    </row>
    <row r="239" customFormat="false" ht="15" hidden="false" customHeight="false" outlineLevel="0" collapsed="false">
      <c r="A239" s="5" t="n">
        <v>2024</v>
      </c>
      <c r="B239" s="7" t="s">
        <v>1411</v>
      </c>
      <c r="C239" s="10" t="str">
        <f aca="false">INDEX(球員主檔!$B$2:$B$749,MATCH($B239,球員主檔!$A$2:$A$749,0))</f>
        <v>Oakley Fontaine</v>
      </c>
      <c r="D239" s="7" t="s">
        <v>438</v>
      </c>
      <c r="E239" s="10" t="str">
        <f aca="false">INDEX(球隊主檔!$C$2:$C$31,MATCH($D239,球隊主檔!$A$2:$A$31,0))</f>
        <v>匹茲堡海盜</v>
      </c>
      <c r="F239" s="10" t="str">
        <f aca="false">INDEX(球隊主檔!$D$2:$D$31,MATCH($D239,球隊主檔!$A$2:$A$31,0))</f>
        <v>國聯</v>
      </c>
      <c r="G239" s="7" t="s">
        <v>483</v>
      </c>
      <c r="H239" s="11" t="n">
        <f aca="false">INT((DATE($A239,7,1)-INDEX(球員主檔!$G$2:$G$749,MATCH($B239,球員主檔!$A$2:$A$749,0)))/365.25)</f>
        <v>21</v>
      </c>
      <c r="I239" s="12" t="n">
        <v>88</v>
      </c>
      <c r="J239" s="12" t="n">
        <v>398</v>
      </c>
      <c r="K239" s="12" t="n">
        <v>349</v>
      </c>
      <c r="L239" s="12" t="n">
        <v>52</v>
      </c>
      <c r="M239" s="12" t="n">
        <v>86</v>
      </c>
      <c r="N239" s="12" t="n">
        <v>9</v>
      </c>
      <c r="O239" s="12" t="n">
        <v>2</v>
      </c>
      <c r="P239" s="12" t="n">
        <v>13</v>
      </c>
      <c r="Q239" s="12" t="n">
        <v>45</v>
      </c>
      <c r="R239" s="12" t="n">
        <v>42</v>
      </c>
      <c r="S239" s="12" t="n">
        <v>132</v>
      </c>
      <c r="T239" s="12" t="n">
        <v>3</v>
      </c>
      <c r="U239" s="12" t="n">
        <v>4</v>
      </c>
      <c r="V239" s="12" t="n">
        <v>8</v>
      </c>
      <c r="W239" s="12" t="n">
        <v>2</v>
      </c>
      <c r="X239" s="13" t="n">
        <f aca="false">M239+N239+2*O239+3*P239</f>
        <v>138</v>
      </c>
      <c r="Y239" s="14" t="n">
        <f aca="false">IF(K239=0,0,M239/K239)</f>
        <v>0.246418338108883</v>
      </c>
      <c r="Z239" s="14" t="n">
        <f aca="false">IF(K239+R239+T239+U239=0,0,(M239+R239+T239)/(K239+R239+T239+U239))</f>
        <v>0.329145728643216</v>
      </c>
      <c r="AA239" s="14" t="n">
        <f aca="false">IF(K239=0,0,X239/K239)</f>
        <v>0.39541547277937</v>
      </c>
      <c r="AB239" s="14" t="n">
        <f aca="false">Z239+AA239</f>
        <v>0.724561201422586</v>
      </c>
      <c r="AC239" s="14" t="n">
        <f aca="false">AA239-Y239</f>
        <v>0.148997134670487</v>
      </c>
      <c r="AD239" s="14" t="n">
        <f aca="false">IF(K239-S239-P239+U239=0,0,(M239-P239)/(K239-S239-P239+U239))</f>
        <v>0.350961538461538</v>
      </c>
      <c r="AE239" s="15" t="n">
        <f aca="false">IF(J239=0,0,R239/J239)</f>
        <v>0.105527638190955</v>
      </c>
      <c r="AF239" s="15" t="n">
        <f aca="false">IF(J239=0,0,S239/J239)</f>
        <v>0.331658291457286</v>
      </c>
      <c r="AG239" s="11" t="n">
        <f aca="false">IF(J239&gt;=INDEX(球季參數!$E$2:$E$4,MATCH($A239,球季參數!$A$2:$A$4,0)),1,0)</f>
        <v>0</v>
      </c>
    </row>
    <row r="240" customFormat="false" ht="15" hidden="false" customHeight="false" outlineLevel="0" collapsed="false">
      <c r="A240" s="5" t="n">
        <v>2024</v>
      </c>
      <c r="B240" s="7" t="s">
        <v>1413</v>
      </c>
      <c r="C240" s="10" t="str">
        <f aca="false">INDEX(球員主檔!$B$2:$B$749,MATCH($B240,球員主檔!$A$2:$A$749,0))</f>
        <v>Rhett Mbeki</v>
      </c>
      <c r="D240" s="7" t="s">
        <v>438</v>
      </c>
      <c r="E240" s="10" t="str">
        <f aca="false">INDEX(球隊主檔!$C$2:$C$31,MATCH($D240,球隊主檔!$A$2:$A$31,0))</f>
        <v>匹茲堡海盜</v>
      </c>
      <c r="F240" s="10" t="str">
        <f aca="false">INDEX(球隊主檔!$D$2:$D$31,MATCH($D240,球隊主檔!$A$2:$A$31,0))</f>
        <v>國聯</v>
      </c>
      <c r="G240" s="7" t="s">
        <v>522</v>
      </c>
      <c r="H240" s="11" t="n">
        <f aca="false">INT((DATE($A240,7,1)-INDEX(球員主檔!$G$2:$G$749,MATCH($B240,球員主檔!$A$2:$A$749,0)))/365.25)</f>
        <v>27</v>
      </c>
      <c r="I240" s="12" t="n">
        <v>77</v>
      </c>
      <c r="J240" s="12" t="n">
        <v>312</v>
      </c>
      <c r="K240" s="12" t="n">
        <v>276</v>
      </c>
      <c r="L240" s="12" t="n">
        <v>41</v>
      </c>
      <c r="M240" s="12" t="n">
        <v>75</v>
      </c>
      <c r="N240" s="12" t="n">
        <v>15</v>
      </c>
      <c r="O240" s="12" t="n">
        <v>2</v>
      </c>
      <c r="P240" s="12" t="n">
        <v>13</v>
      </c>
      <c r="Q240" s="12" t="n">
        <v>47</v>
      </c>
      <c r="R240" s="12" t="n">
        <v>31</v>
      </c>
      <c r="S240" s="12" t="n">
        <v>49</v>
      </c>
      <c r="T240" s="12" t="n">
        <v>5</v>
      </c>
      <c r="U240" s="12" t="n">
        <v>0</v>
      </c>
      <c r="V240" s="12" t="n">
        <v>2</v>
      </c>
      <c r="W240" s="12" t="n">
        <v>0</v>
      </c>
      <c r="X240" s="13" t="n">
        <f aca="false">M240+N240+2*O240+3*P240</f>
        <v>133</v>
      </c>
      <c r="Y240" s="14" t="n">
        <f aca="false">IF(K240=0,0,M240/K240)</f>
        <v>0.271739130434783</v>
      </c>
      <c r="Z240" s="14" t="n">
        <f aca="false">IF(K240+R240+T240+U240=0,0,(M240+R240+T240)/(K240+R240+T240+U240))</f>
        <v>0.355769230769231</v>
      </c>
      <c r="AA240" s="14" t="n">
        <f aca="false">IF(K240=0,0,X240/K240)</f>
        <v>0.481884057971014</v>
      </c>
      <c r="AB240" s="14" t="n">
        <f aca="false">Z240+AA240</f>
        <v>0.837653288740245</v>
      </c>
      <c r="AC240" s="14" t="n">
        <f aca="false">AA240-Y240</f>
        <v>0.210144927536232</v>
      </c>
      <c r="AD240" s="14" t="n">
        <f aca="false">IF(K240-S240-P240+U240=0,0,(M240-P240)/(K240-S240-P240+U240))</f>
        <v>0.289719626168224</v>
      </c>
      <c r="AE240" s="15" t="n">
        <f aca="false">IF(J240=0,0,R240/J240)</f>
        <v>0.0993589743589744</v>
      </c>
      <c r="AF240" s="15" t="n">
        <f aca="false">IF(J240=0,0,S240/J240)</f>
        <v>0.157051282051282</v>
      </c>
      <c r="AG240" s="11" t="n">
        <f aca="false">IF(J240&gt;=INDEX(球季參數!$E$2:$E$4,MATCH($A240,球季參數!$A$2:$A$4,0)),1,0)</f>
        <v>0</v>
      </c>
    </row>
    <row r="241" customFormat="false" ht="15" hidden="false" customHeight="false" outlineLevel="0" collapsed="false">
      <c r="A241" s="5" t="n">
        <v>2024</v>
      </c>
      <c r="B241" s="7" t="s">
        <v>1415</v>
      </c>
      <c r="C241" s="10" t="str">
        <f aca="false">INDEX(球員主檔!$B$2:$B$749,MATCH($B241,球員主檔!$A$2:$A$749,0))</f>
        <v>Silas Sorrentino</v>
      </c>
      <c r="D241" s="7" t="s">
        <v>438</v>
      </c>
      <c r="E241" s="10" t="str">
        <f aca="false">INDEX(球隊主檔!$C$2:$C$31,MATCH($D241,球隊主檔!$A$2:$A$31,0))</f>
        <v>匹茲堡海盜</v>
      </c>
      <c r="F241" s="10" t="str">
        <f aca="false">INDEX(球隊主檔!$D$2:$D$31,MATCH($D241,球隊主檔!$A$2:$A$31,0))</f>
        <v>國聯</v>
      </c>
      <c r="G241" s="7" t="s">
        <v>486</v>
      </c>
      <c r="H241" s="11" t="n">
        <f aca="false">INT((DATE($A241,7,1)-INDEX(球員主檔!$G$2:$G$749,MATCH($B241,球員主檔!$A$2:$A$749,0)))/365.25)</f>
        <v>31</v>
      </c>
      <c r="I241" s="12" t="n">
        <v>74</v>
      </c>
      <c r="J241" s="12" t="n">
        <v>333</v>
      </c>
      <c r="K241" s="12" t="n">
        <v>298</v>
      </c>
      <c r="L241" s="12" t="n">
        <v>39</v>
      </c>
      <c r="M241" s="12" t="n">
        <v>73</v>
      </c>
      <c r="N241" s="12" t="n">
        <v>31</v>
      </c>
      <c r="O241" s="12" t="n">
        <v>0</v>
      </c>
      <c r="P241" s="12" t="n">
        <v>12</v>
      </c>
      <c r="Q241" s="12" t="n">
        <v>45</v>
      </c>
      <c r="R241" s="12" t="n">
        <v>28</v>
      </c>
      <c r="S241" s="12" t="n">
        <v>50</v>
      </c>
      <c r="T241" s="12" t="n">
        <v>5</v>
      </c>
      <c r="U241" s="12" t="n">
        <v>2</v>
      </c>
      <c r="V241" s="12" t="n">
        <v>12</v>
      </c>
      <c r="W241" s="12" t="n">
        <v>3</v>
      </c>
      <c r="X241" s="13" t="n">
        <f aca="false">M241+N241+2*O241+3*P241</f>
        <v>140</v>
      </c>
      <c r="Y241" s="14" t="n">
        <f aca="false">IF(K241=0,0,M241/K241)</f>
        <v>0.24496644295302</v>
      </c>
      <c r="Z241" s="14" t="n">
        <f aca="false">IF(K241+R241+T241+U241=0,0,(M241+R241+T241)/(K241+R241+T241+U241))</f>
        <v>0.318318318318318</v>
      </c>
      <c r="AA241" s="14" t="n">
        <f aca="false">IF(K241=0,0,X241/K241)</f>
        <v>0.469798657718121</v>
      </c>
      <c r="AB241" s="14" t="n">
        <f aca="false">Z241+AA241</f>
        <v>0.788116976036439</v>
      </c>
      <c r="AC241" s="14" t="n">
        <f aca="false">AA241-Y241</f>
        <v>0.224832214765101</v>
      </c>
      <c r="AD241" s="14" t="n">
        <f aca="false">IF(K241-S241-P241+U241=0,0,(M241-P241)/(K241-S241-P241+U241))</f>
        <v>0.256302521008403</v>
      </c>
      <c r="AE241" s="15" t="n">
        <f aca="false">IF(J241=0,0,R241/J241)</f>
        <v>0.0840840840840841</v>
      </c>
      <c r="AF241" s="15" t="n">
        <f aca="false">IF(J241=0,0,S241/J241)</f>
        <v>0.15015015015015</v>
      </c>
      <c r="AG241" s="11" t="n">
        <f aca="false">IF(J241&gt;=INDEX(球季參數!$E$2:$E$4,MATCH($A241,球季參數!$A$2:$A$4,0)),1,0)</f>
        <v>0</v>
      </c>
    </row>
    <row r="242" customFormat="false" ht="15" hidden="false" customHeight="false" outlineLevel="0" collapsed="false">
      <c r="A242" s="5" t="n">
        <v>2024</v>
      </c>
      <c r="B242" s="7" t="s">
        <v>1437</v>
      </c>
      <c r="C242" s="10" t="str">
        <f aca="false">INDEX(球員主檔!$B$2:$B$749,MATCH($B242,球員主檔!$A$2:$A$749,0))</f>
        <v>Zane Montalvo</v>
      </c>
      <c r="D242" s="7" t="s">
        <v>442</v>
      </c>
      <c r="E242" s="10" t="str">
        <f aca="false">INDEX(球隊主檔!$C$2:$C$31,MATCH($D242,球隊主檔!$A$2:$A$31,0))</f>
        <v>聖路易紅雀</v>
      </c>
      <c r="F242" s="10" t="str">
        <f aca="false">INDEX(球隊主檔!$D$2:$D$31,MATCH($D242,球隊主檔!$A$2:$A$31,0))</f>
        <v>國聯</v>
      </c>
      <c r="G242" s="7" t="s">
        <v>162</v>
      </c>
      <c r="H242" s="11" t="n">
        <f aca="false">INT((DATE($A242,7,1)-INDEX(球員主檔!$G$2:$G$749,MATCH($B242,球員主檔!$A$2:$A$749,0)))/365.25)</f>
        <v>24</v>
      </c>
      <c r="I242" s="12" t="n">
        <v>56</v>
      </c>
      <c r="J242" s="12" t="n">
        <v>247</v>
      </c>
      <c r="K242" s="12" t="n">
        <v>213</v>
      </c>
      <c r="L242" s="12" t="n">
        <v>30</v>
      </c>
      <c r="M242" s="12" t="n">
        <v>58</v>
      </c>
      <c r="N242" s="12" t="n">
        <v>24</v>
      </c>
      <c r="O242" s="12" t="n">
        <v>7</v>
      </c>
      <c r="P242" s="12" t="n">
        <v>4</v>
      </c>
      <c r="Q242" s="12" t="n">
        <v>21</v>
      </c>
      <c r="R242" s="12" t="n">
        <v>27</v>
      </c>
      <c r="S242" s="12" t="n">
        <v>57</v>
      </c>
      <c r="T242" s="12" t="n">
        <v>5</v>
      </c>
      <c r="U242" s="12" t="n">
        <v>2</v>
      </c>
      <c r="V242" s="12" t="n">
        <v>5</v>
      </c>
      <c r="W242" s="12" t="n">
        <v>1</v>
      </c>
      <c r="X242" s="13" t="n">
        <f aca="false">M242+N242+2*O242+3*P242</f>
        <v>108</v>
      </c>
      <c r="Y242" s="14" t="n">
        <f aca="false">IF(K242=0,0,M242/K242)</f>
        <v>0.272300469483568</v>
      </c>
      <c r="Z242" s="14" t="n">
        <f aca="false">IF(K242+R242+T242+U242=0,0,(M242+R242+T242)/(K242+R242+T242+U242))</f>
        <v>0.364372469635628</v>
      </c>
      <c r="AA242" s="14" t="n">
        <f aca="false">IF(K242=0,0,X242/K242)</f>
        <v>0.507042253521127</v>
      </c>
      <c r="AB242" s="14" t="n">
        <f aca="false">Z242+AA242</f>
        <v>0.871414723156754</v>
      </c>
      <c r="AC242" s="14" t="n">
        <f aca="false">AA242-Y242</f>
        <v>0.234741784037559</v>
      </c>
      <c r="AD242" s="14" t="n">
        <f aca="false">IF(K242-S242-P242+U242=0,0,(M242-P242)/(K242-S242-P242+U242))</f>
        <v>0.350649350649351</v>
      </c>
      <c r="AE242" s="15" t="n">
        <f aca="false">IF(J242=0,0,R242/J242)</f>
        <v>0.109311740890688</v>
      </c>
      <c r="AF242" s="15" t="n">
        <f aca="false">IF(J242=0,0,S242/J242)</f>
        <v>0.230769230769231</v>
      </c>
      <c r="AG242" s="11" t="n">
        <f aca="false">IF(J242&gt;=INDEX(球季參數!$E$2:$E$4,MATCH($A242,球季參數!$A$2:$A$4,0)),1,0)</f>
        <v>0</v>
      </c>
    </row>
    <row r="243" customFormat="false" ht="15" hidden="false" customHeight="false" outlineLevel="0" collapsed="false">
      <c r="A243" s="5" t="n">
        <v>2024</v>
      </c>
      <c r="B243" s="7" t="s">
        <v>1439</v>
      </c>
      <c r="C243" s="10" t="str">
        <f aca="false">INDEX(球員主檔!$B$2:$B$749,MATCH($B243,球員主檔!$A$2:$A$749,0))</f>
        <v>Rintaro Fontaine</v>
      </c>
      <c r="D243" s="7" t="s">
        <v>442</v>
      </c>
      <c r="E243" s="10" t="str">
        <f aca="false">INDEX(球隊主檔!$C$2:$C$31,MATCH($D243,球隊主檔!$A$2:$A$31,0))</f>
        <v>聖路易紅雀</v>
      </c>
      <c r="F243" s="10" t="str">
        <f aca="false">INDEX(球隊主檔!$D$2:$D$31,MATCH($D243,球隊主檔!$A$2:$A$31,0))</f>
        <v>國聯</v>
      </c>
      <c r="G243" s="7" t="s">
        <v>478</v>
      </c>
      <c r="H243" s="11" t="n">
        <f aca="false">INT((DATE($A243,7,1)-INDEX(球員主檔!$G$2:$G$749,MATCH($B243,球員主檔!$A$2:$A$749,0)))/365.25)</f>
        <v>27</v>
      </c>
      <c r="I243" s="12" t="n">
        <v>70</v>
      </c>
      <c r="J243" s="12" t="n">
        <v>307</v>
      </c>
      <c r="K243" s="12" t="n">
        <v>282</v>
      </c>
      <c r="L243" s="12" t="n">
        <v>32</v>
      </c>
      <c r="M243" s="12" t="n">
        <v>62</v>
      </c>
      <c r="N243" s="12" t="n">
        <v>21</v>
      </c>
      <c r="O243" s="12" t="n">
        <v>5</v>
      </c>
      <c r="P243" s="12" t="n">
        <v>11</v>
      </c>
      <c r="Q243" s="12" t="n">
        <v>37</v>
      </c>
      <c r="R243" s="12" t="n">
        <v>17</v>
      </c>
      <c r="S243" s="12" t="n">
        <v>60</v>
      </c>
      <c r="T243" s="12" t="n">
        <v>5</v>
      </c>
      <c r="U243" s="12" t="n">
        <v>3</v>
      </c>
      <c r="V243" s="12" t="n">
        <v>5</v>
      </c>
      <c r="W243" s="12" t="n">
        <v>1</v>
      </c>
      <c r="X243" s="13" t="n">
        <f aca="false">M243+N243+2*O243+3*P243</f>
        <v>126</v>
      </c>
      <c r="Y243" s="14" t="n">
        <f aca="false">IF(K243=0,0,M243/K243)</f>
        <v>0.219858156028369</v>
      </c>
      <c r="Z243" s="14" t="n">
        <f aca="false">IF(K243+R243+T243+U243=0,0,(M243+R243+T243)/(K243+R243+T243+U243))</f>
        <v>0.273615635179153</v>
      </c>
      <c r="AA243" s="14" t="n">
        <f aca="false">IF(K243=0,0,X243/K243)</f>
        <v>0.446808510638298</v>
      </c>
      <c r="AB243" s="14" t="n">
        <f aca="false">Z243+AA243</f>
        <v>0.720424145817451</v>
      </c>
      <c r="AC243" s="14" t="n">
        <f aca="false">AA243-Y243</f>
        <v>0.226950354609929</v>
      </c>
      <c r="AD243" s="14" t="n">
        <f aca="false">IF(K243-S243-P243+U243=0,0,(M243-P243)/(K243-S243-P243+U243))</f>
        <v>0.238317757009346</v>
      </c>
      <c r="AE243" s="15" t="n">
        <f aca="false">IF(J243=0,0,R243/J243)</f>
        <v>0.0553745928338762</v>
      </c>
      <c r="AF243" s="15" t="n">
        <f aca="false">IF(J243=0,0,S243/J243)</f>
        <v>0.195439739413681</v>
      </c>
      <c r="AG243" s="11" t="n">
        <f aca="false">IF(J243&gt;=INDEX(球季參數!$E$2:$E$4,MATCH($A243,球季參數!$A$2:$A$4,0)),1,0)</f>
        <v>0</v>
      </c>
    </row>
    <row r="244" customFormat="false" ht="15" hidden="false" customHeight="false" outlineLevel="0" collapsed="false">
      <c r="A244" s="5" t="n">
        <v>2024</v>
      </c>
      <c r="B244" s="7" t="s">
        <v>1441</v>
      </c>
      <c r="C244" s="10" t="str">
        <f aca="false">INDEX(球員主檔!$B$2:$B$749,MATCH($B244,球員主檔!$A$2:$A$749,0))</f>
        <v>Ulises Cavanaugh</v>
      </c>
      <c r="D244" s="7" t="s">
        <v>442</v>
      </c>
      <c r="E244" s="10" t="str">
        <f aca="false">INDEX(球隊主檔!$C$2:$C$31,MATCH($D244,球隊主檔!$A$2:$A$31,0))</f>
        <v>聖路易紅雀</v>
      </c>
      <c r="F244" s="10" t="str">
        <f aca="false">INDEX(球隊主檔!$D$2:$D$31,MATCH($D244,球隊主檔!$A$2:$A$31,0))</f>
        <v>國聯</v>
      </c>
      <c r="G244" s="7" t="s">
        <v>486</v>
      </c>
      <c r="H244" s="11" t="n">
        <f aca="false">INT((DATE($A244,7,1)-INDEX(球員主檔!$G$2:$G$749,MATCH($B244,球員主檔!$A$2:$A$749,0)))/365.25)</f>
        <v>29</v>
      </c>
      <c r="I244" s="12" t="n">
        <v>138</v>
      </c>
      <c r="J244" s="12" t="n">
        <v>597</v>
      </c>
      <c r="K244" s="12" t="n">
        <v>540</v>
      </c>
      <c r="L244" s="12" t="n">
        <v>66</v>
      </c>
      <c r="M244" s="12" t="n">
        <v>152</v>
      </c>
      <c r="N244" s="12" t="n">
        <v>31</v>
      </c>
      <c r="O244" s="12" t="n">
        <v>8</v>
      </c>
      <c r="P244" s="12" t="n">
        <v>20</v>
      </c>
      <c r="Q244" s="12" t="n">
        <v>81</v>
      </c>
      <c r="R244" s="12" t="n">
        <v>46</v>
      </c>
      <c r="S244" s="12" t="n">
        <v>138</v>
      </c>
      <c r="T244" s="12" t="n">
        <v>3</v>
      </c>
      <c r="U244" s="12" t="n">
        <v>8</v>
      </c>
      <c r="V244" s="12" t="n">
        <v>4</v>
      </c>
      <c r="W244" s="12" t="n">
        <v>1</v>
      </c>
      <c r="X244" s="13" t="n">
        <f aca="false">M244+N244+2*O244+3*P244</f>
        <v>259</v>
      </c>
      <c r="Y244" s="14" t="n">
        <f aca="false">IF(K244=0,0,M244/K244)</f>
        <v>0.281481481481482</v>
      </c>
      <c r="Z244" s="14" t="n">
        <f aca="false">IF(K244+R244+T244+U244=0,0,(M244+R244+T244)/(K244+R244+T244+U244))</f>
        <v>0.336683417085427</v>
      </c>
      <c r="AA244" s="14" t="n">
        <f aca="false">IF(K244=0,0,X244/K244)</f>
        <v>0.47962962962963</v>
      </c>
      <c r="AB244" s="14" t="n">
        <f aca="false">Z244+AA244</f>
        <v>0.816313046715057</v>
      </c>
      <c r="AC244" s="14" t="n">
        <f aca="false">AA244-Y244</f>
        <v>0.198148148148148</v>
      </c>
      <c r="AD244" s="14" t="n">
        <f aca="false">IF(K244-S244-P244+U244=0,0,(M244-P244)/(K244-S244-P244+U244))</f>
        <v>0.338461538461539</v>
      </c>
      <c r="AE244" s="15" t="n">
        <f aca="false">IF(J244=0,0,R244/J244)</f>
        <v>0.0770519262981575</v>
      </c>
      <c r="AF244" s="15" t="n">
        <f aca="false">IF(J244=0,0,S244/J244)</f>
        <v>0.231155778894472</v>
      </c>
      <c r="AG244" s="11" t="n">
        <f aca="false">IF(J244&gt;=INDEX(球季參數!$E$2:$E$4,MATCH($A244,球季參數!$A$2:$A$4,0)),1,0)</f>
        <v>1</v>
      </c>
    </row>
    <row r="245" customFormat="false" ht="15" hidden="false" customHeight="false" outlineLevel="0" collapsed="false">
      <c r="A245" s="5" t="n">
        <v>2024</v>
      </c>
      <c r="B245" s="7" t="s">
        <v>1443</v>
      </c>
      <c r="C245" s="10" t="str">
        <f aca="false">INDEX(球員主檔!$B$2:$B$749,MATCH($B245,球員主檔!$A$2:$A$749,0))</f>
        <v>Camilo Ostrowski</v>
      </c>
      <c r="D245" s="7" t="s">
        <v>442</v>
      </c>
      <c r="E245" s="10" t="str">
        <f aca="false">INDEX(球隊主檔!$C$2:$C$31,MATCH($D245,球隊主檔!$A$2:$A$31,0))</f>
        <v>聖路易紅雀</v>
      </c>
      <c r="F245" s="10" t="str">
        <f aca="false">INDEX(球隊主檔!$D$2:$D$31,MATCH($D245,球隊主檔!$A$2:$A$31,0))</f>
        <v>國聯</v>
      </c>
      <c r="G245" s="7" t="s">
        <v>473</v>
      </c>
      <c r="H245" s="11" t="n">
        <f aca="false">INT((DATE($A245,7,1)-INDEX(球員主檔!$G$2:$G$749,MATCH($B245,球員主檔!$A$2:$A$749,0)))/365.25)</f>
        <v>30</v>
      </c>
      <c r="I245" s="12" t="n">
        <v>162</v>
      </c>
      <c r="J245" s="12" t="n">
        <v>694</v>
      </c>
      <c r="K245" s="12" t="n">
        <v>634</v>
      </c>
      <c r="L245" s="12" t="n">
        <v>64</v>
      </c>
      <c r="M245" s="12" t="n">
        <v>140</v>
      </c>
      <c r="N245" s="12" t="n">
        <v>33</v>
      </c>
      <c r="O245" s="12" t="n">
        <v>1</v>
      </c>
      <c r="P245" s="12" t="n">
        <v>14</v>
      </c>
      <c r="Q245" s="12" t="n">
        <v>58</v>
      </c>
      <c r="R245" s="12" t="n">
        <v>50</v>
      </c>
      <c r="S245" s="12" t="n">
        <v>88</v>
      </c>
      <c r="T245" s="12" t="n">
        <v>2</v>
      </c>
      <c r="U245" s="12" t="n">
        <v>8</v>
      </c>
      <c r="V245" s="12" t="n">
        <v>11</v>
      </c>
      <c r="W245" s="12" t="n">
        <v>2</v>
      </c>
      <c r="X245" s="13" t="n">
        <f aca="false">M245+N245+2*O245+3*P245</f>
        <v>217</v>
      </c>
      <c r="Y245" s="14" t="n">
        <f aca="false">IF(K245=0,0,M245/K245)</f>
        <v>0.220820189274448</v>
      </c>
      <c r="Z245" s="14" t="n">
        <f aca="false">IF(K245+R245+T245+U245=0,0,(M245+R245+T245)/(K245+R245+T245+U245))</f>
        <v>0.276657060518732</v>
      </c>
      <c r="AA245" s="14" t="n">
        <f aca="false">IF(K245=0,0,X245/K245)</f>
        <v>0.342271293375394</v>
      </c>
      <c r="AB245" s="14" t="n">
        <f aca="false">Z245+AA245</f>
        <v>0.618928353894126</v>
      </c>
      <c r="AC245" s="14" t="n">
        <f aca="false">AA245-Y245</f>
        <v>0.121451104100946</v>
      </c>
      <c r="AD245" s="14" t="n">
        <f aca="false">IF(K245-S245-P245+U245=0,0,(M245-P245)/(K245-S245-P245+U245))</f>
        <v>0.233333333333333</v>
      </c>
      <c r="AE245" s="15" t="n">
        <f aca="false">IF(J245=0,0,R245/J245)</f>
        <v>0.0720461095100865</v>
      </c>
      <c r="AF245" s="15" t="n">
        <f aca="false">IF(J245=0,0,S245/J245)</f>
        <v>0.126801152737752</v>
      </c>
      <c r="AG245" s="11" t="n">
        <f aca="false">IF(J245&gt;=INDEX(球季參數!$E$2:$E$4,MATCH($A245,球季參數!$A$2:$A$4,0)),1,0)</f>
        <v>1</v>
      </c>
    </row>
    <row r="246" customFormat="false" ht="15" hidden="false" customHeight="false" outlineLevel="0" collapsed="false">
      <c r="A246" s="5" t="n">
        <v>2024</v>
      </c>
      <c r="B246" s="7" t="s">
        <v>1445</v>
      </c>
      <c r="C246" s="10" t="str">
        <f aca="false">INDEX(球員主檔!$B$2:$B$749,MATCH($B246,球員主檔!$A$2:$A$749,0))</f>
        <v>Ulises Dunmore</v>
      </c>
      <c r="D246" s="7" t="s">
        <v>442</v>
      </c>
      <c r="E246" s="10" t="str">
        <f aca="false">INDEX(球隊主檔!$C$2:$C$31,MATCH($D246,球隊主檔!$A$2:$A$31,0))</f>
        <v>聖路易紅雀</v>
      </c>
      <c r="F246" s="10" t="str">
        <f aca="false">INDEX(球隊主檔!$D$2:$D$31,MATCH($D246,球隊主檔!$A$2:$A$31,0))</f>
        <v>國聯</v>
      </c>
      <c r="G246" s="7" t="s">
        <v>473</v>
      </c>
      <c r="H246" s="11" t="n">
        <f aca="false">INT((DATE($A246,7,1)-INDEX(球員主檔!$G$2:$G$749,MATCH($B246,球員主檔!$A$2:$A$749,0)))/365.25)</f>
        <v>25</v>
      </c>
      <c r="I246" s="12" t="n">
        <v>162</v>
      </c>
      <c r="J246" s="12" t="n">
        <v>672</v>
      </c>
      <c r="K246" s="12" t="n">
        <v>613</v>
      </c>
      <c r="L246" s="12" t="n">
        <v>94</v>
      </c>
      <c r="M246" s="12" t="n">
        <v>163</v>
      </c>
      <c r="N246" s="12" t="n">
        <v>29</v>
      </c>
      <c r="O246" s="12" t="n">
        <v>5</v>
      </c>
      <c r="P246" s="12" t="n">
        <v>25</v>
      </c>
      <c r="Q246" s="12" t="n">
        <v>96</v>
      </c>
      <c r="R246" s="12" t="n">
        <v>48</v>
      </c>
      <c r="S246" s="12" t="n">
        <v>152</v>
      </c>
      <c r="T246" s="12" t="n">
        <v>10</v>
      </c>
      <c r="U246" s="12" t="n">
        <v>1</v>
      </c>
      <c r="V246" s="12" t="n">
        <v>32</v>
      </c>
      <c r="W246" s="12" t="n">
        <v>7</v>
      </c>
      <c r="X246" s="13" t="n">
        <f aca="false">M246+N246+2*O246+3*P246</f>
        <v>277</v>
      </c>
      <c r="Y246" s="14" t="n">
        <f aca="false">IF(K246=0,0,M246/K246)</f>
        <v>0.265905383360522</v>
      </c>
      <c r="Z246" s="14" t="n">
        <f aca="false">IF(K246+R246+T246+U246=0,0,(M246+R246+T246)/(K246+R246+T246+U246))</f>
        <v>0.328869047619048</v>
      </c>
      <c r="AA246" s="14" t="n">
        <f aca="false">IF(K246=0,0,X246/K246)</f>
        <v>0.451876019575856</v>
      </c>
      <c r="AB246" s="14" t="n">
        <f aca="false">Z246+AA246</f>
        <v>0.780745067194904</v>
      </c>
      <c r="AC246" s="14" t="n">
        <f aca="false">AA246-Y246</f>
        <v>0.185970636215334</v>
      </c>
      <c r="AD246" s="14" t="n">
        <f aca="false">IF(K246-S246-P246+U246=0,0,(M246-P246)/(K246-S246-P246+U246))</f>
        <v>0.315789473684211</v>
      </c>
      <c r="AE246" s="15" t="n">
        <f aca="false">IF(J246=0,0,R246/J246)</f>
        <v>0.0714285714285714</v>
      </c>
      <c r="AF246" s="15" t="n">
        <f aca="false">IF(J246=0,0,S246/J246)</f>
        <v>0.226190476190476</v>
      </c>
      <c r="AG246" s="11" t="n">
        <f aca="false">IF(J246&gt;=INDEX(球季參數!$E$2:$E$4,MATCH($A246,球季參數!$A$2:$A$4,0)),1,0)</f>
        <v>1</v>
      </c>
    </row>
    <row r="247" customFormat="false" ht="15" hidden="false" customHeight="false" outlineLevel="0" collapsed="false">
      <c r="A247" s="5" t="n">
        <v>2024</v>
      </c>
      <c r="B247" s="7" t="s">
        <v>1447</v>
      </c>
      <c r="C247" s="10" t="str">
        <f aca="false">INDEX(球員主檔!$B$2:$B$749,MATCH($B247,球員主檔!$A$2:$A$749,0))</f>
        <v>Hugo Wainwright</v>
      </c>
      <c r="D247" s="7" t="s">
        <v>442</v>
      </c>
      <c r="E247" s="10" t="str">
        <f aca="false">INDEX(球隊主檔!$C$2:$C$31,MATCH($D247,球隊主檔!$A$2:$A$31,0))</f>
        <v>聖路易紅雀</v>
      </c>
      <c r="F247" s="10" t="str">
        <f aca="false">INDEX(球隊主檔!$D$2:$D$31,MATCH($D247,球隊主檔!$A$2:$A$31,0))</f>
        <v>國聯</v>
      </c>
      <c r="G247" s="7" t="s">
        <v>63</v>
      </c>
      <c r="H247" s="11" t="n">
        <f aca="false">INT((DATE($A247,7,1)-INDEX(球員主檔!$G$2:$G$749,MATCH($B247,球員主檔!$A$2:$A$749,0)))/365.25)</f>
        <v>26</v>
      </c>
      <c r="I247" s="12" t="n">
        <v>105</v>
      </c>
      <c r="J247" s="12" t="n">
        <v>413</v>
      </c>
      <c r="K247" s="12" t="n">
        <v>386</v>
      </c>
      <c r="L247" s="12" t="n">
        <v>67</v>
      </c>
      <c r="M247" s="12" t="n">
        <v>111</v>
      </c>
      <c r="N247" s="12" t="n">
        <v>25</v>
      </c>
      <c r="O247" s="12" t="n">
        <v>4</v>
      </c>
      <c r="P247" s="12" t="n">
        <v>35</v>
      </c>
      <c r="Q247" s="12" t="n">
        <v>93</v>
      </c>
      <c r="R247" s="12" t="n">
        <v>16</v>
      </c>
      <c r="S247" s="12" t="n">
        <v>78</v>
      </c>
      <c r="T247" s="12" t="n">
        <v>8</v>
      </c>
      <c r="U247" s="12" t="n">
        <v>3</v>
      </c>
      <c r="V247" s="12" t="n">
        <v>16</v>
      </c>
      <c r="W247" s="12" t="n">
        <v>2</v>
      </c>
      <c r="X247" s="13" t="n">
        <f aca="false">M247+N247+2*O247+3*P247</f>
        <v>249</v>
      </c>
      <c r="Y247" s="14" t="n">
        <f aca="false">IF(K247=0,0,M247/K247)</f>
        <v>0.287564766839378</v>
      </c>
      <c r="Z247" s="14" t="n">
        <f aca="false">IF(K247+R247+T247+U247=0,0,(M247+R247+T247)/(K247+R247+T247+U247))</f>
        <v>0.326876513317191</v>
      </c>
      <c r="AA247" s="14" t="n">
        <f aca="false">IF(K247=0,0,X247/K247)</f>
        <v>0.645077720207254</v>
      </c>
      <c r="AB247" s="14" t="n">
        <f aca="false">Z247+AA247</f>
        <v>0.971954233524445</v>
      </c>
      <c r="AC247" s="14" t="n">
        <f aca="false">AA247-Y247</f>
        <v>0.357512953367876</v>
      </c>
      <c r="AD247" s="14" t="n">
        <f aca="false">IF(K247-S247-P247+U247=0,0,(M247-P247)/(K247-S247-P247+U247))</f>
        <v>0.27536231884058</v>
      </c>
      <c r="AE247" s="15" t="n">
        <f aca="false">IF(J247=0,0,R247/J247)</f>
        <v>0.0387409200968523</v>
      </c>
      <c r="AF247" s="15" t="n">
        <f aca="false">IF(J247=0,0,S247/J247)</f>
        <v>0.188861985472155</v>
      </c>
      <c r="AG247" s="11" t="n">
        <f aca="false">IF(J247&gt;=INDEX(球季參數!$E$2:$E$4,MATCH($A247,球季參數!$A$2:$A$4,0)),1,0)</f>
        <v>0</v>
      </c>
    </row>
    <row r="248" customFormat="false" ht="15" hidden="false" customHeight="false" outlineLevel="0" collapsed="false">
      <c r="A248" s="5" t="n">
        <v>2024</v>
      </c>
      <c r="B248" s="7" t="s">
        <v>1449</v>
      </c>
      <c r="C248" s="10" t="str">
        <f aca="false">INDEX(球員主檔!$B$2:$B$749,MATCH($B248,球員主檔!$A$2:$A$749,0))</f>
        <v>Dorian Prendergast</v>
      </c>
      <c r="D248" s="7" t="s">
        <v>442</v>
      </c>
      <c r="E248" s="10" t="str">
        <f aca="false">INDEX(球隊主檔!$C$2:$C$31,MATCH($D248,球隊主檔!$A$2:$A$31,0))</f>
        <v>聖路易紅雀</v>
      </c>
      <c r="F248" s="10" t="str">
        <f aca="false">INDEX(球隊主檔!$D$2:$D$31,MATCH($D248,球隊主檔!$A$2:$A$31,0))</f>
        <v>國聯</v>
      </c>
      <c r="G248" s="7" t="s">
        <v>486</v>
      </c>
      <c r="H248" s="11" t="n">
        <f aca="false">INT((DATE($A248,7,1)-INDEX(球員主檔!$G$2:$G$749,MATCH($B248,球員主檔!$A$2:$A$749,0)))/365.25)</f>
        <v>30</v>
      </c>
      <c r="I248" s="12" t="n">
        <v>86</v>
      </c>
      <c r="J248" s="12" t="n">
        <v>368</v>
      </c>
      <c r="K248" s="12" t="n">
        <v>330</v>
      </c>
      <c r="L248" s="12" t="n">
        <v>47</v>
      </c>
      <c r="M248" s="12" t="n">
        <v>85</v>
      </c>
      <c r="N248" s="12" t="n">
        <v>32</v>
      </c>
      <c r="O248" s="12" t="n">
        <v>4</v>
      </c>
      <c r="P248" s="12" t="n">
        <v>7</v>
      </c>
      <c r="Q248" s="12" t="n">
        <v>31</v>
      </c>
      <c r="R248" s="12" t="n">
        <v>35</v>
      </c>
      <c r="S248" s="12" t="n">
        <v>86</v>
      </c>
      <c r="T248" s="12" t="n">
        <v>1</v>
      </c>
      <c r="U248" s="12" t="n">
        <v>2</v>
      </c>
      <c r="V248" s="12" t="n">
        <v>4</v>
      </c>
      <c r="W248" s="12" t="n">
        <v>1</v>
      </c>
      <c r="X248" s="13" t="n">
        <f aca="false">M248+N248+2*O248+3*P248</f>
        <v>146</v>
      </c>
      <c r="Y248" s="14" t="n">
        <f aca="false">IF(K248=0,0,M248/K248)</f>
        <v>0.257575757575758</v>
      </c>
      <c r="Z248" s="14" t="n">
        <f aca="false">IF(K248+R248+T248+U248=0,0,(M248+R248+T248)/(K248+R248+T248+U248))</f>
        <v>0.328804347826087</v>
      </c>
      <c r="AA248" s="14" t="n">
        <f aca="false">IF(K248=0,0,X248/K248)</f>
        <v>0.442424242424242</v>
      </c>
      <c r="AB248" s="14" t="n">
        <f aca="false">Z248+AA248</f>
        <v>0.771228590250329</v>
      </c>
      <c r="AC248" s="14" t="n">
        <f aca="false">AA248-Y248</f>
        <v>0.184848484848485</v>
      </c>
      <c r="AD248" s="14" t="n">
        <f aca="false">IF(K248-S248-P248+U248=0,0,(M248-P248)/(K248-S248-P248+U248))</f>
        <v>0.326359832635983</v>
      </c>
      <c r="AE248" s="15" t="n">
        <f aca="false">IF(J248=0,0,R248/J248)</f>
        <v>0.0951086956521739</v>
      </c>
      <c r="AF248" s="15" t="n">
        <f aca="false">IF(J248=0,0,S248/J248)</f>
        <v>0.233695652173913</v>
      </c>
      <c r="AG248" s="11" t="n">
        <f aca="false">IF(J248&gt;=INDEX(球季參數!$E$2:$E$4,MATCH($A248,球季參數!$A$2:$A$4,0)),1,0)</f>
        <v>0</v>
      </c>
    </row>
    <row r="249" customFormat="false" ht="15" hidden="false" customHeight="false" outlineLevel="0" collapsed="false">
      <c r="A249" s="5" t="n">
        <v>2024</v>
      </c>
      <c r="B249" s="7" t="s">
        <v>1451</v>
      </c>
      <c r="C249" s="10" t="str">
        <f aca="false">INDEX(球員主檔!$B$2:$B$749,MATCH($B249,球員主檔!$A$2:$A$749,0))</f>
        <v>Alonso Ravenscroft</v>
      </c>
      <c r="D249" s="7" t="s">
        <v>442</v>
      </c>
      <c r="E249" s="10" t="str">
        <f aca="false">INDEX(球隊主檔!$C$2:$C$31,MATCH($D249,球隊主檔!$A$2:$A$31,0))</f>
        <v>聖路易紅雀</v>
      </c>
      <c r="F249" s="10" t="str">
        <f aca="false">INDEX(球隊主檔!$D$2:$D$31,MATCH($D249,球隊主檔!$A$2:$A$31,0))</f>
        <v>國聯</v>
      </c>
      <c r="G249" s="7" t="s">
        <v>162</v>
      </c>
      <c r="H249" s="11" t="n">
        <f aca="false">INT((DATE($A249,7,1)-INDEX(球員主檔!$G$2:$G$749,MATCH($B249,球員主檔!$A$2:$A$749,0)))/365.25)</f>
        <v>27</v>
      </c>
      <c r="I249" s="12" t="n">
        <v>126</v>
      </c>
      <c r="J249" s="12" t="n">
        <v>488</v>
      </c>
      <c r="K249" s="12" t="n">
        <v>453</v>
      </c>
      <c r="L249" s="12" t="n">
        <v>70</v>
      </c>
      <c r="M249" s="12" t="n">
        <v>117</v>
      </c>
      <c r="N249" s="12" t="n">
        <v>22</v>
      </c>
      <c r="O249" s="12" t="n">
        <v>6</v>
      </c>
      <c r="P249" s="12" t="n">
        <v>28</v>
      </c>
      <c r="Q249" s="12" t="n">
        <v>83</v>
      </c>
      <c r="R249" s="12" t="n">
        <v>29</v>
      </c>
      <c r="S249" s="12" t="n">
        <v>138</v>
      </c>
      <c r="T249" s="12" t="n">
        <v>2</v>
      </c>
      <c r="U249" s="12" t="n">
        <v>4</v>
      </c>
      <c r="V249" s="12" t="n">
        <v>20</v>
      </c>
      <c r="W249" s="12" t="n">
        <v>2</v>
      </c>
      <c r="X249" s="13" t="n">
        <f aca="false">M249+N249+2*O249+3*P249</f>
        <v>235</v>
      </c>
      <c r="Y249" s="14" t="n">
        <f aca="false">IF(K249=0,0,M249/K249)</f>
        <v>0.258278145695364</v>
      </c>
      <c r="Z249" s="14" t="n">
        <f aca="false">IF(K249+R249+T249+U249=0,0,(M249+R249+T249)/(K249+R249+T249+U249))</f>
        <v>0.30327868852459</v>
      </c>
      <c r="AA249" s="14" t="n">
        <f aca="false">IF(K249=0,0,X249/K249)</f>
        <v>0.518763796909492</v>
      </c>
      <c r="AB249" s="14" t="n">
        <f aca="false">Z249+AA249</f>
        <v>0.822042485434082</v>
      </c>
      <c r="AC249" s="14" t="n">
        <f aca="false">AA249-Y249</f>
        <v>0.260485651214128</v>
      </c>
      <c r="AD249" s="14" t="n">
        <f aca="false">IF(K249-S249-P249+U249=0,0,(M249-P249)/(K249-S249-P249+U249))</f>
        <v>0.305841924398625</v>
      </c>
      <c r="AE249" s="15" t="n">
        <f aca="false">IF(J249=0,0,R249/J249)</f>
        <v>0.0594262295081967</v>
      </c>
      <c r="AF249" s="15" t="n">
        <f aca="false">IF(J249=0,0,S249/J249)</f>
        <v>0.282786885245902</v>
      </c>
      <c r="AG249" s="11" t="n">
        <f aca="false">IF(J249&gt;=INDEX(球季參數!$E$2:$E$4,MATCH($A249,球季參數!$A$2:$A$4,0)),1,0)</f>
        <v>0</v>
      </c>
    </row>
    <row r="250" customFormat="false" ht="15" hidden="false" customHeight="false" outlineLevel="0" collapsed="false">
      <c r="A250" s="5" t="n">
        <v>2024</v>
      </c>
      <c r="B250" s="7" t="s">
        <v>1453</v>
      </c>
      <c r="C250" s="10" t="str">
        <f aca="false">INDEX(球員主檔!$B$2:$B$749,MATCH($B250,球員主檔!$A$2:$A$749,0))</f>
        <v>Porter Ingersoll</v>
      </c>
      <c r="D250" s="7" t="s">
        <v>442</v>
      </c>
      <c r="E250" s="10" t="str">
        <f aca="false">INDEX(球隊主檔!$C$2:$C$31,MATCH($D250,球隊主檔!$A$2:$A$31,0))</f>
        <v>聖路易紅雀</v>
      </c>
      <c r="F250" s="10" t="str">
        <f aca="false">INDEX(球隊主檔!$D$2:$D$31,MATCH($D250,球隊主檔!$A$2:$A$31,0))</f>
        <v>國聯</v>
      </c>
      <c r="G250" s="7" t="s">
        <v>478</v>
      </c>
      <c r="H250" s="11" t="n">
        <f aca="false">INT((DATE($A250,7,1)-INDEX(球員主檔!$G$2:$G$749,MATCH($B250,球員主檔!$A$2:$A$749,0)))/365.25)</f>
        <v>33</v>
      </c>
      <c r="I250" s="12" t="n">
        <v>63</v>
      </c>
      <c r="J250" s="12" t="n">
        <v>269</v>
      </c>
      <c r="K250" s="12" t="n">
        <v>246</v>
      </c>
      <c r="L250" s="12" t="n">
        <v>29</v>
      </c>
      <c r="M250" s="12" t="n">
        <v>57</v>
      </c>
      <c r="N250" s="12" t="n">
        <v>18</v>
      </c>
      <c r="O250" s="12" t="n">
        <v>10</v>
      </c>
      <c r="P250" s="12" t="n">
        <v>6</v>
      </c>
      <c r="Q250" s="12" t="n">
        <v>23</v>
      </c>
      <c r="R250" s="12" t="n">
        <v>18</v>
      </c>
      <c r="S250" s="12" t="n">
        <v>61</v>
      </c>
      <c r="T250" s="12" t="n">
        <v>2</v>
      </c>
      <c r="U250" s="12" t="n">
        <v>3</v>
      </c>
      <c r="V250" s="12" t="n">
        <v>2</v>
      </c>
      <c r="W250" s="12" t="n">
        <v>1</v>
      </c>
      <c r="X250" s="13" t="n">
        <f aca="false">M250+N250+2*O250+3*P250</f>
        <v>113</v>
      </c>
      <c r="Y250" s="14" t="n">
        <f aca="false">IF(K250=0,0,M250/K250)</f>
        <v>0.231707317073171</v>
      </c>
      <c r="Z250" s="14" t="n">
        <f aca="false">IF(K250+R250+T250+U250=0,0,(M250+R250+T250)/(K250+R250+T250+U250))</f>
        <v>0.286245353159851</v>
      </c>
      <c r="AA250" s="14" t="n">
        <f aca="false">IF(K250=0,0,X250/K250)</f>
        <v>0.459349593495935</v>
      </c>
      <c r="AB250" s="14" t="n">
        <f aca="false">Z250+AA250</f>
        <v>0.745594946655786</v>
      </c>
      <c r="AC250" s="14" t="n">
        <f aca="false">AA250-Y250</f>
        <v>0.227642276422764</v>
      </c>
      <c r="AD250" s="14" t="n">
        <f aca="false">IF(K250-S250-P250+U250=0,0,(M250-P250)/(K250-S250-P250+U250))</f>
        <v>0.28021978021978</v>
      </c>
      <c r="AE250" s="15" t="n">
        <f aca="false">IF(J250=0,0,R250/J250)</f>
        <v>0.0669144981412639</v>
      </c>
      <c r="AF250" s="15" t="n">
        <f aca="false">IF(J250=0,0,S250/J250)</f>
        <v>0.226765799256506</v>
      </c>
      <c r="AG250" s="11" t="n">
        <f aca="false">IF(J250&gt;=INDEX(球季參數!$E$2:$E$4,MATCH($A250,球季參數!$A$2:$A$4,0)),1,0)</f>
        <v>0</v>
      </c>
    </row>
    <row r="251" customFormat="false" ht="15" hidden="false" customHeight="false" outlineLevel="0" collapsed="false">
      <c r="A251" s="5" t="n">
        <v>2024</v>
      </c>
      <c r="B251" s="7" t="s">
        <v>1455</v>
      </c>
      <c r="C251" s="10" t="str">
        <f aca="false">INDEX(球員主檔!$B$2:$B$749,MATCH($B251,球員主檔!$A$2:$A$749,0))</f>
        <v>Hugo Fairbanks</v>
      </c>
      <c r="D251" s="7" t="s">
        <v>442</v>
      </c>
      <c r="E251" s="10" t="str">
        <f aca="false">INDEX(球隊主檔!$C$2:$C$31,MATCH($D251,球隊主檔!$A$2:$A$31,0))</f>
        <v>聖路易紅雀</v>
      </c>
      <c r="F251" s="10" t="str">
        <f aca="false">INDEX(球隊主檔!$D$2:$D$31,MATCH($D251,球隊主檔!$A$2:$A$31,0))</f>
        <v>國聯</v>
      </c>
      <c r="G251" s="7" t="s">
        <v>486</v>
      </c>
      <c r="H251" s="11" t="n">
        <f aca="false">INT((DATE($A251,7,1)-INDEX(球員主檔!$G$2:$G$749,MATCH($B251,球員主檔!$A$2:$A$749,0)))/365.25)</f>
        <v>33</v>
      </c>
      <c r="I251" s="12" t="n">
        <v>62</v>
      </c>
      <c r="J251" s="12" t="n">
        <v>267</v>
      </c>
      <c r="K251" s="12" t="n">
        <v>227</v>
      </c>
      <c r="L251" s="12" t="n">
        <v>35</v>
      </c>
      <c r="M251" s="12" t="n">
        <v>61</v>
      </c>
      <c r="N251" s="12" t="n">
        <v>31</v>
      </c>
      <c r="O251" s="12" t="n">
        <v>2</v>
      </c>
      <c r="P251" s="12" t="n">
        <v>4</v>
      </c>
      <c r="Q251" s="12" t="n">
        <v>19</v>
      </c>
      <c r="R251" s="12" t="n">
        <v>38</v>
      </c>
      <c r="S251" s="12" t="n">
        <v>70</v>
      </c>
      <c r="T251" s="12" t="n">
        <v>1</v>
      </c>
      <c r="U251" s="12" t="n">
        <v>1</v>
      </c>
      <c r="V251" s="12" t="n">
        <v>17</v>
      </c>
      <c r="W251" s="12" t="n">
        <v>6</v>
      </c>
      <c r="X251" s="13" t="n">
        <f aca="false">M251+N251+2*O251+3*P251</f>
        <v>108</v>
      </c>
      <c r="Y251" s="14" t="n">
        <f aca="false">IF(K251=0,0,M251/K251)</f>
        <v>0.268722466960352</v>
      </c>
      <c r="Z251" s="14" t="n">
        <f aca="false">IF(K251+R251+T251+U251=0,0,(M251+R251+T251)/(K251+R251+T251+U251))</f>
        <v>0.374531835205993</v>
      </c>
      <c r="AA251" s="14" t="n">
        <f aca="false">IF(K251=0,0,X251/K251)</f>
        <v>0.475770925110132</v>
      </c>
      <c r="AB251" s="14" t="n">
        <f aca="false">Z251+AA251</f>
        <v>0.850302760316125</v>
      </c>
      <c r="AC251" s="14" t="n">
        <f aca="false">AA251-Y251</f>
        <v>0.20704845814978</v>
      </c>
      <c r="AD251" s="14" t="n">
        <f aca="false">IF(K251-S251-P251+U251=0,0,(M251-P251)/(K251-S251-P251+U251))</f>
        <v>0.37012987012987</v>
      </c>
      <c r="AE251" s="15" t="n">
        <f aca="false">IF(J251=0,0,R251/J251)</f>
        <v>0.142322097378277</v>
      </c>
      <c r="AF251" s="15" t="n">
        <f aca="false">IF(J251=0,0,S251/J251)</f>
        <v>0.262172284644195</v>
      </c>
      <c r="AG251" s="11" t="n">
        <f aca="false">IF(J251&gt;=INDEX(球季參數!$E$2:$E$4,MATCH($A251,球季參數!$A$2:$A$4,0)),1,0)</f>
        <v>0</v>
      </c>
    </row>
    <row r="252" customFormat="false" ht="15" hidden="false" customHeight="false" outlineLevel="0" collapsed="false">
      <c r="A252" s="5" t="n">
        <v>2024</v>
      </c>
      <c r="B252" s="7" t="s">
        <v>1477</v>
      </c>
      <c r="C252" s="10" t="str">
        <f aca="false">INDEX(球員主檔!$B$2:$B$749,MATCH($B252,球員主檔!$A$2:$A$749,0))</f>
        <v>Alonso Jovanović</v>
      </c>
      <c r="D252" s="7" t="s">
        <v>446</v>
      </c>
      <c r="E252" s="10" t="str">
        <f aca="false">INDEX(球隊主檔!$C$2:$C$31,MATCH($D252,球隊主檔!$A$2:$A$31,0))</f>
        <v>亞利桑那響尾蛇</v>
      </c>
      <c r="F252" s="10" t="str">
        <f aca="false">INDEX(球隊主檔!$D$2:$D$31,MATCH($D252,球隊主檔!$A$2:$A$31,0))</f>
        <v>國聯</v>
      </c>
      <c r="G252" s="7" t="s">
        <v>486</v>
      </c>
      <c r="H252" s="11" t="n">
        <f aca="false">INT((DATE($A252,7,1)-INDEX(球員主檔!$G$2:$G$749,MATCH($B252,球員主檔!$A$2:$A$749,0)))/365.25)</f>
        <v>31</v>
      </c>
      <c r="I252" s="12" t="n">
        <v>144</v>
      </c>
      <c r="J252" s="12" t="n">
        <v>624</v>
      </c>
      <c r="K252" s="12" t="n">
        <v>549</v>
      </c>
      <c r="L252" s="12" t="n">
        <v>72</v>
      </c>
      <c r="M252" s="12" t="n">
        <v>140</v>
      </c>
      <c r="N252" s="12" t="n">
        <v>38</v>
      </c>
      <c r="O252" s="12" t="n">
        <v>4</v>
      </c>
      <c r="P252" s="12" t="n">
        <v>15</v>
      </c>
      <c r="Q252" s="12" t="n">
        <v>68</v>
      </c>
      <c r="R252" s="12" t="n">
        <v>61</v>
      </c>
      <c r="S252" s="12" t="n">
        <v>138</v>
      </c>
      <c r="T252" s="12" t="n">
        <v>6</v>
      </c>
      <c r="U252" s="12" t="n">
        <v>8</v>
      </c>
      <c r="V252" s="12" t="n">
        <v>12</v>
      </c>
      <c r="W252" s="12" t="n">
        <v>3</v>
      </c>
      <c r="X252" s="13" t="n">
        <f aca="false">M252+N252+2*O252+3*P252</f>
        <v>231</v>
      </c>
      <c r="Y252" s="14" t="n">
        <f aca="false">IF(K252=0,0,M252/K252)</f>
        <v>0.255009107468124</v>
      </c>
      <c r="Z252" s="14" t="n">
        <f aca="false">IF(K252+R252+T252+U252=0,0,(M252+R252+T252)/(K252+R252+T252+U252))</f>
        <v>0.331730769230769</v>
      </c>
      <c r="AA252" s="14" t="n">
        <f aca="false">IF(K252=0,0,X252/K252)</f>
        <v>0.420765027322404</v>
      </c>
      <c r="AB252" s="14" t="n">
        <f aca="false">Z252+AA252</f>
        <v>0.752495796553174</v>
      </c>
      <c r="AC252" s="14" t="n">
        <f aca="false">AA252-Y252</f>
        <v>0.165755919854281</v>
      </c>
      <c r="AD252" s="14" t="n">
        <f aca="false">IF(K252-S252-P252+U252=0,0,(M252-P252)/(K252-S252-P252+U252))</f>
        <v>0.309405940594059</v>
      </c>
      <c r="AE252" s="15" t="n">
        <f aca="false">IF(J252=0,0,R252/J252)</f>
        <v>0.0977564102564103</v>
      </c>
      <c r="AF252" s="15" t="n">
        <f aca="false">IF(J252=0,0,S252/J252)</f>
        <v>0.221153846153846</v>
      </c>
      <c r="AG252" s="11" t="n">
        <f aca="false">IF(J252&gt;=INDEX(球季參數!$E$2:$E$4,MATCH($A252,球季參數!$A$2:$A$4,0)),1,0)</f>
        <v>1</v>
      </c>
    </row>
    <row r="253" customFormat="false" ht="15" hidden="false" customHeight="false" outlineLevel="0" collapsed="false">
      <c r="A253" s="5" t="n">
        <v>2024</v>
      </c>
      <c r="B253" s="7" t="s">
        <v>1479</v>
      </c>
      <c r="C253" s="10" t="str">
        <f aca="false">INDEX(球員主檔!$B$2:$B$749,MATCH($B253,球員主檔!$A$2:$A$749,0))</f>
        <v>Thiago Nakagawa</v>
      </c>
      <c r="D253" s="7" t="s">
        <v>446</v>
      </c>
      <c r="E253" s="10" t="str">
        <f aca="false">INDEX(球隊主檔!$C$2:$C$31,MATCH($D253,球隊主檔!$A$2:$A$31,0))</f>
        <v>亞利桑那響尾蛇</v>
      </c>
      <c r="F253" s="10" t="str">
        <f aca="false">INDEX(球隊主檔!$D$2:$D$31,MATCH($D253,球隊主檔!$A$2:$A$31,0))</f>
        <v>國聯</v>
      </c>
      <c r="G253" s="7" t="s">
        <v>470</v>
      </c>
      <c r="H253" s="11" t="n">
        <f aca="false">INT((DATE($A253,7,1)-INDEX(球員主檔!$G$2:$G$749,MATCH($B253,球員主檔!$A$2:$A$749,0)))/365.25)</f>
        <v>27</v>
      </c>
      <c r="I253" s="12" t="n">
        <v>138</v>
      </c>
      <c r="J253" s="12" t="n">
        <v>597</v>
      </c>
      <c r="K253" s="12" t="n">
        <v>528</v>
      </c>
      <c r="L253" s="12" t="n">
        <v>70</v>
      </c>
      <c r="M253" s="12" t="n">
        <v>128</v>
      </c>
      <c r="N253" s="12" t="n">
        <v>35</v>
      </c>
      <c r="O253" s="12" t="n">
        <v>10</v>
      </c>
      <c r="P253" s="12" t="n">
        <v>22</v>
      </c>
      <c r="Q253" s="12" t="n">
        <v>78</v>
      </c>
      <c r="R253" s="12" t="n">
        <v>57</v>
      </c>
      <c r="S253" s="12" t="n">
        <v>160</v>
      </c>
      <c r="T253" s="12" t="n">
        <v>7</v>
      </c>
      <c r="U253" s="12" t="n">
        <v>5</v>
      </c>
      <c r="V253" s="12" t="n">
        <v>14</v>
      </c>
      <c r="W253" s="12" t="n">
        <v>2</v>
      </c>
      <c r="X253" s="13" t="n">
        <f aca="false">M253+N253+2*O253+3*P253</f>
        <v>249</v>
      </c>
      <c r="Y253" s="14" t="n">
        <f aca="false">IF(K253=0,0,M253/K253)</f>
        <v>0.242424242424242</v>
      </c>
      <c r="Z253" s="14" t="n">
        <f aca="false">IF(K253+R253+T253+U253=0,0,(M253+R253+T253)/(K253+R253+T253+U253))</f>
        <v>0.321608040201005</v>
      </c>
      <c r="AA253" s="14" t="n">
        <f aca="false">IF(K253=0,0,X253/K253)</f>
        <v>0.471590909090909</v>
      </c>
      <c r="AB253" s="14" t="n">
        <f aca="false">Z253+AA253</f>
        <v>0.793198949291914</v>
      </c>
      <c r="AC253" s="14" t="n">
        <f aca="false">AA253-Y253</f>
        <v>0.229166666666667</v>
      </c>
      <c r="AD253" s="14" t="n">
        <f aca="false">IF(K253-S253-P253+U253=0,0,(M253-P253)/(K253-S253-P253+U253))</f>
        <v>0.301994301994302</v>
      </c>
      <c r="AE253" s="15" t="n">
        <f aca="false">IF(J253=0,0,R253/J253)</f>
        <v>0.0954773869346734</v>
      </c>
      <c r="AF253" s="15" t="n">
        <f aca="false">IF(J253=0,0,S253/J253)</f>
        <v>0.268006700167504</v>
      </c>
      <c r="AG253" s="11" t="n">
        <f aca="false">IF(J253&gt;=INDEX(球季參數!$E$2:$E$4,MATCH($A253,球季參數!$A$2:$A$4,0)),1,0)</f>
        <v>1</v>
      </c>
    </row>
    <row r="254" customFormat="false" ht="15" hidden="false" customHeight="false" outlineLevel="0" collapsed="false">
      <c r="A254" s="5" t="n">
        <v>2024</v>
      </c>
      <c r="B254" s="7" t="s">
        <v>1481</v>
      </c>
      <c r="C254" s="10" t="str">
        <f aca="false">INDEX(球員主檔!$B$2:$B$749,MATCH($B254,球員主檔!$A$2:$A$749,0))</f>
        <v>Isaias Okafor</v>
      </c>
      <c r="D254" s="7" t="s">
        <v>446</v>
      </c>
      <c r="E254" s="10" t="str">
        <f aca="false">INDEX(球隊主檔!$C$2:$C$31,MATCH($D254,球隊主檔!$A$2:$A$31,0))</f>
        <v>亞利桑那響尾蛇</v>
      </c>
      <c r="F254" s="10" t="str">
        <f aca="false">INDEX(球隊主檔!$D$2:$D$31,MATCH($D254,球隊主檔!$A$2:$A$31,0))</f>
        <v>國聯</v>
      </c>
      <c r="G254" s="7" t="s">
        <v>470</v>
      </c>
      <c r="H254" s="11" t="n">
        <f aca="false">INT((DATE($A254,7,1)-INDEX(球員主檔!$G$2:$G$749,MATCH($B254,球員主檔!$A$2:$A$749,0)))/365.25)</f>
        <v>26</v>
      </c>
      <c r="I254" s="12" t="n">
        <v>147</v>
      </c>
      <c r="J254" s="12" t="n">
        <v>577</v>
      </c>
      <c r="K254" s="12" t="n">
        <v>549</v>
      </c>
      <c r="L254" s="12" t="n">
        <v>48</v>
      </c>
      <c r="M254" s="12" t="n">
        <v>110</v>
      </c>
      <c r="N254" s="12" t="n">
        <v>22</v>
      </c>
      <c r="O254" s="12" t="n">
        <v>5</v>
      </c>
      <c r="P254" s="12" t="n">
        <v>11</v>
      </c>
      <c r="Q254" s="12" t="n">
        <v>50</v>
      </c>
      <c r="R254" s="12" t="n">
        <v>15</v>
      </c>
      <c r="S254" s="12" t="n">
        <v>163</v>
      </c>
      <c r="T254" s="12" t="n">
        <v>12</v>
      </c>
      <c r="U254" s="12" t="n">
        <v>1</v>
      </c>
      <c r="V254" s="12" t="n">
        <v>10</v>
      </c>
      <c r="W254" s="12" t="n">
        <v>2</v>
      </c>
      <c r="X254" s="13" t="n">
        <f aca="false">M254+N254+2*O254+3*P254</f>
        <v>175</v>
      </c>
      <c r="Y254" s="14" t="n">
        <f aca="false">IF(K254=0,0,M254/K254)</f>
        <v>0.200364298724954</v>
      </c>
      <c r="Z254" s="14" t="n">
        <f aca="false">IF(K254+R254+T254+U254=0,0,(M254+R254+T254)/(K254+R254+T254+U254))</f>
        <v>0.237435008665511</v>
      </c>
      <c r="AA254" s="14" t="n">
        <f aca="false">IF(K254=0,0,X254/K254)</f>
        <v>0.318761384335155</v>
      </c>
      <c r="AB254" s="14" t="n">
        <f aca="false">Z254+AA254</f>
        <v>0.556196393000666</v>
      </c>
      <c r="AC254" s="14" t="n">
        <f aca="false">AA254-Y254</f>
        <v>0.1183970856102</v>
      </c>
      <c r="AD254" s="14" t="n">
        <f aca="false">IF(K254-S254-P254+U254=0,0,(M254-P254)/(K254-S254-P254+U254))</f>
        <v>0.263297872340426</v>
      </c>
      <c r="AE254" s="15" t="n">
        <f aca="false">IF(J254=0,0,R254/J254)</f>
        <v>0.0259965337954939</v>
      </c>
      <c r="AF254" s="15" t="n">
        <f aca="false">IF(J254=0,0,S254/J254)</f>
        <v>0.282495667244367</v>
      </c>
      <c r="AG254" s="11" t="n">
        <f aca="false">IF(J254&gt;=INDEX(球季參數!$E$2:$E$4,MATCH($A254,球季參數!$A$2:$A$4,0)),1,0)</f>
        <v>1</v>
      </c>
    </row>
    <row r="255" customFormat="false" ht="15" hidden="false" customHeight="false" outlineLevel="0" collapsed="false">
      <c r="A255" s="5" t="n">
        <v>2024</v>
      </c>
      <c r="B255" s="7" t="s">
        <v>1483</v>
      </c>
      <c r="C255" s="10" t="str">
        <f aca="false">INDEX(球員主檔!$B$2:$B$749,MATCH($B255,球員主檔!$A$2:$A$749,0))</f>
        <v>Jedidiah Kowalczyk</v>
      </c>
      <c r="D255" s="7" t="s">
        <v>446</v>
      </c>
      <c r="E255" s="10" t="str">
        <f aca="false">INDEX(球隊主檔!$C$2:$C$31,MATCH($D255,球隊主檔!$A$2:$A$31,0))</f>
        <v>亞利桑那響尾蛇</v>
      </c>
      <c r="F255" s="10" t="str">
        <f aca="false">INDEX(球隊主檔!$D$2:$D$31,MATCH($D255,球隊主檔!$A$2:$A$31,0))</f>
        <v>國聯</v>
      </c>
      <c r="G255" s="7" t="s">
        <v>483</v>
      </c>
      <c r="H255" s="11" t="n">
        <f aca="false">INT((DATE($A255,7,1)-INDEX(球員主檔!$G$2:$G$749,MATCH($B255,球員主檔!$A$2:$A$749,0)))/365.25)</f>
        <v>27</v>
      </c>
      <c r="I255" s="12" t="n">
        <v>146</v>
      </c>
      <c r="J255" s="12" t="n">
        <v>591</v>
      </c>
      <c r="K255" s="12" t="n">
        <v>534</v>
      </c>
      <c r="L255" s="12" t="n">
        <v>69</v>
      </c>
      <c r="M255" s="12" t="n">
        <v>164</v>
      </c>
      <c r="N255" s="12" t="n">
        <v>37</v>
      </c>
      <c r="O255" s="12" t="n">
        <v>3</v>
      </c>
      <c r="P255" s="12" t="n">
        <v>7</v>
      </c>
      <c r="Q255" s="12" t="n">
        <v>52</v>
      </c>
      <c r="R255" s="12" t="n">
        <v>50</v>
      </c>
      <c r="S255" s="12" t="n">
        <v>89</v>
      </c>
      <c r="T255" s="12" t="n">
        <v>3</v>
      </c>
      <c r="U255" s="12" t="n">
        <v>4</v>
      </c>
      <c r="V255" s="12" t="n">
        <v>42</v>
      </c>
      <c r="W255" s="12" t="n">
        <v>5</v>
      </c>
      <c r="X255" s="13" t="n">
        <f aca="false">M255+N255+2*O255+3*P255</f>
        <v>228</v>
      </c>
      <c r="Y255" s="14" t="n">
        <f aca="false">IF(K255=0,0,M255/K255)</f>
        <v>0.307116104868914</v>
      </c>
      <c r="Z255" s="14" t="n">
        <f aca="false">IF(K255+R255+T255+U255=0,0,(M255+R255+T255)/(K255+R255+T255+U255))</f>
        <v>0.367174280879865</v>
      </c>
      <c r="AA255" s="14" t="n">
        <f aca="false">IF(K255=0,0,X255/K255)</f>
        <v>0.426966292134831</v>
      </c>
      <c r="AB255" s="14" t="n">
        <f aca="false">Z255+AA255</f>
        <v>0.794140573014696</v>
      </c>
      <c r="AC255" s="14" t="n">
        <f aca="false">AA255-Y255</f>
        <v>0.119850187265918</v>
      </c>
      <c r="AD255" s="14" t="n">
        <f aca="false">IF(K255-S255-P255+U255=0,0,(M255-P255)/(K255-S255-P255+U255))</f>
        <v>0.355203619909502</v>
      </c>
      <c r="AE255" s="15" t="n">
        <f aca="false">IF(J255=0,0,R255/J255)</f>
        <v>0.0846023688663283</v>
      </c>
      <c r="AF255" s="15" t="n">
        <f aca="false">IF(J255=0,0,S255/J255)</f>
        <v>0.150592216582064</v>
      </c>
      <c r="AG255" s="11" t="n">
        <f aca="false">IF(J255&gt;=INDEX(球季參數!$E$2:$E$4,MATCH($A255,球季參數!$A$2:$A$4,0)),1,0)</f>
        <v>1</v>
      </c>
    </row>
    <row r="256" customFormat="false" ht="15" hidden="false" customHeight="false" outlineLevel="0" collapsed="false">
      <c r="A256" s="5" t="n">
        <v>2024</v>
      </c>
      <c r="B256" s="7" t="s">
        <v>1485</v>
      </c>
      <c r="C256" s="10" t="str">
        <f aca="false">INDEX(球員主檔!$B$2:$B$749,MATCH($B256,球員主檔!$A$2:$A$749,0))</f>
        <v>Ignacio Zbornak</v>
      </c>
      <c r="D256" s="7" t="s">
        <v>446</v>
      </c>
      <c r="E256" s="10" t="str">
        <f aca="false">INDEX(球隊主檔!$C$2:$C$31,MATCH($D256,球隊主檔!$A$2:$A$31,0))</f>
        <v>亞利桑那響尾蛇</v>
      </c>
      <c r="F256" s="10" t="str">
        <f aca="false">INDEX(球隊主檔!$D$2:$D$31,MATCH($D256,球隊主檔!$A$2:$A$31,0))</f>
        <v>國聯</v>
      </c>
      <c r="G256" s="7" t="s">
        <v>483</v>
      </c>
      <c r="H256" s="11" t="n">
        <f aca="false">INT((DATE($A256,7,1)-INDEX(球員主檔!$G$2:$G$749,MATCH($B256,球員主檔!$A$2:$A$749,0)))/365.25)</f>
        <v>30</v>
      </c>
      <c r="I256" s="12" t="n">
        <v>131</v>
      </c>
      <c r="J256" s="12" t="n">
        <v>565</v>
      </c>
      <c r="K256" s="12" t="n">
        <v>489</v>
      </c>
      <c r="L256" s="12" t="n">
        <v>60</v>
      </c>
      <c r="M256" s="12" t="n">
        <v>129</v>
      </c>
      <c r="N256" s="12" t="n">
        <v>33</v>
      </c>
      <c r="O256" s="12" t="n">
        <v>3</v>
      </c>
      <c r="P256" s="12" t="n">
        <v>16</v>
      </c>
      <c r="Q256" s="12" t="n">
        <v>69</v>
      </c>
      <c r="R256" s="12" t="n">
        <v>67</v>
      </c>
      <c r="S256" s="12" t="n">
        <v>114</v>
      </c>
      <c r="T256" s="12" t="n">
        <v>5</v>
      </c>
      <c r="U256" s="12" t="n">
        <v>4</v>
      </c>
      <c r="V256" s="12" t="n">
        <v>17</v>
      </c>
      <c r="W256" s="12" t="n">
        <v>3</v>
      </c>
      <c r="X256" s="13" t="n">
        <f aca="false">M256+N256+2*O256+3*P256</f>
        <v>216</v>
      </c>
      <c r="Y256" s="14" t="n">
        <f aca="false">IF(K256=0,0,M256/K256)</f>
        <v>0.263803680981595</v>
      </c>
      <c r="Z256" s="14" t="n">
        <f aca="false">IF(K256+R256+T256+U256=0,0,(M256+R256+T256)/(K256+R256+T256+U256))</f>
        <v>0.355752212389381</v>
      </c>
      <c r="AA256" s="14" t="n">
        <f aca="false">IF(K256=0,0,X256/K256)</f>
        <v>0.441717791411043</v>
      </c>
      <c r="AB256" s="14" t="n">
        <f aca="false">Z256+AA256</f>
        <v>0.797470003800423</v>
      </c>
      <c r="AC256" s="14" t="n">
        <f aca="false">AA256-Y256</f>
        <v>0.177914110429448</v>
      </c>
      <c r="AD256" s="14" t="n">
        <f aca="false">IF(K256-S256-P256+U256=0,0,(M256-P256)/(K256-S256-P256+U256))</f>
        <v>0.31129476584022</v>
      </c>
      <c r="AE256" s="15" t="n">
        <f aca="false">IF(J256=0,0,R256/J256)</f>
        <v>0.11858407079646</v>
      </c>
      <c r="AF256" s="15" t="n">
        <f aca="false">IF(J256=0,0,S256/J256)</f>
        <v>0.201769911504425</v>
      </c>
      <c r="AG256" s="11" t="n">
        <f aca="false">IF(J256&gt;=INDEX(球季參數!$E$2:$E$4,MATCH($A256,球季參數!$A$2:$A$4,0)),1,0)</f>
        <v>1</v>
      </c>
    </row>
    <row r="257" customFormat="false" ht="15" hidden="false" customHeight="false" outlineLevel="0" collapsed="false">
      <c r="A257" s="5" t="n">
        <v>2024</v>
      </c>
      <c r="B257" s="7" t="s">
        <v>1487</v>
      </c>
      <c r="C257" s="10" t="str">
        <f aca="false">INDEX(球員主檔!$B$2:$B$749,MATCH($B257,球員主檔!$A$2:$A$749,0))</f>
        <v>Porter Kestrel</v>
      </c>
      <c r="D257" s="7" t="s">
        <v>446</v>
      </c>
      <c r="E257" s="10" t="str">
        <f aca="false">INDEX(球隊主檔!$C$2:$C$31,MATCH($D257,球隊主檔!$A$2:$A$31,0))</f>
        <v>亞利桑那響尾蛇</v>
      </c>
      <c r="F257" s="10" t="str">
        <f aca="false">INDEX(球隊主檔!$D$2:$D$31,MATCH($D257,球隊主檔!$A$2:$A$31,0))</f>
        <v>國聯</v>
      </c>
      <c r="G257" s="7" t="s">
        <v>470</v>
      </c>
      <c r="H257" s="11" t="n">
        <f aca="false">INT((DATE($A257,7,1)-INDEX(球員主檔!$G$2:$G$749,MATCH($B257,球員主檔!$A$2:$A$749,0)))/365.25)</f>
        <v>28</v>
      </c>
      <c r="I257" s="12" t="n">
        <v>128</v>
      </c>
      <c r="J257" s="12" t="n">
        <v>502</v>
      </c>
      <c r="K257" s="12" t="n">
        <v>435</v>
      </c>
      <c r="L257" s="12" t="n">
        <v>62</v>
      </c>
      <c r="M257" s="12" t="n">
        <v>108</v>
      </c>
      <c r="N257" s="12" t="n">
        <v>25</v>
      </c>
      <c r="O257" s="12" t="n">
        <v>6</v>
      </c>
      <c r="P257" s="12" t="n">
        <v>16</v>
      </c>
      <c r="Q257" s="12" t="n">
        <v>59</v>
      </c>
      <c r="R257" s="12" t="n">
        <v>62</v>
      </c>
      <c r="S257" s="12" t="n">
        <v>128</v>
      </c>
      <c r="T257" s="12" t="n">
        <v>4</v>
      </c>
      <c r="U257" s="12" t="n">
        <v>1</v>
      </c>
      <c r="V257" s="12" t="n">
        <v>9</v>
      </c>
      <c r="W257" s="12" t="n">
        <v>1</v>
      </c>
      <c r="X257" s="13" t="n">
        <f aca="false">M257+N257+2*O257+3*P257</f>
        <v>193</v>
      </c>
      <c r="Y257" s="14" t="n">
        <f aca="false">IF(K257=0,0,M257/K257)</f>
        <v>0.248275862068966</v>
      </c>
      <c r="Z257" s="14" t="n">
        <f aca="false">IF(K257+R257+T257+U257=0,0,(M257+R257+T257)/(K257+R257+T257+U257))</f>
        <v>0.346613545816733</v>
      </c>
      <c r="AA257" s="14" t="n">
        <f aca="false">IF(K257=0,0,X257/K257)</f>
        <v>0.44367816091954</v>
      </c>
      <c r="AB257" s="14" t="n">
        <f aca="false">Z257+AA257</f>
        <v>0.790291706736273</v>
      </c>
      <c r="AC257" s="14" t="n">
        <f aca="false">AA257-Y257</f>
        <v>0.195402298850575</v>
      </c>
      <c r="AD257" s="14" t="n">
        <f aca="false">IF(K257-S257-P257+U257=0,0,(M257-P257)/(K257-S257-P257+U257))</f>
        <v>0.315068493150685</v>
      </c>
      <c r="AE257" s="15" t="n">
        <f aca="false">IF(J257=0,0,R257/J257)</f>
        <v>0.123505976095618</v>
      </c>
      <c r="AF257" s="15" t="n">
        <f aca="false">IF(J257=0,0,S257/J257)</f>
        <v>0.254980079681275</v>
      </c>
      <c r="AG257" s="11" t="n">
        <f aca="false">IF(J257&gt;=INDEX(球季參數!$E$2:$E$4,MATCH($A257,球季參數!$A$2:$A$4,0)),1,0)</f>
        <v>1</v>
      </c>
    </row>
    <row r="258" customFormat="false" ht="15" hidden="false" customHeight="false" outlineLevel="0" collapsed="false">
      <c r="A258" s="5" t="n">
        <v>2024</v>
      </c>
      <c r="B258" s="7" t="s">
        <v>1489</v>
      </c>
      <c r="C258" s="10" t="str">
        <f aca="false">INDEX(球員主檔!$B$2:$B$749,MATCH($B258,球員主檔!$A$2:$A$749,0))</f>
        <v>Jasper Zamarripa</v>
      </c>
      <c r="D258" s="7" t="s">
        <v>446</v>
      </c>
      <c r="E258" s="10" t="str">
        <f aca="false">INDEX(球隊主檔!$C$2:$C$31,MATCH($D258,球隊主檔!$A$2:$A$31,0))</f>
        <v>亞利桑那響尾蛇</v>
      </c>
      <c r="F258" s="10" t="str">
        <f aca="false">INDEX(球隊主檔!$D$2:$D$31,MATCH($D258,球隊主檔!$A$2:$A$31,0))</f>
        <v>國聯</v>
      </c>
      <c r="G258" s="7" t="s">
        <v>162</v>
      </c>
      <c r="H258" s="11" t="n">
        <f aca="false">INT((DATE($A258,7,1)-INDEX(球員主檔!$G$2:$G$749,MATCH($B258,球員主檔!$A$2:$A$749,0)))/365.25)</f>
        <v>31</v>
      </c>
      <c r="I258" s="12" t="n">
        <v>123</v>
      </c>
      <c r="J258" s="12" t="n">
        <v>508</v>
      </c>
      <c r="K258" s="12" t="n">
        <v>434</v>
      </c>
      <c r="L258" s="12" t="n">
        <v>60</v>
      </c>
      <c r="M258" s="12" t="n">
        <v>91</v>
      </c>
      <c r="N258" s="12" t="n">
        <v>11</v>
      </c>
      <c r="O258" s="12" t="n">
        <v>4</v>
      </c>
      <c r="P258" s="12" t="n">
        <v>16</v>
      </c>
      <c r="Q258" s="12" t="n">
        <v>55</v>
      </c>
      <c r="R258" s="12" t="n">
        <v>62</v>
      </c>
      <c r="S258" s="12" t="n">
        <v>126</v>
      </c>
      <c r="T258" s="12" t="n">
        <v>10</v>
      </c>
      <c r="U258" s="12" t="n">
        <v>2</v>
      </c>
      <c r="V258" s="12" t="n">
        <v>25</v>
      </c>
      <c r="W258" s="12" t="n">
        <v>8</v>
      </c>
      <c r="X258" s="13" t="n">
        <f aca="false">M258+N258+2*O258+3*P258</f>
        <v>158</v>
      </c>
      <c r="Y258" s="14" t="n">
        <f aca="false">IF(K258=0,0,M258/K258)</f>
        <v>0.209677419354839</v>
      </c>
      <c r="Z258" s="14" t="n">
        <f aca="false">IF(K258+R258+T258+U258=0,0,(M258+R258+T258)/(K258+R258+T258+U258))</f>
        <v>0.320866141732283</v>
      </c>
      <c r="AA258" s="14" t="n">
        <f aca="false">IF(K258=0,0,X258/K258)</f>
        <v>0.364055299539171</v>
      </c>
      <c r="AB258" s="14" t="n">
        <f aca="false">Z258+AA258</f>
        <v>0.684921441271454</v>
      </c>
      <c r="AC258" s="14" t="n">
        <f aca="false">AA258-Y258</f>
        <v>0.154377880184332</v>
      </c>
      <c r="AD258" s="14" t="n">
        <f aca="false">IF(K258-S258-P258+U258=0,0,(M258-P258)/(K258-S258-P258+U258))</f>
        <v>0.255102040816327</v>
      </c>
      <c r="AE258" s="15" t="n">
        <f aca="false">IF(J258=0,0,R258/J258)</f>
        <v>0.122047244094488</v>
      </c>
      <c r="AF258" s="15" t="n">
        <f aca="false">IF(J258=0,0,S258/J258)</f>
        <v>0.248031496062992</v>
      </c>
      <c r="AG258" s="11" t="n">
        <f aca="false">IF(J258&gt;=INDEX(球季參數!$E$2:$E$4,MATCH($A258,球季參數!$A$2:$A$4,0)),1,0)</f>
        <v>1</v>
      </c>
    </row>
    <row r="259" customFormat="false" ht="15" hidden="false" customHeight="false" outlineLevel="0" collapsed="false">
      <c r="A259" s="5" t="n">
        <v>2024</v>
      </c>
      <c r="B259" s="7" t="s">
        <v>1491</v>
      </c>
      <c r="C259" s="10" t="str">
        <f aca="false">INDEX(球員主檔!$B$2:$B$749,MATCH($B259,球員主檔!$A$2:$A$749,0))</f>
        <v>Holden Montalvo</v>
      </c>
      <c r="D259" s="7" t="s">
        <v>446</v>
      </c>
      <c r="E259" s="10" t="str">
        <f aca="false">INDEX(球隊主檔!$C$2:$C$31,MATCH($D259,球隊主檔!$A$2:$A$31,0))</f>
        <v>亞利桑那響尾蛇</v>
      </c>
      <c r="F259" s="10" t="str">
        <f aca="false">INDEX(球隊主檔!$D$2:$D$31,MATCH($D259,球隊主檔!$A$2:$A$31,0))</f>
        <v>國聯</v>
      </c>
      <c r="G259" s="7" t="s">
        <v>63</v>
      </c>
      <c r="H259" s="11" t="n">
        <f aca="false">INT((DATE($A259,7,1)-INDEX(球員主檔!$G$2:$G$749,MATCH($B259,球員主檔!$A$2:$A$749,0)))/365.25)</f>
        <v>24</v>
      </c>
      <c r="I259" s="12" t="n">
        <v>139</v>
      </c>
      <c r="J259" s="12" t="n">
        <v>557</v>
      </c>
      <c r="K259" s="12" t="n">
        <v>522</v>
      </c>
      <c r="L259" s="12" t="n">
        <v>68</v>
      </c>
      <c r="M259" s="12" t="n">
        <v>151</v>
      </c>
      <c r="N259" s="12" t="n">
        <v>12</v>
      </c>
      <c r="O259" s="12" t="n">
        <v>2</v>
      </c>
      <c r="P259" s="12" t="n">
        <v>19</v>
      </c>
      <c r="Q259" s="12" t="n">
        <v>65</v>
      </c>
      <c r="R259" s="12" t="n">
        <v>30</v>
      </c>
      <c r="S259" s="12" t="n">
        <v>125</v>
      </c>
      <c r="T259" s="12" t="n">
        <v>3</v>
      </c>
      <c r="U259" s="12" t="n">
        <v>2</v>
      </c>
      <c r="V259" s="12" t="n">
        <v>22</v>
      </c>
      <c r="W259" s="12" t="n">
        <v>4</v>
      </c>
      <c r="X259" s="13" t="n">
        <f aca="false">M259+N259+2*O259+3*P259</f>
        <v>224</v>
      </c>
      <c r="Y259" s="14" t="n">
        <f aca="false">IF(K259=0,0,M259/K259)</f>
        <v>0.289272030651341</v>
      </c>
      <c r="Z259" s="14" t="n">
        <f aca="false">IF(K259+R259+T259+U259=0,0,(M259+R259+T259)/(K259+R259+T259+U259))</f>
        <v>0.330341113105925</v>
      </c>
      <c r="AA259" s="14" t="n">
        <f aca="false">IF(K259=0,0,X259/K259)</f>
        <v>0.42911877394636</v>
      </c>
      <c r="AB259" s="14" t="n">
        <f aca="false">Z259+AA259</f>
        <v>0.759459887052285</v>
      </c>
      <c r="AC259" s="14" t="n">
        <f aca="false">AA259-Y259</f>
        <v>0.139846743295019</v>
      </c>
      <c r="AD259" s="14" t="n">
        <f aca="false">IF(K259-S259-P259+U259=0,0,(M259-P259)/(K259-S259-P259+U259))</f>
        <v>0.347368421052632</v>
      </c>
      <c r="AE259" s="15" t="n">
        <f aca="false">IF(J259=0,0,R259/J259)</f>
        <v>0.0538599640933573</v>
      </c>
      <c r="AF259" s="15" t="n">
        <f aca="false">IF(J259=0,0,S259/J259)</f>
        <v>0.224416517055655</v>
      </c>
      <c r="AG259" s="11" t="n">
        <f aca="false">IF(J259&gt;=INDEX(球季參數!$E$2:$E$4,MATCH($A259,球季參數!$A$2:$A$4,0)),1,0)</f>
        <v>1</v>
      </c>
    </row>
    <row r="260" customFormat="false" ht="15" hidden="false" customHeight="false" outlineLevel="0" collapsed="false">
      <c r="A260" s="5" t="n">
        <v>2024</v>
      </c>
      <c r="B260" s="7" t="s">
        <v>1493</v>
      </c>
      <c r="C260" s="10" t="str">
        <f aca="false">INDEX(球員主檔!$B$2:$B$749,MATCH($B260,球員主檔!$A$2:$A$749,0))</f>
        <v>Matthias Nordstrom</v>
      </c>
      <c r="D260" s="7" t="s">
        <v>446</v>
      </c>
      <c r="E260" s="10" t="str">
        <f aca="false">INDEX(球隊主檔!$C$2:$C$31,MATCH($D260,球隊主檔!$A$2:$A$31,0))</f>
        <v>亞利桑那響尾蛇</v>
      </c>
      <c r="F260" s="10" t="str">
        <f aca="false">INDEX(球隊主檔!$D$2:$D$31,MATCH($D260,球隊主檔!$A$2:$A$31,0))</f>
        <v>國聯</v>
      </c>
      <c r="G260" s="7" t="s">
        <v>483</v>
      </c>
      <c r="H260" s="11" t="n">
        <f aca="false">INT((DATE($A260,7,1)-INDEX(球員主檔!$G$2:$G$749,MATCH($B260,球員主檔!$A$2:$A$749,0)))/365.25)</f>
        <v>28</v>
      </c>
      <c r="I260" s="12" t="n">
        <v>77</v>
      </c>
      <c r="J260" s="12" t="n">
        <v>327</v>
      </c>
      <c r="K260" s="12" t="n">
        <v>291</v>
      </c>
      <c r="L260" s="12" t="n">
        <v>45</v>
      </c>
      <c r="M260" s="12" t="n">
        <v>80</v>
      </c>
      <c r="N260" s="12" t="n">
        <v>26</v>
      </c>
      <c r="O260" s="12" t="n">
        <v>1</v>
      </c>
      <c r="P260" s="12" t="n">
        <v>10</v>
      </c>
      <c r="Q260" s="12" t="n">
        <v>37</v>
      </c>
      <c r="R260" s="12" t="n">
        <v>30</v>
      </c>
      <c r="S260" s="12" t="n">
        <v>71</v>
      </c>
      <c r="T260" s="12" t="n">
        <v>5</v>
      </c>
      <c r="U260" s="12" t="n">
        <v>1</v>
      </c>
      <c r="V260" s="12" t="n">
        <v>5</v>
      </c>
      <c r="W260" s="12" t="n">
        <v>1</v>
      </c>
      <c r="X260" s="13" t="n">
        <f aca="false">M260+N260+2*O260+3*P260</f>
        <v>138</v>
      </c>
      <c r="Y260" s="14" t="n">
        <f aca="false">IF(K260=0,0,M260/K260)</f>
        <v>0.274914089347079</v>
      </c>
      <c r="Z260" s="14" t="n">
        <f aca="false">IF(K260+R260+T260+U260=0,0,(M260+R260+T260)/(K260+R260+T260+U260))</f>
        <v>0.351681957186544</v>
      </c>
      <c r="AA260" s="14" t="n">
        <f aca="false">IF(K260=0,0,X260/K260)</f>
        <v>0.474226804123711</v>
      </c>
      <c r="AB260" s="14" t="n">
        <f aca="false">Z260+AA260</f>
        <v>0.825908761310256</v>
      </c>
      <c r="AC260" s="14" t="n">
        <f aca="false">AA260-Y260</f>
        <v>0.199312714776632</v>
      </c>
      <c r="AD260" s="14" t="n">
        <f aca="false">IF(K260-S260-P260+U260=0,0,(M260-P260)/(K260-S260-P260+U260))</f>
        <v>0.33175355450237</v>
      </c>
      <c r="AE260" s="15" t="n">
        <f aca="false">IF(J260=0,0,R260/J260)</f>
        <v>0.0917431192660551</v>
      </c>
      <c r="AF260" s="15" t="n">
        <f aca="false">IF(J260=0,0,S260/J260)</f>
        <v>0.217125382262997</v>
      </c>
      <c r="AG260" s="11" t="n">
        <f aca="false">IF(J260&gt;=INDEX(球季參數!$E$2:$E$4,MATCH($A260,球季參數!$A$2:$A$4,0)),1,0)</f>
        <v>0</v>
      </c>
    </row>
    <row r="261" customFormat="false" ht="15" hidden="false" customHeight="false" outlineLevel="0" collapsed="false">
      <c r="A261" s="5" t="n">
        <v>2024</v>
      </c>
      <c r="B261" s="7" t="s">
        <v>1495</v>
      </c>
      <c r="C261" s="10" t="str">
        <f aca="false">INDEX(球員主檔!$B$2:$B$749,MATCH($B261,球員主檔!$A$2:$A$749,0))</f>
        <v>Porter Esquivel</v>
      </c>
      <c r="D261" s="7" t="s">
        <v>446</v>
      </c>
      <c r="E261" s="10" t="str">
        <f aca="false">INDEX(球隊主檔!$C$2:$C$31,MATCH($D261,球隊主檔!$A$2:$A$31,0))</f>
        <v>亞利桑那響尾蛇</v>
      </c>
      <c r="F261" s="10" t="str">
        <f aca="false">INDEX(球隊主檔!$D$2:$D$31,MATCH($D261,球隊主檔!$A$2:$A$31,0))</f>
        <v>國聯</v>
      </c>
      <c r="G261" s="7" t="s">
        <v>158</v>
      </c>
      <c r="H261" s="11" t="n">
        <f aca="false">INT((DATE($A261,7,1)-INDEX(球員主檔!$G$2:$G$749,MATCH($B261,球員主檔!$A$2:$A$749,0)))/365.25)</f>
        <v>28</v>
      </c>
      <c r="I261" s="12" t="n">
        <v>62</v>
      </c>
      <c r="J261" s="12" t="n">
        <v>266</v>
      </c>
      <c r="K261" s="12" t="n">
        <v>242</v>
      </c>
      <c r="L261" s="12" t="n">
        <v>25</v>
      </c>
      <c r="M261" s="12" t="n">
        <v>53</v>
      </c>
      <c r="N261" s="12" t="n">
        <v>21</v>
      </c>
      <c r="O261" s="12" t="n">
        <v>4</v>
      </c>
      <c r="P261" s="12" t="n">
        <v>7</v>
      </c>
      <c r="Q261" s="12" t="n">
        <v>29</v>
      </c>
      <c r="R261" s="12" t="n">
        <v>18</v>
      </c>
      <c r="S261" s="12" t="n">
        <v>64</v>
      </c>
      <c r="T261" s="12" t="n">
        <v>5</v>
      </c>
      <c r="U261" s="12" t="n">
        <v>1</v>
      </c>
      <c r="V261" s="12" t="n">
        <v>3</v>
      </c>
      <c r="W261" s="12" t="n">
        <v>1</v>
      </c>
      <c r="X261" s="13" t="n">
        <f aca="false">M261+N261+2*O261+3*P261</f>
        <v>103</v>
      </c>
      <c r="Y261" s="14" t="n">
        <f aca="false">IF(K261=0,0,M261/K261)</f>
        <v>0.21900826446281</v>
      </c>
      <c r="Z261" s="14" t="n">
        <f aca="false">IF(K261+R261+T261+U261=0,0,(M261+R261+T261)/(K261+R261+T261+U261))</f>
        <v>0.285714285714286</v>
      </c>
      <c r="AA261" s="14" t="n">
        <f aca="false">IF(K261=0,0,X261/K261)</f>
        <v>0.425619834710744</v>
      </c>
      <c r="AB261" s="14" t="n">
        <f aca="false">Z261+AA261</f>
        <v>0.71133412042503</v>
      </c>
      <c r="AC261" s="14" t="n">
        <f aca="false">AA261-Y261</f>
        <v>0.206611570247934</v>
      </c>
      <c r="AD261" s="14" t="n">
        <f aca="false">IF(K261-S261-P261+U261=0,0,(M261-P261)/(K261-S261-P261+U261))</f>
        <v>0.267441860465116</v>
      </c>
      <c r="AE261" s="15" t="n">
        <f aca="false">IF(J261=0,0,R261/J261)</f>
        <v>0.0676691729323308</v>
      </c>
      <c r="AF261" s="15" t="n">
        <f aca="false">IF(J261=0,0,S261/J261)</f>
        <v>0.240601503759398</v>
      </c>
      <c r="AG261" s="11" t="n">
        <f aca="false">IF(J261&gt;=INDEX(球季參數!$E$2:$E$4,MATCH($A261,球季參數!$A$2:$A$4,0)),1,0)</f>
        <v>0</v>
      </c>
    </row>
    <row r="262" customFormat="false" ht="15" hidden="false" customHeight="false" outlineLevel="0" collapsed="false">
      <c r="A262" s="5" t="n">
        <v>2024</v>
      </c>
      <c r="B262" s="7" t="s">
        <v>1517</v>
      </c>
      <c r="C262" s="10" t="str">
        <f aca="false">INDEX(球員主檔!$B$2:$B$749,MATCH($B262,球員主檔!$A$2:$A$749,0))</f>
        <v>Bernardo Jernigan</v>
      </c>
      <c r="D262" s="7" t="s">
        <v>451</v>
      </c>
      <c r="E262" s="10" t="str">
        <f aca="false">INDEX(球隊主檔!$C$2:$C$31,MATCH($D262,球隊主檔!$A$2:$A$31,0))</f>
        <v>科羅拉多落磯</v>
      </c>
      <c r="F262" s="10" t="str">
        <f aca="false">INDEX(球隊主檔!$D$2:$D$31,MATCH($D262,球隊主檔!$A$2:$A$31,0))</f>
        <v>國聯</v>
      </c>
      <c r="G262" s="7" t="s">
        <v>522</v>
      </c>
      <c r="H262" s="11" t="n">
        <f aca="false">INT((DATE($A262,7,1)-INDEX(球員主檔!$G$2:$G$749,MATCH($B262,球員主檔!$A$2:$A$749,0)))/365.25)</f>
        <v>24</v>
      </c>
      <c r="I262" s="12" t="n">
        <v>162</v>
      </c>
      <c r="J262" s="12" t="n">
        <v>680</v>
      </c>
      <c r="K262" s="12" t="n">
        <v>633</v>
      </c>
      <c r="L262" s="12" t="n">
        <v>65</v>
      </c>
      <c r="M262" s="12" t="n">
        <v>161</v>
      </c>
      <c r="N262" s="12" t="n">
        <v>12</v>
      </c>
      <c r="O262" s="12" t="n">
        <v>4</v>
      </c>
      <c r="P262" s="12" t="n">
        <v>16</v>
      </c>
      <c r="Q262" s="12" t="n">
        <v>64</v>
      </c>
      <c r="R262" s="12" t="n">
        <v>38</v>
      </c>
      <c r="S262" s="12" t="n">
        <v>242</v>
      </c>
      <c r="T262" s="12" t="n">
        <v>4</v>
      </c>
      <c r="U262" s="12" t="n">
        <v>5</v>
      </c>
      <c r="V262" s="12" t="n">
        <v>31</v>
      </c>
      <c r="W262" s="12" t="n">
        <v>6</v>
      </c>
      <c r="X262" s="13" t="n">
        <f aca="false">M262+N262+2*O262+3*P262</f>
        <v>229</v>
      </c>
      <c r="Y262" s="14" t="n">
        <f aca="false">IF(K262=0,0,M262/K262)</f>
        <v>0.25434439178515</v>
      </c>
      <c r="Z262" s="14" t="n">
        <f aca="false">IF(K262+R262+T262+U262=0,0,(M262+R262+T262)/(K262+R262+T262+U262))</f>
        <v>0.298529411764706</v>
      </c>
      <c r="AA262" s="14" t="n">
        <f aca="false">IF(K262=0,0,X262/K262)</f>
        <v>0.361769352290679</v>
      </c>
      <c r="AB262" s="14" t="n">
        <f aca="false">Z262+AA262</f>
        <v>0.660298764055385</v>
      </c>
      <c r="AC262" s="14" t="n">
        <f aca="false">AA262-Y262</f>
        <v>0.107424960505529</v>
      </c>
      <c r="AD262" s="14" t="n">
        <f aca="false">IF(K262-S262-P262+U262=0,0,(M262-P262)/(K262-S262-P262+U262))</f>
        <v>0.381578947368421</v>
      </c>
      <c r="AE262" s="15" t="n">
        <f aca="false">IF(J262=0,0,R262/J262)</f>
        <v>0.0558823529411765</v>
      </c>
      <c r="AF262" s="15" t="n">
        <f aca="false">IF(J262=0,0,S262/J262)</f>
        <v>0.355882352941177</v>
      </c>
      <c r="AG262" s="11" t="n">
        <f aca="false">IF(J262&gt;=INDEX(球季參數!$E$2:$E$4,MATCH($A262,球季參數!$A$2:$A$4,0)),1,0)</f>
        <v>1</v>
      </c>
    </row>
    <row r="263" customFormat="false" ht="15" hidden="false" customHeight="false" outlineLevel="0" collapsed="false">
      <c r="A263" s="5" t="n">
        <v>2024</v>
      </c>
      <c r="B263" s="7" t="s">
        <v>1519</v>
      </c>
      <c r="C263" s="10" t="str">
        <f aca="false">INDEX(球員主檔!$B$2:$B$749,MATCH($B263,球員主檔!$A$2:$A$749,0))</f>
        <v>Zane Lemieux</v>
      </c>
      <c r="D263" s="7" t="s">
        <v>451</v>
      </c>
      <c r="E263" s="10" t="str">
        <f aca="false">INDEX(球隊主檔!$C$2:$C$31,MATCH($D263,球隊主檔!$A$2:$A$31,0))</f>
        <v>科羅拉多落磯</v>
      </c>
      <c r="F263" s="10" t="str">
        <f aca="false">INDEX(球隊主檔!$D$2:$D$31,MATCH($D263,球隊主檔!$A$2:$A$31,0))</f>
        <v>國聯</v>
      </c>
      <c r="G263" s="7" t="s">
        <v>158</v>
      </c>
      <c r="H263" s="11" t="n">
        <f aca="false">INT((DATE($A263,7,1)-INDEX(球員主檔!$G$2:$G$749,MATCH($B263,球員主檔!$A$2:$A$749,0)))/365.25)</f>
        <v>29</v>
      </c>
      <c r="I263" s="12" t="n">
        <v>79</v>
      </c>
      <c r="J263" s="12" t="n">
        <v>356</v>
      </c>
      <c r="K263" s="12" t="n">
        <v>334</v>
      </c>
      <c r="L263" s="12" t="n">
        <v>39</v>
      </c>
      <c r="M263" s="12" t="n">
        <v>71</v>
      </c>
      <c r="N263" s="12" t="n">
        <v>12</v>
      </c>
      <c r="O263" s="12" t="n">
        <v>2</v>
      </c>
      <c r="P263" s="12" t="n">
        <v>22</v>
      </c>
      <c r="Q263" s="12" t="n">
        <v>64</v>
      </c>
      <c r="R263" s="12" t="n">
        <v>18</v>
      </c>
      <c r="S263" s="12" t="n">
        <v>106</v>
      </c>
      <c r="T263" s="12" t="n">
        <v>2</v>
      </c>
      <c r="U263" s="12" t="n">
        <v>2</v>
      </c>
      <c r="V263" s="12" t="n">
        <v>17</v>
      </c>
      <c r="W263" s="12" t="n">
        <v>3</v>
      </c>
      <c r="X263" s="13" t="n">
        <f aca="false">M263+N263+2*O263+3*P263</f>
        <v>153</v>
      </c>
      <c r="Y263" s="14" t="n">
        <f aca="false">IF(K263=0,0,M263/K263)</f>
        <v>0.212574850299401</v>
      </c>
      <c r="Z263" s="14" t="n">
        <f aca="false">IF(K263+R263+T263+U263=0,0,(M263+R263+T263)/(K263+R263+T263+U263))</f>
        <v>0.25561797752809</v>
      </c>
      <c r="AA263" s="14" t="n">
        <f aca="false">IF(K263=0,0,X263/K263)</f>
        <v>0.458083832335329</v>
      </c>
      <c r="AB263" s="14" t="n">
        <f aca="false">Z263+AA263</f>
        <v>0.713701809863419</v>
      </c>
      <c r="AC263" s="14" t="n">
        <f aca="false">AA263-Y263</f>
        <v>0.245508982035928</v>
      </c>
      <c r="AD263" s="14" t="n">
        <f aca="false">IF(K263-S263-P263+U263=0,0,(M263-P263)/(K263-S263-P263+U263))</f>
        <v>0.235576923076923</v>
      </c>
      <c r="AE263" s="15" t="n">
        <f aca="false">IF(J263=0,0,R263/J263)</f>
        <v>0.050561797752809</v>
      </c>
      <c r="AF263" s="15" t="n">
        <f aca="false">IF(J263=0,0,S263/J263)</f>
        <v>0.297752808988764</v>
      </c>
      <c r="AG263" s="11" t="n">
        <f aca="false">IF(J263&gt;=INDEX(球季參數!$E$2:$E$4,MATCH($A263,球季參數!$A$2:$A$4,0)),1,0)</f>
        <v>0</v>
      </c>
    </row>
    <row r="264" customFormat="false" ht="15" hidden="false" customHeight="false" outlineLevel="0" collapsed="false">
      <c r="A264" s="5" t="n">
        <v>2024</v>
      </c>
      <c r="B264" s="7" t="s">
        <v>1521</v>
      </c>
      <c r="C264" s="10" t="str">
        <f aca="false">INDEX(球員主檔!$B$2:$B$749,MATCH($B264,球員主檔!$A$2:$A$749,0))</f>
        <v>Bernardo Fairbanks</v>
      </c>
      <c r="D264" s="7" t="s">
        <v>451</v>
      </c>
      <c r="E264" s="10" t="str">
        <f aca="false">INDEX(球隊主檔!$C$2:$C$31,MATCH($D264,球隊主檔!$A$2:$A$31,0))</f>
        <v>科羅拉多落磯</v>
      </c>
      <c r="F264" s="10" t="str">
        <f aca="false">INDEX(球隊主檔!$D$2:$D$31,MATCH($D264,球隊主檔!$A$2:$A$31,0))</f>
        <v>國聯</v>
      </c>
      <c r="G264" s="7" t="s">
        <v>158</v>
      </c>
      <c r="H264" s="11" t="n">
        <f aca="false">INT((DATE($A264,7,1)-INDEX(球員主檔!$G$2:$G$749,MATCH($B264,球員主檔!$A$2:$A$749,0)))/365.25)</f>
        <v>32</v>
      </c>
      <c r="I264" s="12" t="n">
        <v>152</v>
      </c>
      <c r="J264" s="12" t="n">
        <v>600</v>
      </c>
      <c r="K264" s="12" t="n">
        <v>548</v>
      </c>
      <c r="L264" s="12" t="n">
        <v>69</v>
      </c>
      <c r="M264" s="12" t="n">
        <v>141</v>
      </c>
      <c r="N264" s="12" t="n">
        <v>14</v>
      </c>
      <c r="O264" s="12" t="n">
        <v>4</v>
      </c>
      <c r="P264" s="12" t="n">
        <v>23</v>
      </c>
      <c r="Q264" s="12" t="n">
        <v>70</v>
      </c>
      <c r="R264" s="12" t="n">
        <v>41</v>
      </c>
      <c r="S264" s="12" t="n">
        <v>72</v>
      </c>
      <c r="T264" s="12" t="n">
        <v>9</v>
      </c>
      <c r="U264" s="12" t="n">
        <v>2</v>
      </c>
      <c r="V264" s="12" t="n">
        <v>10</v>
      </c>
      <c r="W264" s="12" t="n">
        <v>2</v>
      </c>
      <c r="X264" s="13" t="n">
        <f aca="false">M264+N264+2*O264+3*P264</f>
        <v>232</v>
      </c>
      <c r="Y264" s="14" t="n">
        <f aca="false">IF(K264=0,0,M264/K264)</f>
        <v>0.257299270072993</v>
      </c>
      <c r="Z264" s="14" t="n">
        <f aca="false">IF(K264+R264+T264+U264=0,0,(M264+R264+T264)/(K264+R264+T264+U264))</f>
        <v>0.318333333333333</v>
      </c>
      <c r="AA264" s="14" t="n">
        <f aca="false">IF(K264=0,0,X264/K264)</f>
        <v>0.423357664233577</v>
      </c>
      <c r="AB264" s="14" t="n">
        <f aca="false">Z264+AA264</f>
        <v>0.74169099756691</v>
      </c>
      <c r="AC264" s="14" t="n">
        <f aca="false">AA264-Y264</f>
        <v>0.166058394160584</v>
      </c>
      <c r="AD264" s="14" t="n">
        <f aca="false">IF(K264-S264-P264+U264=0,0,(M264-P264)/(K264-S264-P264+U264))</f>
        <v>0.259340659340659</v>
      </c>
      <c r="AE264" s="15" t="n">
        <f aca="false">IF(J264=0,0,R264/J264)</f>
        <v>0.0683333333333333</v>
      </c>
      <c r="AF264" s="15" t="n">
        <f aca="false">IF(J264=0,0,S264/J264)</f>
        <v>0.12</v>
      </c>
      <c r="AG264" s="11" t="n">
        <f aca="false">IF(J264&gt;=INDEX(球季參數!$E$2:$E$4,MATCH($A264,球季參數!$A$2:$A$4,0)),1,0)</f>
        <v>1</v>
      </c>
    </row>
    <row r="265" customFormat="false" ht="15" hidden="false" customHeight="false" outlineLevel="0" collapsed="false">
      <c r="A265" s="5" t="n">
        <v>2024</v>
      </c>
      <c r="B265" s="7" t="s">
        <v>1523</v>
      </c>
      <c r="C265" s="10" t="str">
        <f aca="false">INDEX(球員主檔!$B$2:$B$749,MATCH($B265,球員主檔!$A$2:$A$749,0))</f>
        <v>Jedidiah Ibarra</v>
      </c>
      <c r="D265" s="7" t="s">
        <v>451</v>
      </c>
      <c r="E265" s="10" t="str">
        <f aca="false">INDEX(球隊主檔!$C$2:$C$31,MATCH($D265,球隊主檔!$A$2:$A$31,0))</f>
        <v>科羅拉多落磯</v>
      </c>
      <c r="F265" s="10" t="str">
        <f aca="false">INDEX(球隊主檔!$D$2:$D$31,MATCH($D265,球隊主檔!$A$2:$A$31,0))</f>
        <v>國聯</v>
      </c>
      <c r="G265" s="7" t="s">
        <v>162</v>
      </c>
      <c r="H265" s="11" t="n">
        <f aca="false">INT((DATE($A265,7,1)-INDEX(球員主檔!$G$2:$G$749,MATCH($B265,球員主檔!$A$2:$A$749,0)))/365.25)</f>
        <v>23</v>
      </c>
      <c r="I265" s="12" t="n">
        <v>155</v>
      </c>
      <c r="J265" s="12" t="n">
        <v>667</v>
      </c>
      <c r="K265" s="12" t="n">
        <v>591</v>
      </c>
      <c r="L265" s="12" t="n">
        <v>65</v>
      </c>
      <c r="M265" s="12" t="n">
        <v>145</v>
      </c>
      <c r="N265" s="12" t="n">
        <v>40</v>
      </c>
      <c r="O265" s="12" t="n">
        <v>0</v>
      </c>
      <c r="P265" s="12" t="n">
        <v>13</v>
      </c>
      <c r="Q265" s="12" t="n">
        <v>67</v>
      </c>
      <c r="R265" s="12" t="n">
        <v>55</v>
      </c>
      <c r="S265" s="12" t="n">
        <v>172</v>
      </c>
      <c r="T265" s="12" t="n">
        <v>14</v>
      </c>
      <c r="U265" s="12" t="n">
        <v>7</v>
      </c>
      <c r="V265" s="12" t="n">
        <v>20</v>
      </c>
      <c r="W265" s="12" t="n">
        <v>7</v>
      </c>
      <c r="X265" s="13" t="n">
        <f aca="false">M265+N265+2*O265+3*P265</f>
        <v>224</v>
      </c>
      <c r="Y265" s="14" t="n">
        <f aca="false">IF(K265=0,0,M265/K265)</f>
        <v>0.245346869712352</v>
      </c>
      <c r="Z265" s="14" t="n">
        <f aca="false">IF(K265+R265+T265+U265=0,0,(M265+R265+T265)/(K265+R265+T265+U265))</f>
        <v>0.320839580209895</v>
      </c>
      <c r="AA265" s="14" t="n">
        <f aca="false">IF(K265=0,0,X265/K265)</f>
        <v>0.379018612521151</v>
      </c>
      <c r="AB265" s="14" t="n">
        <f aca="false">Z265+AA265</f>
        <v>0.699858192731046</v>
      </c>
      <c r="AC265" s="14" t="n">
        <f aca="false">AA265-Y265</f>
        <v>0.133671742808799</v>
      </c>
      <c r="AD265" s="14" t="n">
        <f aca="false">IF(K265-S265-P265+U265=0,0,(M265-P265)/(K265-S265-P265+U265))</f>
        <v>0.319612590799032</v>
      </c>
      <c r="AE265" s="15" t="n">
        <f aca="false">IF(J265=0,0,R265/J265)</f>
        <v>0.0824587706146927</v>
      </c>
      <c r="AF265" s="15" t="n">
        <f aca="false">IF(J265=0,0,S265/J265)</f>
        <v>0.257871064467766</v>
      </c>
      <c r="AG265" s="11" t="n">
        <f aca="false">IF(J265&gt;=INDEX(球季參數!$E$2:$E$4,MATCH($A265,球季參數!$A$2:$A$4,0)),1,0)</f>
        <v>1</v>
      </c>
    </row>
    <row r="266" customFormat="false" ht="15" hidden="false" customHeight="false" outlineLevel="0" collapsed="false">
      <c r="A266" s="5" t="n">
        <v>2024</v>
      </c>
      <c r="B266" s="7" t="s">
        <v>1525</v>
      </c>
      <c r="C266" s="10" t="str">
        <f aca="false">INDEX(球員主檔!$B$2:$B$749,MATCH($B266,球員主檔!$A$2:$A$749,0))</f>
        <v>Sawyer Zamarripa</v>
      </c>
      <c r="D266" s="7" t="s">
        <v>451</v>
      </c>
      <c r="E266" s="10" t="str">
        <f aca="false">INDEX(球隊主檔!$C$2:$C$31,MATCH($D266,球隊主檔!$A$2:$A$31,0))</f>
        <v>科羅拉多落磯</v>
      </c>
      <c r="F266" s="10" t="str">
        <f aca="false">INDEX(球隊主檔!$D$2:$D$31,MATCH($D266,球隊主檔!$A$2:$A$31,0))</f>
        <v>國聯</v>
      </c>
      <c r="G266" s="7" t="s">
        <v>478</v>
      </c>
      <c r="H266" s="11" t="n">
        <f aca="false">INT((DATE($A266,7,1)-INDEX(球員主檔!$G$2:$G$749,MATCH($B266,球員主檔!$A$2:$A$749,0)))/365.25)</f>
        <v>24</v>
      </c>
      <c r="I266" s="12" t="n">
        <v>160</v>
      </c>
      <c r="J266" s="12" t="n">
        <v>646</v>
      </c>
      <c r="K266" s="12" t="n">
        <v>564</v>
      </c>
      <c r="L266" s="12" t="n">
        <v>89</v>
      </c>
      <c r="M266" s="12" t="n">
        <v>143</v>
      </c>
      <c r="N266" s="12" t="n">
        <v>20</v>
      </c>
      <c r="O266" s="12" t="n">
        <v>7</v>
      </c>
      <c r="P266" s="12" t="n">
        <v>20</v>
      </c>
      <c r="Q266" s="12" t="n">
        <v>63</v>
      </c>
      <c r="R266" s="12" t="n">
        <v>74</v>
      </c>
      <c r="S266" s="12" t="n">
        <v>147</v>
      </c>
      <c r="T266" s="12" t="n">
        <v>6</v>
      </c>
      <c r="U266" s="12" t="n">
        <v>2</v>
      </c>
      <c r="V266" s="12" t="n">
        <v>4</v>
      </c>
      <c r="W266" s="12" t="n">
        <v>1</v>
      </c>
      <c r="X266" s="13" t="n">
        <f aca="false">M266+N266+2*O266+3*P266</f>
        <v>237</v>
      </c>
      <c r="Y266" s="14" t="n">
        <f aca="false">IF(K266=0,0,M266/K266)</f>
        <v>0.25354609929078</v>
      </c>
      <c r="Z266" s="14" t="n">
        <f aca="false">IF(K266+R266+T266+U266=0,0,(M266+R266+T266)/(K266+R266+T266+U266))</f>
        <v>0.345201238390093</v>
      </c>
      <c r="AA266" s="14" t="n">
        <f aca="false">IF(K266=0,0,X266/K266)</f>
        <v>0.420212765957447</v>
      </c>
      <c r="AB266" s="14" t="n">
        <f aca="false">Z266+AA266</f>
        <v>0.76541400434754</v>
      </c>
      <c r="AC266" s="14" t="n">
        <f aca="false">AA266-Y266</f>
        <v>0.166666666666667</v>
      </c>
      <c r="AD266" s="14" t="n">
        <f aca="false">IF(K266-S266-P266+U266=0,0,(M266-P266)/(K266-S266-P266+U266))</f>
        <v>0.308270676691729</v>
      </c>
      <c r="AE266" s="15" t="n">
        <f aca="false">IF(J266=0,0,R266/J266)</f>
        <v>0.114551083591331</v>
      </c>
      <c r="AF266" s="15" t="n">
        <f aca="false">IF(J266=0,0,S266/J266)</f>
        <v>0.227554179566563</v>
      </c>
      <c r="AG266" s="11" t="n">
        <f aca="false">IF(J266&gt;=INDEX(球季參數!$E$2:$E$4,MATCH($A266,球季參數!$A$2:$A$4,0)),1,0)</f>
        <v>1</v>
      </c>
    </row>
    <row r="267" customFormat="false" ht="15" hidden="false" customHeight="false" outlineLevel="0" collapsed="false">
      <c r="A267" s="5" t="n">
        <v>2024</v>
      </c>
      <c r="B267" s="7" t="s">
        <v>1527</v>
      </c>
      <c r="C267" s="10" t="str">
        <f aca="false">INDEX(球員主檔!$B$2:$B$749,MATCH($B267,球員主檔!$A$2:$A$749,0))</f>
        <v>Joaquín Kowalczyk</v>
      </c>
      <c r="D267" s="7" t="s">
        <v>451</v>
      </c>
      <c r="E267" s="10" t="str">
        <f aca="false">INDEX(球隊主檔!$C$2:$C$31,MATCH($D267,球隊主檔!$A$2:$A$31,0))</f>
        <v>科羅拉多落磯</v>
      </c>
      <c r="F267" s="10" t="str">
        <f aca="false">INDEX(球隊主檔!$D$2:$D$31,MATCH($D267,球隊主檔!$A$2:$A$31,0))</f>
        <v>國聯</v>
      </c>
      <c r="G267" s="7" t="s">
        <v>470</v>
      </c>
      <c r="H267" s="11" t="n">
        <f aca="false">INT((DATE($A267,7,1)-INDEX(球員主檔!$G$2:$G$749,MATCH($B267,球員主檔!$A$2:$A$749,0)))/365.25)</f>
        <v>25</v>
      </c>
      <c r="I267" s="12" t="n">
        <v>107</v>
      </c>
      <c r="J267" s="12" t="n">
        <v>432</v>
      </c>
      <c r="K267" s="12" t="n">
        <v>375</v>
      </c>
      <c r="L267" s="12" t="n">
        <v>53</v>
      </c>
      <c r="M267" s="12" t="n">
        <v>105</v>
      </c>
      <c r="N267" s="12" t="n">
        <v>24</v>
      </c>
      <c r="O267" s="12" t="n">
        <v>3</v>
      </c>
      <c r="P267" s="12" t="n">
        <v>11</v>
      </c>
      <c r="Q267" s="12" t="n">
        <v>53</v>
      </c>
      <c r="R267" s="12" t="n">
        <v>53</v>
      </c>
      <c r="S267" s="12" t="n">
        <v>107</v>
      </c>
      <c r="T267" s="12" t="n">
        <v>2</v>
      </c>
      <c r="U267" s="12" t="n">
        <v>2</v>
      </c>
      <c r="V267" s="12" t="n">
        <v>26</v>
      </c>
      <c r="W267" s="12" t="n">
        <v>4</v>
      </c>
      <c r="X267" s="13" t="n">
        <f aca="false">M267+N267+2*O267+3*P267</f>
        <v>168</v>
      </c>
      <c r="Y267" s="14" t="n">
        <f aca="false">IF(K267=0,0,M267/K267)</f>
        <v>0.28</v>
      </c>
      <c r="Z267" s="14" t="n">
        <f aca="false">IF(K267+R267+T267+U267=0,0,(M267+R267+T267)/(K267+R267+T267+U267))</f>
        <v>0.37037037037037</v>
      </c>
      <c r="AA267" s="14" t="n">
        <f aca="false">IF(K267=0,0,X267/K267)</f>
        <v>0.448</v>
      </c>
      <c r="AB267" s="14" t="n">
        <f aca="false">Z267+AA267</f>
        <v>0.81837037037037</v>
      </c>
      <c r="AC267" s="14" t="n">
        <f aca="false">AA267-Y267</f>
        <v>0.168</v>
      </c>
      <c r="AD267" s="14" t="n">
        <f aca="false">IF(K267-S267-P267+U267=0,0,(M267-P267)/(K267-S267-P267+U267))</f>
        <v>0.362934362934363</v>
      </c>
      <c r="AE267" s="15" t="n">
        <f aca="false">IF(J267=0,0,R267/J267)</f>
        <v>0.122685185185185</v>
      </c>
      <c r="AF267" s="15" t="n">
        <f aca="false">IF(J267=0,0,S267/J267)</f>
        <v>0.247685185185185</v>
      </c>
      <c r="AG267" s="11" t="n">
        <f aca="false">IF(J267&gt;=INDEX(球季參數!$E$2:$E$4,MATCH($A267,球季參數!$A$2:$A$4,0)),1,0)</f>
        <v>0</v>
      </c>
    </row>
    <row r="268" customFormat="false" ht="15" hidden="false" customHeight="false" outlineLevel="0" collapsed="false">
      <c r="A268" s="5" t="n">
        <v>2024</v>
      </c>
      <c r="B268" s="7" t="s">
        <v>1529</v>
      </c>
      <c r="C268" s="10" t="str">
        <f aca="false">INDEX(球員主檔!$B$2:$B$749,MATCH($B268,球員主檔!$A$2:$A$749,0))</f>
        <v>Minjae Ulloa</v>
      </c>
      <c r="D268" s="7" t="s">
        <v>451</v>
      </c>
      <c r="E268" s="10" t="str">
        <f aca="false">INDEX(球隊主檔!$C$2:$C$31,MATCH($D268,球隊主檔!$A$2:$A$31,0))</f>
        <v>科羅拉多落磯</v>
      </c>
      <c r="F268" s="10" t="str">
        <f aca="false">INDEX(球隊主檔!$D$2:$D$31,MATCH($D268,球隊主檔!$A$2:$A$31,0))</f>
        <v>國聯</v>
      </c>
      <c r="G268" s="7" t="s">
        <v>63</v>
      </c>
      <c r="H268" s="11" t="n">
        <f aca="false">INT((DATE($A268,7,1)-INDEX(球員主檔!$G$2:$G$749,MATCH($B268,球員主檔!$A$2:$A$749,0)))/365.25)</f>
        <v>26</v>
      </c>
      <c r="I268" s="12" t="n">
        <v>125</v>
      </c>
      <c r="J268" s="12" t="n">
        <v>512</v>
      </c>
      <c r="K268" s="12" t="n">
        <v>460</v>
      </c>
      <c r="L268" s="12" t="n">
        <v>59</v>
      </c>
      <c r="M268" s="12" t="n">
        <v>121</v>
      </c>
      <c r="N268" s="12" t="n">
        <v>26</v>
      </c>
      <c r="O268" s="12" t="n">
        <v>11</v>
      </c>
      <c r="P268" s="12" t="n">
        <v>7</v>
      </c>
      <c r="Q268" s="12" t="n">
        <v>39</v>
      </c>
      <c r="R268" s="12" t="n">
        <v>45</v>
      </c>
      <c r="S268" s="12" t="n">
        <v>84</v>
      </c>
      <c r="T268" s="12" t="n">
        <v>2</v>
      </c>
      <c r="U268" s="12" t="n">
        <v>5</v>
      </c>
      <c r="V268" s="12" t="n">
        <v>28</v>
      </c>
      <c r="W268" s="12" t="n">
        <v>3</v>
      </c>
      <c r="X268" s="13" t="n">
        <f aca="false">M268+N268+2*O268+3*P268</f>
        <v>190</v>
      </c>
      <c r="Y268" s="14" t="n">
        <f aca="false">IF(K268=0,0,M268/K268)</f>
        <v>0.26304347826087</v>
      </c>
      <c r="Z268" s="14" t="n">
        <f aca="false">IF(K268+R268+T268+U268=0,0,(M268+R268+T268)/(K268+R268+T268+U268))</f>
        <v>0.328125</v>
      </c>
      <c r="AA268" s="14" t="n">
        <f aca="false">IF(K268=0,0,X268/K268)</f>
        <v>0.41304347826087</v>
      </c>
      <c r="AB268" s="14" t="n">
        <f aca="false">Z268+AA268</f>
        <v>0.74116847826087</v>
      </c>
      <c r="AC268" s="14" t="n">
        <f aca="false">AA268-Y268</f>
        <v>0.15</v>
      </c>
      <c r="AD268" s="14" t="n">
        <f aca="false">IF(K268-S268-P268+U268=0,0,(M268-P268)/(K268-S268-P268+U268))</f>
        <v>0.304812834224599</v>
      </c>
      <c r="AE268" s="15" t="n">
        <f aca="false">IF(J268=0,0,R268/J268)</f>
        <v>0.087890625</v>
      </c>
      <c r="AF268" s="15" t="n">
        <f aca="false">IF(J268=0,0,S268/J268)</f>
        <v>0.1640625</v>
      </c>
      <c r="AG268" s="11" t="n">
        <f aca="false">IF(J268&gt;=INDEX(球季參數!$E$2:$E$4,MATCH($A268,球季參數!$A$2:$A$4,0)),1,0)</f>
        <v>1</v>
      </c>
    </row>
    <row r="269" customFormat="false" ht="15" hidden="false" customHeight="false" outlineLevel="0" collapsed="false">
      <c r="A269" s="5" t="n">
        <v>2024</v>
      </c>
      <c r="B269" s="7" t="s">
        <v>1531</v>
      </c>
      <c r="C269" s="10" t="str">
        <f aca="false">INDEX(球員主檔!$B$2:$B$749,MATCH($B269,球員主檔!$A$2:$A$749,0))</f>
        <v>Alonso Kestrel</v>
      </c>
      <c r="D269" s="7" t="s">
        <v>451</v>
      </c>
      <c r="E269" s="10" t="str">
        <f aca="false">INDEX(球隊主檔!$C$2:$C$31,MATCH($D269,球隊主檔!$A$2:$A$31,0))</f>
        <v>科羅拉多落磯</v>
      </c>
      <c r="F269" s="10" t="str">
        <f aca="false">INDEX(球隊主檔!$D$2:$D$31,MATCH($D269,球隊主檔!$A$2:$A$31,0))</f>
        <v>國聯</v>
      </c>
      <c r="G269" s="7" t="s">
        <v>483</v>
      </c>
      <c r="H269" s="11" t="n">
        <f aca="false">INT((DATE($A269,7,1)-INDEX(球員主檔!$G$2:$G$749,MATCH($B269,球員主檔!$A$2:$A$749,0)))/365.25)</f>
        <v>30</v>
      </c>
      <c r="I269" s="12" t="n">
        <v>85</v>
      </c>
      <c r="J269" s="12" t="n">
        <v>380</v>
      </c>
      <c r="K269" s="12" t="n">
        <v>337</v>
      </c>
      <c r="L269" s="12" t="n">
        <v>45</v>
      </c>
      <c r="M269" s="12" t="n">
        <v>77</v>
      </c>
      <c r="N269" s="12" t="n">
        <v>28</v>
      </c>
      <c r="O269" s="12" t="n">
        <v>1</v>
      </c>
      <c r="P269" s="12" t="n">
        <v>17</v>
      </c>
      <c r="Q269" s="12" t="n">
        <v>56</v>
      </c>
      <c r="R269" s="12" t="n">
        <v>36</v>
      </c>
      <c r="S269" s="12" t="n">
        <v>86</v>
      </c>
      <c r="T269" s="12" t="n">
        <v>6</v>
      </c>
      <c r="U269" s="12" t="n">
        <v>1</v>
      </c>
      <c r="V269" s="12" t="n">
        <v>7</v>
      </c>
      <c r="W269" s="12" t="n">
        <v>1</v>
      </c>
      <c r="X269" s="13" t="n">
        <f aca="false">M269+N269+2*O269+3*P269</f>
        <v>158</v>
      </c>
      <c r="Y269" s="14" t="n">
        <f aca="false">IF(K269=0,0,M269/K269)</f>
        <v>0.228486646884273</v>
      </c>
      <c r="Z269" s="14" t="n">
        <f aca="false">IF(K269+R269+T269+U269=0,0,(M269+R269+T269)/(K269+R269+T269+U269))</f>
        <v>0.313157894736842</v>
      </c>
      <c r="AA269" s="14" t="n">
        <f aca="false">IF(K269=0,0,X269/K269)</f>
        <v>0.468842729970326</v>
      </c>
      <c r="AB269" s="14" t="n">
        <f aca="false">Z269+AA269</f>
        <v>0.782000624707169</v>
      </c>
      <c r="AC269" s="14" t="n">
        <f aca="false">AA269-Y269</f>
        <v>0.240356083086053</v>
      </c>
      <c r="AD269" s="14" t="n">
        <f aca="false">IF(K269-S269-P269+U269=0,0,(M269-P269)/(K269-S269-P269+U269))</f>
        <v>0.25531914893617</v>
      </c>
      <c r="AE269" s="15" t="n">
        <f aca="false">IF(J269=0,0,R269/J269)</f>
        <v>0.0947368421052632</v>
      </c>
      <c r="AF269" s="15" t="n">
        <f aca="false">IF(J269=0,0,S269/J269)</f>
        <v>0.226315789473684</v>
      </c>
      <c r="AG269" s="11" t="n">
        <f aca="false">IF(J269&gt;=INDEX(球季參數!$E$2:$E$4,MATCH($A269,球季參數!$A$2:$A$4,0)),1,0)</f>
        <v>0</v>
      </c>
    </row>
    <row r="270" customFormat="false" ht="15" hidden="false" customHeight="false" outlineLevel="0" collapsed="false">
      <c r="A270" s="5" t="n">
        <v>2024</v>
      </c>
      <c r="B270" s="7" t="s">
        <v>1533</v>
      </c>
      <c r="C270" s="10" t="str">
        <f aca="false">INDEX(球員主檔!$B$2:$B$749,MATCH($B270,球員主檔!$A$2:$A$749,0))</f>
        <v>Osvaldo Paszkiewicz</v>
      </c>
      <c r="D270" s="7" t="s">
        <v>451</v>
      </c>
      <c r="E270" s="10" t="str">
        <f aca="false">INDEX(球隊主檔!$C$2:$C$31,MATCH($D270,球隊主檔!$A$2:$A$31,0))</f>
        <v>科羅拉多落磯</v>
      </c>
      <c r="F270" s="10" t="str">
        <f aca="false">INDEX(球隊主檔!$D$2:$D$31,MATCH($D270,球隊主檔!$A$2:$A$31,0))</f>
        <v>國聯</v>
      </c>
      <c r="G270" s="7" t="s">
        <v>158</v>
      </c>
      <c r="H270" s="11" t="n">
        <f aca="false">INT((DATE($A270,7,1)-INDEX(球員主檔!$G$2:$G$749,MATCH($B270,球員主檔!$A$2:$A$749,0)))/365.25)</f>
        <v>29</v>
      </c>
      <c r="I270" s="12" t="n">
        <v>34</v>
      </c>
      <c r="J270" s="12" t="n">
        <v>145</v>
      </c>
      <c r="K270" s="12" t="n">
        <v>126</v>
      </c>
      <c r="L270" s="12" t="n">
        <v>19</v>
      </c>
      <c r="M270" s="12" t="n">
        <v>30</v>
      </c>
      <c r="N270" s="12" t="n">
        <v>6</v>
      </c>
      <c r="O270" s="12" t="n">
        <v>6</v>
      </c>
      <c r="P270" s="12" t="n">
        <v>5</v>
      </c>
      <c r="Q270" s="12" t="n">
        <v>18</v>
      </c>
      <c r="R270" s="12" t="n">
        <v>15</v>
      </c>
      <c r="S270" s="12" t="n">
        <v>17</v>
      </c>
      <c r="T270" s="12" t="n">
        <v>3</v>
      </c>
      <c r="U270" s="12" t="n">
        <v>1</v>
      </c>
      <c r="V270" s="12" t="n">
        <v>1</v>
      </c>
      <c r="W270" s="12" t="n">
        <v>0</v>
      </c>
      <c r="X270" s="13" t="n">
        <f aca="false">M270+N270+2*O270+3*P270</f>
        <v>63</v>
      </c>
      <c r="Y270" s="14" t="n">
        <f aca="false">IF(K270=0,0,M270/K270)</f>
        <v>0.238095238095238</v>
      </c>
      <c r="Z270" s="14" t="n">
        <f aca="false">IF(K270+R270+T270+U270=0,0,(M270+R270+T270)/(K270+R270+T270+U270))</f>
        <v>0.331034482758621</v>
      </c>
      <c r="AA270" s="14" t="n">
        <f aca="false">IF(K270=0,0,X270/K270)</f>
        <v>0.5</v>
      </c>
      <c r="AB270" s="14" t="n">
        <f aca="false">Z270+AA270</f>
        <v>0.831034482758621</v>
      </c>
      <c r="AC270" s="14" t="n">
        <f aca="false">AA270-Y270</f>
        <v>0.261904761904762</v>
      </c>
      <c r="AD270" s="14" t="n">
        <f aca="false">IF(K270-S270-P270+U270=0,0,(M270-P270)/(K270-S270-P270+U270))</f>
        <v>0.238095238095238</v>
      </c>
      <c r="AE270" s="15" t="n">
        <f aca="false">IF(J270=0,0,R270/J270)</f>
        <v>0.103448275862069</v>
      </c>
      <c r="AF270" s="15" t="n">
        <f aca="false">IF(J270=0,0,S270/J270)</f>
        <v>0.117241379310345</v>
      </c>
      <c r="AG270" s="11" t="n">
        <f aca="false">IF(J270&gt;=INDEX(球季參數!$E$2:$E$4,MATCH($A270,球季參數!$A$2:$A$4,0)),1,0)</f>
        <v>0</v>
      </c>
    </row>
    <row r="271" customFormat="false" ht="15" hidden="false" customHeight="false" outlineLevel="0" collapsed="false">
      <c r="A271" s="5" t="n">
        <v>2024</v>
      </c>
      <c r="B271" s="7" t="s">
        <v>1535</v>
      </c>
      <c r="C271" s="10" t="str">
        <f aca="false">INDEX(球員主檔!$B$2:$B$749,MATCH($B271,球員主檔!$A$2:$A$749,0))</f>
        <v>Matthias Redmayne</v>
      </c>
      <c r="D271" s="7" t="s">
        <v>451</v>
      </c>
      <c r="E271" s="10" t="str">
        <f aca="false">INDEX(球隊主檔!$C$2:$C$31,MATCH($D271,球隊主檔!$A$2:$A$31,0))</f>
        <v>科羅拉多落磯</v>
      </c>
      <c r="F271" s="10" t="str">
        <f aca="false">INDEX(球隊主檔!$D$2:$D$31,MATCH($D271,球隊主檔!$A$2:$A$31,0))</f>
        <v>國聯</v>
      </c>
      <c r="G271" s="7" t="s">
        <v>483</v>
      </c>
      <c r="H271" s="11" t="n">
        <f aca="false">INT((DATE($A271,7,1)-INDEX(球員主檔!$G$2:$G$749,MATCH($B271,球員主檔!$A$2:$A$749,0)))/365.25)</f>
        <v>26</v>
      </c>
      <c r="I271" s="12" t="n">
        <v>58</v>
      </c>
      <c r="J271" s="12" t="n">
        <v>258</v>
      </c>
      <c r="K271" s="12" t="n">
        <v>225</v>
      </c>
      <c r="L271" s="12" t="n">
        <v>27</v>
      </c>
      <c r="M271" s="12" t="n">
        <v>54</v>
      </c>
      <c r="N271" s="12" t="n">
        <v>25</v>
      </c>
      <c r="O271" s="12" t="n">
        <v>3</v>
      </c>
      <c r="P271" s="12" t="n">
        <v>4</v>
      </c>
      <c r="Q271" s="12" t="n">
        <v>21</v>
      </c>
      <c r="R271" s="12" t="n">
        <v>27</v>
      </c>
      <c r="S271" s="12" t="n">
        <v>85</v>
      </c>
      <c r="T271" s="12" t="n">
        <v>3</v>
      </c>
      <c r="U271" s="12" t="n">
        <v>3</v>
      </c>
      <c r="V271" s="12" t="n">
        <v>2</v>
      </c>
      <c r="W271" s="12" t="n">
        <v>0</v>
      </c>
      <c r="X271" s="13" t="n">
        <f aca="false">M271+N271+2*O271+3*P271</f>
        <v>97</v>
      </c>
      <c r="Y271" s="14" t="n">
        <f aca="false">IF(K271=0,0,M271/K271)</f>
        <v>0.24</v>
      </c>
      <c r="Z271" s="14" t="n">
        <f aca="false">IF(K271+R271+T271+U271=0,0,(M271+R271+T271)/(K271+R271+T271+U271))</f>
        <v>0.325581395348837</v>
      </c>
      <c r="AA271" s="14" t="n">
        <f aca="false">IF(K271=0,0,X271/K271)</f>
        <v>0.431111111111111</v>
      </c>
      <c r="AB271" s="14" t="n">
        <f aca="false">Z271+AA271</f>
        <v>0.756692506459948</v>
      </c>
      <c r="AC271" s="14" t="n">
        <f aca="false">AA271-Y271</f>
        <v>0.191111111111111</v>
      </c>
      <c r="AD271" s="14" t="n">
        <f aca="false">IF(K271-S271-P271+U271=0,0,(M271-P271)/(K271-S271-P271+U271))</f>
        <v>0.359712230215827</v>
      </c>
      <c r="AE271" s="15" t="n">
        <f aca="false">IF(J271=0,0,R271/J271)</f>
        <v>0.104651162790698</v>
      </c>
      <c r="AF271" s="15" t="n">
        <f aca="false">IF(J271=0,0,S271/J271)</f>
        <v>0.329457364341085</v>
      </c>
      <c r="AG271" s="11" t="n">
        <f aca="false">IF(J271&gt;=INDEX(球季參數!$E$2:$E$4,MATCH($A271,球季參數!$A$2:$A$4,0)),1,0)</f>
        <v>0</v>
      </c>
    </row>
    <row r="272" customFormat="false" ht="15" hidden="false" customHeight="false" outlineLevel="0" collapsed="false">
      <c r="A272" s="5" t="n">
        <v>2024</v>
      </c>
      <c r="B272" s="7" t="s">
        <v>1557</v>
      </c>
      <c r="C272" s="10" t="str">
        <f aca="false">INDEX(球員主檔!$B$2:$B$749,MATCH($B272,球員主檔!$A$2:$A$749,0))</f>
        <v>Wyatt Vandermeer</v>
      </c>
      <c r="D272" s="7" t="s">
        <v>455</v>
      </c>
      <c r="E272" s="10" t="str">
        <f aca="false">INDEX(球隊主檔!$C$2:$C$31,MATCH($D272,球隊主檔!$A$2:$A$31,0))</f>
        <v>洛杉磯道奇</v>
      </c>
      <c r="F272" s="10" t="str">
        <f aca="false">INDEX(球隊主檔!$D$2:$D$31,MATCH($D272,球隊主檔!$A$2:$A$31,0))</f>
        <v>國聯</v>
      </c>
      <c r="G272" s="7" t="s">
        <v>483</v>
      </c>
      <c r="H272" s="11" t="n">
        <f aca="false">INT((DATE($A272,7,1)-INDEX(球員主檔!$G$2:$G$749,MATCH($B272,球員主檔!$A$2:$A$749,0)))/365.25)</f>
        <v>30</v>
      </c>
      <c r="I272" s="12" t="n">
        <v>156</v>
      </c>
      <c r="J272" s="12" t="n">
        <v>638</v>
      </c>
      <c r="K272" s="12" t="n">
        <v>594</v>
      </c>
      <c r="L272" s="12" t="n">
        <v>88</v>
      </c>
      <c r="M272" s="12" t="n">
        <v>180</v>
      </c>
      <c r="N272" s="12" t="n">
        <v>11</v>
      </c>
      <c r="O272" s="12" t="n">
        <v>6</v>
      </c>
      <c r="P272" s="12" t="n">
        <v>26</v>
      </c>
      <c r="Q272" s="12" t="n">
        <v>86</v>
      </c>
      <c r="R272" s="12" t="n">
        <v>34</v>
      </c>
      <c r="S272" s="12" t="n">
        <v>156</v>
      </c>
      <c r="T272" s="12" t="n">
        <v>6</v>
      </c>
      <c r="U272" s="12" t="n">
        <v>4</v>
      </c>
      <c r="V272" s="12" t="n">
        <v>33</v>
      </c>
      <c r="W272" s="12" t="n">
        <v>9</v>
      </c>
      <c r="X272" s="13" t="n">
        <f aca="false">M272+N272+2*O272+3*P272</f>
        <v>281</v>
      </c>
      <c r="Y272" s="14" t="n">
        <f aca="false">IF(K272=0,0,M272/K272)</f>
        <v>0.303030303030303</v>
      </c>
      <c r="Z272" s="14" t="n">
        <f aca="false">IF(K272+R272+T272+U272=0,0,(M272+R272+T272)/(K272+R272+T272+U272))</f>
        <v>0.344827586206897</v>
      </c>
      <c r="AA272" s="14" t="n">
        <f aca="false">IF(K272=0,0,X272/K272)</f>
        <v>0.473063973063973</v>
      </c>
      <c r="AB272" s="14" t="n">
        <f aca="false">Z272+AA272</f>
        <v>0.81789155927087</v>
      </c>
      <c r="AC272" s="14" t="n">
        <f aca="false">AA272-Y272</f>
        <v>0.17003367003367</v>
      </c>
      <c r="AD272" s="14" t="n">
        <f aca="false">IF(K272-S272-P272+U272=0,0,(M272-P272)/(K272-S272-P272+U272))</f>
        <v>0.370192307692308</v>
      </c>
      <c r="AE272" s="15" t="n">
        <f aca="false">IF(J272=0,0,R272/J272)</f>
        <v>0.0532915360501567</v>
      </c>
      <c r="AF272" s="15" t="n">
        <f aca="false">IF(J272=0,0,S272/J272)</f>
        <v>0.244514106583072</v>
      </c>
      <c r="AG272" s="11" t="n">
        <f aca="false">IF(J272&gt;=INDEX(球季參數!$E$2:$E$4,MATCH($A272,球季參數!$A$2:$A$4,0)),1,0)</f>
        <v>1</v>
      </c>
    </row>
    <row r="273" customFormat="false" ht="15" hidden="false" customHeight="false" outlineLevel="0" collapsed="false">
      <c r="A273" s="5" t="n">
        <v>2024</v>
      </c>
      <c r="B273" s="7" t="s">
        <v>1559</v>
      </c>
      <c r="C273" s="10" t="str">
        <f aca="false">INDEX(球員主檔!$B$2:$B$749,MATCH($B273,球員主檔!$A$2:$A$749,0))</f>
        <v>Sawyer Hargreaves</v>
      </c>
      <c r="D273" s="7" t="s">
        <v>455</v>
      </c>
      <c r="E273" s="10" t="str">
        <f aca="false">INDEX(球隊主檔!$C$2:$C$31,MATCH($D273,球隊主檔!$A$2:$A$31,0))</f>
        <v>洛杉磯道奇</v>
      </c>
      <c r="F273" s="10" t="str">
        <f aca="false">INDEX(球隊主檔!$D$2:$D$31,MATCH($D273,球隊主檔!$A$2:$A$31,0))</f>
        <v>國聯</v>
      </c>
      <c r="G273" s="7" t="s">
        <v>470</v>
      </c>
      <c r="H273" s="11" t="n">
        <f aca="false">INT((DATE($A273,7,1)-INDEX(球員主檔!$G$2:$G$749,MATCH($B273,球員主檔!$A$2:$A$749,0)))/365.25)</f>
        <v>24</v>
      </c>
      <c r="I273" s="12" t="n">
        <v>137</v>
      </c>
      <c r="J273" s="12" t="n">
        <v>598</v>
      </c>
      <c r="K273" s="12" t="n">
        <v>549</v>
      </c>
      <c r="L273" s="12" t="n">
        <v>74</v>
      </c>
      <c r="M273" s="12" t="n">
        <v>127</v>
      </c>
      <c r="N273" s="12" t="n">
        <v>13</v>
      </c>
      <c r="O273" s="12" t="n">
        <v>3</v>
      </c>
      <c r="P273" s="12" t="n">
        <v>25</v>
      </c>
      <c r="Q273" s="12" t="n">
        <v>82</v>
      </c>
      <c r="R273" s="12" t="n">
        <v>34</v>
      </c>
      <c r="S273" s="12" t="n">
        <v>196</v>
      </c>
      <c r="T273" s="12" t="n">
        <v>12</v>
      </c>
      <c r="U273" s="12" t="n">
        <v>3</v>
      </c>
      <c r="V273" s="12" t="n">
        <v>6</v>
      </c>
      <c r="W273" s="12" t="n">
        <v>1</v>
      </c>
      <c r="X273" s="13" t="n">
        <f aca="false">M273+N273+2*O273+3*P273</f>
        <v>221</v>
      </c>
      <c r="Y273" s="14" t="n">
        <f aca="false">IF(K273=0,0,M273/K273)</f>
        <v>0.231329690346084</v>
      </c>
      <c r="Z273" s="14" t="n">
        <f aca="false">IF(K273+R273+T273+U273=0,0,(M273+R273+T273)/(K273+R273+T273+U273))</f>
        <v>0.289297658862876</v>
      </c>
      <c r="AA273" s="14" t="n">
        <f aca="false">IF(K273=0,0,X273/K273)</f>
        <v>0.402550091074681</v>
      </c>
      <c r="AB273" s="14" t="n">
        <f aca="false">Z273+AA273</f>
        <v>0.691847749937558</v>
      </c>
      <c r="AC273" s="14" t="n">
        <f aca="false">AA273-Y273</f>
        <v>0.171220400728597</v>
      </c>
      <c r="AD273" s="14" t="n">
        <f aca="false">IF(K273-S273-P273+U273=0,0,(M273-P273)/(K273-S273-P273+U273))</f>
        <v>0.308157099697885</v>
      </c>
      <c r="AE273" s="15" t="n">
        <f aca="false">IF(J273=0,0,R273/J273)</f>
        <v>0.0568561872909699</v>
      </c>
      <c r="AF273" s="15" t="n">
        <f aca="false">IF(J273=0,0,S273/J273)</f>
        <v>0.327759197324415</v>
      </c>
      <c r="AG273" s="11" t="n">
        <f aca="false">IF(J273&gt;=INDEX(球季參數!$E$2:$E$4,MATCH($A273,球季參數!$A$2:$A$4,0)),1,0)</f>
        <v>1</v>
      </c>
    </row>
    <row r="274" customFormat="false" ht="15" hidden="false" customHeight="false" outlineLevel="0" collapsed="false">
      <c r="A274" s="5" t="n">
        <v>2024</v>
      </c>
      <c r="B274" s="7" t="s">
        <v>1561</v>
      </c>
      <c r="C274" s="10" t="str">
        <f aca="false">INDEX(球員主檔!$B$2:$B$749,MATCH($B274,球員主檔!$A$2:$A$749,0))</f>
        <v>Silas Goddard</v>
      </c>
      <c r="D274" s="7" t="s">
        <v>455</v>
      </c>
      <c r="E274" s="10" t="str">
        <f aca="false">INDEX(球隊主檔!$C$2:$C$31,MATCH($D274,球隊主檔!$A$2:$A$31,0))</f>
        <v>洛杉磯道奇</v>
      </c>
      <c r="F274" s="10" t="str">
        <f aca="false">INDEX(球隊主檔!$D$2:$D$31,MATCH($D274,球隊主檔!$A$2:$A$31,0))</f>
        <v>國聯</v>
      </c>
      <c r="G274" s="7" t="s">
        <v>158</v>
      </c>
      <c r="H274" s="11" t="n">
        <f aca="false">INT((DATE($A274,7,1)-INDEX(球員主檔!$G$2:$G$749,MATCH($B274,球員主檔!$A$2:$A$749,0)))/365.25)</f>
        <v>24</v>
      </c>
      <c r="I274" s="12" t="n">
        <v>141</v>
      </c>
      <c r="J274" s="12" t="n">
        <v>562</v>
      </c>
      <c r="K274" s="12" t="n">
        <v>520</v>
      </c>
      <c r="L274" s="12" t="n">
        <v>52</v>
      </c>
      <c r="M274" s="12" t="n">
        <v>137</v>
      </c>
      <c r="N274" s="12" t="n">
        <v>29</v>
      </c>
      <c r="O274" s="12" t="n">
        <v>4</v>
      </c>
      <c r="P274" s="12" t="n">
        <v>11</v>
      </c>
      <c r="Q274" s="12" t="n">
        <v>47</v>
      </c>
      <c r="R274" s="12" t="n">
        <v>28</v>
      </c>
      <c r="S274" s="12" t="n">
        <v>104</v>
      </c>
      <c r="T274" s="12" t="n">
        <v>11</v>
      </c>
      <c r="U274" s="12" t="n">
        <v>3</v>
      </c>
      <c r="V274" s="12" t="n">
        <v>10</v>
      </c>
      <c r="W274" s="12" t="n">
        <v>3</v>
      </c>
      <c r="X274" s="13" t="n">
        <f aca="false">M274+N274+2*O274+3*P274</f>
        <v>207</v>
      </c>
      <c r="Y274" s="14" t="n">
        <f aca="false">IF(K274=0,0,M274/K274)</f>
        <v>0.263461538461538</v>
      </c>
      <c r="Z274" s="14" t="n">
        <f aca="false">IF(K274+R274+T274+U274=0,0,(M274+R274+T274)/(K274+R274+T274+U274))</f>
        <v>0.313167259786477</v>
      </c>
      <c r="AA274" s="14" t="n">
        <f aca="false">IF(K274=0,0,X274/K274)</f>
        <v>0.398076923076923</v>
      </c>
      <c r="AB274" s="14" t="n">
        <f aca="false">Z274+AA274</f>
        <v>0.7112441828634</v>
      </c>
      <c r="AC274" s="14" t="n">
        <f aca="false">AA274-Y274</f>
        <v>0.134615384615385</v>
      </c>
      <c r="AD274" s="14" t="n">
        <f aca="false">IF(K274-S274-P274+U274=0,0,(M274-P274)/(K274-S274-P274+U274))</f>
        <v>0.308823529411765</v>
      </c>
      <c r="AE274" s="15" t="n">
        <f aca="false">IF(J274=0,0,R274/J274)</f>
        <v>0.0498220640569395</v>
      </c>
      <c r="AF274" s="15" t="n">
        <f aca="false">IF(J274=0,0,S274/J274)</f>
        <v>0.185053380782918</v>
      </c>
      <c r="AG274" s="11" t="n">
        <f aca="false">IF(J274&gt;=INDEX(球季參數!$E$2:$E$4,MATCH($A274,球季參數!$A$2:$A$4,0)),1,0)</f>
        <v>1</v>
      </c>
    </row>
    <row r="275" customFormat="false" ht="15" hidden="false" customHeight="false" outlineLevel="0" collapsed="false">
      <c r="A275" s="5" t="n">
        <v>2024</v>
      </c>
      <c r="B275" s="7" t="s">
        <v>1563</v>
      </c>
      <c r="C275" s="10" t="str">
        <f aca="false">INDEX(球員主檔!$B$2:$B$749,MATCH($B275,球員主檔!$A$2:$A$749,0))</f>
        <v>Griffin Jovanović</v>
      </c>
      <c r="D275" s="7" t="s">
        <v>455</v>
      </c>
      <c r="E275" s="10" t="str">
        <f aca="false">INDEX(球隊主檔!$C$2:$C$31,MATCH($D275,球隊主檔!$A$2:$A$31,0))</f>
        <v>洛杉磯道奇</v>
      </c>
      <c r="F275" s="10" t="str">
        <f aca="false">INDEX(球隊主檔!$D$2:$D$31,MATCH($D275,球隊主檔!$A$2:$A$31,0))</f>
        <v>國聯</v>
      </c>
      <c r="G275" s="7" t="s">
        <v>486</v>
      </c>
      <c r="H275" s="11" t="n">
        <f aca="false">INT((DATE($A275,7,1)-INDEX(球員主檔!$G$2:$G$749,MATCH($B275,球員主檔!$A$2:$A$749,0)))/365.25)</f>
        <v>30</v>
      </c>
      <c r="I275" s="12" t="n">
        <v>155</v>
      </c>
      <c r="J275" s="12" t="n">
        <v>608</v>
      </c>
      <c r="K275" s="12" t="n">
        <v>548</v>
      </c>
      <c r="L275" s="12" t="n">
        <v>79</v>
      </c>
      <c r="M275" s="12" t="n">
        <v>137</v>
      </c>
      <c r="N275" s="12" t="n">
        <v>26</v>
      </c>
      <c r="O275" s="12" t="n">
        <v>9</v>
      </c>
      <c r="P275" s="12" t="n">
        <v>29</v>
      </c>
      <c r="Q275" s="12" t="n">
        <v>85</v>
      </c>
      <c r="R275" s="12" t="n">
        <v>55</v>
      </c>
      <c r="S275" s="12" t="n">
        <v>196</v>
      </c>
      <c r="T275" s="12" t="n">
        <v>3</v>
      </c>
      <c r="U275" s="12" t="n">
        <v>2</v>
      </c>
      <c r="V275" s="12" t="n">
        <v>4</v>
      </c>
      <c r="W275" s="12" t="n">
        <v>1</v>
      </c>
      <c r="X275" s="13" t="n">
        <f aca="false">M275+N275+2*O275+3*P275</f>
        <v>268</v>
      </c>
      <c r="Y275" s="14" t="n">
        <f aca="false">IF(K275=0,0,M275/K275)</f>
        <v>0.25</v>
      </c>
      <c r="Z275" s="14" t="n">
        <f aca="false">IF(K275+R275+T275+U275=0,0,(M275+R275+T275)/(K275+R275+T275+U275))</f>
        <v>0.320723684210526</v>
      </c>
      <c r="AA275" s="14" t="n">
        <f aca="false">IF(K275=0,0,X275/K275)</f>
        <v>0.489051094890511</v>
      </c>
      <c r="AB275" s="14" t="n">
        <f aca="false">Z275+AA275</f>
        <v>0.809774779101037</v>
      </c>
      <c r="AC275" s="14" t="n">
        <f aca="false">AA275-Y275</f>
        <v>0.239051094890511</v>
      </c>
      <c r="AD275" s="14" t="n">
        <f aca="false">IF(K275-S275-P275+U275=0,0,(M275-P275)/(K275-S275-P275+U275))</f>
        <v>0.332307692307692</v>
      </c>
      <c r="AE275" s="15" t="n">
        <f aca="false">IF(J275=0,0,R275/J275)</f>
        <v>0.0904605263157895</v>
      </c>
      <c r="AF275" s="15" t="n">
        <f aca="false">IF(J275=0,0,S275/J275)</f>
        <v>0.322368421052632</v>
      </c>
      <c r="AG275" s="11" t="n">
        <f aca="false">IF(J275&gt;=INDEX(球季參數!$E$2:$E$4,MATCH($A275,球季參數!$A$2:$A$4,0)),1,0)</f>
        <v>1</v>
      </c>
    </row>
    <row r="276" customFormat="false" ht="15" hidden="false" customHeight="false" outlineLevel="0" collapsed="false">
      <c r="A276" s="5" t="n">
        <v>2024</v>
      </c>
      <c r="B276" s="7" t="s">
        <v>1565</v>
      </c>
      <c r="C276" s="10" t="str">
        <f aca="false">INDEX(球員主檔!$B$2:$B$749,MATCH($B276,球員主檔!$A$2:$A$749,0))</f>
        <v>Rowan Castellón</v>
      </c>
      <c r="D276" s="7" t="s">
        <v>455</v>
      </c>
      <c r="E276" s="10" t="str">
        <f aca="false">INDEX(球隊主檔!$C$2:$C$31,MATCH($D276,球隊主檔!$A$2:$A$31,0))</f>
        <v>洛杉磯道奇</v>
      </c>
      <c r="F276" s="10" t="str">
        <f aca="false">INDEX(球隊主檔!$D$2:$D$31,MATCH($D276,球隊主檔!$A$2:$A$31,0))</f>
        <v>國聯</v>
      </c>
      <c r="G276" s="7" t="s">
        <v>63</v>
      </c>
      <c r="H276" s="11" t="n">
        <f aca="false">INT((DATE($A276,7,1)-INDEX(球員主檔!$G$2:$G$749,MATCH($B276,球員主檔!$A$2:$A$749,0)))/365.25)</f>
        <v>28</v>
      </c>
      <c r="I276" s="12" t="n">
        <v>53</v>
      </c>
      <c r="J276" s="12" t="n">
        <v>230</v>
      </c>
      <c r="K276" s="12" t="n">
        <v>199</v>
      </c>
      <c r="L276" s="12" t="n">
        <v>29</v>
      </c>
      <c r="M276" s="12" t="n">
        <v>48</v>
      </c>
      <c r="N276" s="12" t="n">
        <v>13</v>
      </c>
      <c r="O276" s="12" t="n">
        <v>5</v>
      </c>
      <c r="P276" s="12" t="n">
        <v>8</v>
      </c>
      <c r="Q276" s="12" t="n">
        <v>29</v>
      </c>
      <c r="R276" s="12" t="n">
        <v>25</v>
      </c>
      <c r="S276" s="12" t="n">
        <v>32</v>
      </c>
      <c r="T276" s="12" t="n">
        <v>5</v>
      </c>
      <c r="U276" s="12" t="n">
        <v>1</v>
      </c>
      <c r="V276" s="12" t="n">
        <v>3</v>
      </c>
      <c r="W276" s="12" t="n">
        <v>1</v>
      </c>
      <c r="X276" s="13" t="n">
        <f aca="false">M276+N276+2*O276+3*P276</f>
        <v>95</v>
      </c>
      <c r="Y276" s="14" t="n">
        <f aca="false">IF(K276=0,0,M276/K276)</f>
        <v>0.241206030150754</v>
      </c>
      <c r="Z276" s="14" t="n">
        <f aca="false">IF(K276+R276+T276+U276=0,0,(M276+R276+T276)/(K276+R276+T276+U276))</f>
        <v>0.339130434782609</v>
      </c>
      <c r="AA276" s="14" t="n">
        <f aca="false">IF(K276=0,0,X276/K276)</f>
        <v>0.477386934673367</v>
      </c>
      <c r="AB276" s="14" t="n">
        <f aca="false">Z276+AA276</f>
        <v>0.816517369455976</v>
      </c>
      <c r="AC276" s="14" t="n">
        <f aca="false">AA276-Y276</f>
        <v>0.236180904522613</v>
      </c>
      <c r="AD276" s="14" t="n">
        <f aca="false">IF(K276-S276-P276+U276=0,0,(M276-P276)/(K276-S276-P276+U276))</f>
        <v>0.25</v>
      </c>
      <c r="AE276" s="15" t="n">
        <f aca="false">IF(J276=0,0,R276/J276)</f>
        <v>0.108695652173913</v>
      </c>
      <c r="AF276" s="15" t="n">
        <f aca="false">IF(J276=0,0,S276/J276)</f>
        <v>0.139130434782609</v>
      </c>
      <c r="AG276" s="11" t="n">
        <f aca="false">IF(J276&gt;=INDEX(球季參數!$E$2:$E$4,MATCH($A276,球季參數!$A$2:$A$4,0)),1,0)</f>
        <v>0</v>
      </c>
    </row>
    <row r="277" customFormat="false" ht="15" hidden="false" customHeight="false" outlineLevel="0" collapsed="false">
      <c r="A277" s="5" t="n">
        <v>2024</v>
      </c>
      <c r="B277" s="7" t="s">
        <v>1567</v>
      </c>
      <c r="C277" s="10" t="str">
        <f aca="false">INDEX(球員主檔!$B$2:$B$749,MATCH($B277,球員主檔!$A$2:$A$749,0))</f>
        <v>Zane Haverford</v>
      </c>
      <c r="D277" s="7" t="s">
        <v>455</v>
      </c>
      <c r="E277" s="10" t="str">
        <f aca="false">INDEX(球隊主檔!$C$2:$C$31,MATCH($D277,球隊主檔!$A$2:$A$31,0))</f>
        <v>洛杉磯道奇</v>
      </c>
      <c r="F277" s="10" t="str">
        <f aca="false">INDEX(球隊主檔!$D$2:$D$31,MATCH($D277,球隊主檔!$A$2:$A$31,0))</f>
        <v>國聯</v>
      </c>
      <c r="G277" s="7" t="s">
        <v>473</v>
      </c>
      <c r="H277" s="11" t="n">
        <f aca="false">INT((DATE($A277,7,1)-INDEX(球員主檔!$G$2:$G$749,MATCH($B277,球員主檔!$A$2:$A$749,0)))/365.25)</f>
        <v>24</v>
      </c>
      <c r="I277" s="12" t="n">
        <v>96</v>
      </c>
      <c r="J277" s="12" t="n">
        <v>408</v>
      </c>
      <c r="K277" s="12" t="n">
        <v>367</v>
      </c>
      <c r="L277" s="12" t="n">
        <v>41</v>
      </c>
      <c r="M277" s="12" t="n">
        <v>88</v>
      </c>
      <c r="N277" s="12" t="n">
        <v>30</v>
      </c>
      <c r="O277" s="12" t="n">
        <v>7</v>
      </c>
      <c r="P277" s="12" t="n">
        <v>11</v>
      </c>
      <c r="Q277" s="12" t="n">
        <v>45</v>
      </c>
      <c r="R277" s="12" t="n">
        <v>30</v>
      </c>
      <c r="S277" s="12" t="n">
        <v>107</v>
      </c>
      <c r="T277" s="12" t="n">
        <v>6</v>
      </c>
      <c r="U277" s="12" t="n">
        <v>5</v>
      </c>
      <c r="V277" s="12" t="n">
        <v>9</v>
      </c>
      <c r="W277" s="12" t="n">
        <v>2</v>
      </c>
      <c r="X277" s="13" t="n">
        <f aca="false">M277+N277+2*O277+3*P277</f>
        <v>165</v>
      </c>
      <c r="Y277" s="14" t="n">
        <f aca="false">IF(K277=0,0,M277/K277)</f>
        <v>0.239782016348774</v>
      </c>
      <c r="Z277" s="14" t="n">
        <f aca="false">IF(K277+R277+T277+U277=0,0,(M277+R277+T277)/(K277+R277+T277+U277))</f>
        <v>0.303921568627451</v>
      </c>
      <c r="AA277" s="14" t="n">
        <f aca="false">IF(K277=0,0,X277/K277)</f>
        <v>0.449591280653951</v>
      </c>
      <c r="AB277" s="14" t="n">
        <f aca="false">Z277+AA277</f>
        <v>0.753512849281402</v>
      </c>
      <c r="AC277" s="14" t="n">
        <f aca="false">AA277-Y277</f>
        <v>0.209809264305177</v>
      </c>
      <c r="AD277" s="14" t="n">
        <f aca="false">IF(K277-S277-P277+U277=0,0,(M277-P277)/(K277-S277-P277+U277))</f>
        <v>0.303149606299213</v>
      </c>
      <c r="AE277" s="15" t="n">
        <f aca="false">IF(J277=0,0,R277/J277)</f>
        <v>0.0735294117647059</v>
      </c>
      <c r="AF277" s="15" t="n">
        <f aca="false">IF(J277=0,0,S277/J277)</f>
        <v>0.262254901960784</v>
      </c>
      <c r="AG277" s="11" t="n">
        <f aca="false">IF(J277&gt;=INDEX(球季參數!$E$2:$E$4,MATCH($A277,球季參數!$A$2:$A$4,0)),1,0)</f>
        <v>0</v>
      </c>
    </row>
    <row r="278" customFormat="false" ht="15" hidden="false" customHeight="false" outlineLevel="0" collapsed="false">
      <c r="A278" s="5" t="n">
        <v>2024</v>
      </c>
      <c r="B278" s="7" t="s">
        <v>1569</v>
      </c>
      <c r="C278" s="10" t="str">
        <f aca="false">INDEX(球員主檔!$B$2:$B$749,MATCH($B278,球員主檔!$A$2:$A$749,0))</f>
        <v>Garrison Fontaine</v>
      </c>
      <c r="D278" s="7" t="s">
        <v>455</v>
      </c>
      <c r="E278" s="10" t="str">
        <f aca="false">INDEX(球隊主檔!$C$2:$C$31,MATCH($D278,球隊主檔!$A$2:$A$31,0))</f>
        <v>洛杉磯道奇</v>
      </c>
      <c r="F278" s="10" t="str">
        <f aca="false">INDEX(球隊主檔!$D$2:$D$31,MATCH($D278,球隊主檔!$A$2:$A$31,0))</f>
        <v>國聯</v>
      </c>
      <c r="G278" s="7" t="s">
        <v>522</v>
      </c>
      <c r="H278" s="11" t="n">
        <f aca="false">INT((DATE($A278,7,1)-INDEX(球員主檔!$G$2:$G$749,MATCH($B278,球員主檔!$A$2:$A$749,0)))/365.25)</f>
        <v>25</v>
      </c>
      <c r="I278" s="12" t="n">
        <v>121</v>
      </c>
      <c r="J278" s="12" t="n">
        <v>481</v>
      </c>
      <c r="K278" s="12" t="n">
        <v>430</v>
      </c>
      <c r="L278" s="12" t="n">
        <v>57</v>
      </c>
      <c r="M278" s="12" t="n">
        <v>104</v>
      </c>
      <c r="N278" s="12" t="n">
        <v>19</v>
      </c>
      <c r="O278" s="12" t="n">
        <v>3</v>
      </c>
      <c r="P278" s="12" t="n">
        <v>26</v>
      </c>
      <c r="Q278" s="12" t="n">
        <v>74</v>
      </c>
      <c r="R278" s="12" t="n">
        <v>43</v>
      </c>
      <c r="S278" s="12" t="n">
        <v>72</v>
      </c>
      <c r="T278" s="12" t="n">
        <v>3</v>
      </c>
      <c r="U278" s="12" t="n">
        <v>5</v>
      </c>
      <c r="V278" s="12" t="n">
        <v>13</v>
      </c>
      <c r="W278" s="12" t="n">
        <v>4</v>
      </c>
      <c r="X278" s="13" t="n">
        <f aca="false">M278+N278+2*O278+3*P278</f>
        <v>207</v>
      </c>
      <c r="Y278" s="14" t="n">
        <f aca="false">IF(K278=0,0,M278/K278)</f>
        <v>0.241860465116279</v>
      </c>
      <c r="Z278" s="14" t="n">
        <f aca="false">IF(K278+R278+T278+U278=0,0,(M278+R278+T278)/(K278+R278+T278+U278))</f>
        <v>0.311850311850312</v>
      </c>
      <c r="AA278" s="14" t="n">
        <f aca="false">IF(K278=0,0,X278/K278)</f>
        <v>0.481395348837209</v>
      </c>
      <c r="AB278" s="14" t="n">
        <f aca="false">Z278+AA278</f>
        <v>0.793245660687521</v>
      </c>
      <c r="AC278" s="14" t="n">
        <f aca="false">AA278-Y278</f>
        <v>0.23953488372093</v>
      </c>
      <c r="AD278" s="14" t="n">
        <f aca="false">IF(K278-S278-P278+U278=0,0,(M278-P278)/(K278-S278-P278+U278))</f>
        <v>0.231454005934718</v>
      </c>
      <c r="AE278" s="15" t="n">
        <f aca="false">IF(J278=0,0,R278/J278)</f>
        <v>0.0893970893970894</v>
      </c>
      <c r="AF278" s="15" t="n">
        <f aca="false">IF(J278=0,0,S278/J278)</f>
        <v>0.14968814968815</v>
      </c>
      <c r="AG278" s="11" t="n">
        <f aca="false">IF(J278&gt;=INDEX(球季參數!$E$2:$E$4,MATCH($A278,球季參數!$A$2:$A$4,0)),1,0)</f>
        <v>0</v>
      </c>
    </row>
    <row r="279" customFormat="false" ht="15" hidden="false" customHeight="false" outlineLevel="0" collapsed="false">
      <c r="A279" s="5" t="n">
        <v>2024</v>
      </c>
      <c r="B279" s="7" t="s">
        <v>1571</v>
      </c>
      <c r="C279" s="10" t="str">
        <f aca="false">INDEX(球員主檔!$B$2:$B$749,MATCH($B279,球員主檔!$A$2:$A$749,0))</f>
        <v>Caspian Underhill</v>
      </c>
      <c r="D279" s="7" t="s">
        <v>455</v>
      </c>
      <c r="E279" s="10" t="str">
        <f aca="false">INDEX(球隊主檔!$C$2:$C$31,MATCH($D279,球隊主檔!$A$2:$A$31,0))</f>
        <v>洛杉磯道奇</v>
      </c>
      <c r="F279" s="10" t="str">
        <f aca="false">INDEX(球隊主檔!$D$2:$D$31,MATCH($D279,球隊主檔!$A$2:$A$31,0))</f>
        <v>國聯</v>
      </c>
      <c r="G279" s="7" t="s">
        <v>522</v>
      </c>
      <c r="H279" s="11" t="n">
        <f aca="false">INT((DATE($A279,7,1)-INDEX(球員主檔!$G$2:$G$749,MATCH($B279,球員主檔!$A$2:$A$749,0)))/365.25)</f>
        <v>35</v>
      </c>
      <c r="I279" s="12" t="n">
        <v>74</v>
      </c>
      <c r="J279" s="12" t="n">
        <v>295</v>
      </c>
      <c r="K279" s="12" t="n">
        <v>270</v>
      </c>
      <c r="L279" s="12" t="n">
        <v>37</v>
      </c>
      <c r="M279" s="12" t="n">
        <v>72</v>
      </c>
      <c r="N279" s="12" t="n">
        <v>13</v>
      </c>
      <c r="O279" s="12" t="n">
        <v>5</v>
      </c>
      <c r="P279" s="12" t="n">
        <v>5</v>
      </c>
      <c r="Q279" s="12" t="n">
        <v>27</v>
      </c>
      <c r="R279" s="12" t="n">
        <v>20</v>
      </c>
      <c r="S279" s="12" t="n">
        <v>71</v>
      </c>
      <c r="T279" s="12" t="n">
        <v>3</v>
      </c>
      <c r="U279" s="12" t="n">
        <v>2</v>
      </c>
      <c r="V279" s="12" t="n">
        <v>7</v>
      </c>
      <c r="W279" s="12" t="n">
        <v>2</v>
      </c>
      <c r="X279" s="13" t="n">
        <f aca="false">M279+N279+2*O279+3*P279</f>
        <v>110</v>
      </c>
      <c r="Y279" s="14" t="n">
        <f aca="false">IF(K279=0,0,M279/K279)</f>
        <v>0.266666666666667</v>
      </c>
      <c r="Z279" s="14" t="n">
        <f aca="false">IF(K279+R279+T279+U279=0,0,(M279+R279+T279)/(K279+R279+T279+U279))</f>
        <v>0.322033898305085</v>
      </c>
      <c r="AA279" s="14" t="n">
        <f aca="false">IF(K279=0,0,X279/K279)</f>
        <v>0.407407407407407</v>
      </c>
      <c r="AB279" s="14" t="n">
        <f aca="false">Z279+AA279</f>
        <v>0.729441305712492</v>
      </c>
      <c r="AC279" s="14" t="n">
        <f aca="false">AA279-Y279</f>
        <v>0.140740740740741</v>
      </c>
      <c r="AD279" s="14" t="n">
        <f aca="false">IF(K279-S279-P279+U279=0,0,(M279-P279)/(K279-S279-P279+U279))</f>
        <v>0.341836734693878</v>
      </c>
      <c r="AE279" s="15" t="n">
        <f aca="false">IF(J279=0,0,R279/J279)</f>
        <v>0.0677966101694915</v>
      </c>
      <c r="AF279" s="15" t="n">
        <f aca="false">IF(J279=0,0,S279/J279)</f>
        <v>0.240677966101695</v>
      </c>
      <c r="AG279" s="11" t="n">
        <f aca="false">IF(J279&gt;=INDEX(球季參數!$E$2:$E$4,MATCH($A279,球季參數!$A$2:$A$4,0)),1,0)</f>
        <v>0</v>
      </c>
    </row>
    <row r="280" customFormat="false" ht="15" hidden="false" customHeight="false" outlineLevel="0" collapsed="false">
      <c r="A280" s="5" t="n">
        <v>2024</v>
      </c>
      <c r="B280" s="7" t="s">
        <v>1573</v>
      </c>
      <c r="C280" s="10" t="str">
        <f aca="false">INDEX(球員主檔!$B$2:$B$749,MATCH($B280,球員主檔!$A$2:$A$749,0))</f>
        <v>Ignacio Yamazaki</v>
      </c>
      <c r="D280" s="7" t="s">
        <v>455</v>
      </c>
      <c r="E280" s="10" t="str">
        <f aca="false">INDEX(球隊主檔!$C$2:$C$31,MATCH($D280,球隊主檔!$A$2:$A$31,0))</f>
        <v>洛杉磯道奇</v>
      </c>
      <c r="F280" s="10" t="str">
        <f aca="false">INDEX(球隊主檔!$D$2:$D$31,MATCH($D280,球隊主檔!$A$2:$A$31,0))</f>
        <v>國聯</v>
      </c>
      <c r="G280" s="7" t="s">
        <v>478</v>
      </c>
      <c r="H280" s="11" t="n">
        <f aca="false">INT((DATE($A280,7,1)-INDEX(球員主檔!$G$2:$G$749,MATCH($B280,球員主檔!$A$2:$A$749,0)))/365.25)</f>
        <v>31</v>
      </c>
      <c r="I280" s="12" t="n">
        <v>57</v>
      </c>
      <c r="J280" s="12" t="n">
        <v>239</v>
      </c>
      <c r="K280" s="12" t="n">
        <v>213</v>
      </c>
      <c r="L280" s="12" t="n">
        <v>23</v>
      </c>
      <c r="M280" s="12" t="n">
        <v>43</v>
      </c>
      <c r="N280" s="12" t="n">
        <v>18</v>
      </c>
      <c r="O280" s="12" t="n">
        <v>2</v>
      </c>
      <c r="P280" s="12" t="n">
        <v>5</v>
      </c>
      <c r="Q280" s="12" t="n">
        <v>18</v>
      </c>
      <c r="R280" s="12" t="n">
        <v>24</v>
      </c>
      <c r="S280" s="12" t="n">
        <v>51</v>
      </c>
      <c r="T280" s="12" t="n">
        <v>1</v>
      </c>
      <c r="U280" s="12" t="n">
        <v>1</v>
      </c>
      <c r="V280" s="12" t="n">
        <v>11</v>
      </c>
      <c r="W280" s="12" t="n">
        <v>2</v>
      </c>
      <c r="X280" s="13" t="n">
        <f aca="false">M280+N280+2*O280+3*P280</f>
        <v>80</v>
      </c>
      <c r="Y280" s="14" t="n">
        <f aca="false">IF(K280=0,0,M280/K280)</f>
        <v>0.2018779342723</v>
      </c>
      <c r="Z280" s="14" t="n">
        <f aca="false">IF(K280+R280+T280+U280=0,0,(M280+R280+T280)/(K280+R280+T280+U280))</f>
        <v>0.284518828451883</v>
      </c>
      <c r="AA280" s="14" t="n">
        <f aca="false">IF(K280=0,0,X280/K280)</f>
        <v>0.375586854460094</v>
      </c>
      <c r="AB280" s="14" t="n">
        <f aca="false">Z280+AA280</f>
        <v>0.660105682911977</v>
      </c>
      <c r="AC280" s="14" t="n">
        <f aca="false">AA280-Y280</f>
        <v>0.173708920187793</v>
      </c>
      <c r="AD280" s="14" t="n">
        <f aca="false">IF(K280-S280-P280+U280=0,0,(M280-P280)/(K280-S280-P280+U280))</f>
        <v>0.240506329113924</v>
      </c>
      <c r="AE280" s="15" t="n">
        <f aca="false">IF(J280=0,0,R280/J280)</f>
        <v>0.100418410041841</v>
      </c>
      <c r="AF280" s="15" t="n">
        <f aca="false">IF(J280=0,0,S280/J280)</f>
        <v>0.213389121338912</v>
      </c>
      <c r="AG280" s="11" t="n">
        <f aca="false">IF(J280&gt;=INDEX(球季參數!$E$2:$E$4,MATCH($A280,球季參數!$A$2:$A$4,0)),1,0)</f>
        <v>0</v>
      </c>
    </row>
    <row r="281" customFormat="false" ht="15" hidden="false" customHeight="false" outlineLevel="0" collapsed="false">
      <c r="A281" s="5" t="n">
        <v>2024</v>
      </c>
      <c r="B281" s="7" t="s">
        <v>1575</v>
      </c>
      <c r="C281" s="10" t="str">
        <f aca="false">INDEX(球員主檔!$B$2:$B$749,MATCH($B281,球員主檔!$A$2:$A$749,0))</f>
        <v>Minjae Ravenscroft</v>
      </c>
      <c r="D281" s="7" t="s">
        <v>455</v>
      </c>
      <c r="E281" s="10" t="str">
        <f aca="false">INDEX(球隊主檔!$C$2:$C$31,MATCH($D281,球隊主檔!$A$2:$A$31,0))</f>
        <v>洛杉磯道奇</v>
      </c>
      <c r="F281" s="10" t="str">
        <f aca="false">INDEX(球隊主檔!$D$2:$D$31,MATCH($D281,球隊主檔!$A$2:$A$31,0))</f>
        <v>國聯</v>
      </c>
      <c r="G281" s="7" t="s">
        <v>486</v>
      </c>
      <c r="H281" s="11" t="n">
        <f aca="false">INT((DATE($A281,7,1)-INDEX(球員主檔!$G$2:$G$749,MATCH($B281,球員主檔!$A$2:$A$749,0)))/365.25)</f>
        <v>27</v>
      </c>
      <c r="I281" s="12" t="n">
        <v>84</v>
      </c>
      <c r="J281" s="12" t="n">
        <v>337</v>
      </c>
      <c r="K281" s="12" t="n">
        <v>304</v>
      </c>
      <c r="L281" s="12" t="n">
        <v>49</v>
      </c>
      <c r="M281" s="12" t="n">
        <v>90</v>
      </c>
      <c r="N281" s="12" t="n">
        <v>31</v>
      </c>
      <c r="O281" s="12" t="n">
        <v>2</v>
      </c>
      <c r="P281" s="12" t="n">
        <v>8</v>
      </c>
      <c r="Q281" s="12" t="n">
        <v>35</v>
      </c>
      <c r="R281" s="12" t="n">
        <v>25</v>
      </c>
      <c r="S281" s="12" t="n">
        <v>53</v>
      </c>
      <c r="T281" s="12" t="n">
        <v>6</v>
      </c>
      <c r="U281" s="12" t="n">
        <v>2</v>
      </c>
      <c r="V281" s="12" t="n">
        <v>1</v>
      </c>
      <c r="W281" s="12" t="n">
        <v>0</v>
      </c>
      <c r="X281" s="13" t="n">
        <f aca="false">M281+N281+2*O281+3*P281</f>
        <v>149</v>
      </c>
      <c r="Y281" s="14" t="n">
        <f aca="false">IF(K281=0,0,M281/K281)</f>
        <v>0.296052631578947</v>
      </c>
      <c r="Z281" s="14" t="n">
        <f aca="false">IF(K281+R281+T281+U281=0,0,(M281+R281+T281)/(K281+R281+T281+U281))</f>
        <v>0.359050445103858</v>
      </c>
      <c r="AA281" s="14" t="n">
        <f aca="false">IF(K281=0,0,X281/K281)</f>
        <v>0.490131578947368</v>
      </c>
      <c r="AB281" s="14" t="n">
        <f aca="false">Z281+AA281</f>
        <v>0.849182024051226</v>
      </c>
      <c r="AC281" s="14" t="n">
        <f aca="false">AA281-Y281</f>
        <v>0.194078947368421</v>
      </c>
      <c r="AD281" s="14" t="n">
        <f aca="false">IF(K281-S281-P281+U281=0,0,(M281-P281)/(K281-S281-P281+U281))</f>
        <v>0.33469387755102</v>
      </c>
      <c r="AE281" s="15" t="n">
        <f aca="false">IF(J281=0,0,R281/J281)</f>
        <v>0.0741839762611276</v>
      </c>
      <c r="AF281" s="15" t="n">
        <f aca="false">IF(J281=0,0,S281/J281)</f>
        <v>0.157270029673591</v>
      </c>
      <c r="AG281" s="11" t="n">
        <f aca="false">IF(J281&gt;=INDEX(球季參數!$E$2:$E$4,MATCH($A281,球季參數!$A$2:$A$4,0)),1,0)</f>
        <v>0</v>
      </c>
    </row>
    <row r="282" customFormat="false" ht="15" hidden="false" customHeight="false" outlineLevel="0" collapsed="false">
      <c r="A282" s="5" t="n">
        <v>2024</v>
      </c>
      <c r="B282" s="7" t="s">
        <v>1597</v>
      </c>
      <c r="C282" s="10" t="str">
        <f aca="false">INDEX(球員主檔!$B$2:$B$749,MATCH($B282,球員主檔!$A$2:$A$749,0))</f>
        <v>Quentin Brightwell</v>
      </c>
      <c r="D282" s="7" t="s">
        <v>459</v>
      </c>
      <c r="E282" s="10" t="str">
        <f aca="false">INDEX(球隊主檔!$C$2:$C$31,MATCH($D282,球隊主檔!$A$2:$A$31,0))</f>
        <v>聖地牙哥教士</v>
      </c>
      <c r="F282" s="10" t="str">
        <f aca="false">INDEX(球隊主檔!$D$2:$D$31,MATCH($D282,球隊主檔!$A$2:$A$31,0))</f>
        <v>國聯</v>
      </c>
      <c r="G282" s="7" t="s">
        <v>486</v>
      </c>
      <c r="H282" s="11" t="n">
        <f aca="false">INT((DATE($A282,7,1)-INDEX(球員主檔!$G$2:$G$749,MATCH($B282,球員主檔!$A$2:$A$749,0)))/365.25)</f>
        <v>29</v>
      </c>
      <c r="I282" s="12" t="n">
        <v>66</v>
      </c>
      <c r="J282" s="12" t="n">
        <v>262</v>
      </c>
      <c r="K282" s="12" t="n">
        <v>238</v>
      </c>
      <c r="L282" s="12" t="n">
        <v>28</v>
      </c>
      <c r="M282" s="12" t="n">
        <v>61</v>
      </c>
      <c r="N282" s="12" t="n">
        <v>24</v>
      </c>
      <c r="O282" s="12" t="n">
        <v>6</v>
      </c>
      <c r="P282" s="12" t="n">
        <v>7</v>
      </c>
      <c r="Q282" s="12" t="n">
        <v>28</v>
      </c>
      <c r="R282" s="12" t="n">
        <v>21</v>
      </c>
      <c r="S282" s="12" t="n">
        <v>53</v>
      </c>
      <c r="T282" s="12" t="n">
        <v>3</v>
      </c>
      <c r="U282" s="12" t="n">
        <v>0</v>
      </c>
      <c r="V282" s="12" t="n">
        <v>2</v>
      </c>
      <c r="W282" s="12" t="n">
        <v>0</v>
      </c>
      <c r="X282" s="13" t="n">
        <f aca="false">M282+N282+2*O282+3*P282</f>
        <v>118</v>
      </c>
      <c r="Y282" s="14" t="n">
        <f aca="false">IF(K282=0,0,M282/K282)</f>
        <v>0.256302521008403</v>
      </c>
      <c r="Z282" s="14" t="n">
        <f aca="false">IF(K282+R282+T282+U282=0,0,(M282+R282+T282)/(K282+R282+T282+U282))</f>
        <v>0.324427480916031</v>
      </c>
      <c r="AA282" s="14" t="n">
        <f aca="false">IF(K282=0,0,X282/K282)</f>
        <v>0.495798319327731</v>
      </c>
      <c r="AB282" s="14" t="n">
        <f aca="false">Z282+AA282</f>
        <v>0.820225800243762</v>
      </c>
      <c r="AC282" s="14" t="n">
        <f aca="false">AA282-Y282</f>
        <v>0.239495798319328</v>
      </c>
      <c r="AD282" s="14" t="n">
        <f aca="false">IF(K282-S282-P282+U282=0,0,(M282-P282)/(K282-S282-P282+U282))</f>
        <v>0.303370786516854</v>
      </c>
      <c r="AE282" s="15" t="n">
        <f aca="false">IF(J282=0,0,R282/J282)</f>
        <v>0.0801526717557252</v>
      </c>
      <c r="AF282" s="15" t="n">
        <f aca="false">IF(J282=0,0,S282/J282)</f>
        <v>0.202290076335878</v>
      </c>
      <c r="AG282" s="11" t="n">
        <f aca="false">IF(J282&gt;=INDEX(球季參數!$E$2:$E$4,MATCH($A282,球季參數!$A$2:$A$4,0)),1,0)</f>
        <v>0</v>
      </c>
    </row>
    <row r="283" customFormat="false" ht="15" hidden="false" customHeight="false" outlineLevel="0" collapsed="false">
      <c r="A283" s="5" t="n">
        <v>2024</v>
      </c>
      <c r="B283" s="7" t="s">
        <v>1599</v>
      </c>
      <c r="C283" s="10" t="str">
        <f aca="false">INDEX(球員主檔!$B$2:$B$749,MATCH($B283,球員主檔!$A$2:$A$749,0))</f>
        <v>Dimitri Yarbrough</v>
      </c>
      <c r="D283" s="7" t="s">
        <v>459</v>
      </c>
      <c r="E283" s="10" t="str">
        <f aca="false">INDEX(球隊主檔!$C$2:$C$31,MATCH($D283,球隊主檔!$A$2:$A$31,0))</f>
        <v>聖地牙哥教士</v>
      </c>
      <c r="F283" s="10" t="str">
        <f aca="false">INDEX(球隊主檔!$D$2:$D$31,MATCH($D283,球隊主檔!$A$2:$A$31,0))</f>
        <v>國聯</v>
      </c>
      <c r="G283" s="7" t="s">
        <v>158</v>
      </c>
      <c r="H283" s="11" t="n">
        <f aca="false">INT((DATE($A283,7,1)-INDEX(球員主檔!$G$2:$G$749,MATCH($B283,球員主檔!$A$2:$A$749,0)))/365.25)</f>
        <v>29</v>
      </c>
      <c r="I283" s="12" t="n">
        <v>140</v>
      </c>
      <c r="J283" s="12" t="n">
        <v>577</v>
      </c>
      <c r="K283" s="12" t="n">
        <v>518</v>
      </c>
      <c r="L283" s="12" t="n">
        <v>51</v>
      </c>
      <c r="M283" s="12" t="n">
        <v>105</v>
      </c>
      <c r="N283" s="12" t="n">
        <v>22</v>
      </c>
      <c r="O283" s="12" t="n">
        <v>4</v>
      </c>
      <c r="P283" s="12" t="n">
        <v>11</v>
      </c>
      <c r="Q283" s="12" t="n">
        <v>47</v>
      </c>
      <c r="R283" s="12" t="n">
        <v>57</v>
      </c>
      <c r="S283" s="12" t="n">
        <v>107</v>
      </c>
      <c r="T283" s="12" t="n">
        <v>1</v>
      </c>
      <c r="U283" s="12" t="n">
        <v>1</v>
      </c>
      <c r="V283" s="12" t="n">
        <v>20</v>
      </c>
      <c r="W283" s="12" t="n">
        <v>5</v>
      </c>
      <c r="X283" s="13" t="n">
        <f aca="false">M283+N283+2*O283+3*P283</f>
        <v>168</v>
      </c>
      <c r="Y283" s="14" t="n">
        <f aca="false">IF(K283=0,0,M283/K283)</f>
        <v>0.202702702702703</v>
      </c>
      <c r="Z283" s="14" t="n">
        <f aca="false">IF(K283+R283+T283+U283=0,0,(M283+R283+T283)/(K283+R283+T283+U283))</f>
        <v>0.282495667244367</v>
      </c>
      <c r="AA283" s="14" t="n">
        <f aca="false">IF(K283=0,0,X283/K283)</f>
        <v>0.324324324324324</v>
      </c>
      <c r="AB283" s="14" t="n">
        <f aca="false">Z283+AA283</f>
        <v>0.606819991568692</v>
      </c>
      <c r="AC283" s="14" t="n">
        <f aca="false">AA283-Y283</f>
        <v>0.121621621621622</v>
      </c>
      <c r="AD283" s="14" t="n">
        <f aca="false">IF(K283-S283-P283+U283=0,0,(M283-P283)/(K283-S283-P283+U283))</f>
        <v>0.234413965087282</v>
      </c>
      <c r="AE283" s="15" t="n">
        <f aca="false">IF(J283=0,0,R283/J283)</f>
        <v>0.098786828422877</v>
      </c>
      <c r="AF283" s="15" t="n">
        <f aca="false">IF(J283=0,0,S283/J283)</f>
        <v>0.185441941074523</v>
      </c>
      <c r="AG283" s="11" t="n">
        <f aca="false">IF(J283&gt;=INDEX(球季參數!$E$2:$E$4,MATCH($A283,球季參數!$A$2:$A$4,0)),1,0)</f>
        <v>1</v>
      </c>
    </row>
    <row r="284" customFormat="false" ht="15" hidden="false" customHeight="false" outlineLevel="0" collapsed="false">
      <c r="A284" s="5" t="n">
        <v>2024</v>
      </c>
      <c r="B284" s="7" t="s">
        <v>1601</v>
      </c>
      <c r="C284" s="10" t="str">
        <f aca="false">INDEX(球員主檔!$B$2:$B$749,MATCH($B284,球員主檔!$A$2:$A$749,0))</f>
        <v>Everett Dunmore</v>
      </c>
      <c r="D284" s="7" t="s">
        <v>459</v>
      </c>
      <c r="E284" s="10" t="str">
        <f aca="false">INDEX(球隊主檔!$C$2:$C$31,MATCH($D284,球隊主檔!$A$2:$A$31,0))</f>
        <v>聖地牙哥教士</v>
      </c>
      <c r="F284" s="10" t="str">
        <f aca="false">INDEX(球隊主檔!$D$2:$D$31,MATCH($D284,球隊主檔!$A$2:$A$31,0))</f>
        <v>國聯</v>
      </c>
      <c r="G284" s="7" t="s">
        <v>470</v>
      </c>
      <c r="H284" s="11" t="n">
        <f aca="false">INT((DATE($A284,7,1)-INDEX(球員主檔!$G$2:$G$749,MATCH($B284,球員主檔!$A$2:$A$749,0)))/365.25)</f>
        <v>33</v>
      </c>
      <c r="I284" s="12" t="n">
        <v>87</v>
      </c>
      <c r="J284" s="12" t="n">
        <v>355</v>
      </c>
      <c r="K284" s="12" t="n">
        <v>316</v>
      </c>
      <c r="L284" s="12" t="n">
        <v>38</v>
      </c>
      <c r="M284" s="12" t="n">
        <v>72</v>
      </c>
      <c r="N284" s="12" t="n">
        <v>30</v>
      </c>
      <c r="O284" s="12" t="n">
        <v>5</v>
      </c>
      <c r="P284" s="12" t="n">
        <v>8</v>
      </c>
      <c r="Q284" s="12" t="n">
        <v>35</v>
      </c>
      <c r="R284" s="12" t="n">
        <v>30</v>
      </c>
      <c r="S284" s="12" t="n">
        <v>93</v>
      </c>
      <c r="T284" s="12" t="n">
        <v>7</v>
      </c>
      <c r="U284" s="12" t="n">
        <v>2</v>
      </c>
      <c r="V284" s="12" t="n">
        <v>2</v>
      </c>
      <c r="W284" s="12" t="n">
        <v>1</v>
      </c>
      <c r="X284" s="13" t="n">
        <f aca="false">M284+N284+2*O284+3*P284</f>
        <v>136</v>
      </c>
      <c r="Y284" s="14" t="n">
        <f aca="false">IF(K284=0,0,M284/K284)</f>
        <v>0.227848101265823</v>
      </c>
      <c r="Z284" s="14" t="n">
        <f aca="false">IF(K284+R284+T284+U284=0,0,(M284+R284+T284)/(K284+R284+T284+U284))</f>
        <v>0.307042253521127</v>
      </c>
      <c r="AA284" s="14" t="n">
        <f aca="false">IF(K284=0,0,X284/K284)</f>
        <v>0.430379746835443</v>
      </c>
      <c r="AB284" s="14" t="n">
        <f aca="false">Z284+AA284</f>
        <v>0.73742200035657</v>
      </c>
      <c r="AC284" s="14" t="n">
        <f aca="false">AA284-Y284</f>
        <v>0.20253164556962</v>
      </c>
      <c r="AD284" s="14" t="n">
        <f aca="false">IF(K284-S284-P284+U284=0,0,(M284-P284)/(K284-S284-P284+U284))</f>
        <v>0.294930875576037</v>
      </c>
      <c r="AE284" s="15" t="n">
        <f aca="false">IF(J284=0,0,R284/J284)</f>
        <v>0.0845070422535211</v>
      </c>
      <c r="AF284" s="15" t="n">
        <f aca="false">IF(J284=0,0,S284/J284)</f>
        <v>0.261971830985916</v>
      </c>
      <c r="AG284" s="11" t="n">
        <f aca="false">IF(J284&gt;=INDEX(球季參數!$E$2:$E$4,MATCH($A284,球季參數!$A$2:$A$4,0)),1,0)</f>
        <v>0</v>
      </c>
    </row>
    <row r="285" customFormat="false" ht="15" hidden="false" customHeight="false" outlineLevel="0" collapsed="false">
      <c r="A285" s="5" t="n">
        <v>2024</v>
      </c>
      <c r="B285" s="7" t="s">
        <v>1603</v>
      </c>
      <c r="C285" s="10" t="str">
        <f aca="false">INDEX(球員主檔!$B$2:$B$749,MATCH($B285,球員主檔!$A$2:$A$749,0))</f>
        <v>Silas Ostrowski</v>
      </c>
      <c r="D285" s="7" t="s">
        <v>459</v>
      </c>
      <c r="E285" s="10" t="str">
        <f aca="false">INDEX(球隊主檔!$C$2:$C$31,MATCH($D285,球隊主檔!$A$2:$A$31,0))</f>
        <v>聖地牙哥教士</v>
      </c>
      <c r="F285" s="10" t="str">
        <f aca="false">INDEX(球隊主檔!$D$2:$D$31,MATCH($D285,球隊主檔!$A$2:$A$31,0))</f>
        <v>國聯</v>
      </c>
      <c r="G285" s="7" t="s">
        <v>522</v>
      </c>
      <c r="H285" s="11" t="n">
        <f aca="false">INT((DATE($A285,7,1)-INDEX(球員主檔!$G$2:$G$749,MATCH($B285,球員主檔!$A$2:$A$749,0)))/365.25)</f>
        <v>31</v>
      </c>
      <c r="I285" s="12" t="n">
        <v>147</v>
      </c>
      <c r="J285" s="12" t="n">
        <v>603</v>
      </c>
      <c r="K285" s="12" t="n">
        <v>547</v>
      </c>
      <c r="L285" s="12" t="n">
        <v>82</v>
      </c>
      <c r="M285" s="12" t="n">
        <v>162</v>
      </c>
      <c r="N285" s="12" t="n">
        <v>16</v>
      </c>
      <c r="O285" s="12" t="n">
        <v>6</v>
      </c>
      <c r="P285" s="12" t="n">
        <v>19</v>
      </c>
      <c r="Q285" s="12" t="n">
        <v>74</v>
      </c>
      <c r="R285" s="12" t="n">
        <v>45</v>
      </c>
      <c r="S285" s="12" t="n">
        <v>174</v>
      </c>
      <c r="T285" s="12" t="n">
        <v>10</v>
      </c>
      <c r="U285" s="12" t="n">
        <v>1</v>
      </c>
      <c r="V285" s="12" t="n">
        <v>10</v>
      </c>
      <c r="W285" s="12" t="n">
        <v>2</v>
      </c>
      <c r="X285" s="13" t="n">
        <f aca="false">M285+N285+2*O285+3*P285</f>
        <v>247</v>
      </c>
      <c r="Y285" s="14" t="n">
        <f aca="false">IF(K285=0,0,M285/K285)</f>
        <v>0.296160877513711</v>
      </c>
      <c r="Z285" s="14" t="n">
        <f aca="false">IF(K285+R285+T285+U285=0,0,(M285+R285+T285)/(K285+R285+T285+U285))</f>
        <v>0.359867330016584</v>
      </c>
      <c r="AA285" s="14" t="n">
        <f aca="false">IF(K285=0,0,X285/K285)</f>
        <v>0.451553930530165</v>
      </c>
      <c r="AB285" s="14" t="n">
        <f aca="false">Z285+AA285</f>
        <v>0.811421260546748</v>
      </c>
      <c r="AC285" s="14" t="n">
        <f aca="false">AA285-Y285</f>
        <v>0.155393053016453</v>
      </c>
      <c r="AD285" s="14" t="n">
        <f aca="false">IF(K285-S285-P285+U285=0,0,(M285-P285)/(K285-S285-P285+U285))</f>
        <v>0.402816901408451</v>
      </c>
      <c r="AE285" s="15" t="n">
        <f aca="false">IF(J285=0,0,R285/J285)</f>
        <v>0.0746268656716418</v>
      </c>
      <c r="AF285" s="15" t="n">
        <f aca="false">IF(J285=0,0,S285/J285)</f>
        <v>0.288557213930348</v>
      </c>
      <c r="AG285" s="11" t="n">
        <f aca="false">IF(J285&gt;=INDEX(球季參數!$E$2:$E$4,MATCH($A285,球季參數!$A$2:$A$4,0)),1,0)</f>
        <v>1</v>
      </c>
    </row>
    <row r="286" customFormat="false" ht="15" hidden="false" customHeight="false" outlineLevel="0" collapsed="false">
      <c r="A286" s="5" t="n">
        <v>2024</v>
      </c>
      <c r="B286" s="7" t="s">
        <v>1605</v>
      </c>
      <c r="C286" s="10" t="str">
        <f aca="false">INDEX(球員主檔!$B$2:$B$749,MATCH($B286,球員主檔!$A$2:$A$749,0))</f>
        <v>Sousuke Beckwith</v>
      </c>
      <c r="D286" s="7" t="s">
        <v>459</v>
      </c>
      <c r="E286" s="10" t="str">
        <f aca="false">INDEX(球隊主檔!$C$2:$C$31,MATCH($D286,球隊主檔!$A$2:$A$31,0))</f>
        <v>聖地牙哥教士</v>
      </c>
      <c r="F286" s="10" t="str">
        <f aca="false">INDEX(球隊主檔!$D$2:$D$31,MATCH($D286,球隊主檔!$A$2:$A$31,0))</f>
        <v>國聯</v>
      </c>
      <c r="G286" s="7" t="s">
        <v>63</v>
      </c>
      <c r="H286" s="11" t="n">
        <f aca="false">INT((DATE($A286,7,1)-INDEX(球員主檔!$G$2:$G$749,MATCH($B286,球員主檔!$A$2:$A$749,0)))/365.25)</f>
        <v>30</v>
      </c>
      <c r="I286" s="12" t="n">
        <v>142</v>
      </c>
      <c r="J286" s="12" t="n">
        <v>586</v>
      </c>
      <c r="K286" s="12" t="n">
        <v>513</v>
      </c>
      <c r="L286" s="12" t="n">
        <v>75</v>
      </c>
      <c r="M286" s="12" t="n">
        <v>128</v>
      </c>
      <c r="N286" s="12" t="n">
        <v>24</v>
      </c>
      <c r="O286" s="12" t="n">
        <v>2</v>
      </c>
      <c r="P286" s="12" t="n">
        <v>21</v>
      </c>
      <c r="Q286" s="12" t="n">
        <v>70</v>
      </c>
      <c r="R286" s="12" t="n">
        <v>59</v>
      </c>
      <c r="S286" s="12" t="n">
        <v>133</v>
      </c>
      <c r="T286" s="12" t="n">
        <v>12</v>
      </c>
      <c r="U286" s="12" t="n">
        <v>2</v>
      </c>
      <c r="V286" s="12" t="n">
        <v>17</v>
      </c>
      <c r="W286" s="12" t="n">
        <v>6</v>
      </c>
      <c r="X286" s="13" t="n">
        <f aca="false">M286+N286+2*O286+3*P286</f>
        <v>219</v>
      </c>
      <c r="Y286" s="14" t="n">
        <f aca="false">IF(K286=0,0,M286/K286)</f>
        <v>0.249512670565302</v>
      </c>
      <c r="Z286" s="14" t="n">
        <f aca="false">IF(K286+R286+T286+U286=0,0,(M286+R286+T286)/(K286+R286+T286+U286))</f>
        <v>0.339590443686007</v>
      </c>
      <c r="AA286" s="14" t="n">
        <f aca="false">IF(K286=0,0,X286/K286)</f>
        <v>0.426900584795322</v>
      </c>
      <c r="AB286" s="14" t="n">
        <f aca="false">Z286+AA286</f>
        <v>0.766491028481328</v>
      </c>
      <c r="AC286" s="14" t="n">
        <f aca="false">AA286-Y286</f>
        <v>0.177387914230019</v>
      </c>
      <c r="AD286" s="14" t="n">
        <f aca="false">IF(K286-S286-P286+U286=0,0,(M286-P286)/(K286-S286-P286+U286))</f>
        <v>0.296398891966759</v>
      </c>
      <c r="AE286" s="15" t="n">
        <f aca="false">IF(J286=0,0,R286/J286)</f>
        <v>0.100682593856655</v>
      </c>
      <c r="AF286" s="15" t="n">
        <f aca="false">IF(J286=0,0,S286/J286)</f>
        <v>0.226962457337884</v>
      </c>
      <c r="AG286" s="11" t="n">
        <f aca="false">IF(J286&gt;=INDEX(球季參數!$E$2:$E$4,MATCH($A286,球季參數!$A$2:$A$4,0)),1,0)</f>
        <v>1</v>
      </c>
    </row>
    <row r="287" customFormat="false" ht="15" hidden="false" customHeight="false" outlineLevel="0" collapsed="false">
      <c r="A287" s="5" t="n">
        <v>2024</v>
      </c>
      <c r="B287" s="7" t="s">
        <v>1607</v>
      </c>
      <c r="C287" s="10" t="str">
        <f aca="false">INDEX(球員主檔!$B$2:$B$749,MATCH($B287,球員主檔!$A$2:$A$749,0))</f>
        <v>Griffin Ostrowski</v>
      </c>
      <c r="D287" s="7" t="s">
        <v>459</v>
      </c>
      <c r="E287" s="10" t="str">
        <f aca="false">INDEX(球隊主檔!$C$2:$C$31,MATCH($D287,球隊主檔!$A$2:$A$31,0))</f>
        <v>聖地牙哥教士</v>
      </c>
      <c r="F287" s="10" t="str">
        <f aca="false">INDEX(球隊主檔!$D$2:$D$31,MATCH($D287,球隊主檔!$A$2:$A$31,0))</f>
        <v>國聯</v>
      </c>
      <c r="G287" s="7" t="s">
        <v>162</v>
      </c>
      <c r="H287" s="11" t="n">
        <f aca="false">INT((DATE($A287,7,1)-INDEX(球員主檔!$G$2:$G$749,MATCH($B287,球員主檔!$A$2:$A$749,0)))/365.25)</f>
        <v>30</v>
      </c>
      <c r="I287" s="12" t="n">
        <v>119</v>
      </c>
      <c r="J287" s="12" t="n">
        <v>516</v>
      </c>
      <c r="K287" s="12" t="n">
        <v>463</v>
      </c>
      <c r="L287" s="12" t="n">
        <v>55</v>
      </c>
      <c r="M287" s="12" t="n">
        <v>107</v>
      </c>
      <c r="N287" s="12" t="n">
        <v>22</v>
      </c>
      <c r="O287" s="12" t="n">
        <v>3</v>
      </c>
      <c r="P287" s="12" t="n">
        <v>14</v>
      </c>
      <c r="Q287" s="12" t="n">
        <v>56</v>
      </c>
      <c r="R287" s="12" t="n">
        <v>45</v>
      </c>
      <c r="S287" s="12" t="n">
        <v>96</v>
      </c>
      <c r="T287" s="12" t="n">
        <v>3</v>
      </c>
      <c r="U287" s="12" t="n">
        <v>5</v>
      </c>
      <c r="V287" s="12" t="n">
        <v>4</v>
      </c>
      <c r="W287" s="12" t="n">
        <v>1</v>
      </c>
      <c r="X287" s="13" t="n">
        <f aca="false">M287+N287+2*O287+3*P287</f>
        <v>177</v>
      </c>
      <c r="Y287" s="14" t="n">
        <f aca="false">IF(K287=0,0,M287/K287)</f>
        <v>0.23110151187905</v>
      </c>
      <c r="Z287" s="14" t="n">
        <f aca="false">IF(K287+R287+T287+U287=0,0,(M287+R287+T287)/(K287+R287+T287+U287))</f>
        <v>0.300387596899225</v>
      </c>
      <c r="AA287" s="14" t="n">
        <f aca="false">IF(K287=0,0,X287/K287)</f>
        <v>0.382289416846652</v>
      </c>
      <c r="AB287" s="14" t="n">
        <f aca="false">Z287+AA287</f>
        <v>0.682677013745877</v>
      </c>
      <c r="AC287" s="14" t="n">
        <f aca="false">AA287-Y287</f>
        <v>0.151187904967603</v>
      </c>
      <c r="AD287" s="14" t="n">
        <f aca="false">IF(K287-S287-P287+U287=0,0,(M287-P287)/(K287-S287-P287+U287))</f>
        <v>0.259776536312849</v>
      </c>
      <c r="AE287" s="15" t="n">
        <f aca="false">IF(J287=0,0,R287/J287)</f>
        <v>0.0872093023255814</v>
      </c>
      <c r="AF287" s="15" t="n">
        <f aca="false">IF(J287=0,0,S287/J287)</f>
        <v>0.186046511627907</v>
      </c>
      <c r="AG287" s="11" t="n">
        <f aca="false">IF(J287&gt;=INDEX(球季參數!$E$2:$E$4,MATCH($A287,球季參數!$A$2:$A$4,0)),1,0)</f>
        <v>1</v>
      </c>
    </row>
    <row r="288" customFormat="false" ht="15" hidden="false" customHeight="false" outlineLevel="0" collapsed="false">
      <c r="A288" s="5" t="n">
        <v>2024</v>
      </c>
      <c r="B288" s="7" t="s">
        <v>1609</v>
      </c>
      <c r="C288" s="10" t="str">
        <f aca="false">INDEX(球員主檔!$B$2:$B$749,MATCH($B288,球員主檔!$A$2:$A$749,0))</f>
        <v>Matthias Lemieux</v>
      </c>
      <c r="D288" s="7" t="s">
        <v>459</v>
      </c>
      <c r="E288" s="10" t="str">
        <f aca="false">INDEX(球隊主檔!$C$2:$C$31,MATCH($D288,球隊主檔!$A$2:$A$31,0))</f>
        <v>聖地牙哥教士</v>
      </c>
      <c r="F288" s="10" t="str">
        <f aca="false">INDEX(球隊主檔!$D$2:$D$31,MATCH($D288,球隊主檔!$A$2:$A$31,0))</f>
        <v>國聯</v>
      </c>
      <c r="G288" s="7" t="s">
        <v>470</v>
      </c>
      <c r="H288" s="11" t="n">
        <f aca="false">INT((DATE($A288,7,1)-INDEX(球員主檔!$G$2:$G$749,MATCH($B288,球員主檔!$A$2:$A$749,0)))/365.25)</f>
        <v>27</v>
      </c>
      <c r="I288" s="12" t="n">
        <v>98</v>
      </c>
      <c r="J288" s="12" t="n">
        <v>436</v>
      </c>
      <c r="K288" s="12" t="n">
        <v>385</v>
      </c>
      <c r="L288" s="12" t="n">
        <v>66</v>
      </c>
      <c r="M288" s="12" t="n">
        <v>112</v>
      </c>
      <c r="N288" s="12" t="n">
        <v>26</v>
      </c>
      <c r="O288" s="12" t="n">
        <v>9</v>
      </c>
      <c r="P288" s="12" t="n">
        <v>13</v>
      </c>
      <c r="Q288" s="12" t="n">
        <v>52</v>
      </c>
      <c r="R288" s="12" t="n">
        <v>39</v>
      </c>
      <c r="S288" s="12" t="n">
        <v>72</v>
      </c>
      <c r="T288" s="12" t="n">
        <v>7</v>
      </c>
      <c r="U288" s="12" t="n">
        <v>5</v>
      </c>
      <c r="V288" s="12" t="n">
        <v>7</v>
      </c>
      <c r="W288" s="12" t="n">
        <v>1</v>
      </c>
      <c r="X288" s="13" t="n">
        <f aca="false">M288+N288+2*O288+3*P288</f>
        <v>195</v>
      </c>
      <c r="Y288" s="14" t="n">
        <f aca="false">IF(K288=0,0,M288/K288)</f>
        <v>0.290909090909091</v>
      </c>
      <c r="Z288" s="14" t="n">
        <f aca="false">IF(K288+R288+T288+U288=0,0,(M288+R288+T288)/(K288+R288+T288+U288))</f>
        <v>0.362385321100917</v>
      </c>
      <c r="AA288" s="14" t="n">
        <f aca="false">IF(K288=0,0,X288/K288)</f>
        <v>0.506493506493506</v>
      </c>
      <c r="AB288" s="14" t="n">
        <f aca="false">Z288+AA288</f>
        <v>0.868878827594424</v>
      </c>
      <c r="AC288" s="14" t="n">
        <f aca="false">AA288-Y288</f>
        <v>0.215584415584416</v>
      </c>
      <c r="AD288" s="14" t="n">
        <f aca="false">IF(K288-S288-P288+U288=0,0,(M288-P288)/(K288-S288-P288+U288))</f>
        <v>0.324590163934426</v>
      </c>
      <c r="AE288" s="15" t="n">
        <f aca="false">IF(J288=0,0,R288/J288)</f>
        <v>0.0894495412844037</v>
      </c>
      <c r="AF288" s="15" t="n">
        <f aca="false">IF(J288=0,0,S288/J288)</f>
        <v>0.165137614678899</v>
      </c>
      <c r="AG288" s="11" t="n">
        <f aca="false">IF(J288&gt;=INDEX(球季參數!$E$2:$E$4,MATCH($A288,球季參數!$A$2:$A$4,0)),1,0)</f>
        <v>0</v>
      </c>
    </row>
    <row r="289" customFormat="false" ht="15" hidden="false" customHeight="false" outlineLevel="0" collapsed="false">
      <c r="A289" s="5" t="n">
        <v>2024</v>
      </c>
      <c r="B289" s="7" t="s">
        <v>1611</v>
      </c>
      <c r="C289" s="10" t="str">
        <f aca="false">INDEX(球員主檔!$B$2:$B$749,MATCH($B289,球員主檔!$A$2:$A$749,0))</f>
        <v>Lorenzo Iwasaki</v>
      </c>
      <c r="D289" s="7" t="s">
        <v>459</v>
      </c>
      <c r="E289" s="10" t="str">
        <f aca="false">INDEX(球隊主檔!$C$2:$C$31,MATCH($D289,球隊主檔!$A$2:$A$31,0))</f>
        <v>聖地牙哥教士</v>
      </c>
      <c r="F289" s="10" t="str">
        <f aca="false">INDEX(球隊主檔!$D$2:$D$31,MATCH($D289,球隊主檔!$A$2:$A$31,0))</f>
        <v>國聯</v>
      </c>
      <c r="G289" s="7" t="s">
        <v>522</v>
      </c>
      <c r="H289" s="11" t="n">
        <f aca="false">INT((DATE($A289,7,1)-INDEX(球員主檔!$G$2:$G$749,MATCH($B289,球員主檔!$A$2:$A$749,0)))/365.25)</f>
        <v>24</v>
      </c>
      <c r="I289" s="12" t="n">
        <v>110</v>
      </c>
      <c r="J289" s="12" t="n">
        <v>495</v>
      </c>
      <c r="K289" s="12" t="n">
        <v>458</v>
      </c>
      <c r="L289" s="12" t="n">
        <v>55</v>
      </c>
      <c r="M289" s="12" t="n">
        <v>110</v>
      </c>
      <c r="N289" s="12" t="n">
        <v>33</v>
      </c>
      <c r="O289" s="12" t="n">
        <v>2</v>
      </c>
      <c r="P289" s="12" t="n">
        <v>15</v>
      </c>
      <c r="Q289" s="12" t="n">
        <v>64</v>
      </c>
      <c r="R289" s="12" t="n">
        <v>30</v>
      </c>
      <c r="S289" s="12" t="n">
        <v>75</v>
      </c>
      <c r="T289" s="12" t="n">
        <v>5</v>
      </c>
      <c r="U289" s="12" t="n">
        <v>2</v>
      </c>
      <c r="V289" s="12" t="n">
        <v>16</v>
      </c>
      <c r="W289" s="12" t="n">
        <v>2</v>
      </c>
      <c r="X289" s="13" t="n">
        <f aca="false">M289+N289+2*O289+3*P289</f>
        <v>192</v>
      </c>
      <c r="Y289" s="14" t="n">
        <f aca="false">IF(K289=0,0,M289/K289)</f>
        <v>0.240174672489083</v>
      </c>
      <c r="Z289" s="14" t="n">
        <f aca="false">IF(K289+R289+T289+U289=0,0,(M289+R289+T289)/(K289+R289+T289+U289))</f>
        <v>0.292929292929293</v>
      </c>
      <c r="AA289" s="14" t="n">
        <f aca="false">IF(K289=0,0,X289/K289)</f>
        <v>0.419213973799127</v>
      </c>
      <c r="AB289" s="14" t="n">
        <f aca="false">Z289+AA289</f>
        <v>0.71214326672842</v>
      </c>
      <c r="AC289" s="14" t="n">
        <f aca="false">AA289-Y289</f>
        <v>0.179039301310044</v>
      </c>
      <c r="AD289" s="14" t="n">
        <f aca="false">IF(K289-S289-P289+U289=0,0,(M289-P289)/(K289-S289-P289+U289))</f>
        <v>0.256756756756757</v>
      </c>
      <c r="AE289" s="15" t="n">
        <f aca="false">IF(J289=0,0,R289/J289)</f>
        <v>0.0606060606060606</v>
      </c>
      <c r="AF289" s="15" t="n">
        <f aca="false">IF(J289=0,0,S289/J289)</f>
        <v>0.151515151515152</v>
      </c>
      <c r="AG289" s="11" t="n">
        <f aca="false">IF(J289&gt;=INDEX(球季參數!$E$2:$E$4,MATCH($A289,球季參數!$A$2:$A$4,0)),1,0)</f>
        <v>0</v>
      </c>
    </row>
    <row r="290" customFormat="false" ht="15" hidden="false" customHeight="false" outlineLevel="0" collapsed="false">
      <c r="A290" s="5" t="n">
        <v>2024</v>
      </c>
      <c r="B290" s="7" t="s">
        <v>1613</v>
      </c>
      <c r="C290" s="10" t="str">
        <f aca="false">INDEX(球員主檔!$B$2:$B$749,MATCH($B290,球員主檔!$A$2:$A$749,0))</f>
        <v>Esteban Tremblay</v>
      </c>
      <c r="D290" s="7" t="s">
        <v>459</v>
      </c>
      <c r="E290" s="10" t="str">
        <f aca="false">INDEX(球隊主檔!$C$2:$C$31,MATCH($D290,球隊主檔!$A$2:$A$31,0))</f>
        <v>聖地牙哥教士</v>
      </c>
      <c r="F290" s="10" t="str">
        <f aca="false">INDEX(球隊主檔!$D$2:$D$31,MATCH($D290,球隊主檔!$A$2:$A$31,0))</f>
        <v>國聯</v>
      </c>
      <c r="G290" s="7" t="s">
        <v>162</v>
      </c>
      <c r="H290" s="11" t="n">
        <f aca="false">INT((DATE($A290,7,1)-INDEX(球員主檔!$G$2:$G$749,MATCH($B290,球員主檔!$A$2:$A$749,0)))/365.25)</f>
        <v>28</v>
      </c>
      <c r="I290" s="12" t="n">
        <v>73</v>
      </c>
      <c r="J290" s="12" t="n">
        <v>293</v>
      </c>
      <c r="K290" s="12" t="n">
        <v>260</v>
      </c>
      <c r="L290" s="12" t="n">
        <v>30</v>
      </c>
      <c r="M290" s="12" t="n">
        <v>59</v>
      </c>
      <c r="N290" s="12" t="n">
        <v>22</v>
      </c>
      <c r="O290" s="12" t="n">
        <v>6</v>
      </c>
      <c r="P290" s="12" t="n">
        <v>7</v>
      </c>
      <c r="Q290" s="12" t="n">
        <v>29</v>
      </c>
      <c r="R290" s="12" t="n">
        <v>29</v>
      </c>
      <c r="S290" s="12" t="n">
        <v>80</v>
      </c>
      <c r="T290" s="12" t="n">
        <v>3</v>
      </c>
      <c r="U290" s="12" t="n">
        <v>1</v>
      </c>
      <c r="V290" s="12" t="n">
        <v>2</v>
      </c>
      <c r="W290" s="12" t="n">
        <v>1</v>
      </c>
      <c r="X290" s="13" t="n">
        <f aca="false">M290+N290+2*O290+3*P290</f>
        <v>114</v>
      </c>
      <c r="Y290" s="14" t="n">
        <f aca="false">IF(K290=0,0,M290/K290)</f>
        <v>0.226923076923077</v>
      </c>
      <c r="Z290" s="14" t="n">
        <f aca="false">IF(K290+R290+T290+U290=0,0,(M290+R290+T290)/(K290+R290+T290+U290))</f>
        <v>0.310580204778157</v>
      </c>
      <c r="AA290" s="14" t="n">
        <f aca="false">IF(K290=0,0,X290/K290)</f>
        <v>0.438461538461538</v>
      </c>
      <c r="AB290" s="14" t="n">
        <f aca="false">Z290+AA290</f>
        <v>0.749041743239695</v>
      </c>
      <c r="AC290" s="14" t="n">
        <f aca="false">AA290-Y290</f>
        <v>0.211538461538462</v>
      </c>
      <c r="AD290" s="14" t="n">
        <f aca="false">IF(K290-S290-P290+U290=0,0,(M290-P290)/(K290-S290-P290+U290))</f>
        <v>0.298850574712644</v>
      </c>
      <c r="AE290" s="15" t="n">
        <f aca="false">IF(J290=0,0,R290/J290)</f>
        <v>0.0989761092150171</v>
      </c>
      <c r="AF290" s="15" t="n">
        <f aca="false">IF(J290=0,0,S290/J290)</f>
        <v>0.273037542662116</v>
      </c>
      <c r="AG290" s="11" t="n">
        <f aca="false">IF(J290&gt;=INDEX(球季參數!$E$2:$E$4,MATCH($A290,球季參數!$A$2:$A$4,0)),1,0)</f>
        <v>0</v>
      </c>
    </row>
    <row r="291" customFormat="false" ht="15" hidden="false" customHeight="false" outlineLevel="0" collapsed="false">
      <c r="A291" s="5" t="n">
        <v>2024</v>
      </c>
      <c r="B291" s="7" t="s">
        <v>1615</v>
      </c>
      <c r="C291" s="10" t="str">
        <f aca="false">INDEX(球員主檔!$B$2:$B$749,MATCH($B291,球員主檔!$A$2:$A$749,0))</f>
        <v>Tristan Thorsby</v>
      </c>
      <c r="D291" s="7" t="s">
        <v>459</v>
      </c>
      <c r="E291" s="10" t="str">
        <f aca="false">INDEX(球隊主檔!$C$2:$C$31,MATCH($D291,球隊主檔!$A$2:$A$31,0))</f>
        <v>聖地牙哥教士</v>
      </c>
      <c r="F291" s="10" t="str">
        <f aca="false">INDEX(球隊主檔!$D$2:$D$31,MATCH($D291,球隊主檔!$A$2:$A$31,0))</f>
        <v>國聯</v>
      </c>
      <c r="G291" s="7" t="s">
        <v>162</v>
      </c>
      <c r="H291" s="11" t="n">
        <f aca="false">INT((DATE($A291,7,1)-INDEX(球員主檔!$G$2:$G$749,MATCH($B291,球員主檔!$A$2:$A$749,0)))/365.25)</f>
        <v>27</v>
      </c>
      <c r="I291" s="12" t="n">
        <v>53</v>
      </c>
      <c r="J291" s="12" t="n">
        <v>229</v>
      </c>
      <c r="K291" s="12" t="n">
        <v>211</v>
      </c>
      <c r="L291" s="12" t="n">
        <v>29</v>
      </c>
      <c r="M291" s="12" t="n">
        <v>55</v>
      </c>
      <c r="N291" s="12" t="n">
        <v>27</v>
      </c>
      <c r="O291" s="12" t="n">
        <v>0</v>
      </c>
      <c r="P291" s="12" t="n">
        <v>5</v>
      </c>
      <c r="Q291" s="12" t="n">
        <v>23</v>
      </c>
      <c r="R291" s="12" t="n">
        <v>15</v>
      </c>
      <c r="S291" s="12" t="n">
        <v>54</v>
      </c>
      <c r="T291" s="12" t="n">
        <v>2</v>
      </c>
      <c r="U291" s="12" t="n">
        <v>1</v>
      </c>
      <c r="V291" s="12" t="n">
        <v>4</v>
      </c>
      <c r="W291" s="12" t="n">
        <v>1</v>
      </c>
      <c r="X291" s="13" t="n">
        <f aca="false">M291+N291+2*O291+3*P291</f>
        <v>97</v>
      </c>
      <c r="Y291" s="14" t="n">
        <f aca="false">IF(K291=0,0,M291/K291)</f>
        <v>0.260663507109005</v>
      </c>
      <c r="Z291" s="14" t="n">
        <f aca="false">IF(K291+R291+T291+U291=0,0,(M291+R291+T291)/(K291+R291+T291+U291))</f>
        <v>0.314410480349345</v>
      </c>
      <c r="AA291" s="14" t="n">
        <f aca="false">IF(K291=0,0,X291/K291)</f>
        <v>0.459715639810427</v>
      </c>
      <c r="AB291" s="14" t="n">
        <f aca="false">Z291+AA291</f>
        <v>0.774126120159772</v>
      </c>
      <c r="AC291" s="14" t="n">
        <f aca="false">AA291-Y291</f>
        <v>0.199052132701422</v>
      </c>
      <c r="AD291" s="14" t="n">
        <f aca="false">IF(K291-S291-P291+U291=0,0,(M291-P291)/(K291-S291-P291+U291))</f>
        <v>0.326797385620915</v>
      </c>
      <c r="AE291" s="15" t="n">
        <f aca="false">IF(J291=0,0,R291/J291)</f>
        <v>0.0655021834061135</v>
      </c>
      <c r="AF291" s="15" t="n">
        <f aca="false">IF(J291=0,0,S291/J291)</f>
        <v>0.235807860262009</v>
      </c>
      <c r="AG291" s="11" t="n">
        <f aca="false">IF(J291&gt;=INDEX(球季參數!$E$2:$E$4,MATCH($A291,球季參數!$A$2:$A$4,0)),1,0)</f>
        <v>0</v>
      </c>
    </row>
    <row r="292" customFormat="false" ht="15" hidden="false" customHeight="false" outlineLevel="0" collapsed="false">
      <c r="A292" s="5" t="n">
        <v>2024</v>
      </c>
      <c r="B292" s="7" t="s">
        <v>1637</v>
      </c>
      <c r="C292" s="10" t="str">
        <f aca="false">INDEX(球員主檔!$B$2:$B$749,MATCH($B292,球員主檔!$A$2:$A$749,0))</f>
        <v>Niklas Uchendu</v>
      </c>
      <c r="D292" s="7" t="s">
        <v>463</v>
      </c>
      <c r="E292" s="10" t="str">
        <f aca="false">INDEX(球隊主檔!$C$2:$C$31,MATCH($D292,球隊主檔!$A$2:$A$31,0))</f>
        <v>舊金山巨人</v>
      </c>
      <c r="F292" s="10" t="str">
        <f aca="false">INDEX(球隊主檔!$D$2:$D$31,MATCH($D292,球隊主檔!$A$2:$A$31,0))</f>
        <v>國聯</v>
      </c>
      <c r="G292" s="7" t="s">
        <v>470</v>
      </c>
      <c r="H292" s="11" t="n">
        <f aca="false">INT((DATE($A292,7,1)-INDEX(球員主檔!$G$2:$G$749,MATCH($B292,球員主檔!$A$2:$A$749,0)))/365.25)</f>
        <v>34</v>
      </c>
      <c r="I292" s="12" t="n">
        <v>150</v>
      </c>
      <c r="J292" s="12" t="n">
        <v>599</v>
      </c>
      <c r="K292" s="12" t="n">
        <v>544</v>
      </c>
      <c r="L292" s="12" t="n">
        <v>65</v>
      </c>
      <c r="M292" s="12" t="n">
        <v>107</v>
      </c>
      <c r="N292" s="12" t="n">
        <v>13</v>
      </c>
      <c r="O292" s="12" t="n">
        <v>10</v>
      </c>
      <c r="P292" s="12" t="n">
        <v>17</v>
      </c>
      <c r="Q292" s="12" t="n">
        <v>64</v>
      </c>
      <c r="R292" s="12" t="n">
        <v>47</v>
      </c>
      <c r="S292" s="12" t="n">
        <v>132</v>
      </c>
      <c r="T292" s="12" t="n">
        <v>4</v>
      </c>
      <c r="U292" s="12" t="n">
        <v>4</v>
      </c>
      <c r="V292" s="12" t="n">
        <v>10</v>
      </c>
      <c r="W292" s="12" t="n">
        <v>4</v>
      </c>
      <c r="X292" s="13" t="n">
        <f aca="false">M292+N292+2*O292+3*P292</f>
        <v>191</v>
      </c>
      <c r="Y292" s="14" t="n">
        <f aca="false">IF(K292=0,0,M292/K292)</f>
        <v>0.196691176470588</v>
      </c>
      <c r="Z292" s="14" t="n">
        <f aca="false">IF(K292+R292+T292+U292=0,0,(M292+R292+T292)/(K292+R292+T292+U292))</f>
        <v>0.263772954924875</v>
      </c>
      <c r="AA292" s="14" t="n">
        <f aca="false">IF(K292=0,0,X292/K292)</f>
        <v>0.351102941176471</v>
      </c>
      <c r="AB292" s="14" t="n">
        <f aca="false">Z292+AA292</f>
        <v>0.614875896101345</v>
      </c>
      <c r="AC292" s="14" t="n">
        <f aca="false">AA292-Y292</f>
        <v>0.154411764705882</v>
      </c>
      <c r="AD292" s="14" t="n">
        <f aca="false">IF(K292-S292-P292+U292=0,0,(M292-P292)/(K292-S292-P292+U292))</f>
        <v>0.225563909774436</v>
      </c>
      <c r="AE292" s="15" t="n">
        <f aca="false">IF(J292=0,0,R292/J292)</f>
        <v>0.0784641068447412</v>
      </c>
      <c r="AF292" s="15" t="n">
        <f aca="false">IF(J292=0,0,S292/J292)</f>
        <v>0.220367278797997</v>
      </c>
      <c r="AG292" s="11" t="n">
        <f aca="false">IF(J292&gt;=INDEX(球季參數!$E$2:$E$4,MATCH($A292,球季參數!$A$2:$A$4,0)),1,0)</f>
        <v>1</v>
      </c>
    </row>
    <row r="293" customFormat="false" ht="15" hidden="false" customHeight="false" outlineLevel="0" collapsed="false">
      <c r="A293" s="5" t="n">
        <v>2024</v>
      </c>
      <c r="B293" s="7" t="s">
        <v>1639</v>
      </c>
      <c r="C293" s="10" t="str">
        <f aca="false">INDEX(球員主檔!$B$2:$B$749,MATCH($B293,球員主檔!$A$2:$A$749,0))</f>
        <v>Esteban Brightwell</v>
      </c>
      <c r="D293" s="7" t="s">
        <v>463</v>
      </c>
      <c r="E293" s="10" t="str">
        <f aca="false">INDEX(球隊主檔!$C$2:$C$31,MATCH($D293,球隊主檔!$A$2:$A$31,0))</f>
        <v>舊金山巨人</v>
      </c>
      <c r="F293" s="10" t="str">
        <f aca="false">INDEX(球隊主檔!$D$2:$D$31,MATCH($D293,球隊主檔!$A$2:$A$31,0))</f>
        <v>國聯</v>
      </c>
      <c r="G293" s="7" t="s">
        <v>486</v>
      </c>
      <c r="H293" s="11" t="n">
        <f aca="false">INT((DATE($A293,7,1)-INDEX(球員主檔!$G$2:$G$749,MATCH($B293,球員主檔!$A$2:$A$749,0)))/365.25)</f>
        <v>30</v>
      </c>
      <c r="I293" s="12" t="n">
        <v>159</v>
      </c>
      <c r="J293" s="12" t="n">
        <v>640</v>
      </c>
      <c r="K293" s="12" t="n">
        <v>569</v>
      </c>
      <c r="L293" s="12" t="n">
        <v>63</v>
      </c>
      <c r="M293" s="12" t="n">
        <v>132</v>
      </c>
      <c r="N293" s="12" t="n">
        <v>36</v>
      </c>
      <c r="O293" s="12" t="n">
        <v>6</v>
      </c>
      <c r="P293" s="12" t="n">
        <v>9</v>
      </c>
      <c r="Q293" s="12" t="n">
        <v>43</v>
      </c>
      <c r="R293" s="12" t="n">
        <v>55</v>
      </c>
      <c r="S293" s="12" t="n">
        <v>89</v>
      </c>
      <c r="T293" s="12" t="n">
        <v>12</v>
      </c>
      <c r="U293" s="12" t="n">
        <v>4</v>
      </c>
      <c r="V293" s="12" t="n">
        <v>24</v>
      </c>
      <c r="W293" s="12" t="n">
        <v>7</v>
      </c>
      <c r="X293" s="13" t="n">
        <f aca="false">M293+N293+2*O293+3*P293</f>
        <v>207</v>
      </c>
      <c r="Y293" s="14" t="n">
        <f aca="false">IF(K293=0,0,M293/K293)</f>
        <v>0.231985940246046</v>
      </c>
      <c r="Z293" s="14" t="n">
        <f aca="false">IF(K293+R293+T293+U293=0,0,(M293+R293+T293)/(K293+R293+T293+U293))</f>
        <v>0.3109375</v>
      </c>
      <c r="AA293" s="14" t="n">
        <f aca="false">IF(K293=0,0,X293/K293)</f>
        <v>0.363796133567663</v>
      </c>
      <c r="AB293" s="14" t="n">
        <f aca="false">Z293+AA293</f>
        <v>0.674733633567663</v>
      </c>
      <c r="AC293" s="14" t="n">
        <f aca="false">AA293-Y293</f>
        <v>0.131810193321617</v>
      </c>
      <c r="AD293" s="14" t="n">
        <f aca="false">IF(K293-S293-P293+U293=0,0,(M293-P293)/(K293-S293-P293+U293))</f>
        <v>0.258947368421053</v>
      </c>
      <c r="AE293" s="15" t="n">
        <f aca="false">IF(J293=0,0,R293/J293)</f>
        <v>0.0859375</v>
      </c>
      <c r="AF293" s="15" t="n">
        <f aca="false">IF(J293=0,0,S293/J293)</f>
        <v>0.1390625</v>
      </c>
      <c r="AG293" s="11" t="n">
        <f aca="false">IF(J293&gt;=INDEX(球季參數!$E$2:$E$4,MATCH($A293,球季參數!$A$2:$A$4,0)),1,0)</f>
        <v>1</v>
      </c>
    </row>
    <row r="294" customFormat="false" ht="15" hidden="false" customHeight="false" outlineLevel="0" collapsed="false">
      <c r="A294" s="5" t="n">
        <v>2024</v>
      </c>
      <c r="B294" s="7" t="s">
        <v>1641</v>
      </c>
      <c r="C294" s="10" t="str">
        <f aca="false">INDEX(球員主檔!$B$2:$B$749,MATCH($B294,球員主檔!$A$2:$A$749,0))</f>
        <v>Quentin Thorsby</v>
      </c>
      <c r="D294" s="7" t="s">
        <v>463</v>
      </c>
      <c r="E294" s="10" t="str">
        <f aca="false">INDEX(球隊主檔!$C$2:$C$31,MATCH($D294,球隊主檔!$A$2:$A$31,0))</f>
        <v>舊金山巨人</v>
      </c>
      <c r="F294" s="10" t="str">
        <f aca="false">INDEX(球隊主檔!$D$2:$D$31,MATCH($D294,球隊主檔!$A$2:$A$31,0))</f>
        <v>國聯</v>
      </c>
      <c r="G294" s="7" t="s">
        <v>478</v>
      </c>
      <c r="H294" s="11" t="n">
        <f aca="false">INT((DATE($A294,7,1)-INDEX(球員主檔!$G$2:$G$749,MATCH($B294,球員主檔!$A$2:$A$749,0)))/365.25)</f>
        <v>29</v>
      </c>
      <c r="I294" s="12" t="n">
        <v>80</v>
      </c>
      <c r="J294" s="12" t="n">
        <v>364</v>
      </c>
      <c r="K294" s="12" t="n">
        <v>319</v>
      </c>
      <c r="L294" s="12" t="n">
        <v>38</v>
      </c>
      <c r="M294" s="12" t="n">
        <v>64</v>
      </c>
      <c r="N294" s="12" t="n">
        <v>22</v>
      </c>
      <c r="O294" s="12" t="n">
        <v>5</v>
      </c>
      <c r="P294" s="12" t="n">
        <v>11</v>
      </c>
      <c r="Q294" s="12" t="n">
        <v>41</v>
      </c>
      <c r="R294" s="12" t="n">
        <v>36</v>
      </c>
      <c r="S294" s="12" t="n">
        <v>60</v>
      </c>
      <c r="T294" s="12" t="n">
        <v>8</v>
      </c>
      <c r="U294" s="12" t="n">
        <v>1</v>
      </c>
      <c r="V294" s="12" t="n">
        <v>14</v>
      </c>
      <c r="W294" s="12" t="n">
        <v>3</v>
      </c>
      <c r="X294" s="13" t="n">
        <f aca="false">M294+N294+2*O294+3*P294</f>
        <v>129</v>
      </c>
      <c r="Y294" s="14" t="n">
        <f aca="false">IF(K294=0,0,M294/K294)</f>
        <v>0.200626959247649</v>
      </c>
      <c r="Z294" s="14" t="n">
        <f aca="false">IF(K294+R294+T294+U294=0,0,(M294+R294+T294)/(K294+R294+T294+U294))</f>
        <v>0.296703296703297</v>
      </c>
      <c r="AA294" s="14" t="n">
        <f aca="false">IF(K294=0,0,X294/K294)</f>
        <v>0.404388714733542</v>
      </c>
      <c r="AB294" s="14" t="n">
        <f aca="false">Z294+AA294</f>
        <v>0.701092011436839</v>
      </c>
      <c r="AC294" s="14" t="n">
        <f aca="false">AA294-Y294</f>
        <v>0.203761755485893</v>
      </c>
      <c r="AD294" s="14" t="n">
        <f aca="false">IF(K294-S294-P294+U294=0,0,(M294-P294)/(K294-S294-P294+U294))</f>
        <v>0.21285140562249</v>
      </c>
      <c r="AE294" s="15" t="n">
        <f aca="false">IF(J294=0,0,R294/J294)</f>
        <v>0.0989010989010989</v>
      </c>
      <c r="AF294" s="15" t="n">
        <f aca="false">IF(J294=0,0,S294/J294)</f>
        <v>0.164835164835165</v>
      </c>
      <c r="AG294" s="11" t="n">
        <f aca="false">IF(J294&gt;=INDEX(球季參數!$E$2:$E$4,MATCH($A294,球季參數!$A$2:$A$4,0)),1,0)</f>
        <v>0</v>
      </c>
    </row>
    <row r="295" customFormat="false" ht="15" hidden="false" customHeight="false" outlineLevel="0" collapsed="false">
      <c r="A295" s="5" t="n">
        <v>2024</v>
      </c>
      <c r="B295" s="7" t="s">
        <v>1643</v>
      </c>
      <c r="C295" s="10" t="str">
        <f aca="false">INDEX(球員主檔!$B$2:$B$749,MATCH($B295,球員主檔!$A$2:$A$749,0))</f>
        <v>Nolan Engelhardt</v>
      </c>
      <c r="D295" s="7" t="s">
        <v>463</v>
      </c>
      <c r="E295" s="10" t="str">
        <f aca="false">INDEX(球隊主檔!$C$2:$C$31,MATCH($D295,球隊主檔!$A$2:$A$31,0))</f>
        <v>舊金山巨人</v>
      </c>
      <c r="F295" s="10" t="str">
        <f aca="false">INDEX(球隊主檔!$D$2:$D$31,MATCH($D295,球隊主檔!$A$2:$A$31,0))</f>
        <v>國聯</v>
      </c>
      <c r="G295" s="7" t="s">
        <v>162</v>
      </c>
      <c r="H295" s="11" t="n">
        <f aca="false">INT((DATE($A295,7,1)-INDEX(球員主檔!$G$2:$G$749,MATCH($B295,球員主檔!$A$2:$A$749,0)))/365.25)</f>
        <v>30</v>
      </c>
      <c r="I295" s="12" t="n">
        <v>153</v>
      </c>
      <c r="J295" s="12" t="n">
        <v>639</v>
      </c>
      <c r="K295" s="12" t="n">
        <v>583</v>
      </c>
      <c r="L295" s="12" t="n">
        <v>77</v>
      </c>
      <c r="M295" s="12" t="n">
        <v>157</v>
      </c>
      <c r="N295" s="12" t="n">
        <v>33</v>
      </c>
      <c r="O295" s="12" t="n">
        <v>8</v>
      </c>
      <c r="P295" s="12" t="n">
        <v>12</v>
      </c>
      <c r="Q295" s="12" t="n">
        <v>65</v>
      </c>
      <c r="R295" s="12" t="n">
        <v>44</v>
      </c>
      <c r="S295" s="12" t="n">
        <v>136</v>
      </c>
      <c r="T295" s="12" t="n">
        <v>6</v>
      </c>
      <c r="U295" s="12" t="n">
        <v>6</v>
      </c>
      <c r="V295" s="12" t="n">
        <v>11</v>
      </c>
      <c r="W295" s="12" t="n">
        <v>1</v>
      </c>
      <c r="X295" s="13" t="n">
        <f aca="false">M295+N295+2*O295+3*P295</f>
        <v>242</v>
      </c>
      <c r="Y295" s="14" t="n">
        <f aca="false">IF(K295=0,0,M295/K295)</f>
        <v>0.269296740994854</v>
      </c>
      <c r="Z295" s="14" t="n">
        <f aca="false">IF(K295+R295+T295+U295=0,0,(M295+R295+T295)/(K295+R295+T295+U295))</f>
        <v>0.323943661971831</v>
      </c>
      <c r="AA295" s="14" t="n">
        <f aca="false">IF(K295=0,0,X295/K295)</f>
        <v>0.415094339622642</v>
      </c>
      <c r="AB295" s="14" t="n">
        <f aca="false">Z295+AA295</f>
        <v>0.739038001594473</v>
      </c>
      <c r="AC295" s="14" t="n">
        <f aca="false">AA295-Y295</f>
        <v>0.145797598627787</v>
      </c>
      <c r="AD295" s="14" t="n">
        <f aca="false">IF(K295-S295-P295+U295=0,0,(M295-P295)/(K295-S295-P295+U295))</f>
        <v>0.328798185941043</v>
      </c>
      <c r="AE295" s="15" t="n">
        <f aca="false">IF(J295=0,0,R295/J295)</f>
        <v>0.0688575899843505</v>
      </c>
      <c r="AF295" s="15" t="n">
        <f aca="false">IF(J295=0,0,S295/J295)</f>
        <v>0.21283255086072</v>
      </c>
      <c r="AG295" s="11" t="n">
        <f aca="false">IF(J295&gt;=INDEX(球季參數!$E$2:$E$4,MATCH($A295,球季參數!$A$2:$A$4,0)),1,0)</f>
        <v>1</v>
      </c>
    </row>
    <row r="296" customFormat="false" ht="15" hidden="false" customHeight="false" outlineLevel="0" collapsed="false">
      <c r="A296" s="5" t="n">
        <v>2024</v>
      </c>
      <c r="B296" s="7" t="s">
        <v>1645</v>
      </c>
      <c r="C296" s="10" t="str">
        <f aca="false">INDEX(球員主檔!$B$2:$B$749,MATCH($B296,球員主檔!$A$2:$A$749,0))</f>
        <v>Kellan Ravenscroft</v>
      </c>
      <c r="D296" s="7" t="s">
        <v>463</v>
      </c>
      <c r="E296" s="10" t="str">
        <f aca="false">INDEX(球隊主檔!$C$2:$C$31,MATCH($D296,球隊主檔!$A$2:$A$31,0))</f>
        <v>舊金山巨人</v>
      </c>
      <c r="F296" s="10" t="str">
        <f aca="false">INDEX(球隊主檔!$D$2:$D$31,MATCH($D296,球隊主檔!$A$2:$A$31,0))</f>
        <v>國聯</v>
      </c>
      <c r="G296" s="7" t="s">
        <v>158</v>
      </c>
      <c r="H296" s="11" t="n">
        <f aca="false">INT((DATE($A296,7,1)-INDEX(球員主檔!$G$2:$G$749,MATCH($B296,球員主檔!$A$2:$A$749,0)))/365.25)</f>
        <v>31</v>
      </c>
      <c r="I296" s="12" t="n">
        <v>162</v>
      </c>
      <c r="J296" s="12" t="n">
        <v>697</v>
      </c>
      <c r="K296" s="12" t="n">
        <v>630</v>
      </c>
      <c r="L296" s="12" t="n">
        <v>88</v>
      </c>
      <c r="M296" s="12" t="n">
        <v>199</v>
      </c>
      <c r="N296" s="12" t="n">
        <v>31</v>
      </c>
      <c r="O296" s="12" t="n">
        <v>7</v>
      </c>
      <c r="P296" s="12" t="n">
        <v>23</v>
      </c>
      <c r="Q296" s="12" t="n">
        <v>95</v>
      </c>
      <c r="R296" s="12" t="n">
        <v>52</v>
      </c>
      <c r="S296" s="12" t="n">
        <v>102</v>
      </c>
      <c r="T296" s="12" t="n">
        <v>7</v>
      </c>
      <c r="U296" s="12" t="n">
        <v>8</v>
      </c>
      <c r="V296" s="12" t="n">
        <v>12</v>
      </c>
      <c r="W296" s="12" t="n">
        <v>3</v>
      </c>
      <c r="X296" s="13" t="n">
        <f aca="false">M296+N296+2*O296+3*P296</f>
        <v>313</v>
      </c>
      <c r="Y296" s="14" t="n">
        <f aca="false">IF(K296=0,0,M296/K296)</f>
        <v>0.315873015873016</v>
      </c>
      <c r="Z296" s="14" t="n">
        <f aca="false">IF(K296+R296+T296+U296=0,0,(M296+R296+T296)/(K296+R296+T296+U296))</f>
        <v>0.370157819225251</v>
      </c>
      <c r="AA296" s="14" t="n">
        <f aca="false">IF(K296=0,0,X296/K296)</f>
        <v>0.496825396825397</v>
      </c>
      <c r="AB296" s="14" t="n">
        <f aca="false">Z296+AA296</f>
        <v>0.866983216050648</v>
      </c>
      <c r="AC296" s="14" t="n">
        <f aca="false">AA296-Y296</f>
        <v>0.180952380952381</v>
      </c>
      <c r="AD296" s="14" t="n">
        <f aca="false">IF(K296-S296-P296+U296=0,0,(M296-P296)/(K296-S296-P296+U296))</f>
        <v>0.34307992202729</v>
      </c>
      <c r="AE296" s="15" t="n">
        <f aca="false">IF(J296=0,0,R296/J296)</f>
        <v>0.0746054519368723</v>
      </c>
      <c r="AF296" s="15" t="n">
        <f aca="false">IF(J296=0,0,S296/J296)</f>
        <v>0.146341463414634</v>
      </c>
      <c r="AG296" s="11" t="n">
        <f aca="false">IF(J296&gt;=INDEX(球季參數!$E$2:$E$4,MATCH($A296,球季參數!$A$2:$A$4,0)),1,0)</f>
        <v>1</v>
      </c>
    </row>
    <row r="297" customFormat="false" ht="15" hidden="false" customHeight="false" outlineLevel="0" collapsed="false">
      <c r="A297" s="5" t="n">
        <v>2024</v>
      </c>
      <c r="B297" s="7" t="s">
        <v>1647</v>
      </c>
      <c r="C297" s="10" t="str">
        <f aca="false">INDEX(球員主檔!$B$2:$B$749,MATCH($B297,球員主檔!$A$2:$A$749,0))</f>
        <v>Benedikt Kiriakis</v>
      </c>
      <c r="D297" s="7" t="s">
        <v>463</v>
      </c>
      <c r="E297" s="10" t="str">
        <f aca="false">INDEX(球隊主檔!$C$2:$C$31,MATCH($D297,球隊主檔!$A$2:$A$31,0))</f>
        <v>舊金山巨人</v>
      </c>
      <c r="F297" s="10" t="str">
        <f aca="false">INDEX(球隊主檔!$D$2:$D$31,MATCH($D297,球隊主檔!$A$2:$A$31,0))</f>
        <v>國聯</v>
      </c>
      <c r="G297" s="7" t="s">
        <v>63</v>
      </c>
      <c r="H297" s="11" t="n">
        <f aca="false">INT((DATE($A297,7,1)-INDEX(球員主檔!$G$2:$G$749,MATCH($B297,球員主檔!$A$2:$A$749,0)))/365.25)</f>
        <v>27</v>
      </c>
      <c r="I297" s="12" t="n">
        <v>117</v>
      </c>
      <c r="J297" s="12" t="n">
        <v>480</v>
      </c>
      <c r="K297" s="12" t="n">
        <v>422</v>
      </c>
      <c r="L297" s="12" t="n">
        <v>55</v>
      </c>
      <c r="M297" s="12" t="n">
        <v>108</v>
      </c>
      <c r="N297" s="12" t="n">
        <v>21</v>
      </c>
      <c r="O297" s="12" t="n">
        <v>9</v>
      </c>
      <c r="P297" s="12" t="n">
        <v>14</v>
      </c>
      <c r="Q297" s="12" t="n">
        <v>56</v>
      </c>
      <c r="R297" s="12" t="n">
        <v>46</v>
      </c>
      <c r="S297" s="12" t="n">
        <v>73</v>
      </c>
      <c r="T297" s="12" t="n">
        <v>6</v>
      </c>
      <c r="U297" s="12" t="n">
        <v>6</v>
      </c>
      <c r="V297" s="12" t="n">
        <v>35</v>
      </c>
      <c r="W297" s="12" t="n">
        <v>6</v>
      </c>
      <c r="X297" s="13" t="n">
        <f aca="false">M297+N297+2*O297+3*P297</f>
        <v>189</v>
      </c>
      <c r="Y297" s="14" t="n">
        <f aca="false">IF(K297=0,0,M297/K297)</f>
        <v>0.255924170616114</v>
      </c>
      <c r="Z297" s="14" t="n">
        <f aca="false">IF(K297+R297+T297+U297=0,0,(M297+R297+T297)/(K297+R297+T297+U297))</f>
        <v>0.333333333333333</v>
      </c>
      <c r="AA297" s="14" t="n">
        <f aca="false">IF(K297=0,0,X297/K297)</f>
        <v>0.447867298578199</v>
      </c>
      <c r="AB297" s="14" t="n">
        <f aca="false">Z297+AA297</f>
        <v>0.781200631911532</v>
      </c>
      <c r="AC297" s="14" t="n">
        <f aca="false">AA297-Y297</f>
        <v>0.191943127962085</v>
      </c>
      <c r="AD297" s="14" t="n">
        <f aca="false">IF(K297-S297-P297+U297=0,0,(M297-P297)/(K297-S297-P297+U297))</f>
        <v>0.275659824046921</v>
      </c>
      <c r="AE297" s="15" t="n">
        <f aca="false">IF(J297=0,0,R297/J297)</f>
        <v>0.0958333333333333</v>
      </c>
      <c r="AF297" s="15" t="n">
        <f aca="false">IF(J297=0,0,S297/J297)</f>
        <v>0.152083333333333</v>
      </c>
      <c r="AG297" s="11" t="n">
        <f aca="false">IF(J297&gt;=INDEX(球季參數!$E$2:$E$4,MATCH($A297,球季參數!$A$2:$A$4,0)),1,0)</f>
        <v>0</v>
      </c>
    </row>
    <row r="298" customFormat="false" ht="15" hidden="false" customHeight="false" outlineLevel="0" collapsed="false">
      <c r="A298" s="5" t="n">
        <v>2024</v>
      </c>
      <c r="B298" s="7" t="s">
        <v>1649</v>
      </c>
      <c r="C298" s="10" t="str">
        <f aca="false">INDEX(球員主檔!$B$2:$B$749,MATCH($B298,球員主檔!$A$2:$A$749,0))</f>
        <v>Kellan Tanabe</v>
      </c>
      <c r="D298" s="7" t="s">
        <v>463</v>
      </c>
      <c r="E298" s="10" t="str">
        <f aca="false">INDEX(球隊主檔!$C$2:$C$31,MATCH($D298,球隊主檔!$A$2:$A$31,0))</f>
        <v>舊金山巨人</v>
      </c>
      <c r="F298" s="10" t="str">
        <f aca="false">INDEX(球隊主檔!$D$2:$D$31,MATCH($D298,球隊主檔!$A$2:$A$31,0))</f>
        <v>國聯</v>
      </c>
      <c r="G298" s="7" t="s">
        <v>158</v>
      </c>
      <c r="H298" s="11" t="n">
        <f aca="false">INT((DATE($A298,7,1)-INDEX(球員主檔!$G$2:$G$749,MATCH($B298,球員主檔!$A$2:$A$749,0)))/365.25)</f>
        <v>34</v>
      </c>
      <c r="I298" s="12" t="n">
        <v>113</v>
      </c>
      <c r="J298" s="12" t="n">
        <v>449</v>
      </c>
      <c r="K298" s="12" t="n">
        <v>428</v>
      </c>
      <c r="L298" s="12" t="n">
        <v>52</v>
      </c>
      <c r="M298" s="12" t="n">
        <v>95</v>
      </c>
      <c r="N298" s="12" t="n">
        <v>36</v>
      </c>
      <c r="O298" s="12" t="n">
        <v>0</v>
      </c>
      <c r="P298" s="12" t="n">
        <v>21</v>
      </c>
      <c r="Q298" s="12" t="n">
        <v>67</v>
      </c>
      <c r="R298" s="12" t="n">
        <v>18</v>
      </c>
      <c r="S298" s="12" t="n">
        <v>101</v>
      </c>
      <c r="T298" s="12" t="n">
        <v>1</v>
      </c>
      <c r="U298" s="12" t="n">
        <v>2</v>
      </c>
      <c r="V298" s="12" t="n">
        <v>8</v>
      </c>
      <c r="W298" s="12" t="n">
        <v>1</v>
      </c>
      <c r="X298" s="13" t="n">
        <f aca="false">M298+N298+2*O298+3*P298</f>
        <v>194</v>
      </c>
      <c r="Y298" s="14" t="n">
        <f aca="false">IF(K298=0,0,M298/K298)</f>
        <v>0.22196261682243</v>
      </c>
      <c r="Z298" s="14" t="n">
        <f aca="false">IF(K298+R298+T298+U298=0,0,(M298+R298+T298)/(K298+R298+T298+U298))</f>
        <v>0.253897550111359</v>
      </c>
      <c r="AA298" s="14" t="n">
        <f aca="false">IF(K298=0,0,X298/K298)</f>
        <v>0.453271028037383</v>
      </c>
      <c r="AB298" s="14" t="n">
        <f aca="false">Z298+AA298</f>
        <v>0.707168578148742</v>
      </c>
      <c r="AC298" s="14" t="n">
        <f aca="false">AA298-Y298</f>
        <v>0.231308411214953</v>
      </c>
      <c r="AD298" s="14" t="n">
        <f aca="false">IF(K298-S298-P298+U298=0,0,(M298-P298)/(K298-S298-P298+U298))</f>
        <v>0.24025974025974</v>
      </c>
      <c r="AE298" s="15" t="n">
        <f aca="false">IF(J298=0,0,R298/J298)</f>
        <v>0.0400890868596882</v>
      </c>
      <c r="AF298" s="15" t="n">
        <f aca="false">IF(J298=0,0,S298/J298)</f>
        <v>0.224944320712695</v>
      </c>
      <c r="AG298" s="11" t="n">
        <f aca="false">IF(J298&gt;=INDEX(球季參數!$E$2:$E$4,MATCH($A298,球季參數!$A$2:$A$4,0)),1,0)</f>
        <v>0</v>
      </c>
    </row>
    <row r="299" customFormat="false" ht="15" hidden="false" customHeight="false" outlineLevel="0" collapsed="false">
      <c r="A299" s="5" t="n">
        <v>2024</v>
      </c>
      <c r="B299" s="7" t="s">
        <v>1651</v>
      </c>
      <c r="C299" s="10" t="str">
        <f aca="false">INDEX(球員主檔!$B$2:$B$749,MATCH($B299,球員主檔!$A$2:$A$749,0))</f>
        <v>Sawyer Caldera</v>
      </c>
      <c r="D299" s="7" t="s">
        <v>463</v>
      </c>
      <c r="E299" s="10" t="str">
        <f aca="false">INDEX(球隊主檔!$C$2:$C$31,MATCH($D299,球隊主檔!$A$2:$A$31,0))</f>
        <v>舊金山巨人</v>
      </c>
      <c r="F299" s="10" t="str">
        <f aca="false">INDEX(球隊主檔!$D$2:$D$31,MATCH($D299,球隊主檔!$A$2:$A$31,0))</f>
        <v>國聯</v>
      </c>
      <c r="G299" s="7" t="s">
        <v>522</v>
      </c>
      <c r="H299" s="11" t="n">
        <f aca="false">INT((DATE($A299,7,1)-INDEX(球員主檔!$G$2:$G$749,MATCH($B299,球員主檔!$A$2:$A$749,0)))/365.25)</f>
        <v>23</v>
      </c>
      <c r="I299" s="12" t="n">
        <v>124</v>
      </c>
      <c r="J299" s="12" t="n">
        <v>511</v>
      </c>
      <c r="K299" s="12" t="n">
        <v>451</v>
      </c>
      <c r="L299" s="12" t="n">
        <v>60</v>
      </c>
      <c r="M299" s="12" t="n">
        <v>108</v>
      </c>
      <c r="N299" s="12" t="n">
        <v>26</v>
      </c>
      <c r="O299" s="12" t="n">
        <v>4</v>
      </c>
      <c r="P299" s="12" t="n">
        <v>14</v>
      </c>
      <c r="Q299" s="12" t="n">
        <v>52</v>
      </c>
      <c r="R299" s="12" t="n">
        <v>54</v>
      </c>
      <c r="S299" s="12" t="n">
        <v>63</v>
      </c>
      <c r="T299" s="12" t="n">
        <v>4</v>
      </c>
      <c r="U299" s="12" t="n">
        <v>2</v>
      </c>
      <c r="V299" s="12" t="n">
        <v>43</v>
      </c>
      <c r="W299" s="12" t="n">
        <v>8</v>
      </c>
      <c r="X299" s="13" t="n">
        <f aca="false">M299+N299+2*O299+3*P299</f>
        <v>184</v>
      </c>
      <c r="Y299" s="14" t="n">
        <f aca="false">IF(K299=0,0,M299/K299)</f>
        <v>0.239467849223947</v>
      </c>
      <c r="Z299" s="14" t="n">
        <f aca="false">IF(K299+R299+T299+U299=0,0,(M299+R299+T299)/(K299+R299+T299+U299))</f>
        <v>0.324853228962818</v>
      </c>
      <c r="AA299" s="14" t="n">
        <f aca="false">IF(K299=0,0,X299/K299)</f>
        <v>0.407982261640798</v>
      </c>
      <c r="AB299" s="14" t="n">
        <f aca="false">Z299+AA299</f>
        <v>0.732835490603616</v>
      </c>
      <c r="AC299" s="14" t="n">
        <f aca="false">AA299-Y299</f>
        <v>0.168514412416851</v>
      </c>
      <c r="AD299" s="14" t="n">
        <f aca="false">IF(K299-S299-P299+U299=0,0,(M299-P299)/(K299-S299-P299+U299))</f>
        <v>0.25</v>
      </c>
      <c r="AE299" s="15" t="n">
        <f aca="false">IF(J299=0,0,R299/J299)</f>
        <v>0.105675146771037</v>
      </c>
      <c r="AF299" s="15" t="n">
        <f aca="false">IF(J299=0,0,S299/J299)</f>
        <v>0.123287671232877</v>
      </c>
      <c r="AG299" s="11" t="n">
        <f aca="false">IF(J299&gt;=INDEX(球季參數!$E$2:$E$4,MATCH($A299,球季參數!$A$2:$A$4,0)),1,0)</f>
        <v>1</v>
      </c>
    </row>
    <row r="300" customFormat="false" ht="15" hidden="false" customHeight="false" outlineLevel="0" collapsed="false">
      <c r="A300" s="5" t="n">
        <v>2024</v>
      </c>
      <c r="B300" s="7" t="s">
        <v>1653</v>
      </c>
      <c r="C300" s="10" t="str">
        <f aca="false">INDEX(球員主檔!$B$2:$B$749,MATCH($B300,球員主檔!$A$2:$A$749,0))</f>
        <v>Soren Kestrel</v>
      </c>
      <c r="D300" s="7" t="s">
        <v>463</v>
      </c>
      <c r="E300" s="10" t="str">
        <f aca="false">INDEX(球隊主檔!$C$2:$C$31,MATCH($D300,球隊主檔!$A$2:$A$31,0))</f>
        <v>舊金山巨人</v>
      </c>
      <c r="F300" s="10" t="str">
        <f aca="false">INDEX(球隊主檔!$D$2:$D$31,MATCH($D300,球隊主檔!$A$2:$A$31,0))</f>
        <v>國聯</v>
      </c>
      <c r="G300" s="7" t="s">
        <v>158</v>
      </c>
      <c r="H300" s="11" t="n">
        <f aca="false">INT((DATE($A300,7,1)-INDEX(球員主檔!$G$2:$G$749,MATCH($B300,球員主檔!$A$2:$A$749,0)))/365.25)</f>
        <v>27</v>
      </c>
      <c r="I300" s="12" t="n">
        <v>68</v>
      </c>
      <c r="J300" s="12" t="n">
        <v>267</v>
      </c>
      <c r="K300" s="12" t="n">
        <v>245</v>
      </c>
      <c r="L300" s="12" t="n">
        <v>31</v>
      </c>
      <c r="M300" s="12" t="n">
        <v>53</v>
      </c>
      <c r="N300" s="12" t="n">
        <v>15</v>
      </c>
      <c r="O300" s="12" t="n">
        <v>5</v>
      </c>
      <c r="P300" s="12" t="n">
        <v>11</v>
      </c>
      <c r="Q300" s="12" t="n">
        <v>35</v>
      </c>
      <c r="R300" s="12" t="n">
        <v>19</v>
      </c>
      <c r="S300" s="12" t="n">
        <v>47</v>
      </c>
      <c r="T300" s="12" t="n">
        <v>1</v>
      </c>
      <c r="U300" s="12" t="n">
        <v>2</v>
      </c>
      <c r="V300" s="12" t="n">
        <v>9</v>
      </c>
      <c r="W300" s="12" t="n">
        <v>2</v>
      </c>
      <c r="X300" s="13" t="n">
        <f aca="false">M300+N300+2*O300+3*P300</f>
        <v>111</v>
      </c>
      <c r="Y300" s="14" t="n">
        <f aca="false">IF(K300=0,0,M300/K300)</f>
        <v>0.216326530612245</v>
      </c>
      <c r="Z300" s="14" t="n">
        <f aca="false">IF(K300+R300+T300+U300=0,0,(M300+R300+T300)/(K300+R300+T300+U300))</f>
        <v>0.273408239700375</v>
      </c>
      <c r="AA300" s="14" t="n">
        <f aca="false">IF(K300=0,0,X300/K300)</f>
        <v>0.453061224489796</v>
      </c>
      <c r="AB300" s="14" t="n">
        <f aca="false">Z300+AA300</f>
        <v>0.72646946419017</v>
      </c>
      <c r="AC300" s="14" t="n">
        <f aca="false">AA300-Y300</f>
        <v>0.236734693877551</v>
      </c>
      <c r="AD300" s="14" t="n">
        <f aca="false">IF(K300-S300-P300+U300=0,0,(M300-P300)/(K300-S300-P300+U300))</f>
        <v>0.222222222222222</v>
      </c>
      <c r="AE300" s="15" t="n">
        <f aca="false">IF(J300=0,0,R300/J300)</f>
        <v>0.0711610486891386</v>
      </c>
      <c r="AF300" s="15" t="n">
        <f aca="false">IF(J300=0,0,S300/J300)</f>
        <v>0.176029962546817</v>
      </c>
      <c r="AG300" s="11" t="n">
        <f aca="false">IF(J300&gt;=INDEX(球季參數!$E$2:$E$4,MATCH($A300,球季參數!$A$2:$A$4,0)),1,0)</f>
        <v>0</v>
      </c>
    </row>
    <row r="301" customFormat="false" ht="15" hidden="false" customHeight="false" outlineLevel="0" collapsed="false">
      <c r="A301" s="5" t="n">
        <v>2024</v>
      </c>
      <c r="B301" s="7" t="s">
        <v>1655</v>
      </c>
      <c r="C301" s="10" t="str">
        <f aca="false">INDEX(球員主檔!$B$2:$B$749,MATCH($B301,球員主檔!$A$2:$A$749,0))</f>
        <v>Benedikt Halloway</v>
      </c>
      <c r="D301" s="7" t="s">
        <v>463</v>
      </c>
      <c r="E301" s="10" t="str">
        <f aca="false">INDEX(球隊主檔!$C$2:$C$31,MATCH($D301,球隊主檔!$A$2:$A$31,0))</f>
        <v>舊金山巨人</v>
      </c>
      <c r="F301" s="10" t="str">
        <f aca="false">INDEX(球隊主檔!$D$2:$D$31,MATCH($D301,球隊主檔!$A$2:$A$31,0))</f>
        <v>國聯</v>
      </c>
      <c r="G301" s="7" t="s">
        <v>63</v>
      </c>
      <c r="H301" s="11" t="n">
        <f aca="false">INT((DATE($A301,7,1)-INDEX(球員主檔!$G$2:$G$749,MATCH($B301,球員主檔!$A$2:$A$749,0)))/365.25)</f>
        <v>26</v>
      </c>
      <c r="I301" s="12" t="n">
        <v>43</v>
      </c>
      <c r="J301" s="12" t="n">
        <v>174</v>
      </c>
      <c r="K301" s="12" t="n">
        <v>158</v>
      </c>
      <c r="L301" s="12" t="n">
        <v>17</v>
      </c>
      <c r="M301" s="12" t="n">
        <v>36</v>
      </c>
      <c r="N301" s="12" t="n">
        <v>15</v>
      </c>
      <c r="O301" s="12" t="n">
        <v>2</v>
      </c>
      <c r="P301" s="12" t="n">
        <v>3</v>
      </c>
      <c r="Q301" s="12" t="n">
        <v>17</v>
      </c>
      <c r="R301" s="12" t="n">
        <v>11</v>
      </c>
      <c r="S301" s="12" t="n">
        <v>51</v>
      </c>
      <c r="T301" s="12" t="n">
        <v>3</v>
      </c>
      <c r="U301" s="12" t="n">
        <v>2</v>
      </c>
      <c r="V301" s="12" t="n">
        <v>3</v>
      </c>
      <c r="W301" s="12" t="n">
        <v>1</v>
      </c>
      <c r="X301" s="13" t="n">
        <f aca="false">M301+N301+2*O301+3*P301</f>
        <v>64</v>
      </c>
      <c r="Y301" s="14" t="n">
        <f aca="false">IF(K301=0,0,M301/K301)</f>
        <v>0.227848101265823</v>
      </c>
      <c r="Z301" s="14" t="n">
        <f aca="false">IF(K301+R301+T301+U301=0,0,(M301+R301+T301)/(K301+R301+T301+U301))</f>
        <v>0.28735632183908</v>
      </c>
      <c r="AA301" s="14" t="n">
        <f aca="false">IF(K301=0,0,X301/K301)</f>
        <v>0.405063291139241</v>
      </c>
      <c r="AB301" s="14" t="n">
        <f aca="false">Z301+AA301</f>
        <v>0.692419612978321</v>
      </c>
      <c r="AC301" s="14" t="n">
        <f aca="false">AA301-Y301</f>
        <v>0.177215189873418</v>
      </c>
      <c r="AD301" s="14" t="n">
        <f aca="false">IF(K301-S301-P301+U301=0,0,(M301-P301)/(K301-S301-P301+U301))</f>
        <v>0.311320754716981</v>
      </c>
      <c r="AE301" s="15" t="n">
        <f aca="false">IF(J301=0,0,R301/J301)</f>
        <v>0.0632183908045977</v>
      </c>
      <c r="AF301" s="15" t="n">
        <f aca="false">IF(J301=0,0,S301/J301)</f>
        <v>0.293103448275862</v>
      </c>
      <c r="AG301" s="11" t="n">
        <f aca="false">IF(J301&gt;=INDEX(球季參數!$E$2:$E$4,MATCH($A301,球季參數!$A$2:$A$4,0)),1,0)</f>
        <v>0</v>
      </c>
    </row>
    <row r="302" customFormat="false" ht="15" hidden="false" customHeight="false" outlineLevel="0" collapsed="false">
      <c r="A302" s="5" t="n">
        <v>2025</v>
      </c>
      <c r="B302" s="7" t="s">
        <v>1677</v>
      </c>
      <c r="C302" s="10" t="str">
        <f aca="false">INDEX(球員主檔!$B$2:$B$749,MATCH($B302,球員主檔!$A$2:$A$749,0))</f>
        <v>Cassius Yoshinaga</v>
      </c>
      <c r="D302" s="7" t="s">
        <v>340</v>
      </c>
      <c r="E302" s="10" t="str">
        <f aca="false">INDEX(球隊主檔!$C$2:$C$31,MATCH($D302,球隊主檔!$A$2:$A$31,0))</f>
        <v>巴爾的摩金鶯</v>
      </c>
      <c r="F302" s="10" t="str">
        <f aca="false">INDEX(球隊主檔!$D$2:$D$31,MATCH($D302,球隊主檔!$A$2:$A$31,0))</f>
        <v>美聯</v>
      </c>
      <c r="G302" s="7" t="s">
        <v>158</v>
      </c>
      <c r="H302" s="11" t="n">
        <f aca="false">INT((DATE($A302,7,1)-INDEX(球員主檔!$G$2:$G$749,MATCH($B302,球員主檔!$A$2:$A$749,0)))/365.25)</f>
        <v>24</v>
      </c>
      <c r="I302" s="12" t="n">
        <v>162</v>
      </c>
      <c r="J302" s="12" t="n">
        <v>657</v>
      </c>
      <c r="K302" s="12" t="n">
        <v>571</v>
      </c>
      <c r="L302" s="12" t="n">
        <v>72</v>
      </c>
      <c r="M302" s="12" t="n">
        <v>152</v>
      </c>
      <c r="N302" s="12" t="n">
        <v>18</v>
      </c>
      <c r="O302" s="12" t="n">
        <v>3</v>
      </c>
      <c r="P302" s="12" t="n">
        <v>8</v>
      </c>
      <c r="Q302" s="12" t="n">
        <v>57</v>
      </c>
      <c r="R302" s="12" t="n">
        <v>74</v>
      </c>
      <c r="S302" s="12" t="n">
        <v>162</v>
      </c>
      <c r="T302" s="12" t="n">
        <v>7</v>
      </c>
      <c r="U302" s="12" t="n">
        <v>5</v>
      </c>
      <c r="V302" s="12" t="n">
        <v>10</v>
      </c>
      <c r="W302" s="12" t="n">
        <v>2</v>
      </c>
      <c r="X302" s="13" t="n">
        <f aca="false">M302+N302+2*O302+3*P302</f>
        <v>200</v>
      </c>
      <c r="Y302" s="14" t="n">
        <f aca="false">IF(K302=0,0,M302/K302)</f>
        <v>0.266199649737303</v>
      </c>
      <c r="Z302" s="14" t="n">
        <f aca="false">IF(K302+R302+T302+U302=0,0,(M302+R302+T302)/(K302+R302+T302+U302))</f>
        <v>0.354642313546423</v>
      </c>
      <c r="AA302" s="14" t="n">
        <f aca="false">IF(K302=0,0,X302/K302)</f>
        <v>0.350262697022767</v>
      </c>
      <c r="AB302" s="14" t="n">
        <f aca="false">Z302+AA302</f>
        <v>0.70490501056919</v>
      </c>
      <c r="AC302" s="14" t="n">
        <f aca="false">AA302-Y302</f>
        <v>0.0840630472854641</v>
      </c>
      <c r="AD302" s="14" t="n">
        <f aca="false">IF(K302-S302-P302+U302=0,0,(M302-P302)/(K302-S302-P302+U302))</f>
        <v>0.354679802955665</v>
      </c>
      <c r="AE302" s="15" t="n">
        <f aca="false">IF(J302=0,0,R302/J302)</f>
        <v>0.112633181126332</v>
      </c>
      <c r="AF302" s="15" t="n">
        <f aca="false">IF(J302=0,0,S302/J302)</f>
        <v>0.246575342465753</v>
      </c>
      <c r="AG302" s="11" t="n">
        <f aca="false">IF(J302&gt;=INDEX(球季參數!$E$2:$E$4,MATCH($A302,球季參數!$A$2:$A$4,0)),1,0)</f>
        <v>1</v>
      </c>
    </row>
    <row r="303" customFormat="false" ht="15" hidden="false" customHeight="false" outlineLevel="0" collapsed="false">
      <c r="A303" s="5" t="n">
        <v>2025</v>
      </c>
      <c r="B303" s="7" t="s">
        <v>471</v>
      </c>
      <c r="C303" s="10" t="str">
        <f aca="false">INDEX(球員主檔!$B$2:$B$749,MATCH($B303,球員主檔!$A$2:$A$749,0))</f>
        <v>Seonwoo Brightwell</v>
      </c>
      <c r="D303" s="7" t="s">
        <v>340</v>
      </c>
      <c r="E303" s="10" t="str">
        <f aca="false">INDEX(球隊主檔!$C$2:$C$31,MATCH($D303,球隊主檔!$A$2:$A$31,0))</f>
        <v>巴爾的摩金鶯</v>
      </c>
      <c r="F303" s="10" t="str">
        <f aca="false">INDEX(球隊主檔!$D$2:$D$31,MATCH($D303,球隊主檔!$A$2:$A$31,0))</f>
        <v>美聯</v>
      </c>
      <c r="G303" s="7" t="s">
        <v>473</v>
      </c>
      <c r="H303" s="11" t="n">
        <f aca="false">INT((DATE($A303,7,1)-INDEX(球員主檔!$G$2:$G$749,MATCH($B303,球員主檔!$A$2:$A$749,0)))/365.25)</f>
        <v>29</v>
      </c>
      <c r="I303" s="12" t="n">
        <v>159</v>
      </c>
      <c r="J303" s="12" t="n">
        <v>668</v>
      </c>
      <c r="K303" s="12" t="n">
        <v>634</v>
      </c>
      <c r="L303" s="12" t="n">
        <v>65</v>
      </c>
      <c r="M303" s="12" t="n">
        <v>122</v>
      </c>
      <c r="N303" s="12" t="n">
        <v>22</v>
      </c>
      <c r="O303" s="12" t="n">
        <v>8</v>
      </c>
      <c r="P303" s="12" t="n">
        <v>39</v>
      </c>
      <c r="Q303" s="12" t="n">
        <v>109</v>
      </c>
      <c r="R303" s="12" t="n">
        <v>17</v>
      </c>
      <c r="S303" s="12" t="n">
        <v>195</v>
      </c>
      <c r="T303" s="12" t="n">
        <v>13</v>
      </c>
      <c r="U303" s="12" t="n">
        <v>4</v>
      </c>
      <c r="V303" s="12" t="n">
        <v>18</v>
      </c>
      <c r="W303" s="12" t="n">
        <v>6</v>
      </c>
      <c r="X303" s="13" t="n">
        <f aca="false">M303+N303+2*O303+3*P303</f>
        <v>277</v>
      </c>
      <c r="Y303" s="14" t="n">
        <f aca="false">IF(K303=0,0,M303/K303)</f>
        <v>0.192429022082019</v>
      </c>
      <c r="Z303" s="14" t="n">
        <f aca="false">IF(K303+R303+T303+U303=0,0,(M303+R303+T303)/(K303+R303+T303+U303))</f>
        <v>0.227544910179641</v>
      </c>
      <c r="AA303" s="14" t="n">
        <f aca="false">IF(K303=0,0,X303/K303)</f>
        <v>0.436908517350158</v>
      </c>
      <c r="AB303" s="14" t="n">
        <f aca="false">Z303+AA303</f>
        <v>0.664453427529798</v>
      </c>
      <c r="AC303" s="14" t="n">
        <f aca="false">AA303-Y303</f>
        <v>0.244479495268139</v>
      </c>
      <c r="AD303" s="14" t="n">
        <f aca="false">IF(K303-S303-P303+U303=0,0,(M303-P303)/(K303-S303-P303+U303))</f>
        <v>0.205445544554455</v>
      </c>
      <c r="AE303" s="15" t="n">
        <f aca="false">IF(J303=0,0,R303/J303)</f>
        <v>0.0254491017964072</v>
      </c>
      <c r="AF303" s="15" t="n">
        <f aca="false">IF(J303=0,0,S303/J303)</f>
        <v>0.291916167664671</v>
      </c>
      <c r="AG303" s="11" t="n">
        <f aca="false">IF(J303&gt;=INDEX(球季參數!$E$2:$E$4,MATCH($A303,球季參數!$A$2:$A$4,0)),1,0)</f>
        <v>1</v>
      </c>
    </row>
    <row r="304" customFormat="false" ht="15" hidden="false" customHeight="false" outlineLevel="0" collapsed="false">
      <c r="A304" s="5" t="n">
        <v>2025</v>
      </c>
      <c r="B304" s="7" t="s">
        <v>474</v>
      </c>
      <c r="C304" s="10" t="str">
        <f aca="false">INDEX(球員主檔!$B$2:$B$749,MATCH($B304,球員主檔!$A$2:$A$749,0))</f>
        <v>Jasper Iwasaki</v>
      </c>
      <c r="D304" s="7" t="s">
        <v>340</v>
      </c>
      <c r="E304" s="10" t="str">
        <f aca="false">INDEX(球隊主檔!$C$2:$C$31,MATCH($D304,球隊主檔!$A$2:$A$31,0))</f>
        <v>巴爾的摩金鶯</v>
      </c>
      <c r="F304" s="10" t="str">
        <f aca="false">INDEX(球隊主檔!$D$2:$D$31,MATCH($D304,球隊主檔!$A$2:$A$31,0))</f>
        <v>美聯</v>
      </c>
      <c r="G304" s="7" t="s">
        <v>162</v>
      </c>
      <c r="H304" s="11" t="n">
        <f aca="false">INT((DATE($A304,7,1)-INDEX(球員主檔!$G$2:$G$749,MATCH($B304,球員主檔!$A$2:$A$749,0)))/365.25)</f>
        <v>25</v>
      </c>
      <c r="I304" s="12" t="n">
        <v>157</v>
      </c>
      <c r="J304" s="12" t="n">
        <v>696</v>
      </c>
      <c r="K304" s="12" t="n">
        <v>643</v>
      </c>
      <c r="L304" s="12" t="n">
        <v>72</v>
      </c>
      <c r="M304" s="12" t="n">
        <v>124</v>
      </c>
      <c r="N304" s="12" t="n">
        <v>37</v>
      </c>
      <c r="O304" s="12" t="n">
        <v>6</v>
      </c>
      <c r="P304" s="12" t="n">
        <v>30</v>
      </c>
      <c r="Q304" s="12" t="n">
        <v>86</v>
      </c>
      <c r="R304" s="12" t="n">
        <v>38</v>
      </c>
      <c r="S304" s="12" t="n">
        <v>93</v>
      </c>
      <c r="T304" s="12" t="n">
        <v>8</v>
      </c>
      <c r="U304" s="12" t="n">
        <v>7</v>
      </c>
      <c r="V304" s="12" t="n">
        <v>14</v>
      </c>
      <c r="W304" s="12" t="n">
        <v>5</v>
      </c>
      <c r="X304" s="13" t="n">
        <f aca="false">M304+N304+2*O304+3*P304</f>
        <v>263</v>
      </c>
      <c r="Y304" s="14" t="n">
        <f aca="false">IF(K304=0,0,M304/K304)</f>
        <v>0.192846034214619</v>
      </c>
      <c r="Z304" s="14" t="n">
        <f aca="false">IF(K304+R304+T304+U304=0,0,(M304+R304+T304)/(K304+R304+T304+U304))</f>
        <v>0.244252873563218</v>
      </c>
      <c r="AA304" s="14" t="n">
        <f aca="false">IF(K304=0,0,X304/K304)</f>
        <v>0.409020217729393</v>
      </c>
      <c r="AB304" s="14" t="n">
        <f aca="false">Z304+AA304</f>
        <v>0.653273091292612</v>
      </c>
      <c r="AC304" s="14" t="n">
        <f aca="false">AA304-Y304</f>
        <v>0.216174183514775</v>
      </c>
      <c r="AD304" s="14" t="n">
        <f aca="false">IF(K304-S304-P304+U304=0,0,(M304-P304)/(K304-S304-P304+U304))</f>
        <v>0.178368121442125</v>
      </c>
      <c r="AE304" s="15" t="n">
        <f aca="false">IF(J304=0,0,R304/J304)</f>
        <v>0.0545977011494253</v>
      </c>
      <c r="AF304" s="15" t="n">
        <f aca="false">IF(J304=0,0,S304/J304)</f>
        <v>0.133620689655172</v>
      </c>
      <c r="AG304" s="11" t="n">
        <f aca="false">IF(J304&gt;=INDEX(球季參數!$E$2:$E$4,MATCH($A304,球季參數!$A$2:$A$4,0)),1,0)</f>
        <v>1</v>
      </c>
    </row>
    <row r="305" customFormat="false" ht="15" hidden="false" customHeight="false" outlineLevel="0" collapsed="false">
      <c r="A305" s="5" t="n">
        <v>2025</v>
      </c>
      <c r="B305" s="7" t="s">
        <v>476</v>
      </c>
      <c r="C305" s="10" t="str">
        <f aca="false">INDEX(球員主檔!$B$2:$B$749,MATCH($B305,球員主檔!$A$2:$A$749,0))</f>
        <v>Tristan Lindquist</v>
      </c>
      <c r="D305" s="7" t="s">
        <v>340</v>
      </c>
      <c r="E305" s="10" t="str">
        <f aca="false">INDEX(球隊主檔!$C$2:$C$31,MATCH($D305,球隊主檔!$A$2:$A$31,0))</f>
        <v>巴爾的摩金鶯</v>
      </c>
      <c r="F305" s="10" t="str">
        <f aca="false">INDEX(球隊主檔!$D$2:$D$31,MATCH($D305,球隊主檔!$A$2:$A$31,0))</f>
        <v>美聯</v>
      </c>
      <c r="G305" s="7" t="s">
        <v>478</v>
      </c>
      <c r="H305" s="11" t="n">
        <f aca="false">INT((DATE($A305,7,1)-INDEX(球員主檔!$G$2:$G$749,MATCH($B305,球員主檔!$A$2:$A$749,0)))/365.25)</f>
        <v>24</v>
      </c>
      <c r="I305" s="12" t="n">
        <v>138</v>
      </c>
      <c r="J305" s="12" t="n">
        <v>580</v>
      </c>
      <c r="K305" s="12" t="n">
        <v>475</v>
      </c>
      <c r="L305" s="12" t="n">
        <v>82</v>
      </c>
      <c r="M305" s="12" t="n">
        <v>102</v>
      </c>
      <c r="N305" s="12" t="n">
        <v>22</v>
      </c>
      <c r="O305" s="12" t="n">
        <v>10</v>
      </c>
      <c r="P305" s="12" t="n">
        <v>29</v>
      </c>
      <c r="Q305" s="12" t="n">
        <v>81</v>
      </c>
      <c r="R305" s="12" t="n">
        <v>91</v>
      </c>
      <c r="S305" s="12" t="n">
        <v>143</v>
      </c>
      <c r="T305" s="12" t="n">
        <v>11</v>
      </c>
      <c r="U305" s="12" t="n">
        <v>3</v>
      </c>
      <c r="V305" s="12" t="n">
        <v>8</v>
      </c>
      <c r="W305" s="12" t="n">
        <v>2</v>
      </c>
      <c r="X305" s="13" t="n">
        <f aca="false">M305+N305+2*O305+3*P305</f>
        <v>231</v>
      </c>
      <c r="Y305" s="14" t="n">
        <f aca="false">IF(K305=0,0,M305/K305)</f>
        <v>0.214736842105263</v>
      </c>
      <c r="Z305" s="14" t="n">
        <f aca="false">IF(K305+R305+T305+U305=0,0,(M305+R305+T305)/(K305+R305+T305+U305))</f>
        <v>0.351724137931034</v>
      </c>
      <c r="AA305" s="14" t="n">
        <f aca="false">IF(K305=0,0,X305/K305)</f>
        <v>0.486315789473684</v>
      </c>
      <c r="AB305" s="14" t="n">
        <f aca="false">Z305+AA305</f>
        <v>0.838039927404719</v>
      </c>
      <c r="AC305" s="14" t="n">
        <f aca="false">AA305-Y305</f>
        <v>0.271578947368421</v>
      </c>
      <c r="AD305" s="14" t="n">
        <f aca="false">IF(K305-S305-P305+U305=0,0,(M305-P305)/(K305-S305-P305+U305))</f>
        <v>0.238562091503268</v>
      </c>
      <c r="AE305" s="15" t="n">
        <f aca="false">IF(J305=0,0,R305/J305)</f>
        <v>0.156896551724138</v>
      </c>
      <c r="AF305" s="15" t="n">
        <f aca="false">IF(J305=0,0,S305/J305)</f>
        <v>0.246551724137931</v>
      </c>
      <c r="AG305" s="11" t="n">
        <f aca="false">IF(J305&gt;=INDEX(球季參數!$E$2:$E$4,MATCH($A305,球季參數!$A$2:$A$4,0)),1,0)</f>
        <v>1</v>
      </c>
    </row>
    <row r="306" customFormat="false" ht="15" hidden="false" customHeight="false" outlineLevel="0" collapsed="false">
      <c r="A306" s="5" t="n">
        <v>2025</v>
      </c>
      <c r="B306" s="7" t="s">
        <v>895</v>
      </c>
      <c r="C306" s="10" t="str">
        <f aca="false">INDEX(球員主檔!$B$2:$B$749,MATCH($B306,球員主檔!$A$2:$A$749,0))</f>
        <v>Dimitri Engelhardt</v>
      </c>
      <c r="D306" s="7" t="s">
        <v>340</v>
      </c>
      <c r="E306" s="10" t="str">
        <f aca="false">INDEX(球隊主檔!$C$2:$C$31,MATCH($D306,球隊主檔!$A$2:$A$31,0))</f>
        <v>巴爾的摩金鶯</v>
      </c>
      <c r="F306" s="10" t="str">
        <f aca="false">INDEX(球隊主檔!$D$2:$D$31,MATCH($D306,球隊主檔!$A$2:$A$31,0))</f>
        <v>美聯</v>
      </c>
      <c r="G306" s="7" t="s">
        <v>158</v>
      </c>
      <c r="H306" s="11" t="n">
        <f aca="false">INT((DATE($A306,7,1)-INDEX(球員主檔!$G$2:$G$749,MATCH($B306,球員主檔!$A$2:$A$749,0)))/365.25)</f>
        <v>28</v>
      </c>
      <c r="I306" s="12" t="n">
        <v>162</v>
      </c>
      <c r="J306" s="12" t="n">
        <v>679</v>
      </c>
      <c r="K306" s="12" t="n">
        <v>599</v>
      </c>
      <c r="L306" s="12" t="n">
        <v>65</v>
      </c>
      <c r="M306" s="12" t="n">
        <v>126</v>
      </c>
      <c r="N306" s="12" t="n">
        <v>33</v>
      </c>
      <c r="O306" s="12" t="n">
        <v>6</v>
      </c>
      <c r="P306" s="12" t="n">
        <v>10</v>
      </c>
      <c r="Q306" s="12" t="n">
        <v>41</v>
      </c>
      <c r="R306" s="12" t="n">
        <v>67</v>
      </c>
      <c r="S306" s="12" t="n">
        <v>173</v>
      </c>
      <c r="T306" s="12" t="n">
        <v>11</v>
      </c>
      <c r="U306" s="12" t="n">
        <v>2</v>
      </c>
      <c r="V306" s="12" t="n">
        <v>9</v>
      </c>
      <c r="W306" s="12" t="n">
        <v>2</v>
      </c>
      <c r="X306" s="13" t="n">
        <f aca="false">M306+N306+2*O306+3*P306</f>
        <v>201</v>
      </c>
      <c r="Y306" s="14" t="n">
        <f aca="false">IF(K306=0,0,M306/K306)</f>
        <v>0.210350584307179</v>
      </c>
      <c r="Z306" s="14" t="n">
        <f aca="false">IF(K306+R306+T306+U306=0,0,(M306+R306+T306)/(K306+R306+T306+U306))</f>
        <v>0.300441826215022</v>
      </c>
      <c r="AA306" s="14" t="n">
        <f aca="false">IF(K306=0,0,X306/K306)</f>
        <v>0.335559265442404</v>
      </c>
      <c r="AB306" s="14" t="n">
        <f aca="false">Z306+AA306</f>
        <v>0.636001091657426</v>
      </c>
      <c r="AC306" s="14" t="n">
        <f aca="false">AA306-Y306</f>
        <v>0.125208681135225</v>
      </c>
      <c r="AD306" s="14" t="n">
        <f aca="false">IF(K306-S306-P306+U306=0,0,(M306-P306)/(K306-S306-P306+U306))</f>
        <v>0.277511961722488</v>
      </c>
      <c r="AE306" s="15" t="n">
        <f aca="false">IF(J306=0,0,R306/J306)</f>
        <v>0.0986745213549337</v>
      </c>
      <c r="AF306" s="15" t="n">
        <f aca="false">IF(J306=0,0,S306/J306)</f>
        <v>0.254786450662739</v>
      </c>
      <c r="AG306" s="11" t="n">
        <f aca="false">IF(J306&gt;=INDEX(球季參數!$E$2:$E$4,MATCH($A306,球季參數!$A$2:$A$4,0)),1,0)</f>
        <v>1</v>
      </c>
    </row>
    <row r="307" customFormat="false" ht="15" hidden="false" customHeight="false" outlineLevel="0" collapsed="false">
      <c r="A307" s="5" t="n">
        <v>2025</v>
      </c>
      <c r="B307" s="7" t="s">
        <v>481</v>
      </c>
      <c r="C307" s="10" t="str">
        <f aca="false">INDEX(球員主檔!$B$2:$B$749,MATCH($B307,球員主檔!$A$2:$A$749,0))</f>
        <v>Leandro Esquivel</v>
      </c>
      <c r="D307" s="7" t="s">
        <v>340</v>
      </c>
      <c r="E307" s="10" t="str">
        <f aca="false">INDEX(球隊主檔!$C$2:$C$31,MATCH($D307,球隊主檔!$A$2:$A$31,0))</f>
        <v>巴爾的摩金鶯</v>
      </c>
      <c r="F307" s="10" t="str">
        <f aca="false">INDEX(球隊主檔!$D$2:$D$31,MATCH($D307,球隊主檔!$A$2:$A$31,0))</f>
        <v>美聯</v>
      </c>
      <c r="G307" s="7" t="s">
        <v>483</v>
      </c>
      <c r="H307" s="11" t="n">
        <f aca="false">INT((DATE($A307,7,1)-INDEX(球員主檔!$G$2:$G$749,MATCH($B307,球員主檔!$A$2:$A$749,0)))/365.25)</f>
        <v>28</v>
      </c>
      <c r="I307" s="12" t="n">
        <v>128</v>
      </c>
      <c r="J307" s="12" t="n">
        <v>546</v>
      </c>
      <c r="K307" s="12" t="n">
        <v>496</v>
      </c>
      <c r="L307" s="12" t="n">
        <v>68</v>
      </c>
      <c r="M307" s="12" t="n">
        <v>148</v>
      </c>
      <c r="N307" s="12" t="n">
        <v>10</v>
      </c>
      <c r="O307" s="12" t="n">
        <v>3</v>
      </c>
      <c r="P307" s="12" t="n">
        <v>11</v>
      </c>
      <c r="Q307" s="12" t="n">
        <v>52</v>
      </c>
      <c r="R307" s="12" t="n">
        <v>39</v>
      </c>
      <c r="S307" s="12" t="n">
        <v>65</v>
      </c>
      <c r="T307" s="12" t="n">
        <v>10</v>
      </c>
      <c r="U307" s="12" t="n">
        <v>1</v>
      </c>
      <c r="V307" s="12" t="n">
        <v>8</v>
      </c>
      <c r="W307" s="12" t="n">
        <v>2</v>
      </c>
      <c r="X307" s="13" t="n">
        <f aca="false">M307+N307+2*O307+3*P307</f>
        <v>197</v>
      </c>
      <c r="Y307" s="14" t="n">
        <f aca="false">IF(K307=0,0,M307/K307)</f>
        <v>0.298387096774194</v>
      </c>
      <c r="Z307" s="14" t="n">
        <f aca="false">IF(K307+R307+T307+U307=0,0,(M307+R307+T307)/(K307+R307+T307+U307))</f>
        <v>0.360805860805861</v>
      </c>
      <c r="AA307" s="14" t="n">
        <f aca="false">IF(K307=0,0,X307/K307)</f>
        <v>0.397177419354839</v>
      </c>
      <c r="AB307" s="14" t="n">
        <f aca="false">Z307+AA307</f>
        <v>0.7579832801607</v>
      </c>
      <c r="AC307" s="14" t="n">
        <f aca="false">AA307-Y307</f>
        <v>0.0987903225806451</v>
      </c>
      <c r="AD307" s="14" t="n">
        <f aca="false">IF(K307-S307-P307+U307=0,0,(M307-P307)/(K307-S307-P307+U307))</f>
        <v>0.32541567695962</v>
      </c>
      <c r="AE307" s="15" t="n">
        <f aca="false">IF(J307=0,0,R307/J307)</f>
        <v>0.0714285714285714</v>
      </c>
      <c r="AF307" s="15" t="n">
        <f aca="false">IF(J307=0,0,S307/J307)</f>
        <v>0.119047619047619</v>
      </c>
      <c r="AG307" s="11" t="n">
        <f aca="false">IF(J307&gt;=INDEX(球季參數!$E$2:$E$4,MATCH($A307,球季參數!$A$2:$A$4,0)),1,0)</f>
        <v>1</v>
      </c>
    </row>
    <row r="308" customFormat="false" ht="15" hidden="false" customHeight="false" outlineLevel="0" collapsed="false">
      <c r="A308" s="5" t="n">
        <v>2025</v>
      </c>
      <c r="B308" s="7" t="s">
        <v>1679</v>
      </c>
      <c r="C308" s="10" t="str">
        <f aca="false">INDEX(球員主檔!$B$2:$B$749,MATCH($B308,球員主檔!$A$2:$A$749,0))</f>
        <v>Everett Nordstrom</v>
      </c>
      <c r="D308" s="7" t="s">
        <v>340</v>
      </c>
      <c r="E308" s="10" t="str">
        <f aca="false">INDEX(球隊主檔!$C$2:$C$31,MATCH($D308,球隊主檔!$A$2:$A$31,0))</f>
        <v>巴爾的摩金鶯</v>
      </c>
      <c r="F308" s="10" t="str">
        <f aca="false">INDEX(球隊主檔!$D$2:$D$31,MATCH($D308,球隊主檔!$A$2:$A$31,0))</f>
        <v>美聯</v>
      </c>
      <c r="G308" s="7" t="s">
        <v>162</v>
      </c>
      <c r="H308" s="11" t="n">
        <f aca="false">INT((DATE($A308,7,1)-INDEX(球員主檔!$G$2:$G$749,MATCH($B308,球員主檔!$A$2:$A$749,0)))/365.25)</f>
        <v>24</v>
      </c>
      <c r="I308" s="12" t="n">
        <v>114</v>
      </c>
      <c r="J308" s="12" t="n">
        <v>496</v>
      </c>
      <c r="K308" s="12" t="n">
        <v>457</v>
      </c>
      <c r="L308" s="12" t="n">
        <v>49</v>
      </c>
      <c r="M308" s="12" t="n">
        <v>107</v>
      </c>
      <c r="N308" s="12" t="n">
        <v>24</v>
      </c>
      <c r="O308" s="12" t="n">
        <v>7</v>
      </c>
      <c r="P308" s="12" t="n">
        <v>18</v>
      </c>
      <c r="Q308" s="12" t="n">
        <v>57</v>
      </c>
      <c r="R308" s="12" t="n">
        <v>25</v>
      </c>
      <c r="S308" s="12" t="n">
        <v>95</v>
      </c>
      <c r="T308" s="12" t="n">
        <v>10</v>
      </c>
      <c r="U308" s="12" t="n">
        <v>4</v>
      </c>
      <c r="V308" s="12" t="n">
        <v>2</v>
      </c>
      <c r="W308" s="12" t="n">
        <v>0</v>
      </c>
      <c r="X308" s="13" t="n">
        <f aca="false">M308+N308+2*O308+3*P308</f>
        <v>199</v>
      </c>
      <c r="Y308" s="14" t="n">
        <f aca="false">IF(K308=0,0,M308/K308)</f>
        <v>0.234135667396061</v>
      </c>
      <c r="Z308" s="14" t="n">
        <f aca="false">IF(K308+R308+T308+U308=0,0,(M308+R308+T308)/(K308+R308+T308+U308))</f>
        <v>0.286290322580645</v>
      </c>
      <c r="AA308" s="14" t="n">
        <f aca="false">IF(K308=0,0,X308/K308)</f>
        <v>0.435448577680525</v>
      </c>
      <c r="AB308" s="14" t="n">
        <f aca="false">Z308+AA308</f>
        <v>0.72173890026117</v>
      </c>
      <c r="AC308" s="14" t="n">
        <f aca="false">AA308-Y308</f>
        <v>0.201312910284464</v>
      </c>
      <c r="AD308" s="14" t="n">
        <f aca="false">IF(K308-S308-P308+U308=0,0,(M308-P308)/(K308-S308-P308+U308))</f>
        <v>0.255747126436782</v>
      </c>
      <c r="AE308" s="15" t="n">
        <f aca="false">IF(J308=0,0,R308/J308)</f>
        <v>0.0504032258064516</v>
      </c>
      <c r="AF308" s="15" t="n">
        <f aca="false">IF(J308=0,0,S308/J308)</f>
        <v>0.191532258064516</v>
      </c>
      <c r="AG308" s="11" t="n">
        <f aca="false">IF(J308&gt;=INDEX(球季參數!$E$2:$E$4,MATCH($A308,球季參數!$A$2:$A$4,0)),1,0)</f>
        <v>0</v>
      </c>
    </row>
    <row r="309" customFormat="false" ht="15" hidden="false" customHeight="false" outlineLevel="0" collapsed="false">
      <c r="A309" s="5" t="n">
        <v>2025</v>
      </c>
      <c r="B309" s="7" t="s">
        <v>1681</v>
      </c>
      <c r="C309" s="10" t="str">
        <f aca="false">INDEX(球員主檔!$B$2:$B$749,MATCH($B309,球員主檔!$A$2:$A$749,0))</f>
        <v>Soren Wainwright</v>
      </c>
      <c r="D309" s="7" t="s">
        <v>340</v>
      </c>
      <c r="E309" s="10" t="str">
        <f aca="false">INDEX(球隊主檔!$C$2:$C$31,MATCH($D309,球隊主檔!$A$2:$A$31,0))</f>
        <v>巴爾的摩金鶯</v>
      </c>
      <c r="F309" s="10" t="str">
        <f aca="false">INDEX(球隊主檔!$D$2:$D$31,MATCH($D309,球隊主檔!$A$2:$A$31,0))</f>
        <v>美聯</v>
      </c>
      <c r="G309" s="7" t="s">
        <v>522</v>
      </c>
      <c r="H309" s="11" t="n">
        <f aca="false">INT((DATE($A309,7,1)-INDEX(球員主檔!$G$2:$G$749,MATCH($B309,球員主檔!$A$2:$A$749,0)))/365.25)</f>
        <v>20</v>
      </c>
      <c r="I309" s="12" t="n">
        <v>115</v>
      </c>
      <c r="J309" s="12" t="n">
        <v>492</v>
      </c>
      <c r="K309" s="12" t="n">
        <v>427</v>
      </c>
      <c r="L309" s="12" t="n">
        <v>47</v>
      </c>
      <c r="M309" s="12" t="n">
        <v>82</v>
      </c>
      <c r="N309" s="12" t="n">
        <v>14</v>
      </c>
      <c r="O309" s="12" t="n">
        <v>1</v>
      </c>
      <c r="P309" s="12" t="n">
        <v>9</v>
      </c>
      <c r="Q309" s="12" t="n">
        <v>33</v>
      </c>
      <c r="R309" s="12" t="n">
        <v>59</v>
      </c>
      <c r="S309" s="12" t="n">
        <v>170</v>
      </c>
      <c r="T309" s="12" t="n">
        <v>3</v>
      </c>
      <c r="U309" s="12" t="n">
        <v>3</v>
      </c>
      <c r="V309" s="12" t="n">
        <v>11</v>
      </c>
      <c r="W309" s="12" t="n">
        <v>2</v>
      </c>
      <c r="X309" s="13" t="n">
        <f aca="false">M309+N309+2*O309+3*P309</f>
        <v>125</v>
      </c>
      <c r="Y309" s="14" t="n">
        <f aca="false">IF(K309=0,0,M309/K309)</f>
        <v>0.192037470725995</v>
      </c>
      <c r="Z309" s="14" t="n">
        <f aca="false">IF(K309+R309+T309+U309=0,0,(M309+R309+T309)/(K309+R309+T309+U309))</f>
        <v>0.292682926829268</v>
      </c>
      <c r="AA309" s="14" t="n">
        <f aca="false">IF(K309=0,0,X309/K309)</f>
        <v>0.292740046838408</v>
      </c>
      <c r="AB309" s="14" t="n">
        <f aca="false">Z309+AA309</f>
        <v>0.585422973667676</v>
      </c>
      <c r="AC309" s="14" t="n">
        <f aca="false">AA309-Y309</f>
        <v>0.100702576112412</v>
      </c>
      <c r="AD309" s="14" t="n">
        <f aca="false">IF(K309-S309-P309+U309=0,0,(M309-P309)/(K309-S309-P309+U309))</f>
        <v>0.290836653386454</v>
      </c>
      <c r="AE309" s="15" t="n">
        <f aca="false">IF(J309=0,0,R309/J309)</f>
        <v>0.119918699186992</v>
      </c>
      <c r="AF309" s="15" t="n">
        <f aca="false">IF(J309=0,0,S309/J309)</f>
        <v>0.345528455284553</v>
      </c>
      <c r="AG309" s="11" t="n">
        <f aca="false">IF(J309&gt;=INDEX(球季參數!$E$2:$E$4,MATCH($A309,球季參數!$A$2:$A$4,0)),1,0)</f>
        <v>0</v>
      </c>
    </row>
    <row r="310" customFormat="false" ht="15" hidden="false" customHeight="false" outlineLevel="0" collapsed="false">
      <c r="A310" s="5" t="n">
        <v>2025</v>
      </c>
      <c r="B310" s="7" t="s">
        <v>489</v>
      </c>
      <c r="C310" s="10" t="str">
        <f aca="false">INDEX(球員主檔!$B$2:$B$749,MATCH($B310,球員主檔!$A$2:$A$749,0))</f>
        <v>Haruto Dunmore</v>
      </c>
      <c r="D310" s="7" t="s">
        <v>340</v>
      </c>
      <c r="E310" s="10" t="str">
        <f aca="false">INDEX(球隊主檔!$C$2:$C$31,MATCH($D310,球隊主檔!$A$2:$A$31,0))</f>
        <v>巴爾的摩金鶯</v>
      </c>
      <c r="F310" s="10" t="str">
        <f aca="false">INDEX(球隊主檔!$D$2:$D$31,MATCH($D310,球隊主檔!$A$2:$A$31,0))</f>
        <v>美聯</v>
      </c>
      <c r="G310" s="7" t="s">
        <v>486</v>
      </c>
      <c r="H310" s="11" t="n">
        <f aca="false">INT((DATE($A310,7,1)-INDEX(球員主檔!$G$2:$G$749,MATCH($B310,球員主檔!$A$2:$A$749,0)))/365.25)</f>
        <v>29</v>
      </c>
      <c r="I310" s="12" t="n">
        <v>79</v>
      </c>
      <c r="J310" s="12" t="n">
        <v>346</v>
      </c>
      <c r="K310" s="12" t="n">
        <v>312</v>
      </c>
      <c r="L310" s="12" t="n">
        <v>35</v>
      </c>
      <c r="M310" s="12" t="n">
        <v>82</v>
      </c>
      <c r="N310" s="12" t="n">
        <v>18</v>
      </c>
      <c r="O310" s="12" t="n">
        <v>11</v>
      </c>
      <c r="P310" s="12" t="n">
        <v>6</v>
      </c>
      <c r="Q310" s="12" t="n">
        <v>29</v>
      </c>
      <c r="R310" s="12" t="n">
        <v>28</v>
      </c>
      <c r="S310" s="12" t="n">
        <v>76</v>
      </c>
      <c r="T310" s="12" t="n">
        <v>4</v>
      </c>
      <c r="U310" s="12" t="n">
        <v>2</v>
      </c>
      <c r="V310" s="12" t="n">
        <v>23</v>
      </c>
      <c r="W310" s="12" t="n">
        <v>3</v>
      </c>
      <c r="X310" s="13" t="n">
        <f aca="false">M310+N310+2*O310+3*P310</f>
        <v>140</v>
      </c>
      <c r="Y310" s="14" t="n">
        <f aca="false">IF(K310=0,0,M310/K310)</f>
        <v>0.262820512820513</v>
      </c>
      <c r="Z310" s="14" t="n">
        <f aca="false">IF(K310+R310+T310+U310=0,0,(M310+R310+T310)/(K310+R310+T310+U310))</f>
        <v>0.329479768786127</v>
      </c>
      <c r="AA310" s="14" t="n">
        <f aca="false">IF(K310=0,0,X310/K310)</f>
        <v>0.448717948717949</v>
      </c>
      <c r="AB310" s="14" t="n">
        <f aca="false">Z310+AA310</f>
        <v>0.778197717504076</v>
      </c>
      <c r="AC310" s="14" t="n">
        <f aca="false">AA310-Y310</f>
        <v>0.185897435897436</v>
      </c>
      <c r="AD310" s="14" t="n">
        <f aca="false">IF(K310-S310-P310+U310=0,0,(M310-P310)/(K310-S310-P310+U310))</f>
        <v>0.327586206896552</v>
      </c>
      <c r="AE310" s="15" t="n">
        <f aca="false">IF(J310=0,0,R310/J310)</f>
        <v>0.0809248554913295</v>
      </c>
      <c r="AF310" s="15" t="n">
        <f aca="false">IF(J310=0,0,S310/J310)</f>
        <v>0.219653179190751</v>
      </c>
      <c r="AG310" s="11" t="n">
        <f aca="false">IF(J310&gt;=INDEX(球季參數!$E$2:$E$4,MATCH($A310,球季參數!$A$2:$A$4,0)),1,0)</f>
        <v>0</v>
      </c>
    </row>
    <row r="311" customFormat="false" ht="15" hidden="false" customHeight="false" outlineLevel="0" collapsed="false">
      <c r="A311" s="5" t="n">
        <v>2025</v>
      </c>
      <c r="B311" s="7" t="s">
        <v>491</v>
      </c>
      <c r="C311" s="10" t="str">
        <f aca="false">INDEX(球員主檔!$B$2:$B$749,MATCH($B311,球員主檔!$A$2:$A$749,0))</f>
        <v>Everett Ingersoll</v>
      </c>
      <c r="D311" s="7" t="s">
        <v>340</v>
      </c>
      <c r="E311" s="10" t="str">
        <f aca="false">INDEX(球隊主檔!$C$2:$C$31,MATCH($D311,球隊主檔!$A$2:$A$31,0))</f>
        <v>巴爾的摩金鶯</v>
      </c>
      <c r="F311" s="10" t="str">
        <f aca="false">INDEX(球隊主檔!$D$2:$D$31,MATCH($D311,球隊主檔!$A$2:$A$31,0))</f>
        <v>美聯</v>
      </c>
      <c r="G311" s="7" t="s">
        <v>162</v>
      </c>
      <c r="H311" s="11" t="n">
        <f aca="false">INT((DATE($A311,7,1)-INDEX(球員主檔!$G$2:$G$749,MATCH($B311,球員主檔!$A$2:$A$749,0)))/365.25)</f>
        <v>28</v>
      </c>
      <c r="I311" s="12" t="n">
        <v>80</v>
      </c>
      <c r="J311" s="12" t="n">
        <v>334</v>
      </c>
      <c r="K311" s="12" t="n">
        <v>315</v>
      </c>
      <c r="L311" s="12" t="n">
        <v>37</v>
      </c>
      <c r="M311" s="12" t="n">
        <v>75</v>
      </c>
      <c r="N311" s="12" t="n">
        <v>24</v>
      </c>
      <c r="O311" s="12" t="n">
        <v>9</v>
      </c>
      <c r="P311" s="12" t="n">
        <v>9</v>
      </c>
      <c r="Q311" s="12" t="n">
        <v>34</v>
      </c>
      <c r="R311" s="12" t="n">
        <v>13</v>
      </c>
      <c r="S311" s="12" t="n">
        <v>69</v>
      </c>
      <c r="T311" s="12" t="n">
        <v>5</v>
      </c>
      <c r="U311" s="12" t="n">
        <v>1</v>
      </c>
      <c r="V311" s="12" t="n">
        <v>5</v>
      </c>
      <c r="W311" s="12" t="n">
        <v>1</v>
      </c>
      <c r="X311" s="13" t="n">
        <f aca="false">M311+N311+2*O311+3*P311</f>
        <v>144</v>
      </c>
      <c r="Y311" s="14" t="n">
        <f aca="false">IF(K311=0,0,M311/K311)</f>
        <v>0.238095238095238</v>
      </c>
      <c r="Z311" s="14" t="n">
        <f aca="false">IF(K311+R311+T311+U311=0,0,(M311+R311+T311)/(K311+R311+T311+U311))</f>
        <v>0.278443113772455</v>
      </c>
      <c r="AA311" s="14" t="n">
        <f aca="false">IF(K311=0,0,X311/K311)</f>
        <v>0.457142857142857</v>
      </c>
      <c r="AB311" s="14" t="n">
        <f aca="false">Z311+AA311</f>
        <v>0.735585970915312</v>
      </c>
      <c r="AC311" s="14" t="n">
        <f aca="false">AA311-Y311</f>
        <v>0.219047619047619</v>
      </c>
      <c r="AD311" s="14" t="n">
        <f aca="false">IF(K311-S311-P311+U311=0,0,(M311-P311)/(K311-S311-P311+U311))</f>
        <v>0.277310924369748</v>
      </c>
      <c r="AE311" s="15" t="n">
        <f aca="false">IF(J311=0,0,R311/J311)</f>
        <v>0.0389221556886228</v>
      </c>
      <c r="AF311" s="15" t="n">
        <f aca="false">IF(J311=0,0,S311/J311)</f>
        <v>0.206586826347305</v>
      </c>
      <c r="AG311" s="11" t="n">
        <f aca="false">IF(J311&gt;=INDEX(球季參數!$E$2:$E$4,MATCH($A311,球季參數!$A$2:$A$4,0)),1,0)</f>
        <v>0</v>
      </c>
    </row>
    <row r="312" customFormat="false" ht="15" hidden="false" customHeight="false" outlineLevel="0" collapsed="false">
      <c r="A312" s="5" t="n">
        <v>2025</v>
      </c>
      <c r="B312" s="7" t="s">
        <v>516</v>
      </c>
      <c r="C312" s="10" t="str">
        <f aca="false">INDEX(球員主檔!$B$2:$B$749,MATCH($B312,球員主檔!$A$2:$A$749,0))</f>
        <v>Leandro Castellón</v>
      </c>
      <c r="D312" s="7" t="s">
        <v>346</v>
      </c>
      <c r="E312" s="10" t="str">
        <f aca="false">INDEX(球隊主檔!$C$2:$C$31,MATCH($D312,球隊主檔!$A$2:$A$31,0))</f>
        <v>波士頓紅襪</v>
      </c>
      <c r="F312" s="10" t="str">
        <f aca="false">INDEX(球隊主檔!$D$2:$D$31,MATCH($D312,球隊主檔!$A$2:$A$31,0))</f>
        <v>美聯</v>
      </c>
      <c r="G312" s="7" t="s">
        <v>473</v>
      </c>
      <c r="H312" s="11" t="n">
        <f aca="false">INT((DATE($A312,7,1)-INDEX(球員主檔!$G$2:$G$749,MATCH($B312,球員主檔!$A$2:$A$749,0)))/365.25)</f>
        <v>25</v>
      </c>
      <c r="I312" s="12" t="n">
        <v>154</v>
      </c>
      <c r="J312" s="12" t="n">
        <v>667</v>
      </c>
      <c r="K312" s="12" t="n">
        <v>593</v>
      </c>
      <c r="L312" s="12" t="n">
        <v>85</v>
      </c>
      <c r="M312" s="12" t="n">
        <v>158</v>
      </c>
      <c r="N312" s="12" t="n">
        <v>40</v>
      </c>
      <c r="O312" s="12" t="n">
        <v>3</v>
      </c>
      <c r="P312" s="12" t="n">
        <v>22</v>
      </c>
      <c r="Q312" s="12" t="n">
        <v>80</v>
      </c>
      <c r="R312" s="12" t="n">
        <v>68</v>
      </c>
      <c r="S312" s="12" t="n">
        <v>133</v>
      </c>
      <c r="T312" s="12" t="n">
        <v>2</v>
      </c>
      <c r="U312" s="12" t="n">
        <v>4</v>
      </c>
      <c r="V312" s="12" t="n">
        <v>9</v>
      </c>
      <c r="W312" s="12" t="n">
        <v>2</v>
      </c>
      <c r="X312" s="13" t="n">
        <f aca="false">M312+N312+2*O312+3*P312</f>
        <v>270</v>
      </c>
      <c r="Y312" s="14" t="n">
        <f aca="false">IF(K312=0,0,M312/K312)</f>
        <v>0.266441821247892</v>
      </c>
      <c r="Z312" s="14" t="n">
        <f aca="false">IF(K312+R312+T312+U312=0,0,(M312+R312+T312)/(K312+R312+T312+U312))</f>
        <v>0.341829085457271</v>
      </c>
      <c r="AA312" s="14" t="n">
        <f aca="false">IF(K312=0,0,X312/K312)</f>
        <v>0.45531197301855</v>
      </c>
      <c r="AB312" s="14" t="n">
        <f aca="false">Z312+AA312</f>
        <v>0.797141058475821</v>
      </c>
      <c r="AC312" s="14" t="n">
        <f aca="false">AA312-Y312</f>
        <v>0.188870151770658</v>
      </c>
      <c r="AD312" s="14" t="n">
        <f aca="false">IF(K312-S312-P312+U312=0,0,(M312-P312)/(K312-S312-P312+U312))</f>
        <v>0.307692307692308</v>
      </c>
      <c r="AE312" s="15" t="n">
        <f aca="false">IF(J312=0,0,R312/J312)</f>
        <v>0.101949025487256</v>
      </c>
      <c r="AF312" s="15" t="n">
        <f aca="false">IF(J312=0,0,S312/J312)</f>
        <v>0.199400299850075</v>
      </c>
      <c r="AG312" s="11" t="n">
        <f aca="false">IF(J312&gt;=INDEX(球季參數!$E$2:$E$4,MATCH($A312,球季參數!$A$2:$A$4,0)),1,0)</f>
        <v>1</v>
      </c>
    </row>
    <row r="313" customFormat="false" ht="15" hidden="false" customHeight="false" outlineLevel="0" collapsed="false">
      <c r="A313" s="5" t="n">
        <v>2025</v>
      </c>
      <c r="B313" s="7" t="s">
        <v>518</v>
      </c>
      <c r="C313" s="10" t="str">
        <f aca="false">INDEX(球員主檔!$B$2:$B$749,MATCH($B313,球員主檔!$A$2:$A$749,0))</f>
        <v>Lucien Nordstrom</v>
      </c>
      <c r="D313" s="7" t="s">
        <v>346</v>
      </c>
      <c r="E313" s="10" t="str">
        <f aca="false">INDEX(球隊主檔!$C$2:$C$31,MATCH($D313,球隊主檔!$A$2:$A$31,0))</f>
        <v>波士頓紅襪</v>
      </c>
      <c r="F313" s="10" t="str">
        <f aca="false">INDEX(球隊主檔!$D$2:$D$31,MATCH($D313,球隊主檔!$A$2:$A$31,0))</f>
        <v>美聯</v>
      </c>
      <c r="G313" s="7" t="s">
        <v>483</v>
      </c>
      <c r="H313" s="11" t="n">
        <f aca="false">INT((DATE($A313,7,1)-INDEX(球員主檔!$G$2:$G$749,MATCH($B313,球員主檔!$A$2:$A$749,0)))/365.25)</f>
        <v>24</v>
      </c>
      <c r="I313" s="12" t="n">
        <v>162</v>
      </c>
      <c r="J313" s="12" t="n">
        <v>702</v>
      </c>
      <c r="K313" s="12" t="n">
        <v>611</v>
      </c>
      <c r="L313" s="12" t="n">
        <v>103</v>
      </c>
      <c r="M313" s="12" t="n">
        <v>165</v>
      </c>
      <c r="N313" s="12" t="n">
        <v>25</v>
      </c>
      <c r="O313" s="12" t="n">
        <v>4</v>
      </c>
      <c r="P313" s="12" t="n">
        <v>54</v>
      </c>
      <c r="Q313" s="12" t="n">
        <v>160</v>
      </c>
      <c r="R313" s="12" t="n">
        <v>79</v>
      </c>
      <c r="S313" s="12" t="n">
        <v>171</v>
      </c>
      <c r="T313" s="12" t="n">
        <v>10</v>
      </c>
      <c r="U313" s="12" t="n">
        <v>2</v>
      </c>
      <c r="V313" s="12" t="n">
        <v>39</v>
      </c>
      <c r="W313" s="12" t="n">
        <v>10</v>
      </c>
      <c r="X313" s="13" t="n">
        <f aca="false">M313+N313+2*O313+3*P313</f>
        <v>360</v>
      </c>
      <c r="Y313" s="14" t="n">
        <f aca="false">IF(K313=0,0,M313/K313)</f>
        <v>0.270049099836334</v>
      </c>
      <c r="Z313" s="14" t="n">
        <f aca="false">IF(K313+R313+T313+U313=0,0,(M313+R313+T313)/(K313+R313+T313+U313))</f>
        <v>0.361823361823362</v>
      </c>
      <c r="AA313" s="14" t="n">
        <f aca="false">IF(K313=0,0,X313/K313)</f>
        <v>0.589198036006547</v>
      </c>
      <c r="AB313" s="14" t="n">
        <f aca="false">Z313+AA313</f>
        <v>0.951021397829909</v>
      </c>
      <c r="AC313" s="14" t="n">
        <f aca="false">AA313-Y313</f>
        <v>0.319148936170213</v>
      </c>
      <c r="AD313" s="14" t="n">
        <f aca="false">IF(K313-S313-P313+U313=0,0,(M313-P313)/(K313-S313-P313+U313))</f>
        <v>0.286082474226804</v>
      </c>
      <c r="AE313" s="15" t="n">
        <f aca="false">IF(J313=0,0,R313/J313)</f>
        <v>0.112535612535613</v>
      </c>
      <c r="AF313" s="15" t="n">
        <f aca="false">IF(J313=0,0,S313/J313)</f>
        <v>0.243589743589744</v>
      </c>
      <c r="AG313" s="11" t="n">
        <f aca="false">IF(J313&gt;=INDEX(球季參數!$E$2:$E$4,MATCH($A313,球季參數!$A$2:$A$4,0)),1,0)</f>
        <v>1</v>
      </c>
    </row>
    <row r="314" customFormat="false" ht="15" hidden="false" customHeight="false" outlineLevel="0" collapsed="false">
      <c r="A314" s="5" t="n">
        <v>2025</v>
      </c>
      <c r="B314" s="7" t="s">
        <v>520</v>
      </c>
      <c r="C314" s="10" t="str">
        <f aca="false">INDEX(球員主檔!$B$2:$B$749,MATCH($B314,球員主檔!$A$2:$A$749,0))</f>
        <v>Everett Redmayne</v>
      </c>
      <c r="D314" s="7" t="s">
        <v>346</v>
      </c>
      <c r="E314" s="10" t="str">
        <f aca="false">INDEX(球隊主檔!$C$2:$C$31,MATCH($D314,球隊主檔!$A$2:$A$31,0))</f>
        <v>波士頓紅襪</v>
      </c>
      <c r="F314" s="10" t="str">
        <f aca="false">INDEX(球隊主檔!$D$2:$D$31,MATCH($D314,球隊主檔!$A$2:$A$31,0))</f>
        <v>美聯</v>
      </c>
      <c r="G314" s="7" t="s">
        <v>522</v>
      </c>
      <c r="H314" s="11" t="n">
        <f aca="false">INT((DATE($A314,7,1)-INDEX(球員主檔!$G$2:$G$749,MATCH($B314,球員主檔!$A$2:$A$749,0)))/365.25)</f>
        <v>25</v>
      </c>
      <c r="I314" s="12" t="n">
        <v>135</v>
      </c>
      <c r="J314" s="12" t="n">
        <v>567</v>
      </c>
      <c r="K314" s="12" t="n">
        <v>518</v>
      </c>
      <c r="L314" s="12" t="n">
        <v>60</v>
      </c>
      <c r="M314" s="12" t="n">
        <v>122</v>
      </c>
      <c r="N314" s="12" t="n">
        <v>27</v>
      </c>
      <c r="O314" s="12" t="n">
        <v>3</v>
      </c>
      <c r="P314" s="12" t="n">
        <v>14</v>
      </c>
      <c r="Q314" s="12" t="n">
        <v>51</v>
      </c>
      <c r="R314" s="12" t="n">
        <v>33</v>
      </c>
      <c r="S314" s="12" t="n">
        <v>129</v>
      </c>
      <c r="T314" s="12" t="n">
        <v>11</v>
      </c>
      <c r="U314" s="12" t="n">
        <v>5</v>
      </c>
      <c r="V314" s="12" t="n">
        <v>34</v>
      </c>
      <c r="W314" s="12" t="n">
        <v>10</v>
      </c>
      <c r="X314" s="13" t="n">
        <f aca="false">M314+N314+2*O314+3*P314</f>
        <v>197</v>
      </c>
      <c r="Y314" s="14" t="n">
        <f aca="false">IF(K314=0,0,M314/K314)</f>
        <v>0.235521235521236</v>
      </c>
      <c r="Z314" s="14" t="n">
        <f aca="false">IF(K314+R314+T314+U314=0,0,(M314+R314+T314)/(K314+R314+T314+U314))</f>
        <v>0.292768959435626</v>
      </c>
      <c r="AA314" s="14" t="n">
        <f aca="false">IF(K314=0,0,X314/K314)</f>
        <v>0.38030888030888</v>
      </c>
      <c r="AB314" s="14" t="n">
        <f aca="false">Z314+AA314</f>
        <v>0.673077839744506</v>
      </c>
      <c r="AC314" s="14" t="n">
        <f aca="false">AA314-Y314</f>
        <v>0.144787644787645</v>
      </c>
      <c r="AD314" s="14" t="n">
        <f aca="false">IF(K314-S314-P314+U314=0,0,(M314-P314)/(K314-S314-P314+U314))</f>
        <v>0.284210526315789</v>
      </c>
      <c r="AE314" s="15" t="n">
        <f aca="false">IF(J314=0,0,R314/J314)</f>
        <v>0.0582010582010582</v>
      </c>
      <c r="AF314" s="15" t="n">
        <f aca="false">IF(J314=0,0,S314/J314)</f>
        <v>0.227513227513228</v>
      </c>
      <c r="AG314" s="11" t="n">
        <f aca="false">IF(J314&gt;=INDEX(球季參數!$E$2:$E$4,MATCH($A314,球季參數!$A$2:$A$4,0)),1,0)</f>
        <v>1</v>
      </c>
    </row>
    <row r="315" customFormat="false" ht="15" hidden="false" customHeight="false" outlineLevel="0" collapsed="false">
      <c r="A315" s="5" t="n">
        <v>2025</v>
      </c>
      <c r="B315" s="7" t="s">
        <v>523</v>
      </c>
      <c r="C315" s="10" t="str">
        <f aca="false">INDEX(球員主檔!$B$2:$B$749,MATCH($B315,球員主檔!$A$2:$A$749,0))</f>
        <v>Camilo Dubois</v>
      </c>
      <c r="D315" s="7" t="s">
        <v>346</v>
      </c>
      <c r="E315" s="10" t="str">
        <f aca="false">INDEX(球隊主檔!$C$2:$C$31,MATCH($D315,球隊主檔!$A$2:$A$31,0))</f>
        <v>波士頓紅襪</v>
      </c>
      <c r="F315" s="10" t="str">
        <f aca="false">INDEX(球隊主檔!$D$2:$D$31,MATCH($D315,球隊主檔!$A$2:$A$31,0))</f>
        <v>美聯</v>
      </c>
      <c r="G315" s="7" t="s">
        <v>486</v>
      </c>
      <c r="H315" s="11" t="n">
        <f aca="false">INT((DATE($A315,7,1)-INDEX(球員主檔!$G$2:$G$749,MATCH($B315,球員主檔!$A$2:$A$749,0)))/365.25)</f>
        <v>30</v>
      </c>
      <c r="I315" s="12" t="n">
        <v>101</v>
      </c>
      <c r="J315" s="12" t="n">
        <v>433</v>
      </c>
      <c r="K315" s="12" t="n">
        <v>385</v>
      </c>
      <c r="L315" s="12" t="n">
        <v>63</v>
      </c>
      <c r="M315" s="12" t="n">
        <v>109</v>
      </c>
      <c r="N315" s="12" t="n">
        <v>37</v>
      </c>
      <c r="O315" s="12" t="n">
        <v>1</v>
      </c>
      <c r="P315" s="12" t="n">
        <v>13</v>
      </c>
      <c r="Q315" s="12" t="n">
        <v>47</v>
      </c>
      <c r="R315" s="12" t="n">
        <v>37</v>
      </c>
      <c r="S315" s="12" t="n">
        <v>78</v>
      </c>
      <c r="T315" s="12" t="n">
        <v>7</v>
      </c>
      <c r="U315" s="12" t="n">
        <v>4</v>
      </c>
      <c r="V315" s="12" t="n">
        <v>1</v>
      </c>
      <c r="W315" s="12" t="n">
        <v>0</v>
      </c>
      <c r="X315" s="13" t="n">
        <f aca="false">M315+N315+2*O315+3*P315</f>
        <v>187</v>
      </c>
      <c r="Y315" s="14" t="n">
        <f aca="false">IF(K315=0,0,M315/K315)</f>
        <v>0.283116883116883</v>
      </c>
      <c r="Z315" s="14" t="n">
        <f aca="false">IF(K315+R315+T315+U315=0,0,(M315+R315+T315)/(K315+R315+T315+U315))</f>
        <v>0.353348729792148</v>
      </c>
      <c r="AA315" s="14" t="n">
        <f aca="false">IF(K315=0,0,X315/K315)</f>
        <v>0.485714285714286</v>
      </c>
      <c r="AB315" s="14" t="n">
        <f aca="false">Z315+AA315</f>
        <v>0.839063015506434</v>
      </c>
      <c r="AC315" s="14" t="n">
        <f aca="false">AA315-Y315</f>
        <v>0.202597402597403</v>
      </c>
      <c r="AD315" s="14" t="n">
        <f aca="false">IF(K315-S315-P315+U315=0,0,(M315-P315)/(K315-S315-P315+U315))</f>
        <v>0.322147651006711</v>
      </c>
      <c r="AE315" s="15" t="n">
        <f aca="false">IF(J315=0,0,R315/J315)</f>
        <v>0.0854503464203233</v>
      </c>
      <c r="AF315" s="15" t="n">
        <f aca="false">IF(J315=0,0,S315/J315)</f>
        <v>0.18013856812933</v>
      </c>
      <c r="AG315" s="11" t="n">
        <f aca="false">IF(J315&gt;=INDEX(球季參數!$E$2:$E$4,MATCH($A315,球季參數!$A$2:$A$4,0)),1,0)</f>
        <v>0</v>
      </c>
    </row>
    <row r="316" customFormat="false" ht="15" hidden="false" customHeight="false" outlineLevel="0" collapsed="false">
      <c r="A316" s="5" t="n">
        <v>2025</v>
      </c>
      <c r="B316" s="7" t="s">
        <v>525</v>
      </c>
      <c r="C316" s="10" t="str">
        <f aca="false">INDEX(球員主檔!$B$2:$B$749,MATCH($B316,球員主檔!$A$2:$A$749,0))</f>
        <v>Yusuke Zbornak</v>
      </c>
      <c r="D316" s="7" t="s">
        <v>346</v>
      </c>
      <c r="E316" s="10" t="str">
        <f aca="false">INDEX(球隊主檔!$C$2:$C$31,MATCH($D316,球隊主檔!$A$2:$A$31,0))</f>
        <v>波士頓紅襪</v>
      </c>
      <c r="F316" s="10" t="str">
        <f aca="false">INDEX(球隊主檔!$D$2:$D$31,MATCH($D316,球隊主檔!$A$2:$A$31,0))</f>
        <v>美聯</v>
      </c>
      <c r="G316" s="7" t="s">
        <v>473</v>
      </c>
      <c r="H316" s="11" t="n">
        <f aca="false">INT((DATE($A316,7,1)-INDEX(球員主檔!$G$2:$G$749,MATCH($B316,球員主檔!$A$2:$A$749,0)))/365.25)</f>
        <v>23</v>
      </c>
      <c r="I316" s="12" t="n">
        <v>146</v>
      </c>
      <c r="J316" s="12" t="n">
        <v>645</v>
      </c>
      <c r="K316" s="12" t="n">
        <v>595</v>
      </c>
      <c r="L316" s="12" t="n">
        <v>80</v>
      </c>
      <c r="M316" s="12" t="n">
        <v>141</v>
      </c>
      <c r="N316" s="12" t="n">
        <v>23</v>
      </c>
      <c r="O316" s="12" t="n">
        <v>10</v>
      </c>
      <c r="P316" s="12" t="n">
        <v>36</v>
      </c>
      <c r="Q316" s="12" t="n">
        <v>114</v>
      </c>
      <c r="R316" s="12" t="n">
        <v>41</v>
      </c>
      <c r="S316" s="12" t="n">
        <v>113</v>
      </c>
      <c r="T316" s="12" t="n">
        <v>2</v>
      </c>
      <c r="U316" s="12" t="n">
        <v>7</v>
      </c>
      <c r="V316" s="12" t="n">
        <v>22</v>
      </c>
      <c r="W316" s="12" t="n">
        <v>6</v>
      </c>
      <c r="X316" s="13" t="n">
        <f aca="false">M316+N316+2*O316+3*P316</f>
        <v>292</v>
      </c>
      <c r="Y316" s="14" t="n">
        <f aca="false">IF(K316=0,0,M316/K316)</f>
        <v>0.236974789915966</v>
      </c>
      <c r="Z316" s="14" t="n">
        <f aca="false">IF(K316+R316+T316+U316=0,0,(M316+R316+T316)/(K316+R316+T316+U316))</f>
        <v>0.285271317829457</v>
      </c>
      <c r="AA316" s="14" t="n">
        <f aca="false">IF(K316=0,0,X316/K316)</f>
        <v>0.490756302521008</v>
      </c>
      <c r="AB316" s="14" t="n">
        <f aca="false">Z316+AA316</f>
        <v>0.776027620350466</v>
      </c>
      <c r="AC316" s="14" t="n">
        <f aca="false">AA316-Y316</f>
        <v>0.253781512605042</v>
      </c>
      <c r="AD316" s="14" t="n">
        <f aca="false">IF(K316-S316-P316+U316=0,0,(M316-P316)/(K316-S316-P316+U316))</f>
        <v>0.231788079470199</v>
      </c>
      <c r="AE316" s="15" t="n">
        <f aca="false">IF(J316=0,0,R316/J316)</f>
        <v>0.0635658914728682</v>
      </c>
      <c r="AF316" s="15" t="n">
        <f aca="false">IF(J316=0,0,S316/J316)</f>
        <v>0.175193798449612</v>
      </c>
      <c r="AG316" s="11" t="n">
        <f aca="false">IF(J316&gt;=INDEX(球季參數!$E$2:$E$4,MATCH($A316,球季參數!$A$2:$A$4,0)),1,0)</f>
        <v>1</v>
      </c>
    </row>
    <row r="317" customFormat="false" ht="15" hidden="false" customHeight="false" outlineLevel="0" collapsed="false">
      <c r="A317" s="5" t="n">
        <v>2025</v>
      </c>
      <c r="B317" s="7" t="s">
        <v>527</v>
      </c>
      <c r="C317" s="10" t="str">
        <f aca="false">INDEX(球員主檔!$B$2:$B$749,MATCH($B317,球員主檔!$A$2:$A$749,0))</f>
        <v>Rintaro Dubois</v>
      </c>
      <c r="D317" s="7" t="s">
        <v>346</v>
      </c>
      <c r="E317" s="10" t="str">
        <f aca="false">INDEX(球隊主檔!$C$2:$C$31,MATCH($D317,球隊主檔!$A$2:$A$31,0))</f>
        <v>波士頓紅襪</v>
      </c>
      <c r="F317" s="10" t="str">
        <f aca="false">INDEX(球隊主檔!$D$2:$D$31,MATCH($D317,球隊主檔!$A$2:$A$31,0))</f>
        <v>美聯</v>
      </c>
      <c r="G317" s="7" t="s">
        <v>473</v>
      </c>
      <c r="H317" s="11" t="n">
        <f aca="false">INT((DATE($A317,7,1)-INDEX(球員主檔!$G$2:$G$749,MATCH($B317,球員主檔!$A$2:$A$749,0)))/365.25)</f>
        <v>28</v>
      </c>
      <c r="I317" s="12" t="n">
        <v>114</v>
      </c>
      <c r="J317" s="12" t="n">
        <v>459</v>
      </c>
      <c r="K317" s="12" t="n">
        <v>397</v>
      </c>
      <c r="L317" s="12" t="n">
        <v>59</v>
      </c>
      <c r="M317" s="12" t="n">
        <v>100</v>
      </c>
      <c r="N317" s="12" t="n">
        <v>34</v>
      </c>
      <c r="O317" s="12" t="n">
        <v>1</v>
      </c>
      <c r="P317" s="12" t="n">
        <v>24</v>
      </c>
      <c r="Q317" s="12" t="n">
        <v>76</v>
      </c>
      <c r="R317" s="12" t="n">
        <v>50</v>
      </c>
      <c r="S317" s="12" t="n">
        <v>81</v>
      </c>
      <c r="T317" s="12" t="n">
        <v>6</v>
      </c>
      <c r="U317" s="12" t="n">
        <v>6</v>
      </c>
      <c r="V317" s="12" t="n">
        <v>3</v>
      </c>
      <c r="W317" s="12" t="n">
        <v>1</v>
      </c>
      <c r="X317" s="13" t="n">
        <f aca="false">M317+N317+2*O317+3*P317</f>
        <v>208</v>
      </c>
      <c r="Y317" s="14" t="n">
        <f aca="false">IF(K317=0,0,M317/K317)</f>
        <v>0.251889168765743</v>
      </c>
      <c r="Z317" s="14" t="n">
        <f aca="false">IF(K317+R317+T317+U317=0,0,(M317+R317+T317)/(K317+R317+T317+U317))</f>
        <v>0.339869281045752</v>
      </c>
      <c r="AA317" s="14" t="n">
        <f aca="false">IF(K317=0,0,X317/K317)</f>
        <v>0.523929471032746</v>
      </c>
      <c r="AB317" s="14" t="n">
        <f aca="false">Z317+AA317</f>
        <v>0.863798752078497</v>
      </c>
      <c r="AC317" s="14" t="n">
        <f aca="false">AA317-Y317</f>
        <v>0.272040302267003</v>
      </c>
      <c r="AD317" s="14" t="n">
        <f aca="false">IF(K317-S317-P317+U317=0,0,(M317-P317)/(K317-S317-P317+U317))</f>
        <v>0.25503355704698</v>
      </c>
      <c r="AE317" s="15" t="n">
        <f aca="false">IF(J317=0,0,R317/J317)</f>
        <v>0.108932461873638</v>
      </c>
      <c r="AF317" s="15" t="n">
        <f aca="false">IF(J317=0,0,S317/J317)</f>
        <v>0.176470588235294</v>
      </c>
      <c r="AG317" s="11" t="n">
        <f aca="false">IF(J317&gt;=INDEX(球季參數!$E$2:$E$4,MATCH($A317,球季參數!$A$2:$A$4,0)),1,0)</f>
        <v>0</v>
      </c>
    </row>
    <row r="318" customFormat="false" ht="15" hidden="false" customHeight="false" outlineLevel="0" collapsed="false">
      <c r="A318" s="5" t="n">
        <v>2025</v>
      </c>
      <c r="B318" s="7" t="s">
        <v>529</v>
      </c>
      <c r="C318" s="10" t="str">
        <f aca="false">INDEX(球員主檔!$B$2:$B$749,MATCH($B318,球員主檔!$A$2:$A$749,0))</f>
        <v>Wyatt Kestrel</v>
      </c>
      <c r="D318" s="7" t="s">
        <v>346</v>
      </c>
      <c r="E318" s="10" t="str">
        <f aca="false">INDEX(球隊主檔!$C$2:$C$31,MATCH($D318,球隊主檔!$A$2:$A$31,0))</f>
        <v>波士頓紅襪</v>
      </c>
      <c r="F318" s="10" t="str">
        <f aca="false">INDEX(球隊主檔!$D$2:$D$31,MATCH($D318,球隊主檔!$A$2:$A$31,0))</f>
        <v>美聯</v>
      </c>
      <c r="G318" s="7" t="s">
        <v>473</v>
      </c>
      <c r="H318" s="11" t="n">
        <f aca="false">INT((DATE($A318,7,1)-INDEX(球員主檔!$G$2:$G$749,MATCH($B318,球員主檔!$A$2:$A$749,0)))/365.25)</f>
        <v>28</v>
      </c>
      <c r="I318" s="12" t="n">
        <v>87</v>
      </c>
      <c r="J318" s="12" t="n">
        <v>384</v>
      </c>
      <c r="K318" s="12" t="n">
        <v>352</v>
      </c>
      <c r="L318" s="12" t="n">
        <v>40</v>
      </c>
      <c r="M318" s="12" t="n">
        <v>81</v>
      </c>
      <c r="N318" s="12" t="n">
        <v>7</v>
      </c>
      <c r="O318" s="12" t="n">
        <v>2</v>
      </c>
      <c r="P318" s="12" t="n">
        <v>15</v>
      </c>
      <c r="Q318" s="12" t="n">
        <v>50</v>
      </c>
      <c r="R318" s="12" t="n">
        <v>23</v>
      </c>
      <c r="S318" s="12" t="n">
        <v>85</v>
      </c>
      <c r="T318" s="12" t="n">
        <v>7</v>
      </c>
      <c r="U318" s="12" t="n">
        <v>2</v>
      </c>
      <c r="V318" s="12" t="n">
        <v>15</v>
      </c>
      <c r="W318" s="12" t="n">
        <v>2</v>
      </c>
      <c r="X318" s="13" t="n">
        <f aca="false">M318+N318+2*O318+3*P318</f>
        <v>137</v>
      </c>
      <c r="Y318" s="14" t="n">
        <f aca="false">IF(K318=0,0,M318/K318)</f>
        <v>0.230113636363636</v>
      </c>
      <c r="Z318" s="14" t="n">
        <f aca="false">IF(K318+R318+T318+U318=0,0,(M318+R318+T318)/(K318+R318+T318+U318))</f>
        <v>0.2890625</v>
      </c>
      <c r="AA318" s="14" t="n">
        <f aca="false">IF(K318=0,0,X318/K318)</f>
        <v>0.389204545454545</v>
      </c>
      <c r="AB318" s="14" t="n">
        <f aca="false">Z318+AA318</f>
        <v>0.678267045454545</v>
      </c>
      <c r="AC318" s="14" t="n">
        <f aca="false">AA318-Y318</f>
        <v>0.159090909090909</v>
      </c>
      <c r="AD318" s="14" t="n">
        <f aca="false">IF(K318-S318-P318+U318=0,0,(M318-P318)/(K318-S318-P318+U318))</f>
        <v>0.259842519685039</v>
      </c>
      <c r="AE318" s="15" t="n">
        <f aca="false">IF(J318=0,0,R318/J318)</f>
        <v>0.0598958333333333</v>
      </c>
      <c r="AF318" s="15" t="n">
        <f aca="false">IF(J318=0,0,S318/J318)</f>
        <v>0.221354166666667</v>
      </c>
      <c r="AG318" s="11" t="n">
        <f aca="false">IF(J318&gt;=INDEX(球季參數!$E$2:$E$4,MATCH($A318,球季參數!$A$2:$A$4,0)),1,0)</f>
        <v>0</v>
      </c>
    </row>
    <row r="319" customFormat="false" ht="15" hidden="false" customHeight="false" outlineLevel="0" collapsed="false">
      <c r="A319" s="5" t="n">
        <v>2025</v>
      </c>
      <c r="B319" s="7" t="s">
        <v>531</v>
      </c>
      <c r="C319" s="10" t="str">
        <f aca="false">INDEX(球員主檔!$B$2:$B$749,MATCH($B319,球員主檔!$A$2:$A$749,0))</f>
        <v>Jasper Cavanaugh</v>
      </c>
      <c r="D319" s="7" t="s">
        <v>346</v>
      </c>
      <c r="E319" s="10" t="str">
        <f aca="false">INDEX(球隊主檔!$C$2:$C$31,MATCH($D319,球隊主檔!$A$2:$A$31,0))</f>
        <v>波士頓紅襪</v>
      </c>
      <c r="F319" s="10" t="str">
        <f aca="false">INDEX(球隊主檔!$D$2:$D$31,MATCH($D319,球隊主檔!$A$2:$A$31,0))</f>
        <v>美聯</v>
      </c>
      <c r="G319" s="7" t="s">
        <v>483</v>
      </c>
      <c r="H319" s="11" t="n">
        <f aca="false">INT((DATE($A319,7,1)-INDEX(球員主檔!$G$2:$G$749,MATCH($B319,球員主檔!$A$2:$A$749,0)))/365.25)</f>
        <v>25</v>
      </c>
      <c r="I319" s="12" t="n">
        <v>126</v>
      </c>
      <c r="J319" s="12" t="n">
        <v>515</v>
      </c>
      <c r="K319" s="12" t="n">
        <v>452</v>
      </c>
      <c r="L319" s="12" t="n">
        <v>51</v>
      </c>
      <c r="M319" s="12" t="n">
        <v>98</v>
      </c>
      <c r="N319" s="12" t="n">
        <v>33</v>
      </c>
      <c r="O319" s="12" t="n">
        <v>6</v>
      </c>
      <c r="P319" s="12" t="n">
        <v>15</v>
      </c>
      <c r="Q319" s="12" t="n">
        <v>51</v>
      </c>
      <c r="R319" s="12" t="n">
        <v>52</v>
      </c>
      <c r="S319" s="12" t="n">
        <v>105</v>
      </c>
      <c r="T319" s="12" t="n">
        <v>9</v>
      </c>
      <c r="U319" s="12" t="n">
        <v>2</v>
      </c>
      <c r="V319" s="12" t="n">
        <v>14</v>
      </c>
      <c r="W319" s="12" t="n">
        <v>3</v>
      </c>
      <c r="X319" s="13" t="n">
        <f aca="false">M319+N319+2*O319+3*P319</f>
        <v>188</v>
      </c>
      <c r="Y319" s="14" t="n">
        <f aca="false">IF(K319=0,0,M319/K319)</f>
        <v>0.216814159292035</v>
      </c>
      <c r="Z319" s="14" t="n">
        <f aca="false">IF(K319+R319+T319+U319=0,0,(M319+R319+T319)/(K319+R319+T319+U319))</f>
        <v>0.30873786407767</v>
      </c>
      <c r="AA319" s="14" t="n">
        <f aca="false">IF(K319=0,0,X319/K319)</f>
        <v>0.415929203539823</v>
      </c>
      <c r="AB319" s="14" t="n">
        <f aca="false">Z319+AA319</f>
        <v>0.724667067617493</v>
      </c>
      <c r="AC319" s="14" t="n">
        <f aca="false">AA319-Y319</f>
        <v>0.199115044247788</v>
      </c>
      <c r="AD319" s="14" t="n">
        <f aca="false">IF(K319-S319-P319+U319=0,0,(M319-P319)/(K319-S319-P319+U319))</f>
        <v>0.248502994011976</v>
      </c>
      <c r="AE319" s="15" t="n">
        <f aca="false">IF(J319=0,0,R319/J319)</f>
        <v>0.100970873786408</v>
      </c>
      <c r="AF319" s="15" t="n">
        <f aca="false">IF(J319=0,0,S319/J319)</f>
        <v>0.203883495145631</v>
      </c>
      <c r="AG319" s="11" t="n">
        <f aca="false">IF(J319&gt;=INDEX(球季參數!$E$2:$E$4,MATCH($A319,球季參數!$A$2:$A$4,0)),1,0)</f>
        <v>1</v>
      </c>
    </row>
    <row r="320" customFormat="false" ht="15" hidden="false" customHeight="false" outlineLevel="0" collapsed="false">
      <c r="A320" s="5" t="n">
        <v>2025</v>
      </c>
      <c r="B320" s="7" t="s">
        <v>533</v>
      </c>
      <c r="C320" s="10" t="str">
        <f aca="false">INDEX(球員主檔!$B$2:$B$749,MATCH($B320,球員主檔!$A$2:$A$749,0))</f>
        <v>Kellan Tremblay</v>
      </c>
      <c r="D320" s="7" t="s">
        <v>346</v>
      </c>
      <c r="E320" s="10" t="str">
        <f aca="false">INDEX(球隊主檔!$C$2:$C$31,MATCH($D320,球隊主檔!$A$2:$A$31,0))</f>
        <v>波士頓紅襪</v>
      </c>
      <c r="F320" s="10" t="str">
        <f aca="false">INDEX(球隊主檔!$D$2:$D$31,MATCH($D320,球隊主檔!$A$2:$A$31,0))</f>
        <v>美聯</v>
      </c>
      <c r="G320" s="7" t="s">
        <v>473</v>
      </c>
      <c r="H320" s="11" t="n">
        <f aca="false">INT((DATE($A320,7,1)-INDEX(球員主檔!$G$2:$G$749,MATCH($B320,球員主檔!$A$2:$A$749,0)))/365.25)</f>
        <v>31</v>
      </c>
      <c r="I320" s="12" t="n">
        <v>40</v>
      </c>
      <c r="J320" s="12" t="n">
        <v>178</v>
      </c>
      <c r="K320" s="12" t="n">
        <v>163</v>
      </c>
      <c r="L320" s="12" t="n">
        <v>21</v>
      </c>
      <c r="M320" s="12" t="n">
        <v>42</v>
      </c>
      <c r="N320" s="12" t="n">
        <v>17</v>
      </c>
      <c r="O320" s="12" t="n">
        <v>4</v>
      </c>
      <c r="P320" s="12" t="n">
        <v>3</v>
      </c>
      <c r="Q320" s="12" t="n">
        <v>18</v>
      </c>
      <c r="R320" s="12" t="n">
        <v>12</v>
      </c>
      <c r="S320" s="12" t="n">
        <v>34</v>
      </c>
      <c r="T320" s="12" t="n">
        <v>3</v>
      </c>
      <c r="U320" s="12" t="n">
        <v>0</v>
      </c>
      <c r="V320" s="12" t="n">
        <v>7</v>
      </c>
      <c r="W320" s="12" t="n">
        <v>1</v>
      </c>
      <c r="X320" s="13" t="n">
        <f aca="false">M320+N320+2*O320+3*P320</f>
        <v>76</v>
      </c>
      <c r="Y320" s="14" t="n">
        <f aca="false">IF(K320=0,0,M320/K320)</f>
        <v>0.257668711656442</v>
      </c>
      <c r="Z320" s="14" t="n">
        <f aca="false">IF(K320+R320+T320+U320=0,0,(M320+R320+T320)/(K320+R320+T320+U320))</f>
        <v>0.320224719101124</v>
      </c>
      <c r="AA320" s="14" t="n">
        <f aca="false">IF(K320=0,0,X320/K320)</f>
        <v>0.466257668711656</v>
      </c>
      <c r="AB320" s="14" t="n">
        <f aca="false">Z320+AA320</f>
        <v>0.78648238781278</v>
      </c>
      <c r="AC320" s="14" t="n">
        <f aca="false">AA320-Y320</f>
        <v>0.208588957055215</v>
      </c>
      <c r="AD320" s="14" t="n">
        <f aca="false">IF(K320-S320-P320+U320=0,0,(M320-P320)/(K320-S320-P320+U320))</f>
        <v>0.30952380952381</v>
      </c>
      <c r="AE320" s="15" t="n">
        <f aca="false">IF(J320=0,0,R320/J320)</f>
        <v>0.0674157303370787</v>
      </c>
      <c r="AF320" s="15" t="n">
        <f aca="false">IF(J320=0,0,S320/J320)</f>
        <v>0.191011235955056</v>
      </c>
      <c r="AG320" s="11" t="n">
        <f aca="false">IF(J320&gt;=INDEX(球季參數!$E$2:$E$4,MATCH($A320,球季參數!$A$2:$A$4,0)),1,0)</f>
        <v>0</v>
      </c>
    </row>
    <row r="321" customFormat="false" ht="15" hidden="false" customHeight="false" outlineLevel="0" collapsed="false">
      <c r="A321" s="5" t="n">
        <v>2025</v>
      </c>
      <c r="B321" s="7" t="s">
        <v>813</v>
      </c>
      <c r="C321" s="10" t="str">
        <f aca="false">INDEX(球員主檔!$B$2:$B$749,MATCH($B321,球員主檔!$A$2:$A$749,0))</f>
        <v>Marcus Delacroix</v>
      </c>
      <c r="D321" s="7" t="s">
        <v>346</v>
      </c>
      <c r="E321" s="10" t="str">
        <f aca="false">INDEX(球隊主檔!$C$2:$C$31,MATCH($D321,球隊主檔!$A$2:$A$31,0))</f>
        <v>波士頓紅襪</v>
      </c>
      <c r="F321" s="10" t="str">
        <f aca="false">INDEX(球隊主檔!$D$2:$D$31,MATCH($D321,球隊主檔!$A$2:$A$31,0))</f>
        <v>美聯</v>
      </c>
      <c r="G321" s="7" t="s">
        <v>63</v>
      </c>
      <c r="H321" s="11" t="n">
        <f aca="false">INT((DATE($A321,7,1)-INDEX(球員主檔!$G$2:$G$749,MATCH($B321,球員主檔!$A$2:$A$749,0)))/365.25)</f>
        <v>28</v>
      </c>
      <c r="I321" s="12" t="n">
        <v>43</v>
      </c>
      <c r="J321" s="12" t="n">
        <v>184</v>
      </c>
      <c r="K321" s="12" t="n">
        <v>165</v>
      </c>
      <c r="L321" s="12" t="n">
        <v>15</v>
      </c>
      <c r="M321" s="12" t="n">
        <v>34</v>
      </c>
      <c r="N321" s="12" t="n">
        <v>14</v>
      </c>
      <c r="O321" s="12" t="n">
        <v>3</v>
      </c>
      <c r="P321" s="12" t="n">
        <v>2</v>
      </c>
      <c r="Q321" s="12" t="n">
        <v>12</v>
      </c>
      <c r="R321" s="12" t="n">
        <v>15</v>
      </c>
      <c r="S321" s="12" t="n">
        <v>59</v>
      </c>
      <c r="T321" s="12" t="n">
        <v>3</v>
      </c>
      <c r="U321" s="12" t="n">
        <v>1</v>
      </c>
      <c r="V321" s="12" t="n">
        <v>5</v>
      </c>
      <c r="W321" s="12" t="n">
        <v>2</v>
      </c>
      <c r="X321" s="13" t="n">
        <f aca="false">M321+N321+2*O321+3*P321</f>
        <v>60</v>
      </c>
      <c r="Y321" s="14" t="n">
        <f aca="false">IF(K321=0,0,M321/K321)</f>
        <v>0.206060606060606</v>
      </c>
      <c r="Z321" s="14" t="n">
        <f aca="false">IF(K321+R321+T321+U321=0,0,(M321+R321+T321)/(K321+R321+T321+U321))</f>
        <v>0.282608695652174</v>
      </c>
      <c r="AA321" s="14" t="n">
        <f aca="false">IF(K321=0,0,X321/K321)</f>
        <v>0.363636363636364</v>
      </c>
      <c r="AB321" s="14" t="n">
        <f aca="false">Z321+AA321</f>
        <v>0.646245059288538</v>
      </c>
      <c r="AC321" s="14" t="n">
        <f aca="false">AA321-Y321</f>
        <v>0.157575757575758</v>
      </c>
      <c r="AD321" s="14" t="n">
        <f aca="false">IF(K321-S321-P321+U321=0,0,(M321-P321)/(K321-S321-P321+U321))</f>
        <v>0.304761904761905</v>
      </c>
      <c r="AE321" s="15" t="n">
        <f aca="false">IF(J321=0,0,R321/J321)</f>
        <v>0.0815217391304348</v>
      </c>
      <c r="AF321" s="15" t="n">
        <f aca="false">IF(J321=0,0,S321/J321)</f>
        <v>0.320652173913043</v>
      </c>
      <c r="AG321" s="11" t="n">
        <f aca="false">IF(J321&gt;=INDEX(球季參數!$E$2:$E$4,MATCH($A321,球季參數!$A$2:$A$4,0)),1,0)</f>
        <v>0</v>
      </c>
    </row>
    <row r="322" customFormat="false" ht="15" hidden="false" customHeight="false" outlineLevel="0" collapsed="false">
      <c r="A322" s="5" t="n">
        <v>2025</v>
      </c>
      <c r="B322" s="7" t="s">
        <v>1683</v>
      </c>
      <c r="C322" s="10" t="str">
        <f aca="false">INDEX(球員主檔!$B$2:$B$749,MATCH($B322,球員主檔!$A$2:$A$749,0))</f>
        <v>Konrad Jaramillo</v>
      </c>
      <c r="D322" s="7" t="s">
        <v>350</v>
      </c>
      <c r="E322" s="10" t="str">
        <f aca="false">INDEX(球隊主檔!$C$2:$C$31,MATCH($D322,球隊主檔!$A$2:$A$31,0))</f>
        <v>紐約洋基</v>
      </c>
      <c r="F322" s="10" t="str">
        <f aca="false">INDEX(球隊主檔!$D$2:$D$31,MATCH($D322,球隊主檔!$A$2:$A$31,0))</f>
        <v>美聯</v>
      </c>
      <c r="G322" s="7" t="s">
        <v>473</v>
      </c>
      <c r="H322" s="11" t="n">
        <f aca="false">INT((DATE($A322,7,1)-INDEX(球員主檔!$G$2:$G$749,MATCH($B322,球員主檔!$A$2:$A$749,0)))/365.25)</f>
        <v>23</v>
      </c>
      <c r="I322" s="12" t="n">
        <v>133</v>
      </c>
      <c r="J322" s="12" t="n">
        <v>578</v>
      </c>
      <c r="K322" s="12" t="n">
        <v>528</v>
      </c>
      <c r="L322" s="12" t="n">
        <v>77</v>
      </c>
      <c r="M322" s="12" t="n">
        <v>112</v>
      </c>
      <c r="N322" s="12" t="n">
        <v>31</v>
      </c>
      <c r="O322" s="12" t="n">
        <v>5</v>
      </c>
      <c r="P322" s="12" t="n">
        <v>32</v>
      </c>
      <c r="Q322" s="12" t="n">
        <v>86</v>
      </c>
      <c r="R322" s="12" t="n">
        <v>43</v>
      </c>
      <c r="S322" s="12" t="n">
        <v>146</v>
      </c>
      <c r="T322" s="12" t="n">
        <v>1</v>
      </c>
      <c r="U322" s="12" t="n">
        <v>6</v>
      </c>
      <c r="V322" s="12" t="n">
        <v>8</v>
      </c>
      <c r="W322" s="12" t="n">
        <v>1</v>
      </c>
      <c r="X322" s="13" t="n">
        <f aca="false">M322+N322+2*O322+3*P322</f>
        <v>249</v>
      </c>
      <c r="Y322" s="14" t="n">
        <f aca="false">IF(K322=0,0,M322/K322)</f>
        <v>0.212121212121212</v>
      </c>
      <c r="Z322" s="14" t="n">
        <f aca="false">IF(K322+R322+T322+U322=0,0,(M322+R322+T322)/(K322+R322+T322+U322))</f>
        <v>0.269896193771626</v>
      </c>
      <c r="AA322" s="14" t="n">
        <f aca="false">IF(K322=0,0,X322/K322)</f>
        <v>0.471590909090909</v>
      </c>
      <c r="AB322" s="14" t="n">
        <f aca="false">Z322+AA322</f>
        <v>0.741487102862535</v>
      </c>
      <c r="AC322" s="14" t="n">
        <f aca="false">AA322-Y322</f>
        <v>0.259469696969697</v>
      </c>
      <c r="AD322" s="14" t="n">
        <f aca="false">IF(K322-S322-P322+U322=0,0,(M322-P322)/(K322-S322-P322+U322))</f>
        <v>0.224719101123596</v>
      </c>
      <c r="AE322" s="15" t="n">
        <f aca="false">IF(J322=0,0,R322/J322)</f>
        <v>0.0743944636678201</v>
      </c>
      <c r="AF322" s="15" t="n">
        <f aca="false">IF(J322=0,0,S322/J322)</f>
        <v>0.252595155709343</v>
      </c>
      <c r="AG322" s="11" t="n">
        <f aca="false">IF(J322&gt;=INDEX(球季參數!$E$2:$E$4,MATCH($A322,球季參數!$A$2:$A$4,0)),1,0)</f>
        <v>1</v>
      </c>
    </row>
    <row r="323" customFormat="false" ht="15" hidden="false" customHeight="false" outlineLevel="0" collapsed="false">
      <c r="A323" s="5" t="n">
        <v>2025</v>
      </c>
      <c r="B323" s="7" t="s">
        <v>1597</v>
      </c>
      <c r="C323" s="10" t="str">
        <f aca="false">INDEX(球員主檔!$B$2:$B$749,MATCH($B323,球員主檔!$A$2:$A$749,0))</f>
        <v>Quentin Brightwell</v>
      </c>
      <c r="D323" s="7" t="s">
        <v>350</v>
      </c>
      <c r="E323" s="10" t="str">
        <f aca="false">INDEX(球隊主檔!$C$2:$C$31,MATCH($D323,球隊主檔!$A$2:$A$31,0))</f>
        <v>紐約洋基</v>
      </c>
      <c r="F323" s="10" t="str">
        <f aca="false">INDEX(球隊主檔!$D$2:$D$31,MATCH($D323,球隊主檔!$A$2:$A$31,0))</f>
        <v>美聯</v>
      </c>
      <c r="G323" s="7" t="s">
        <v>486</v>
      </c>
      <c r="H323" s="11" t="n">
        <f aca="false">INT((DATE($A323,7,1)-INDEX(球員主檔!$G$2:$G$749,MATCH($B323,球員主檔!$A$2:$A$749,0)))/365.25)</f>
        <v>30</v>
      </c>
      <c r="I323" s="12" t="n">
        <v>152</v>
      </c>
      <c r="J323" s="12" t="n">
        <v>630</v>
      </c>
      <c r="K323" s="12" t="n">
        <v>564</v>
      </c>
      <c r="L323" s="12" t="n">
        <v>94</v>
      </c>
      <c r="M323" s="12" t="n">
        <v>171</v>
      </c>
      <c r="N323" s="12" t="n">
        <v>20</v>
      </c>
      <c r="O323" s="12" t="n">
        <v>7</v>
      </c>
      <c r="P323" s="12" t="n">
        <v>26</v>
      </c>
      <c r="Q323" s="12" t="n">
        <v>107</v>
      </c>
      <c r="R323" s="12" t="n">
        <v>51</v>
      </c>
      <c r="S323" s="12" t="n">
        <v>107</v>
      </c>
      <c r="T323" s="12" t="n">
        <v>12</v>
      </c>
      <c r="U323" s="12" t="n">
        <v>3</v>
      </c>
      <c r="V323" s="12" t="n">
        <v>4</v>
      </c>
      <c r="W323" s="12" t="n">
        <v>1</v>
      </c>
      <c r="X323" s="13" t="n">
        <f aca="false">M323+N323+2*O323+3*P323</f>
        <v>283</v>
      </c>
      <c r="Y323" s="14" t="n">
        <f aca="false">IF(K323=0,0,M323/K323)</f>
        <v>0.303191489361702</v>
      </c>
      <c r="Z323" s="14" t="n">
        <f aca="false">IF(K323+R323+T323+U323=0,0,(M323+R323+T323)/(K323+R323+T323+U323))</f>
        <v>0.371428571428571</v>
      </c>
      <c r="AA323" s="14" t="n">
        <f aca="false">IF(K323=0,0,X323/K323)</f>
        <v>0.50177304964539</v>
      </c>
      <c r="AB323" s="14" t="n">
        <f aca="false">Z323+AA323</f>
        <v>0.873201621073962</v>
      </c>
      <c r="AC323" s="14" t="n">
        <f aca="false">AA323-Y323</f>
        <v>0.198581560283688</v>
      </c>
      <c r="AD323" s="14" t="n">
        <f aca="false">IF(K323-S323-P323+U323=0,0,(M323-P323)/(K323-S323-P323+U323))</f>
        <v>0.334101382488479</v>
      </c>
      <c r="AE323" s="15" t="n">
        <f aca="false">IF(J323=0,0,R323/J323)</f>
        <v>0.080952380952381</v>
      </c>
      <c r="AF323" s="15" t="n">
        <f aca="false">IF(J323=0,0,S323/J323)</f>
        <v>0.16984126984127</v>
      </c>
      <c r="AG323" s="11" t="n">
        <f aca="false">IF(J323&gt;=INDEX(球季參數!$E$2:$E$4,MATCH($A323,球季參數!$A$2:$A$4,0)),1,0)</f>
        <v>1</v>
      </c>
    </row>
    <row r="324" customFormat="false" ht="15" hidden="false" customHeight="false" outlineLevel="0" collapsed="false">
      <c r="A324" s="5" t="n">
        <v>2025</v>
      </c>
      <c r="B324" s="7" t="s">
        <v>1685</v>
      </c>
      <c r="C324" s="10" t="str">
        <f aca="false">INDEX(球員主檔!$B$2:$B$749,MATCH($B324,球員主檔!$A$2:$A$749,0))</f>
        <v>Isaias Marchetti</v>
      </c>
      <c r="D324" s="7" t="s">
        <v>350</v>
      </c>
      <c r="E324" s="10" t="str">
        <f aca="false">INDEX(球隊主檔!$C$2:$C$31,MATCH($D324,球隊主檔!$A$2:$A$31,0))</f>
        <v>紐約洋基</v>
      </c>
      <c r="F324" s="10" t="str">
        <f aca="false">INDEX(球隊主檔!$D$2:$D$31,MATCH($D324,球隊主檔!$A$2:$A$31,0))</f>
        <v>美聯</v>
      </c>
      <c r="G324" s="7" t="s">
        <v>63</v>
      </c>
      <c r="H324" s="11" t="n">
        <f aca="false">INT((DATE($A324,7,1)-INDEX(球員主檔!$G$2:$G$749,MATCH($B324,球員主檔!$A$2:$A$749,0)))/365.25)</f>
        <v>22</v>
      </c>
      <c r="I324" s="12" t="n">
        <v>130</v>
      </c>
      <c r="J324" s="12" t="n">
        <v>578</v>
      </c>
      <c r="K324" s="12" t="n">
        <v>511</v>
      </c>
      <c r="L324" s="12" t="n">
        <v>84</v>
      </c>
      <c r="M324" s="12" t="n">
        <v>140</v>
      </c>
      <c r="N324" s="12" t="n">
        <v>27</v>
      </c>
      <c r="O324" s="12" t="n">
        <v>7</v>
      </c>
      <c r="P324" s="12" t="n">
        <v>24</v>
      </c>
      <c r="Q324" s="12" t="n">
        <v>85</v>
      </c>
      <c r="R324" s="12" t="n">
        <v>50</v>
      </c>
      <c r="S324" s="12" t="n">
        <v>49</v>
      </c>
      <c r="T324" s="12" t="n">
        <v>12</v>
      </c>
      <c r="U324" s="12" t="n">
        <v>5</v>
      </c>
      <c r="V324" s="12" t="n">
        <v>5</v>
      </c>
      <c r="W324" s="12" t="n">
        <v>2</v>
      </c>
      <c r="X324" s="13" t="n">
        <f aca="false">M324+N324+2*O324+3*P324</f>
        <v>253</v>
      </c>
      <c r="Y324" s="14" t="n">
        <f aca="false">IF(K324=0,0,M324/K324)</f>
        <v>0.273972602739726</v>
      </c>
      <c r="Z324" s="14" t="n">
        <f aca="false">IF(K324+R324+T324+U324=0,0,(M324+R324+T324)/(K324+R324+T324+U324))</f>
        <v>0.349480968858132</v>
      </c>
      <c r="AA324" s="14" t="n">
        <f aca="false">IF(K324=0,0,X324/K324)</f>
        <v>0.495107632093933</v>
      </c>
      <c r="AB324" s="14" t="n">
        <f aca="false">Z324+AA324</f>
        <v>0.844588600952065</v>
      </c>
      <c r="AC324" s="14" t="n">
        <f aca="false">AA324-Y324</f>
        <v>0.221135029354207</v>
      </c>
      <c r="AD324" s="14" t="n">
        <f aca="false">IF(K324-S324-P324+U324=0,0,(M324-P324)/(K324-S324-P324+U324))</f>
        <v>0.261851015801354</v>
      </c>
      <c r="AE324" s="15" t="n">
        <f aca="false">IF(J324=0,0,R324/J324)</f>
        <v>0.0865051903114187</v>
      </c>
      <c r="AF324" s="15" t="n">
        <f aca="false">IF(J324=0,0,S324/J324)</f>
        <v>0.0847750865051903</v>
      </c>
      <c r="AG324" s="11" t="n">
        <f aca="false">IF(J324&gt;=INDEX(球季參數!$E$2:$E$4,MATCH($A324,球季參數!$A$2:$A$4,0)),1,0)</f>
        <v>1</v>
      </c>
    </row>
    <row r="325" customFormat="false" ht="15" hidden="false" customHeight="false" outlineLevel="0" collapsed="false">
      <c r="A325" s="5" t="n">
        <v>2025</v>
      </c>
      <c r="B325" s="7" t="s">
        <v>563</v>
      </c>
      <c r="C325" s="10" t="str">
        <f aca="false">INDEX(球員主檔!$B$2:$B$749,MATCH($B325,球員主檔!$A$2:$A$749,0))</f>
        <v>Percival Larrabee</v>
      </c>
      <c r="D325" s="7" t="s">
        <v>350</v>
      </c>
      <c r="E325" s="10" t="str">
        <f aca="false">INDEX(球隊主檔!$C$2:$C$31,MATCH($D325,球隊主檔!$A$2:$A$31,0))</f>
        <v>紐約洋基</v>
      </c>
      <c r="F325" s="10" t="str">
        <f aca="false">INDEX(球隊主檔!$D$2:$D$31,MATCH($D325,球隊主檔!$A$2:$A$31,0))</f>
        <v>美聯</v>
      </c>
      <c r="G325" s="7" t="s">
        <v>158</v>
      </c>
      <c r="H325" s="11" t="n">
        <f aca="false">INT((DATE($A325,7,1)-INDEX(球員主檔!$G$2:$G$749,MATCH($B325,球員主檔!$A$2:$A$749,0)))/365.25)</f>
        <v>32</v>
      </c>
      <c r="I325" s="12" t="n">
        <v>162</v>
      </c>
      <c r="J325" s="12" t="n">
        <v>695</v>
      </c>
      <c r="K325" s="12" t="n">
        <v>640</v>
      </c>
      <c r="L325" s="12" t="n">
        <v>74</v>
      </c>
      <c r="M325" s="12" t="n">
        <v>133</v>
      </c>
      <c r="N325" s="12" t="n">
        <v>20</v>
      </c>
      <c r="O325" s="12" t="n">
        <v>10</v>
      </c>
      <c r="P325" s="12" t="n">
        <v>24</v>
      </c>
      <c r="Q325" s="12" t="n">
        <v>78</v>
      </c>
      <c r="R325" s="12" t="n">
        <v>43</v>
      </c>
      <c r="S325" s="12" t="n">
        <v>133</v>
      </c>
      <c r="T325" s="12" t="n">
        <v>10</v>
      </c>
      <c r="U325" s="12" t="n">
        <v>2</v>
      </c>
      <c r="V325" s="12" t="n">
        <v>6</v>
      </c>
      <c r="W325" s="12" t="n">
        <v>2</v>
      </c>
      <c r="X325" s="13" t="n">
        <f aca="false">M325+N325+2*O325+3*P325</f>
        <v>245</v>
      </c>
      <c r="Y325" s="14" t="n">
        <f aca="false">IF(K325=0,0,M325/K325)</f>
        <v>0.2078125</v>
      </c>
      <c r="Z325" s="14" t="n">
        <f aca="false">IF(K325+R325+T325+U325=0,0,(M325+R325+T325)/(K325+R325+T325+U325))</f>
        <v>0.267625899280576</v>
      </c>
      <c r="AA325" s="14" t="n">
        <f aca="false">IF(K325=0,0,X325/K325)</f>
        <v>0.3828125</v>
      </c>
      <c r="AB325" s="14" t="n">
        <f aca="false">Z325+AA325</f>
        <v>0.650438399280576</v>
      </c>
      <c r="AC325" s="14" t="n">
        <f aca="false">AA325-Y325</f>
        <v>0.175</v>
      </c>
      <c r="AD325" s="14" t="n">
        <f aca="false">IF(K325-S325-P325+U325=0,0,(M325-P325)/(K325-S325-P325+U325))</f>
        <v>0.224742268041237</v>
      </c>
      <c r="AE325" s="15" t="n">
        <f aca="false">IF(J325=0,0,R325/J325)</f>
        <v>0.0618705035971223</v>
      </c>
      <c r="AF325" s="15" t="n">
        <f aca="false">IF(J325=0,0,S325/J325)</f>
        <v>0.19136690647482</v>
      </c>
      <c r="AG325" s="11" t="n">
        <f aca="false">IF(J325&gt;=INDEX(球季參數!$E$2:$E$4,MATCH($A325,球季參數!$A$2:$A$4,0)),1,0)</f>
        <v>1</v>
      </c>
    </row>
    <row r="326" customFormat="false" ht="15" hidden="false" customHeight="false" outlineLevel="0" collapsed="false">
      <c r="A326" s="5" t="n">
        <v>2025</v>
      </c>
      <c r="B326" s="7" t="s">
        <v>565</v>
      </c>
      <c r="C326" s="10" t="str">
        <f aca="false">INDEX(球員主檔!$B$2:$B$749,MATCH($B326,球員主檔!$A$2:$A$749,0))</f>
        <v>Porter Blackwood</v>
      </c>
      <c r="D326" s="7" t="s">
        <v>350</v>
      </c>
      <c r="E326" s="10" t="str">
        <f aca="false">INDEX(球隊主檔!$C$2:$C$31,MATCH($D326,球隊主檔!$A$2:$A$31,0))</f>
        <v>紐約洋基</v>
      </c>
      <c r="F326" s="10" t="str">
        <f aca="false">INDEX(球隊主檔!$D$2:$D$31,MATCH($D326,球隊主檔!$A$2:$A$31,0))</f>
        <v>美聯</v>
      </c>
      <c r="G326" s="7" t="s">
        <v>473</v>
      </c>
      <c r="H326" s="11" t="n">
        <f aca="false">INT((DATE($A326,7,1)-INDEX(球員主檔!$G$2:$G$749,MATCH($B326,球員主檔!$A$2:$A$749,0)))/365.25)</f>
        <v>30</v>
      </c>
      <c r="I326" s="12" t="n">
        <v>161</v>
      </c>
      <c r="J326" s="12" t="n">
        <v>638</v>
      </c>
      <c r="K326" s="12" t="n">
        <v>575</v>
      </c>
      <c r="L326" s="12" t="n">
        <v>83</v>
      </c>
      <c r="M326" s="12" t="n">
        <v>153</v>
      </c>
      <c r="N326" s="12" t="n">
        <v>31</v>
      </c>
      <c r="O326" s="12" t="n">
        <v>3</v>
      </c>
      <c r="P326" s="12" t="n">
        <v>26</v>
      </c>
      <c r="Q326" s="12" t="n">
        <v>96</v>
      </c>
      <c r="R326" s="12" t="n">
        <v>50</v>
      </c>
      <c r="S326" s="12" t="n">
        <v>157</v>
      </c>
      <c r="T326" s="12" t="n">
        <v>9</v>
      </c>
      <c r="U326" s="12" t="n">
        <v>4</v>
      </c>
      <c r="V326" s="12" t="n">
        <v>1</v>
      </c>
      <c r="W326" s="12" t="n">
        <v>0</v>
      </c>
      <c r="X326" s="13" t="n">
        <f aca="false">M326+N326+2*O326+3*P326</f>
        <v>268</v>
      </c>
      <c r="Y326" s="14" t="n">
        <f aca="false">IF(K326=0,0,M326/K326)</f>
        <v>0.266086956521739</v>
      </c>
      <c r="Z326" s="14" t="n">
        <f aca="false">IF(K326+R326+T326+U326=0,0,(M326+R326+T326)/(K326+R326+T326+U326))</f>
        <v>0.332288401253919</v>
      </c>
      <c r="AA326" s="14" t="n">
        <f aca="false">IF(K326=0,0,X326/K326)</f>
        <v>0.466086956521739</v>
      </c>
      <c r="AB326" s="14" t="n">
        <f aca="false">Z326+AA326</f>
        <v>0.798375357775658</v>
      </c>
      <c r="AC326" s="14" t="n">
        <f aca="false">AA326-Y326</f>
        <v>0.2</v>
      </c>
      <c r="AD326" s="14" t="n">
        <f aca="false">IF(K326-S326-P326+U326=0,0,(M326-P326)/(K326-S326-P326+U326))</f>
        <v>0.320707070707071</v>
      </c>
      <c r="AE326" s="15" t="n">
        <f aca="false">IF(J326=0,0,R326/J326)</f>
        <v>0.0783699059561129</v>
      </c>
      <c r="AF326" s="15" t="n">
        <f aca="false">IF(J326=0,0,S326/J326)</f>
        <v>0.246081504702194</v>
      </c>
      <c r="AG326" s="11" t="n">
        <f aca="false">IF(J326&gt;=INDEX(球季參數!$E$2:$E$4,MATCH($A326,球季參數!$A$2:$A$4,0)),1,0)</f>
        <v>1</v>
      </c>
    </row>
    <row r="327" customFormat="false" ht="15" hidden="false" customHeight="false" outlineLevel="0" collapsed="false">
      <c r="A327" s="5" t="n">
        <v>2025</v>
      </c>
      <c r="B327" s="7" t="s">
        <v>567</v>
      </c>
      <c r="C327" s="10" t="str">
        <f aca="false">INDEX(球員主檔!$B$2:$B$749,MATCH($B327,球員主檔!$A$2:$A$749,0))</f>
        <v>Tristan Blackwood</v>
      </c>
      <c r="D327" s="7" t="s">
        <v>350</v>
      </c>
      <c r="E327" s="10" t="str">
        <f aca="false">INDEX(球隊主檔!$C$2:$C$31,MATCH($D327,球隊主檔!$A$2:$A$31,0))</f>
        <v>紐約洋基</v>
      </c>
      <c r="F327" s="10" t="str">
        <f aca="false">INDEX(球隊主檔!$D$2:$D$31,MATCH($D327,球隊主檔!$A$2:$A$31,0))</f>
        <v>美聯</v>
      </c>
      <c r="G327" s="7" t="s">
        <v>162</v>
      </c>
      <c r="H327" s="11" t="n">
        <f aca="false">INT((DATE($A327,7,1)-INDEX(球員主檔!$G$2:$G$749,MATCH($B327,球員主檔!$A$2:$A$749,0)))/365.25)</f>
        <v>26</v>
      </c>
      <c r="I327" s="12" t="n">
        <v>127</v>
      </c>
      <c r="J327" s="12" t="n">
        <v>499</v>
      </c>
      <c r="K327" s="12" t="n">
        <v>464</v>
      </c>
      <c r="L327" s="12" t="n">
        <v>62</v>
      </c>
      <c r="M327" s="12" t="n">
        <v>122</v>
      </c>
      <c r="N327" s="12" t="n">
        <v>26</v>
      </c>
      <c r="O327" s="12" t="n">
        <v>6</v>
      </c>
      <c r="P327" s="12" t="n">
        <v>16</v>
      </c>
      <c r="Q327" s="12" t="n">
        <v>61</v>
      </c>
      <c r="R327" s="12" t="n">
        <v>23</v>
      </c>
      <c r="S327" s="12" t="n">
        <v>141</v>
      </c>
      <c r="T327" s="12" t="n">
        <v>6</v>
      </c>
      <c r="U327" s="12" t="n">
        <v>6</v>
      </c>
      <c r="V327" s="12" t="n">
        <v>5</v>
      </c>
      <c r="W327" s="12" t="n">
        <v>1</v>
      </c>
      <c r="X327" s="13" t="n">
        <f aca="false">M327+N327+2*O327+3*P327</f>
        <v>208</v>
      </c>
      <c r="Y327" s="14" t="n">
        <f aca="false">IF(K327=0,0,M327/K327)</f>
        <v>0.262931034482759</v>
      </c>
      <c r="Z327" s="14" t="n">
        <f aca="false">IF(K327+R327+T327+U327=0,0,(M327+R327+T327)/(K327+R327+T327+U327))</f>
        <v>0.302605210420842</v>
      </c>
      <c r="AA327" s="14" t="n">
        <f aca="false">IF(K327=0,0,X327/K327)</f>
        <v>0.448275862068966</v>
      </c>
      <c r="AB327" s="14" t="n">
        <f aca="false">Z327+AA327</f>
        <v>0.750881072489807</v>
      </c>
      <c r="AC327" s="14" t="n">
        <f aca="false">AA327-Y327</f>
        <v>0.185344827586207</v>
      </c>
      <c r="AD327" s="14" t="n">
        <f aca="false">IF(K327-S327-P327+U327=0,0,(M327-P327)/(K327-S327-P327+U327))</f>
        <v>0.338658146964856</v>
      </c>
      <c r="AE327" s="15" t="n">
        <f aca="false">IF(J327=0,0,R327/J327)</f>
        <v>0.0460921843687375</v>
      </c>
      <c r="AF327" s="15" t="n">
        <f aca="false">IF(J327=0,0,S327/J327)</f>
        <v>0.282565130260521</v>
      </c>
      <c r="AG327" s="11" t="n">
        <f aca="false">IF(J327&gt;=INDEX(球季參數!$E$2:$E$4,MATCH($A327,球季參數!$A$2:$A$4,0)),1,0)</f>
        <v>0</v>
      </c>
    </row>
    <row r="328" customFormat="false" ht="15" hidden="false" customHeight="false" outlineLevel="0" collapsed="false">
      <c r="A328" s="5" t="n">
        <v>2025</v>
      </c>
      <c r="B328" s="7" t="s">
        <v>569</v>
      </c>
      <c r="C328" s="10" t="str">
        <f aca="false">INDEX(球員主檔!$B$2:$B$749,MATCH($B328,球員主檔!$A$2:$A$749,0))</f>
        <v>Holden Delacroix</v>
      </c>
      <c r="D328" s="7" t="s">
        <v>350</v>
      </c>
      <c r="E328" s="10" t="str">
        <f aca="false">INDEX(球隊主檔!$C$2:$C$31,MATCH($D328,球隊主檔!$A$2:$A$31,0))</f>
        <v>紐約洋基</v>
      </c>
      <c r="F328" s="10" t="str">
        <f aca="false">INDEX(球隊主檔!$D$2:$D$31,MATCH($D328,球隊主檔!$A$2:$A$31,0))</f>
        <v>美聯</v>
      </c>
      <c r="G328" s="7" t="s">
        <v>473</v>
      </c>
      <c r="H328" s="11" t="n">
        <f aca="false">INT((DATE($A328,7,1)-INDEX(球員主檔!$G$2:$G$749,MATCH($B328,球員主檔!$A$2:$A$749,0)))/365.25)</f>
        <v>27</v>
      </c>
      <c r="I328" s="12" t="n">
        <v>123</v>
      </c>
      <c r="J328" s="12" t="n">
        <v>506</v>
      </c>
      <c r="K328" s="12" t="n">
        <v>423</v>
      </c>
      <c r="L328" s="12" t="n">
        <v>67</v>
      </c>
      <c r="M328" s="12" t="n">
        <v>110</v>
      </c>
      <c r="N328" s="12" t="n">
        <v>27</v>
      </c>
      <c r="O328" s="12" t="n">
        <v>6</v>
      </c>
      <c r="P328" s="12" t="n">
        <v>22</v>
      </c>
      <c r="Q328" s="12" t="n">
        <v>73</v>
      </c>
      <c r="R328" s="12" t="n">
        <v>80</v>
      </c>
      <c r="S328" s="12" t="n">
        <v>168</v>
      </c>
      <c r="T328" s="12" t="n">
        <v>2</v>
      </c>
      <c r="U328" s="12" t="n">
        <v>1</v>
      </c>
      <c r="V328" s="12" t="n">
        <v>7</v>
      </c>
      <c r="W328" s="12" t="n">
        <v>2</v>
      </c>
      <c r="X328" s="13" t="n">
        <f aca="false">M328+N328+2*O328+3*P328</f>
        <v>215</v>
      </c>
      <c r="Y328" s="14" t="n">
        <f aca="false">IF(K328=0,0,M328/K328)</f>
        <v>0.260047281323877</v>
      </c>
      <c r="Z328" s="14" t="n">
        <f aca="false">IF(K328+R328+T328+U328=0,0,(M328+R328+T328)/(K328+R328+T328+U328))</f>
        <v>0.379446640316206</v>
      </c>
      <c r="AA328" s="14" t="n">
        <f aca="false">IF(K328=0,0,X328/K328)</f>
        <v>0.508274231678487</v>
      </c>
      <c r="AB328" s="14" t="n">
        <f aca="false">Z328+AA328</f>
        <v>0.887720871994693</v>
      </c>
      <c r="AC328" s="14" t="n">
        <f aca="false">AA328-Y328</f>
        <v>0.24822695035461</v>
      </c>
      <c r="AD328" s="14" t="n">
        <f aca="false">IF(K328-S328-P328+U328=0,0,(M328-P328)/(K328-S328-P328+U328))</f>
        <v>0.376068376068376</v>
      </c>
      <c r="AE328" s="15" t="n">
        <f aca="false">IF(J328=0,0,R328/J328)</f>
        <v>0.158102766798419</v>
      </c>
      <c r="AF328" s="15" t="n">
        <f aca="false">IF(J328=0,0,S328/J328)</f>
        <v>0.33201581027668</v>
      </c>
      <c r="AG328" s="11" t="n">
        <f aca="false">IF(J328&gt;=INDEX(球季參數!$E$2:$E$4,MATCH($A328,球季參數!$A$2:$A$4,0)),1,0)</f>
        <v>1</v>
      </c>
    </row>
    <row r="329" customFormat="false" ht="15" hidden="false" customHeight="false" outlineLevel="0" collapsed="false">
      <c r="A329" s="5" t="n">
        <v>2025</v>
      </c>
      <c r="B329" s="7" t="s">
        <v>571</v>
      </c>
      <c r="C329" s="10" t="str">
        <f aca="false">INDEX(球員主檔!$B$2:$B$749,MATCH($B329,球員主檔!$A$2:$A$749,0))</f>
        <v>Thiago Nordstrom</v>
      </c>
      <c r="D329" s="7" t="s">
        <v>350</v>
      </c>
      <c r="E329" s="10" t="str">
        <f aca="false">INDEX(球隊主檔!$C$2:$C$31,MATCH($D329,球隊主檔!$A$2:$A$31,0))</f>
        <v>紐約洋基</v>
      </c>
      <c r="F329" s="10" t="str">
        <f aca="false">INDEX(球隊主檔!$D$2:$D$31,MATCH($D329,球隊主檔!$A$2:$A$31,0))</f>
        <v>美聯</v>
      </c>
      <c r="G329" s="7" t="s">
        <v>473</v>
      </c>
      <c r="H329" s="11" t="n">
        <f aca="false">INT((DATE($A329,7,1)-INDEX(球員主檔!$G$2:$G$749,MATCH($B329,球員主檔!$A$2:$A$749,0)))/365.25)</f>
        <v>30</v>
      </c>
      <c r="I329" s="12" t="n">
        <v>124</v>
      </c>
      <c r="J329" s="12" t="n">
        <v>484</v>
      </c>
      <c r="K329" s="12" t="n">
        <v>444</v>
      </c>
      <c r="L329" s="12" t="n">
        <v>46</v>
      </c>
      <c r="M329" s="12" t="n">
        <v>94</v>
      </c>
      <c r="N329" s="12" t="n">
        <v>26</v>
      </c>
      <c r="O329" s="12" t="n">
        <v>9</v>
      </c>
      <c r="P329" s="12" t="n">
        <v>13</v>
      </c>
      <c r="Q329" s="12" t="n">
        <v>44</v>
      </c>
      <c r="R329" s="12" t="n">
        <v>33</v>
      </c>
      <c r="S329" s="12" t="n">
        <v>112</v>
      </c>
      <c r="T329" s="12" t="n">
        <v>3</v>
      </c>
      <c r="U329" s="12" t="n">
        <v>4</v>
      </c>
      <c r="V329" s="12" t="n">
        <v>8</v>
      </c>
      <c r="W329" s="12" t="n">
        <v>3</v>
      </c>
      <c r="X329" s="13" t="n">
        <f aca="false">M329+N329+2*O329+3*P329</f>
        <v>177</v>
      </c>
      <c r="Y329" s="14" t="n">
        <f aca="false">IF(K329=0,0,M329/K329)</f>
        <v>0.211711711711712</v>
      </c>
      <c r="Z329" s="14" t="n">
        <f aca="false">IF(K329+R329+T329+U329=0,0,(M329+R329+T329)/(K329+R329+T329+U329))</f>
        <v>0.268595041322314</v>
      </c>
      <c r="AA329" s="14" t="n">
        <f aca="false">IF(K329=0,0,X329/K329)</f>
        <v>0.398648648648649</v>
      </c>
      <c r="AB329" s="14" t="n">
        <f aca="false">Z329+AA329</f>
        <v>0.667243689970963</v>
      </c>
      <c r="AC329" s="14" t="n">
        <f aca="false">AA329-Y329</f>
        <v>0.186936936936937</v>
      </c>
      <c r="AD329" s="14" t="n">
        <f aca="false">IF(K329-S329-P329+U329=0,0,(M329-P329)/(K329-S329-P329+U329))</f>
        <v>0.25077399380805</v>
      </c>
      <c r="AE329" s="15" t="n">
        <f aca="false">IF(J329=0,0,R329/J329)</f>
        <v>0.0681818181818182</v>
      </c>
      <c r="AF329" s="15" t="n">
        <f aca="false">IF(J329=0,0,S329/J329)</f>
        <v>0.231404958677686</v>
      </c>
      <c r="AG329" s="11" t="n">
        <f aca="false">IF(J329&gt;=INDEX(球季參數!$E$2:$E$4,MATCH($A329,球季參數!$A$2:$A$4,0)),1,0)</f>
        <v>0</v>
      </c>
    </row>
    <row r="330" customFormat="false" ht="15" hidden="false" customHeight="false" outlineLevel="0" collapsed="false">
      <c r="A330" s="5" t="n">
        <v>2025</v>
      </c>
      <c r="B330" s="7" t="s">
        <v>573</v>
      </c>
      <c r="C330" s="10" t="str">
        <f aca="false">INDEX(球員主檔!$B$2:$B$749,MATCH($B330,球員主檔!$A$2:$A$749,0))</f>
        <v>Dorian Blackwood</v>
      </c>
      <c r="D330" s="7" t="s">
        <v>350</v>
      </c>
      <c r="E330" s="10" t="str">
        <f aca="false">INDEX(球隊主檔!$C$2:$C$31,MATCH($D330,球隊主檔!$A$2:$A$31,0))</f>
        <v>紐約洋基</v>
      </c>
      <c r="F330" s="10" t="str">
        <f aca="false">INDEX(球隊主檔!$D$2:$D$31,MATCH($D330,球隊主檔!$A$2:$A$31,0))</f>
        <v>美聯</v>
      </c>
      <c r="G330" s="7" t="s">
        <v>473</v>
      </c>
      <c r="H330" s="11" t="n">
        <f aca="false">INT((DATE($A330,7,1)-INDEX(球員主檔!$G$2:$G$749,MATCH($B330,球員主檔!$A$2:$A$749,0)))/365.25)</f>
        <v>26</v>
      </c>
      <c r="I330" s="12" t="n">
        <v>69</v>
      </c>
      <c r="J330" s="12" t="n">
        <v>281</v>
      </c>
      <c r="K330" s="12" t="n">
        <v>251</v>
      </c>
      <c r="L330" s="12" t="n">
        <v>33</v>
      </c>
      <c r="M330" s="12" t="n">
        <v>56</v>
      </c>
      <c r="N330" s="12" t="n">
        <v>20</v>
      </c>
      <c r="O330" s="12" t="n">
        <v>4</v>
      </c>
      <c r="P330" s="12" t="n">
        <v>9</v>
      </c>
      <c r="Q330" s="12" t="n">
        <v>27</v>
      </c>
      <c r="R330" s="12" t="n">
        <v>26</v>
      </c>
      <c r="S330" s="12" t="n">
        <v>39</v>
      </c>
      <c r="T330" s="12" t="n">
        <v>2</v>
      </c>
      <c r="U330" s="12" t="n">
        <v>2</v>
      </c>
      <c r="V330" s="12" t="n">
        <v>7</v>
      </c>
      <c r="W330" s="12" t="n">
        <v>2</v>
      </c>
      <c r="X330" s="13" t="n">
        <f aca="false">M330+N330+2*O330+3*P330</f>
        <v>111</v>
      </c>
      <c r="Y330" s="14" t="n">
        <f aca="false">IF(K330=0,0,M330/K330)</f>
        <v>0.223107569721116</v>
      </c>
      <c r="Z330" s="14" t="n">
        <f aca="false">IF(K330+R330+T330+U330=0,0,(M330+R330+T330)/(K330+R330+T330+U330))</f>
        <v>0.298932384341637</v>
      </c>
      <c r="AA330" s="14" t="n">
        <f aca="false">IF(K330=0,0,X330/K330)</f>
        <v>0.442231075697211</v>
      </c>
      <c r="AB330" s="14" t="n">
        <f aca="false">Z330+AA330</f>
        <v>0.741163460038848</v>
      </c>
      <c r="AC330" s="14" t="n">
        <f aca="false">AA330-Y330</f>
        <v>0.219123505976096</v>
      </c>
      <c r="AD330" s="14" t="n">
        <f aca="false">IF(K330-S330-P330+U330=0,0,(M330-P330)/(K330-S330-P330+U330))</f>
        <v>0.229268292682927</v>
      </c>
      <c r="AE330" s="15" t="n">
        <f aca="false">IF(J330=0,0,R330/J330)</f>
        <v>0.0925266903914591</v>
      </c>
      <c r="AF330" s="15" t="n">
        <f aca="false">IF(J330=0,0,S330/J330)</f>
        <v>0.138790035587189</v>
      </c>
      <c r="AG330" s="11" t="n">
        <f aca="false">IF(J330&gt;=INDEX(球季參數!$E$2:$E$4,MATCH($A330,球季參數!$A$2:$A$4,0)),1,0)</f>
        <v>0</v>
      </c>
    </row>
    <row r="331" customFormat="false" ht="15" hidden="false" customHeight="false" outlineLevel="0" collapsed="false">
      <c r="A331" s="5" t="n">
        <v>2025</v>
      </c>
      <c r="B331" s="7" t="s">
        <v>575</v>
      </c>
      <c r="C331" s="10" t="str">
        <f aca="false">INDEX(球員主檔!$B$2:$B$749,MATCH($B331,球員主檔!$A$2:$A$749,0))</f>
        <v>Dashiell Nakagawa</v>
      </c>
      <c r="D331" s="7" t="s">
        <v>350</v>
      </c>
      <c r="E331" s="10" t="str">
        <f aca="false">INDEX(球隊主檔!$C$2:$C$31,MATCH($D331,球隊主檔!$A$2:$A$31,0))</f>
        <v>紐約洋基</v>
      </c>
      <c r="F331" s="10" t="str">
        <f aca="false">INDEX(球隊主檔!$D$2:$D$31,MATCH($D331,球隊主檔!$A$2:$A$31,0))</f>
        <v>美聯</v>
      </c>
      <c r="G331" s="7" t="s">
        <v>478</v>
      </c>
      <c r="H331" s="11" t="n">
        <f aca="false">INT((DATE($A331,7,1)-INDEX(球員主檔!$G$2:$G$749,MATCH($B331,球員主檔!$A$2:$A$749,0)))/365.25)</f>
        <v>31</v>
      </c>
      <c r="I331" s="12" t="n">
        <v>89</v>
      </c>
      <c r="J331" s="12" t="n">
        <v>348</v>
      </c>
      <c r="K331" s="12" t="n">
        <v>301</v>
      </c>
      <c r="L331" s="12" t="n">
        <v>46</v>
      </c>
      <c r="M331" s="12" t="n">
        <v>83</v>
      </c>
      <c r="N331" s="12" t="n">
        <v>23</v>
      </c>
      <c r="O331" s="12" t="n">
        <v>1</v>
      </c>
      <c r="P331" s="12" t="n">
        <v>14</v>
      </c>
      <c r="Q331" s="12" t="n">
        <v>51</v>
      </c>
      <c r="R331" s="12" t="n">
        <v>37</v>
      </c>
      <c r="S331" s="12" t="n">
        <v>66</v>
      </c>
      <c r="T331" s="12" t="n">
        <v>6</v>
      </c>
      <c r="U331" s="12" t="n">
        <v>4</v>
      </c>
      <c r="V331" s="12" t="n">
        <v>10</v>
      </c>
      <c r="W331" s="12" t="n">
        <v>1</v>
      </c>
      <c r="X331" s="13" t="n">
        <f aca="false">M331+N331+2*O331+3*P331</f>
        <v>150</v>
      </c>
      <c r="Y331" s="14" t="n">
        <f aca="false">IF(K331=0,0,M331/K331)</f>
        <v>0.275747508305648</v>
      </c>
      <c r="Z331" s="14" t="n">
        <f aca="false">IF(K331+R331+T331+U331=0,0,(M331+R331+T331)/(K331+R331+T331+U331))</f>
        <v>0.362068965517241</v>
      </c>
      <c r="AA331" s="14" t="n">
        <f aca="false">IF(K331=0,0,X331/K331)</f>
        <v>0.498338870431894</v>
      </c>
      <c r="AB331" s="14" t="n">
        <f aca="false">Z331+AA331</f>
        <v>0.860407835949135</v>
      </c>
      <c r="AC331" s="14" t="n">
        <f aca="false">AA331-Y331</f>
        <v>0.222591362126246</v>
      </c>
      <c r="AD331" s="14" t="n">
        <f aca="false">IF(K331-S331-P331+U331=0,0,(M331-P331)/(K331-S331-P331+U331))</f>
        <v>0.306666666666667</v>
      </c>
      <c r="AE331" s="15" t="n">
        <f aca="false">IF(J331=0,0,R331/J331)</f>
        <v>0.10632183908046</v>
      </c>
      <c r="AF331" s="15" t="n">
        <f aca="false">IF(J331=0,0,S331/J331)</f>
        <v>0.189655172413793</v>
      </c>
      <c r="AG331" s="11" t="n">
        <f aca="false">IF(J331&gt;=INDEX(球季參數!$E$2:$E$4,MATCH($A331,球季參數!$A$2:$A$4,0)),1,0)</f>
        <v>0</v>
      </c>
    </row>
    <row r="332" customFormat="false" ht="15" hidden="false" customHeight="false" outlineLevel="0" collapsed="false">
      <c r="A332" s="5" t="n">
        <v>2025</v>
      </c>
      <c r="B332" s="7" t="s">
        <v>597</v>
      </c>
      <c r="C332" s="10" t="str">
        <f aca="false">INDEX(球員主檔!$B$2:$B$749,MATCH($B332,球員主檔!$A$2:$A$749,0))</f>
        <v>Soren Vasquez</v>
      </c>
      <c r="D332" s="7" t="s">
        <v>354</v>
      </c>
      <c r="E332" s="10" t="str">
        <f aca="false">INDEX(球隊主檔!$C$2:$C$31,MATCH($D332,球隊主檔!$A$2:$A$31,0))</f>
        <v>坦帕灣光芒</v>
      </c>
      <c r="F332" s="10" t="str">
        <f aca="false">INDEX(球隊主檔!$D$2:$D$31,MATCH($D332,球隊主檔!$A$2:$A$31,0))</f>
        <v>美聯</v>
      </c>
      <c r="G332" s="7" t="s">
        <v>486</v>
      </c>
      <c r="H332" s="11" t="n">
        <f aca="false">INT((DATE($A332,7,1)-INDEX(球員主檔!$G$2:$G$749,MATCH($B332,球員主檔!$A$2:$A$749,0)))/365.25)</f>
        <v>31</v>
      </c>
      <c r="I332" s="12" t="n">
        <v>133</v>
      </c>
      <c r="J332" s="12" t="n">
        <v>594</v>
      </c>
      <c r="K332" s="12" t="n">
        <v>534</v>
      </c>
      <c r="L332" s="12" t="n">
        <v>71</v>
      </c>
      <c r="M332" s="12" t="n">
        <v>135</v>
      </c>
      <c r="N332" s="12" t="n">
        <v>29</v>
      </c>
      <c r="O332" s="12" t="n">
        <v>10</v>
      </c>
      <c r="P332" s="12" t="n">
        <v>14</v>
      </c>
      <c r="Q332" s="12" t="n">
        <v>62</v>
      </c>
      <c r="R332" s="12" t="n">
        <v>47</v>
      </c>
      <c r="S332" s="12" t="n">
        <v>90</v>
      </c>
      <c r="T332" s="12" t="n">
        <v>12</v>
      </c>
      <c r="U332" s="12" t="n">
        <v>1</v>
      </c>
      <c r="V332" s="12" t="n">
        <v>4</v>
      </c>
      <c r="W332" s="12" t="n">
        <v>1</v>
      </c>
      <c r="X332" s="13" t="n">
        <f aca="false">M332+N332+2*O332+3*P332</f>
        <v>226</v>
      </c>
      <c r="Y332" s="14" t="n">
        <f aca="false">IF(K332=0,0,M332/K332)</f>
        <v>0.252808988764045</v>
      </c>
      <c r="Z332" s="14" t="n">
        <f aca="false">IF(K332+R332+T332+U332=0,0,(M332+R332+T332)/(K332+R332+T332+U332))</f>
        <v>0.326599326599327</v>
      </c>
      <c r="AA332" s="14" t="n">
        <f aca="false">IF(K332=0,0,X332/K332)</f>
        <v>0.423220973782772</v>
      </c>
      <c r="AB332" s="14" t="n">
        <f aca="false">Z332+AA332</f>
        <v>0.749820300382098</v>
      </c>
      <c r="AC332" s="14" t="n">
        <f aca="false">AA332-Y332</f>
        <v>0.170411985018727</v>
      </c>
      <c r="AD332" s="14" t="n">
        <f aca="false">IF(K332-S332-P332+U332=0,0,(M332-P332)/(K332-S332-P332+U332))</f>
        <v>0.280742459396752</v>
      </c>
      <c r="AE332" s="15" t="n">
        <f aca="false">IF(J332=0,0,R332/J332)</f>
        <v>0.0791245791245791</v>
      </c>
      <c r="AF332" s="15" t="n">
        <f aca="false">IF(J332=0,0,S332/J332)</f>
        <v>0.151515151515152</v>
      </c>
      <c r="AG332" s="11" t="n">
        <f aca="false">IF(J332&gt;=INDEX(球季參數!$E$2:$E$4,MATCH($A332,球季參數!$A$2:$A$4,0)),1,0)</f>
        <v>1</v>
      </c>
    </row>
    <row r="333" customFormat="false" ht="15" hidden="false" customHeight="false" outlineLevel="0" collapsed="false">
      <c r="A333" s="5" t="n">
        <v>2025</v>
      </c>
      <c r="B333" s="7" t="s">
        <v>603</v>
      </c>
      <c r="C333" s="10" t="str">
        <f aca="false">INDEX(球員主檔!$B$2:$B$749,MATCH($B333,球員主檔!$A$2:$A$749,0))</f>
        <v>Vicente Yamazaki</v>
      </c>
      <c r="D333" s="7" t="s">
        <v>354</v>
      </c>
      <c r="E333" s="10" t="str">
        <f aca="false">INDEX(球隊主檔!$C$2:$C$31,MATCH($D333,球隊主檔!$A$2:$A$31,0))</f>
        <v>坦帕灣光芒</v>
      </c>
      <c r="F333" s="10" t="str">
        <f aca="false">INDEX(球隊主檔!$D$2:$D$31,MATCH($D333,球隊主檔!$A$2:$A$31,0))</f>
        <v>美聯</v>
      </c>
      <c r="G333" s="7" t="s">
        <v>63</v>
      </c>
      <c r="H333" s="11" t="n">
        <f aca="false">INT((DATE($A333,7,1)-INDEX(球員主檔!$G$2:$G$749,MATCH($B333,球員主檔!$A$2:$A$749,0)))/365.25)</f>
        <v>36</v>
      </c>
      <c r="I333" s="12" t="n">
        <v>161</v>
      </c>
      <c r="J333" s="12" t="n">
        <v>666</v>
      </c>
      <c r="K333" s="12" t="n">
        <v>623</v>
      </c>
      <c r="L333" s="12" t="n">
        <v>62</v>
      </c>
      <c r="M333" s="12" t="n">
        <v>133</v>
      </c>
      <c r="N333" s="12" t="n">
        <v>7</v>
      </c>
      <c r="O333" s="12" t="n">
        <v>5</v>
      </c>
      <c r="P333" s="12" t="n">
        <v>20</v>
      </c>
      <c r="Q333" s="12" t="n">
        <v>63</v>
      </c>
      <c r="R333" s="12" t="n">
        <v>26</v>
      </c>
      <c r="S333" s="12" t="n">
        <v>187</v>
      </c>
      <c r="T333" s="12" t="n">
        <v>14</v>
      </c>
      <c r="U333" s="12" t="n">
        <v>3</v>
      </c>
      <c r="V333" s="12" t="n">
        <v>29</v>
      </c>
      <c r="W333" s="12" t="n">
        <v>7</v>
      </c>
      <c r="X333" s="13" t="n">
        <f aca="false">M333+N333+2*O333+3*P333</f>
        <v>210</v>
      </c>
      <c r="Y333" s="14" t="n">
        <f aca="false">IF(K333=0,0,M333/K333)</f>
        <v>0.213483146067416</v>
      </c>
      <c r="Z333" s="14" t="n">
        <f aca="false">IF(K333+R333+T333+U333=0,0,(M333+R333+T333)/(K333+R333+T333+U333))</f>
        <v>0.25975975975976</v>
      </c>
      <c r="AA333" s="14" t="n">
        <f aca="false">IF(K333=0,0,X333/K333)</f>
        <v>0.337078651685393</v>
      </c>
      <c r="AB333" s="14" t="n">
        <f aca="false">Z333+AA333</f>
        <v>0.596838411445153</v>
      </c>
      <c r="AC333" s="14" t="n">
        <f aca="false">AA333-Y333</f>
        <v>0.123595505617978</v>
      </c>
      <c r="AD333" s="14" t="n">
        <f aca="false">IF(K333-S333-P333+U333=0,0,(M333-P333)/(K333-S333-P333+U333))</f>
        <v>0.269689737470167</v>
      </c>
      <c r="AE333" s="15" t="n">
        <f aca="false">IF(J333=0,0,R333/J333)</f>
        <v>0.039039039039039</v>
      </c>
      <c r="AF333" s="15" t="n">
        <f aca="false">IF(J333=0,0,S333/J333)</f>
        <v>0.280780780780781</v>
      </c>
      <c r="AG333" s="11" t="n">
        <f aca="false">IF(J333&gt;=INDEX(球季參數!$E$2:$E$4,MATCH($A333,球季參數!$A$2:$A$4,0)),1,0)</f>
        <v>1</v>
      </c>
    </row>
    <row r="334" customFormat="false" ht="15" hidden="false" customHeight="false" outlineLevel="0" collapsed="false">
      <c r="A334" s="5" t="n">
        <v>2025</v>
      </c>
      <c r="B334" s="7" t="s">
        <v>1687</v>
      </c>
      <c r="C334" s="10" t="str">
        <f aca="false">INDEX(球員主檔!$B$2:$B$749,MATCH($B334,球員主檔!$A$2:$A$749,0))</f>
        <v>Percival Yamazaki</v>
      </c>
      <c r="D334" s="7" t="s">
        <v>354</v>
      </c>
      <c r="E334" s="10" t="str">
        <f aca="false">INDEX(球隊主檔!$C$2:$C$31,MATCH($D334,球隊主檔!$A$2:$A$31,0))</f>
        <v>坦帕灣光芒</v>
      </c>
      <c r="F334" s="10" t="str">
        <f aca="false">INDEX(球隊主檔!$D$2:$D$31,MATCH($D334,球隊主檔!$A$2:$A$31,0))</f>
        <v>美聯</v>
      </c>
      <c r="G334" s="7" t="s">
        <v>478</v>
      </c>
      <c r="H334" s="11" t="n">
        <f aca="false">INT((DATE($A334,7,1)-INDEX(球員主檔!$G$2:$G$749,MATCH($B334,球員主檔!$A$2:$A$749,0)))/365.25)</f>
        <v>21</v>
      </c>
      <c r="I334" s="12" t="n">
        <v>148</v>
      </c>
      <c r="J334" s="12" t="n">
        <v>607</v>
      </c>
      <c r="K334" s="12" t="n">
        <v>524</v>
      </c>
      <c r="L334" s="12" t="n">
        <v>62</v>
      </c>
      <c r="M334" s="12" t="n">
        <v>139</v>
      </c>
      <c r="N334" s="12" t="n">
        <v>17</v>
      </c>
      <c r="O334" s="12" t="n">
        <v>9</v>
      </c>
      <c r="P334" s="12" t="n">
        <v>6</v>
      </c>
      <c r="Q334" s="12" t="n">
        <v>51</v>
      </c>
      <c r="R334" s="12" t="n">
        <v>66</v>
      </c>
      <c r="S334" s="12" t="n">
        <v>143</v>
      </c>
      <c r="T334" s="12" t="n">
        <v>12</v>
      </c>
      <c r="U334" s="12" t="n">
        <v>5</v>
      </c>
      <c r="V334" s="12" t="n">
        <v>9</v>
      </c>
      <c r="W334" s="12" t="n">
        <v>1</v>
      </c>
      <c r="X334" s="13" t="n">
        <f aca="false">M334+N334+2*O334+3*P334</f>
        <v>192</v>
      </c>
      <c r="Y334" s="14" t="n">
        <f aca="false">IF(K334=0,0,M334/K334)</f>
        <v>0.265267175572519</v>
      </c>
      <c r="Z334" s="14" t="n">
        <f aca="false">IF(K334+R334+T334+U334=0,0,(M334+R334+T334)/(K334+R334+T334+U334))</f>
        <v>0.357495881383855</v>
      </c>
      <c r="AA334" s="14" t="n">
        <f aca="false">IF(K334=0,0,X334/K334)</f>
        <v>0.366412213740458</v>
      </c>
      <c r="AB334" s="14" t="n">
        <f aca="false">Z334+AA334</f>
        <v>0.723908095124313</v>
      </c>
      <c r="AC334" s="14" t="n">
        <f aca="false">AA334-Y334</f>
        <v>0.101145038167939</v>
      </c>
      <c r="AD334" s="14" t="n">
        <f aca="false">IF(K334-S334-P334+U334=0,0,(M334-P334)/(K334-S334-P334+U334))</f>
        <v>0.35</v>
      </c>
      <c r="AE334" s="15" t="n">
        <f aca="false">IF(J334=0,0,R334/J334)</f>
        <v>0.108731466227348</v>
      </c>
      <c r="AF334" s="15" t="n">
        <f aca="false">IF(J334=0,0,S334/J334)</f>
        <v>0.235584843492587</v>
      </c>
      <c r="AG334" s="11" t="n">
        <f aca="false">IF(J334&gt;=INDEX(球季參數!$E$2:$E$4,MATCH($A334,球季參數!$A$2:$A$4,0)),1,0)</f>
        <v>1</v>
      </c>
    </row>
    <row r="335" customFormat="false" ht="15" hidden="false" customHeight="false" outlineLevel="0" collapsed="false">
      <c r="A335" s="5" t="n">
        <v>2025</v>
      </c>
      <c r="B335" s="7" t="s">
        <v>717</v>
      </c>
      <c r="C335" s="10" t="str">
        <f aca="false">INDEX(球員主檔!$B$2:$B$749,MATCH($B335,球員主檔!$A$2:$A$749,0))</f>
        <v>Tobias Esquivel</v>
      </c>
      <c r="D335" s="7" t="s">
        <v>354</v>
      </c>
      <c r="E335" s="10" t="str">
        <f aca="false">INDEX(球隊主檔!$C$2:$C$31,MATCH($D335,球隊主檔!$A$2:$A$31,0))</f>
        <v>坦帕灣光芒</v>
      </c>
      <c r="F335" s="10" t="str">
        <f aca="false">INDEX(球隊主檔!$D$2:$D$31,MATCH($D335,球隊主檔!$A$2:$A$31,0))</f>
        <v>美聯</v>
      </c>
      <c r="G335" s="7" t="s">
        <v>470</v>
      </c>
      <c r="H335" s="11" t="n">
        <f aca="false">INT((DATE($A335,7,1)-INDEX(球員主檔!$G$2:$G$749,MATCH($B335,球員主檔!$A$2:$A$749,0)))/365.25)</f>
        <v>25</v>
      </c>
      <c r="I335" s="12" t="n">
        <v>132</v>
      </c>
      <c r="J335" s="12" t="n">
        <v>577</v>
      </c>
      <c r="K335" s="12" t="n">
        <v>518</v>
      </c>
      <c r="L335" s="12" t="n">
        <v>67</v>
      </c>
      <c r="M335" s="12" t="n">
        <v>122</v>
      </c>
      <c r="N335" s="12" t="n">
        <v>23</v>
      </c>
      <c r="O335" s="12" t="n">
        <v>10</v>
      </c>
      <c r="P335" s="12" t="n">
        <v>23</v>
      </c>
      <c r="Q335" s="12" t="n">
        <v>86</v>
      </c>
      <c r="R335" s="12" t="n">
        <v>51</v>
      </c>
      <c r="S335" s="12" t="n">
        <v>167</v>
      </c>
      <c r="T335" s="12" t="n">
        <v>7</v>
      </c>
      <c r="U335" s="12" t="n">
        <v>1</v>
      </c>
      <c r="V335" s="12" t="n">
        <v>8</v>
      </c>
      <c r="W335" s="12" t="n">
        <v>1</v>
      </c>
      <c r="X335" s="13" t="n">
        <f aca="false">M335+N335+2*O335+3*P335</f>
        <v>234</v>
      </c>
      <c r="Y335" s="14" t="n">
        <f aca="false">IF(K335=0,0,M335/K335)</f>
        <v>0.235521235521236</v>
      </c>
      <c r="Z335" s="14" t="n">
        <f aca="false">IF(K335+R335+T335+U335=0,0,(M335+R335+T335)/(K335+R335+T335+U335))</f>
        <v>0.311958405545927</v>
      </c>
      <c r="AA335" s="14" t="n">
        <f aca="false">IF(K335=0,0,X335/K335)</f>
        <v>0.451737451737452</v>
      </c>
      <c r="AB335" s="14" t="n">
        <f aca="false">Z335+AA335</f>
        <v>0.763695857283379</v>
      </c>
      <c r="AC335" s="14" t="n">
        <f aca="false">AA335-Y335</f>
        <v>0.216216216216216</v>
      </c>
      <c r="AD335" s="14" t="n">
        <f aca="false">IF(K335-S335-P335+U335=0,0,(M335-P335)/(K335-S335-P335+U335))</f>
        <v>0.300911854103344</v>
      </c>
      <c r="AE335" s="15" t="n">
        <f aca="false">IF(J335=0,0,R335/J335)</f>
        <v>0.0883882149046794</v>
      </c>
      <c r="AF335" s="15" t="n">
        <f aca="false">IF(J335=0,0,S335/J335)</f>
        <v>0.289428076256499</v>
      </c>
      <c r="AG335" s="11" t="n">
        <f aca="false">IF(J335&gt;=INDEX(球季參數!$E$2:$E$4,MATCH($A335,球季參數!$A$2:$A$4,0)),1,0)</f>
        <v>1</v>
      </c>
    </row>
    <row r="336" customFormat="false" ht="15" hidden="false" customHeight="false" outlineLevel="0" collapsed="false">
      <c r="A336" s="5" t="n">
        <v>2025</v>
      </c>
      <c r="B336" s="7" t="s">
        <v>605</v>
      </c>
      <c r="C336" s="10" t="str">
        <f aca="false">INDEX(球員主檔!$B$2:$B$749,MATCH($B336,球員主檔!$A$2:$A$749,0))</f>
        <v>Bernardo Uchendu</v>
      </c>
      <c r="D336" s="7" t="s">
        <v>354</v>
      </c>
      <c r="E336" s="10" t="str">
        <f aca="false">INDEX(球隊主檔!$C$2:$C$31,MATCH($D336,球隊主檔!$A$2:$A$31,0))</f>
        <v>坦帕灣光芒</v>
      </c>
      <c r="F336" s="10" t="str">
        <f aca="false">INDEX(球隊主檔!$D$2:$D$31,MATCH($D336,球隊主檔!$A$2:$A$31,0))</f>
        <v>美聯</v>
      </c>
      <c r="G336" s="7" t="s">
        <v>478</v>
      </c>
      <c r="H336" s="11" t="n">
        <f aca="false">INT((DATE($A336,7,1)-INDEX(球員主檔!$G$2:$G$749,MATCH($B336,球員主檔!$A$2:$A$749,0)))/365.25)</f>
        <v>29</v>
      </c>
      <c r="I336" s="12" t="n">
        <v>161</v>
      </c>
      <c r="J336" s="12" t="n">
        <v>632</v>
      </c>
      <c r="K336" s="12" t="n">
        <v>548</v>
      </c>
      <c r="L336" s="12" t="n">
        <v>58</v>
      </c>
      <c r="M336" s="12" t="n">
        <v>106</v>
      </c>
      <c r="N336" s="12" t="n">
        <v>40</v>
      </c>
      <c r="O336" s="12" t="n">
        <v>2</v>
      </c>
      <c r="P336" s="12" t="n">
        <v>18</v>
      </c>
      <c r="Q336" s="12" t="n">
        <v>69</v>
      </c>
      <c r="R336" s="12" t="n">
        <v>73</v>
      </c>
      <c r="S336" s="12" t="n">
        <v>194</v>
      </c>
      <c r="T336" s="12" t="n">
        <v>7</v>
      </c>
      <c r="U336" s="12" t="n">
        <v>4</v>
      </c>
      <c r="V336" s="12" t="n">
        <v>9</v>
      </c>
      <c r="W336" s="12" t="n">
        <v>1</v>
      </c>
      <c r="X336" s="13" t="n">
        <f aca="false">M336+N336+2*O336+3*P336</f>
        <v>204</v>
      </c>
      <c r="Y336" s="14" t="n">
        <f aca="false">IF(K336=0,0,M336/K336)</f>
        <v>0.193430656934307</v>
      </c>
      <c r="Z336" s="14" t="n">
        <f aca="false">IF(K336+R336+T336+U336=0,0,(M336+R336+T336)/(K336+R336+T336+U336))</f>
        <v>0.294303797468354</v>
      </c>
      <c r="AA336" s="14" t="n">
        <f aca="false">IF(K336=0,0,X336/K336)</f>
        <v>0.372262773722628</v>
      </c>
      <c r="AB336" s="14" t="n">
        <f aca="false">Z336+AA336</f>
        <v>0.666566571190982</v>
      </c>
      <c r="AC336" s="14" t="n">
        <f aca="false">AA336-Y336</f>
        <v>0.178832116788321</v>
      </c>
      <c r="AD336" s="14" t="n">
        <f aca="false">IF(K336-S336-P336+U336=0,0,(M336-P336)/(K336-S336-P336+U336))</f>
        <v>0.258823529411765</v>
      </c>
      <c r="AE336" s="15" t="n">
        <f aca="false">IF(J336=0,0,R336/J336)</f>
        <v>0.115506329113924</v>
      </c>
      <c r="AF336" s="15" t="n">
        <f aca="false">IF(J336=0,0,S336/J336)</f>
        <v>0.306962025316456</v>
      </c>
      <c r="AG336" s="11" t="n">
        <f aca="false">IF(J336&gt;=INDEX(球季參數!$E$2:$E$4,MATCH($A336,球季參數!$A$2:$A$4,0)),1,0)</f>
        <v>1</v>
      </c>
    </row>
    <row r="337" customFormat="false" ht="15" hidden="false" customHeight="false" outlineLevel="0" collapsed="false">
      <c r="A337" s="5" t="n">
        <v>2025</v>
      </c>
      <c r="B337" s="7" t="s">
        <v>607</v>
      </c>
      <c r="C337" s="10" t="str">
        <f aca="false">INDEX(球員主檔!$B$2:$B$749,MATCH($B337,球員主檔!$A$2:$A$749,0))</f>
        <v>Cassius Ulloa</v>
      </c>
      <c r="D337" s="7" t="s">
        <v>354</v>
      </c>
      <c r="E337" s="10" t="str">
        <f aca="false">INDEX(球隊主檔!$C$2:$C$31,MATCH($D337,球隊主檔!$A$2:$A$31,0))</f>
        <v>坦帕灣光芒</v>
      </c>
      <c r="F337" s="10" t="str">
        <f aca="false">INDEX(球隊主檔!$D$2:$D$31,MATCH($D337,球隊主檔!$A$2:$A$31,0))</f>
        <v>美聯</v>
      </c>
      <c r="G337" s="7" t="s">
        <v>162</v>
      </c>
      <c r="H337" s="11" t="n">
        <f aca="false">INT((DATE($A337,7,1)-INDEX(球員主檔!$G$2:$G$749,MATCH($B337,球員主檔!$A$2:$A$749,0)))/365.25)</f>
        <v>25</v>
      </c>
      <c r="I337" s="12" t="n">
        <v>107</v>
      </c>
      <c r="J337" s="12" t="n">
        <v>477</v>
      </c>
      <c r="K337" s="12" t="n">
        <v>440</v>
      </c>
      <c r="L337" s="12" t="n">
        <v>46</v>
      </c>
      <c r="M337" s="12" t="n">
        <v>107</v>
      </c>
      <c r="N337" s="12" t="n">
        <v>26</v>
      </c>
      <c r="O337" s="12" t="n">
        <v>6</v>
      </c>
      <c r="P337" s="12" t="n">
        <v>11</v>
      </c>
      <c r="Q337" s="12" t="n">
        <v>52</v>
      </c>
      <c r="R337" s="12" t="n">
        <v>28</v>
      </c>
      <c r="S337" s="12" t="n">
        <v>104</v>
      </c>
      <c r="T337" s="12" t="n">
        <v>5</v>
      </c>
      <c r="U337" s="12" t="n">
        <v>4</v>
      </c>
      <c r="V337" s="12" t="n">
        <v>14</v>
      </c>
      <c r="W337" s="12" t="n">
        <v>2</v>
      </c>
      <c r="X337" s="13" t="n">
        <f aca="false">M337+N337+2*O337+3*P337</f>
        <v>178</v>
      </c>
      <c r="Y337" s="14" t="n">
        <f aca="false">IF(K337=0,0,M337/K337)</f>
        <v>0.243181818181818</v>
      </c>
      <c r="Z337" s="14" t="n">
        <f aca="false">IF(K337+R337+T337+U337=0,0,(M337+R337+T337)/(K337+R337+T337+U337))</f>
        <v>0.293501048218029</v>
      </c>
      <c r="AA337" s="14" t="n">
        <f aca="false">IF(K337=0,0,X337/K337)</f>
        <v>0.404545454545455</v>
      </c>
      <c r="AB337" s="14" t="n">
        <f aca="false">Z337+AA337</f>
        <v>0.698046502763484</v>
      </c>
      <c r="AC337" s="14" t="n">
        <f aca="false">AA337-Y337</f>
        <v>0.161363636363636</v>
      </c>
      <c r="AD337" s="14" t="n">
        <f aca="false">IF(K337-S337-P337+U337=0,0,(M337-P337)/(K337-S337-P337+U337))</f>
        <v>0.291793313069909</v>
      </c>
      <c r="AE337" s="15" t="n">
        <f aca="false">IF(J337=0,0,R337/J337)</f>
        <v>0.0587002096436059</v>
      </c>
      <c r="AF337" s="15" t="n">
        <f aca="false">IF(J337=0,0,S337/J337)</f>
        <v>0.218029350104822</v>
      </c>
      <c r="AG337" s="11" t="n">
        <f aca="false">IF(J337&gt;=INDEX(球季參數!$E$2:$E$4,MATCH($A337,球季參數!$A$2:$A$4,0)),1,0)</f>
        <v>0</v>
      </c>
    </row>
    <row r="338" customFormat="false" ht="15" hidden="false" customHeight="false" outlineLevel="0" collapsed="false">
      <c r="A338" s="5" t="n">
        <v>2025</v>
      </c>
      <c r="B338" s="7" t="s">
        <v>1361</v>
      </c>
      <c r="C338" s="10" t="str">
        <f aca="false">INDEX(球員主檔!$B$2:$B$749,MATCH($B338,球員主檔!$A$2:$A$749,0))</f>
        <v>Lorenzo Brightwell</v>
      </c>
      <c r="D338" s="7" t="s">
        <v>354</v>
      </c>
      <c r="E338" s="10" t="str">
        <f aca="false">INDEX(球隊主檔!$C$2:$C$31,MATCH($D338,球隊主檔!$A$2:$A$31,0))</f>
        <v>坦帕灣光芒</v>
      </c>
      <c r="F338" s="10" t="str">
        <f aca="false">INDEX(球隊主檔!$D$2:$D$31,MATCH($D338,球隊主檔!$A$2:$A$31,0))</f>
        <v>美聯</v>
      </c>
      <c r="G338" s="7" t="s">
        <v>158</v>
      </c>
      <c r="H338" s="11" t="n">
        <f aca="false">INT((DATE($A338,7,1)-INDEX(球員主檔!$G$2:$G$749,MATCH($B338,球員主檔!$A$2:$A$749,0)))/365.25)</f>
        <v>33</v>
      </c>
      <c r="I338" s="12" t="n">
        <v>46</v>
      </c>
      <c r="J338" s="12" t="n">
        <v>181</v>
      </c>
      <c r="K338" s="12" t="n">
        <v>146</v>
      </c>
      <c r="L338" s="12" t="n">
        <v>23</v>
      </c>
      <c r="M338" s="12" t="n">
        <v>36</v>
      </c>
      <c r="N338" s="12" t="n">
        <v>13</v>
      </c>
      <c r="O338" s="12" t="n">
        <v>5</v>
      </c>
      <c r="P338" s="12" t="n">
        <v>2</v>
      </c>
      <c r="Q338" s="12" t="n">
        <v>14</v>
      </c>
      <c r="R338" s="12" t="n">
        <v>33</v>
      </c>
      <c r="S338" s="12" t="n">
        <v>28</v>
      </c>
      <c r="T338" s="12" t="n">
        <v>1</v>
      </c>
      <c r="U338" s="12" t="n">
        <v>1</v>
      </c>
      <c r="V338" s="12" t="n">
        <v>1</v>
      </c>
      <c r="W338" s="12" t="n">
        <v>0</v>
      </c>
      <c r="X338" s="13" t="n">
        <f aca="false">M338+N338+2*O338+3*P338</f>
        <v>65</v>
      </c>
      <c r="Y338" s="14" t="n">
        <f aca="false">IF(K338=0,0,M338/K338)</f>
        <v>0.246575342465753</v>
      </c>
      <c r="Z338" s="14" t="n">
        <f aca="false">IF(K338+R338+T338+U338=0,0,(M338+R338+T338)/(K338+R338+T338+U338))</f>
        <v>0.386740331491713</v>
      </c>
      <c r="AA338" s="14" t="n">
        <f aca="false">IF(K338=0,0,X338/K338)</f>
        <v>0.445205479452055</v>
      </c>
      <c r="AB338" s="14" t="n">
        <f aca="false">Z338+AA338</f>
        <v>0.831945810943768</v>
      </c>
      <c r="AC338" s="14" t="n">
        <f aca="false">AA338-Y338</f>
        <v>0.198630136986301</v>
      </c>
      <c r="AD338" s="14" t="n">
        <f aca="false">IF(K338-S338-P338+U338=0,0,(M338-P338)/(K338-S338-P338+U338))</f>
        <v>0.290598290598291</v>
      </c>
      <c r="AE338" s="15" t="n">
        <f aca="false">IF(J338=0,0,R338/J338)</f>
        <v>0.18232044198895</v>
      </c>
      <c r="AF338" s="15" t="n">
        <f aca="false">IF(J338=0,0,S338/J338)</f>
        <v>0.154696132596685</v>
      </c>
      <c r="AG338" s="11" t="n">
        <f aca="false">IF(J338&gt;=INDEX(球季參數!$E$2:$E$4,MATCH($A338,球季參數!$A$2:$A$4,0)),1,0)</f>
        <v>0</v>
      </c>
    </row>
    <row r="339" customFormat="false" ht="15" hidden="false" customHeight="false" outlineLevel="0" collapsed="false">
      <c r="A339" s="5" t="n">
        <v>2025</v>
      </c>
      <c r="B339" s="7" t="s">
        <v>1283</v>
      </c>
      <c r="C339" s="10" t="str">
        <f aca="false">INDEX(球員主檔!$B$2:$B$749,MATCH($B339,球員主檔!$A$2:$A$749,0))</f>
        <v>Esteban Paszkiewicz</v>
      </c>
      <c r="D339" s="7" t="s">
        <v>354</v>
      </c>
      <c r="E339" s="10" t="str">
        <f aca="false">INDEX(球隊主檔!$C$2:$C$31,MATCH($D339,球隊主檔!$A$2:$A$31,0))</f>
        <v>坦帕灣光芒</v>
      </c>
      <c r="F339" s="10" t="str">
        <f aca="false">INDEX(球隊主檔!$D$2:$D$31,MATCH($D339,球隊主檔!$A$2:$A$31,0))</f>
        <v>美聯</v>
      </c>
      <c r="G339" s="7" t="s">
        <v>522</v>
      </c>
      <c r="H339" s="11" t="n">
        <f aca="false">INT((DATE($A339,7,1)-INDEX(球員主檔!$G$2:$G$749,MATCH($B339,球員主檔!$A$2:$A$749,0)))/365.25)</f>
        <v>26</v>
      </c>
      <c r="I339" s="12" t="n">
        <v>131</v>
      </c>
      <c r="J339" s="12" t="n">
        <v>511</v>
      </c>
      <c r="K339" s="12" t="n">
        <v>462</v>
      </c>
      <c r="L339" s="12" t="n">
        <v>43</v>
      </c>
      <c r="M339" s="12" t="n">
        <v>88</v>
      </c>
      <c r="N339" s="12" t="n">
        <v>40</v>
      </c>
      <c r="O339" s="12" t="n">
        <v>9</v>
      </c>
      <c r="P339" s="12" t="n">
        <v>4</v>
      </c>
      <c r="Q339" s="12" t="n">
        <v>27</v>
      </c>
      <c r="R339" s="12" t="n">
        <v>38</v>
      </c>
      <c r="S339" s="12" t="n">
        <v>119</v>
      </c>
      <c r="T339" s="12" t="n">
        <v>9</v>
      </c>
      <c r="U339" s="12" t="n">
        <v>2</v>
      </c>
      <c r="V339" s="12" t="n">
        <v>11</v>
      </c>
      <c r="W339" s="12" t="n">
        <v>1</v>
      </c>
      <c r="X339" s="13" t="n">
        <f aca="false">M339+N339+2*O339+3*P339</f>
        <v>158</v>
      </c>
      <c r="Y339" s="14" t="n">
        <f aca="false">IF(K339=0,0,M339/K339)</f>
        <v>0.19047619047619</v>
      </c>
      <c r="Z339" s="14" t="n">
        <f aca="false">IF(K339+R339+T339+U339=0,0,(M339+R339+T339)/(K339+R339+T339+U339))</f>
        <v>0.264187866927593</v>
      </c>
      <c r="AA339" s="14" t="n">
        <f aca="false">IF(K339=0,0,X339/K339)</f>
        <v>0.341991341991342</v>
      </c>
      <c r="AB339" s="14" t="n">
        <f aca="false">Z339+AA339</f>
        <v>0.606179208918935</v>
      </c>
      <c r="AC339" s="14" t="n">
        <f aca="false">AA339-Y339</f>
        <v>0.151515151515152</v>
      </c>
      <c r="AD339" s="14" t="n">
        <f aca="false">IF(K339-S339-P339+U339=0,0,(M339-P339)/(K339-S339-P339+U339))</f>
        <v>0.24633431085044</v>
      </c>
      <c r="AE339" s="15" t="n">
        <f aca="false">IF(J339=0,0,R339/J339)</f>
        <v>0.0743639921722114</v>
      </c>
      <c r="AF339" s="15" t="n">
        <f aca="false">IF(J339=0,0,S339/J339)</f>
        <v>0.232876712328767</v>
      </c>
      <c r="AG339" s="11" t="n">
        <f aca="false">IF(J339&gt;=INDEX(球季參數!$E$2:$E$4,MATCH($A339,球季參數!$A$2:$A$4,0)),1,0)</f>
        <v>1</v>
      </c>
    </row>
    <row r="340" customFormat="false" ht="15" hidden="false" customHeight="false" outlineLevel="0" collapsed="false">
      <c r="A340" s="5" t="n">
        <v>2025</v>
      </c>
      <c r="B340" s="7" t="s">
        <v>613</v>
      </c>
      <c r="C340" s="10" t="str">
        <f aca="false">INDEX(球員主檔!$B$2:$B$749,MATCH($B340,球員主檔!$A$2:$A$749,0))</f>
        <v>Bernardo Thorsby</v>
      </c>
      <c r="D340" s="7" t="s">
        <v>354</v>
      </c>
      <c r="E340" s="10" t="str">
        <f aca="false">INDEX(球隊主檔!$C$2:$C$31,MATCH($D340,球隊主檔!$A$2:$A$31,0))</f>
        <v>坦帕灣光芒</v>
      </c>
      <c r="F340" s="10" t="str">
        <f aca="false">INDEX(球隊主檔!$D$2:$D$31,MATCH($D340,球隊主檔!$A$2:$A$31,0))</f>
        <v>美聯</v>
      </c>
      <c r="G340" s="7" t="s">
        <v>473</v>
      </c>
      <c r="H340" s="11" t="n">
        <f aca="false">INT((DATE($A340,7,1)-INDEX(球員主檔!$G$2:$G$749,MATCH($B340,球員主檔!$A$2:$A$749,0)))/365.25)</f>
        <v>34</v>
      </c>
      <c r="I340" s="12" t="n">
        <v>66</v>
      </c>
      <c r="J340" s="12" t="n">
        <v>270</v>
      </c>
      <c r="K340" s="12" t="n">
        <v>244</v>
      </c>
      <c r="L340" s="12" t="n">
        <v>26</v>
      </c>
      <c r="M340" s="12" t="n">
        <v>56</v>
      </c>
      <c r="N340" s="12" t="n">
        <v>18</v>
      </c>
      <c r="O340" s="12" t="n">
        <v>12</v>
      </c>
      <c r="P340" s="12" t="n">
        <v>4</v>
      </c>
      <c r="Q340" s="12" t="n">
        <v>22</v>
      </c>
      <c r="R340" s="12" t="n">
        <v>22</v>
      </c>
      <c r="S340" s="12" t="n">
        <v>73</v>
      </c>
      <c r="T340" s="12" t="n">
        <v>1</v>
      </c>
      <c r="U340" s="12" t="n">
        <v>3</v>
      </c>
      <c r="V340" s="12" t="n">
        <v>1</v>
      </c>
      <c r="W340" s="12" t="n">
        <v>0</v>
      </c>
      <c r="X340" s="13" t="n">
        <f aca="false">M340+N340+2*O340+3*P340</f>
        <v>110</v>
      </c>
      <c r="Y340" s="14" t="n">
        <f aca="false">IF(K340=0,0,M340/K340)</f>
        <v>0.229508196721311</v>
      </c>
      <c r="Z340" s="14" t="n">
        <f aca="false">IF(K340+R340+T340+U340=0,0,(M340+R340+T340)/(K340+R340+T340+U340))</f>
        <v>0.292592592592593</v>
      </c>
      <c r="AA340" s="14" t="n">
        <f aca="false">IF(K340=0,0,X340/K340)</f>
        <v>0.450819672131148</v>
      </c>
      <c r="AB340" s="14" t="n">
        <f aca="false">Z340+AA340</f>
        <v>0.74341226472374</v>
      </c>
      <c r="AC340" s="14" t="n">
        <f aca="false">AA340-Y340</f>
        <v>0.221311475409836</v>
      </c>
      <c r="AD340" s="14" t="n">
        <f aca="false">IF(K340-S340-P340+U340=0,0,(M340-P340)/(K340-S340-P340+U340))</f>
        <v>0.305882352941177</v>
      </c>
      <c r="AE340" s="15" t="n">
        <f aca="false">IF(J340=0,0,R340/J340)</f>
        <v>0.0814814814814815</v>
      </c>
      <c r="AF340" s="15" t="n">
        <f aca="false">IF(J340=0,0,S340/J340)</f>
        <v>0.27037037037037</v>
      </c>
      <c r="AG340" s="11" t="n">
        <f aca="false">IF(J340&gt;=INDEX(球季參數!$E$2:$E$4,MATCH($A340,球季參數!$A$2:$A$4,0)),1,0)</f>
        <v>0</v>
      </c>
    </row>
    <row r="341" customFormat="false" ht="15" hidden="false" customHeight="false" outlineLevel="0" collapsed="false">
      <c r="A341" s="5" t="n">
        <v>2025</v>
      </c>
      <c r="B341" s="7" t="s">
        <v>615</v>
      </c>
      <c r="C341" s="10" t="str">
        <f aca="false">INDEX(球員主檔!$B$2:$B$749,MATCH($B341,球員主檔!$A$2:$A$749,0))</f>
        <v>Esteban Yamazaki</v>
      </c>
      <c r="D341" s="7" t="s">
        <v>354</v>
      </c>
      <c r="E341" s="10" t="str">
        <f aca="false">INDEX(球隊主檔!$C$2:$C$31,MATCH($D341,球隊主檔!$A$2:$A$31,0))</f>
        <v>坦帕灣光芒</v>
      </c>
      <c r="F341" s="10" t="str">
        <f aca="false">INDEX(球隊主檔!$D$2:$D$31,MATCH($D341,球隊主檔!$A$2:$A$31,0))</f>
        <v>美聯</v>
      </c>
      <c r="G341" s="7" t="s">
        <v>486</v>
      </c>
      <c r="H341" s="11" t="n">
        <f aca="false">INT((DATE($A341,7,1)-INDEX(球員主檔!$G$2:$G$749,MATCH($B341,球員主檔!$A$2:$A$749,0)))/365.25)</f>
        <v>30</v>
      </c>
      <c r="I341" s="12" t="n">
        <v>47</v>
      </c>
      <c r="J341" s="12" t="n">
        <v>206</v>
      </c>
      <c r="K341" s="12" t="n">
        <v>180</v>
      </c>
      <c r="L341" s="12" t="n">
        <v>21</v>
      </c>
      <c r="M341" s="12" t="n">
        <v>37</v>
      </c>
      <c r="N341" s="12" t="n">
        <v>16</v>
      </c>
      <c r="O341" s="12" t="n">
        <v>3</v>
      </c>
      <c r="P341" s="12" t="n">
        <v>2</v>
      </c>
      <c r="Q341" s="12" t="n">
        <v>12</v>
      </c>
      <c r="R341" s="12" t="n">
        <v>22</v>
      </c>
      <c r="S341" s="12" t="n">
        <v>45</v>
      </c>
      <c r="T341" s="12" t="n">
        <v>4</v>
      </c>
      <c r="U341" s="12" t="n">
        <v>0</v>
      </c>
      <c r="V341" s="12" t="n">
        <v>7</v>
      </c>
      <c r="W341" s="12" t="n">
        <v>2</v>
      </c>
      <c r="X341" s="13" t="n">
        <f aca="false">M341+N341+2*O341+3*P341</f>
        <v>65</v>
      </c>
      <c r="Y341" s="14" t="n">
        <f aca="false">IF(K341=0,0,M341/K341)</f>
        <v>0.205555555555556</v>
      </c>
      <c r="Z341" s="14" t="n">
        <f aca="false">IF(K341+R341+T341+U341=0,0,(M341+R341+T341)/(K341+R341+T341+U341))</f>
        <v>0.305825242718447</v>
      </c>
      <c r="AA341" s="14" t="n">
        <f aca="false">IF(K341=0,0,X341/K341)</f>
        <v>0.361111111111111</v>
      </c>
      <c r="AB341" s="14" t="n">
        <f aca="false">Z341+AA341</f>
        <v>0.666936353829558</v>
      </c>
      <c r="AC341" s="14" t="n">
        <f aca="false">AA341-Y341</f>
        <v>0.155555555555556</v>
      </c>
      <c r="AD341" s="14" t="n">
        <f aca="false">IF(K341-S341-P341+U341=0,0,(M341-P341)/(K341-S341-P341+U341))</f>
        <v>0.263157894736842</v>
      </c>
      <c r="AE341" s="15" t="n">
        <f aca="false">IF(J341=0,0,R341/J341)</f>
        <v>0.106796116504854</v>
      </c>
      <c r="AF341" s="15" t="n">
        <f aca="false">IF(J341=0,0,S341/J341)</f>
        <v>0.218446601941748</v>
      </c>
      <c r="AG341" s="11" t="n">
        <f aca="false">IF(J341&gt;=INDEX(球季參數!$E$2:$E$4,MATCH($A341,球季參數!$A$2:$A$4,0)),1,0)</f>
        <v>0</v>
      </c>
    </row>
    <row r="342" customFormat="false" ht="15" hidden="false" customHeight="false" outlineLevel="0" collapsed="false">
      <c r="A342" s="5" t="n">
        <v>2025</v>
      </c>
      <c r="B342" s="7" t="s">
        <v>637</v>
      </c>
      <c r="C342" s="10" t="str">
        <f aca="false">INDEX(球員主檔!$B$2:$B$749,MATCH($B342,球員主檔!$A$2:$A$749,0))</f>
        <v>Cedric Tremblay</v>
      </c>
      <c r="D342" s="7" t="s">
        <v>358</v>
      </c>
      <c r="E342" s="10" t="str">
        <f aca="false">INDEX(球隊主檔!$C$2:$C$31,MATCH($D342,球隊主檔!$A$2:$A$31,0))</f>
        <v>多倫多藍鳥</v>
      </c>
      <c r="F342" s="10" t="str">
        <f aca="false">INDEX(球隊主檔!$D$2:$D$31,MATCH($D342,球隊主檔!$A$2:$A$31,0))</f>
        <v>美聯</v>
      </c>
      <c r="G342" s="7" t="s">
        <v>158</v>
      </c>
      <c r="H342" s="11" t="n">
        <f aca="false">INT((DATE($A342,7,1)-INDEX(球員主檔!$G$2:$G$749,MATCH($B342,球員主檔!$A$2:$A$749,0)))/365.25)</f>
        <v>29</v>
      </c>
      <c r="I342" s="12" t="n">
        <v>162</v>
      </c>
      <c r="J342" s="12" t="n">
        <v>688</v>
      </c>
      <c r="K342" s="12" t="n">
        <v>611</v>
      </c>
      <c r="L342" s="12" t="n">
        <v>82</v>
      </c>
      <c r="M342" s="12" t="n">
        <v>166</v>
      </c>
      <c r="N342" s="12" t="n">
        <v>35</v>
      </c>
      <c r="O342" s="12" t="n">
        <v>8</v>
      </c>
      <c r="P342" s="12" t="n">
        <v>15</v>
      </c>
      <c r="Q342" s="12" t="n">
        <v>64</v>
      </c>
      <c r="R342" s="12" t="n">
        <v>69</v>
      </c>
      <c r="S342" s="12" t="n">
        <v>131</v>
      </c>
      <c r="T342" s="12" t="n">
        <v>3</v>
      </c>
      <c r="U342" s="12" t="n">
        <v>5</v>
      </c>
      <c r="V342" s="12" t="n">
        <v>15</v>
      </c>
      <c r="W342" s="12" t="n">
        <v>4</v>
      </c>
      <c r="X342" s="13" t="n">
        <f aca="false">M342+N342+2*O342+3*P342</f>
        <v>262</v>
      </c>
      <c r="Y342" s="14" t="n">
        <f aca="false">IF(K342=0,0,M342/K342)</f>
        <v>0.271685761047463</v>
      </c>
      <c r="Z342" s="14" t="n">
        <f aca="false">IF(K342+R342+T342+U342=0,0,(M342+R342+T342)/(K342+R342+T342+U342))</f>
        <v>0.34593023255814</v>
      </c>
      <c r="AA342" s="14" t="n">
        <f aca="false">IF(K342=0,0,X342/K342)</f>
        <v>0.428805237315876</v>
      </c>
      <c r="AB342" s="14" t="n">
        <f aca="false">Z342+AA342</f>
        <v>0.774735469874015</v>
      </c>
      <c r="AC342" s="14" t="n">
        <f aca="false">AA342-Y342</f>
        <v>0.157119476268412</v>
      </c>
      <c r="AD342" s="14" t="n">
        <f aca="false">IF(K342-S342-P342+U342=0,0,(M342-P342)/(K342-S342-P342+U342))</f>
        <v>0.321276595744681</v>
      </c>
      <c r="AE342" s="15" t="n">
        <f aca="false">IF(J342=0,0,R342/J342)</f>
        <v>0.100290697674419</v>
      </c>
      <c r="AF342" s="15" t="n">
        <f aca="false">IF(J342=0,0,S342/J342)</f>
        <v>0.190406976744186</v>
      </c>
      <c r="AG342" s="11" t="n">
        <f aca="false">IF(J342&gt;=INDEX(球季參數!$E$2:$E$4,MATCH($A342,球季參數!$A$2:$A$4,0)),1,0)</f>
        <v>1</v>
      </c>
    </row>
    <row r="343" customFormat="false" ht="15" hidden="false" customHeight="false" outlineLevel="0" collapsed="false">
      <c r="A343" s="5" t="n">
        <v>2025</v>
      </c>
      <c r="B343" s="7" t="s">
        <v>639</v>
      </c>
      <c r="C343" s="10" t="str">
        <f aca="false">INDEX(球員主檔!$B$2:$B$749,MATCH($B343,球員主檔!$A$2:$A$749,0))</f>
        <v>Everett Underhill</v>
      </c>
      <c r="D343" s="7" t="s">
        <v>358</v>
      </c>
      <c r="E343" s="10" t="str">
        <f aca="false">INDEX(球隊主檔!$C$2:$C$31,MATCH($D343,球隊主檔!$A$2:$A$31,0))</f>
        <v>多倫多藍鳥</v>
      </c>
      <c r="F343" s="10" t="str">
        <f aca="false">INDEX(球隊主檔!$D$2:$D$31,MATCH($D343,球隊主檔!$A$2:$A$31,0))</f>
        <v>美聯</v>
      </c>
      <c r="G343" s="7" t="s">
        <v>63</v>
      </c>
      <c r="H343" s="11" t="n">
        <f aca="false">INT((DATE($A343,7,1)-INDEX(球員主檔!$G$2:$G$749,MATCH($B343,球員主檔!$A$2:$A$749,0)))/365.25)</f>
        <v>26</v>
      </c>
      <c r="I343" s="12" t="n">
        <v>63</v>
      </c>
      <c r="J343" s="12" t="n">
        <v>268</v>
      </c>
      <c r="K343" s="12" t="n">
        <v>240</v>
      </c>
      <c r="L343" s="12" t="n">
        <v>30</v>
      </c>
      <c r="M343" s="12" t="n">
        <v>61</v>
      </c>
      <c r="N343" s="12" t="n">
        <v>26</v>
      </c>
      <c r="O343" s="12" t="n">
        <v>5</v>
      </c>
      <c r="P343" s="12" t="n">
        <v>6</v>
      </c>
      <c r="Q343" s="12" t="n">
        <v>28</v>
      </c>
      <c r="R343" s="12" t="n">
        <v>24</v>
      </c>
      <c r="S343" s="12" t="n">
        <v>41</v>
      </c>
      <c r="T343" s="12" t="n">
        <v>2</v>
      </c>
      <c r="U343" s="12" t="n">
        <v>2</v>
      </c>
      <c r="V343" s="12" t="n">
        <v>2</v>
      </c>
      <c r="W343" s="12" t="n">
        <v>1</v>
      </c>
      <c r="X343" s="13" t="n">
        <f aca="false">M343+N343+2*O343+3*P343</f>
        <v>115</v>
      </c>
      <c r="Y343" s="14" t="n">
        <f aca="false">IF(K343=0,0,M343/K343)</f>
        <v>0.254166666666667</v>
      </c>
      <c r="Z343" s="14" t="n">
        <f aca="false">IF(K343+R343+T343+U343=0,0,(M343+R343+T343)/(K343+R343+T343+U343))</f>
        <v>0.324626865671642</v>
      </c>
      <c r="AA343" s="14" t="n">
        <f aca="false">IF(K343=0,0,X343/K343)</f>
        <v>0.479166666666667</v>
      </c>
      <c r="AB343" s="14" t="n">
        <f aca="false">Z343+AA343</f>
        <v>0.803793532338309</v>
      </c>
      <c r="AC343" s="14" t="n">
        <f aca="false">AA343-Y343</f>
        <v>0.225</v>
      </c>
      <c r="AD343" s="14" t="n">
        <f aca="false">IF(K343-S343-P343+U343=0,0,(M343-P343)/(K343-S343-P343+U343))</f>
        <v>0.282051282051282</v>
      </c>
      <c r="AE343" s="15" t="n">
        <f aca="false">IF(J343=0,0,R343/J343)</f>
        <v>0.0895522388059701</v>
      </c>
      <c r="AF343" s="15" t="n">
        <f aca="false">IF(J343=0,0,S343/J343)</f>
        <v>0.152985074626866</v>
      </c>
      <c r="AG343" s="11" t="n">
        <f aca="false">IF(J343&gt;=INDEX(球季參數!$E$2:$E$4,MATCH($A343,球季參數!$A$2:$A$4,0)),1,0)</f>
        <v>0</v>
      </c>
    </row>
    <row r="344" customFormat="false" ht="15" hidden="false" customHeight="false" outlineLevel="0" collapsed="false">
      <c r="A344" s="5" t="n">
        <v>2025</v>
      </c>
      <c r="B344" s="7" t="s">
        <v>641</v>
      </c>
      <c r="C344" s="10" t="str">
        <f aca="false">INDEX(球員主檔!$B$2:$B$749,MATCH($B344,球員主檔!$A$2:$A$749,0))</f>
        <v>Thiago Beckwith</v>
      </c>
      <c r="D344" s="7" t="s">
        <v>358</v>
      </c>
      <c r="E344" s="10" t="str">
        <f aca="false">INDEX(球隊主檔!$C$2:$C$31,MATCH($D344,球隊主檔!$A$2:$A$31,0))</f>
        <v>多倫多藍鳥</v>
      </c>
      <c r="F344" s="10" t="str">
        <f aca="false">INDEX(球隊主檔!$D$2:$D$31,MATCH($D344,球隊主檔!$A$2:$A$31,0))</f>
        <v>美聯</v>
      </c>
      <c r="G344" s="7" t="s">
        <v>478</v>
      </c>
      <c r="H344" s="11" t="n">
        <f aca="false">INT((DATE($A344,7,1)-INDEX(球員主檔!$G$2:$G$749,MATCH($B344,球員主檔!$A$2:$A$749,0)))/365.25)</f>
        <v>23</v>
      </c>
      <c r="I344" s="12" t="n">
        <v>144</v>
      </c>
      <c r="J344" s="12" t="n">
        <v>585</v>
      </c>
      <c r="K344" s="12" t="n">
        <v>515</v>
      </c>
      <c r="L344" s="12" t="n">
        <v>59</v>
      </c>
      <c r="M344" s="12" t="n">
        <v>125</v>
      </c>
      <c r="N344" s="12" t="n">
        <v>17</v>
      </c>
      <c r="O344" s="12" t="n">
        <v>7</v>
      </c>
      <c r="P344" s="12" t="n">
        <v>3</v>
      </c>
      <c r="Q344" s="12" t="n">
        <v>40</v>
      </c>
      <c r="R344" s="12" t="n">
        <v>61</v>
      </c>
      <c r="S344" s="12" t="n">
        <v>113</v>
      </c>
      <c r="T344" s="12" t="n">
        <v>7</v>
      </c>
      <c r="U344" s="12" t="n">
        <v>2</v>
      </c>
      <c r="V344" s="12" t="n">
        <v>15</v>
      </c>
      <c r="W344" s="12" t="n">
        <v>2</v>
      </c>
      <c r="X344" s="13" t="n">
        <f aca="false">M344+N344+2*O344+3*P344</f>
        <v>165</v>
      </c>
      <c r="Y344" s="14" t="n">
        <f aca="false">IF(K344=0,0,M344/K344)</f>
        <v>0.242718446601942</v>
      </c>
      <c r="Z344" s="14" t="n">
        <f aca="false">IF(K344+R344+T344+U344=0,0,(M344+R344+T344)/(K344+R344+T344+U344))</f>
        <v>0.32991452991453</v>
      </c>
      <c r="AA344" s="14" t="n">
        <f aca="false">IF(K344=0,0,X344/K344)</f>
        <v>0.320388349514563</v>
      </c>
      <c r="AB344" s="14" t="n">
        <f aca="false">Z344+AA344</f>
        <v>0.650302879429093</v>
      </c>
      <c r="AC344" s="14" t="n">
        <f aca="false">AA344-Y344</f>
        <v>0.0776699029126214</v>
      </c>
      <c r="AD344" s="14" t="n">
        <f aca="false">IF(K344-S344-P344+U344=0,0,(M344-P344)/(K344-S344-P344+U344))</f>
        <v>0.304239401496259</v>
      </c>
      <c r="AE344" s="15" t="n">
        <f aca="false">IF(J344=0,0,R344/J344)</f>
        <v>0.104273504273504</v>
      </c>
      <c r="AF344" s="15" t="n">
        <f aca="false">IF(J344=0,0,S344/J344)</f>
        <v>0.193162393162393</v>
      </c>
      <c r="AG344" s="11" t="n">
        <f aca="false">IF(J344&gt;=INDEX(球季參數!$E$2:$E$4,MATCH($A344,球季參數!$A$2:$A$4,0)),1,0)</f>
        <v>1</v>
      </c>
    </row>
    <row r="345" customFormat="false" ht="15" hidden="false" customHeight="false" outlineLevel="0" collapsed="false">
      <c r="A345" s="5" t="n">
        <v>2025</v>
      </c>
      <c r="B345" s="7" t="s">
        <v>1691</v>
      </c>
      <c r="C345" s="10" t="str">
        <f aca="false">INDEX(球員主檔!$B$2:$B$749,MATCH($B345,球員主檔!$A$2:$A$749,0))</f>
        <v>Tristan Kiriakis</v>
      </c>
      <c r="D345" s="7" t="s">
        <v>358</v>
      </c>
      <c r="E345" s="10" t="str">
        <f aca="false">INDEX(球隊主檔!$C$2:$C$31,MATCH($D345,球隊主檔!$A$2:$A$31,0))</f>
        <v>多倫多藍鳥</v>
      </c>
      <c r="F345" s="10" t="str">
        <f aca="false">INDEX(球隊主檔!$D$2:$D$31,MATCH($D345,球隊主檔!$A$2:$A$31,0))</f>
        <v>美聯</v>
      </c>
      <c r="G345" s="7" t="s">
        <v>483</v>
      </c>
      <c r="H345" s="11" t="n">
        <f aca="false">INT((DATE($A345,7,1)-INDEX(球員主檔!$G$2:$G$749,MATCH($B345,球員主檔!$A$2:$A$749,0)))/365.25)</f>
        <v>22</v>
      </c>
      <c r="I345" s="12" t="n">
        <v>160</v>
      </c>
      <c r="J345" s="12" t="n">
        <v>676</v>
      </c>
      <c r="K345" s="12" t="n">
        <v>604</v>
      </c>
      <c r="L345" s="12" t="n">
        <v>68</v>
      </c>
      <c r="M345" s="12" t="n">
        <v>163</v>
      </c>
      <c r="N345" s="12" t="n">
        <v>38</v>
      </c>
      <c r="O345" s="12" t="n">
        <v>3</v>
      </c>
      <c r="P345" s="12" t="n">
        <v>11</v>
      </c>
      <c r="Q345" s="12" t="n">
        <v>65</v>
      </c>
      <c r="R345" s="12" t="n">
        <v>65</v>
      </c>
      <c r="S345" s="12" t="n">
        <v>129</v>
      </c>
      <c r="T345" s="12" t="n">
        <v>4</v>
      </c>
      <c r="U345" s="12" t="n">
        <v>3</v>
      </c>
      <c r="V345" s="12" t="n">
        <v>23</v>
      </c>
      <c r="W345" s="12" t="n">
        <v>4</v>
      </c>
      <c r="X345" s="13" t="n">
        <f aca="false">M345+N345+2*O345+3*P345</f>
        <v>240</v>
      </c>
      <c r="Y345" s="14" t="n">
        <f aca="false">IF(K345=0,0,M345/K345)</f>
        <v>0.269867549668874</v>
      </c>
      <c r="Z345" s="14" t="n">
        <f aca="false">IF(K345+R345+T345+U345=0,0,(M345+R345+T345)/(K345+R345+T345+U345))</f>
        <v>0.343195266272189</v>
      </c>
      <c r="AA345" s="14" t="n">
        <f aca="false">IF(K345=0,0,X345/K345)</f>
        <v>0.397350993377483</v>
      </c>
      <c r="AB345" s="14" t="n">
        <f aca="false">Z345+AA345</f>
        <v>0.740546259649673</v>
      </c>
      <c r="AC345" s="14" t="n">
        <f aca="false">AA345-Y345</f>
        <v>0.127483443708609</v>
      </c>
      <c r="AD345" s="14" t="n">
        <f aca="false">IF(K345-S345-P345+U345=0,0,(M345-P345)/(K345-S345-P345+U345))</f>
        <v>0.325481798715203</v>
      </c>
      <c r="AE345" s="15" t="n">
        <f aca="false">IF(J345=0,0,R345/J345)</f>
        <v>0.0961538461538462</v>
      </c>
      <c r="AF345" s="15" t="n">
        <f aca="false">IF(J345=0,0,S345/J345)</f>
        <v>0.190828402366864</v>
      </c>
      <c r="AG345" s="11" t="n">
        <f aca="false">IF(J345&gt;=INDEX(球季參數!$E$2:$E$4,MATCH($A345,球季參數!$A$2:$A$4,0)),1,0)</f>
        <v>1</v>
      </c>
    </row>
    <row r="346" customFormat="false" ht="15" hidden="false" customHeight="false" outlineLevel="0" collapsed="false">
      <c r="A346" s="5" t="n">
        <v>2025</v>
      </c>
      <c r="B346" s="7" t="s">
        <v>645</v>
      </c>
      <c r="C346" s="10" t="str">
        <f aca="false">INDEX(球員主檔!$B$2:$B$749,MATCH($B346,球員主檔!$A$2:$A$749,0))</f>
        <v>Niklas Lindquist</v>
      </c>
      <c r="D346" s="7" t="s">
        <v>358</v>
      </c>
      <c r="E346" s="10" t="str">
        <f aca="false">INDEX(球隊主檔!$C$2:$C$31,MATCH($D346,球隊主檔!$A$2:$A$31,0))</f>
        <v>多倫多藍鳥</v>
      </c>
      <c r="F346" s="10" t="str">
        <f aca="false">INDEX(球隊主檔!$D$2:$D$31,MATCH($D346,球隊主檔!$A$2:$A$31,0))</f>
        <v>美聯</v>
      </c>
      <c r="G346" s="7" t="s">
        <v>478</v>
      </c>
      <c r="H346" s="11" t="n">
        <f aca="false">INT((DATE($A346,7,1)-INDEX(球員主檔!$G$2:$G$749,MATCH($B346,球員主檔!$A$2:$A$749,0)))/365.25)</f>
        <v>29</v>
      </c>
      <c r="I346" s="12" t="n">
        <v>140</v>
      </c>
      <c r="J346" s="12" t="n">
        <v>626</v>
      </c>
      <c r="K346" s="12" t="n">
        <v>529</v>
      </c>
      <c r="L346" s="12" t="n">
        <v>88</v>
      </c>
      <c r="M346" s="12" t="n">
        <v>109</v>
      </c>
      <c r="N346" s="12" t="n">
        <v>23</v>
      </c>
      <c r="O346" s="12" t="n">
        <v>8</v>
      </c>
      <c r="P346" s="12" t="n">
        <v>36</v>
      </c>
      <c r="Q346" s="12" t="n">
        <v>92</v>
      </c>
      <c r="R346" s="12" t="n">
        <v>84</v>
      </c>
      <c r="S346" s="12" t="n">
        <v>129</v>
      </c>
      <c r="T346" s="12" t="n">
        <v>9</v>
      </c>
      <c r="U346" s="12" t="n">
        <v>4</v>
      </c>
      <c r="V346" s="12" t="n">
        <v>15</v>
      </c>
      <c r="W346" s="12" t="n">
        <v>5</v>
      </c>
      <c r="X346" s="13" t="n">
        <f aca="false">M346+N346+2*O346+3*P346</f>
        <v>256</v>
      </c>
      <c r="Y346" s="14" t="n">
        <f aca="false">IF(K346=0,0,M346/K346)</f>
        <v>0.206049149338374</v>
      </c>
      <c r="Z346" s="14" t="n">
        <f aca="false">IF(K346+R346+T346+U346=0,0,(M346+R346+T346)/(K346+R346+T346+U346))</f>
        <v>0.322683706070288</v>
      </c>
      <c r="AA346" s="14" t="n">
        <f aca="false">IF(K346=0,0,X346/K346)</f>
        <v>0.483931947069943</v>
      </c>
      <c r="AB346" s="14" t="n">
        <f aca="false">Z346+AA346</f>
        <v>0.806615653140231</v>
      </c>
      <c r="AC346" s="14" t="n">
        <f aca="false">AA346-Y346</f>
        <v>0.277882797731569</v>
      </c>
      <c r="AD346" s="14" t="n">
        <f aca="false">IF(K346-S346-P346+U346=0,0,(M346-P346)/(K346-S346-P346+U346))</f>
        <v>0.198369565217391</v>
      </c>
      <c r="AE346" s="15" t="n">
        <f aca="false">IF(J346=0,0,R346/J346)</f>
        <v>0.134185303514377</v>
      </c>
      <c r="AF346" s="15" t="n">
        <f aca="false">IF(J346=0,0,S346/J346)</f>
        <v>0.206070287539936</v>
      </c>
      <c r="AG346" s="11" t="n">
        <f aca="false">IF(J346&gt;=INDEX(球季參數!$E$2:$E$4,MATCH($A346,球季參數!$A$2:$A$4,0)),1,0)</f>
        <v>1</v>
      </c>
    </row>
    <row r="347" customFormat="false" ht="15" hidden="false" customHeight="false" outlineLevel="0" collapsed="false">
      <c r="A347" s="5" t="n">
        <v>2025</v>
      </c>
      <c r="B347" s="7" t="s">
        <v>647</v>
      </c>
      <c r="C347" s="10" t="str">
        <f aca="false">INDEX(球員主檔!$B$2:$B$749,MATCH($B347,球員主檔!$A$2:$A$749,0))</f>
        <v>Tristan Underhill</v>
      </c>
      <c r="D347" s="7" t="s">
        <v>358</v>
      </c>
      <c r="E347" s="10" t="str">
        <f aca="false">INDEX(球隊主檔!$C$2:$C$31,MATCH($D347,球隊主檔!$A$2:$A$31,0))</f>
        <v>多倫多藍鳥</v>
      </c>
      <c r="F347" s="10" t="str">
        <f aca="false">INDEX(球隊主檔!$D$2:$D$31,MATCH($D347,球隊主檔!$A$2:$A$31,0))</f>
        <v>美聯</v>
      </c>
      <c r="G347" s="7" t="s">
        <v>158</v>
      </c>
      <c r="H347" s="11" t="n">
        <f aca="false">INT((DATE($A347,7,1)-INDEX(球員主檔!$G$2:$G$749,MATCH($B347,球員主檔!$A$2:$A$749,0)))/365.25)</f>
        <v>29</v>
      </c>
      <c r="I347" s="12" t="n">
        <v>112</v>
      </c>
      <c r="J347" s="12" t="n">
        <v>455</v>
      </c>
      <c r="K347" s="12" t="n">
        <v>428</v>
      </c>
      <c r="L347" s="12" t="n">
        <v>62</v>
      </c>
      <c r="M347" s="12" t="n">
        <v>114</v>
      </c>
      <c r="N347" s="12" t="n">
        <v>29</v>
      </c>
      <c r="O347" s="12" t="n">
        <v>6</v>
      </c>
      <c r="P347" s="12" t="n">
        <v>28</v>
      </c>
      <c r="Q347" s="12" t="n">
        <v>75</v>
      </c>
      <c r="R347" s="12" t="n">
        <v>25</v>
      </c>
      <c r="S347" s="12" t="n">
        <v>157</v>
      </c>
      <c r="T347" s="12" t="n">
        <v>1</v>
      </c>
      <c r="U347" s="12" t="n">
        <v>1</v>
      </c>
      <c r="V347" s="12" t="n">
        <v>8</v>
      </c>
      <c r="W347" s="12" t="n">
        <v>2</v>
      </c>
      <c r="X347" s="13" t="n">
        <f aca="false">M347+N347+2*O347+3*P347</f>
        <v>239</v>
      </c>
      <c r="Y347" s="14" t="n">
        <f aca="false">IF(K347=0,0,M347/K347)</f>
        <v>0.266355140186916</v>
      </c>
      <c r="Z347" s="14" t="n">
        <f aca="false">IF(K347+R347+T347+U347=0,0,(M347+R347+T347)/(K347+R347+T347+U347))</f>
        <v>0.307692307692308</v>
      </c>
      <c r="AA347" s="14" t="n">
        <f aca="false">IF(K347=0,0,X347/K347)</f>
        <v>0.558411214953271</v>
      </c>
      <c r="AB347" s="14" t="n">
        <f aca="false">Z347+AA347</f>
        <v>0.866103522645579</v>
      </c>
      <c r="AC347" s="14" t="n">
        <f aca="false">AA347-Y347</f>
        <v>0.292056074766355</v>
      </c>
      <c r="AD347" s="14" t="n">
        <f aca="false">IF(K347-S347-P347+U347=0,0,(M347-P347)/(K347-S347-P347+U347))</f>
        <v>0.352459016393443</v>
      </c>
      <c r="AE347" s="15" t="n">
        <f aca="false">IF(J347=0,0,R347/J347)</f>
        <v>0.0549450549450549</v>
      </c>
      <c r="AF347" s="15" t="n">
        <f aca="false">IF(J347=0,0,S347/J347)</f>
        <v>0.345054945054945</v>
      </c>
      <c r="AG347" s="11" t="n">
        <f aca="false">IF(J347&gt;=INDEX(球季參數!$E$2:$E$4,MATCH($A347,球季參數!$A$2:$A$4,0)),1,0)</f>
        <v>0</v>
      </c>
    </row>
    <row r="348" customFormat="false" ht="15" hidden="false" customHeight="false" outlineLevel="0" collapsed="false">
      <c r="A348" s="5" t="n">
        <v>2025</v>
      </c>
      <c r="B348" s="7" t="s">
        <v>649</v>
      </c>
      <c r="C348" s="10" t="str">
        <f aca="false">INDEX(球員主檔!$B$2:$B$749,MATCH($B348,球員主檔!$A$2:$A$749,0))</f>
        <v>Ronin Kiriakis</v>
      </c>
      <c r="D348" s="7" t="s">
        <v>358</v>
      </c>
      <c r="E348" s="10" t="str">
        <f aca="false">INDEX(球隊主檔!$C$2:$C$31,MATCH($D348,球隊主檔!$A$2:$A$31,0))</f>
        <v>多倫多藍鳥</v>
      </c>
      <c r="F348" s="10" t="str">
        <f aca="false">INDEX(球隊主檔!$D$2:$D$31,MATCH($D348,球隊主檔!$A$2:$A$31,0))</f>
        <v>美聯</v>
      </c>
      <c r="G348" s="7" t="s">
        <v>483</v>
      </c>
      <c r="H348" s="11" t="n">
        <f aca="false">INT((DATE($A348,7,1)-INDEX(球員主檔!$G$2:$G$749,MATCH($B348,球員主檔!$A$2:$A$749,0)))/365.25)</f>
        <v>34</v>
      </c>
      <c r="I348" s="12" t="n">
        <v>120</v>
      </c>
      <c r="J348" s="12" t="n">
        <v>522</v>
      </c>
      <c r="K348" s="12" t="n">
        <v>447</v>
      </c>
      <c r="L348" s="12" t="n">
        <v>64</v>
      </c>
      <c r="M348" s="12" t="n">
        <v>120</v>
      </c>
      <c r="N348" s="12" t="n">
        <v>33</v>
      </c>
      <c r="O348" s="12" t="n">
        <v>7</v>
      </c>
      <c r="P348" s="12" t="n">
        <v>21</v>
      </c>
      <c r="Q348" s="12" t="n">
        <v>81</v>
      </c>
      <c r="R348" s="12" t="n">
        <v>66</v>
      </c>
      <c r="S348" s="12" t="n">
        <v>146</v>
      </c>
      <c r="T348" s="12" t="n">
        <v>6</v>
      </c>
      <c r="U348" s="12" t="n">
        <v>3</v>
      </c>
      <c r="V348" s="12" t="n">
        <v>28</v>
      </c>
      <c r="W348" s="12" t="n">
        <v>9</v>
      </c>
      <c r="X348" s="13" t="n">
        <f aca="false">M348+N348+2*O348+3*P348</f>
        <v>230</v>
      </c>
      <c r="Y348" s="14" t="n">
        <f aca="false">IF(K348=0,0,M348/K348)</f>
        <v>0.268456375838926</v>
      </c>
      <c r="Z348" s="14" t="n">
        <f aca="false">IF(K348+R348+T348+U348=0,0,(M348+R348+T348)/(K348+R348+T348+U348))</f>
        <v>0.367816091954023</v>
      </c>
      <c r="AA348" s="14" t="n">
        <f aca="false">IF(K348=0,0,X348/K348)</f>
        <v>0.514541387024609</v>
      </c>
      <c r="AB348" s="14" t="n">
        <f aca="false">Z348+AA348</f>
        <v>0.882357478978632</v>
      </c>
      <c r="AC348" s="14" t="n">
        <f aca="false">AA348-Y348</f>
        <v>0.246085011185682</v>
      </c>
      <c r="AD348" s="14" t="n">
        <f aca="false">IF(K348-S348-P348+U348=0,0,(M348-P348)/(K348-S348-P348+U348))</f>
        <v>0.34982332155477</v>
      </c>
      <c r="AE348" s="15" t="n">
        <f aca="false">IF(J348=0,0,R348/J348)</f>
        <v>0.126436781609195</v>
      </c>
      <c r="AF348" s="15" t="n">
        <f aca="false">IF(J348=0,0,S348/J348)</f>
        <v>0.279693486590038</v>
      </c>
      <c r="AG348" s="11" t="n">
        <f aca="false">IF(J348&gt;=INDEX(球季參數!$E$2:$E$4,MATCH($A348,球季參數!$A$2:$A$4,0)),1,0)</f>
        <v>1</v>
      </c>
    </row>
    <row r="349" customFormat="false" ht="15" hidden="false" customHeight="false" outlineLevel="0" collapsed="false">
      <c r="A349" s="5" t="n">
        <v>2025</v>
      </c>
      <c r="B349" s="7" t="s">
        <v>1693</v>
      </c>
      <c r="C349" s="10" t="str">
        <f aca="false">INDEX(球員主檔!$B$2:$B$749,MATCH($B349,球員主檔!$A$2:$A$749,0))</f>
        <v>Lucien Yarbrough</v>
      </c>
      <c r="D349" s="7" t="s">
        <v>358</v>
      </c>
      <c r="E349" s="10" t="str">
        <f aca="false">INDEX(球隊主檔!$C$2:$C$31,MATCH($D349,球隊主檔!$A$2:$A$31,0))</f>
        <v>多倫多藍鳥</v>
      </c>
      <c r="F349" s="10" t="str">
        <f aca="false">INDEX(球隊主檔!$D$2:$D$31,MATCH($D349,球隊主檔!$A$2:$A$31,0))</f>
        <v>美聯</v>
      </c>
      <c r="G349" s="7" t="s">
        <v>486</v>
      </c>
      <c r="H349" s="11" t="n">
        <f aca="false">INT((DATE($A349,7,1)-INDEX(球員主檔!$G$2:$G$749,MATCH($B349,球員主檔!$A$2:$A$749,0)))/365.25)</f>
        <v>24</v>
      </c>
      <c r="I349" s="12" t="n">
        <v>117</v>
      </c>
      <c r="J349" s="12" t="n">
        <v>506</v>
      </c>
      <c r="K349" s="12" t="n">
        <v>464</v>
      </c>
      <c r="L349" s="12" t="n">
        <v>44</v>
      </c>
      <c r="M349" s="12" t="n">
        <v>98</v>
      </c>
      <c r="N349" s="12" t="n">
        <v>23</v>
      </c>
      <c r="O349" s="12" t="n">
        <v>2</v>
      </c>
      <c r="P349" s="12" t="n">
        <v>11</v>
      </c>
      <c r="Q349" s="12" t="n">
        <v>48</v>
      </c>
      <c r="R349" s="12" t="n">
        <v>32</v>
      </c>
      <c r="S349" s="12" t="n">
        <v>100</v>
      </c>
      <c r="T349" s="12" t="n">
        <v>6</v>
      </c>
      <c r="U349" s="12" t="n">
        <v>4</v>
      </c>
      <c r="V349" s="12" t="n">
        <v>11</v>
      </c>
      <c r="W349" s="12" t="n">
        <v>3</v>
      </c>
      <c r="X349" s="13" t="n">
        <f aca="false">M349+N349+2*O349+3*P349</f>
        <v>158</v>
      </c>
      <c r="Y349" s="14" t="n">
        <f aca="false">IF(K349=0,0,M349/K349)</f>
        <v>0.211206896551724</v>
      </c>
      <c r="Z349" s="14" t="n">
        <f aca="false">IF(K349+R349+T349+U349=0,0,(M349+R349+T349)/(K349+R349+T349+U349))</f>
        <v>0.268774703557312</v>
      </c>
      <c r="AA349" s="14" t="n">
        <f aca="false">IF(K349=0,0,X349/K349)</f>
        <v>0.34051724137931</v>
      </c>
      <c r="AB349" s="14" t="n">
        <f aca="false">Z349+AA349</f>
        <v>0.609291944936623</v>
      </c>
      <c r="AC349" s="14" t="n">
        <f aca="false">AA349-Y349</f>
        <v>0.129310344827586</v>
      </c>
      <c r="AD349" s="14" t="n">
        <f aca="false">IF(K349-S349-P349+U349=0,0,(M349-P349)/(K349-S349-P349+U349))</f>
        <v>0.243697478991597</v>
      </c>
      <c r="AE349" s="15" t="n">
        <f aca="false">IF(J349=0,0,R349/J349)</f>
        <v>0.0632411067193676</v>
      </c>
      <c r="AF349" s="15" t="n">
        <f aca="false">IF(J349=0,0,S349/J349)</f>
        <v>0.197628458498024</v>
      </c>
      <c r="AG349" s="11" t="n">
        <f aca="false">IF(J349&gt;=INDEX(球季參數!$E$2:$E$4,MATCH($A349,球季參數!$A$2:$A$4,0)),1,0)</f>
        <v>1</v>
      </c>
    </row>
    <row r="350" customFormat="false" ht="15" hidden="false" customHeight="false" outlineLevel="0" collapsed="false">
      <c r="A350" s="5" t="n">
        <v>2025</v>
      </c>
      <c r="B350" s="7" t="s">
        <v>653</v>
      </c>
      <c r="C350" s="10" t="str">
        <f aca="false">INDEX(球員主檔!$B$2:$B$749,MATCH($B350,球員主檔!$A$2:$A$749,0))</f>
        <v>Rhett Halloway</v>
      </c>
      <c r="D350" s="7" t="s">
        <v>358</v>
      </c>
      <c r="E350" s="10" t="str">
        <f aca="false">INDEX(球隊主檔!$C$2:$C$31,MATCH($D350,球隊主檔!$A$2:$A$31,0))</f>
        <v>多倫多藍鳥</v>
      </c>
      <c r="F350" s="10" t="str">
        <f aca="false">INDEX(球隊主檔!$D$2:$D$31,MATCH($D350,球隊主檔!$A$2:$A$31,0))</f>
        <v>美聯</v>
      </c>
      <c r="G350" s="7" t="s">
        <v>158</v>
      </c>
      <c r="H350" s="11" t="n">
        <f aca="false">INT((DATE($A350,7,1)-INDEX(球員主檔!$G$2:$G$749,MATCH($B350,球員主檔!$A$2:$A$749,0)))/365.25)</f>
        <v>34</v>
      </c>
      <c r="I350" s="12" t="n">
        <v>43</v>
      </c>
      <c r="J350" s="12" t="n">
        <v>186</v>
      </c>
      <c r="K350" s="12" t="n">
        <v>176</v>
      </c>
      <c r="L350" s="12" t="n">
        <v>18</v>
      </c>
      <c r="M350" s="12" t="n">
        <v>35</v>
      </c>
      <c r="N350" s="12" t="n">
        <v>10</v>
      </c>
      <c r="O350" s="12" t="n">
        <v>6</v>
      </c>
      <c r="P350" s="12" t="n">
        <v>4</v>
      </c>
      <c r="Q350" s="12" t="n">
        <v>13</v>
      </c>
      <c r="R350" s="12" t="n">
        <v>8</v>
      </c>
      <c r="S350" s="12" t="n">
        <v>30</v>
      </c>
      <c r="T350" s="12" t="n">
        <v>1</v>
      </c>
      <c r="U350" s="12" t="n">
        <v>1</v>
      </c>
      <c r="V350" s="12" t="n">
        <v>5</v>
      </c>
      <c r="W350" s="12" t="n">
        <v>1</v>
      </c>
      <c r="X350" s="13" t="n">
        <f aca="false">M350+N350+2*O350+3*P350</f>
        <v>69</v>
      </c>
      <c r="Y350" s="14" t="n">
        <f aca="false">IF(K350=0,0,M350/K350)</f>
        <v>0.198863636363636</v>
      </c>
      <c r="Z350" s="14" t="n">
        <f aca="false">IF(K350+R350+T350+U350=0,0,(M350+R350+T350)/(K350+R350+T350+U350))</f>
        <v>0.236559139784946</v>
      </c>
      <c r="AA350" s="14" t="n">
        <f aca="false">IF(K350=0,0,X350/K350)</f>
        <v>0.392045454545455</v>
      </c>
      <c r="AB350" s="14" t="n">
        <f aca="false">Z350+AA350</f>
        <v>0.628604594330401</v>
      </c>
      <c r="AC350" s="14" t="n">
        <f aca="false">AA350-Y350</f>
        <v>0.193181818181818</v>
      </c>
      <c r="AD350" s="14" t="n">
        <f aca="false">IF(K350-S350-P350+U350=0,0,(M350-P350)/(K350-S350-P350+U350))</f>
        <v>0.216783216783217</v>
      </c>
      <c r="AE350" s="15" t="n">
        <f aca="false">IF(J350=0,0,R350/J350)</f>
        <v>0.043010752688172</v>
      </c>
      <c r="AF350" s="15" t="n">
        <f aca="false">IF(J350=0,0,S350/J350)</f>
        <v>0.161290322580645</v>
      </c>
      <c r="AG350" s="11" t="n">
        <f aca="false">IF(J350&gt;=INDEX(球季參數!$E$2:$E$4,MATCH($A350,球季參數!$A$2:$A$4,0)),1,0)</f>
        <v>0</v>
      </c>
    </row>
    <row r="351" customFormat="false" ht="15" hidden="false" customHeight="false" outlineLevel="0" collapsed="false">
      <c r="A351" s="5" t="n">
        <v>2025</v>
      </c>
      <c r="B351" s="7" t="s">
        <v>655</v>
      </c>
      <c r="C351" s="10" t="str">
        <f aca="false">INDEX(球員主檔!$B$2:$B$749,MATCH($B351,球員主檔!$A$2:$A$749,0))</f>
        <v>Leandro Engelhardt</v>
      </c>
      <c r="D351" s="7" t="s">
        <v>358</v>
      </c>
      <c r="E351" s="10" t="str">
        <f aca="false">INDEX(球隊主檔!$C$2:$C$31,MATCH($D351,球隊主檔!$A$2:$A$31,0))</f>
        <v>多倫多藍鳥</v>
      </c>
      <c r="F351" s="10" t="str">
        <f aca="false">INDEX(球隊主檔!$D$2:$D$31,MATCH($D351,球隊主檔!$A$2:$A$31,0))</f>
        <v>美聯</v>
      </c>
      <c r="G351" s="7" t="s">
        <v>522</v>
      </c>
      <c r="H351" s="11" t="n">
        <f aca="false">INT((DATE($A351,7,1)-INDEX(球員主檔!$G$2:$G$749,MATCH($B351,球員主檔!$A$2:$A$749,0)))/365.25)</f>
        <v>33</v>
      </c>
      <c r="I351" s="12" t="n">
        <v>69</v>
      </c>
      <c r="J351" s="12" t="n">
        <v>303</v>
      </c>
      <c r="K351" s="12" t="n">
        <v>284</v>
      </c>
      <c r="L351" s="12" t="n">
        <v>34</v>
      </c>
      <c r="M351" s="12" t="n">
        <v>63</v>
      </c>
      <c r="N351" s="12" t="n">
        <v>16</v>
      </c>
      <c r="O351" s="12" t="n">
        <v>3</v>
      </c>
      <c r="P351" s="12" t="n">
        <v>12</v>
      </c>
      <c r="Q351" s="12" t="n">
        <v>42</v>
      </c>
      <c r="R351" s="12" t="n">
        <v>13</v>
      </c>
      <c r="S351" s="12" t="n">
        <v>49</v>
      </c>
      <c r="T351" s="12" t="n">
        <v>3</v>
      </c>
      <c r="U351" s="12" t="n">
        <v>3</v>
      </c>
      <c r="V351" s="12" t="n">
        <v>3</v>
      </c>
      <c r="W351" s="12" t="n">
        <v>1</v>
      </c>
      <c r="X351" s="13" t="n">
        <f aca="false">M351+N351+2*O351+3*P351</f>
        <v>121</v>
      </c>
      <c r="Y351" s="14" t="n">
        <f aca="false">IF(K351=0,0,M351/K351)</f>
        <v>0.221830985915493</v>
      </c>
      <c r="Z351" s="14" t="n">
        <f aca="false">IF(K351+R351+T351+U351=0,0,(M351+R351+T351)/(K351+R351+T351+U351))</f>
        <v>0.260726072607261</v>
      </c>
      <c r="AA351" s="14" t="n">
        <f aca="false">IF(K351=0,0,X351/K351)</f>
        <v>0.426056338028169</v>
      </c>
      <c r="AB351" s="14" t="n">
        <f aca="false">Z351+AA351</f>
        <v>0.68678241063543</v>
      </c>
      <c r="AC351" s="14" t="n">
        <f aca="false">AA351-Y351</f>
        <v>0.204225352112676</v>
      </c>
      <c r="AD351" s="14" t="n">
        <f aca="false">IF(K351-S351-P351+U351=0,0,(M351-P351)/(K351-S351-P351+U351))</f>
        <v>0.225663716814159</v>
      </c>
      <c r="AE351" s="15" t="n">
        <f aca="false">IF(J351=0,0,R351/J351)</f>
        <v>0.0429042904290429</v>
      </c>
      <c r="AF351" s="15" t="n">
        <f aca="false">IF(J351=0,0,S351/J351)</f>
        <v>0.161716171617162</v>
      </c>
      <c r="AG351" s="11" t="n">
        <f aca="false">IF(J351&gt;=INDEX(球季參數!$E$2:$E$4,MATCH($A351,球季參數!$A$2:$A$4,0)),1,0)</f>
        <v>0</v>
      </c>
    </row>
    <row r="352" customFormat="false" ht="15" hidden="false" customHeight="false" outlineLevel="0" collapsed="false">
      <c r="A352" s="5" t="n">
        <v>2025</v>
      </c>
      <c r="B352" s="7" t="s">
        <v>677</v>
      </c>
      <c r="C352" s="10" t="str">
        <f aca="false">INDEX(球員主檔!$B$2:$B$749,MATCH($B352,球員主檔!$A$2:$A$749,0))</f>
        <v>Thiago Fontaine</v>
      </c>
      <c r="D352" s="7" t="s">
        <v>362</v>
      </c>
      <c r="E352" s="10" t="str">
        <f aca="false">INDEX(球隊主檔!$C$2:$C$31,MATCH($D352,球隊主檔!$A$2:$A$31,0))</f>
        <v>芝加哥白襪</v>
      </c>
      <c r="F352" s="10" t="str">
        <f aca="false">INDEX(球隊主檔!$D$2:$D$31,MATCH($D352,球隊主檔!$A$2:$A$31,0))</f>
        <v>美聯</v>
      </c>
      <c r="G352" s="7" t="s">
        <v>478</v>
      </c>
      <c r="H352" s="11" t="n">
        <f aca="false">INT((DATE($A352,7,1)-INDEX(球員主檔!$G$2:$G$749,MATCH($B352,球員主檔!$A$2:$A$749,0)))/365.25)</f>
        <v>31</v>
      </c>
      <c r="I352" s="12" t="n">
        <v>162</v>
      </c>
      <c r="J352" s="12" t="n">
        <v>702</v>
      </c>
      <c r="K352" s="12" t="n">
        <v>595</v>
      </c>
      <c r="L352" s="12" t="n">
        <v>83</v>
      </c>
      <c r="M352" s="12" t="n">
        <v>168</v>
      </c>
      <c r="N352" s="12" t="n">
        <v>23</v>
      </c>
      <c r="O352" s="12" t="n">
        <v>6</v>
      </c>
      <c r="P352" s="12" t="n">
        <v>16</v>
      </c>
      <c r="Q352" s="12" t="n">
        <v>84</v>
      </c>
      <c r="R352" s="12" t="n">
        <v>94</v>
      </c>
      <c r="S352" s="12" t="n">
        <v>137</v>
      </c>
      <c r="T352" s="12" t="n">
        <v>6</v>
      </c>
      <c r="U352" s="12" t="n">
        <v>7</v>
      </c>
      <c r="V352" s="12" t="n">
        <v>4</v>
      </c>
      <c r="W352" s="12" t="n">
        <v>1</v>
      </c>
      <c r="X352" s="13" t="n">
        <f aca="false">M352+N352+2*O352+3*P352</f>
        <v>251</v>
      </c>
      <c r="Y352" s="14" t="n">
        <f aca="false">IF(K352=0,0,M352/K352)</f>
        <v>0.282352941176471</v>
      </c>
      <c r="Z352" s="14" t="n">
        <f aca="false">IF(K352+R352+T352+U352=0,0,(M352+R352+T352)/(K352+R352+T352+U352))</f>
        <v>0.381766381766382</v>
      </c>
      <c r="AA352" s="14" t="n">
        <f aca="false">IF(K352=0,0,X352/K352)</f>
        <v>0.421848739495798</v>
      </c>
      <c r="AB352" s="14" t="n">
        <f aca="false">Z352+AA352</f>
        <v>0.80361512126218</v>
      </c>
      <c r="AC352" s="14" t="n">
        <f aca="false">AA352-Y352</f>
        <v>0.139495798319328</v>
      </c>
      <c r="AD352" s="14" t="n">
        <f aca="false">IF(K352-S352-P352+U352=0,0,(M352-P352)/(K352-S352-P352+U352))</f>
        <v>0.338530066815145</v>
      </c>
      <c r="AE352" s="15" t="n">
        <f aca="false">IF(J352=0,0,R352/J352)</f>
        <v>0.133903133903134</v>
      </c>
      <c r="AF352" s="15" t="n">
        <f aca="false">IF(J352=0,0,S352/J352)</f>
        <v>0.195156695156695</v>
      </c>
      <c r="AG352" s="11" t="n">
        <f aca="false">IF(J352&gt;=INDEX(球季參數!$E$2:$E$4,MATCH($A352,球季參數!$A$2:$A$4,0)),1,0)</f>
        <v>1</v>
      </c>
    </row>
    <row r="353" customFormat="false" ht="15" hidden="false" customHeight="false" outlineLevel="0" collapsed="false">
      <c r="A353" s="5" t="n">
        <v>2025</v>
      </c>
      <c r="B353" s="7" t="s">
        <v>679</v>
      </c>
      <c r="C353" s="10" t="str">
        <f aca="false">INDEX(球員主檔!$B$2:$B$749,MATCH($B353,球員主檔!$A$2:$A$749,0))</f>
        <v>Landon Wainwright</v>
      </c>
      <c r="D353" s="7" t="s">
        <v>362</v>
      </c>
      <c r="E353" s="10" t="str">
        <f aca="false">INDEX(球隊主檔!$C$2:$C$31,MATCH($D353,球隊主檔!$A$2:$A$31,0))</f>
        <v>芝加哥白襪</v>
      </c>
      <c r="F353" s="10" t="str">
        <f aca="false">INDEX(球隊主檔!$D$2:$D$31,MATCH($D353,球隊主檔!$A$2:$A$31,0))</f>
        <v>美聯</v>
      </c>
      <c r="G353" s="7" t="s">
        <v>162</v>
      </c>
      <c r="H353" s="11" t="n">
        <f aca="false">INT((DATE($A353,7,1)-INDEX(球員主檔!$G$2:$G$749,MATCH($B353,球員主檔!$A$2:$A$749,0)))/365.25)</f>
        <v>31</v>
      </c>
      <c r="I353" s="12" t="n">
        <v>134</v>
      </c>
      <c r="J353" s="12" t="n">
        <v>579</v>
      </c>
      <c r="K353" s="12" t="n">
        <v>549</v>
      </c>
      <c r="L353" s="12" t="n">
        <v>52</v>
      </c>
      <c r="M353" s="12" t="n">
        <v>116</v>
      </c>
      <c r="N353" s="12" t="n">
        <v>28</v>
      </c>
      <c r="O353" s="12" t="n">
        <v>4</v>
      </c>
      <c r="P353" s="12" t="n">
        <v>12</v>
      </c>
      <c r="Q353" s="12" t="n">
        <v>58</v>
      </c>
      <c r="R353" s="12" t="n">
        <v>19</v>
      </c>
      <c r="S353" s="12" t="n">
        <v>102</v>
      </c>
      <c r="T353" s="12" t="n">
        <v>9</v>
      </c>
      <c r="U353" s="12" t="n">
        <v>2</v>
      </c>
      <c r="V353" s="12" t="n">
        <v>3</v>
      </c>
      <c r="W353" s="12" t="n">
        <v>0</v>
      </c>
      <c r="X353" s="13" t="n">
        <f aca="false">M353+N353+2*O353+3*P353</f>
        <v>188</v>
      </c>
      <c r="Y353" s="14" t="n">
        <f aca="false">IF(K353=0,0,M353/K353)</f>
        <v>0.211293260473588</v>
      </c>
      <c r="Z353" s="14" t="n">
        <f aca="false">IF(K353+R353+T353+U353=0,0,(M353+R353+T353)/(K353+R353+T353+U353))</f>
        <v>0.248704663212435</v>
      </c>
      <c r="AA353" s="14" t="n">
        <f aca="false">IF(K353=0,0,X353/K353)</f>
        <v>0.342440801457195</v>
      </c>
      <c r="AB353" s="14" t="n">
        <f aca="false">Z353+AA353</f>
        <v>0.59114546466963</v>
      </c>
      <c r="AC353" s="14" t="n">
        <f aca="false">AA353-Y353</f>
        <v>0.131147540983607</v>
      </c>
      <c r="AD353" s="14" t="n">
        <f aca="false">IF(K353-S353-P353+U353=0,0,(M353-P353)/(K353-S353-P353+U353))</f>
        <v>0.237986270022883</v>
      </c>
      <c r="AE353" s="15" t="n">
        <f aca="false">IF(J353=0,0,R353/J353)</f>
        <v>0.0328151986183074</v>
      </c>
      <c r="AF353" s="15" t="n">
        <f aca="false">IF(J353=0,0,S353/J353)</f>
        <v>0.176165803108808</v>
      </c>
      <c r="AG353" s="11" t="n">
        <f aca="false">IF(J353&gt;=INDEX(球季參數!$E$2:$E$4,MATCH($A353,球季參數!$A$2:$A$4,0)),1,0)</f>
        <v>1</v>
      </c>
    </row>
    <row r="354" customFormat="false" ht="15" hidden="false" customHeight="false" outlineLevel="0" collapsed="false">
      <c r="A354" s="5" t="n">
        <v>2025</v>
      </c>
      <c r="B354" s="7" t="s">
        <v>681</v>
      </c>
      <c r="C354" s="10" t="str">
        <f aca="false">INDEX(球員主檔!$B$2:$B$749,MATCH($B354,球員主檔!$A$2:$A$749,0))</f>
        <v>Cedric Ulloa</v>
      </c>
      <c r="D354" s="7" t="s">
        <v>362</v>
      </c>
      <c r="E354" s="10" t="str">
        <f aca="false">INDEX(球隊主檔!$C$2:$C$31,MATCH($D354,球隊主檔!$A$2:$A$31,0))</f>
        <v>芝加哥白襪</v>
      </c>
      <c r="F354" s="10" t="str">
        <f aca="false">INDEX(球隊主檔!$D$2:$D$31,MATCH($D354,球隊主檔!$A$2:$A$31,0))</f>
        <v>美聯</v>
      </c>
      <c r="G354" s="7" t="s">
        <v>486</v>
      </c>
      <c r="H354" s="11" t="n">
        <f aca="false">INT((DATE($A354,7,1)-INDEX(球員主檔!$G$2:$G$749,MATCH($B354,球員主檔!$A$2:$A$749,0)))/365.25)</f>
        <v>28</v>
      </c>
      <c r="I354" s="12" t="n">
        <v>104</v>
      </c>
      <c r="J354" s="12" t="n">
        <v>455</v>
      </c>
      <c r="K354" s="12" t="n">
        <v>417</v>
      </c>
      <c r="L354" s="12" t="n">
        <v>36</v>
      </c>
      <c r="M354" s="12" t="n">
        <v>79</v>
      </c>
      <c r="N354" s="12" t="n">
        <v>28</v>
      </c>
      <c r="O354" s="12" t="n">
        <v>2</v>
      </c>
      <c r="P354" s="12" t="n">
        <v>9</v>
      </c>
      <c r="Q354" s="12" t="n">
        <v>42</v>
      </c>
      <c r="R354" s="12" t="n">
        <v>26</v>
      </c>
      <c r="S354" s="12" t="n">
        <v>99</v>
      </c>
      <c r="T354" s="12" t="n">
        <v>8</v>
      </c>
      <c r="U354" s="12" t="n">
        <v>4</v>
      </c>
      <c r="V354" s="12" t="n">
        <v>4</v>
      </c>
      <c r="W354" s="12" t="n">
        <v>1</v>
      </c>
      <c r="X354" s="13" t="n">
        <f aca="false">M354+N354+2*O354+3*P354</f>
        <v>138</v>
      </c>
      <c r="Y354" s="14" t="n">
        <f aca="false">IF(K354=0,0,M354/K354)</f>
        <v>0.189448441247002</v>
      </c>
      <c r="Z354" s="14" t="n">
        <f aca="false">IF(K354+R354+T354+U354=0,0,(M354+R354+T354)/(K354+R354+T354+U354))</f>
        <v>0.248351648351648</v>
      </c>
      <c r="AA354" s="14" t="n">
        <f aca="false">IF(K354=0,0,X354/K354)</f>
        <v>0.330935251798561</v>
      </c>
      <c r="AB354" s="14" t="n">
        <f aca="false">Z354+AA354</f>
        <v>0.579286900150209</v>
      </c>
      <c r="AC354" s="14" t="n">
        <f aca="false">AA354-Y354</f>
        <v>0.141486810551559</v>
      </c>
      <c r="AD354" s="14" t="n">
        <f aca="false">IF(K354-S354-P354+U354=0,0,(M354-P354)/(K354-S354-P354+U354))</f>
        <v>0.223642172523962</v>
      </c>
      <c r="AE354" s="15" t="n">
        <f aca="false">IF(J354=0,0,R354/J354)</f>
        <v>0.0571428571428571</v>
      </c>
      <c r="AF354" s="15" t="n">
        <f aca="false">IF(J354=0,0,S354/J354)</f>
        <v>0.217582417582418</v>
      </c>
      <c r="AG354" s="11" t="n">
        <f aca="false">IF(J354&gt;=INDEX(球季參數!$E$2:$E$4,MATCH($A354,球季參數!$A$2:$A$4,0)),1,0)</f>
        <v>0</v>
      </c>
    </row>
    <row r="355" customFormat="false" ht="15" hidden="false" customHeight="false" outlineLevel="0" collapsed="false">
      <c r="A355" s="5" t="n">
        <v>2025</v>
      </c>
      <c r="B355" s="7" t="s">
        <v>683</v>
      </c>
      <c r="C355" s="10" t="str">
        <f aca="false">INDEX(球員主檔!$B$2:$B$749,MATCH($B355,球員主檔!$A$2:$A$749,0))</f>
        <v>Jedidiah Jaramillo</v>
      </c>
      <c r="D355" s="7" t="s">
        <v>362</v>
      </c>
      <c r="E355" s="10" t="str">
        <f aca="false">INDEX(球隊主檔!$C$2:$C$31,MATCH($D355,球隊主檔!$A$2:$A$31,0))</f>
        <v>芝加哥白襪</v>
      </c>
      <c r="F355" s="10" t="str">
        <f aca="false">INDEX(球隊主檔!$D$2:$D$31,MATCH($D355,球隊主檔!$A$2:$A$31,0))</f>
        <v>美聯</v>
      </c>
      <c r="G355" s="7" t="s">
        <v>483</v>
      </c>
      <c r="H355" s="11" t="n">
        <f aca="false">INT((DATE($A355,7,1)-INDEX(球員主檔!$G$2:$G$749,MATCH($B355,球員主檔!$A$2:$A$749,0)))/365.25)</f>
        <v>29</v>
      </c>
      <c r="I355" s="12" t="n">
        <v>134</v>
      </c>
      <c r="J355" s="12" t="n">
        <v>583</v>
      </c>
      <c r="K355" s="12" t="n">
        <v>530</v>
      </c>
      <c r="L355" s="12" t="n">
        <v>59</v>
      </c>
      <c r="M355" s="12" t="n">
        <v>122</v>
      </c>
      <c r="N355" s="12" t="n">
        <v>30</v>
      </c>
      <c r="O355" s="12" t="n">
        <v>8</v>
      </c>
      <c r="P355" s="12" t="n">
        <v>13</v>
      </c>
      <c r="Q355" s="12" t="n">
        <v>52</v>
      </c>
      <c r="R355" s="12" t="n">
        <v>36</v>
      </c>
      <c r="S355" s="12" t="n">
        <v>116</v>
      </c>
      <c r="T355" s="12" t="n">
        <v>11</v>
      </c>
      <c r="U355" s="12" t="n">
        <v>6</v>
      </c>
      <c r="V355" s="12" t="n">
        <v>21</v>
      </c>
      <c r="W355" s="12" t="n">
        <v>6</v>
      </c>
      <c r="X355" s="13" t="n">
        <f aca="false">M355+N355+2*O355+3*P355</f>
        <v>207</v>
      </c>
      <c r="Y355" s="14" t="n">
        <f aca="false">IF(K355=0,0,M355/K355)</f>
        <v>0.230188679245283</v>
      </c>
      <c r="Z355" s="14" t="n">
        <f aca="false">IF(K355+R355+T355+U355=0,0,(M355+R355+T355)/(K355+R355+T355+U355))</f>
        <v>0.289879931389365</v>
      </c>
      <c r="AA355" s="14" t="n">
        <f aca="false">IF(K355=0,0,X355/K355)</f>
        <v>0.390566037735849</v>
      </c>
      <c r="AB355" s="14" t="n">
        <f aca="false">Z355+AA355</f>
        <v>0.680445969125215</v>
      </c>
      <c r="AC355" s="14" t="n">
        <f aca="false">AA355-Y355</f>
        <v>0.160377358490566</v>
      </c>
      <c r="AD355" s="14" t="n">
        <f aca="false">IF(K355-S355-P355+U355=0,0,(M355-P355)/(K355-S355-P355+U355))</f>
        <v>0.267813267813268</v>
      </c>
      <c r="AE355" s="15" t="n">
        <f aca="false">IF(J355=0,0,R355/J355)</f>
        <v>0.0617495711835335</v>
      </c>
      <c r="AF355" s="15" t="n">
        <f aca="false">IF(J355=0,0,S355/J355)</f>
        <v>0.198970840480274</v>
      </c>
      <c r="AG355" s="11" t="n">
        <f aca="false">IF(J355&gt;=INDEX(球季參數!$E$2:$E$4,MATCH($A355,球季參數!$A$2:$A$4,0)),1,0)</f>
        <v>1</v>
      </c>
    </row>
    <row r="356" customFormat="false" ht="15" hidden="false" customHeight="false" outlineLevel="0" collapsed="false">
      <c r="A356" s="5" t="n">
        <v>2025</v>
      </c>
      <c r="B356" s="7" t="s">
        <v>1697</v>
      </c>
      <c r="C356" s="10" t="str">
        <f aca="false">INDEX(球員主檔!$B$2:$B$749,MATCH($B356,球員主檔!$A$2:$A$749,0))</f>
        <v>Ronin Tanabe</v>
      </c>
      <c r="D356" s="7" t="s">
        <v>362</v>
      </c>
      <c r="E356" s="10" t="str">
        <f aca="false">INDEX(球隊主檔!$C$2:$C$31,MATCH($D356,球隊主檔!$A$2:$A$31,0))</f>
        <v>芝加哥白襪</v>
      </c>
      <c r="F356" s="10" t="str">
        <f aca="false">INDEX(球隊主檔!$D$2:$D$31,MATCH($D356,球隊主檔!$A$2:$A$31,0))</f>
        <v>美聯</v>
      </c>
      <c r="G356" s="7" t="s">
        <v>478</v>
      </c>
      <c r="H356" s="11" t="n">
        <f aca="false">INT((DATE($A356,7,1)-INDEX(球員主檔!$G$2:$G$749,MATCH($B356,球員主檔!$A$2:$A$749,0)))/365.25)</f>
        <v>23</v>
      </c>
      <c r="I356" s="12" t="n">
        <v>162</v>
      </c>
      <c r="J356" s="12" t="n">
        <v>698</v>
      </c>
      <c r="K356" s="12" t="n">
        <v>635</v>
      </c>
      <c r="L356" s="12" t="n">
        <v>61</v>
      </c>
      <c r="M356" s="12" t="n">
        <v>159</v>
      </c>
      <c r="N356" s="12" t="n">
        <v>24</v>
      </c>
      <c r="O356" s="12" t="n">
        <v>5</v>
      </c>
      <c r="P356" s="12" t="n">
        <v>7</v>
      </c>
      <c r="Q356" s="12" t="n">
        <v>60</v>
      </c>
      <c r="R356" s="12" t="n">
        <v>48</v>
      </c>
      <c r="S356" s="12" t="n">
        <v>181</v>
      </c>
      <c r="T356" s="12" t="n">
        <v>12</v>
      </c>
      <c r="U356" s="12" t="n">
        <v>3</v>
      </c>
      <c r="V356" s="12" t="n">
        <v>16</v>
      </c>
      <c r="W356" s="12" t="n">
        <v>5</v>
      </c>
      <c r="X356" s="13" t="n">
        <f aca="false">M356+N356+2*O356+3*P356</f>
        <v>214</v>
      </c>
      <c r="Y356" s="14" t="n">
        <f aca="false">IF(K356=0,0,M356/K356)</f>
        <v>0.250393700787402</v>
      </c>
      <c r="Z356" s="14" t="n">
        <f aca="false">IF(K356+R356+T356+U356=0,0,(M356+R356+T356)/(K356+R356+T356+U356))</f>
        <v>0.313753581661891</v>
      </c>
      <c r="AA356" s="14" t="n">
        <f aca="false">IF(K356=0,0,X356/K356)</f>
        <v>0.337007874015748</v>
      </c>
      <c r="AB356" s="14" t="n">
        <f aca="false">Z356+AA356</f>
        <v>0.650761455677639</v>
      </c>
      <c r="AC356" s="14" t="n">
        <f aca="false">AA356-Y356</f>
        <v>0.0866141732283465</v>
      </c>
      <c r="AD356" s="14" t="n">
        <f aca="false">IF(K356-S356-P356+U356=0,0,(M356-P356)/(K356-S356-P356+U356))</f>
        <v>0.337777777777778</v>
      </c>
      <c r="AE356" s="15" t="n">
        <f aca="false">IF(J356=0,0,R356/J356)</f>
        <v>0.0687679083094556</v>
      </c>
      <c r="AF356" s="15" t="n">
        <f aca="false">IF(J356=0,0,S356/J356)</f>
        <v>0.259312320916905</v>
      </c>
      <c r="AG356" s="11" t="n">
        <f aca="false">IF(J356&gt;=INDEX(球季參數!$E$2:$E$4,MATCH($A356,球季參數!$A$2:$A$4,0)),1,0)</f>
        <v>1</v>
      </c>
    </row>
    <row r="357" customFormat="false" ht="15" hidden="false" customHeight="false" outlineLevel="0" collapsed="false">
      <c r="A357" s="5" t="n">
        <v>2025</v>
      </c>
      <c r="B357" s="7" t="s">
        <v>687</v>
      </c>
      <c r="C357" s="10" t="str">
        <f aca="false">INDEX(球員主檔!$B$2:$B$749,MATCH($B357,球員主檔!$A$2:$A$749,0))</f>
        <v>Thaddeus Sorrentino</v>
      </c>
      <c r="D357" s="7" t="s">
        <v>362</v>
      </c>
      <c r="E357" s="10" t="str">
        <f aca="false">INDEX(球隊主檔!$C$2:$C$31,MATCH($D357,球隊主檔!$A$2:$A$31,0))</f>
        <v>芝加哥白襪</v>
      </c>
      <c r="F357" s="10" t="str">
        <f aca="false">INDEX(球隊主檔!$D$2:$D$31,MATCH($D357,球隊主檔!$A$2:$A$31,0))</f>
        <v>美聯</v>
      </c>
      <c r="G357" s="7" t="s">
        <v>486</v>
      </c>
      <c r="H357" s="11" t="n">
        <f aca="false">INT((DATE($A357,7,1)-INDEX(球員主檔!$G$2:$G$749,MATCH($B357,球員主檔!$A$2:$A$749,0)))/365.25)</f>
        <v>27</v>
      </c>
      <c r="I357" s="12" t="n">
        <v>107</v>
      </c>
      <c r="J357" s="12" t="n">
        <v>443</v>
      </c>
      <c r="K357" s="12" t="n">
        <v>397</v>
      </c>
      <c r="L357" s="12" t="n">
        <v>49</v>
      </c>
      <c r="M357" s="12" t="n">
        <v>90</v>
      </c>
      <c r="N357" s="12" t="n">
        <v>19</v>
      </c>
      <c r="O357" s="12" t="n">
        <v>9</v>
      </c>
      <c r="P357" s="12" t="n">
        <v>15</v>
      </c>
      <c r="Q357" s="12" t="n">
        <v>52</v>
      </c>
      <c r="R357" s="12" t="n">
        <v>34</v>
      </c>
      <c r="S357" s="12" t="n">
        <v>116</v>
      </c>
      <c r="T357" s="12" t="n">
        <v>8</v>
      </c>
      <c r="U357" s="12" t="n">
        <v>4</v>
      </c>
      <c r="V357" s="12" t="n">
        <v>7</v>
      </c>
      <c r="W357" s="12" t="n">
        <v>2</v>
      </c>
      <c r="X357" s="13" t="n">
        <f aca="false">M357+N357+2*O357+3*P357</f>
        <v>172</v>
      </c>
      <c r="Y357" s="14" t="n">
        <f aca="false">IF(K357=0,0,M357/K357)</f>
        <v>0.226700251889169</v>
      </c>
      <c r="Z357" s="14" t="n">
        <f aca="false">IF(K357+R357+T357+U357=0,0,(M357+R357+T357)/(K357+R357+T357+U357))</f>
        <v>0.297968397291196</v>
      </c>
      <c r="AA357" s="14" t="n">
        <f aca="false">IF(K357=0,0,X357/K357)</f>
        <v>0.433249370277078</v>
      </c>
      <c r="AB357" s="14" t="n">
        <f aca="false">Z357+AA357</f>
        <v>0.731217767568275</v>
      </c>
      <c r="AC357" s="14" t="n">
        <f aca="false">AA357-Y357</f>
        <v>0.206549118387909</v>
      </c>
      <c r="AD357" s="14" t="n">
        <f aca="false">IF(K357-S357-P357+U357=0,0,(M357-P357)/(K357-S357-P357+U357))</f>
        <v>0.277777777777778</v>
      </c>
      <c r="AE357" s="15" t="n">
        <f aca="false">IF(J357=0,0,R357/J357)</f>
        <v>0.0767494356659142</v>
      </c>
      <c r="AF357" s="15" t="n">
        <f aca="false">IF(J357=0,0,S357/J357)</f>
        <v>0.261851015801354</v>
      </c>
      <c r="AG357" s="11" t="n">
        <f aca="false">IF(J357&gt;=INDEX(球季參數!$E$2:$E$4,MATCH($A357,球季參數!$A$2:$A$4,0)),1,0)</f>
        <v>0</v>
      </c>
    </row>
    <row r="358" customFormat="false" ht="15" hidden="false" customHeight="false" outlineLevel="0" collapsed="false">
      <c r="A358" s="5" t="n">
        <v>2025</v>
      </c>
      <c r="B358" s="7" t="s">
        <v>689</v>
      </c>
      <c r="C358" s="10" t="str">
        <f aca="false">INDEX(球員主檔!$B$2:$B$749,MATCH($B358,球員主檔!$A$2:$A$749,0))</f>
        <v>Tobias Villalobos</v>
      </c>
      <c r="D358" s="7" t="s">
        <v>362</v>
      </c>
      <c r="E358" s="10" t="str">
        <f aca="false">INDEX(球隊主檔!$C$2:$C$31,MATCH($D358,球隊主檔!$A$2:$A$31,0))</f>
        <v>芝加哥白襪</v>
      </c>
      <c r="F358" s="10" t="str">
        <f aca="false">INDEX(球隊主檔!$D$2:$D$31,MATCH($D358,球隊主檔!$A$2:$A$31,0))</f>
        <v>美聯</v>
      </c>
      <c r="G358" s="7" t="s">
        <v>473</v>
      </c>
      <c r="H358" s="11" t="n">
        <f aca="false">INT((DATE($A358,7,1)-INDEX(球員主檔!$G$2:$G$749,MATCH($B358,球員主檔!$A$2:$A$749,0)))/365.25)</f>
        <v>28</v>
      </c>
      <c r="I358" s="12" t="n">
        <v>91</v>
      </c>
      <c r="J358" s="12" t="n">
        <v>386</v>
      </c>
      <c r="K358" s="12" t="n">
        <v>352</v>
      </c>
      <c r="L358" s="12" t="n">
        <v>47</v>
      </c>
      <c r="M358" s="12" t="n">
        <v>102</v>
      </c>
      <c r="N358" s="12" t="n">
        <v>28</v>
      </c>
      <c r="O358" s="12" t="n">
        <v>6</v>
      </c>
      <c r="P358" s="12" t="n">
        <v>15</v>
      </c>
      <c r="Q358" s="12" t="n">
        <v>56</v>
      </c>
      <c r="R358" s="12" t="n">
        <v>28</v>
      </c>
      <c r="S358" s="12" t="n">
        <v>88</v>
      </c>
      <c r="T358" s="12" t="n">
        <v>3</v>
      </c>
      <c r="U358" s="12" t="n">
        <v>3</v>
      </c>
      <c r="V358" s="12" t="n">
        <v>10</v>
      </c>
      <c r="W358" s="12" t="n">
        <v>2</v>
      </c>
      <c r="X358" s="13" t="n">
        <f aca="false">M358+N358+2*O358+3*P358</f>
        <v>187</v>
      </c>
      <c r="Y358" s="14" t="n">
        <f aca="false">IF(K358=0,0,M358/K358)</f>
        <v>0.289772727272727</v>
      </c>
      <c r="Z358" s="14" t="n">
        <f aca="false">IF(K358+R358+T358+U358=0,0,(M358+R358+T358)/(K358+R358+T358+U358))</f>
        <v>0.344559585492228</v>
      </c>
      <c r="AA358" s="14" t="n">
        <f aca="false">IF(K358=0,0,X358/K358)</f>
        <v>0.53125</v>
      </c>
      <c r="AB358" s="14" t="n">
        <f aca="false">Z358+AA358</f>
        <v>0.875809585492228</v>
      </c>
      <c r="AC358" s="14" t="n">
        <f aca="false">AA358-Y358</f>
        <v>0.241477272727273</v>
      </c>
      <c r="AD358" s="14" t="n">
        <f aca="false">IF(K358-S358-P358+U358=0,0,(M358-P358)/(K358-S358-P358+U358))</f>
        <v>0.345238095238095</v>
      </c>
      <c r="AE358" s="15" t="n">
        <f aca="false">IF(J358=0,0,R358/J358)</f>
        <v>0.0725388601036269</v>
      </c>
      <c r="AF358" s="15" t="n">
        <f aca="false">IF(J358=0,0,S358/J358)</f>
        <v>0.227979274611399</v>
      </c>
      <c r="AG358" s="11" t="n">
        <f aca="false">IF(J358&gt;=INDEX(球季參數!$E$2:$E$4,MATCH($A358,球季參數!$A$2:$A$4,0)),1,0)</f>
        <v>0</v>
      </c>
    </row>
    <row r="359" customFormat="false" ht="15" hidden="false" customHeight="false" outlineLevel="0" collapsed="false">
      <c r="A359" s="5" t="n">
        <v>2025</v>
      </c>
      <c r="B359" s="7" t="s">
        <v>691</v>
      </c>
      <c r="C359" s="10" t="str">
        <f aca="false">INDEX(球員主檔!$B$2:$B$749,MATCH($B359,球員主檔!$A$2:$A$749,0))</f>
        <v>Thaddeus Brightwell</v>
      </c>
      <c r="D359" s="7" t="s">
        <v>362</v>
      </c>
      <c r="E359" s="10" t="str">
        <f aca="false">INDEX(球隊主檔!$C$2:$C$31,MATCH($D359,球隊主檔!$A$2:$A$31,0))</f>
        <v>芝加哥白襪</v>
      </c>
      <c r="F359" s="10" t="str">
        <f aca="false">INDEX(球隊主檔!$D$2:$D$31,MATCH($D359,球隊主檔!$A$2:$A$31,0))</f>
        <v>美聯</v>
      </c>
      <c r="G359" s="7" t="s">
        <v>470</v>
      </c>
      <c r="H359" s="11" t="n">
        <f aca="false">INT((DATE($A359,7,1)-INDEX(球員主檔!$G$2:$G$749,MATCH($B359,球員主檔!$A$2:$A$749,0)))/365.25)</f>
        <v>23</v>
      </c>
      <c r="I359" s="12" t="n">
        <v>113</v>
      </c>
      <c r="J359" s="12" t="n">
        <v>497</v>
      </c>
      <c r="K359" s="12" t="n">
        <v>457</v>
      </c>
      <c r="L359" s="12" t="n">
        <v>71</v>
      </c>
      <c r="M359" s="12" t="n">
        <v>117</v>
      </c>
      <c r="N359" s="12" t="n">
        <v>33</v>
      </c>
      <c r="O359" s="12" t="n">
        <v>2</v>
      </c>
      <c r="P359" s="12" t="n">
        <v>34</v>
      </c>
      <c r="Q359" s="12" t="n">
        <v>109</v>
      </c>
      <c r="R359" s="12" t="n">
        <v>32</v>
      </c>
      <c r="S359" s="12" t="n">
        <v>96</v>
      </c>
      <c r="T359" s="12" t="n">
        <v>2</v>
      </c>
      <c r="U359" s="12" t="n">
        <v>6</v>
      </c>
      <c r="V359" s="12" t="n">
        <v>12</v>
      </c>
      <c r="W359" s="12" t="n">
        <v>2</v>
      </c>
      <c r="X359" s="13" t="n">
        <f aca="false">M359+N359+2*O359+3*P359</f>
        <v>256</v>
      </c>
      <c r="Y359" s="14" t="n">
        <f aca="false">IF(K359=0,0,M359/K359)</f>
        <v>0.25601750547046</v>
      </c>
      <c r="Z359" s="14" t="n">
        <f aca="false">IF(K359+R359+T359+U359=0,0,(M359+R359+T359)/(K359+R359+T359+U359))</f>
        <v>0.303822937625755</v>
      </c>
      <c r="AA359" s="14" t="n">
        <f aca="false">IF(K359=0,0,X359/K359)</f>
        <v>0.560175054704595</v>
      </c>
      <c r="AB359" s="14" t="n">
        <f aca="false">Z359+AA359</f>
        <v>0.86399799233035</v>
      </c>
      <c r="AC359" s="14" t="n">
        <f aca="false">AA359-Y359</f>
        <v>0.304157549234136</v>
      </c>
      <c r="AD359" s="14" t="n">
        <f aca="false">IF(K359-S359-P359+U359=0,0,(M359-P359)/(K359-S359-P359+U359))</f>
        <v>0.249249249249249</v>
      </c>
      <c r="AE359" s="15" t="n">
        <f aca="false">IF(J359=0,0,R359/J359)</f>
        <v>0.0643863179074447</v>
      </c>
      <c r="AF359" s="15" t="n">
        <f aca="false">IF(J359=0,0,S359/J359)</f>
        <v>0.193158953722334</v>
      </c>
      <c r="AG359" s="11" t="n">
        <f aca="false">IF(J359&gt;=INDEX(球季參數!$E$2:$E$4,MATCH($A359,球季參數!$A$2:$A$4,0)),1,0)</f>
        <v>0</v>
      </c>
    </row>
    <row r="360" customFormat="false" ht="15" hidden="false" customHeight="false" outlineLevel="0" collapsed="false">
      <c r="A360" s="5" t="n">
        <v>2025</v>
      </c>
      <c r="B360" s="7" t="s">
        <v>693</v>
      </c>
      <c r="C360" s="10" t="str">
        <f aca="false">INDEX(球員主檔!$B$2:$B$749,MATCH($B360,球員主檔!$A$2:$A$749,0))</f>
        <v>Soren Gallimore</v>
      </c>
      <c r="D360" s="7" t="s">
        <v>362</v>
      </c>
      <c r="E360" s="10" t="str">
        <f aca="false">INDEX(球隊主檔!$C$2:$C$31,MATCH($D360,球隊主檔!$A$2:$A$31,0))</f>
        <v>芝加哥白襪</v>
      </c>
      <c r="F360" s="10" t="str">
        <f aca="false">INDEX(球隊主檔!$D$2:$D$31,MATCH($D360,球隊主檔!$A$2:$A$31,0))</f>
        <v>美聯</v>
      </c>
      <c r="G360" s="7" t="s">
        <v>162</v>
      </c>
      <c r="H360" s="11" t="n">
        <f aca="false">INT((DATE($A360,7,1)-INDEX(球員主檔!$G$2:$G$749,MATCH($B360,球員主檔!$A$2:$A$749,0)))/365.25)</f>
        <v>23</v>
      </c>
      <c r="I360" s="12" t="n">
        <v>63</v>
      </c>
      <c r="J360" s="12" t="n">
        <v>268</v>
      </c>
      <c r="K360" s="12" t="n">
        <v>258</v>
      </c>
      <c r="L360" s="12" t="n">
        <v>34</v>
      </c>
      <c r="M360" s="12" t="n">
        <v>72</v>
      </c>
      <c r="N360" s="12" t="n">
        <v>21</v>
      </c>
      <c r="O360" s="12" t="n">
        <v>5</v>
      </c>
      <c r="P360" s="12" t="n">
        <v>12</v>
      </c>
      <c r="Q360" s="12" t="n">
        <v>37</v>
      </c>
      <c r="R360" s="12" t="n">
        <v>6</v>
      </c>
      <c r="S360" s="12" t="n">
        <v>59</v>
      </c>
      <c r="T360" s="12" t="n">
        <v>3</v>
      </c>
      <c r="U360" s="12" t="n">
        <v>1</v>
      </c>
      <c r="V360" s="12" t="n">
        <v>5</v>
      </c>
      <c r="W360" s="12" t="n">
        <v>2</v>
      </c>
      <c r="X360" s="13" t="n">
        <f aca="false">M360+N360+2*O360+3*P360</f>
        <v>139</v>
      </c>
      <c r="Y360" s="14" t="n">
        <f aca="false">IF(K360=0,0,M360/K360)</f>
        <v>0.27906976744186</v>
      </c>
      <c r="Z360" s="14" t="n">
        <f aca="false">IF(K360+R360+T360+U360=0,0,(M360+R360+T360)/(K360+R360+T360+U360))</f>
        <v>0.302238805970149</v>
      </c>
      <c r="AA360" s="14" t="n">
        <f aca="false">IF(K360=0,0,X360/K360)</f>
        <v>0.538759689922481</v>
      </c>
      <c r="AB360" s="14" t="n">
        <f aca="false">Z360+AA360</f>
        <v>0.84099849589263</v>
      </c>
      <c r="AC360" s="14" t="n">
        <f aca="false">AA360-Y360</f>
        <v>0.25968992248062</v>
      </c>
      <c r="AD360" s="14" t="n">
        <f aca="false">IF(K360-S360-P360+U360=0,0,(M360-P360)/(K360-S360-P360+U360))</f>
        <v>0.319148936170213</v>
      </c>
      <c r="AE360" s="15" t="n">
        <f aca="false">IF(J360=0,0,R360/J360)</f>
        <v>0.0223880597014925</v>
      </c>
      <c r="AF360" s="15" t="n">
        <f aca="false">IF(J360=0,0,S360/J360)</f>
        <v>0.220149253731343</v>
      </c>
      <c r="AG360" s="11" t="n">
        <f aca="false">IF(J360&gt;=INDEX(球季參數!$E$2:$E$4,MATCH($A360,球季參數!$A$2:$A$4,0)),1,0)</f>
        <v>0</v>
      </c>
    </row>
    <row r="361" customFormat="false" ht="15" hidden="false" customHeight="false" outlineLevel="0" collapsed="false">
      <c r="A361" s="5" t="n">
        <v>2025</v>
      </c>
      <c r="B361" s="7" t="s">
        <v>695</v>
      </c>
      <c r="C361" s="10" t="str">
        <f aca="false">INDEX(球員主檔!$B$2:$B$749,MATCH($B361,球員主檔!$A$2:$A$749,0))</f>
        <v>Matthias Ferreira</v>
      </c>
      <c r="D361" s="7" t="s">
        <v>362</v>
      </c>
      <c r="E361" s="10" t="str">
        <f aca="false">INDEX(球隊主檔!$C$2:$C$31,MATCH($D361,球隊主檔!$A$2:$A$31,0))</f>
        <v>芝加哥白襪</v>
      </c>
      <c r="F361" s="10" t="str">
        <f aca="false">INDEX(球隊主檔!$D$2:$D$31,MATCH($D361,球隊主檔!$A$2:$A$31,0))</f>
        <v>美聯</v>
      </c>
      <c r="G361" s="7" t="s">
        <v>162</v>
      </c>
      <c r="H361" s="11" t="n">
        <f aca="false">INT((DATE($A361,7,1)-INDEX(球員主檔!$G$2:$G$749,MATCH($B361,球員主檔!$A$2:$A$749,0)))/365.25)</f>
        <v>28</v>
      </c>
      <c r="I361" s="12" t="n">
        <v>38</v>
      </c>
      <c r="J361" s="12" t="n">
        <v>166</v>
      </c>
      <c r="K361" s="12" t="n">
        <v>155</v>
      </c>
      <c r="L361" s="12" t="n">
        <v>21</v>
      </c>
      <c r="M361" s="12" t="n">
        <v>44</v>
      </c>
      <c r="N361" s="12" t="n">
        <v>14</v>
      </c>
      <c r="O361" s="12" t="n">
        <v>7</v>
      </c>
      <c r="P361" s="12" t="n">
        <v>4</v>
      </c>
      <c r="Q361" s="12" t="n">
        <v>19</v>
      </c>
      <c r="R361" s="12" t="n">
        <v>9</v>
      </c>
      <c r="S361" s="12" t="n">
        <v>49</v>
      </c>
      <c r="T361" s="12" t="n">
        <v>2</v>
      </c>
      <c r="U361" s="12" t="n">
        <v>0</v>
      </c>
      <c r="V361" s="12" t="n">
        <v>2</v>
      </c>
      <c r="W361" s="12" t="n">
        <v>1</v>
      </c>
      <c r="X361" s="13" t="n">
        <f aca="false">M361+N361+2*O361+3*P361</f>
        <v>84</v>
      </c>
      <c r="Y361" s="14" t="n">
        <f aca="false">IF(K361=0,0,M361/K361)</f>
        <v>0.283870967741936</v>
      </c>
      <c r="Z361" s="14" t="n">
        <f aca="false">IF(K361+R361+T361+U361=0,0,(M361+R361+T361)/(K361+R361+T361+U361))</f>
        <v>0.331325301204819</v>
      </c>
      <c r="AA361" s="14" t="n">
        <f aca="false">IF(K361=0,0,X361/K361)</f>
        <v>0.541935483870968</v>
      </c>
      <c r="AB361" s="14" t="n">
        <f aca="false">Z361+AA361</f>
        <v>0.873260785075787</v>
      </c>
      <c r="AC361" s="14" t="n">
        <f aca="false">AA361-Y361</f>
        <v>0.258064516129032</v>
      </c>
      <c r="AD361" s="14" t="n">
        <f aca="false">IF(K361-S361-P361+U361=0,0,(M361-P361)/(K361-S361-P361+U361))</f>
        <v>0.392156862745098</v>
      </c>
      <c r="AE361" s="15" t="n">
        <f aca="false">IF(J361=0,0,R361/J361)</f>
        <v>0.0542168674698795</v>
      </c>
      <c r="AF361" s="15" t="n">
        <f aca="false">IF(J361=0,0,S361/J361)</f>
        <v>0.295180722891566</v>
      </c>
      <c r="AG361" s="11" t="n">
        <f aca="false">IF(J361&gt;=INDEX(球季參數!$E$2:$E$4,MATCH($A361,球季參數!$A$2:$A$4,0)),1,0)</f>
        <v>0</v>
      </c>
    </row>
    <row r="362" customFormat="false" ht="15" hidden="false" customHeight="false" outlineLevel="0" collapsed="false">
      <c r="A362" s="5" t="n">
        <v>2025</v>
      </c>
      <c r="B362" s="7" t="s">
        <v>1699</v>
      </c>
      <c r="C362" s="10" t="str">
        <f aca="false">INDEX(球員主檔!$B$2:$B$749,MATCH($B362,球員主檔!$A$2:$A$749,0))</f>
        <v>Osvaldo Halloway</v>
      </c>
      <c r="D362" s="7" t="s">
        <v>367</v>
      </c>
      <c r="E362" s="10" t="str">
        <f aca="false">INDEX(球隊主檔!$C$2:$C$31,MATCH($D362,球隊主檔!$A$2:$A$31,0))</f>
        <v>克里夫蘭守護者</v>
      </c>
      <c r="F362" s="10" t="str">
        <f aca="false">INDEX(球隊主檔!$D$2:$D$31,MATCH($D362,球隊主檔!$A$2:$A$31,0))</f>
        <v>美聯</v>
      </c>
      <c r="G362" s="7" t="s">
        <v>470</v>
      </c>
      <c r="H362" s="11" t="n">
        <f aca="false">INT((DATE($A362,7,1)-INDEX(球員主檔!$G$2:$G$749,MATCH($B362,球員主檔!$A$2:$A$749,0)))/365.25)</f>
        <v>24</v>
      </c>
      <c r="I362" s="12" t="n">
        <v>72</v>
      </c>
      <c r="J362" s="12" t="n">
        <v>280</v>
      </c>
      <c r="K362" s="12" t="n">
        <v>263</v>
      </c>
      <c r="L362" s="12" t="n">
        <v>31</v>
      </c>
      <c r="M362" s="12" t="n">
        <v>62</v>
      </c>
      <c r="N362" s="12" t="n">
        <v>23</v>
      </c>
      <c r="O362" s="12" t="n">
        <v>3</v>
      </c>
      <c r="P362" s="12" t="n">
        <v>11</v>
      </c>
      <c r="Q362" s="12" t="n">
        <v>34</v>
      </c>
      <c r="R362" s="12" t="n">
        <v>13</v>
      </c>
      <c r="S362" s="12" t="n">
        <v>63</v>
      </c>
      <c r="T362" s="12" t="n">
        <v>3</v>
      </c>
      <c r="U362" s="12" t="n">
        <v>1</v>
      </c>
      <c r="V362" s="12" t="n">
        <v>2</v>
      </c>
      <c r="W362" s="12" t="n">
        <v>0</v>
      </c>
      <c r="X362" s="13" t="n">
        <f aca="false">M362+N362+2*O362+3*P362</f>
        <v>124</v>
      </c>
      <c r="Y362" s="14" t="n">
        <f aca="false">IF(K362=0,0,M362/K362)</f>
        <v>0.23574144486692</v>
      </c>
      <c r="Z362" s="14" t="n">
        <f aca="false">IF(K362+R362+T362+U362=0,0,(M362+R362+T362)/(K362+R362+T362+U362))</f>
        <v>0.278571428571429</v>
      </c>
      <c r="AA362" s="14" t="n">
        <f aca="false">IF(K362=0,0,X362/K362)</f>
        <v>0.47148288973384</v>
      </c>
      <c r="AB362" s="14" t="n">
        <f aca="false">Z362+AA362</f>
        <v>0.750054318305269</v>
      </c>
      <c r="AC362" s="14" t="n">
        <f aca="false">AA362-Y362</f>
        <v>0.23574144486692</v>
      </c>
      <c r="AD362" s="14" t="n">
        <f aca="false">IF(K362-S362-P362+U362=0,0,(M362-P362)/(K362-S362-P362+U362))</f>
        <v>0.268421052631579</v>
      </c>
      <c r="AE362" s="15" t="n">
        <f aca="false">IF(J362=0,0,R362/J362)</f>
        <v>0.0464285714285714</v>
      </c>
      <c r="AF362" s="15" t="n">
        <f aca="false">IF(J362=0,0,S362/J362)</f>
        <v>0.225</v>
      </c>
      <c r="AG362" s="11" t="n">
        <f aca="false">IF(J362&gt;=INDEX(球季參數!$E$2:$E$4,MATCH($A362,球季參數!$A$2:$A$4,0)),1,0)</f>
        <v>0</v>
      </c>
    </row>
    <row r="363" customFormat="false" ht="15" hidden="false" customHeight="false" outlineLevel="0" collapsed="false">
      <c r="A363" s="5" t="n">
        <v>2025</v>
      </c>
      <c r="B363" s="7" t="s">
        <v>599</v>
      </c>
      <c r="C363" s="10" t="str">
        <f aca="false">INDEX(球員主檔!$B$2:$B$749,MATCH($B363,球員主檔!$A$2:$A$749,0))</f>
        <v>Landon Gallimore</v>
      </c>
      <c r="D363" s="7" t="s">
        <v>367</v>
      </c>
      <c r="E363" s="10" t="str">
        <f aca="false">INDEX(球隊主檔!$C$2:$C$31,MATCH($D363,球隊主檔!$A$2:$A$31,0))</f>
        <v>克里夫蘭守護者</v>
      </c>
      <c r="F363" s="10" t="str">
        <f aca="false">INDEX(球隊主檔!$D$2:$D$31,MATCH($D363,球隊主檔!$A$2:$A$31,0))</f>
        <v>美聯</v>
      </c>
      <c r="G363" s="7" t="s">
        <v>63</v>
      </c>
      <c r="H363" s="11" t="n">
        <f aca="false">INT((DATE($A363,7,1)-INDEX(球員主檔!$G$2:$G$749,MATCH($B363,球員主檔!$A$2:$A$749,0)))/365.25)</f>
        <v>31</v>
      </c>
      <c r="I363" s="12" t="n">
        <v>156</v>
      </c>
      <c r="J363" s="12" t="n">
        <v>642</v>
      </c>
      <c r="K363" s="12" t="n">
        <v>571</v>
      </c>
      <c r="L363" s="12" t="n">
        <v>73</v>
      </c>
      <c r="M363" s="12" t="n">
        <v>141</v>
      </c>
      <c r="N363" s="12" t="n">
        <v>37</v>
      </c>
      <c r="O363" s="12" t="n">
        <v>3</v>
      </c>
      <c r="P363" s="12" t="n">
        <v>10</v>
      </c>
      <c r="Q363" s="12" t="n">
        <v>61</v>
      </c>
      <c r="R363" s="12" t="n">
        <v>60</v>
      </c>
      <c r="S363" s="12" t="n">
        <v>120</v>
      </c>
      <c r="T363" s="12" t="n">
        <v>6</v>
      </c>
      <c r="U363" s="12" t="n">
        <v>5</v>
      </c>
      <c r="V363" s="12" t="n">
        <v>13</v>
      </c>
      <c r="W363" s="12" t="n">
        <v>3</v>
      </c>
      <c r="X363" s="13" t="n">
        <f aca="false">M363+N363+2*O363+3*P363</f>
        <v>214</v>
      </c>
      <c r="Y363" s="14" t="n">
        <f aca="false">IF(K363=0,0,M363/K363)</f>
        <v>0.246935201401051</v>
      </c>
      <c r="Z363" s="14" t="n">
        <f aca="false">IF(K363+R363+T363+U363=0,0,(M363+R363+T363)/(K363+R363+T363+U363))</f>
        <v>0.322429906542056</v>
      </c>
      <c r="AA363" s="14" t="n">
        <f aca="false">IF(K363=0,0,X363/K363)</f>
        <v>0.374781085814361</v>
      </c>
      <c r="AB363" s="14" t="n">
        <f aca="false">Z363+AA363</f>
        <v>0.697210992356417</v>
      </c>
      <c r="AC363" s="14" t="n">
        <f aca="false">AA363-Y363</f>
        <v>0.12784588441331</v>
      </c>
      <c r="AD363" s="14" t="n">
        <f aca="false">IF(K363-S363-P363+U363=0,0,(M363-P363)/(K363-S363-P363+U363))</f>
        <v>0.29372197309417</v>
      </c>
      <c r="AE363" s="15" t="n">
        <f aca="false">IF(J363=0,0,R363/J363)</f>
        <v>0.0934579439252336</v>
      </c>
      <c r="AF363" s="15" t="n">
        <f aca="false">IF(J363=0,0,S363/J363)</f>
        <v>0.186915887850467</v>
      </c>
      <c r="AG363" s="11" t="n">
        <f aca="false">IF(J363&gt;=INDEX(球季參數!$E$2:$E$4,MATCH($A363,球季參數!$A$2:$A$4,0)),1,0)</f>
        <v>1</v>
      </c>
    </row>
    <row r="364" customFormat="false" ht="15" hidden="false" customHeight="false" outlineLevel="0" collapsed="false">
      <c r="A364" s="5" t="n">
        <v>2025</v>
      </c>
      <c r="B364" s="7" t="s">
        <v>721</v>
      </c>
      <c r="C364" s="10" t="str">
        <f aca="false">INDEX(球員主檔!$B$2:$B$749,MATCH($B364,球員主檔!$A$2:$A$749,0))</f>
        <v>Lorenzo Jovanović</v>
      </c>
      <c r="D364" s="7" t="s">
        <v>367</v>
      </c>
      <c r="E364" s="10" t="str">
        <f aca="false">INDEX(球隊主檔!$C$2:$C$31,MATCH($D364,球隊主檔!$A$2:$A$31,0))</f>
        <v>克里夫蘭守護者</v>
      </c>
      <c r="F364" s="10" t="str">
        <f aca="false">INDEX(球隊主檔!$D$2:$D$31,MATCH($D364,球隊主檔!$A$2:$A$31,0))</f>
        <v>美聯</v>
      </c>
      <c r="G364" s="7" t="s">
        <v>470</v>
      </c>
      <c r="H364" s="11" t="n">
        <f aca="false">INT((DATE($A364,7,1)-INDEX(球員主檔!$G$2:$G$749,MATCH($B364,球員主檔!$A$2:$A$749,0)))/365.25)</f>
        <v>23</v>
      </c>
      <c r="I364" s="12" t="n">
        <v>79</v>
      </c>
      <c r="J364" s="12" t="n">
        <v>327</v>
      </c>
      <c r="K364" s="12" t="n">
        <v>292</v>
      </c>
      <c r="L364" s="12" t="n">
        <v>44</v>
      </c>
      <c r="M364" s="12" t="n">
        <v>75</v>
      </c>
      <c r="N364" s="12" t="n">
        <v>33</v>
      </c>
      <c r="O364" s="12" t="n">
        <v>0</v>
      </c>
      <c r="P364" s="12" t="n">
        <v>12</v>
      </c>
      <c r="Q364" s="12" t="n">
        <v>48</v>
      </c>
      <c r="R364" s="12" t="n">
        <v>31</v>
      </c>
      <c r="S364" s="12" t="n">
        <v>79</v>
      </c>
      <c r="T364" s="12" t="n">
        <v>2</v>
      </c>
      <c r="U364" s="12" t="n">
        <v>2</v>
      </c>
      <c r="V364" s="12" t="n">
        <v>15</v>
      </c>
      <c r="W364" s="12" t="n">
        <v>5</v>
      </c>
      <c r="X364" s="13" t="n">
        <f aca="false">M364+N364+2*O364+3*P364</f>
        <v>144</v>
      </c>
      <c r="Y364" s="14" t="n">
        <f aca="false">IF(K364=0,0,M364/K364)</f>
        <v>0.256849315068493</v>
      </c>
      <c r="Z364" s="14" t="n">
        <f aca="false">IF(K364+R364+T364+U364=0,0,(M364+R364+T364)/(K364+R364+T364+U364))</f>
        <v>0.330275229357798</v>
      </c>
      <c r="AA364" s="14" t="n">
        <f aca="false">IF(K364=0,0,X364/K364)</f>
        <v>0.493150684931507</v>
      </c>
      <c r="AB364" s="14" t="n">
        <f aca="false">Z364+AA364</f>
        <v>0.823425914289305</v>
      </c>
      <c r="AC364" s="14" t="n">
        <f aca="false">AA364-Y364</f>
        <v>0.236301369863014</v>
      </c>
      <c r="AD364" s="14" t="n">
        <f aca="false">IF(K364-S364-P364+U364=0,0,(M364-P364)/(K364-S364-P364+U364))</f>
        <v>0.310344827586207</v>
      </c>
      <c r="AE364" s="15" t="n">
        <f aca="false">IF(J364=0,0,R364/J364)</f>
        <v>0.0948012232415902</v>
      </c>
      <c r="AF364" s="15" t="n">
        <f aca="false">IF(J364=0,0,S364/J364)</f>
        <v>0.241590214067278</v>
      </c>
      <c r="AG364" s="11" t="n">
        <f aca="false">IF(J364&gt;=INDEX(球季參數!$E$2:$E$4,MATCH($A364,球季參數!$A$2:$A$4,0)),1,0)</f>
        <v>0</v>
      </c>
    </row>
    <row r="365" customFormat="false" ht="15" hidden="false" customHeight="false" outlineLevel="0" collapsed="false">
      <c r="A365" s="5" t="n">
        <v>2025</v>
      </c>
      <c r="B365" s="7" t="s">
        <v>723</v>
      </c>
      <c r="C365" s="10" t="str">
        <f aca="false">INDEX(球員主檔!$B$2:$B$749,MATCH($B365,球員主檔!$A$2:$A$749,0))</f>
        <v>Cedric Thorsby</v>
      </c>
      <c r="D365" s="7" t="s">
        <v>367</v>
      </c>
      <c r="E365" s="10" t="str">
        <f aca="false">INDEX(球隊主檔!$C$2:$C$31,MATCH($D365,球隊主檔!$A$2:$A$31,0))</f>
        <v>克里夫蘭守護者</v>
      </c>
      <c r="F365" s="10" t="str">
        <f aca="false">INDEX(球隊主檔!$D$2:$D$31,MATCH($D365,球隊主檔!$A$2:$A$31,0))</f>
        <v>美聯</v>
      </c>
      <c r="G365" s="7" t="s">
        <v>158</v>
      </c>
      <c r="H365" s="11" t="n">
        <f aca="false">INT((DATE($A365,7,1)-INDEX(球員主檔!$G$2:$G$749,MATCH($B365,球員主檔!$A$2:$A$749,0)))/365.25)</f>
        <v>35</v>
      </c>
      <c r="I365" s="12" t="n">
        <v>159</v>
      </c>
      <c r="J365" s="12" t="n">
        <v>677</v>
      </c>
      <c r="K365" s="12" t="n">
        <v>584</v>
      </c>
      <c r="L365" s="12" t="n">
        <v>73</v>
      </c>
      <c r="M365" s="12" t="n">
        <v>143</v>
      </c>
      <c r="N365" s="12" t="n">
        <v>36</v>
      </c>
      <c r="O365" s="12" t="n">
        <v>7</v>
      </c>
      <c r="P365" s="12" t="n">
        <v>10</v>
      </c>
      <c r="Q365" s="12" t="n">
        <v>46</v>
      </c>
      <c r="R365" s="12" t="n">
        <v>76</v>
      </c>
      <c r="S365" s="12" t="n">
        <v>111</v>
      </c>
      <c r="T365" s="12" t="n">
        <v>14</v>
      </c>
      <c r="U365" s="12" t="n">
        <v>3</v>
      </c>
      <c r="V365" s="12" t="n">
        <v>13</v>
      </c>
      <c r="W365" s="12" t="n">
        <v>2</v>
      </c>
      <c r="X365" s="13" t="n">
        <f aca="false">M365+N365+2*O365+3*P365</f>
        <v>223</v>
      </c>
      <c r="Y365" s="14" t="n">
        <f aca="false">IF(K365=0,0,M365/K365)</f>
        <v>0.24486301369863</v>
      </c>
      <c r="Z365" s="14" t="n">
        <f aca="false">IF(K365+R365+T365+U365=0,0,(M365+R365+T365)/(K365+R365+T365+U365))</f>
        <v>0.344165435745938</v>
      </c>
      <c r="AA365" s="14" t="n">
        <f aca="false">IF(K365=0,0,X365/K365)</f>
        <v>0.381849315068493</v>
      </c>
      <c r="AB365" s="14" t="n">
        <f aca="false">Z365+AA365</f>
        <v>0.726014750814431</v>
      </c>
      <c r="AC365" s="14" t="n">
        <f aca="false">AA365-Y365</f>
        <v>0.136986301369863</v>
      </c>
      <c r="AD365" s="14" t="n">
        <f aca="false">IF(K365-S365-P365+U365=0,0,(M365-P365)/(K365-S365-P365+U365))</f>
        <v>0.285407725321888</v>
      </c>
      <c r="AE365" s="15" t="n">
        <f aca="false">IF(J365=0,0,R365/J365)</f>
        <v>0.112259970457903</v>
      </c>
      <c r="AF365" s="15" t="n">
        <f aca="false">IF(J365=0,0,S365/J365)</f>
        <v>0.163958641063516</v>
      </c>
      <c r="AG365" s="11" t="n">
        <f aca="false">IF(J365&gt;=INDEX(球季參數!$E$2:$E$4,MATCH($A365,球季參數!$A$2:$A$4,0)),1,0)</f>
        <v>1</v>
      </c>
    </row>
    <row r="366" customFormat="false" ht="15" hidden="false" customHeight="false" outlineLevel="0" collapsed="false">
      <c r="A366" s="5" t="n">
        <v>2025</v>
      </c>
      <c r="B366" s="7" t="s">
        <v>725</v>
      </c>
      <c r="C366" s="10" t="str">
        <f aca="false">INDEX(球員主檔!$B$2:$B$749,MATCH($B366,球員主檔!$A$2:$A$749,0))</f>
        <v>Quentin Vasquez</v>
      </c>
      <c r="D366" s="7" t="s">
        <v>367</v>
      </c>
      <c r="E366" s="10" t="str">
        <f aca="false">INDEX(球隊主檔!$C$2:$C$31,MATCH($D366,球隊主檔!$A$2:$A$31,0))</f>
        <v>克里夫蘭守護者</v>
      </c>
      <c r="F366" s="10" t="str">
        <f aca="false">INDEX(球隊主檔!$D$2:$D$31,MATCH($D366,球隊主檔!$A$2:$A$31,0))</f>
        <v>美聯</v>
      </c>
      <c r="G366" s="7" t="s">
        <v>158</v>
      </c>
      <c r="H366" s="11" t="n">
        <f aca="false">INT((DATE($A366,7,1)-INDEX(球員主檔!$G$2:$G$749,MATCH($B366,球員主檔!$A$2:$A$749,0)))/365.25)</f>
        <v>32</v>
      </c>
      <c r="I366" s="12" t="n">
        <v>162</v>
      </c>
      <c r="J366" s="12" t="n">
        <v>635</v>
      </c>
      <c r="K366" s="12" t="n">
        <v>596</v>
      </c>
      <c r="L366" s="12" t="n">
        <v>89</v>
      </c>
      <c r="M366" s="12" t="n">
        <v>161</v>
      </c>
      <c r="N366" s="12" t="n">
        <v>23</v>
      </c>
      <c r="O366" s="12" t="n">
        <v>8</v>
      </c>
      <c r="P366" s="12" t="n">
        <v>24</v>
      </c>
      <c r="Q366" s="12" t="n">
        <v>90</v>
      </c>
      <c r="R366" s="12" t="n">
        <v>28</v>
      </c>
      <c r="S366" s="12" t="n">
        <v>188</v>
      </c>
      <c r="T366" s="12" t="n">
        <v>7</v>
      </c>
      <c r="U366" s="12" t="n">
        <v>4</v>
      </c>
      <c r="V366" s="12" t="n">
        <v>16</v>
      </c>
      <c r="W366" s="12" t="n">
        <v>4</v>
      </c>
      <c r="X366" s="13" t="n">
        <f aca="false">M366+N366+2*O366+3*P366</f>
        <v>272</v>
      </c>
      <c r="Y366" s="14" t="n">
        <f aca="false">IF(K366=0,0,M366/K366)</f>
        <v>0.27013422818792</v>
      </c>
      <c r="Z366" s="14" t="n">
        <f aca="false">IF(K366+R366+T366+U366=0,0,(M366+R366+T366)/(K366+R366+T366+U366))</f>
        <v>0.308661417322835</v>
      </c>
      <c r="AA366" s="14" t="n">
        <f aca="false">IF(K366=0,0,X366/K366)</f>
        <v>0.456375838926175</v>
      </c>
      <c r="AB366" s="14" t="n">
        <f aca="false">Z366+AA366</f>
        <v>0.765037256249009</v>
      </c>
      <c r="AC366" s="14" t="n">
        <f aca="false">AA366-Y366</f>
        <v>0.186241610738255</v>
      </c>
      <c r="AD366" s="14" t="n">
        <f aca="false">IF(K366-S366-P366+U366=0,0,(M366-P366)/(K366-S366-P366+U366))</f>
        <v>0.353092783505155</v>
      </c>
      <c r="AE366" s="15" t="n">
        <f aca="false">IF(J366=0,0,R366/J366)</f>
        <v>0.0440944881889764</v>
      </c>
      <c r="AF366" s="15" t="n">
        <f aca="false">IF(J366=0,0,S366/J366)</f>
        <v>0.296062992125984</v>
      </c>
      <c r="AG366" s="11" t="n">
        <f aca="false">IF(J366&gt;=INDEX(球季參數!$E$2:$E$4,MATCH($A366,球季參數!$A$2:$A$4,0)),1,0)</f>
        <v>1</v>
      </c>
    </row>
    <row r="367" customFormat="false" ht="15" hidden="false" customHeight="false" outlineLevel="0" collapsed="false">
      <c r="A367" s="5" t="n">
        <v>2025</v>
      </c>
      <c r="B367" s="7" t="s">
        <v>557</v>
      </c>
      <c r="C367" s="10" t="str">
        <f aca="false">INDEX(球員主檔!$B$2:$B$749,MATCH($B367,球員主檔!$A$2:$A$749,0))</f>
        <v>Vicente Ferreira</v>
      </c>
      <c r="D367" s="7" t="s">
        <v>367</v>
      </c>
      <c r="E367" s="10" t="str">
        <f aca="false">INDEX(球隊主檔!$C$2:$C$31,MATCH($D367,球隊主檔!$A$2:$A$31,0))</f>
        <v>克里夫蘭守護者</v>
      </c>
      <c r="F367" s="10" t="str">
        <f aca="false">INDEX(球隊主檔!$D$2:$D$31,MATCH($D367,球隊主檔!$A$2:$A$31,0))</f>
        <v>美聯</v>
      </c>
      <c r="G367" s="7" t="s">
        <v>522</v>
      </c>
      <c r="H367" s="11" t="n">
        <f aca="false">INT((DATE($A367,7,1)-INDEX(球員主檔!$G$2:$G$749,MATCH($B367,球員主檔!$A$2:$A$749,0)))/365.25)</f>
        <v>34</v>
      </c>
      <c r="I367" s="12" t="n">
        <v>125</v>
      </c>
      <c r="J367" s="12" t="n">
        <v>495</v>
      </c>
      <c r="K367" s="12" t="n">
        <v>442</v>
      </c>
      <c r="L367" s="12" t="n">
        <v>58</v>
      </c>
      <c r="M367" s="12" t="n">
        <v>130</v>
      </c>
      <c r="N367" s="12" t="n">
        <v>14</v>
      </c>
      <c r="O367" s="12" t="n">
        <v>1</v>
      </c>
      <c r="P367" s="12" t="n">
        <v>11</v>
      </c>
      <c r="Q367" s="12" t="n">
        <v>49</v>
      </c>
      <c r="R367" s="12" t="n">
        <v>37</v>
      </c>
      <c r="S367" s="12" t="n">
        <v>112</v>
      </c>
      <c r="T367" s="12" t="n">
        <v>10</v>
      </c>
      <c r="U367" s="12" t="n">
        <v>6</v>
      </c>
      <c r="V367" s="12" t="n">
        <v>13</v>
      </c>
      <c r="W367" s="12" t="n">
        <v>5</v>
      </c>
      <c r="X367" s="13" t="n">
        <f aca="false">M367+N367+2*O367+3*P367</f>
        <v>179</v>
      </c>
      <c r="Y367" s="14" t="n">
        <f aca="false">IF(K367=0,0,M367/K367)</f>
        <v>0.294117647058824</v>
      </c>
      <c r="Z367" s="14" t="n">
        <f aca="false">IF(K367+R367+T367+U367=0,0,(M367+R367+T367)/(K367+R367+T367+U367))</f>
        <v>0.357575757575758</v>
      </c>
      <c r="AA367" s="14" t="n">
        <f aca="false">IF(K367=0,0,X367/K367)</f>
        <v>0.404977375565611</v>
      </c>
      <c r="AB367" s="14" t="n">
        <f aca="false">Z367+AA367</f>
        <v>0.762553133141368</v>
      </c>
      <c r="AC367" s="14" t="n">
        <f aca="false">AA367-Y367</f>
        <v>0.110859728506787</v>
      </c>
      <c r="AD367" s="14" t="n">
        <f aca="false">IF(K367-S367-P367+U367=0,0,(M367-P367)/(K367-S367-P367+U367))</f>
        <v>0.366153846153846</v>
      </c>
      <c r="AE367" s="15" t="n">
        <f aca="false">IF(J367=0,0,R367/J367)</f>
        <v>0.0747474747474747</v>
      </c>
      <c r="AF367" s="15" t="n">
        <f aca="false">IF(J367=0,0,S367/J367)</f>
        <v>0.226262626262626</v>
      </c>
      <c r="AG367" s="11" t="n">
        <f aca="false">IF(J367&gt;=INDEX(球季參數!$E$2:$E$4,MATCH($A367,球季參數!$A$2:$A$4,0)),1,0)</f>
        <v>0</v>
      </c>
    </row>
    <row r="368" customFormat="false" ht="15" hidden="false" customHeight="false" outlineLevel="0" collapsed="false">
      <c r="A368" s="5" t="n">
        <v>2025</v>
      </c>
      <c r="B368" s="7" t="s">
        <v>729</v>
      </c>
      <c r="C368" s="10" t="str">
        <f aca="false">INDEX(球員主檔!$B$2:$B$749,MATCH($B368,球員主檔!$A$2:$A$749,0))</f>
        <v>Yusuke Kowalczyk</v>
      </c>
      <c r="D368" s="7" t="s">
        <v>367</v>
      </c>
      <c r="E368" s="10" t="str">
        <f aca="false">INDEX(球隊主檔!$C$2:$C$31,MATCH($D368,球隊主檔!$A$2:$A$31,0))</f>
        <v>克里夫蘭守護者</v>
      </c>
      <c r="F368" s="10" t="str">
        <f aca="false">INDEX(球隊主檔!$D$2:$D$31,MATCH($D368,球隊主檔!$A$2:$A$31,0))</f>
        <v>美聯</v>
      </c>
      <c r="G368" s="7" t="s">
        <v>486</v>
      </c>
      <c r="H368" s="11" t="n">
        <f aca="false">INT((DATE($A368,7,1)-INDEX(球員主檔!$G$2:$G$749,MATCH($B368,球員主檔!$A$2:$A$749,0)))/365.25)</f>
        <v>29</v>
      </c>
      <c r="I368" s="12" t="n">
        <v>110</v>
      </c>
      <c r="J368" s="12" t="n">
        <v>461</v>
      </c>
      <c r="K368" s="12" t="n">
        <v>425</v>
      </c>
      <c r="L368" s="12" t="n">
        <v>55</v>
      </c>
      <c r="M368" s="12" t="n">
        <v>97</v>
      </c>
      <c r="N368" s="12" t="n">
        <v>13</v>
      </c>
      <c r="O368" s="12" t="n">
        <v>9</v>
      </c>
      <c r="P368" s="12" t="n">
        <v>26</v>
      </c>
      <c r="Q368" s="12" t="n">
        <v>83</v>
      </c>
      <c r="R368" s="12" t="n">
        <v>29</v>
      </c>
      <c r="S368" s="12" t="n">
        <v>58</v>
      </c>
      <c r="T368" s="12" t="n">
        <v>3</v>
      </c>
      <c r="U368" s="12" t="n">
        <v>4</v>
      </c>
      <c r="V368" s="12" t="n">
        <v>7</v>
      </c>
      <c r="W368" s="12" t="n">
        <v>2</v>
      </c>
      <c r="X368" s="13" t="n">
        <f aca="false">M368+N368+2*O368+3*P368</f>
        <v>206</v>
      </c>
      <c r="Y368" s="14" t="n">
        <f aca="false">IF(K368=0,0,M368/K368)</f>
        <v>0.228235294117647</v>
      </c>
      <c r="Z368" s="14" t="n">
        <f aca="false">IF(K368+R368+T368+U368=0,0,(M368+R368+T368)/(K368+R368+T368+U368))</f>
        <v>0.279826464208243</v>
      </c>
      <c r="AA368" s="14" t="n">
        <f aca="false">IF(K368=0,0,X368/K368)</f>
        <v>0.484705882352941</v>
      </c>
      <c r="AB368" s="14" t="n">
        <f aca="false">Z368+AA368</f>
        <v>0.764532346561184</v>
      </c>
      <c r="AC368" s="14" t="n">
        <f aca="false">AA368-Y368</f>
        <v>0.256470588235294</v>
      </c>
      <c r="AD368" s="14" t="n">
        <f aca="false">IF(K368-S368-P368+U368=0,0,(M368-P368)/(K368-S368-P368+U368))</f>
        <v>0.205797101449275</v>
      </c>
      <c r="AE368" s="15" t="n">
        <f aca="false">IF(J368=0,0,R368/J368)</f>
        <v>0.0629067245119306</v>
      </c>
      <c r="AF368" s="15" t="n">
        <f aca="false">IF(J368=0,0,S368/J368)</f>
        <v>0.125813449023861</v>
      </c>
      <c r="AG368" s="11" t="n">
        <f aca="false">IF(J368&gt;=INDEX(球季參數!$E$2:$E$4,MATCH($A368,球季參數!$A$2:$A$4,0)),1,0)</f>
        <v>0</v>
      </c>
    </row>
    <row r="369" customFormat="false" ht="15" hidden="false" customHeight="false" outlineLevel="0" collapsed="false">
      <c r="A369" s="5" t="n">
        <v>2025</v>
      </c>
      <c r="B369" s="7" t="s">
        <v>731</v>
      </c>
      <c r="C369" s="10" t="str">
        <f aca="false">INDEX(球員主檔!$B$2:$B$749,MATCH($B369,球員主檔!$A$2:$A$749,0))</f>
        <v>Rhett Oyelaran</v>
      </c>
      <c r="D369" s="7" t="s">
        <v>367</v>
      </c>
      <c r="E369" s="10" t="str">
        <f aca="false">INDEX(球隊主檔!$C$2:$C$31,MATCH($D369,球隊主檔!$A$2:$A$31,0))</f>
        <v>克里夫蘭守護者</v>
      </c>
      <c r="F369" s="10" t="str">
        <f aca="false">INDEX(球隊主檔!$D$2:$D$31,MATCH($D369,球隊主檔!$A$2:$A$31,0))</f>
        <v>美聯</v>
      </c>
      <c r="G369" s="7" t="s">
        <v>478</v>
      </c>
      <c r="H369" s="11" t="n">
        <f aca="false">INT((DATE($A369,7,1)-INDEX(球員主檔!$G$2:$G$749,MATCH($B369,球員主檔!$A$2:$A$749,0)))/365.25)</f>
        <v>22</v>
      </c>
      <c r="I369" s="12" t="n">
        <v>117</v>
      </c>
      <c r="J369" s="12" t="n">
        <v>496</v>
      </c>
      <c r="K369" s="12" t="n">
        <v>431</v>
      </c>
      <c r="L369" s="12" t="n">
        <v>60</v>
      </c>
      <c r="M369" s="12" t="n">
        <v>105</v>
      </c>
      <c r="N369" s="12" t="n">
        <v>17</v>
      </c>
      <c r="O369" s="12" t="n">
        <v>1</v>
      </c>
      <c r="P369" s="12" t="n">
        <v>20</v>
      </c>
      <c r="Q369" s="12" t="n">
        <v>62</v>
      </c>
      <c r="R369" s="12" t="n">
        <v>51</v>
      </c>
      <c r="S369" s="12" t="n">
        <v>97</v>
      </c>
      <c r="T369" s="12" t="n">
        <v>9</v>
      </c>
      <c r="U369" s="12" t="n">
        <v>5</v>
      </c>
      <c r="V369" s="12" t="n">
        <v>6</v>
      </c>
      <c r="W369" s="12" t="n">
        <v>2</v>
      </c>
      <c r="X369" s="13" t="n">
        <f aca="false">M369+N369+2*O369+3*P369</f>
        <v>184</v>
      </c>
      <c r="Y369" s="14" t="n">
        <f aca="false">IF(K369=0,0,M369/K369)</f>
        <v>0.243619489559165</v>
      </c>
      <c r="Z369" s="14" t="n">
        <f aca="false">IF(K369+R369+T369+U369=0,0,(M369+R369+T369)/(K369+R369+T369+U369))</f>
        <v>0.332661290322581</v>
      </c>
      <c r="AA369" s="14" t="n">
        <f aca="false">IF(K369=0,0,X369/K369)</f>
        <v>0.426914153132251</v>
      </c>
      <c r="AB369" s="14" t="n">
        <f aca="false">Z369+AA369</f>
        <v>0.759575443454831</v>
      </c>
      <c r="AC369" s="14" t="n">
        <f aca="false">AA369-Y369</f>
        <v>0.183294663573086</v>
      </c>
      <c r="AD369" s="14" t="n">
        <f aca="false">IF(K369-S369-P369+U369=0,0,(M369-P369)/(K369-S369-P369+U369))</f>
        <v>0.266457680250784</v>
      </c>
      <c r="AE369" s="15" t="n">
        <f aca="false">IF(J369=0,0,R369/J369)</f>
        <v>0.102822580645161</v>
      </c>
      <c r="AF369" s="15" t="n">
        <f aca="false">IF(J369=0,0,S369/J369)</f>
        <v>0.195564516129032</v>
      </c>
      <c r="AG369" s="11" t="n">
        <f aca="false">IF(J369&gt;=INDEX(球季參數!$E$2:$E$4,MATCH($A369,球季參數!$A$2:$A$4,0)),1,0)</f>
        <v>0</v>
      </c>
    </row>
    <row r="370" customFormat="false" ht="15" hidden="false" customHeight="false" outlineLevel="0" collapsed="false">
      <c r="A370" s="5" t="n">
        <v>2025</v>
      </c>
      <c r="B370" s="7" t="s">
        <v>733</v>
      </c>
      <c r="C370" s="10" t="str">
        <f aca="false">INDEX(球員主檔!$B$2:$B$749,MATCH($B370,球員主檔!$A$2:$A$749,0))</f>
        <v>Quentin Rasmussen</v>
      </c>
      <c r="D370" s="7" t="s">
        <v>367</v>
      </c>
      <c r="E370" s="10" t="str">
        <f aca="false">INDEX(球隊主檔!$C$2:$C$31,MATCH($D370,球隊主檔!$A$2:$A$31,0))</f>
        <v>克里夫蘭守護者</v>
      </c>
      <c r="F370" s="10" t="str">
        <f aca="false">INDEX(球隊主檔!$D$2:$D$31,MATCH($D370,球隊主檔!$A$2:$A$31,0))</f>
        <v>美聯</v>
      </c>
      <c r="G370" s="7" t="s">
        <v>470</v>
      </c>
      <c r="H370" s="11" t="n">
        <f aca="false">INT((DATE($A370,7,1)-INDEX(球員主檔!$G$2:$G$749,MATCH($B370,球員主檔!$A$2:$A$749,0)))/365.25)</f>
        <v>34</v>
      </c>
      <c r="I370" s="12" t="n">
        <v>56</v>
      </c>
      <c r="J370" s="12" t="n">
        <v>233</v>
      </c>
      <c r="K370" s="12" t="n">
        <v>209</v>
      </c>
      <c r="L370" s="12" t="n">
        <v>24</v>
      </c>
      <c r="M370" s="12" t="n">
        <v>52</v>
      </c>
      <c r="N370" s="12" t="n">
        <v>14</v>
      </c>
      <c r="O370" s="12" t="n">
        <v>11</v>
      </c>
      <c r="P370" s="12" t="n">
        <v>5</v>
      </c>
      <c r="Q370" s="12" t="n">
        <v>23</v>
      </c>
      <c r="R370" s="12" t="n">
        <v>18</v>
      </c>
      <c r="S370" s="12" t="n">
        <v>50</v>
      </c>
      <c r="T370" s="12" t="n">
        <v>3</v>
      </c>
      <c r="U370" s="12" t="n">
        <v>3</v>
      </c>
      <c r="V370" s="12" t="n">
        <v>2</v>
      </c>
      <c r="W370" s="12" t="n">
        <v>0</v>
      </c>
      <c r="X370" s="13" t="n">
        <f aca="false">M370+N370+2*O370+3*P370</f>
        <v>103</v>
      </c>
      <c r="Y370" s="14" t="n">
        <f aca="false">IF(K370=0,0,M370/K370)</f>
        <v>0.248803827751196</v>
      </c>
      <c r="Z370" s="14" t="n">
        <f aca="false">IF(K370+R370+T370+U370=0,0,(M370+R370+T370)/(K370+R370+T370+U370))</f>
        <v>0.313304721030043</v>
      </c>
      <c r="AA370" s="14" t="n">
        <f aca="false">IF(K370=0,0,X370/K370)</f>
        <v>0.492822966507177</v>
      </c>
      <c r="AB370" s="14" t="n">
        <f aca="false">Z370+AA370</f>
        <v>0.80612768753722</v>
      </c>
      <c r="AC370" s="14" t="n">
        <f aca="false">AA370-Y370</f>
        <v>0.244019138755981</v>
      </c>
      <c r="AD370" s="14" t="n">
        <f aca="false">IF(K370-S370-P370+U370=0,0,(M370-P370)/(K370-S370-P370+U370))</f>
        <v>0.299363057324841</v>
      </c>
      <c r="AE370" s="15" t="n">
        <f aca="false">IF(J370=0,0,R370/J370)</f>
        <v>0.0772532188841202</v>
      </c>
      <c r="AF370" s="15" t="n">
        <f aca="false">IF(J370=0,0,S370/J370)</f>
        <v>0.214592274678112</v>
      </c>
      <c r="AG370" s="11" t="n">
        <f aca="false">IF(J370&gt;=INDEX(球季參數!$E$2:$E$4,MATCH($A370,球季參數!$A$2:$A$4,0)),1,0)</f>
        <v>0</v>
      </c>
    </row>
    <row r="371" customFormat="false" ht="15" hidden="false" customHeight="false" outlineLevel="0" collapsed="false">
      <c r="A371" s="5" t="n">
        <v>2025</v>
      </c>
      <c r="B371" s="7" t="s">
        <v>735</v>
      </c>
      <c r="C371" s="10" t="str">
        <f aca="false">INDEX(球員主檔!$B$2:$B$749,MATCH($B371,球員主檔!$A$2:$A$749,0))</f>
        <v>Wendell Oyelaran</v>
      </c>
      <c r="D371" s="7" t="s">
        <v>367</v>
      </c>
      <c r="E371" s="10" t="str">
        <f aca="false">INDEX(球隊主檔!$C$2:$C$31,MATCH($D371,球隊主檔!$A$2:$A$31,0))</f>
        <v>克里夫蘭守護者</v>
      </c>
      <c r="F371" s="10" t="str">
        <f aca="false">INDEX(球隊主檔!$D$2:$D$31,MATCH($D371,球隊主檔!$A$2:$A$31,0))</f>
        <v>美聯</v>
      </c>
      <c r="G371" s="7" t="s">
        <v>483</v>
      </c>
      <c r="H371" s="11" t="n">
        <f aca="false">INT((DATE($A371,7,1)-INDEX(球員主檔!$G$2:$G$749,MATCH($B371,球員主檔!$A$2:$A$749,0)))/365.25)</f>
        <v>27</v>
      </c>
      <c r="I371" s="12" t="n">
        <v>21</v>
      </c>
      <c r="J371" s="12" t="n">
        <v>91</v>
      </c>
      <c r="K371" s="12" t="n">
        <v>81</v>
      </c>
      <c r="L371" s="12" t="n">
        <v>10</v>
      </c>
      <c r="M371" s="12" t="n">
        <v>19</v>
      </c>
      <c r="N371" s="12" t="n">
        <v>5</v>
      </c>
      <c r="O371" s="12" t="n">
        <v>3</v>
      </c>
      <c r="P371" s="12" t="n">
        <v>2</v>
      </c>
      <c r="Q371" s="12" t="n">
        <v>9</v>
      </c>
      <c r="R371" s="12" t="n">
        <v>9</v>
      </c>
      <c r="S371" s="12" t="n">
        <v>25</v>
      </c>
      <c r="T371" s="12" t="n">
        <v>1</v>
      </c>
      <c r="U371" s="12" t="n">
        <v>0</v>
      </c>
      <c r="V371" s="12" t="n">
        <v>3</v>
      </c>
      <c r="W371" s="12" t="n">
        <v>0</v>
      </c>
      <c r="X371" s="13" t="n">
        <f aca="false">M371+N371+2*O371+3*P371</f>
        <v>36</v>
      </c>
      <c r="Y371" s="14" t="n">
        <f aca="false">IF(K371=0,0,M371/K371)</f>
        <v>0.234567901234568</v>
      </c>
      <c r="Z371" s="14" t="n">
        <f aca="false">IF(K371+R371+T371+U371=0,0,(M371+R371+T371)/(K371+R371+T371+U371))</f>
        <v>0.318681318681319</v>
      </c>
      <c r="AA371" s="14" t="n">
        <f aca="false">IF(K371=0,0,X371/K371)</f>
        <v>0.444444444444444</v>
      </c>
      <c r="AB371" s="14" t="n">
        <f aca="false">Z371+AA371</f>
        <v>0.763125763125763</v>
      </c>
      <c r="AC371" s="14" t="n">
        <f aca="false">AA371-Y371</f>
        <v>0.209876543209877</v>
      </c>
      <c r="AD371" s="14" t="n">
        <f aca="false">IF(K371-S371-P371+U371=0,0,(M371-P371)/(K371-S371-P371+U371))</f>
        <v>0.314814814814815</v>
      </c>
      <c r="AE371" s="15" t="n">
        <f aca="false">IF(J371=0,0,R371/J371)</f>
        <v>0.0989010989010989</v>
      </c>
      <c r="AF371" s="15" t="n">
        <f aca="false">IF(J371=0,0,S371/J371)</f>
        <v>0.274725274725275</v>
      </c>
      <c r="AG371" s="11" t="n">
        <f aca="false">IF(J371&gt;=INDEX(球季參數!$E$2:$E$4,MATCH($A371,球季參數!$A$2:$A$4,0)),1,0)</f>
        <v>0</v>
      </c>
    </row>
    <row r="372" customFormat="false" ht="15" hidden="false" customHeight="false" outlineLevel="0" collapsed="false">
      <c r="A372" s="5" t="n">
        <v>2025</v>
      </c>
      <c r="B372" s="7" t="s">
        <v>757</v>
      </c>
      <c r="C372" s="10" t="str">
        <f aca="false">INDEX(球員主檔!$B$2:$B$749,MATCH($B372,球員主檔!$A$2:$A$749,0))</f>
        <v>Quentin Lemieux</v>
      </c>
      <c r="D372" s="7" t="s">
        <v>371</v>
      </c>
      <c r="E372" s="10" t="str">
        <f aca="false">INDEX(球隊主檔!$C$2:$C$31,MATCH($D372,球隊主檔!$A$2:$A$31,0))</f>
        <v>底特律老虎</v>
      </c>
      <c r="F372" s="10" t="str">
        <f aca="false">INDEX(球隊主檔!$D$2:$D$31,MATCH($D372,球隊主檔!$A$2:$A$31,0))</f>
        <v>美聯</v>
      </c>
      <c r="G372" s="7" t="s">
        <v>486</v>
      </c>
      <c r="H372" s="11" t="n">
        <f aca="false">INT((DATE($A372,7,1)-INDEX(球員主檔!$G$2:$G$749,MATCH($B372,球員主檔!$A$2:$A$749,0)))/365.25)</f>
        <v>26</v>
      </c>
      <c r="I372" s="12" t="n">
        <v>104</v>
      </c>
      <c r="J372" s="12" t="n">
        <v>410</v>
      </c>
      <c r="K372" s="12" t="n">
        <v>373</v>
      </c>
      <c r="L372" s="12" t="n">
        <v>42</v>
      </c>
      <c r="M372" s="12" t="n">
        <v>82</v>
      </c>
      <c r="N372" s="12" t="n">
        <v>14</v>
      </c>
      <c r="O372" s="12" t="n">
        <v>4</v>
      </c>
      <c r="P372" s="12" t="n">
        <v>16</v>
      </c>
      <c r="Q372" s="12" t="n">
        <v>57</v>
      </c>
      <c r="R372" s="12" t="n">
        <v>29</v>
      </c>
      <c r="S372" s="12" t="n">
        <v>103</v>
      </c>
      <c r="T372" s="12" t="n">
        <v>6</v>
      </c>
      <c r="U372" s="12" t="n">
        <v>2</v>
      </c>
      <c r="V372" s="12" t="n">
        <v>6</v>
      </c>
      <c r="W372" s="12" t="n">
        <v>2</v>
      </c>
      <c r="X372" s="13" t="n">
        <f aca="false">M372+N372+2*O372+3*P372</f>
        <v>152</v>
      </c>
      <c r="Y372" s="14" t="n">
        <f aca="false">IF(K372=0,0,M372/K372)</f>
        <v>0.219839142091153</v>
      </c>
      <c r="Z372" s="14" t="n">
        <f aca="false">IF(K372+R372+T372+U372=0,0,(M372+R372+T372)/(K372+R372+T372+U372))</f>
        <v>0.285365853658537</v>
      </c>
      <c r="AA372" s="14" t="n">
        <f aca="false">IF(K372=0,0,X372/K372)</f>
        <v>0.407506702412869</v>
      </c>
      <c r="AB372" s="14" t="n">
        <f aca="false">Z372+AA372</f>
        <v>0.692872556071405</v>
      </c>
      <c r="AC372" s="14" t="n">
        <f aca="false">AA372-Y372</f>
        <v>0.187667560321716</v>
      </c>
      <c r="AD372" s="14" t="n">
        <f aca="false">IF(K372-S372-P372+U372=0,0,(M372-P372)/(K372-S372-P372+U372))</f>
        <v>0.2578125</v>
      </c>
      <c r="AE372" s="15" t="n">
        <f aca="false">IF(J372=0,0,R372/J372)</f>
        <v>0.0707317073170732</v>
      </c>
      <c r="AF372" s="15" t="n">
        <f aca="false">IF(J372=0,0,S372/J372)</f>
        <v>0.251219512195122</v>
      </c>
      <c r="AG372" s="11" t="n">
        <f aca="false">IF(J372&gt;=INDEX(球季參數!$E$2:$E$4,MATCH($A372,球季參數!$A$2:$A$4,0)),1,0)</f>
        <v>0</v>
      </c>
    </row>
    <row r="373" customFormat="false" ht="15" hidden="false" customHeight="false" outlineLevel="0" collapsed="false">
      <c r="A373" s="5" t="n">
        <v>2025</v>
      </c>
      <c r="B373" s="7" t="s">
        <v>1175</v>
      </c>
      <c r="C373" s="10" t="str">
        <f aca="false">INDEX(球員主檔!$B$2:$B$749,MATCH($B373,球員主檔!$A$2:$A$749,0))</f>
        <v>Oakley Tremblay</v>
      </c>
      <c r="D373" s="7" t="s">
        <v>371</v>
      </c>
      <c r="E373" s="10" t="str">
        <f aca="false">INDEX(球隊主檔!$C$2:$C$31,MATCH($D373,球隊主檔!$A$2:$A$31,0))</f>
        <v>底特律老虎</v>
      </c>
      <c r="F373" s="10" t="str">
        <f aca="false">INDEX(球隊主檔!$D$2:$D$31,MATCH($D373,球隊主檔!$A$2:$A$31,0))</f>
        <v>美聯</v>
      </c>
      <c r="G373" s="7" t="s">
        <v>486</v>
      </c>
      <c r="H373" s="11" t="n">
        <f aca="false">INT((DATE($A373,7,1)-INDEX(球員主檔!$G$2:$G$749,MATCH($B373,球員主檔!$A$2:$A$749,0)))/365.25)</f>
        <v>25</v>
      </c>
      <c r="I373" s="12" t="n">
        <v>162</v>
      </c>
      <c r="J373" s="12" t="n">
        <v>702</v>
      </c>
      <c r="K373" s="12" t="n">
        <v>620</v>
      </c>
      <c r="L373" s="12" t="n">
        <v>83</v>
      </c>
      <c r="M373" s="12" t="n">
        <v>147</v>
      </c>
      <c r="N373" s="12" t="n">
        <v>27</v>
      </c>
      <c r="O373" s="12" t="n">
        <v>4</v>
      </c>
      <c r="P373" s="12" t="n">
        <v>28</v>
      </c>
      <c r="Q373" s="12" t="n">
        <v>95</v>
      </c>
      <c r="R373" s="12" t="n">
        <v>75</v>
      </c>
      <c r="S373" s="12" t="n">
        <v>159</v>
      </c>
      <c r="T373" s="12" t="n">
        <v>2</v>
      </c>
      <c r="U373" s="12" t="n">
        <v>5</v>
      </c>
      <c r="V373" s="12" t="n">
        <v>10</v>
      </c>
      <c r="W373" s="12" t="n">
        <v>3</v>
      </c>
      <c r="X373" s="13" t="n">
        <f aca="false">M373+N373+2*O373+3*P373</f>
        <v>266</v>
      </c>
      <c r="Y373" s="14" t="n">
        <f aca="false">IF(K373=0,0,M373/K373)</f>
        <v>0.237096774193548</v>
      </c>
      <c r="Z373" s="14" t="n">
        <f aca="false">IF(K373+R373+T373+U373=0,0,(M373+R373+T373)/(K373+R373+T373+U373))</f>
        <v>0.319088319088319</v>
      </c>
      <c r="AA373" s="14" t="n">
        <f aca="false">IF(K373=0,0,X373/K373)</f>
        <v>0.429032258064516</v>
      </c>
      <c r="AB373" s="14" t="n">
        <f aca="false">Z373+AA373</f>
        <v>0.748120577152835</v>
      </c>
      <c r="AC373" s="14" t="n">
        <f aca="false">AA373-Y373</f>
        <v>0.191935483870968</v>
      </c>
      <c r="AD373" s="14" t="n">
        <f aca="false">IF(K373-S373-P373+U373=0,0,(M373-P373)/(K373-S373-P373+U373))</f>
        <v>0.271689497716895</v>
      </c>
      <c r="AE373" s="15" t="n">
        <f aca="false">IF(J373=0,0,R373/J373)</f>
        <v>0.106837606837607</v>
      </c>
      <c r="AF373" s="15" t="n">
        <f aca="false">IF(J373=0,0,S373/J373)</f>
        <v>0.226495726495727</v>
      </c>
      <c r="AG373" s="11" t="n">
        <f aca="false">IF(J373&gt;=INDEX(球季參數!$E$2:$E$4,MATCH($A373,球季參數!$A$2:$A$4,0)),1,0)</f>
        <v>1</v>
      </c>
    </row>
    <row r="374" customFormat="false" ht="15" hidden="false" customHeight="false" outlineLevel="0" collapsed="false">
      <c r="A374" s="5" t="n">
        <v>2025</v>
      </c>
      <c r="B374" s="7" t="s">
        <v>761</v>
      </c>
      <c r="C374" s="10" t="str">
        <f aca="false">INDEX(球員主檔!$B$2:$B$749,MATCH($B374,球員主檔!$A$2:$A$749,0))</f>
        <v>Desmond Caldera</v>
      </c>
      <c r="D374" s="7" t="s">
        <v>371</v>
      </c>
      <c r="E374" s="10" t="str">
        <f aca="false">INDEX(球隊主檔!$C$2:$C$31,MATCH($D374,球隊主檔!$A$2:$A$31,0))</f>
        <v>底特律老虎</v>
      </c>
      <c r="F374" s="10" t="str">
        <f aca="false">INDEX(球隊主檔!$D$2:$D$31,MATCH($D374,球隊主檔!$A$2:$A$31,0))</f>
        <v>美聯</v>
      </c>
      <c r="G374" s="7" t="s">
        <v>473</v>
      </c>
      <c r="H374" s="11" t="n">
        <f aca="false">INT((DATE($A374,7,1)-INDEX(球員主檔!$G$2:$G$749,MATCH($B374,球員主檔!$A$2:$A$749,0)))/365.25)</f>
        <v>31</v>
      </c>
      <c r="I374" s="12" t="n">
        <v>156</v>
      </c>
      <c r="J374" s="12" t="n">
        <v>687</v>
      </c>
      <c r="K374" s="12" t="n">
        <v>619</v>
      </c>
      <c r="L374" s="12" t="n">
        <v>82</v>
      </c>
      <c r="M374" s="12" t="n">
        <v>170</v>
      </c>
      <c r="N374" s="12" t="n">
        <v>33</v>
      </c>
      <c r="O374" s="12" t="n">
        <v>11</v>
      </c>
      <c r="P374" s="12" t="n">
        <v>15</v>
      </c>
      <c r="Q374" s="12" t="n">
        <v>63</v>
      </c>
      <c r="R374" s="12" t="n">
        <v>55</v>
      </c>
      <c r="S374" s="12" t="n">
        <v>186</v>
      </c>
      <c r="T374" s="12" t="n">
        <v>9</v>
      </c>
      <c r="U374" s="12" t="n">
        <v>4</v>
      </c>
      <c r="V374" s="12" t="n">
        <v>21</v>
      </c>
      <c r="W374" s="12" t="n">
        <v>5</v>
      </c>
      <c r="X374" s="13" t="n">
        <f aca="false">M374+N374+2*O374+3*P374</f>
        <v>270</v>
      </c>
      <c r="Y374" s="14" t="n">
        <f aca="false">IF(K374=0,0,M374/K374)</f>
        <v>0.274636510500808</v>
      </c>
      <c r="Z374" s="14" t="n">
        <f aca="false">IF(K374+R374+T374+U374=0,0,(M374+R374+T374)/(K374+R374+T374+U374))</f>
        <v>0.34061135371179</v>
      </c>
      <c r="AA374" s="14" t="n">
        <f aca="false">IF(K374=0,0,X374/K374)</f>
        <v>0.436187399030695</v>
      </c>
      <c r="AB374" s="14" t="n">
        <f aca="false">Z374+AA374</f>
        <v>0.776798752742485</v>
      </c>
      <c r="AC374" s="14" t="n">
        <f aca="false">AA374-Y374</f>
        <v>0.161550888529887</v>
      </c>
      <c r="AD374" s="14" t="n">
        <f aca="false">IF(K374-S374-P374+U374=0,0,(M374-P374)/(K374-S374-P374+U374))</f>
        <v>0.367298578199052</v>
      </c>
      <c r="AE374" s="15" t="n">
        <f aca="false">IF(J374=0,0,R374/J374)</f>
        <v>0.0800582241630277</v>
      </c>
      <c r="AF374" s="15" t="n">
        <f aca="false">IF(J374=0,0,S374/J374)</f>
        <v>0.270742358078603</v>
      </c>
      <c r="AG374" s="11" t="n">
        <f aca="false">IF(J374&gt;=INDEX(球季參數!$E$2:$E$4,MATCH($A374,球季參數!$A$2:$A$4,0)),1,0)</f>
        <v>1</v>
      </c>
    </row>
    <row r="375" customFormat="false" ht="15" hidden="false" customHeight="false" outlineLevel="0" collapsed="false">
      <c r="A375" s="5" t="n">
        <v>2025</v>
      </c>
      <c r="B375" s="7" t="s">
        <v>763</v>
      </c>
      <c r="C375" s="10" t="str">
        <f aca="false">INDEX(球員主檔!$B$2:$B$749,MATCH($B375,球員主檔!$A$2:$A$749,0))</f>
        <v>Kellan Ashworth</v>
      </c>
      <c r="D375" s="7" t="s">
        <v>371</v>
      </c>
      <c r="E375" s="10" t="str">
        <f aca="false">INDEX(球隊主檔!$C$2:$C$31,MATCH($D375,球隊主檔!$A$2:$A$31,0))</f>
        <v>底特律老虎</v>
      </c>
      <c r="F375" s="10" t="str">
        <f aca="false">INDEX(球隊主檔!$D$2:$D$31,MATCH($D375,球隊主檔!$A$2:$A$31,0))</f>
        <v>美聯</v>
      </c>
      <c r="G375" s="7" t="s">
        <v>486</v>
      </c>
      <c r="H375" s="11" t="n">
        <f aca="false">INT((DATE($A375,7,1)-INDEX(球員主檔!$G$2:$G$749,MATCH($B375,球員主檔!$A$2:$A$749,0)))/365.25)</f>
        <v>31</v>
      </c>
      <c r="I375" s="12" t="n">
        <v>134</v>
      </c>
      <c r="J375" s="12" t="n">
        <v>571</v>
      </c>
      <c r="K375" s="12" t="n">
        <v>528</v>
      </c>
      <c r="L375" s="12" t="n">
        <v>58</v>
      </c>
      <c r="M375" s="12" t="n">
        <v>113</v>
      </c>
      <c r="N375" s="12" t="n">
        <v>36</v>
      </c>
      <c r="O375" s="12" t="n">
        <v>6</v>
      </c>
      <c r="P375" s="12" t="n">
        <v>13</v>
      </c>
      <c r="Q375" s="12" t="n">
        <v>48</v>
      </c>
      <c r="R375" s="12" t="n">
        <v>29</v>
      </c>
      <c r="S375" s="12" t="n">
        <v>88</v>
      </c>
      <c r="T375" s="12" t="n">
        <v>9</v>
      </c>
      <c r="U375" s="12" t="n">
        <v>5</v>
      </c>
      <c r="V375" s="12" t="n">
        <v>18</v>
      </c>
      <c r="W375" s="12" t="n">
        <v>6</v>
      </c>
      <c r="X375" s="13" t="n">
        <f aca="false">M375+N375+2*O375+3*P375</f>
        <v>200</v>
      </c>
      <c r="Y375" s="14" t="n">
        <f aca="false">IF(K375=0,0,M375/K375)</f>
        <v>0.214015151515152</v>
      </c>
      <c r="Z375" s="14" t="n">
        <f aca="false">IF(K375+R375+T375+U375=0,0,(M375+R375+T375)/(K375+R375+T375+U375))</f>
        <v>0.264448336252189</v>
      </c>
      <c r="AA375" s="14" t="n">
        <f aca="false">IF(K375=0,0,X375/K375)</f>
        <v>0.378787878787879</v>
      </c>
      <c r="AB375" s="14" t="n">
        <f aca="false">Z375+AA375</f>
        <v>0.643236215040068</v>
      </c>
      <c r="AC375" s="14" t="n">
        <f aca="false">AA375-Y375</f>
        <v>0.164772727272727</v>
      </c>
      <c r="AD375" s="14" t="n">
        <f aca="false">IF(K375-S375-P375+U375=0,0,(M375-P375)/(K375-S375-P375+U375))</f>
        <v>0.231481481481481</v>
      </c>
      <c r="AE375" s="15" t="n">
        <f aca="false">IF(J375=0,0,R375/J375)</f>
        <v>0.0507880910683012</v>
      </c>
      <c r="AF375" s="15" t="n">
        <f aca="false">IF(J375=0,0,S375/J375)</f>
        <v>0.154115586690018</v>
      </c>
      <c r="AG375" s="11" t="n">
        <f aca="false">IF(J375&gt;=INDEX(球季參數!$E$2:$E$4,MATCH($A375,球季參數!$A$2:$A$4,0)),1,0)</f>
        <v>1</v>
      </c>
    </row>
    <row r="376" customFormat="false" ht="15" hidden="false" customHeight="false" outlineLevel="0" collapsed="false">
      <c r="A376" s="5" t="n">
        <v>2025</v>
      </c>
      <c r="B376" s="7" t="s">
        <v>765</v>
      </c>
      <c r="C376" s="10" t="str">
        <f aca="false">INDEX(球員主檔!$B$2:$B$749,MATCH($B376,球員主檔!$A$2:$A$749,0))</f>
        <v>Oakley Cavanaugh</v>
      </c>
      <c r="D376" s="7" t="s">
        <v>371</v>
      </c>
      <c r="E376" s="10" t="str">
        <f aca="false">INDEX(球隊主檔!$C$2:$C$31,MATCH($D376,球隊主檔!$A$2:$A$31,0))</f>
        <v>底特律老虎</v>
      </c>
      <c r="F376" s="10" t="str">
        <f aca="false">INDEX(球隊主檔!$D$2:$D$31,MATCH($D376,球隊主檔!$A$2:$A$31,0))</f>
        <v>美聯</v>
      </c>
      <c r="G376" s="7" t="s">
        <v>63</v>
      </c>
      <c r="H376" s="11" t="n">
        <f aca="false">INT((DATE($A376,7,1)-INDEX(球員主檔!$G$2:$G$749,MATCH($B376,球員主檔!$A$2:$A$749,0)))/365.25)</f>
        <v>26</v>
      </c>
      <c r="I376" s="12" t="n">
        <v>66</v>
      </c>
      <c r="J376" s="12" t="n">
        <v>263</v>
      </c>
      <c r="K376" s="12" t="n">
        <v>235</v>
      </c>
      <c r="L376" s="12" t="n">
        <v>40</v>
      </c>
      <c r="M376" s="12" t="n">
        <v>68</v>
      </c>
      <c r="N376" s="12" t="n">
        <v>17</v>
      </c>
      <c r="O376" s="12" t="n">
        <v>1</v>
      </c>
      <c r="P376" s="12" t="n">
        <v>21</v>
      </c>
      <c r="Q376" s="12" t="n">
        <v>53</v>
      </c>
      <c r="R376" s="12" t="n">
        <v>24</v>
      </c>
      <c r="S376" s="12" t="n">
        <v>70</v>
      </c>
      <c r="T376" s="12" t="n">
        <v>3</v>
      </c>
      <c r="U376" s="12" t="n">
        <v>1</v>
      </c>
      <c r="V376" s="12" t="n">
        <v>0</v>
      </c>
      <c r="W376" s="12" t="n">
        <v>0</v>
      </c>
      <c r="X376" s="13" t="n">
        <f aca="false">M376+N376+2*O376+3*P376</f>
        <v>150</v>
      </c>
      <c r="Y376" s="14" t="n">
        <f aca="false">IF(K376=0,0,M376/K376)</f>
        <v>0.28936170212766</v>
      </c>
      <c r="Z376" s="14" t="n">
        <f aca="false">IF(K376+R376+T376+U376=0,0,(M376+R376+T376)/(K376+R376+T376+U376))</f>
        <v>0.361216730038023</v>
      </c>
      <c r="AA376" s="14" t="n">
        <f aca="false">IF(K376=0,0,X376/K376)</f>
        <v>0.638297872340426</v>
      </c>
      <c r="AB376" s="14" t="n">
        <f aca="false">Z376+AA376</f>
        <v>0.999514602378448</v>
      </c>
      <c r="AC376" s="14" t="n">
        <f aca="false">AA376-Y376</f>
        <v>0.348936170212766</v>
      </c>
      <c r="AD376" s="14" t="n">
        <f aca="false">IF(K376-S376-P376+U376=0,0,(M376-P376)/(K376-S376-P376+U376))</f>
        <v>0.324137931034483</v>
      </c>
      <c r="AE376" s="15" t="n">
        <f aca="false">IF(J376=0,0,R376/J376)</f>
        <v>0.091254752851711</v>
      </c>
      <c r="AF376" s="15" t="n">
        <f aca="false">IF(J376=0,0,S376/J376)</f>
        <v>0.266159695817491</v>
      </c>
      <c r="AG376" s="11" t="n">
        <f aca="false">IF(J376&gt;=INDEX(球季參數!$E$2:$E$4,MATCH($A376,球季參數!$A$2:$A$4,0)),1,0)</f>
        <v>0</v>
      </c>
    </row>
    <row r="377" customFormat="false" ht="15" hidden="false" customHeight="false" outlineLevel="0" collapsed="false">
      <c r="A377" s="5" t="n">
        <v>2025</v>
      </c>
      <c r="B377" s="7" t="s">
        <v>767</v>
      </c>
      <c r="C377" s="10" t="str">
        <f aca="false">INDEX(球員主檔!$B$2:$B$749,MATCH($B377,球員主檔!$A$2:$A$749,0))</f>
        <v>Garrison Oyelaran</v>
      </c>
      <c r="D377" s="7" t="s">
        <v>371</v>
      </c>
      <c r="E377" s="10" t="str">
        <f aca="false">INDEX(球隊主檔!$C$2:$C$31,MATCH($D377,球隊主檔!$A$2:$A$31,0))</f>
        <v>底特律老虎</v>
      </c>
      <c r="F377" s="10" t="str">
        <f aca="false">INDEX(球隊主檔!$D$2:$D$31,MATCH($D377,球隊主檔!$A$2:$A$31,0))</f>
        <v>美聯</v>
      </c>
      <c r="G377" s="7" t="s">
        <v>483</v>
      </c>
      <c r="H377" s="11" t="n">
        <f aca="false">INT((DATE($A377,7,1)-INDEX(球員主檔!$G$2:$G$749,MATCH($B377,球員主檔!$A$2:$A$749,0)))/365.25)</f>
        <v>27</v>
      </c>
      <c r="I377" s="12" t="n">
        <v>67</v>
      </c>
      <c r="J377" s="12" t="n">
        <v>267</v>
      </c>
      <c r="K377" s="12" t="n">
        <v>237</v>
      </c>
      <c r="L377" s="12" t="n">
        <v>25</v>
      </c>
      <c r="M377" s="12" t="n">
        <v>49</v>
      </c>
      <c r="N377" s="12" t="n">
        <v>19</v>
      </c>
      <c r="O377" s="12" t="n">
        <v>6</v>
      </c>
      <c r="P377" s="12" t="n">
        <v>4</v>
      </c>
      <c r="Q377" s="12" t="n">
        <v>18</v>
      </c>
      <c r="R377" s="12" t="n">
        <v>26</v>
      </c>
      <c r="S377" s="12" t="n">
        <v>35</v>
      </c>
      <c r="T377" s="12" t="n">
        <v>1</v>
      </c>
      <c r="U377" s="12" t="n">
        <v>3</v>
      </c>
      <c r="V377" s="12" t="n">
        <v>13</v>
      </c>
      <c r="W377" s="12" t="n">
        <v>1</v>
      </c>
      <c r="X377" s="13" t="n">
        <f aca="false">M377+N377+2*O377+3*P377</f>
        <v>92</v>
      </c>
      <c r="Y377" s="14" t="n">
        <f aca="false">IF(K377=0,0,M377/K377)</f>
        <v>0.206751054852321</v>
      </c>
      <c r="Z377" s="14" t="n">
        <f aca="false">IF(K377+R377+T377+U377=0,0,(M377+R377+T377)/(K377+R377+T377+U377))</f>
        <v>0.284644194756554</v>
      </c>
      <c r="AA377" s="14" t="n">
        <f aca="false">IF(K377=0,0,X377/K377)</f>
        <v>0.388185654008439</v>
      </c>
      <c r="AB377" s="14" t="n">
        <f aca="false">Z377+AA377</f>
        <v>0.672829848764993</v>
      </c>
      <c r="AC377" s="14" t="n">
        <f aca="false">AA377-Y377</f>
        <v>0.181434599156118</v>
      </c>
      <c r="AD377" s="14" t="n">
        <f aca="false">IF(K377-S377-P377+U377=0,0,(M377-P377)/(K377-S377-P377+U377))</f>
        <v>0.223880597014925</v>
      </c>
      <c r="AE377" s="15" t="n">
        <f aca="false">IF(J377=0,0,R377/J377)</f>
        <v>0.0973782771535581</v>
      </c>
      <c r="AF377" s="15" t="n">
        <f aca="false">IF(J377=0,0,S377/J377)</f>
        <v>0.131086142322097</v>
      </c>
      <c r="AG377" s="11" t="n">
        <f aca="false">IF(J377&gt;=INDEX(球季參數!$E$2:$E$4,MATCH($A377,球季參數!$A$2:$A$4,0)),1,0)</f>
        <v>0</v>
      </c>
    </row>
    <row r="378" customFormat="false" ht="15" hidden="false" customHeight="false" outlineLevel="0" collapsed="false">
      <c r="A378" s="5" t="n">
        <v>2025</v>
      </c>
      <c r="B378" s="7" t="s">
        <v>769</v>
      </c>
      <c r="C378" s="10" t="str">
        <f aca="false">INDEX(球員主檔!$B$2:$B$749,MATCH($B378,球員主檔!$A$2:$A$749,0))</f>
        <v>Percival Stroheim</v>
      </c>
      <c r="D378" s="7" t="s">
        <v>371</v>
      </c>
      <c r="E378" s="10" t="str">
        <f aca="false">INDEX(球隊主檔!$C$2:$C$31,MATCH($D378,球隊主檔!$A$2:$A$31,0))</f>
        <v>底特律老虎</v>
      </c>
      <c r="F378" s="10" t="str">
        <f aca="false">INDEX(球隊主檔!$D$2:$D$31,MATCH($D378,球隊主檔!$A$2:$A$31,0))</f>
        <v>美聯</v>
      </c>
      <c r="G378" s="7" t="s">
        <v>473</v>
      </c>
      <c r="H378" s="11" t="n">
        <f aca="false">INT((DATE($A378,7,1)-INDEX(球員主檔!$G$2:$G$749,MATCH($B378,球員主檔!$A$2:$A$749,0)))/365.25)</f>
        <v>27</v>
      </c>
      <c r="I378" s="12" t="n">
        <v>119</v>
      </c>
      <c r="J378" s="12" t="n">
        <v>522</v>
      </c>
      <c r="K378" s="12" t="n">
        <v>472</v>
      </c>
      <c r="L378" s="12" t="n">
        <v>52</v>
      </c>
      <c r="M378" s="12" t="n">
        <v>107</v>
      </c>
      <c r="N378" s="12" t="n">
        <v>16</v>
      </c>
      <c r="O378" s="12" t="n">
        <v>1</v>
      </c>
      <c r="P378" s="12" t="n">
        <v>7</v>
      </c>
      <c r="Q378" s="12" t="n">
        <v>47</v>
      </c>
      <c r="R378" s="12" t="n">
        <v>42</v>
      </c>
      <c r="S378" s="12" t="n">
        <v>112</v>
      </c>
      <c r="T378" s="12" t="n">
        <v>3</v>
      </c>
      <c r="U378" s="12" t="n">
        <v>5</v>
      </c>
      <c r="V378" s="12" t="n">
        <v>16</v>
      </c>
      <c r="W378" s="12" t="n">
        <v>5</v>
      </c>
      <c r="X378" s="13" t="n">
        <f aca="false">M378+N378+2*O378+3*P378</f>
        <v>146</v>
      </c>
      <c r="Y378" s="14" t="n">
        <f aca="false">IF(K378=0,0,M378/K378)</f>
        <v>0.226694915254237</v>
      </c>
      <c r="Z378" s="14" t="n">
        <f aca="false">IF(K378+R378+T378+U378=0,0,(M378+R378+T378)/(K378+R378+T378+U378))</f>
        <v>0.291187739463602</v>
      </c>
      <c r="AA378" s="14" t="n">
        <f aca="false">IF(K378=0,0,X378/K378)</f>
        <v>0.309322033898305</v>
      </c>
      <c r="AB378" s="14" t="n">
        <f aca="false">Z378+AA378</f>
        <v>0.600509773361907</v>
      </c>
      <c r="AC378" s="14" t="n">
        <f aca="false">AA378-Y378</f>
        <v>0.0826271186440678</v>
      </c>
      <c r="AD378" s="14" t="n">
        <f aca="false">IF(K378-S378-P378+U378=0,0,(M378-P378)/(K378-S378-P378+U378))</f>
        <v>0.279329608938547</v>
      </c>
      <c r="AE378" s="15" t="n">
        <f aca="false">IF(J378=0,0,R378/J378)</f>
        <v>0.0804597701149425</v>
      </c>
      <c r="AF378" s="15" t="n">
        <f aca="false">IF(J378=0,0,S378/J378)</f>
        <v>0.21455938697318</v>
      </c>
      <c r="AG378" s="11" t="n">
        <f aca="false">IF(J378&gt;=INDEX(球季參數!$E$2:$E$4,MATCH($A378,球季參數!$A$2:$A$4,0)),1,0)</f>
        <v>1</v>
      </c>
    </row>
    <row r="379" customFormat="false" ht="15" hidden="false" customHeight="false" outlineLevel="0" collapsed="false">
      <c r="A379" s="5" t="n">
        <v>2025</v>
      </c>
      <c r="B379" s="7" t="s">
        <v>771</v>
      </c>
      <c r="C379" s="10" t="str">
        <f aca="false">INDEX(球員主檔!$B$2:$B$749,MATCH($B379,球員主檔!$A$2:$A$749,0))</f>
        <v>Landon Nordstrom</v>
      </c>
      <c r="D379" s="7" t="s">
        <v>371</v>
      </c>
      <c r="E379" s="10" t="str">
        <f aca="false">INDEX(球隊主檔!$C$2:$C$31,MATCH($D379,球隊主檔!$A$2:$A$31,0))</f>
        <v>底特律老虎</v>
      </c>
      <c r="F379" s="10" t="str">
        <f aca="false">INDEX(球隊主檔!$D$2:$D$31,MATCH($D379,球隊主檔!$A$2:$A$31,0))</f>
        <v>美聯</v>
      </c>
      <c r="G379" s="7" t="s">
        <v>473</v>
      </c>
      <c r="H379" s="11" t="n">
        <f aca="false">INT((DATE($A379,7,1)-INDEX(球員主檔!$G$2:$G$749,MATCH($B379,球員主檔!$A$2:$A$749,0)))/365.25)</f>
        <v>26</v>
      </c>
      <c r="I379" s="12" t="n">
        <v>125</v>
      </c>
      <c r="J379" s="12" t="n">
        <v>548</v>
      </c>
      <c r="K379" s="12" t="n">
        <v>494</v>
      </c>
      <c r="L379" s="12" t="n">
        <v>64</v>
      </c>
      <c r="M379" s="12" t="n">
        <v>114</v>
      </c>
      <c r="N379" s="12" t="n">
        <v>25</v>
      </c>
      <c r="O379" s="12" t="n">
        <v>10</v>
      </c>
      <c r="P379" s="12" t="n">
        <v>21</v>
      </c>
      <c r="Q379" s="12" t="n">
        <v>72</v>
      </c>
      <c r="R379" s="12" t="n">
        <v>39</v>
      </c>
      <c r="S379" s="12" t="n">
        <v>133</v>
      </c>
      <c r="T379" s="12" t="n">
        <v>9</v>
      </c>
      <c r="U379" s="12" t="n">
        <v>6</v>
      </c>
      <c r="V379" s="12" t="n">
        <v>9</v>
      </c>
      <c r="W379" s="12" t="n">
        <v>3</v>
      </c>
      <c r="X379" s="13" t="n">
        <f aca="false">M379+N379+2*O379+3*P379</f>
        <v>222</v>
      </c>
      <c r="Y379" s="14" t="n">
        <f aca="false">IF(K379=0,0,M379/K379)</f>
        <v>0.230769230769231</v>
      </c>
      <c r="Z379" s="14" t="n">
        <f aca="false">IF(K379+R379+T379+U379=0,0,(M379+R379+T379)/(K379+R379+T379+U379))</f>
        <v>0.295620437956204</v>
      </c>
      <c r="AA379" s="14" t="n">
        <f aca="false">IF(K379=0,0,X379/K379)</f>
        <v>0.449392712550607</v>
      </c>
      <c r="AB379" s="14" t="n">
        <f aca="false">Z379+AA379</f>
        <v>0.745013150506812</v>
      </c>
      <c r="AC379" s="14" t="n">
        <f aca="false">AA379-Y379</f>
        <v>0.218623481781377</v>
      </c>
      <c r="AD379" s="14" t="n">
        <f aca="false">IF(K379-S379-P379+U379=0,0,(M379-P379)/(K379-S379-P379+U379))</f>
        <v>0.26878612716763</v>
      </c>
      <c r="AE379" s="15" t="n">
        <f aca="false">IF(J379=0,0,R379/J379)</f>
        <v>0.0711678832116788</v>
      </c>
      <c r="AF379" s="15" t="n">
        <f aca="false">IF(J379=0,0,S379/J379)</f>
        <v>0.242700729927007</v>
      </c>
      <c r="AG379" s="11" t="n">
        <f aca="false">IF(J379&gt;=INDEX(球季參數!$E$2:$E$4,MATCH($A379,球季參數!$A$2:$A$4,0)),1,0)</f>
        <v>1</v>
      </c>
    </row>
    <row r="380" customFormat="false" ht="15" hidden="false" customHeight="false" outlineLevel="0" collapsed="false">
      <c r="A380" s="5" t="n">
        <v>2025</v>
      </c>
      <c r="B380" s="7" t="s">
        <v>1703</v>
      </c>
      <c r="C380" s="10" t="str">
        <f aca="false">INDEX(球員主檔!$B$2:$B$749,MATCH($B380,球員主檔!$A$2:$A$749,0))</f>
        <v>Dashiell Vasquez</v>
      </c>
      <c r="D380" s="7" t="s">
        <v>371</v>
      </c>
      <c r="E380" s="10" t="str">
        <f aca="false">INDEX(球隊主檔!$C$2:$C$31,MATCH($D380,球隊主檔!$A$2:$A$31,0))</f>
        <v>底特律老虎</v>
      </c>
      <c r="F380" s="10" t="str">
        <f aca="false">INDEX(球隊主檔!$D$2:$D$31,MATCH($D380,球隊主檔!$A$2:$A$31,0))</f>
        <v>美聯</v>
      </c>
      <c r="G380" s="7" t="s">
        <v>483</v>
      </c>
      <c r="H380" s="11" t="n">
        <f aca="false">INT((DATE($A380,7,1)-INDEX(球員主檔!$G$2:$G$749,MATCH($B380,球員主檔!$A$2:$A$749,0)))/365.25)</f>
        <v>23</v>
      </c>
      <c r="I380" s="12" t="n">
        <v>51</v>
      </c>
      <c r="J380" s="12" t="n">
        <v>228</v>
      </c>
      <c r="K380" s="12" t="n">
        <v>202</v>
      </c>
      <c r="L380" s="12" t="n">
        <v>29</v>
      </c>
      <c r="M380" s="12" t="n">
        <v>48</v>
      </c>
      <c r="N380" s="12" t="n">
        <v>13</v>
      </c>
      <c r="O380" s="12" t="n">
        <v>8</v>
      </c>
      <c r="P380" s="12" t="n">
        <v>7</v>
      </c>
      <c r="Q380" s="12" t="n">
        <v>23</v>
      </c>
      <c r="R380" s="12" t="n">
        <v>22</v>
      </c>
      <c r="S380" s="12" t="n">
        <v>58</v>
      </c>
      <c r="T380" s="12" t="n">
        <v>3</v>
      </c>
      <c r="U380" s="12" t="n">
        <v>1</v>
      </c>
      <c r="V380" s="12" t="n">
        <v>4</v>
      </c>
      <c r="W380" s="12" t="n">
        <v>0</v>
      </c>
      <c r="X380" s="13" t="n">
        <f aca="false">M380+N380+2*O380+3*P380</f>
        <v>98</v>
      </c>
      <c r="Y380" s="14" t="n">
        <f aca="false">IF(K380=0,0,M380/K380)</f>
        <v>0.237623762376238</v>
      </c>
      <c r="Z380" s="14" t="n">
        <f aca="false">IF(K380+R380+T380+U380=0,0,(M380+R380+T380)/(K380+R380+T380+U380))</f>
        <v>0.320175438596491</v>
      </c>
      <c r="AA380" s="14" t="n">
        <f aca="false">IF(K380=0,0,X380/K380)</f>
        <v>0.485148514851485</v>
      </c>
      <c r="AB380" s="14" t="n">
        <f aca="false">Z380+AA380</f>
        <v>0.805323953447976</v>
      </c>
      <c r="AC380" s="14" t="n">
        <f aca="false">AA380-Y380</f>
        <v>0.247524752475248</v>
      </c>
      <c r="AD380" s="14" t="n">
        <f aca="false">IF(K380-S380-P380+U380=0,0,(M380-P380)/(K380-S380-P380+U380))</f>
        <v>0.297101449275362</v>
      </c>
      <c r="AE380" s="15" t="n">
        <f aca="false">IF(J380=0,0,R380/J380)</f>
        <v>0.0964912280701754</v>
      </c>
      <c r="AF380" s="15" t="n">
        <f aca="false">IF(J380=0,0,S380/J380)</f>
        <v>0.254385964912281</v>
      </c>
      <c r="AG380" s="11" t="n">
        <f aca="false">IF(J380&gt;=INDEX(球季參數!$E$2:$E$4,MATCH($A380,球季參數!$A$2:$A$4,0)),1,0)</f>
        <v>0</v>
      </c>
    </row>
    <row r="381" customFormat="false" ht="15" hidden="false" customHeight="false" outlineLevel="0" collapsed="false">
      <c r="A381" s="5" t="n">
        <v>2025</v>
      </c>
      <c r="B381" s="7" t="s">
        <v>775</v>
      </c>
      <c r="C381" s="10" t="str">
        <f aca="false">INDEX(球員主檔!$B$2:$B$749,MATCH($B381,球員主檔!$A$2:$A$749,0))</f>
        <v>Silas Ibarra</v>
      </c>
      <c r="D381" s="7" t="s">
        <v>371</v>
      </c>
      <c r="E381" s="10" t="str">
        <f aca="false">INDEX(球隊主檔!$C$2:$C$31,MATCH($D381,球隊主檔!$A$2:$A$31,0))</f>
        <v>底特律老虎</v>
      </c>
      <c r="F381" s="10" t="str">
        <f aca="false">INDEX(球隊主檔!$D$2:$D$31,MATCH($D381,球隊主檔!$A$2:$A$31,0))</f>
        <v>美聯</v>
      </c>
      <c r="G381" s="7" t="s">
        <v>473</v>
      </c>
      <c r="H381" s="11" t="n">
        <f aca="false">INT((DATE($A381,7,1)-INDEX(球員主檔!$G$2:$G$749,MATCH($B381,球員主檔!$A$2:$A$749,0)))/365.25)</f>
        <v>28</v>
      </c>
      <c r="I381" s="12" t="n">
        <v>54</v>
      </c>
      <c r="J381" s="12" t="n">
        <v>236</v>
      </c>
      <c r="K381" s="12" t="n">
        <v>203</v>
      </c>
      <c r="L381" s="12" t="n">
        <v>26</v>
      </c>
      <c r="M381" s="12" t="n">
        <v>49</v>
      </c>
      <c r="N381" s="12" t="n">
        <v>19</v>
      </c>
      <c r="O381" s="12" t="n">
        <v>2</v>
      </c>
      <c r="P381" s="12" t="n">
        <v>7</v>
      </c>
      <c r="Q381" s="12" t="n">
        <v>24</v>
      </c>
      <c r="R381" s="12" t="n">
        <v>28</v>
      </c>
      <c r="S381" s="12" t="n">
        <v>37</v>
      </c>
      <c r="T381" s="12" t="n">
        <v>3</v>
      </c>
      <c r="U381" s="12" t="n">
        <v>2</v>
      </c>
      <c r="V381" s="12" t="n">
        <v>5</v>
      </c>
      <c r="W381" s="12" t="n">
        <v>1</v>
      </c>
      <c r="X381" s="13" t="n">
        <f aca="false">M381+N381+2*O381+3*P381</f>
        <v>93</v>
      </c>
      <c r="Y381" s="14" t="n">
        <f aca="false">IF(K381=0,0,M381/K381)</f>
        <v>0.241379310344828</v>
      </c>
      <c r="Z381" s="14" t="n">
        <f aca="false">IF(K381+R381+T381+U381=0,0,(M381+R381+T381)/(K381+R381+T381+U381))</f>
        <v>0.338983050847458</v>
      </c>
      <c r="AA381" s="14" t="n">
        <f aca="false">IF(K381=0,0,X381/K381)</f>
        <v>0.458128078817734</v>
      </c>
      <c r="AB381" s="14" t="n">
        <f aca="false">Z381+AA381</f>
        <v>0.797111129665192</v>
      </c>
      <c r="AC381" s="14" t="n">
        <f aca="false">AA381-Y381</f>
        <v>0.216748768472906</v>
      </c>
      <c r="AD381" s="14" t="n">
        <f aca="false">IF(K381-S381-P381+U381=0,0,(M381-P381)/(K381-S381-P381+U381))</f>
        <v>0.260869565217391</v>
      </c>
      <c r="AE381" s="15" t="n">
        <f aca="false">IF(J381=0,0,R381/J381)</f>
        <v>0.11864406779661</v>
      </c>
      <c r="AF381" s="15" t="n">
        <f aca="false">IF(J381=0,0,S381/J381)</f>
        <v>0.156779661016949</v>
      </c>
      <c r="AG381" s="11" t="n">
        <f aca="false">IF(J381&gt;=INDEX(球季參數!$E$2:$E$4,MATCH($A381,球季參數!$A$2:$A$4,0)),1,0)</f>
        <v>0</v>
      </c>
    </row>
    <row r="382" customFormat="false" ht="15" hidden="false" customHeight="false" outlineLevel="0" collapsed="false">
      <c r="A382" s="5" t="n">
        <v>2025</v>
      </c>
      <c r="B382" s="7" t="s">
        <v>797</v>
      </c>
      <c r="C382" s="10" t="str">
        <f aca="false">INDEX(球員主檔!$B$2:$B$749,MATCH($B382,球員主檔!$A$2:$A$749,0))</f>
        <v>Yusuke Brightwell</v>
      </c>
      <c r="D382" s="7" t="s">
        <v>375</v>
      </c>
      <c r="E382" s="10" t="str">
        <f aca="false">INDEX(球隊主檔!$C$2:$C$31,MATCH($D382,球隊主檔!$A$2:$A$31,0))</f>
        <v>堪薩斯市皇家</v>
      </c>
      <c r="F382" s="10" t="str">
        <f aca="false">INDEX(球隊主檔!$D$2:$D$31,MATCH($D382,球隊主檔!$A$2:$A$31,0))</f>
        <v>美聯</v>
      </c>
      <c r="G382" s="7" t="s">
        <v>483</v>
      </c>
      <c r="H382" s="11" t="n">
        <f aca="false">INT((DATE($A382,7,1)-INDEX(球員主檔!$G$2:$G$749,MATCH($B382,球員主檔!$A$2:$A$749,0)))/365.25)</f>
        <v>28</v>
      </c>
      <c r="I382" s="12" t="n">
        <v>147</v>
      </c>
      <c r="J382" s="12" t="n">
        <v>619</v>
      </c>
      <c r="K382" s="12" t="n">
        <v>533</v>
      </c>
      <c r="L382" s="12" t="n">
        <v>71</v>
      </c>
      <c r="M382" s="12" t="n">
        <v>130</v>
      </c>
      <c r="N382" s="12" t="n">
        <v>29</v>
      </c>
      <c r="O382" s="12" t="n">
        <v>3</v>
      </c>
      <c r="P382" s="12" t="n">
        <v>15</v>
      </c>
      <c r="Q382" s="12" t="n">
        <v>54</v>
      </c>
      <c r="R382" s="12" t="n">
        <v>76</v>
      </c>
      <c r="S382" s="12" t="n">
        <v>134</v>
      </c>
      <c r="T382" s="12" t="n">
        <v>7</v>
      </c>
      <c r="U382" s="12" t="n">
        <v>3</v>
      </c>
      <c r="V382" s="12" t="n">
        <v>32</v>
      </c>
      <c r="W382" s="12" t="n">
        <v>6</v>
      </c>
      <c r="X382" s="13" t="n">
        <f aca="false">M382+N382+2*O382+3*P382</f>
        <v>210</v>
      </c>
      <c r="Y382" s="14" t="n">
        <f aca="false">IF(K382=0,0,M382/K382)</f>
        <v>0.24390243902439</v>
      </c>
      <c r="Z382" s="14" t="n">
        <f aca="false">IF(K382+R382+T382+U382=0,0,(M382+R382+T382)/(K382+R382+T382+U382))</f>
        <v>0.344103392568659</v>
      </c>
      <c r="AA382" s="14" t="n">
        <f aca="false">IF(K382=0,0,X382/K382)</f>
        <v>0.393996247654784</v>
      </c>
      <c r="AB382" s="14" t="n">
        <f aca="false">Z382+AA382</f>
        <v>0.738099640223443</v>
      </c>
      <c r="AC382" s="14" t="n">
        <f aca="false">AA382-Y382</f>
        <v>0.150093808630394</v>
      </c>
      <c r="AD382" s="14" t="n">
        <f aca="false">IF(K382-S382-P382+U382=0,0,(M382-P382)/(K382-S382-P382+U382))</f>
        <v>0.297157622739018</v>
      </c>
      <c r="AE382" s="15" t="n">
        <f aca="false">IF(J382=0,0,R382/J382)</f>
        <v>0.122778675282714</v>
      </c>
      <c r="AF382" s="15" t="n">
        <f aca="false">IF(J382=0,0,S382/J382)</f>
        <v>0.216478190630048</v>
      </c>
      <c r="AG382" s="11" t="n">
        <f aca="false">IF(J382&gt;=INDEX(球季參數!$E$2:$E$4,MATCH($A382,球季參數!$A$2:$A$4,0)),1,0)</f>
        <v>1</v>
      </c>
    </row>
    <row r="383" customFormat="false" ht="15" hidden="false" customHeight="false" outlineLevel="0" collapsed="false">
      <c r="A383" s="5" t="n">
        <v>2025</v>
      </c>
      <c r="B383" s="7" t="s">
        <v>799</v>
      </c>
      <c r="C383" s="10" t="str">
        <f aca="false">INDEX(球員主檔!$B$2:$B$749,MATCH($B383,球員主檔!$A$2:$A$749,0))</f>
        <v>Cedric Garrity</v>
      </c>
      <c r="D383" s="7" t="s">
        <v>375</v>
      </c>
      <c r="E383" s="10" t="str">
        <f aca="false">INDEX(球隊主檔!$C$2:$C$31,MATCH($D383,球隊主檔!$A$2:$A$31,0))</f>
        <v>堪薩斯市皇家</v>
      </c>
      <c r="F383" s="10" t="str">
        <f aca="false">INDEX(球隊主檔!$D$2:$D$31,MATCH($D383,球隊主檔!$A$2:$A$31,0))</f>
        <v>美聯</v>
      </c>
      <c r="G383" s="7" t="s">
        <v>483</v>
      </c>
      <c r="H383" s="11" t="n">
        <f aca="false">INT((DATE($A383,7,1)-INDEX(球員主檔!$G$2:$G$749,MATCH($B383,球員主檔!$A$2:$A$749,0)))/365.25)</f>
        <v>28</v>
      </c>
      <c r="I383" s="12" t="n">
        <v>128</v>
      </c>
      <c r="J383" s="12" t="n">
        <v>576</v>
      </c>
      <c r="K383" s="12" t="n">
        <v>540</v>
      </c>
      <c r="L383" s="12" t="n">
        <v>75</v>
      </c>
      <c r="M383" s="12" t="n">
        <v>145</v>
      </c>
      <c r="N383" s="12" t="n">
        <v>28</v>
      </c>
      <c r="O383" s="12" t="n">
        <v>2</v>
      </c>
      <c r="P383" s="12" t="n">
        <v>20</v>
      </c>
      <c r="Q383" s="12" t="n">
        <v>80</v>
      </c>
      <c r="R383" s="12" t="n">
        <v>20</v>
      </c>
      <c r="S383" s="12" t="n">
        <v>100</v>
      </c>
      <c r="T383" s="12" t="n">
        <v>12</v>
      </c>
      <c r="U383" s="12" t="n">
        <v>4</v>
      </c>
      <c r="V383" s="12" t="n">
        <v>12</v>
      </c>
      <c r="W383" s="12" t="n">
        <v>2</v>
      </c>
      <c r="X383" s="13" t="n">
        <f aca="false">M383+N383+2*O383+3*P383</f>
        <v>237</v>
      </c>
      <c r="Y383" s="14" t="n">
        <f aca="false">IF(K383=0,0,M383/K383)</f>
        <v>0.268518518518519</v>
      </c>
      <c r="Z383" s="14" t="n">
        <f aca="false">IF(K383+R383+T383+U383=0,0,(M383+R383+T383)/(K383+R383+T383+U383))</f>
        <v>0.307291666666667</v>
      </c>
      <c r="AA383" s="14" t="n">
        <f aca="false">IF(K383=0,0,X383/K383)</f>
        <v>0.438888888888889</v>
      </c>
      <c r="AB383" s="14" t="n">
        <f aca="false">Z383+AA383</f>
        <v>0.746180555555556</v>
      </c>
      <c r="AC383" s="14" t="n">
        <f aca="false">AA383-Y383</f>
        <v>0.17037037037037</v>
      </c>
      <c r="AD383" s="14" t="n">
        <f aca="false">IF(K383-S383-P383+U383=0,0,(M383-P383)/(K383-S383-P383+U383))</f>
        <v>0.294811320754717</v>
      </c>
      <c r="AE383" s="15" t="n">
        <f aca="false">IF(J383=0,0,R383/J383)</f>
        <v>0.0347222222222222</v>
      </c>
      <c r="AF383" s="15" t="n">
        <f aca="false">IF(J383=0,0,S383/J383)</f>
        <v>0.173611111111111</v>
      </c>
      <c r="AG383" s="11" t="n">
        <f aca="false">IF(J383&gt;=INDEX(球季參數!$E$2:$E$4,MATCH($A383,球季參數!$A$2:$A$4,0)),1,0)</f>
        <v>1</v>
      </c>
    </row>
    <row r="384" customFormat="false" ht="15" hidden="false" customHeight="false" outlineLevel="0" collapsed="false">
      <c r="A384" s="5" t="n">
        <v>2025</v>
      </c>
      <c r="B384" s="7" t="s">
        <v>801</v>
      </c>
      <c r="C384" s="10" t="str">
        <f aca="false">INDEX(球員主檔!$B$2:$B$749,MATCH($B384,球員主檔!$A$2:$A$749,0))</f>
        <v>Desmond Zielinski</v>
      </c>
      <c r="D384" s="7" t="s">
        <v>375</v>
      </c>
      <c r="E384" s="10" t="str">
        <f aca="false">INDEX(球隊主檔!$C$2:$C$31,MATCH($D384,球隊主檔!$A$2:$A$31,0))</f>
        <v>堪薩斯市皇家</v>
      </c>
      <c r="F384" s="10" t="str">
        <f aca="false">INDEX(球隊主檔!$D$2:$D$31,MATCH($D384,球隊主檔!$A$2:$A$31,0))</f>
        <v>美聯</v>
      </c>
      <c r="G384" s="7" t="s">
        <v>483</v>
      </c>
      <c r="H384" s="11" t="n">
        <f aca="false">INT((DATE($A384,7,1)-INDEX(球員主檔!$G$2:$G$749,MATCH($B384,球員主檔!$A$2:$A$749,0)))/365.25)</f>
        <v>30</v>
      </c>
      <c r="I384" s="12" t="n">
        <v>156</v>
      </c>
      <c r="J384" s="12" t="n">
        <v>666</v>
      </c>
      <c r="K384" s="12" t="n">
        <v>588</v>
      </c>
      <c r="L384" s="12" t="n">
        <v>87</v>
      </c>
      <c r="M384" s="12" t="n">
        <v>164</v>
      </c>
      <c r="N384" s="12" t="n">
        <v>28</v>
      </c>
      <c r="O384" s="12" t="n">
        <v>8</v>
      </c>
      <c r="P384" s="12" t="n">
        <v>25</v>
      </c>
      <c r="Q384" s="12" t="n">
        <v>91</v>
      </c>
      <c r="R384" s="12" t="n">
        <v>71</v>
      </c>
      <c r="S384" s="12" t="n">
        <v>206</v>
      </c>
      <c r="T384" s="12" t="n">
        <v>3</v>
      </c>
      <c r="U384" s="12" t="n">
        <v>4</v>
      </c>
      <c r="V384" s="12" t="n">
        <v>1</v>
      </c>
      <c r="W384" s="12" t="n">
        <v>0</v>
      </c>
      <c r="X384" s="13" t="n">
        <f aca="false">M384+N384+2*O384+3*P384</f>
        <v>283</v>
      </c>
      <c r="Y384" s="14" t="n">
        <f aca="false">IF(K384=0,0,M384/K384)</f>
        <v>0.27891156462585</v>
      </c>
      <c r="Z384" s="14" t="n">
        <f aca="false">IF(K384+R384+T384+U384=0,0,(M384+R384+T384)/(K384+R384+T384+U384))</f>
        <v>0.357357357357357</v>
      </c>
      <c r="AA384" s="14" t="n">
        <f aca="false">IF(K384=0,0,X384/K384)</f>
        <v>0.481292517006803</v>
      </c>
      <c r="AB384" s="14" t="n">
        <f aca="false">Z384+AA384</f>
        <v>0.83864987436416</v>
      </c>
      <c r="AC384" s="14" t="n">
        <f aca="false">AA384-Y384</f>
        <v>0.202380952380952</v>
      </c>
      <c r="AD384" s="14" t="n">
        <f aca="false">IF(K384-S384-P384+U384=0,0,(M384-P384)/(K384-S384-P384+U384))</f>
        <v>0.385041551246537</v>
      </c>
      <c r="AE384" s="15" t="n">
        <f aca="false">IF(J384=0,0,R384/J384)</f>
        <v>0.106606606606607</v>
      </c>
      <c r="AF384" s="15" t="n">
        <f aca="false">IF(J384=0,0,S384/J384)</f>
        <v>0.309309309309309</v>
      </c>
      <c r="AG384" s="11" t="n">
        <f aca="false">IF(J384&gt;=INDEX(球季參數!$E$2:$E$4,MATCH($A384,球季參數!$A$2:$A$4,0)),1,0)</f>
        <v>1</v>
      </c>
    </row>
    <row r="385" customFormat="false" ht="15" hidden="false" customHeight="false" outlineLevel="0" collapsed="false">
      <c r="A385" s="5" t="n">
        <v>2025</v>
      </c>
      <c r="B385" s="7" t="s">
        <v>803</v>
      </c>
      <c r="C385" s="10" t="str">
        <f aca="false">INDEX(球員主檔!$B$2:$B$749,MATCH($B385,球員主檔!$A$2:$A$749,0))</f>
        <v>Percival Esquivel</v>
      </c>
      <c r="D385" s="7" t="s">
        <v>375</v>
      </c>
      <c r="E385" s="10" t="str">
        <f aca="false">INDEX(球隊主檔!$C$2:$C$31,MATCH($D385,球隊主檔!$A$2:$A$31,0))</f>
        <v>堪薩斯市皇家</v>
      </c>
      <c r="F385" s="10" t="str">
        <f aca="false">INDEX(球隊主檔!$D$2:$D$31,MATCH($D385,球隊主檔!$A$2:$A$31,0))</f>
        <v>美聯</v>
      </c>
      <c r="G385" s="7" t="s">
        <v>483</v>
      </c>
      <c r="H385" s="11" t="n">
        <f aca="false">INT((DATE($A385,7,1)-INDEX(球員主檔!$G$2:$G$749,MATCH($B385,球員主檔!$A$2:$A$749,0)))/365.25)</f>
        <v>26</v>
      </c>
      <c r="I385" s="12" t="n">
        <v>148</v>
      </c>
      <c r="J385" s="12" t="n">
        <v>580</v>
      </c>
      <c r="K385" s="12" t="n">
        <v>540</v>
      </c>
      <c r="L385" s="12" t="n">
        <v>69</v>
      </c>
      <c r="M385" s="12" t="n">
        <v>134</v>
      </c>
      <c r="N385" s="12" t="n">
        <v>38</v>
      </c>
      <c r="O385" s="12" t="n">
        <v>1</v>
      </c>
      <c r="P385" s="12" t="n">
        <v>30</v>
      </c>
      <c r="Q385" s="12" t="n">
        <v>92</v>
      </c>
      <c r="R385" s="12" t="n">
        <v>32</v>
      </c>
      <c r="S385" s="12" t="n">
        <v>135</v>
      </c>
      <c r="T385" s="12" t="n">
        <v>7</v>
      </c>
      <c r="U385" s="12" t="n">
        <v>1</v>
      </c>
      <c r="V385" s="12" t="n">
        <v>20</v>
      </c>
      <c r="W385" s="12" t="n">
        <v>2</v>
      </c>
      <c r="X385" s="13" t="n">
        <f aca="false">M385+N385+2*O385+3*P385</f>
        <v>264</v>
      </c>
      <c r="Y385" s="14" t="n">
        <f aca="false">IF(K385=0,0,M385/K385)</f>
        <v>0.248148148148148</v>
      </c>
      <c r="Z385" s="14" t="n">
        <f aca="false">IF(K385+R385+T385+U385=0,0,(M385+R385+T385)/(K385+R385+T385+U385))</f>
        <v>0.298275862068966</v>
      </c>
      <c r="AA385" s="14" t="n">
        <f aca="false">IF(K385=0,0,X385/K385)</f>
        <v>0.488888888888889</v>
      </c>
      <c r="AB385" s="14" t="n">
        <f aca="false">Z385+AA385</f>
        <v>0.787164750957854</v>
      </c>
      <c r="AC385" s="14" t="n">
        <f aca="false">AA385-Y385</f>
        <v>0.240740740740741</v>
      </c>
      <c r="AD385" s="14" t="n">
        <f aca="false">IF(K385-S385-P385+U385=0,0,(M385-P385)/(K385-S385-P385+U385))</f>
        <v>0.276595744680851</v>
      </c>
      <c r="AE385" s="15" t="n">
        <f aca="false">IF(J385=0,0,R385/J385)</f>
        <v>0.0551724137931035</v>
      </c>
      <c r="AF385" s="15" t="n">
        <f aca="false">IF(J385=0,0,S385/J385)</f>
        <v>0.232758620689655</v>
      </c>
      <c r="AG385" s="11" t="n">
        <f aca="false">IF(J385&gt;=INDEX(球季參數!$E$2:$E$4,MATCH($A385,球季參數!$A$2:$A$4,0)),1,0)</f>
        <v>1</v>
      </c>
    </row>
    <row r="386" customFormat="false" ht="15" hidden="false" customHeight="false" outlineLevel="0" collapsed="false">
      <c r="A386" s="5" t="n">
        <v>2025</v>
      </c>
      <c r="B386" s="7" t="s">
        <v>805</v>
      </c>
      <c r="C386" s="10" t="str">
        <f aca="false">INDEX(球員主檔!$B$2:$B$749,MATCH($B386,球員主檔!$A$2:$A$749,0))</f>
        <v>Seonwoo Beckwith</v>
      </c>
      <c r="D386" s="7" t="s">
        <v>375</v>
      </c>
      <c r="E386" s="10" t="str">
        <f aca="false">INDEX(球隊主檔!$C$2:$C$31,MATCH($D386,球隊主檔!$A$2:$A$31,0))</f>
        <v>堪薩斯市皇家</v>
      </c>
      <c r="F386" s="10" t="str">
        <f aca="false">INDEX(球隊主檔!$D$2:$D$31,MATCH($D386,球隊主檔!$A$2:$A$31,0))</f>
        <v>美聯</v>
      </c>
      <c r="G386" s="7" t="s">
        <v>473</v>
      </c>
      <c r="H386" s="11" t="n">
        <f aca="false">INT((DATE($A386,7,1)-INDEX(球員主檔!$G$2:$G$749,MATCH($B386,球員主檔!$A$2:$A$749,0)))/365.25)</f>
        <v>26</v>
      </c>
      <c r="I386" s="12" t="n">
        <v>102</v>
      </c>
      <c r="J386" s="12" t="n">
        <v>398</v>
      </c>
      <c r="K386" s="12" t="n">
        <v>350</v>
      </c>
      <c r="L386" s="12" t="n">
        <v>54</v>
      </c>
      <c r="M386" s="12" t="n">
        <v>94</v>
      </c>
      <c r="N386" s="12" t="n">
        <v>30</v>
      </c>
      <c r="O386" s="12" t="n">
        <v>7</v>
      </c>
      <c r="P386" s="12" t="n">
        <v>8</v>
      </c>
      <c r="Q386" s="12" t="n">
        <v>34</v>
      </c>
      <c r="R386" s="12" t="n">
        <v>42</v>
      </c>
      <c r="S386" s="12" t="n">
        <v>100</v>
      </c>
      <c r="T386" s="12" t="n">
        <v>2</v>
      </c>
      <c r="U386" s="12" t="n">
        <v>4</v>
      </c>
      <c r="V386" s="12" t="n">
        <v>17</v>
      </c>
      <c r="W386" s="12" t="n">
        <v>2</v>
      </c>
      <c r="X386" s="13" t="n">
        <f aca="false">M386+N386+2*O386+3*P386</f>
        <v>162</v>
      </c>
      <c r="Y386" s="14" t="n">
        <f aca="false">IF(K386=0,0,M386/K386)</f>
        <v>0.268571428571429</v>
      </c>
      <c r="Z386" s="14" t="n">
        <f aca="false">IF(K386+R386+T386+U386=0,0,(M386+R386+T386)/(K386+R386+T386+U386))</f>
        <v>0.346733668341709</v>
      </c>
      <c r="AA386" s="14" t="n">
        <f aca="false">IF(K386=0,0,X386/K386)</f>
        <v>0.462857142857143</v>
      </c>
      <c r="AB386" s="14" t="n">
        <f aca="false">Z386+AA386</f>
        <v>0.809590811198852</v>
      </c>
      <c r="AC386" s="14" t="n">
        <f aca="false">AA386-Y386</f>
        <v>0.194285714285714</v>
      </c>
      <c r="AD386" s="14" t="n">
        <f aca="false">IF(K386-S386-P386+U386=0,0,(M386-P386)/(K386-S386-P386+U386))</f>
        <v>0.349593495934959</v>
      </c>
      <c r="AE386" s="15" t="n">
        <f aca="false">IF(J386=0,0,R386/J386)</f>
        <v>0.105527638190955</v>
      </c>
      <c r="AF386" s="15" t="n">
        <f aca="false">IF(J386=0,0,S386/J386)</f>
        <v>0.251256281407035</v>
      </c>
      <c r="AG386" s="11" t="n">
        <f aca="false">IF(J386&gt;=INDEX(球季參數!$E$2:$E$4,MATCH($A386,球季參數!$A$2:$A$4,0)),1,0)</f>
        <v>0</v>
      </c>
    </row>
    <row r="387" customFormat="false" ht="15" hidden="false" customHeight="false" outlineLevel="0" collapsed="false">
      <c r="A387" s="5" t="n">
        <v>2025</v>
      </c>
      <c r="B387" s="7" t="s">
        <v>807</v>
      </c>
      <c r="C387" s="10" t="str">
        <f aca="false">INDEX(球員主檔!$B$2:$B$749,MATCH($B387,球員主檔!$A$2:$A$749,0))</f>
        <v>Quentin Eberhardt</v>
      </c>
      <c r="D387" s="7" t="s">
        <v>375</v>
      </c>
      <c r="E387" s="10" t="str">
        <f aca="false">INDEX(球隊主檔!$C$2:$C$31,MATCH($D387,球隊主檔!$A$2:$A$31,0))</f>
        <v>堪薩斯市皇家</v>
      </c>
      <c r="F387" s="10" t="str">
        <f aca="false">INDEX(球隊主檔!$D$2:$D$31,MATCH($D387,球隊主檔!$A$2:$A$31,0))</f>
        <v>美聯</v>
      </c>
      <c r="G387" s="7" t="s">
        <v>470</v>
      </c>
      <c r="H387" s="11" t="n">
        <f aca="false">INT((DATE($A387,7,1)-INDEX(球員主檔!$G$2:$G$749,MATCH($B387,球員主檔!$A$2:$A$749,0)))/365.25)</f>
        <v>28</v>
      </c>
      <c r="I387" s="12" t="n">
        <v>119</v>
      </c>
      <c r="J387" s="12" t="n">
        <v>506</v>
      </c>
      <c r="K387" s="12" t="n">
        <v>459</v>
      </c>
      <c r="L387" s="12" t="n">
        <v>59</v>
      </c>
      <c r="M387" s="12" t="n">
        <v>137</v>
      </c>
      <c r="N387" s="12" t="n">
        <v>35</v>
      </c>
      <c r="O387" s="12" t="n">
        <v>4</v>
      </c>
      <c r="P387" s="12" t="n">
        <v>12</v>
      </c>
      <c r="Q387" s="12" t="n">
        <v>61</v>
      </c>
      <c r="R387" s="12" t="n">
        <v>41</v>
      </c>
      <c r="S387" s="12" t="n">
        <v>149</v>
      </c>
      <c r="T387" s="12" t="n">
        <v>3</v>
      </c>
      <c r="U387" s="12" t="n">
        <v>3</v>
      </c>
      <c r="V387" s="12" t="n">
        <v>17</v>
      </c>
      <c r="W387" s="12" t="n">
        <v>2</v>
      </c>
      <c r="X387" s="13" t="n">
        <f aca="false">M387+N387+2*O387+3*P387</f>
        <v>216</v>
      </c>
      <c r="Y387" s="14" t="n">
        <f aca="false">IF(K387=0,0,M387/K387)</f>
        <v>0.298474945533769</v>
      </c>
      <c r="Z387" s="14" t="n">
        <f aca="false">IF(K387+R387+T387+U387=0,0,(M387+R387+T387)/(K387+R387+T387+U387))</f>
        <v>0.357707509881423</v>
      </c>
      <c r="AA387" s="14" t="n">
        <f aca="false">IF(K387=0,0,X387/K387)</f>
        <v>0.470588235294118</v>
      </c>
      <c r="AB387" s="14" t="n">
        <f aca="false">Z387+AA387</f>
        <v>0.828295745175541</v>
      </c>
      <c r="AC387" s="14" t="n">
        <f aca="false">AA387-Y387</f>
        <v>0.172113289760349</v>
      </c>
      <c r="AD387" s="14" t="n">
        <f aca="false">IF(K387-S387-P387+U387=0,0,(M387-P387)/(K387-S387-P387+U387))</f>
        <v>0.415282392026578</v>
      </c>
      <c r="AE387" s="15" t="n">
        <f aca="false">IF(J387=0,0,R387/J387)</f>
        <v>0.0810276679841897</v>
      </c>
      <c r="AF387" s="15" t="n">
        <f aca="false">IF(J387=0,0,S387/J387)</f>
        <v>0.294466403162055</v>
      </c>
      <c r="AG387" s="11" t="n">
        <f aca="false">IF(J387&gt;=INDEX(球季參數!$E$2:$E$4,MATCH($A387,球季參數!$A$2:$A$4,0)),1,0)</f>
        <v>1</v>
      </c>
    </row>
    <row r="388" customFormat="false" ht="15" hidden="false" customHeight="false" outlineLevel="0" collapsed="false">
      <c r="A388" s="5" t="n">
        <v>2025</v>
      </c>
      <c r="B388" s="7" t="s">
        <v>809</v>
      </c>
      <c r="C388" s="10" t="str">
        <f aca="false">INDEX(球員主檔!$B$2:$B$749,MATCH($B388,球員主檔!$A$2:$A$749,0))</f>
        <v>Cassius Mbeki</v>
      </c>
      <c r="D388" s="7" t="s">
        <v>375</v>
      </c>
      <c r="E388" s="10" t="str">
        <f aca="false">INDEX(球隊主檔!$C$2:$C$31,MATCH($D388,球隊主檔!$A$2:$A$31,0))</f>
        <v>堪薩斯市皇家</v>
      </c>
      <c r="F388" s="10" t="str">
        <f aca="false">INDEX(球隊主檔!$D$2:$D$31,MATCH($D388,球隊主檔!$A$2:$A$31,0))</f>
        <v>美聯</v>
      </c>
      <c r="G388" s="7" t="s">
        <v>158</v>
      </c>
      <c r="H388" s="11" t="n">
        <f aca="false">INT((DATE($A388,7,1)-INDEX(球員主檔!$G$2:$G$749,MATCH($B388,球員主檔!$A$2:$A$749,0)))/365.25)</f>
        <v>31</v>
      </c>
      <c r="I388" s="12" t="n">
        <v>103</v>
      </c>
      <c r="J388" s="12" t="n">
        <v>422</v>
      </c>
      <c r="K388" s="12" t="n">
        <v>391</v>
      </c>
      <c r="L388" s="12" t="n">
        <v>51</v>
      </c>
      <c r="M388" s="12" t="n">
        <v>100</v>
      </c>
      <c r="N388" s="12" t="n">
        <v>15</v>
      </c>
      <c r="O388" s="12" t="n">
        <v>6</v>
      </c>
      <c r="P388" s="12" t="n">
        <v>11</v>
      </c>
      <c r="Q388" s="12" t="n">
        <v>39</v>
      </c>
      <c r="R388" s="12" t="n">
        <v>26</v>
      </c>
      <c r="S388" s="12" t="n">
        <v>63</v>
      </c>
      <c r="T388" s="12" t="n">
        <v>1</v>
      </c>
      <c r="U388" s="12" t="n">
        <v>4</v>
      </c>
      <c r="V388" s="12" t="n">
        <v>10</v>
      </c>
      <c r="W388" s="12" t="n">
        <v>3</v>
      </c>
      <c r="X388" s="13" t="n">
        <f aca="false">M388+N388+2*O388+3*P388</f>
        <v>160</v>
      </c>
      <c r="Y388" s="14" t="n">
        <f aca="false">IF(K388=0,0,M388/K388)</f>
        <v>0.255754475703325</v>
      </c>
      <c r="Z388" s="14" t="n">
        <f aca="false">IF(K388+R388+T388+U388=0,0,(M388+R388+T388)/(K388+R388+T388+U388))</f>
        <v>0.300947867298578</v>
      </c>
      <c r="AA388" s="14" t="n">
        <f aca="false">IF(K388=0,0,X388/K388)</f>
        <v>0.40920716112532</v>
      </c>
      <c r="AB388" s="14" t="n">
        <f aca="false">Z388+AA388</f>
        <v>0.710155028423898</v>
      </c>
      <c r="AC388" s="14" t="n">
        <f aca="false">AA388-Y388</f>
        <v>0.153452685421995</v>
      </c>
      <c r="AD388" s="14" t="n">
        <f aca="false">IF(K388-S388-P388+U388=0,0,(M388-P388)/(K388-S388-P388+U388))</f>
        <v>0.277258566978193</v>
      </c>
      <c r="AE388" s="15" t="n">
        <f aca="false">IF(J388=0,0,R388/J388)</f>
        <v>0.0616113744075829</v>
      </c>
      <c r="AF388" s="15" t="n">
        <f aca="false">IF(J388=0,0,S388/J388)</f>
        <v>0.149289099526066</v>
      </c>
      <c r="AG388" s="11" t="n">
        <f aca="false">IF(J388&gt;=INDEX(球季參數!$E$2:$E$4,MATCH($A388,球季參數!$A$2:$A$4,0)),1,0)</f>
        <v>0</v>
      </c>
    </row>
    <row r="389" customFormat="false" ht="15" hidden="false" customHeight="false" outlineLevel="0" collapsed="false">
      <c r="A389" s="5" t="n">
        <v>2025</v>
      </c>
      <c r="B389" s="7" t="s">
        <v>811</v>
      </c>
      <c r="C389" s="10" t="str">
        <f aca="false">INDEX(球員主檔!$B$2:$B$749,MATCH($B389,球員主檔!$A$2:$A$749,0))</f>
        <v>Dorian Ashworth</v>
      </c>
      <c r="D389" s="7" t="s">
        <v>375</v>
      </c>
      <c r="E389" s="10" t="str">
        <f aca="false">INDEX(球隊主檔!$C$2:$C$31,MATCH($D389,球隊主檔!$A$2:$A$31,0))</f>
        <v>堪薩斯市皇家</v>
      </c>
      <c r="F389" s="10" t="str">
        <f aca="false">INDEX(球隊主檔!$D$2:$D$31,MATCH($D389,球隊主檔!$A$2:$A$31,0))</f>
        <v>美聯</v>
      </c>
      <c r="G389" s="7" t="s">
        <v>473</v>
      </c>
      <c r="H389" s="11" t="n">
        <f aca="false">INT((DATE($A389,7,1)-INDEX(球員主檔!$G$2:$G$749,MATCH($B389,球員主檔!$A$2:$A$749,0)))/365.25)</f>
        <v>32</v>
      </c>
      <c r="I389" s="12" t="n">
        <v>101</v>
      </c>
      <c r="J389" s="12" t="n">
        <v>440</v>
      </c>
      <c r="K389" s="12" t="n">
        <v>399</v>
      </c>
      <c r="L389" s="12" t="n">
        <v>51</v>
      </c>
      <c r="M389" s="12" t="n">
        <v>94</v>
      </c>
      <c r="N389" s="12" t="n">
        <v>21</v>
      </c>
      <c r="O389" s="12" t="n">
        <v>5</v>
      </c>
      <c r="P389" s="12" t="n">
        <v>18</v>
      </c>
      <c r="Q389" s="12" t="n">
        <v>54</v>
      </c>
      <c r="R389" s="12" t="n">
        <v>33</v>
      </c>
      <c r="S389" s="12" t="n">
        <v>116</v>
      </c>
      <c r="T389" s="12" t="n">
        <v>6</v>
      </c>
      <c r="U389" s="12" t="n">
        <v>2</v>
      </c>
      <c r="V389" s="12" t="n">
        <v>3</v>
      </c>
      <c r="W389" s="12" t="n">
        <v>1</v>
      </c>
      <c r="X389" s="13" t="n">
        <f aca="false">M389+N389+2*O389+3*P389</f>
        <v>179</v>
      </c>
      <c r="Y389" s="14" t="n">
        <f aca="false">IF(K389=0,0,M389/K389)</f>
        <v>0.235588972431078</v>
      </c>
      <c r="Z389" s="14" t="n">
        <f aca="false">IF(K389+R389+T389+U389=0,0,(M389+R389+T389)/(K389+R389+T389+U389))</f>
        <v>0.302272727272727</v>
      </c>
      <c r="AA389" s="14" t="n">
        <f aca="false">IF(K389=0,0,X389/K389)</f>
        <v>0.448621553884712</v>
      </c>
      <c r="AB389" s="14" t="n">
        <f aca="false">Z389+AA389</f>
        <v>0.750894281157439</v>
      </c>
      <c r="AC389" s="14" t="n">
        <f aca="false">AA389-Y389</f>
        <v>0.213032581453634</v>
      </c>
      <c r="AD389" s="14" t="n">
        <f aca="false">IF(K389-S389-P389+U389=0,0,(M389-P389)/(K389-S389-P389+U389))</f>
        <v>0.284644194756554</v>
      </c>
      <c r="AE389" s="15" t="n">
        <f aca="false">IF(J389=0,0,R389/J389)</f>
        <v>0.075</v>
      </c>
      <c r="AF389" s="15" t="n">
        <f aca="false">IF(J389=0,0,S389/J389)</f>
        <v>0.263636363636364</v>
      </c>
      <c r="AG389" s="11" t="n">
        <f aca="false">IF(J389&gt;=INDEX(球季參數!$E$2:$E$4,MATCH($A389,球季參數!$A$2:$A$4,0)),1,0)</f>
        <v>0</v>
      </c>
    </row>
    <row r="390" customFormat="false" ht="15" hidden="false" customHeight="false" outlineLevel="0" collapsed="false">
      <c r="A390" s="5" t="n">
        <v>2025</v>
      </c>
      <c r="B390" s="7" t="s">
        <v>1707</v>
      </c>
      <c r="C390" s="10" t="str">
        <f aca="false">INDEX(球員主檔!$B$2:$B$749,MATCH($B390,球員主檔!$A$2:$A$749,0))</f>
        <v>Rowan Quiroga</v>
      </c>
      <c r="D390" s="7" t="s">
        <v>375</v>
      </c>
      <c r="E390" s="10" t="str">
        <f aca="false">INDEX(球隊主檔!$C$2:$C$31,MATCH($D390,球隊主檔!$A$2:$A$31,0))</f>
        <v>堪薩斯市皇家</v>
      </c>
      <c r="F390" s="10" t="str">
        <f aca="false">INDEX(球隊主檔!$D$2:$D$31,MATCH($D390,球隊主檔!$A$2:$A$31,0))</f>
        <v>美聯</v>
      </c>
      <c r="G390" s="7" t="s">
        <v>158</v>
      </c>
      <c r="H390" s="11" t="n">
        <f aca="false">INT((DATE($A390,7,1)-INDEX(球員主檔!$G$2:$G$749,MATCH($B390,球員主檔!$A$2:$A$749,0)))/365.25)</f>
        <v>21</v>
      </c>
      <c r="I390" s="12" t="n">
        <v>71</v>
      </c>
      <c r="J390" s="12" t="n">
        <v>296</v>
      </c>
      <c r="K390" s="12" t="n">
        <v>265</v>
      </c>
      <c r="L390" s="12" t="n">
        <v>41</v>
      </c>
      <c r="M390" s="12" t="n">
        <v>79</v>
      </c>
      <c r="N390" s="12" t="n">
        <v>34</v>
      </c>
      <c r="O390" s="12" t="n">
        <v>5</v>
      </c>
      <c r="P390" s="12" t="n">
        <v>8</v>
      </c>
      <c r="Q390" s="12" t="n">
        <v>29</v>
      </c>
      <c r="R390" s="12" t="n">
        <v>27</v>
      </c>
      <c r="S390" s="12" t="n">
        <v>60</v>
      </c>
      <c r="T390" s="12" t="n">
        <v>1</v>
      </c>
      <c r="U390" s="12" t="n">
        <v>3</v>
      </c>
      <c r="V390" s="12" t="n">
        <v>17</v>
      </c>
      <c r="W390" s="12" t="n">
        <v>4</v>
      </c>
      <c r="X390" s="13" t="n">
        <f aca="false">M390+N390+2*O390+3*P390</f>
        <v>147</v>
      </c>
      <c r="Y390" s="14" t="n">
        <f aca="false">IF(K390=0,0,M390/K390)</f>
        <v>0.29811320754717</v>
      </c>
      <c r="Z390" s="14" t="n">
        <f aca="false">IF(K390+R390+T390+U390=0,0,(M390+R390+T390)/(K390+R390+T390+U390))</f>
        <v>0.361486486486487</v>
      </c>
      <c r="AA390" s="14" t="n">
        <f aca="false">IF(K390=0,0,X390/K390)</f>
        <v>0.554716981132076</v>
      </c>
      <c r="AB390" s="14" t="n">
        <f aca="false">Z390+AA390</f>
        <v>0.916203467618562</v>
      </c>
      <c r="AC390" s="14" t="n">
        <f aca="false">AA390-Y390</f>
        <v>0.256603773584906</v>
      </c>
      <c r="AD390" s="14" t="n">
        <f aca="false">IF(K390-S390-P390+U390=0,0,(M390-P390)/(K390-S390-P390+U390))</f>
        <v>0.355</v>
      </c>
      <c r="AE390" s="15" t="n">
        <f aca="false">IF(J390=0,0,R390/J390)</f>
        <v>0.0912162162162162</v>
      </c>
      <c r="AF390" s="15" t="n">
        <f aca="false">IF(J390=0,0,S390/J390)</f>
        <v>0.202702702702703</v>
      </c>
      <c r="AG390" s="11" t="n">
        <f aca="false">IF(J390&gt;=INDEX(球季參數!$E$2:$E$4,MATCH($A390,球季參數!$A$2:$A$4,0)),1,0)</f>
        <v>0</v>
      </c>
    </row>
    <row r="391" customFormat="false" ht="15" hidden="false" customHeight="false" outlineLevel="0" collapsed="false">
      <c r="A391" s="5" t="n">
        <v>2025</v>
      </c>
      <c r="B391" s="7" t="s">
        <v>815</v>
      </c>
      <c r="C391" s="10" t="str">
        <f aca="false">INDEX(球員主檔!$B$2:$B$749,MATCH($B391,球員主檔!$A$2:$A$749,0))</f>
        <v>Griffin Ravenscroft</v>
      </c>
      <c r="D391" s="7" t="s">
        <v>375</v>
      </c>
      <c r="E391" s="10" t="str">
        <f aca="false">INDEX(球隊主檔!$C$2:$C$31,MATCH($D391,球隊主檔!$A$2:$A$31,0))</f>
        <v>堪薩斯市皇家</v>
      </c>
      <c r="F391" s="10" t="str">
        <f aca="false">INDEX(球隊主檔!$D$2:$D$31,MATCH($D391,球隊主檔!$A$2:$A$31,0))</f>
        <v>美聯</v>
      </c>
      <c r="G391" s="7" t="s">
        <v>63</v>
      </c>
      <c r="H391" s="11" t="n">
        <f aca="false">INT((DATE($A391,7,1)-INDEX(球員主檔!$G$2:$G$749,MATCH($B391,球員主檔!$A$2:$A$749,0)))/365.25)</f>
        <v>28</v>
      </c>
      <c r="I391" s="12" t="n">
        <v>54</v>
      </c>
      <c r="J391" s="12" t="n">
        <v>211</v>
      </c>
      <c r="K391" s="12" t="n">
        <v>186</v>
      </c>
      <c r="L391" s="12" t="n">
        <v>27</v>
      </c>
      <c r="M391" s="12" t="n">
        <v>49</v>
      </c>
      <c r="N391" s="12" t="n">
        <v>19</v>
      </c>
      <c r="O391" s="12" t="n">
        <v>5</v>
      </c>
      <c r="P391" s="12" t="n">
        <v>5</v>
      </c>
      <c r="Q391" s="12" t="n">
        <v>23</v>
      </c>
      <c r="R391" s="12" t="n">
        <v>18</v>
      </c>
      <c r="S391" s="12" t="n">
        <v>50</v>
      </c>
      <c r="T391" s="12" t="n">
        <v>4</v>
      </c>
      <c r="U391" s="12" t="n">
        <v>3</v>
      </c>
      <c r="V391" s="12" t="n">
        <v>9</v>
      </c>
      <c r="W391" s="12" t="n">
        <v>3</v>
      </c>
      <c r="X391" s="13" t="n">
        <f aca="false">M391+N391+2*O391+3*P391</f>
        <v>93</v>
      </c>
      <c r="Y391" s="14" t="n">
        <f aca="false">IF(K391=0,0,M391/K391)</f>
        <v>0.263440860215054</v>
      </c>
      <c r="Z391" s="14" t="n">
        <f aca="false">IF(K391+R391+T391+U391=0,0,(M391+R391+T391)/(K391+R391+T391+U391))</f>
        <v>0.336492890995261</v>
      </c>
      <c r="AA391" s="14" t="n">
        <f aca="false">IF(K391=0,0,X391/K391)</f>
        <v>0.5</v>
      </c>
      <c r="AB391" s="14" t="n">
        <f aca="false">Z391+AA391</f>
        <v>0.836492890995261</v>
      </c>
      <c r="AC391" s="14" t="n">
        <f aca="false">AA391-Y391</f>
        <v>0.236559139784946</v>
      </c>
      <c r="AD391" s="14" t="n">
        <f aca="false">IF(K391-S391-P391+U391=0,0,(M391-P391)/(K391-S391-P391+U391))</f>
        <v>0.328358208955224</v>
      </c>
      <c r="AE391" s="15" t="n">
        <f aca="false">IF(J391=0,0,R391/J391)</f>
        <v>0.0853080568720379</v>
      </c>
      <c r="AF391" s="15" t="n">
        <f aca="false">IF(J391=0,0,S391/J391)</f>
        <v>0.23696682464455</v>
      </c>
      <c r="AG391" s="11" t="n">
        <f aca="false">IF(J391&gt;=INDEX(球季參數!$E$2:$E$4,MATCH($A391,球季參數!$A$2:$A$4,0)),1,0)</f>
        <v>0</v>
      </c>
    </row>
    <row r="392" customFormat="false" ht="15" hidden="false" customHeight="false" outlineLevel="0" collapsed="false">
      <c r="A392" s="5" t="n">
        <v>2025</v>
      </c>
      <c r="B392" s="7" t="s">
        <v>837</v>
      </c>
      <c r="C392" s="10" t="str">
        <f aca="false">INDEX(球員主檔!$B$2:$B$749,MATCH($B392,球員主檔!$A$2:$A$749,0))</f>
        <v>Dashiell Uchendu</v>
      </c>
      <c r="D392" s="7" t="s">
        <v>379</v>
      </c>
      <c r="E392" s="10" t="str">
        <f aca="false">INDEX(球隊主檔!$C$2:$C$31,MATCH($D392,球隊主檔!$A$2:$A$31,0))</f>
        <v>明尼蘇達雙城</v>
      </c>
      <c r="F392" s="10" t="str">
        <f aca="false">INDEX(球隊主檔!$D$2:$D$31,MATCH($D392,球隊主檔!$A$2:$A$31,0))</f>
        <v>美聯</v>
      </c>
      <c r="G392" s="7" t="s">
        <v>522</v>
      </c>
      <c r="H392" s="11" t="n">
        <f aca="false">INT((DATE($A392,7,1)-INDEX(球員主檔!$G$2:$G$749,MATCH($B392,球員主檔!$A$2:$A$749,0)))/365.25)</f>
        <v>34</v>
      </c>
      <c r="I392" s="12" t="n">
        <v>139</v>
      </c>
      <c r="J392" s="12" t="n">
        <v>613</v>
      </c>
      <c r="K392" s="12" t="n">
        <v>533</v>
      </c>
      <c r="L392" s="12" t="n">
        <v>77</v>
      </c>
      <c r="M392" s="12" t="n">
        <v>116</v>
      </c>
      <c r="N392" s="12" t="n">
        <v>29</v>
      </c>
      <c r="O392" s="12" t="n">
        <v>7</v>
      </c>
      <c r="P392" s="12" t="n">
        <v>23</v>
      </c>
      <c r="Q392" s="12" t="n">
        <v>79</v>
      </c>
      <c r="R392" s="12" t="n">
        <v>67</v>
      </c>
      <c r="S392" s="12" t="n">
        <v>195</v>
      </c>
      <c r="T392" s="12" t="n">
        <v>8</v>
      </c>
      <c r="U392" s="12" t="n">
        <v>5</v>
      </c>
      <c r="V392" s="12" t="n">
        <v>8</v>
      </c>
      <c r="W392" s="12" t="n">
        <v>2</v>
      </c>
      <c r="X392" s="13" t="n">
        <f aca="false">M392+N392+2*O392+3*P392</f>
        <v>228</v>
      </c>
      <c r="Y392" s="14" t="n">
        <f aca="false">IF(K392=0,0,M392/K392)</f>
        <v>0.217636022514071</v>
      </c>
      <c r="Z392" s="14" t="n">
        <f aca="false">IF(K392+R392+T392+U392=0,0,(M392+R392+T392)/(K392+R392+T392+U392))</f>
        <v>0.311582381729201</v>
      </c>
      <c r="AA392" s="14" t="n">
        <f aca="false">IF(K392=0,0,X392/K392)</f>
        <v>0.427767354596623</v>
      </c>
      <c r="AB392" s="14" t="n">
        <f aca="false">Z392+AA392</f>
        <v>0.739349736325824</v>
      </c>
      <c r="AC392" s="14" t="n">
        <f aca="false">AA392-Y392</f>
        <v>0.210131332082552</v>
      </c>
      <c r="AD392" s="14" t="n">
        <f aca="false">IF(K392-S392-P392+U392=0,0,(M392-P392)/(K392-S392-P392+U392))</f>
        <v>0.290625</v>
      </c>
      <c r="AE392" s="15" t="n">
        <f aca="false">IF(J392=0,0,R392/J392)</f>
        <v>0.109298531810767</v>
      </c>
      <c r="AF392" s="15" t="n">
        <f aca="false">IF(J392=0,0,S392/J392)</f>
        <v>0.318107667210441</v>
      </c>
      <c r="AG392" s="11" t="n">
        <f aca="false">IF(J392&gt;=INDEX(球季參數!$E$2:$E$4,MATCH($A392,球季參數!$A$2:$A$4,0)),1,0)</f>
        <v>1</v>
      </c>
    </row>
    <row r="393" customFormat="false" ht="15" hidden="false" customHeight="false" outlineLevel="0" collapsed="false">
      <c r="A393" s="5" t="n">
        <v>2025</v>
      </c>
      <c r="B393" s="7" t="s">
        <v>839</v>
      </c>
      <c r="C393" s="10" t="str">
        <f aca="false">INDEX(球員主檔!$B$2:$B$749,MATCH($B393,球員主檔!$A$2:$A$749,0))</f>
        <v>Barrett Yarbrough</v>
      </c>
      <c r="D393" s="7" t="s">
        <v>379</v>
      </c>
      <c r="E393" s="10" t="str">
        <f aca="false">INDEX(球隊主檔!$C$2:$C$31,MATCH($D393,球隊主檔!$A$2:$A$31,0))</f>
        <v>明尼蘇達雙城</v>
      </c>
      <c r="F393" s="10" t="str">
        <f aca="false">INDEX(球隊主檔!$D$2:$D$31,MATCH($D393,球隊主檔!$A$2:$A$31,0))</f>
        <v>美聯</v>
      </c>
      <c r="G393" s="7" t="s">
        <v>158</v>
      </c>
      <c r="H393" s="11" t="n">
        <f aca="false">INT((DATE($A393,7,1)-INDEX(球員主檔!$G$2:$G$749,MATCH($B393,球員主檔!$A$2:$A$749,0)))/365.25)</f>
        <v>29</v>
      </c>
      <c r="I393" s="12" t="n">
        <v>162</v>
      </c>
      <c r="J393" s="12" t="n">
        <v>700</v>
      </c>
      <c r="K393" s="12" t="n">
        <v>587</v>
      </c>
      <c r="L393" s="12" t="n">
        <v>80</v>
      </c>
      <c r="M393" s="12" t="n">
        <v>154</v>
      </c>
      <c r="N393" s="12" t="n">
        <v>33</v>
      </c>
      <c r="O393" s="12" t="n">
        <v>3</v>
      </c>
      <c r="P393" s="12" t="n">
        <v>6</v>
      </c>
      <c r="Q393" s="12" t="n">
        <v>47</v>
      </c>
      <c r="R393" s="12" t="n">
        <v>94</v>
      </c>
      <c r="S393" s="12" t="n">
        <v>162</v>
      </c>
      <c r="T393" s="12" t="n">
        <v>11</v>
      </c>
      <c r="U393" s="12" t="n">
        <v>8</v>
      </c>
      <c r="V393" s="12" t="n">
        <v>5</v>
      </c>
      <c r="W393" s="12" t="n">
        <v>1</v>
      </c>
      <c r="X393" s="13" t="n">
        <f aca="false">M393+N393+2*O393+3*P393</f>
        <v>211</v>
      </c>
      <c r="Y393" s="14" t="n">
        <f aca="false">IF(K393=0,0,M393/K393)</f>
        <v>0.262350936967632</v>
      </c>
      <c r="Z393" s="14" t="n">
        <f aca="false">IF(K393+R393+T393+U393=0,0,(M393+R393+T393)/(K393+R393+T393+U393))</f>
        <v>0.37</v>
      </c>
      <c r="AA393" s="14" t="n">
        <f aca="false">IF(K393=0,0,X393/K393)</f>
        <v>0.359454855195911</v>
      </c>
      <c r="AB393" s="14" t="n">
        <f aca="false">Z393+AA393</f>
        <v>0.729454855195912</v>
      </c>
      <c r="AC393" s="14" t="n">
        <f aca="false">AA393-Y393</f>
        <v>0.0971039182282794</v>
      </c>
      <c r="AD393" s="14" t="n">
        <f aca="false">IF(K393-S393-P393+U393=0,0,(M393-P393)/(K393-S393-P393+U393))</f>
        <v>0.346604215456674</v>
      </c>
      <c r="AE393" s="15" t="n">
        <f aca="false">IF(J393=0,0,R393/J393)</f>
        <v>0.134285714285714</v>
      </c>
      <c r="AF393" s="15" t="n">
        <f aca="false">IF(J393=0,0,S393/J393)</f>
        <v>0.231428571428571</v>
      </c>
      <c r="AG393" s="11" t="n">
        <f aca="false">IF(J393&gt;=INDEX(球季參數!$E$2:$E$4,MATCH($A393,球季參數!$A$2:$A$4,0)),1,0)</f>
        <v>1</v>
      </c>
    </row>
    <row r="394" customFormat="false" ht="15" hidden="false" customHeight="false" outlineLevel="0" collapsed="false">
      <c r="A394" s="5" t="n">
        <v>2025</v>
      </c>
      <c r="B394" s="7" t="s">
        <v>841</v>
      </c>
      <c r="C394" s="10" t="str">
        <f aca="false">INDEX(球員主檔!$B$2:$B$749,MATCH($B394,球員主檔!$A$2:$A$749,0))</f>
        <v>Dimitri Prendergast</v>
      </c>
      <c r="D394" s="7" t="s">
        <v>379</v>
      </c>
      <c r="E394" s="10" t="str">
        <f aca="false">INDEX(球隊主檔!$C$2:$C$31,MATCH($D394,球隊主檔!$A$2:$A$31,0))</f>
        <v>明尼蘇達雙城</v>
      </c>
      <c r="F394" s="10" t="str">
        <f aca="false">INDEX(球隊主檔!$D$2:$D$31,MATCH($D394,球隊主檔!$A$2:$A$31,0))</f>
        <v>美聯</v>
      </c>
      <c r="G394" s="7" t="s">
        <v>470</v>
      </c>
      <c r="H394" s="11" t="n">
        <f aca="false">INT((DATE($A394,7,1)-INDEX(球員主檔!$G$2:$G$749,MATCH($B394,球員主檔!$A$2:$A$749,0)))/365.25)</f>
        <v>31</v>
      </c>
      <c r="I394" s="12" t="n">
        <v>127</v>
      </c>
      <c r="J394" s="12" t="n">
        <v>563</v>
      </c>
      <c r="K394" s="12" t="n">
        <v>510</v>
      </c>
      <c r="L394" s="12" t="n">
        <v>64</v>
      </c>
      <c r="M394" s="12" t="n">
        <v>149</v>
      </c>
      <c r="N394" s="12" t="n">
        <v>25</v>
      </c>
      <c r="O394" s="12" t="n">
        <v>2</v>
      </c>
      <c r="P394" s="12" t="n">
        <v>16</v>
      </c>
      <c r="Q394" s="12" t="n">
        <v>74</v>
      </c>
      <c r="R394" s="12" t="n">
        <v>47</v>
      </c>
      <c r="S394" s="12" t="n">
        <v>149</v>
      </c>
      <c r="T394" s="12" t="n">
        <v>1</v>
      </c>
      <c r="U394" s="12" t="n">
        <v>5</v>
      </c>
      <c r="V394" s="12" t="n">
        <v>9</v>
      </c>
      <c r="W394" s="12" t="n">
        <v>2</v>
      </c>
      <c r="X394" s="13" t="n">
        <f aca="false">M394+N394+2*O394+3*P394</f>
        <v>226</v>
      </c>
      <c r="Y394" s="14" t="n">
        <f aca="false">IF(K394=0,0,M394/K394)</f>
        <v>0.292156862745098</v>
      </c>
      <c r="Z394" s="14" t="n">
        <f aca="false">IF(K394+R394+T394+U394=0,0,(M394+R394+T394)/(K394+R394+T394+U394))</f>
        <v>0.349911190053286</v>
      </c>
      <c r="AA394" s="14" t="n">
        <f aca="false">IF(K394=0,0,X394/K394)</f>
        <v>0.443137254901961</v>
      </c>
      <c r="AB394" s="14" t="n">
        <f aca="false">Z394+AA394</f>
        <v>0.793048444955247</v>
      </c>
      <c r="AC394" s="14" t="n">
        <f aca="false">AA394-Y394</f>
        <v>0.150980392156863</v>
      </c>
      <c r="AD394" s="14" t="n">
        <f aca="false">IF(K394-S394-P394+U394=0,0,(M394-P394)/(K394-S394-P394+U394))</f>
        <v>0.38</v>
      </c>
      <c r="AE394" s="15" t="n">
        <f aca="false">IF(J394=0,0,R394/J394)</f>
        <v>0.0834813499111901</v>
      </c>
      <c r="AF394" s="15" t="n">
        <f aca="false">IF(J394=0,0,S394/J394)</f>
        <v>0.264653641207815</v>
      </c>
      <c r="AG394" s="11" t="n">
        <f aca="false">IF(J394&gt;=INDEX(球季參數!$E$2:$E$4,MATCH($A394,球季參數!$A$2:$A$4,0)),1,0)</f>
        <v>1</v>
      </c>
    </row>
    <row r="395" customFormat="false" ht="15" hidden="false" customHeight="false" outlineLevel="0" collapsed="false">
      <c r="A395" s="5" t="n">
        <v>2025</v>
      </c>
      <c r="B395" s="7" t="s">
        <v>843</v>
      </c>
      <c r="C395" s="10" t="str">
        <f aca="false">INDEX(球員主檔!$B$2:$B$749,MATCH($B395,球員主檔!$A$2:$A$749,0))</f>
        <v>Hugo Ravenscroft</v>
      </c>
      <c r="D395" s="7" t="s">
        <v>379</v>
      </c>
      <c r="E395" s="10" t="str">
        <f aca="false">INDEX(球隊主檔!$C$2:$C$31,MATCH($D395,球隊主檔!$A$2:$A$31,0))</f>
        <v>明尼蘇達雙城</v>
      </c>
      <c r="F395" s="10" t="str">
        <f aca="false">INDEX(球隊主檔!$D$2:$D$31,MATCH($D395,球隊主檔!$A$2:$A$31,0))</f>
        <v>美聯</v>
      </c>
      <c r="G395" s="7" t="s">
        <v>162</v>
      </c>
      <c r="H395" s="11" t="n">
        <f aca="false">INT((DATE($A395,7,1)-INDEX(球員主檔!$G$2:$G$749,MATCH($B395,球員主檔!$A$2:$A$749,0)))/365.25)</f>
        <v>29</v>
      </c>
      <c r="I395" s="12" t="n">
        <v>82</v>
      </c>
      <c r="J395" s="12" t="n">
        <v>316</v>
      </c>
      <c r="K395" s="12" t="n">
        <v>289</v>
      </c>
      <c r="L395" s="12" t="n">
        <v>34</v>
      </c>
      <c r="M395" s="12" t="n">
        <v>85</v>
      </c>
      <c r="N395" s="12" t="n">
        <v>18</v>
      </c>
      <c r="O395" s="12" t="n">
        <v>7</v>
      </c>
      <c r="P395" s="12" t="n">
        <v>3</v>
      </c>
      <c r="Q395" s="12" t="n">
        <v>31</v>
      </c>
      <c r="R395" s="12" t="n">
        <v>24</v>
      </c>
      <c r="S395" s="12" t="n">
        <v>69</v>
      </c>
      <c r="T395" s="12" t="n">
        <v>2</v>
      </c>
      <c r="U395" s="12" t="n">
        <v>1</v>
      </c>
      <c r="V395" s="12" t="n">
        <v>9</v>
      </c>
      <c r="W395" s="12" t="n">
        <v>2</v>
      </c>
      <c r="X395" s="13" t="n">
        <f aca="false">M395+N395+2*O395+3*P395</f>
        <v>126</v>
      </c>
      <c r="Y395" s="14" t="n">
        <f aca="false">IF(K395=0,0,M395/K395)</f>
        <v>0.294117647058824</v>
      </c>
      <c r="Z395" s="14" t="n">
        <f aca="false">IF(K395+R395+T395+U395=0,0,(M395+R395+T395)/(K395+R395+T395+U395))</f>
        <v>0.35126582278481</v>
      </c>
      <c r="AA395" s="14" t="n">
        <f aca="false">IF(K395=0,0,X395/K395)</f>
        <v>0.43598615916955</v>
      </c>
      <c r="AB395" s="14" t="n">
        <f aca="false">Z395+AA395</f>
        <v>0.78725198195436</v>
      </c>
      <c r="AC395" s="14" t="n">
        <f aca="false">AA395-Y395</f>
        <v>0.141868512110727</v>
      </c>
      <c r="AD395" s="14" t="n">
        <f aca="false">IF(K395-S395-P395+U395=0,0,(M395-P395)/(K395-S395-P395+U395))</f>
        <v>0.376146788990826</v>
      </c>
      <c r="AE395" s="15" t="n">
        <f aca="false">IF(J395=0,0,R395/J395)</f>
        <v>0.0759493670886076</v>
      </c>
      <c r="AF395" s="15" t="n">
        <f aca="false">IF(J395=0,0,S395/J395)</f>
        <v>0.218354430379747</v>
      </c>
      <c r="AG395" s="11" t="n">
        <f aca="false">IF(J395&gt;=INDEX(球季參數!$E$2:$E$4,MATCH($A395,球季參數!$A$2:$A$4,0)),1,0)</f>
        <v>0</v>
      </c>
    </row>
    <row r="396" customFormat="false" ht="15" hidden="false" customHeight="false" outlineLevel="0" collapsed="false">
      <c r="A396" s="5" t="n">
        <v>2025</v>
      </c>
      <c r="B396" s="7" t="s">
        <v>845</v>
      </c>
      <c r="C396" s="10" t="str">
        <f aca="false">INDEX(球員主檔!$B$2:$B$749,MATCH($B396,球員主檔!$A$2:$A$749,0))</f>
        <v>Niklas Zbornak</v>
      </c>
      <c r="D396" s="7" t="s">
        <v>379</v>
      </c>
      <c r="E396" s="10" t="str">
        <f aca="false">INDEX(球隊主檔!$C$2:$C$31,MATCH($D396,球隊主檔!$A$2:$A$31,0))</f>
        <v>明尼蘇達雙城</v>
      </c>
      <c r="F396" s="10" t="str">
        <f aca="false">INDEX(球隊主檔!$D$2:$D$31,MATCH($D396,球隊主檔!$A$2:$A$31,0))</f>
        <v>美聯</v>
      </c>
      <c r="G396" s="7" t="s">
        <v>158</v>
      </c>
      <c r="H396" s="11" t="n">
        <f aca="false">INT((DATE($A396,7,1)-INDEX(球員主檔!$G$2:$G$749,MATCH($B396,球員主檔!$A$2:$A$749,0)))/365.25)</f>
        <v>26</v>
      </c>
      <c r="I396" s="12" t="n">
        <v>134</v>
      </c>
      <c r="J396" s="12" t="n">
        <v>576</v>
      </c>
      <c r="K396" s="12" t="n">
        <v>530</v>
      </c>
      <c r="L396" s="12" t="n">
        <v>63</v>
      </c>
      <c r="M396" s="12" t="n">
        <v>108</v>
      </c>
      <c r="N396" s="12" t="n">
        <v>30</v>
      </c>
      <c r="O396" s="12" t="n">
        <v>3</v>
      </c>
      <c r="P396" s="12" t="n">
        <v>32</v>
      </c>
      <c r="Q396" s="12" t="n">
        <v>96</v>
      </c>
      <c r="R396" s="12" t="n">
        <v>31</v>
      </c>
      <c r="S396" s="12" t="n">
        <v>174</v>
      </c>
      <c r="T396" s="12" t="n">
        <v>10</v>
      </c>
      <c r="U396" s="12" t="n">
        <v>5</v>
      </c>
      <c r="V396" s="12" t="n">
        <v>13</v>
      </c>
      <c r="W396" s="12" t="n">
        <v>3</v>
      </c>
      <c r="X396" s="13" t="n">
        <f aca="false">M396+N396+2*O396+3*P396</f>
        <v>240</v>
      </c>
      <c r="Y396" s="14" t="n">
        <f aca="false">IF(K396=0,0,M396/K396)</f>
        <v>0.20377358490566</v>
      </c>
      <c r="Z396" s="14" t="n">
        <f aca="false">IF(K396+R396+T396+U396=0,0,(M396+R396+T396)/(K396+R396+T396+U396))</f>
        <v>0.258680555555556</v>
      </c>
      <c r="AA396" s="14" t="n">
        <f aca="false">IF(K396=0,0,X396/K396)</f>
        <v>0.452830188679245</v>
      </c>
      <c r="AB396" s="14" t="n">
        <f aca="false">Z396+AA396</f>
        <v>0.711510744234801</v>
      </c>
      <c r="AC396" s="14" t="n">
        <f aca="false">AA396-Y396</f>
        <v>0.249056603773585</v>
      </c>
      <c r="AD396" s="14" t="n">
        <f aca="false">IF(K396-S396-P396+U396=0,0,(M396-P396)/(K396-S396-P396+U396))</f>
        <v>0.231003039513678</v>
      </c>
      <c r="AE396" s="15" t="n">
        <f aca="false">IF(J396=0,0,R396/J396)</f>
        <v>0.0538194444444445</v>
      </c>
      <c r="AF396" s="15" t="n">
        <f aca="false">IF(J396=0,0,S396/J396)</f>
        <v>0.302083333333333</v>
      </c>
      <c r="AG396" s="11" t="n">
        <f aca="false">IF(J396&gt;=INDEX(球季參數!$E$2:$E$4,MATCH($A396,球季參數!$A$2:$A$4,0)),1,0)</f>
        <v>1</v>
      </c>
    </row>
    <row r="397" customFormat="false" ht="15" hidden="false" customHeight="false" outlineLevel="0" collapsed="false">
      <c r="A397" s="5" t="n">
        <v>2025</v>
      </c>
      <c r="B397" s="7" t="s">
        <v>847</v>
      </c>
      <c r="C397" s="10" t="str">
        <f aca="false">INDEX(球員主檔!$B$2:$B$749,MATCH($B397,球員主檔!$A$2:$A$749,0))</f>
        <v>Alonso Eberhardt</v>
      </c>
      <c r="D397" s="7" t="s">
        <v>379</v>
      </c>
      <c r="E397" s="10" t="str">
        <f aca="false">INDEX(球隊主檔!$C$2:$C$31,MATCH($D397,球隊主檔!$A$2:$A$31,0))</f>
        <v>明尼蘇達雙城</v>
      </c>
      <c r="F397" s="10" t="str">
        <f aca="false">INDEX(球隊主檔!$D$2:$D$31,MATCH($D397,球隊主檔!$A$2:$A$31,0))</f>
        <v>美聯</v>
      </c>
      <c r="G397" s="7" t="s">
        <v>483</v>
      </c>
      <c r="H397" s="11" t="n">
        <f aca="false">INT((DATE($A397,7,1)-INDEX(球員主檔!$G$2:$G$749,MATCH($B397,球員主檔!$A$2:$A$749,0)))/365.25)</f>
        <v>28</v>
      </c>
      <c r="I397" s="12" t="n">
        <v>128</v>
      </c>
      <c r="J397" s="12" t="n">
        <v>529</v>
      </c>
      <c r="K397" s="12" t="n">
        <v>444</v>
      </c>
      <c r="L397" s="12" t="n">
        <v>75</v>
      </c>
      <c r="M397" s="12" t="n">
        <v>108</v>
      </c>
      <c r="N397" s="12" t="n">
        <v>34</v>
      </c>
      <c r="O397" s="12" t="n">
        <v>5</v>
      </c>
      <c r="P397" s="12" t="n">
        <v>26</v>
      </c>
      <c r="Q397" s="12" t="n">
        <v>71</v>
      </c>
      <c r="R397" s="12" t="n">
        <v>74</v>
      </c>
      <c r="S397" s="12" t="n">
        <v>91</v>
      </c>
      <c r="T397" s="12" t="n">
        <v>5</v>
      </c>
      <c r="U397" s="12" t="n">
        <v>6</v>
      </c>
      <c r="V397" s="12" t="n">
        <v>4</v>
      </c>
      <c r="W397" s="12" t="n">
        <v>1</v>
      </c>
      <c r="X397" s="13" t="n">
        <f aca="false">M397+N397+2*O397+3*P397</f>
        <v>230</v>
      </c>
      <c r="Y397" s="14" t="n">
        <f aca="false">IF(K397=0,0,M397/K397)</f>
        <v>0.243243243243243</v>
      </c>
      <c r="Z397" s="14" t="n">
        <f aca="false">IF(K397+R397+T397+U397=0,0,(M397+R397+T397)/(K397+R397+T397+U397))</f>
        <v>0.353497164461248</v>
      </c>
      <c r="AA397" s="14" t="n">
        <f aca="false">IF(K397=0,0,X397/K397)</f>
        <v>0.518018018018018</v>
      </c>
      <c r="AB397" s="14" t="n">
        <f aca="false">Z397+AA397</f>
        <v>0.871515182479266</v>
      </c>
      <c r="AC397" s="14" t="n">
        <f aca="false">AA397-Y397</f>
        <v>0.274774774774775</v>
      </c>
      <c r="AD397" s="14" t="n">
        <f aca="false">IF(K397-S397-P397+U397=0,0,(M397-P397)/(K397-S397-P397+U397))</f>
        <v>0.246246246246246</v>
      </c>
      <c r="AE397" s="15" t="n">
        <f aca="false">IF(J397=0,0,R397/J397)</f>
        <v>0.139886578449905</v>
      </c>
      <c r="AF397" s="15" t="n">
        <f aca="false">IF(J397=0,0,S397/J397)</f>
        <v>0.172022684310019</v>
      </c>
      <c r="AG397" s="11" t="n">
        <f aca="false">IF(J397&gt;=INDEX(球季參數!$E$2:$E$4,MATCH($A397,球季參數!$A$2:$A$4,0)),1,0)</f>
        <v>1</v>
      </c>
    </row>
    <row r="398" customFormat="false" ht="15" hidden="false" customHeight="false" outlineLevel="0" collapsed="false">
      <c r="A398" s="5" t="n">
        <v>2025</v>
      </c>
      <c r="B398" s="7" t="s">
        <v>773</v>
      </c>
      <c r="C398" s="10" t="str">
        <f aca="false">INDEX(球員主檔!$B$2:$B$749,MATCH($B398,球員主檔!$A$2:$A$749,0))</f>
        <v>Bernardo Brightwell</v>
      </c>
      <c r="D398" s="7" t="s">
        <v>379</v>
      </c>
      <c r="E398" s="10" t="str">
        <f aca="false">INDEX(球隊主檔!$C$2:$C$31,MATCH($D398,球隊主檔!$A$2:$A$31,0))</f>
        <v>明尼蘇達雙城</v>
      </c>
      <c r="F398" s="10" t="str">
        <f aca="false">INDEX(球隊主檔!$D$2:$D$31,MATCH($D398,球隊主檔!$A$2:$A$31,0))</f>
        <v>美聯</v>
      </c>
      <c r="G398" s="7" t="s">
        <v>483</v>
      </c>
      <c r="H398" s="11" t="n">
        <f aca="false">INT((DATE($A398,7,1)-INDEX(球員主檔!$G$2:$G$749,MATCH($B398,球員主檔!$A$2:$A$749,0)))/365.25)</f>
        <v>33</v>
      </c>
      <c r="I398" s="12" t="n">
        <v>55</v>
      </c>
      <c r="J398" s="12" t="n">
        <v>239</v>
      </c>
      <c r="K398" s="12" t="n">
        <v>212</v>
      </c>
      <c r="L398" s="12" t="n">
        <v>27</v>
      </c>
      <c r="M398" s="12" t="n">
        <v>54</v>
      </c>
      <c r="N398" s="12" t="n">
        <v>22</v>
      </c>
      <c r="O398" s="12" t="n">
        <v>4</v>
      </c>
      <c r="P398" s="12" t="n">
        <v>6</v>
      </c>
      <c r="Q398" s="12" t="n">
        <v>28</v>
      </c>
      <c r="R398" s="12" t="n">
        <v>23</v>
      </c>
      <c r="S398" s="12" t="n">
        <v>62</v>
      </c>
      <c r="T398" s="12" t="n">
        <v>3</v>
      </c>
      <c r="U398" s="12" t="n">
        <v>1</v>
      </c>
      <c r="V398" s="12" t="n">
        <v>1</v>
      </c>
      <c r="W398" s="12" t="n">
        <v>0</v>
      </c>
      <c r="X398" s="13" t="n">
        <f aca="false">M398+N398+2*O398+3*P398</f>
        <v>102</v>
      </c>
      <c r="Y398" s="14" t="n">
        <f aca="false">IF(K398=0,0,M398/K398)</f>
        <v>0.254716981132075</v>
      </c>
      <c r="Z398" s="14" t="n">
        <f aca="false">IF(K398+R398+T398+U398=0,0,(M398+R398+T398)/(K398+R398+T398+U398))</f>
        <v>0.334728033472803</v>
      </c>
      <c r="AA398" s="14" t="n">
        <f aca="false">IF(K398=0,0,X398/K398)</f>
        <v>0.481132075471698</v>
      </c>
      <c r="AB398" s="14" t="n">
        <f aca="false">Z398+AA398</f>
        <v>0.815860108944501</v>
      </c>
      <c r="AC398" s="14" t="n">
        <f aca="false">AA398-Y398</f>
        <v>0.226415094339623</v>
      </c>
      <c r="AD398" s="14" t="n">
        <f aca="false">IF(K398-S398-P398+U398=0,0,(M398-P398)/(K398-S398-P398+U398))</f>
        <v>0.331034482758621</v>
      </c>
      <c r="AE398" s="15" t="n">
        <f aca="false">IF(J398=0,0,R398/J398)</f>
        <v>0.096234309623431</v>
      </c>
      <c r="AF398" s="15" t="n">
        <f aca="false">IF(J398=0,0,S398/J398)</f>
        <v>0.259414225941423</v>
      </c>
      <c r="AG398" s="11" t="n">
        <f aca="false">IF(J398&gt;=INDEX(球季參數!$E$2:$E$4,MATCH($A398,球季參數!$A$2:$A$4,0)),1,0)</f>
        <v>0</v>
      </c>
    </row>
    <row r="399" customFormat="false" ht="15" hidden="false" customHeight="false" outlineLevel="0" collapsed="false">
      <c r="A399" s="5" t="n">
        <v>2025</v>
      </c>
      <c r="B399" s="7" t="s">
        <v>851</v>
      </c>
      <c r="C399" s="10" t="str">
        <f aca="false">INDEX(球員主檔!$B$2:$B$749,MATCH($B399,球員主檔!$A$2:$A$749,0))</f>
        <v>Marcus Rasmussen</v>
      </c>
      <c r="D399" s="7" t="s">
        <v>379</v>
      </c>
      <c r="E399" s="10" t="str">
        <f aca="false">INDEX(球隊主檔!$C$2:$C$31,MATCH($D399,球隊主檔!$A$2:$A$31,0))</f>
        <v>明尼蘇達雙城</v>
      </c>
      <c r="F399" s="10" t="str">
        <f aca="false">INDEX(球隊主檔!$D$2:$D$31,MATCH($D399,球隊主檔!$A$2:$A$31,0))</f>
        <v>美聯</v>
      </c>
      <c r="G399" s="7" t="s">
        <v>473</v>
      </c>
      <c r="H399" s="11" t="n">
        <f aca="false">INT((DATE($A399,7,1)-INDEX(球員主檔!$G$2:$G$749,MATCH($B399,球員主檔!$A$2:$A$749,0)))/365.25)</f>
        <v>23</v>
      </c>
      <c r="I399" s="12" t="n">
        <v>138</v>
      </c>
      <c r="J399" s="12" t="n">
        <v>557</v>
      </c>
      <c r="K399" s="12" t="n">
        <v>513</v>
      </c>
      <c r="L399" s="12" t="n">
        <v>80</v>
      </c>
      <c r="M399" s="12" t="n">
        <v>123</v>
      </c>
      <c r="N399" s="12" t="n">
        <v>33</v>
      </c>
      <c r="O399" s="12" t="n">
        <v>8</v>
      </c>
      <c r="P399" s="12" t="n">
        <v>34</v>
      </c>
      <c r="Q399" s="12" t="n">
        <v>109</v>
      </c>
      <c r="R399" s="12" t="n">
        <v>37</v>
      </c>
      <c r="S399" s="12" t="n">
        <v>92</v>
      </c>
      <c r="T399" s="12" t="n">
        <v>3</v>
      </c>
      <c r="U399" s="12" t="n">
        <v>4</v>
      </c>
      <c r="V399" s="12" t="n">
        <v>15</v>
      </c>
      <c r="W399" s="12" t="n">
        <v>4</v>
      </c>
      <c r="X399" s="13" t="n">
        <f aca="false">M399+N399+2*O399+3*P399</f>
        <v>274</v>
      </c>
      <c r="Y399" s="14" t="n">
        <f aca="false">IF(K399=0,0,M399/K399)</f>
        <v>0.239766081871345</v>
      </c>
      <c r="Z399" s="14" t="n">
        <f aca="false">IF(K399+R399+T399+U399=0,0,(M399+R399+T399)/(K399+R399+T399+U399))</f>
        <v>0.292639138240575</v>
      </c>
      <c r="AA399" s="14" t="n">
        <f aca="false">IF(K399=0,0,X399/K399)</f>
        <v>0.53411306042885</v>
      </c>
      <c r="AB399" s="14" t="n">
        <f aca="false">Z399+AA399</f>
        <v>0.826752198669424</v>
      </c>
      <c r="AC399" s="14" t="n">
        <f aca="false">AA399-Y399</f>
        <v>0.294346978557505</v>
      </c>
      <c r="AD399" s="14" t="n">
        <f aca="false">IF(K399-S399-P399+U399=0,0,(M399-P399)/(K399-S399-P399+U399))</f>
        <v>0.227621483375959</v>
      </c>
      <c r="AE399" s="15" t="n">
        <f aca="false">IF(J399=0,0,R399/J399)</f>
        <v>0.066427289048474</v>
      </c>
      <c r="AF399" s="15" t="n">
        <f aca="false">IF(J399=0,0,S399/J399)</f>
        <v>0.165170556552962</v>
      </c>
      <c r="AG399" s="11" t="n">
        <f aca="false">IF(J399&gt;=INDEX(球季參數!$E$2:$E$4,MATCH($A399,球季參數!$A$2:$A$4,0)),1,0)</f>
        <v>1</v>
      </c>
    </row>
    <row r="400" customFormat="false" ht="15" hidden="false" customHeight="false" outlineLevel="0" collapsed="false">
      <c r="A400" s="5" t="n">
        <v>2025</v>
      </c>
      <c r="B400" s="7" t="s">
        <v>853</v>
      </c>
      <c r="C400" s="10" t="str">
        <f aca="false">INDEX(球員主檔!$B$2:$B$749,MATCH($B400,球員主檔!$A$2:$A$749,0))</f>
        <v>Tobias Dunmore</v>
      </c>
      <c r="D400" s="7" t="s">
        <v>379</v>
      </c>
      <c r="E400" s="10" t="str">
        <f aca="false">INDEX(球隊主檔!$C$2:$C$31,MATCH($D400,球隊主檔!$A$2:$A$31,0))</f>
        <v>明尼蘇達雙城</v>
      </c>
      <c r="F400" s="10" t="str">
        <f aca="false">INDEX(球隊主檔!$D$2:$D$31,MATCH($D400,球隊主檔!$A$2:$A$31,0))</f>
        <v>美聯</v>
      </c>
      <c r="G400" s="7" t="s">
        <v>478</v>
      </c>
      <c r="H400" s="11" t="n">
        <f aca="false">INT((DATE($A400,7,1)-INDEX(球員主檔!$G$2:$G$749,MATCH($B400,球員主檔!$A$2:$A$749,0)))/365.25)</f>
        <v>26</v>
      </c>
      <c r="I400" s="12" t="n">
        <v>74</v>
      </c>
      <c r="J400" s="12" t="n">
        <v>330</v>
      </c>
      <c r="K400" s="12" t="n">
        <v>300</v>
      </c>
      <c r="L400" s="12" t="n">
        <v>43</v>
      </c>
      <c r="M400" s="12" t="n">
        <v>81</v>
      </c>
      <c r="N400" s="12" t="n">
        <v>31</v>
      </c>
      <c r="O400" s="12" t="n">
        <v>8</v>
      </c>
      <c r="P400" s="12" t="n">
        <v>9</v>
      </c>
      <c r="Q400" s="12" t="n">
        <v>32</v>
      </c>
      <c r="R400" s="12" t="n">
        <v>25</v>
      </c>
      <c r="S400" s="12" t="n">
        <v>79</v>
      </c>
      <c r="T400" s="12" t="n">
        <v>4</v>
      </c>
      <c r="U400" s="12" t="n">
        <v>1</v>
      </c>
      <c r="V400" s="12" t="n">
        <v>10</v>
      </c>
      <c r="W400" s="12" t="n">
        <v>3</v>
      </c>
      <c r="X400" s="13" t="n">
        <f aca="false">M400+N400+2*O400+3*P400</f>
        <v>155</v>
      </c>
      <c r="Y400" s="14" t="n">
        <f aca="false">IF(K400=0,0,M400/K400)</f>
        <v>0.27</v>
      </c>
      <c r="Z400" s="14" t="n">
        <f aca="false">IF(K400+R400+T400+U400=0,0,(M400+R400+T400)/(K400+R400+T400+U400))</f>
        <v>0.333333333333333</v>
      </c>
      <c r="AA400" s="14" t="n">
        <f aca="false">IF(K400=0,0,X400/K400)</f>
        <v>0.516666666666667</v>
      </c>
      <c r="AB400" s="14" t="n">
        <f aca="false">Z400+AA400</f>
        <v>0.85</v>
      </c>
      <c r="AC400" s="14" t="n">
        <f aca="false">AA400-Y400</f>
        <v>0.246666666666667</v>
      </c>
      <c r="AD400" s="14" t="n">
        <f aca="false">IF(K400-S400-P400+U400=0,0,(M400-P400)/(K400-S400-P400+U400))</f>
        <v>0.338028169014085</v>
      </c>
      <c r="AE400" s="15" t="n">
        <f aca="false">IF(J400=0,0,R400/J400)</f>
        <v>0.0757575757575758</v>
      </c>
      <c r="AF400" s="15" t="n">
        <f aca="false">IF(J400=0,0,S400/J400)</f>
        <v>0.239393939393939</v>
      </c>
      <c r="AG400" s="11" t="n">
        <f aca="false">IF(J400&gt;=INDEX(球季參數!$E$2:$E$4,MATCH($A400,球季參數!$A$2:$A$4,0)),1,0)</f>
        <v>0</v>
      </c>
    </row>
    <row r="401" customFormat="false" ht="15" hidden="false" customHeight="false" outlineLevel="0" collapsed="false">
      <c r="A401" s="5" t="n">
        <v>2025</v>
      </c>
      <c r="B401" s="7" t="s">
        <v>855</v>
      </c>
      <c r="C401" s="10" t="str">
        <f aca="false">INDEX(球員主檔!$B$2:$B$749,MATCH($B401,球員主檔!$A$2:$A$749,0))</f>
        <v>Sawyer Oyelaran</v>
      </c>
      <c r="D401" s="7" t="s">
        <v>379</v>
      </c>
      <c r="E401" s="10" t="str">
        <f aca="false">INDEX(球隊主檔!$C$2:$C$31,MATCH($D401,球隊主檔!$A$2:$A$31,0))</f>
        <v>明尼蘇達雙城</v>
      </c>
      <c r="F401" s="10" t="str">
        <f aca="false">INDEX(球隊主檔!$D$2:$D$31,MATCH($D401,球隊主檔!$A$2:$A$31,0))</f>
        <v>美聯</v>
      </c>
      <c r="G401" s="7" t="s">
        <v>522</v>
      </c>
      <c r="H401" s="11" t="n">
        <f aca="false">INT((DATE($A401,7,1)-INDEX(球員主檔!$G$2:$G$749,MATCH($B401,球員主檔!$A$2:$A$749,0)))/365.25)</f>
        <v>27</v>
      </c>
      <c r="I401" s="12" t="n">
        <v>23</v>
      </c>
      <c r="J401" s="12" t="n">
        <v>97</v>
      </c>
      <c r="K401" s="12" t="n">
        <v>94</v>
      </c>
      <c r="L401" s="12" t="n">
        <v>9</v>
      </c>
      <c r="M401" s="12" t="n">
        <v>23</v>
      </c>
      <c r="N401" s="12" t="n">
        <v>10</v>
      </c>
      <c r="O401" s="12" t="n">
        <v>1</v>
      </c>
      <c r="P401" s="12" t="n">
        <v>2</v>
      </c>
      <c r="Q401" s="12" t="n">
        <v>9</v>
      </c>
      <c r="R401" s="12" t="n">
        <v>3</v>
      </c>
      <c r="S401" s="12" t="n">
        <v>31</v>
      </c>
      <c r="T401" s="12" t="n">
        <v>0</v>
      </c>
      <c r="U401" s="12" t="n">
        <v>0</v>
      </c>
      <c r="V401" s="12" t="n">
        <v>1</v>
      </c>
      <c r="W401" s="12" t="n">
        <v>0</v>
      </c>
      <c r="X401" s="13" t="n">
        <f aca="false">M401+N401+2*O401+3*P401</f>
        <v>41</v>
      </c>
      <c r="Y401" s="14" t="n">
        <f aca="false">IF(K401=0,0,M401/K401)</f>
        <v>0.24468085106383</v>
      </c>
      <c r="Z401" s="14" t="n">
        <f aca="false">IF(K401+R401+T401+U401=0,0,(M401+R401+T401)/(K401+R401+T401+U401))</f>
        <v>0.268041237113402</v>
      </c>
      <c r="AA401" s="14" t="n">
        <f aca="false">IF(K401=0,0,X401/K401)</f>
        <v>0.436170212765957</v>
      </c>
      <c r="AB401" s="14" t="n">
        <f aca="false">Z401+AA401</f>
        <v>0.70421144987936</v>
      </c>
      <c r="AC401" s="14" t="n">
        <f aca="false">AA401-Y401</f>
        <v>0.191489361702128</v>
      </c>
      <c r="AD401" s="14" t="n">
        <f aca="false">IF(K401-S401-P401+U401=0,0,(M401-P401)/(K401-S401-P401+U401))</f>
        <v>0.344262295081967</v>
      </c>
      <c r="AE401" s="15" t="n">
        <f aca="false">IF(J401=0,0,R401/J401)</f>
        <v>0.0309278350515464</v>
      </c>
      <c r="AF401" s="15" t="n">
        <f aca="false">IF(J401=0,0,S401/J401)</f>
        <v>0.319587628865979</v>
      </c>
      <c r="AG401" s="11" t="n">
        <f aca="false">IF(J401&gt;=INDEX(球季參數!$E$2:$E$4,MATCH($A401,球季參數!$A$2:$A$4,0)),1,0)</f>
        <v>0</v>
      </c>
    </row>
    <row r="402" customFormat="false" ht="15" hidden="false" customHeight="false" outlineLevel="0" collapsed="false">
      <c r="A402" s="5" t="n">
        <v>2025</v>
      </c>
      <c r="B402" s="7" t="s">
        <v>877</v>
      </c>
      <c r="C402" s="10" t="str">
        <f aca="false">INDEX(球員主檔!$B$2:$B$749,MATCH($B402,球員主檔!$A$2:$A$749,0))</f>
        <v>Jedidiah Ferreira</v>
      </c>
      <c r="D402" s="7" t="s">
        <v>383</v>
      </c>
      <c r="E402" s="10" t="str">
        <f aca="false">INDEX(球隊主檔!$C$2:$C$31,MATCH($D402,球隊主檔!$A$2:$A$31,0))</f>
        <v>運動家</v>
      </c>
      <c r="F402" s="10" t="str">
        <f aca="false">INDEX(球隊主檔!$D$2:$D$31,MATCH($D402,球隊主檔!$A$2:$A$31,0))</f>
        <v>美聯</v>
      </c>
      <c r="G402" s="7" t="s">
        <v>162</v>
      </c>
      <c r="H402" s="11" t="n">
        <f aca="false">INT((DATE($A402,7,1)-INDEX(球員主檔!$G$2:$G$749,MATCH($B402,球員主檔!$A$2:$A$749,0)))/365.25)</f>
        <v>28</v>
      </c>
      <c r="I402" s="12" t="n">
        <v>154</v>
      </c>
      <c r="J402" s="12" t="n">
        <v>693</v>
      </c>
      <c r="K402" s="12" t="n">
        <v>631</v>
      </c>
      <c r="L402" s="12" t="n">
        <v>92</v>
      </c>
      <c r="M402" s="12" t="n">
        <v>151</v>
      </c>
      <c r="N402" s="12" t="n">
        <v>20</v>
      </c>
      <c r="O402" s="12" t="n">
        <v>6</v>
      </c>
      <c r="P402" s="12" t="n">
        <v>46</v>
      </c>
      <c r="Q402" s="12" t="n">
        <v>121</v>
      </c>
      <c r="R402" s="12" t="n">
        <v>47</v>
      </c>
      <c r="S402" s="12" t="n">
        <v>185</v>
      </c>
      <c r="T402" s="12" t="n">
        <v>9</v>
      </c>
      <c r="U402" s="12" t="n">
        <v>6</v>
      </c>
      <c r="V402" s="12" t="n">
        <v>29</v>
      </c>
      <c r="W402" s="12" t="n">
        <v>9</v>
      </c>
      <c r="X402" s="13" t="n">
        <f aca="false">M402+N402+2*O402+3*P402</f>
        <v>321</v>
      </c>
      <c r="Y402" s="14" t="n">
        <f aca="false">IF(K402=0,0,M402/K402)</f>
        <v>0.239302694136292</v>
      </c>
      <c r="Z402" s="14" t="n">
        <f aca="false">IF(K402+R402+T402+U402=0,0,(M402+R402+T402)/(K402+R402+T402+U402))</f>
        <v>0.298701298701299</v>
      </c>
      <c r="AA402" s="14" t="n">
        <f aca="false">IF(K402=0,0,X402/K402)</f>
        <v>0.508716323296355</v>
      </c>
      <c r="AB402" s="14" t="n">
        <f aca="false">Z402+AA402</f>
        <v>0.807417621997654</v>
      </c>
      <c r="AC402" s="14" t="n">
        <f aca="false">AA402-Y402</f>
        <v>0.269413629160063</v>
      </c>
      <c r="AD402" s="14" t="n">
        <f aca="false">IF(K402-S402-P402+U402=0,0,(M402-P402)/(K402-S402-P402+U402))</f>
        <v>0.258620689655172</v>
      </c>
      <c r="AE402" s="15" t="n">
        <f aca="false">IF(J402=0,0,R402/J402)</f>
        <v>0.0678210678210678</v>
      </c>
      <c r="AF402" s="15" t="n">
        <f aca="false">IF(J402=0,0,S402/J402)</f>
        <v>0.266955266955267</v>
      </c>
      <c r="AG402" s="11" t="n">
        <f aca="false">IF(J402&gt;=INDEX(球季參數!$E$2:$E$4,MATCH($A402,球季參數!$A$2:$A$4,0)),1,0)</f>
        <v>1</v>
      </c>
    </row>
    <row r="403" customFormat="false" ht="15" hidden="false" customHeight="false" outlineLevel="0" collapsed="false">
      <c r="A403" s="5" t="n">
        <v>2025</v>
      </c>
      <c r="B403" s="7" t="s">
        <v>879</v>
      </c>
      <c r="C403" s="10" t="str">
        <f aca="false">INDEX(球員主檔!$B$2:$B$749,MATCH($B403,球員主檔!$A$2:$A$749,0))</f>
        <v>Thiago Kowalczyk</v>
      </c>
      <c r="D403" s="7" t="s">
        <v>383</v>
      </c>
      <c r="E403" s="10" t="str">
        <f aca="false">INDEX(球隊主檔!$C$2:$C$31,MATCH($D403,球隊主檔!$A$2:$A$31,0))</f>
        <v>運動家</v>
      </c>
      <c r="F403" s="10" t="str">
        <f aca="false">INDEX(球隊主檔!$D$2:$D$31,MATCH($D403,球隊主檔!$A$2:$A$31,0))</f>
        <v>美聯</v>
      </c>
      <c r="G403" s="7" t="s">
        <v>522</v>
      </c>
      <c r="H403" s="11" t="n">
        <f aca="false">INT((DATE($A403,7,1)-INDEX(球員主檔!$G$2:$G$749,MATCH($B403,球員主檔!$A$2:$A$749,0)))/365.25)</f>
        <v>27</v>
      </c>
      <c r="I403" s="12" t="n">
        <v>162</v>
      </c>
      <c r="J403" s="12" t="n">
        <v>696</v>
      </c>
      <c r="K403" s="12" t="n">
        <v>596</v>
      </c>
      <c r="L403" s="12" t="n">
        <v>74</v>
      </c>
      <c r="M403" s="12" t="n">
        <v>130</v>
      </c>
      <c r="N403" s="12" t="n">
        <v>16</v>
      </c>
      <c r="O403" s="12" t="n">
        <v>6</v>
      </c>
      <c r="P403" s="12" t="n">
        <v>10</v>
      </c>
      <c r="Q403" s="12" t="n">
        <v>45</v>
      </c>
      <c r="R403" s="12" t="n">
        <v>93</v>
      </c>
      <c r="S403" s="12" t="n">
        <v>175</v>
      </c>
      <c r="T403" s="12" t="n">
        <v>2</v>
      </c>
      <c r="U403" s="12" t="n">
        <v>5</v>
      </c>
      <c r="V403" s="12" t="n">
        <v>17</v>
      </c>
      <c r="W403" s="12" t="n">
        <v>3</v>
      </c>
      <c r="X403" s="13" t="n">
        <f aca="false">M403+N403+2*O403+3*P403</f>
        <v>188</v>
      </c>
      <c r="Y403" s="14" t="n">
        <f aca="false">IF(K403=0,0,M403/K403)</f>
        <v>0.218120805369128</v>
      </c>
      <c r="Z403" s="14" t="n">
        <f aca="false">IF(K403+R403+T403+U403=0,0,(M403+R403+T403)/(K403+R403+T403+U403))</f>
        <v>0.323275862068966</v>
      </c>
      <c r="AA403" s="14" t="n">
        <f aca="false">IF(K403=0,0,X403/K403)</f>
        <v>0.315436241610738</v>
      </c>
      <c r="AB403" s="14" t="n">
        <f aca="false">Z403+AA403</f>
        <v>0.638712103679704</v>
      </c>
      <c r="AC403" s="14" t="n">
        <f aca="false">AA403-Y403</f>
        <v>0.0973154362416107</v>
      </c>
      <c r="AD403" s="14" t="n">
        <f aca="false">IF(K403-S403-P403+U403=0,0,(M403-P403)/(K403-S403-P403+U403))</f>
        <v>0.288461538461538</v>
      </c>
      <c r="AE403" s="15" t="n">
        <f aca="false">IF(J403=0,0,R403/J403)</f>
        <v>0.133620689655172</v>
      </c>
      <c r="AF403" s="15" t="n">
        <f aca="false">IF(J403=0,0,S403/J403)</f>
        <v>0.251436781609195</v>
      </c>
      <c r="AG403" s="11" t="n">
        <f aca="false">IF(J403&gt;=INDEX(球季參數!$E$2:$E$4,MATCH($A403,球季參數!$A$2:$A$4,0)),1,0)</f>
        <v>1</v>
      </c>
    </row>
    <row r="404" customFormat="false" ht="15" hidden="false" customHeight="false" outlineLevel="0" collapsed="false">
      <c r="A404" s="5" t="n">
        <v>2025</v>
      </c>
      <c r="B404" s="7" t="s">
        <v>881</v>
      </c>
      <c r="C404" s="10" t="str">
        <f aca="false">INDEX(球員主檔!$B$2:$B$749,MATCH($B404,球員主檔!$A$2:$A$749,0))</f>
        <v>Emilio Ostrowski</v>
      </c>
      <c r="D404" s="7" t="s">
        <v>383</v>
      </c>
      <c r="E404" s="10" t="str">
        <f aca="false">INDEX(球隊主檔!$C$2:$C$31,MATCH($D404,球隊主檔!$A$2:$A$31,0))</f>
        <v>運動家</v>
      </c>
      <c r="F404" s="10" t="str">
        <f aca="false">INDEX(球隊主檔!$D$2:$D$31,MATCH($D404,球隊主檔!$A$2:$A$31,0))</f>
        <v>美聯</v>
      </c>
      <c r="G404" s="7" t="s">
        <v>473</v>
      </c>
      <c r="H404" s="11" t="n">
        <f aca="false">INT((DATE($A404,7,1)-INDEX(球員主檔!$G$2:$G$749,MATCH($B404,球員主檔!$A$2:$A$749,0)))/365.25)</f>
        <v>28</v>
      </c>
      <c r="I404" s="12" t="n">
        <v>157</v>
      </c>
      <c r="J404" s="12" t="n">
        <v>683</v>
      </c>
      <c r="K404" s="12" t="n">
        <v>603</v>
      </c>
      <c r="L404" s="12" t="n">
        <v>89</v>
      </c>
      <c r="M404" s="12" t="n">
        <v>129</v>
      </c>
      <c r="N404" s="12" t="n">
        <v>32</v>
      </c>
      <c r="O404" s="12" t="n">
        <v>4</v>
      </c>
      <c r="P404" s="12" t="n">
        <v>38</v>
      </c>
      <c r="Q404" s="12" t="n">
        <v>119</v>
      </c>
      <c r="R404" s="12" t="n">
        <v>66</v>
      </c>
      <c r="S404" s="12" t="n">
        <v>190</v>
      </c>
      <c r="T404" s="12" t="n">
        <v>9</v>
      </c>
      <c r="U404" s="12" t="n">
        <v>5</v>
      </c>
      <c r="V404" s="12" t="n">
        <v>50</v>
      </c>
      <c r="W404" s="12" t="n">
        <v>11</v>
      </c>
      <c r="X404" s="13" t="n">
        <f aca="false">M404+N404+2*O404+3*P404</f>
        <v>283</v>
      </c>
      <c r="Y404" s="14" t="n">
        <f aca="false">IF(K404=0,0,M404/K404)</f>
        <v>0.213930348258706</v>
      </c>
      <c r="Z404" s="14" t="n">
        <f aca="false">IF(K404+R404+T404+U404=0,0,(M404+R404+T404)/(K404+R404+T404+U404))</f>
        <v>0.298682284040996</v>
      </c>
      <c r="AA404" s="14" t="n">
        <f aca="false">IF(K404=0,0,X404/K404)</f>
        <v>0.469320066334992</v>
      </c>
      <c r="AB404" s="14" t="n">
        <f aca="false">Z404+AA404</f>
        <v>0.768002350375987</v>
      </c>
      <c r="AC404" s="14" t="n">
        <f aca="false">AA404-Y404</f>
        <v>0.255389718076285</v>
      </c>
      <c r="AD404" s="14" t="n">
        <f aca="false">IF(K404-S404-P404+U404=0,0,(M404-P404)/(K404-S404-P404+U404))</f>
        <v>0.239473684210526</v>
      </c>
      <c r="AE404" s="15" t="n">
        <f aca="false">IF(J404=0,0,R404/J404)</f>
        <v>0.0966325036603221</v>
      </c>
      <c r="AF404" s="15" t="n">
        <f aca="false">IF(J404=0,0,S404/J404)</f>
        <v>0.278184480234261</v>
      </c>
      <c r="AG404" s="11" t="n">
        <f aca="false">IF(J404&gt;=INDEX(球季參數!$E$2:$E$4,MATCH($A404,球季參數!$A$2:$A$4,0)),1,0)</f>
        <v>1</v>
      </c>
    </row>
    <row r="405" customFormat="false" ht="15" hidden="false" customHeight="false" outlineLevel="0" collapsed="false">
      <c r="A405" s="5" t="n">
        <v>2025</v>
      </c>
      <c r="B405" s="7" t="s">
        <v>1717</v>
      </c>
      <c r="C405" s="10" t="str">
        <f aca="false">INDEX(球員主檔!$B$2:$B$749,MATCH($B405,球員主檔!$A$2:$A$749,0))</f>
        <v>Lucien Ferreira</v>
      </c>
      <c r="D405" s="7" t="s">
        <v>383</v>
      </c>
      <c r="E405" s="10" t="str">
        <f aca="false">INDEX(球隊主檔!$C$2:$C$31,MATCH($D405,球隊主檔!$A$2:$A$31,0))</f>
        <v>運動家</v>
      </c>
      <c r="F405" s="10" t="str">
        <f aca="false">INDEX(球隊主檔!$D$2:$D$31,MATCH($D405,球隊主檔!$A$2:$A$31,0))</f>
        <v>美聯</v>
      </c>
      <c r="G405" s="7" t="s">
        <v>478</v>
      </c>
      <c r="H405" s="11" t="n">
        <f aca="false">INT((DATE($A405,7,1)-INDEX(球員主檔!$G$2:$G$749,MATCH($B405,球員主檔!$A$2:$A$749,0)))/365.25)</f>
        <v>21</v>
      </c>
      <c r="I405" s="12" t="n">
        <v>140</v>
      </c>
      <c r="J405" s="12" t="n">
        <v>605</v>
      </c>
      <c r="K405" s="12" t="n">
        <v>568</v>
      </c>
      <c r="L405" s="12" t="n">
        <v>62</v>
      </c>
      <c r="M405" s="12" t="n">
        <v>145</v>
      </c>
      <c r="N405" s="12" t="n">
        <v>25</v>
      </c>
      <c r="O405" s="12" t="n">
        <v>1</v>
      </c>
      <c r="P405" s="12" t="n">
        <v>10</v>
      </c>
      <c r="Q405" s="12" t="n">
        <v>58</v>
      </c>
      <c r="R405" s="12" t="n">
        <v>30</v>
      </c>
      <c r="S405" s="12" t="n">
        <v>112</v>
      </c>
      <c r="T405" s="12" t="n">
        <v>6</v>
      </c>
      <c r="U405" s="12" t="n">
        <v>1</v>
      </c>
      <c r="V405" s="12" t="n">
        <v>14</v>
      </c>
      <c r="W405" s="12" t="n">
        <v>1</v>
      </c>
      <c r="X405" s="13" t="n">
        <f aca="false">M405+N405+2*O405+3*P405</f>
        <v>202</v>
      </c>
      <c r="Y405" s="14" t="n">
        <f aca="false">IF(K405=0,0,M405/K405)</f>
        <v>0.255281690140845</v>
      </c>
      <c r="Z405" s="14" t="n">
        <f aca="false">IF(K405+R405+T405+U405=0,0,(M405+R405+T405)/(K405+R405+T405+U405))</f>
        <v>0.299173553719008</v>
      </c>
      <c r="AA405" s="14" t="n">
        <f aca="false">IF(K405=0,0,X405/K405)</f>
        <v>0.355633802816901</v>
      </c>
      <c r="AB405" s="14" t="n">
        <f aca="false">Z405+AA405</f>
        <v>0.65480735653591</v>
      </c>
      <c r="AC405" s="14" t="n">
        <f aca="false">AA405-Y405</f>
        <v>0.100352112676056</v>
      </c>
      <c r="AD405" s="14" t="n">
        <f aca="false">IF(K405-S405-P405+U405=0,0,(M405-P405)/(K405-S405-P405+U405))</f>
        <v>0.302013422818792</v>
      </c>
      <c r="AE405" s="15" t="n">
        <f aca="false">IF(J405=0,0,R405/J405)</f>
        <v>0.0495867768595041</v>
      </c>
      <c r="AF405" s="15" t="n">
        <f aca="false">IF(J405=0,0,S405/J405)</f>
        <v>0.185123966942149</v>
      </c>
      <c r="AG405" s="11" t="n">
        <f aca="false">IF(J405&gt;=INDEX(球季參數!$E$2:$E$4,MATCH($A405,球季參數!$A$2:$A$4,0)),1,0)</f>
        <v>1</v>
      </c>
    </row>
    <row r="406" customFormat="false" ht="15" hidden="false" customHeight="false" outlineLevel="0" collapsed="false">
      <c r="A406" s="5" t="n">
        <v>2025</v>
      </c>
      <c r="B406" s="7" t="s">
        <v>885</v>
      </c>
      <c r="C406" s="10" t="str">
        <f aca="false">INDEX(球員主檔!$B$2:$B$749,MATCH($B406,球員主檔!$A$2:$A$749,0))</f>
        <v>Esteban Beckwith</v>
      </c>
      <c r="D406" s="7" t="s">
        <v>383</v>
      </c>
      <c r="E406" s="10" t="str">
        <f aca="false">INDEX(球隊主檔!$C$2:$C$31,MATCH($D406,球隊主檔!$A$2:$A$31,0))</f>
        <v>運動家</v>
      </c>
      <c r="F406" s="10" t="str">
        <f aca="false">INDEX(球隊主檔!$D$2:$D$31,MATCH($D406,球隊主檔!$A$2:$A$31,0))</f>
        <v>美聯</v>
      </c>
      <c r="G406" s="7" t="s">
        <v>478</v>
      </c>
      <c r="H406" s="11" t="n">
        <f aca="false">INT((DATE($A406,7,1)-INDEX(球員主檔!$G$2:$G$749,MATCH($B406,球員主檔!$A$2:$A$749,0)))/365.25)</f>
        <v>23</v>
      </c>
      <c r="I406" s="12" t="n">
        <v>111</v>
      </c>
      <c r="J406" s="12" t="n">
        <v>436</v>
      </c>
      <c r="K406" s="12" t="n">
        <v>399</v>
      </c>
      <c r="L406" s="12" t="n">
        <v>46</v>
      </c>
      <c r="M406" s="12" t="n">
        <v>94</v>
      </c>
      <c r="N406" s="12" t="n">
        <v>26</v>
      </c>
      <c r="O406" s="12" t="n">
        <v>9</v>
      </c>
      <c r="P406" s="12" t="n">
        <v>8</v>
      </c>
      <c r="Q406" s="12" t="n">
        <v>36</v>
      </c>
      <c r="R406" s="12" t="n">
        <v>26</v>
      </c>
      <c r="S406" s="12" t="n">
        <v>118</v>
      </c>
      <c r="T406" s="12" t="n">
        <v>8</v>
      </c>
      <c r="U406" s="12" t="n">
        <v>3</v>
      </c>
      <c r="V406" s="12" t="n">
        <v>3</v>
      </c>
      <c r="W406" s="12" t="n">
        <v>0</v>
      </c>
      <c r="X406" s="13" t="n">
        <f aca="false">M406+N406+2*O406+3*P406</f>
        <v>162</v>
      </c>
      <c r="Y406" s="14" t="n">
        <f aca="false">IF(K406=0,0,M406/K406)</f>
        <v>0.235588972431078</v>
      </c>
      <c r="Z406" s="14" t="n">
        <f aca="false">IF(K406+R406+T406+U406=0,0,(M406+R406+T406)/(K406+R406+T406+U406))</f>
        <v>0.293577981651376</v>
      </c>
      <c r="AA406" s="14" t="n">
        <f aca="false">IF(K406=0,0,X406/K406)</f>
        <v>0.406015037593985</v>
      </c>
      <c r="AB406" s="14" t="n">
        <f aca="false">Z406+AA406</f>
        <v>0.699593019245361</v>
      </c>
      <c r="AC406" s="14" t="n">
        <f aca="false">AA406-Y406</f>
        <v>0.170426065162907</v>
      </c>
      <c r="AD406" s="14" t="n">
        <f aca="false">IF(K406-S406-P406+U406=0,0,(M406-P406)/(K406-S406-P406+U406))</f>
        <v>0.311594202898551</v>
      </c>
      <c r="AE406" s="15" t="n">
        <f aca="false">IF(J406=0,0,R406/J406)</f>
        <v>0.0596330275229358</v>
      </c>
      <c r="AF406" s="15" t="n">
        <f aca="false">IF(J406=0,0,S406/J406)</f>
        <v>0.270642201834862</v>
      </c>
      <c r="AG406" s="11" t="n">
        <f aca="false">IF(J406&gt;=INDEX(球季參數!$E$2:$E$4,MATCH($A406,球季參數!$A$2:$A$4,0)),1,0)</f>
        <v>0</v>
      </c>
    </row>
    <row r="407" customFormat="false" ht="15" hidden="false" customHeight="false" outlineLevel="0" collapsed="false">
      <c r="A407" s="5" t="n">
        <v>2025</v>
      </c>
      <c r="B407" s="7" t="s">
        <v>887</v>
      </c>
      <c r="C407" s="10" t="str">
        <f aca="false">INDEX(球員主檔!$B$2:$B$749,MATCH($B407,球員主檔!$A$2:$A$749,0))</f>
        <v>Porter Fontaine</v>
      </c>
      <c r="D407" s="7" t="s">
        <v>383</v>
      </c>
      <c r="E407" s="10" t="str">
        <f aca="false">INDEX(球隊主檔!$C$2:$C$31,MATCH($D407,球隊主檔!$A$2:$A$31,0))</f>
        <v>運動家</v>
      </c>
      <c r="F407" s="10" t="str">
        <f aca="false">INDEX(球隊主檔!$D$2:$D$31,MATCH($D407,球隊主檔!$A$2:$A$31,0))</f>
        <v>美聯</v>
      </c>
      <c r="G407" s="7" t="s">
        <v>478</v>
      </c>
      <c r="H407" s="11" t="n">
        <f aca="false">INT((DATE($A407,7,1)-INDEX(球員主檔!$G$2:$G$749,MATCH($B407,球員主檔!$A$2:$A$749,0)))/365.25)</f>
        <v>27</v>
      </c>
      <c r="I407" s="12" t="n">
        <v>89</v>
      </c>
      <c r="J407" s="12" t="n">
        <v>380</v>
      </c>
      <c r="K407" s="12" t="n">
        <v>347</v>
      </c>
      <c r="L407" s="12" t="n">
        <v>43</v>
      </c>
      <c r="M407" s="12" t="n">
        <v>80</v>
      </c>
      <c r="N407" s="12" t="n">
        <v>26</v>
      </c>
      <c r="O407" s="12" t="n">
        <v>7</v>
      </c>
      <c r="P407" s="12" t="n">
        <v>16</v>
      </c>
      <c r="Q407" s="12" t="n">
        <v>48</v>
      </c>
      <c r="R407" s="12" t="n">
        <v>30</v>
      </c>
      <c r="S407" s="12" t="n">
        <v>72</v>
      </c>
      <c r="T407" s="12" t="n">
        <v>1</v>
      </c>
      <c r="U407" s="12" t="n">
        <v>2</v>
      </c>
      <c r="V407" s="12" t="n">
        <v>2</v>
      </c>
      <c r="W407" s="12" t="n">
        <v>1</v>
      </c>
      <c r="X407" s="13" t="n">
        <f aca="false">M407+N407+2*O407+3*P407</f>
        <v>168</v>
      </c>
      <c r="Y407" s="14" t="n">
        <f aca="false">IF(K407=0,0,M407/K407)</f>
        <v>0.230547550432277</v>
      </c>
      <c r="Z407" s="14" t="n">
        <f aca="false">IF(K407+R407+T407+U407=0,0,(M407+R407+T407)/(K407+R407+T407+U407))</f>
        <v>0.292105263157895</v>
      </c>
      <c r="AA407" s="14" t="n">
        <f aca="false">IF(K407=0,0,X407/K407)</f>
        <v>0.484149855907781</v>
      </c>
      <c r="AB407" s="14" t="n">
        <f aca="false">Z407+AA407</f>
        <v>0.776255119065676</v>
      </c>
      <c r="AC407" s="14" t="n">
        <f aca="false">AA407-Y407</f>
        <v>0.253602305475504</v>
      </c>
      <c r="AD407" s="14" t="n">
        <f aca="false">IF(K407-S407-P407+U407=0,0,(M407-P407)/(K407-S407-P407+U407))</f>
        <v>0.245210727969349</v>
      </c>
      <c r="AE407" s="15" t="n">
        <f aca="false">IF(J407=0,0,R407/J407)</f>
        <v>0.0789473684210526</v>
      </c>
      <c r="AF407" s="15" t="n">
        <f aca="false">IF(J407=0,0,S407/J407)</f>
        <v>0.189473684210526</v>
      </c>
      <c r="AG407" s="11" t="n">
        <f aca="false">IF(J407&gt;=INDEX(球季參數!$E$2:$E$4,MATCH($A407,球季參數!$A$2:$A$4,0)),1,0)</f>
        <v>0</v>
      </c>
    </row>
    <row r="408" customFormat="false" ht="15" hidden="false" customHeight="false" outlineLevel="0" collapsed="false">
      <c r="A408" s="5" t="n">
        <v>2025</v>
      </c>
      <c r="B408" s="7" t="s">
        <v>889</v>
      </c>
      <c r="C408" s="10" t="str">
        <f aca="false">INDEX(球員主檔!$B$2:$B$749,MATCH($B408,球員主檔!$A$2:$A$749,0))</f>
        <v>Landon Ulloa</v>
      </c>
      <c r="D408" s="7" t="s">
        <v>383</v>
      </c>
      <c r="E408" s="10" t="str">
        <f aca="false">INDEX(球隊主檔!$C$2:$C$31,MATCH($D408,球隊主檔!$A$2:$A$31,0))</f>
        <v>運動家</v>
      </c>
      <c r="F408" s="10" t="str">
        <f aca="false">INDEX(球隊主檔!$D$2:$D$31,MATCH($D408,球隊主檔!$A$2:$A$31,0))</f>
        <v>美聯</v>
      </c>
      <c r="G408" s="7" t="s">
        <v>158</v>
      </c>
      <c r="H408" s="11" t="n">
        <f aca="false">INT((DATE($A408,7,1)-INDEX(球員主檔!$G$2:$G$749,MATCH($B408,球員主檔!$A$2:$A$749,0)))/365.25)</f>
        <v>27</v>
      </c>
      <c r="I408" s="12" t="n">
        <v>122</v>
      </c>
      <c r="J408" s="12" t="n">
        <v>530</v>
      </c>
      <c r="K408" s="12" t="n">
        <v>460</v>
      </c>
      <c r="L408" s="12" t="n">
        <v>65</v>
      </c>
      <c r="M408" s="12" t="n">
        <v>120</v>
      </c>
      <c r="N408" s="12" t="n">
        <v>43</v>
      </c>
      <c r="O408" s="12" t="n">
        <v>7</v>
      </c>
      <c r="P408" s="12" t="n">
        <v>15</v>
      </c>
      <c r="Q408" s="12" t="n">
        <v>59</v>
      </c>
      <c r="R408" s="12" t="n">
        <v>58</v>
      </c>
      <c r="S408" s="12" t="n">
        <v>148</v>
      </c>
      <c r="T408" s="12" t="n">
        <v>5</v>
      </c>
      <c r="U408" s="12" t="n">
        <v>7</v>
      </c>
      <c r="V408" s="12" t="n">
        <v>21</v>
      </c>
      <c r="W408" s="12" t="n">
        <v>5</v>
      </c>
      <c r="X408" s="13" t="n">
        <f aca="false">M408+N408+2*O408+3*P408</f>
        <v>222</v>
      </c>
      <c r="Y408" s="14" t="n">
        <f aca="false">IF(K408=0,0,M408/K408)</f>
        <v>0.260869565217391</v>
      </c>
      <c r="Z408" s="14" t="n">
        <f aca="false">IF(K408+R408+T408+U408=0,0,(M408+R408+T408)/(K408+R408+T408+U408))</f>
        <v>0.345283018867925</v>
      </c>
      <c r="AA408" s="14" t="n">
        <f aca="false">IF(K408=0,0,X408/K408)</f>
        <v>0.482608695652174</v>
      </c>
      <c r="AB408" s="14" t="n">
        <f aca="false">Z408+AA408</f>
        <v>0.827891714520098</v>
      </c>
      <c r="AC408" s="14" t="n">
        <f aca="false">AA408-Y408</f>
        <v>0.221739130434783</v>
      </c>
      <c r="AD408" s="14" t="n">
        <f aca="false">IF(K408-S408-P408+U408=0,0,(M408-P408)/(K408-S408-P408+U408))</f>
        <v>0.345394736842105</v>
      </c>
      <c r="AE408" s="15" t="n">
        <f aca="false">IF(J408=0,0,R408/J408)</f>
        <v>0.109433962264151</v>
      </c>
      <c r="AF408" s="15" t="n">
        <f aca="false">IF(J408=0,0,S408/J408)</f>
        <v>0.279245283018868</v>
      </c>
      <c r="AG408" s="11" t="n">
        <f aca="false">IF(J408&gt;=INDEX(球季參數!$E$2:$E$4,MATCH($A408,球季參數!$A$2:$A$4,0)),1,0)</f>
        <v>1</v>
      </c>
    </row>
    <row r="409" customFormat="false" ht="15" hidden="false" customHeight="false" outlineLevel="0" collapsed="false">
      <c r="A409" s="5" t="n">
        <v>2025</v>
      </c>
      <c r="B409" s="7" t="s">
        <v>891</v>
      </c>
      <c r="C409" s="10" t="str">
        <f aca="false">INDEX(球員主檔!$B$2:$B$749,MATCH($B409,球員主檔!$A$2:$A$749,0))</f>
        <v>Ronin Nordstrom</v>
      </c>
      <c r="D409" s="7" t="s">
        <v>383</v>
      </c>
      <c r="E409" s="10" t="str">
        <f aca="false">INDEX(球隊主檔!$C$2:$C$31,MATCH($D409,球隊主檔!$A$2:$A$31,0))</f>
        <v>運動家</v>
      </c>
      <c r="F409" s="10" t="str">
        <f aca="false">INDEX(球隊主檔!$D$2:$D$31,MATCH($D409,球隊主檔!$A$2:$A$31,0))</f>
        <v>美聯</v>
      </c>
      <c r="G409" s="7" t="s">
        <v>486</v>
      </c>
      <c r="H409" s="11" t="n">
        <f aca="false">INT((DATE($A409,7,1)-INDEX(球員主檔!$G$2:$G$749,MATCH($B409,球員主檔!$A$2:$A$749,0)))/365.25)</f>
        <v>25</v>
      </c>
      <c r="I409" s="12" t="n">
        <v>125</v>
      </c>
      <c r="J409" s="12" t="n">
        <v>524</v>
      </c>
      <c r="K409" s="12" t="n">
        <v>455</v>
      </c>
      <c r="L409" s="12" t="n">
        <v>51</v>
      </c>
      <c r="M409" s="12" t="n">
        <v>97</v>
      </c>
      <c r="N409" s="12" t="n">
        <v>20</v>
      </c>
      <c r="O409" s="12" t="n">
        <v>9</v>
      </c>
      <c r="P409" s="12" t="n">
        <v>16</v>
      </c>
      <c r="Q409" s="12" t="n">
        <v>55</v>
      </c>
      <c r="R409" s="12" t="n">
        <v>54</v>
      </c>
      <c r="S409" s="12" t="n">
        <v>46</v>
      </c>
      <c r="T409" s="12" t="n">
        <v>10</v>
      </c>
      <c r="U409" s="12" t="n">
        <v>5</v>
      </c>
      <c r="V409" s="12" t="n">
        <v>18</v>
      </c>
      <c r="W409" s="12" t="n">
        <v>6</v>
      </c>
      <c r="X409" s="13" t="n">
        <f aca="false">M409+N409+2*O409+3*P409</f>
        <v>183</v>
      </c>
      <c r="Y409" s="14" t="n">
        <f aca="false">IF(K409=0,0,M409/K409)</f>
        <v>0.213186813186813</v>
      </c>
      <c r="Z409" s="14" t="n">
        <f aca="false">IF(K409+R409+T409+U409=0,0,(M409+R409+T409)/(K409+R409+T409+U409))</f>
        <v>0.307251908396947</v>
      </c>
      <c r="AA409" s="14" t="n">
        <f aca="false">IF(K409=0,0,X409/K409)</f>
        <v>0.402197802197802</v>
      </c>
      <c r="AB409" s="14" t="n">
        <f aca="false">Z409+AA409</f>
        <v>0.709449710594749</v>
      </c>
      <c r="AC409" s="14" t="n">
        <f aca="false">AA409-Y409</f>
        <v>0.189010989010989</v>
      </c>
      <c r="AD409" s="14" t="n">
        <f aca="false">IF(K409-S409-P409+U409=0,0,(M409-P409)/(K409-S409-P409+U409))</f>
        <v>0.203517587939698</v>
      </c>
      <c r="AE409" s="15" t="n">
        <f aca="false">IF(J409=0,0,R409/J409)</f>
        <v>0.103053435114504</v>
      </c>
      <c r="AF409" s="15" t="n">
        <f aca="false">IF(J409=0,0,S409/J409)</f>
        <v>0.0877862595419847</v>
      </c>
      <c r="AG409" s="11" t="n">
        <f aca="false">IF(J409&gt;=INDEX(球季參數!$E$2:$E$4,MATCH($A409,球季參數!$A$2:$A$4,0)),1,0)</f>
        <v>1</v>
      </c>
    </row>
    <row r="410" customFormat="false" ht="15" hidden="false" customHeight="false" outlineLevel="0" collapsed="false">
      <c r="A410" s="5" t="n">
        <v>2025</v>
      </c>
      <c r="B410" s="7" t="s">
        <v>893</v>
      </c>
      <c r="C410" s="10" t="str">
        <f aca="false">INDEX(球員主檔!$B$2:$B$749,MATCH($B410,球員主檔!$A$2:$A$749,0))</f>
        <v>Thiago Arceneaux</v>
      </c>
      <c r="D410" s="7" t="s">
        <v>383</v>
      </c>
      <c r="E410" s="10" t="str">
        <f aca="false">INDEX(球隊主檔!$C$2:$C$31,MATCH($D410,球隊主檔!$A$2:$A$31,0))</f>
        <v>運動家</v>
      </c>
      <c r="F410" s="10" t="str">
        <f aca="false">INDEX(球隊主檔!$D$2:$D$31,MATCH($D410,球隊主檔!$A$2:$A$31,0))</f>
        <v>美聯</v>
      </c>
      <c r="G410" s="7" t="s">
        <v>478</v>
      </c>
      <c r="H410" s="11" t="n">
        <f aca="false">INT((DATE($A410,7,1)-INDEX(球員主檔!$G$2:$G$749,MATCH($B410,球員主檔!$A$2:$A$749,0)))/365.25)</f>
        <v>31</v>
      </c>
      <c r="I410" s="12" t="n">
        <v>28</v>
      </c>
      <c r="J410" s="12" t="n">
        <v>120</v>
      </c>
      <c r="K410" s="12" t="n">
        <v>109</v>
      </c>
      <c r="L410" s="12" t="n">
        <v>13</v>
      </c>
      <c r="M410" s="12" t="n">
        <v>26</v>
      </c>
      <c r="N410" s="12" t="n">
        <v>7</v>
      </c>
      <c r="O410" s="12" t="n">
        <v>3</v>
      </c>
      <c r="P410" s="12" t="n">
        <v>4</v>
      </c>
      <c r="Q410" s="12" t="n">
        <v>12</v>
      </c>
      <c r="R410" s="12" t="n">
        <v>8</v>
      </c>
      <c r="S410" s="12" t="n">
        <v>24</v>
      </c>
      <c r="T410" s="12" t="n">
        <v>2</v>
      </c>
      <c r="U410" s="12" t="n">
        <v>1</v>
      </c>
      <c r="V410" s="12" t="n">
        <v>1</v>
      </c>
      <c r="W410" s="12" t="n">
        <v>0</v>
      </c>
      <c r="X410" s="13" t="n">
        <f aca="false">M410+N410+2*O410+3*P410</f>
        <v>51</v>
      </c>
      <c r="Y410" s="14" t="n">
        <f aca="false">IF(K410=0,0,M410/K410)</f>
        <v>0.238532110091743</v>
      </c>
      <c r="Z410" s="14" t="n">
        <f aca="false">IF(K410+R410+T410+U410=0,0,(M410+R410+T410)/(K410+R410+T410+U410))</f>
        <v>0.3</v>
      </c>
      <c r="AA410" s="14" t="n">
        <f aca="false">IF(K410=0,0,X410/K410)</f>
        <v>0.467889908256881</v>
      </c>
      <c r="AB410" s="14" t="n">
        <f aca="false">Z410+AA410</f>
        <v>0.767889908256881</v>
      </c>
      <c r="AC410" s="14" t="n">
        <f aca="false">AA410-Y410</f>
        <v>0.229357798165138</v>
      </c>
      <c r="AD410" s="14" t="n">
        <f aca="false">IF(K410-S410-P410+U410=0,0,(M410-P410)/(K410-S410-P410+U410))</f>
        <v>0.268292682926829</v>
      </c>
      <c r="AE410" s="15" t="n">
        <f aca="false">IF(J410=0,0,R410/J410)</f>
        <v>0.0666666666666667</v>
      </c>
      <c r="AF410" s="15" t="n">
        <f aca="false">IF(J410=0,0,S410/J410)</f>
        <v>0.2</v>
      </c>
      <c r="AG410" s="11" t="n">
        <f aca="false">IF(J410&gt;=INDEX(球季參數!$E$2:$E$4,MATCH($A410,球季參數!$A$2:$A$4,0)),1,0)</f>
        <v>0</v>
      </c>
    </row>
    <row r="411" customFormat="false" ht="15" hidden="false" customHeight="false" outlineLevel="0" collapsed="false">
      <c r="A411" s="5" t="n">
        <v>2025</v>
      </c>
      <c r="B411" s="7" t="s">
        <v>1719</v>
      </c>
      <c r="C411" s="10" t="str">
        <f aca="false">INDEX(球員主檔!$B$2:$B$749,MATCH($B411,球員主檔!$A$2:$A$749,0))</f>
        <v>Wendell Nakagawa</v>
      </c>
      <c r="D411" s="7" t="s">
        <v>383</v>
      </c>
      <c r="E411" s="10" t="str">
        <f aca="false">INDEX(球隊主檔!$C$2:$C$31,MATCH($D411,球隊主檔!$A$2:$A$31,0))</f>
        <v>運動家</v>
      </c>
      <c r="F411" s="10" t="str">
        <f aca="false">INDEX(球隊主檔!$D$2:$D$31,MATCH($D411,球隊主檔!$A$2:$A$31,0))</f>
        <v>美聯</v>
      </c>
      <c r="G411" s="7" t="s">
        <v>162</v>
      </c>
      <c r="H411" s="11" t="n">
        <f aca="false">INT((DATE($A411,7,1)-INDEX(球員主檔!$G$2:$G$749,MATCH($B411,球員主檔!$A$2:$A$749,0)))/365.25)</f>
        <v>23</v>
      </c>
      <c r="I411" s="12" t="n">
        <v>67</v>
      </c>
      <c r="J411" s="12" t="n">
        <v>288</v>
      </c>
      <c r="K411" s="12" t="n">
        <v>260</v>
      </c>
      <c r="L411" s="12" t="n">
        <v>39</v>
      </c>
      <c r="M411" s="12" t="n">
        <v>69</v>
      </c>
      <c r="N411" s="12" t="n">
        <v>26</v>
      </c>
      <c r="O411" s="12" t="n">
        <v>2</v>
      </c>
      <c r="P411" s="12" t="n">
        <v>13</v>
      </c>
      <c r="Q411" s="12" t="n">
        <v>44</v>
      </c>
      <c r="R411" s="12" t="n">
        <v>20</v>
      </c>
      <c r="S411" s="12" t="n">
        <v>80</v>
      </c>
      <c r="T411" s="12" t="n">
        <v>6</v>
      </c>
      <c r="U411" s="12" t="n">
        <v>2</v>
      </c>
      <c r="V411" s="12" t="n">
        <v>12</v>
      </c>
      <c r="W411" s="12" t="n">
        <v>2</v>
      </c>
      <c r="X411" s="13" t="n">
        <f aca="false">M411+N411+2*O411+3*P411</f>
        <v>138</v>
      </c>
      <c r="Y411" s="14" t="n">
        <f aca="false">IF(K411=0,0,M411/K411)</f>
        <v>0.265384615384615</v>
      </c>
      <c r="Z411" s="14" t="n">
        <f aca="false">IF(K411+R411+T411+U411=0,0,(M411+R411+T411)/(K411+R411+T411+U411))</f>
        <v>0.329861111111111</v>
      </c>
      <c r="AA411" s="14" t="n">
        <f aca="false">IF(K411=0,0,X411/K411)</f>
        <v>0.530769230769231</v>
      </c>
      <c r="AB411" s="14" t="n">
        <f aca="false">Z411+AA411</f>
        <v>0.860630341880342</v>
      </c>
      <c r="AC411" s="14" t="n">
        <f aca="false">AA411-Y411</f>
        <v>0.265384615384615</v>
      </c>
      <c r="AD411" s="14" t="n">
        <f aca="false">IF(K411-S411-P411+U411=0,0,(M411-P411)/(K411-S411-P411+U411))</f>
        <v>0.331360946745562</v>
      </c>
      <c r="AE411" s="15" t="n">
        <f aca="false">IF(J411=0,0,R411/J411)</f>
        <v>0.0694444444444445</v>
      </c>
      <c r="AF411" s="15" t="n">
        <f aca="false">IF(J411=0,0,S411/J411)</f>
        <v>0.277777777777778</v>
      </c>
      <c r="AG411" s="11" t="n">
        <f aca="false">IF(J411&gt;=INDEX(球季參數!$E$2:$E$4,MATCH($A411,球季參數!$A$2:$A$4,0)),1,0)</f>
        <v>0</v>
      </c>
    </row>
    <row r="412" customFormat="false" ht="15" hidden="false" customHeight="false" outlineLevel="0" collapsed="false">
      <c r="A412" s="5" t="n">
        <v>2025</v>
      </c>
      <c r="B412" s="7" t="s">
        <v>1171</v>
      </c>
      <c r="C412" s="10" t="str">
        <f aca="false">INDEX(球員主檔!$B$2:$B$749,MATCH($B412,球員主檔!$A$2:$A$749,0))</f>
        <v>Osvaldo Vasquez</v>
      </c>
      <c r="D412" s="7" t="s">
        <v>388</v>
      </c>
      <c r="E412" s="10" t="str">
        <f aca="false">INDEX(球隊主檔!$C$2:$C$31,MATCH($D412,球隊主檔!$A$2:$A$31,0))</f>
        <v>休士頓太空人</v>
      </c>
      <c r="F412" s="10" t="str">
        <f aca="false">INDEX(球隊主檔!$D$2:$D$31,MATCH($D412,球隊主檔!$A$2:$A$31,0))</f>
        <v>美聯</v>
      </c>
      <c r="G412" s="7" t="s">
        <v>162</v>
      </c>
      <c r="H412" s="11" t="n">
        <f aca="false">INT((DATE($A412,7,1)-INDEX(球員主檔!$G$2:$G$749,MATCH($B412,球員主檔!$A$2:$A$749,0)))/365.25)</f>
        <v>31</v>
      </c>
      <c r="I412" s="12" t="n">
        <v>137</v>
      </c>
      <c r="J412" s="12" t="n">
        <v>562</v>
      </c>
      <c r="K412" s="12" t="n">
        <v>486</v>
      </c>
      <c r="L412" s="12" t="n">
        <v>56</v>
      </c>
      <c r="M412" s="12" t="n">
        <v>115</v>
      </c>
      <c r="N412" s="12" t="n">
        <v>26</v>
      </c>
      <c r="O412" s="12" t="n">
        <v>9</v>
      </c>
      <c r="P412" s="12" t="n">
        <v>10</v>
      </c>
      <c r="Q412" s="12" t="n">
        <v>44</v>
      </c>
      <c r="R412" s="12" t="n">
        <v>63</v>
      </c>
      <c r="S412" s="12" t="n">
        <v>174</v>
      </c>
      <c r="T412" s="12" t="n">
        <v>10</v>
      </c>
      <c r="U412" s="12" t="n">
        <v>3</v>
      </c>
      <c r="V412" s="12" t="n">
        <v>13</v>
      </c>
      <c r="W412" s="12" t="n">
        <v>2</v>
      </c>
      <c r="X412" s="13" t="n">
        <f aca="false">M412+N412+2*O412+3*P412</f>
        <v>189</v>
      </c>
      <c r="Y412" s="14" t="n">
        <f aca="false">IF(K412=0,0,M412/K412)</f>
        <v>0.236625514403292</v>
      </c>
      <c r="Z412" s="14" t="n">
        <f aca="false">IF(K412+R412+T412+U412=0,0,(M412+R412+T412)/(K412+R412+T412+U412))</f>
        <v>0.334519572953737</v>
      </c>
      <c r="AA412" s="14" t="n">
        <f aca="false">IF(K412=0,0,X412/K412)</f>
        <v>0.388888888888889</v>
      </c>
      <c r="AB412" s="14" t="n">
        <f aca="false">Z412+AA412</f>
        <v>0.723408461842626</v>
      </c>
      <c r="AC412" s="14" t="n">
        <f aca="false">AA412-Y412</f>
        <v>0.152263374485597</v>
      </c>
      <c r="AD412" s="14" t="n">
        <f aca="false">IF(K412-S412-P412+U412=0,0,(M412-P412)/(K412-S412-P412+U412))</f>
        <v>0.344262295081967</v>
      </c>
      <c r="AE412" s="15" t="n">
        <f aca="false">IF(J412=0,0,R412/J412)</f>
        <v>0.112099644128114</v>
      </c>
      <c r="AF412" s="15" t="n">
        <f aca="false">IF(J412=0,0,S412/J412)</f>
        <v>0.309608540925267</v>
      </c>
      <c r="AG412" s="11" t="n">
        <f aca="false">IF(J412&gt;=INDEX(球季參數!$E$2:$E$4,MATCH($A412,球季參數!$A$2:$A$4,0)),1,0)</f>
        <v>1</v>
      </c>
    </row>
    <row r="413" customFormat="false" ht="15" hidden="false" customHeight="false" outlineLevel="0" collapsed="false">
      <c r="A413" s="5" t="n">
        <v>2025</v>
      </c>
      <c r="B413" s="7" t="s">
        <v>919</v>
      </c>
      <c r="C413" s="10" t="str">
        <f aca="false">INDEX(球員主檔!$B$2:$B$749,MATCH($B413,球員主檔!$A$2:$A$749,0))</f>
        <v>Thaddeus Goddard</v>
      </c>
      <c r="D413" s="7" t="s">
        <v>388</v>
      </c>
      <c r="E413" s="10" t="str">
        <f aca="false">INDEX(球隊主檔!$C$2:$C$31,MATCH($D413,球隊主檔!$A$2:$A$31,0))</f>
        <v>休士頓太空人</v>
      </c>
      <c r="F413" s="10" t="str">
        <f aca="false">INDEX(球隊主檔!$D$2:$D$31,MATCH($D413,球隊主檔!$A$2:$A$31,0))</f>
        <v>美聯</v>
      </c>
      <c r="G413" s="7" t="s">
        <v>470</v>
      </c>
      <c r="H413" s="11" t="n">
        <f aca="false">INT((DATE($A413,7,1)-INDEX(球員主檔!$G$2:$G$749,MATCH($B413,球員主檔!$A$2:$A$749,0)))/365.25)</f>
        <v>28</v>
      </c>
      <c r="I413" s="12" t="n">
        <v>162</v>
      </c>
      <c r="J413" s="12" t="n">
        <v>690</v>
      </c>
      <c r="K413" s="12" t="n">
        <v>630</v>
      </c>
      <c r="L413" s="12" t="n">
        <v>91</v>
      </c>
      <c r="M413" s="12" t="n">
        <v>167</v>
      </c>
      <c r="N413" s="12" t="n">
        <v>33</v>
      </c>
      <c r="O413" s="12" t="n">
        <v>7</v>
      </c>
      <c r="P413" s="12" t="n">
        <v>15</v>
      </c>
      <c r="Q413" s="12" t="n">
        <v>70</v>
      </c>
      <c r="R413" s="12" t="n">
        <v>47</v>
      </c>
      <c r="S413" s="12" t="n">
        <v>181</v>
      </c>
      <c r="T413" s="12" t="n">
        <v>5</v>
      </c>
      <c r="U413" s="12" t="n">
        <v>8</v>
      </c>
      <c r="V413" s="12" t="n">
        <v>13</v>
      </c>
      <c r="W413" s="12" t="n">
        <v>5</v>
      </c>
      <c r="X413" s="13" t="n">
        <f aca="false">M413+N413+2*O413+3*P413</f>
        <v>259</v>
      </c>
      <c r="Y413" s="14" t="n">
        <f aca="false">IF(K413=0,0,M413/K413)</f>
        <v>0.265079365079365</v>
      </c>
      <c r="Z413" s="14" t="n">
        <f aca="false">IF(K413+R413+T413+U413=0,0,(M413+R413+T413)/(K413+R413+T413+U413))</f>
        <v>0.317391304347826</v>
      </c>
      <c r="AA413" s="14" t="n">
        <f aca="false">IF(K413=0,0,X413/K413)</f>
        <v>0.411111111111111</v>
      </c>
      <c r="AB413" s="14" t="n">
        <f aca="false">Z413+AA413</f>
        <v>0.728502415458937</v>
      </c>
      <c r="AC413" s="14" t="n">
        <f aca="false">AA413-Y413</f>
        <v>0.146031746031746</v>
      </c>
      <c r="AD413" s="14" t="n">
        <f aca="false">IF(K413-S413-P413+U413=0,0,(M413-P413)/(K413-S413-P413+U413))</f>
        <v>0.343891402714932</v>
      </c>
      <c r="AE413" s="15" t="n">
        <f aca="false">IF(J413=0,0,R413/J413)</f>
        <v>0.0681159420289855</v>
      </c>
      <c r="AF413" s="15" t="n">
        <f aca="false">IF(J413=0,0,S413/J413)</f>
        <v>0.26231884057971</v>
      </c>
      <c r="AG413" s="11" t="n">
        <f aca="false">IF(J413&gt;=INDEX(球季參數!$E$2:$E$4,MATCH($A413,球季參數!$A$2:$A$4,0)),1,0)</f>
        <v>1</v>
      </c>
    </row>
    <row r="414" customFormat="false" ht="15" hidden="false" customHeight="false" outlineLevel="0" collapsed="false">
      <c r="A414" s="5" t="n">
        <v>2025</v>
      </c>
      <c r="B414" s="7" t="s">
        <v>921</v>
      </c>
      <c r="C414" s="10" t="str">
        <f aca="false">INDEX(球員主檔!$B$2:$B$749,MATCH($B414,球員主檔!$A$2:$A$749,0))</f>
        <v>Alonso Yoshinaga</v>
      </c>
      <c r="D414" s="7" t="s">
        <v>388</v>
      </c>
      <c r="E414" s="10" t="str">
        <f aca="false">INDEX(球隊主檔!$C$2:$C$31,MATCH($D414,球隊主檔!$A$2:$A$31,0))</f>
        <v>休士頓太空人</v>
      </c>
      <c r="F414" s="10" t="str">
        <f aca="false">INDEX(球隊主檔!$D$2:$D$31,MATCH($D414,球隊主檔!$A$2:$A$31,0))</f>
        <v>美聯</v>
      </c>
      <c r="G414" s="7" t="s">
        <v>158</v>
      </c>
      <c r="H414" s="11" t="n">
        <f aca="false">INT((DATE($A414,7,1)-INDEX(球員主檔!$G$2:$G$749,MATCH($B414,球員主檔!$A$2:$A$749,0)))/365.25)</f>
        <v>29</v>
      </c>
      <c r="I414" s="12" t="n">
        <v>136</v>
      </c>
      <c r="J414" s="12" t="n">
        <v>610</v>
      </c>
      <c r="K414" s="12" t="n">
        <v>584</v>
      </c>
      <c r="L414" s="12" t="n">
        <v>75</v>
      </c>
      <c r="M414" s="12" t="n">
        <v>177</v>
      </c>
      <c r="N414" s="12" t="n">
        <v>38</v>
      </c>
      <c r="O414" s="12" t="n">
        <v>4</v>
      </c>
      <c r="P414" s="12" t="n">
        <v>24</v>
      </c>
      <c r="Q414" s="12" t="n">
        <v>90</v>
      </c>
      <c r="R414" s="12" t="n">
        <v>15</v>
      </c>
      <c r="S414" s="12" t="n">
        <v>117</v>
      </c>
      <c r="T414" s="12" t="n">
        <v>10</v>
      </c>
      <c r="U414" s="12" t="n">
        <v>1</v>
      </c>
      <c r="V414" s="12" t="n">
        <v>4</v>
      </c>
      <c r="W414" s="12" t="n">
        <v>1</v>
      </c>
      <c r="X414" s="13" t="n">
        <f aca="false">M414+N414+2*O414+3*P414</f>
        <v>295</v>
      </c>
      <c r="Y414" s="14" t="n">
        <f aca="false">IF(K414=0,0,M414/K414)</f>
        <v>0.303082191780822</v>
      </c>
      <c r="Z414" s="14" t="n">
        <f aca="false">IF(K414+R414+T414+U414=0,0,(M414+R414+T414)/(K414+R414+T414+U414))</f>
        <v>0.331147540983607</v>
      </c>
      <c r="AA414" s="14" t="n">
        <f aca="false">IF(K414=0,0,X414/K414)</f>
        <v>0.50513698630137</v>
      </c>
      <c r="AB414" s="14" t="n">
        <f aca="false">Z414+AA414</f>
        <v>0.836284527284976</v>
      </c>
      <c r="AC414" s="14" t="n">
        <f aca="false">AA414-Y414</f>
        <v>0.202054794520548</v>
      </c>
      <c r="AD414" s="14" t="n">
        <f aca="false">IF(K414-S414-P414+U414=0,0,(M414-P414)/(K414-S414-P414+U414))</f>
        <v>0.344594594594595</v>
      </c>
      <c r="AE414" s="15" t="n">
        <f aca="false">IF(J414=0,0,R414/J414)</f>
        <v>0.0245901639344262</v>
      </c>
      <c r="AF414" s="15" t="n">
        <f aca="false">IF(J414=0,0,S414/J414)</f>
        <v>0.191803278688525</v>
      </c>
      <c r="AG414" s="11" t="n">
        <f aca="false">IF(J414&gt;=INDEX(球季參數!$E$2:$E$4,MATCH($A414,球季參數!$A$2:$A$4,0)),1,0)</f>
        <v>1</v>
      </c>
    </row>
    <row r="415" customFormat="false" ht="15" hidden="false" customHeight="false" outlineLevel="0" collapsed="false">
      <c r="A415" s="5" t="n">
        <v>2025</v>
      </c>
      <c r="B415" s="7" t="s">
        <v>759</v>
      </c>
      <c r="C415" s="10" t="str">
        <f aca="false">INDEX(球員主檔!$B$2:$B$749,MATCH($B415,球員主檔!$A$2:$A$749,0))</f>
        <v>Joaquín Tremblay</v>
      </c>
      <c r="D415" s="7" t="s">
        <v>388</v>
      </c>
      <c r="E415" s="10" t="str">
        <f aca="false">INDEX(球隊主檔!$C$2:$C$31,MATCH($D415,球隊主檔!$A$2:$A$31,0))</f>
        <v>休士頓太空人</v>
      </c>
      <c r="F415" s="10" t="str">
        <f aca="false">INDEX(球隊主檔!$D$2:$D$31,MATCH($D415,球隊主檔!$A$2:$A$31,0))</f>
        <v>美聯</v>
      </c>
      <c r="G415" s="7" t="s">
        <v>158</v>
      </c>
      <c r="H415" s="11" t="n">
        <f aca="false">INT((DATE($A415,7,1)-INDEX(球員主檔!$G$2:$G$749,MATCH($B415,球員主檔!$A$2:$A$749,0)))/365.25)</f>
        <v>35</v>
      </c>
      <c r="I415" s="12" t="n">
        <v>146</v>
      </c>
      <c r="J415" s="12" t="n">
        <v>624</v>
      </c>
      <c r="K415" s="12" t="n">
        <v>592</v>
      </c>
      <c r="L415" s="12" t="n">
        <v>63</v>
      </c>
      <c r="M415" s="12" t="n">
        <v>148</v>
      </c>
      <c r="N415" s="12" t="n">
        <v>31</v>
      </c>
      <c r="O415" s="12" t="n">
        <v>4</v>
      </c>
      <c r="P415" s="12" t="n">
        <v>15</v>
      </c>
      <c r="Q415" s="12" t="n">
        <v>77</v>
      </c>
      <c r="R415" s="12" t="n">
        <v>23</v>
      </c>
      <c r="S415" s="12" t="n">
        <v>108</v>
      </c>
      <c r="T415" s="12" t="n">
        <v>6</v>
      </c>
      <c r="U415" s="12" t="n">
        <v>3</v>
      </c>
      <c r="V415" s="12" t="n">
        <v>30</v>
      </c>
      <c r="W415" s="12" t="n">
        <v>3</v>
      </c>
      <c r="X415" s="13" t="n">
        <f aca="false">M415+N415+2*O415+3*P415</f>
        <v>232</v>
      </c>
      <c r="Y415" s="14" t="n">
        <f aca="false">IF(K415=0,0,M415/K415)</f>
        <v>0.25</v>
      </c>
      <c r="Z415" s="14" t="n">
        <f aca="false">IF(K415+R415+T415+U415=0,0,(M415+R415+T415)/(K415+R415+T415+U415))</f>
        <v>0.283653846153846</v>
      </c>
      <c r="AA415" s="14" t="n">
        <f aca="false">IF(K415=0,0,X415/K415)</f>
        <v>0.391891891891892</v>
      </c>
      <c r="AB415" s="14" t="n">
        <f aca="false">Z415+AA415</f>
        <v>0.675545738045738</v>
      </c>
      <c r="AC415" s="14" t="n">
        <f aca="false">AA415-Y415</f>
        <v>0.141891891891892</v>
      </c>
      <c r="AD415" s="14" t="n">
        <f aca="false">IF(K415-S415-P415+U415=0,0,(M415-P415)/(K415-S415-P415+U415))</f>
        <v>0.281779661016949</v>
      </c>
      <c r="AE415" s="15" t="n">
        <f aca="false">IF(J415=0,0,R415/J415)</f>
        <v>0.0368589743589744</v>
      </c>
      <c r="AF415" s="15" t="n">
        <f aca="false">IF(J415=0,0,S415/J415)</f>
        <v>0.173076923076923</v>
      </c>
      <c r="AG415" s="11" t="n">
        <f aca="false">IF(J415&gt;=INDEX(球季參數!$E$2:$E$4,MATCH($A415,球季參數!$A$2:$A$4,0)),1,0)</f>
        <v>1</v>
      </c>
    </row>
    <row r="416" customFormat="false" ht="15" hidden="false" customHeight="false" outlineLevel="0" collapsed="false">
      <c r="A416" s="5" t="n">
        <v>2025</v>
      </c>
      <c r="B416" s="7" t="s">
        <v>925</v>
      </c>
      <c r="C416" s="10" t="str">
        <f aca="false">INDEX(球員主檔!$B$2:$B$749,MATCH($B416,球員主檔!$A$2:$A$749,0))</f>
        <v>Joaquín Okafor</v>
      </c>
      <c r="D416" s="7" t="s">
        <v>388</v>
      </c>
      <c r="E416" s="10" t="str">
        <f aca="false">INDEX(球隊主檔!$C$2:$C$31,MATCH($D416,球隊主檔!$A$2:$A$31,0))</f>
        <v>休士頓太空人</v>
      </c>
      <c r="F416" s="10" t="str">
        <f aca="false">INDEX(球隊主檔!$D$2:$D$31,MATCH($D416,球隊主檔!$A$2:$A$31,0))</f>
        <v>美聯</v>
      </c>
      <c r="G416" s="7" t="s">
        <v>162</v>
      </c>
      <c r="H416" s="11" t="n">
        <f aca="false">INT((DATE($A416,7,1)-INDEX(球員主檔!$G$2:$G$749,MATCH($B416,球員主檔!$A$2:$A$749,0)))/365.25)</f>
        <v>28</v>
      </c>
      <c r="I416" s="12" t="n">
        <v>130</v>
      </c>
      <c r="J416" s="12" t="n">
        <v>566</v>
      </c>
      <c r="K416" s="12" t="n">
        <v>536</v>
      </c>
      <c r="L416" s="12" t="n">
        <v>55</v>
      </c>
      <c r="M416" s="12" t="n">
        <v>112</v>
      </c>
      <c r="N416" s="12" t="n">
        <v>23</v>
      </c>
      <c r="O416" s="12" t="n">
        <v>4</v>
      </c>
      <c r="P416" s="12" t="n">
        <v>25</v>
      </c>
      <c r="Q416" s="12" t="n">
        <v>76</v>
      </c>
      <c r="R416" s="12" t="n">
        <v>17</v>
      </c>
      <c r="S416" s="12" t="n">
        <v>80</v>
      </c>
      <c r="T416" s="12" t="n">
        <v>9</v>
      </c>
      <c r="U416" s="12" t="n">
        <v>4</v>
      </c>
      <c r="V416" s="12" t="n">
        <v>8</v>
      </c>
      <c r="W416" s="12" t="n">
        <v>1</v>
      </c>
      <c r="X416" s="13" t="n">
        <f aca="false">M416+N416+2*O416+3*P416</f>
        <v>218</v>
      </c>
      <c r="Y416" s="14" t="n">
        <f aca="false">IF(K416=0,0,M416/K416)</f>
        <v>0.208955223880597</v>
      </c>
      <c r="Z416" s="14" t="n">
        <f aca="false">IF(K416+R416+T416+U416=0,0,(M416+R416+T416)/(K416+R416+T416+U416))</f>
        <v>0.243816254416961</v>
      </c>
      <c r="AA416" s="14" t="n">
        <f aca="false">IF(K416=0,0,X416/K416)</f>
        <v>0.406716417910448</v>
      </c>
      <c r="AB416" s="14" t="n">
        <f aca="false">Z416+AA416</f>
        <v>0.650532672327409</v>
      </c>
      <c r="AC416" s="14" t="n">
        <f aca="false">AA416-Y416</f>
        <v>0.197761194029851</v>
      </c>
      <c r="AD416" s="14" t="n">
        <f aca="false">IF(K416-S416-P416+U416=0,0,(M416-P416)/(K416-S416-P416+U416))</f>
        <v>0.2</v>
      </c>
      <c r="AE416" s="15" t="n">
        <f aca="false">IF(J416=0,0,R416/J416)</f>
        <v>0.0300353356890459</v>
      </c>
      <c r="AF416" s="15" t="n">
        <f aca="false">IF(J416=0,0,S416/J416)</f>
        <v>0.141342756183746</v>
      </c>
      <c r="AG416" s="11" t="n">
        <f aca="false">IF(J416&gt;=INDEX(球季參數!$E$2:$E$4,MATCH($A416,球季參數!$A$2:$A$4,0)),1,0)</f>
        <v>1</v>
      </c>
    </row>
    <row r="417" customFormat="false" ht="15" hidden="false" customHeight="false" outlineLevel="0" collapsed="false">
      <c r="A417" s="5" t="n">
        <v>2025</v>
      </c>
      <c r="B417" s="7" t="s">
        <v>927</v>
      </c>
      <c r="C417" s="10" t="str">
        <f aca="false">INDEX(球員主檔!$B$2:$B$749,MATCH($B417,球員主檔!$A$2:$A$749,0))</f>
        <v>Alonso Zielinski</v>
      </c>
      <c r="D417" s="7" t="s">
        <v>388</v>
      </c>
      <c r="E417" s="10" t="str">
        <f aca="false">INDEX(球隊主檔!$C$2:$C$31,MATCH($D417,球隊主檔!$A$2:$A$31,0))</f>
        <v>休士頓太空人</v>
      </c>
      <c r="F417" s="10" t="str">
        <f aca="false">INDEX(球隊主檔!$D$2:$D$31,MATCH($D417,球隊主檔!$A$2:$A$31,0))</f>
        <v>美聯</v>
      </c>
      <c r="G417" s="7" t="s">
        <v>522</v>
      </c>
      <c r="H417" s="11" t="n">
        <f aca="false">INT((DATE($A417,7,1)-INDEX(球員主檔!$G$2:$G$749,MATCH($B417,球員主檔!$A$2:$A$749,0)))/365.25)</f>
        <v>28</v>
      </c>
      <c r="I417" s="12" t="n">
        <v>121</v>
      </c>
      <c r="J417" s="12" t="n">
        <v>531</v>
      </c>
      <c r="K417" s="12" t="n">
        <v>481</v>
      </c>
      <c r="L417" s="12" t="n">
        <v>49</v>
      </c>
      <c r="M417" s="12" t="n">
        <v>109</v>
      </c>
      <c r="N417" s="12" t="n">
        <v>23</v>
      </c>
      <c r="O417" s="12" t="n">
        <v>7</v>
      </c>
      <c r="P417" s="12" t="n">
        <v>6</v>
      </c>
      <c r="Q417" s="12" t="n">
        <v>31</v>
      </c>
      <c r="R417" s="12" t="n">
        <v>35</v>
      </c>
      <c r="S417" s="12" t="n">
        <v>110</v>
      </c>
      <c r="T417" s="12" t="n">
        <v>9</v>
      </c>
      <c r="U417" s="12" t="n">
        <v>6</v>
      </c>
      <c r="V417" s="12" t="n">
        <v>3</v>
      </c>
      <c r="W417" s="12" t="n">
        <v>1</v>
      </c>
      <c r="X417" s="13" t="n">
        <f aca="false">M417+N417+2*O417+3*P417</f>
        <v>164</v>
      </c>
      <c r="Y417" s="14" t="n">
        <f aca="false">IF(K417=0,0,M417/K417)</f>
        <v>0.226611226611227</v>
      </c>
      <c r="Z417" s="14" t="n">
        <f aca="false">IF(K417+R417+T417+U417=0,0,(M417+R417+T417)/(K417+R417+T417+U417))</f>
        <v>0.288135593220339</v>
      </c>
      <c r="AA417" s="14" t="n">
        <f aca="false">IF(K417=0,0,X417/K417)</f>
        <v>0.340956340956341</v>
      </c>
      <c r="AB417" s="14" t="n">
        <f aca="false">Z417+AA417</f>
        <v>0.62909193417668</v>
      </c>
      <c r="AC417" s="14" t="n">
        <f aca="false">AA417-Y417</f>
        <v>0.114345114345114</v>
      </c>
      <c r="AD417" s="14" t="n">
        <f aca="false">IF(K417-S417-P417+U417=0,0,(M417-P417)/(K417-S417-P417+U417))</f>
        <v>0.277628032345014</v>
      </c>
      <c r="AE417" s="15" t="n">
        <f aca="false">IF(J417=0,0,R417/J417)</f>
        <v>0.0659133709981168</v>
      </c>
      <c r="AF417" s="15" t="n">
        <f aca="false">IF(J417=0,0,S417/J417)</f>
        <v>0.207156308851224</v>
      </c>
      <c r="AG417" s="11" t="n">
        <f aca="false">IF(J417&gt;=INDEX(球季參數!$E$2:$E$4,MATCH($A417,球季參數!$A$2:$A$4,0)),1,0)</f>
        <v>1</v>
      </c>
    </row>
    <row r="418" customFormat="false" ht="15" hidden="false" customHeight="false" outlineLevel="0" collapsed="false">
      <c r="A418" s="5" t="n">
        <v>2025</v>
      </c>
      <c r="B418" s="7" t="s">
        <v>929</v>
      </c>
      <c r="C418" s="10" t="str">
        <f aca="false">INDEX(球員主檔!$B$2:$B$749,MATCH($B418,球員主檔!$A$2:$A$749,0))</f>
        <v>Cassius Pellerin</v>
      </c>
      <c r="D418" s="7" t="s">
        <v>388</v>
      </c>
      <c r="E418" s="10" t="str">
        <f aca="false">INDEX(球隊主檔!$C$2:$C$31,MATCH($D418,球隊主檔!$A$2:$A$31,0))</f>
        <v>休士頓太空人</v>
      </c>
      <c r="F418" s="10" t="str">
        <f aca="false">INDEX(球隊主檔!$D$2:$D$31,MATCH($D418,球隊主檔!$A$2:$A$31,0))</f>
        <v>美聯</v>
      </c>
      <c r="G418" s="7" t="s">
        <v>486</v>
      </c>
      <c r="H418" s="11" t="n">
        <f aca="false">INT((DATE($A418,7,1)-INDEX(球員主檔!$G$2:$G$749,MATCH($B418,球員主檔!$A$2:$A$749,0)))/365.25)</f>
        <v>27</v>
      </c>
      <c r="I418" s="12" t="n">
        <v>95</v>
      </c>
      <c r="J418" s="12" t="n">
        <v>379</v>
      </c>
      <c r="K418" s="12" t="n">
        <v>332</v>
      </c>
      <c r="L418" s="12" t="n">
        <v>49</v>
      </c>
      <c r="M418" s="12" t="n">
        <v>80</v>
      </c>
      <c r="N418" s="12" t="n">
        <v>16</v>
      </c>
      <c r="O418" s="12" t="n">
        <v>3</v>
      </c>
      <c r="P418" s="12" t="n">
        <v>11</v>
      </c>
      <c r="Q418" s="12" t="n">
        <v>39</v>
      </c>
      <c r="R418" s="12" t="n">
        <v>39</v>
      </c>
      <c r="S418" s="12" t="n">
        <v>110</v>
      </c>
      <c r="T418" s="12" t="n">
        <v>4</v>
      </c>
      <c r="U418" s="12" t="n">
        <v>4</v>
      </c>
      <c r="V418" s="12" t="n">
        <v>6</v>
      </c>
      <c r="W418" s="12" t="n">
        <v>2</v>
      </c>
      <c r="X418" s="13" t="n">
        <f aca="false">M418+N418+2*O418+3*P418</f>
        <v>135</v>
      </c>
      <c r="Y418" s="14" t="n">
        <f aca="false">IF(K418=0,0,M418/K418)</f>
        <v>0.240963855421687</v>
      </c>
      <c r="Z418" s="14" t="n">
        <f aca="false">IF(K418+R418+T418+U418=0,0,(M418+R418+T418)/(K418+R418+T418+U418))</f>
        <v>0.324538258575198</v>
      </c>
      <c r="AA418" s="14" t="n">
        <f aca="false">IF(K418=0,0,X418/K418)</f>
        <v>0.406626506024096</v>
      </c>
      <c r="AB418" s="14" t="n">
        <f aca="false">Z418+AA418</f>
        <v>0.731164764599294</v>
      </c>
      <c r="AC418" s="14" t="n">
        <f aca="false">AA418-Y418</f>
        <v>0.16566265060241</v>
      </c>
      <c r="AD418" s="14" t="n">
        <f aca="false">IF(K418-S418-P418+U418=0,0,(M418-P418)/(K418-S418-P418+U418))</f>
        <v>0.32093023255814</v>
      </c>
      <c r="AE418" s="15" t="n">
        <f aca="false">IF(J418=0,0,R418/J418)</f>
        <v>0.102902374670185</v>
      </c>
      <c r="AF418" s="15" t="n">
        <f aca="false">IF(J418=0,0,S418/J418)</f>
        <v>0.29023746701847</v>
      </c>
      <c r="AG418" s="11" t="n">
        <f aca="false">IF(J418&gt;=INDEX(球季參數!$E$2:$E$4,MATCH($A418,球季參數!$A$2:$A$4,0)),1,0)</f>
        <v>0</v>
      </c>
    </row>
    <row r="419" customFormat="false" ht="15" hidden="false" customHeight="false" outlineLevel="0" collapsed="false">
      <c r="A419" s="5" t="n">
        <v>2025</v>
      </c>
      <c r="B419" s="7" t="s">
        <v>931</v>
      </c>
      <c r="C419" s="10" t="str">
        <f aca="false">INDEX(球員主檔!$B$2:$B$749,MATCH($B419,球員主檔!$A$2:$A$749,0))</f>
        <v>Ulises Sorrentino</v>
      </c>
      <c r="D419" s="7" t="s">
        <v>388</v>
      </c>
      <c r="E419" s="10" t="str">
        <f aca="false">INDEX(球隊主檔!$C$2:$C$31,MATCH($D419,球隊主檔!$A$2:$A$31,0))</f>
        <v>休士頓太空人</v>
      </c>
      <c r="F419" s="10" t="str">
        <f aca="false">INDEX(球隊主檔!$D$2:$D$31,MATCH($D419,球隊主檔!$A$2:$A$31,0))</f>
        <v>美聯</v>
      </c>
      <c r="G419" s="7" t="s">
        <v>158</v>
      </c>
      <c r="H419" s="11" t="n">
        <f aca="false">INT((DATE($A419,7,1)-INDEX(球員主檔!$G$2:$G$749,MATCH($B419,球員主檔!$A$2:$A$749,0)))/365.25)</f>
        <v>31</v>
      </c>
      <c r="I419" s="12" t="n">
        <v>123</v>
      </c>
      <c r="J419" s="12" t="n">
        <v>516</v>
      </c>
      <c r="K419" s="12" t="n">
        <v>479</v>
      </c>
      <c r="L419" s="12" t="n">
        <v>66</v>
      </c>
      <c r="M419" s="12" t="n">
        <v>125</v>
      </c>
      <c r="N419" s="12" t="n">
        <v>30</v>
      </c>
      <c r="O419" s="12" t="n">
        <v>3</v>
      </c>
      <c r="P419" s="12" t="n">
        <v>16</v>
      </c>
      <c r="Q419" s="12" t="n">
        <v>58</v>
      </c>
      <c r="R419" s="12" t="n">
        <v>31</v>
      </c>
      <c r="S419" s="12" t="n">
        <v>142</v>
      </c>
      <c r="T419" s="12" t="n">
        <v>4</v>
      </c>
      <c r="U419" s="12" t="n">
        <v>2</v>
      </c>
      <c r="V419" s="12" t="n">
        <v>11</v>
      </c>
      <c r="W419" s="12" t="n">
        <v>2</v>
      </c>
      <c r="X419" s="13" t="n">
        <f aca="false">M419+N419+2*O419+3*P419</f>
        <v>209</v>
      </c>
      <c r="Y419" s="14" t="n">
        <f aca="false">IF(K419=0,0,M419/K419)</f>
        <v>0.260960334029228</v>
      </c>
      <c r="Z419" s="14" t="n">
        <f aca="false">IF(K419+R419+T419+U419=0,0,(M419+R419+T419)/(K419+R419+T419+U419))</f>
        <v>0.310077519379845</v>
      </c>
      <c r="AA419" s="14" t="n">
        <f aca="false">IF(K419=0,0,X419/K419)</f>
        <v>0.436325678496869</v>
      </c>
      <c r="AB419" s="14" t="n">
        <f aca="false">Z419+AA419</f>
        <v>0.746403197876713</v>
      </c>
      <c r="AC419" s="14" t="n">
        <f aca="false">AA419-Y419</f>
        <v>0.175365344467641</v>
      </c>
      <c r="AD419" s="14" t="n">
        <f aca="false">IF(K419-S419-P419+U419=0,0,(M419-P419)/(K419-S419-P419+U419))</f>
        <v>0.337461300309598</v>
      </c>
      <c r="AE419" s="15" t="n">
        <f aca="false">IF(J419=0,0,R419/J419)</f>
        <v>0.060077519379845</v>
      </c>
      <c r="AF419" s="15" t="n">
        <f aca="false">IF(J419=0,0,S419/J419)</f>
        <v>0.275193798449612</v>
      </c>
      <c r="AG419" s="11" t="n">
        <f aca="false">IF(J419&gt;=INDEX(球季參數!$E$2:$E$4,MATCH($A419,球季參數!$A$2:$A$4,0)),1,0)</f>
        <v>1</v>
      </c>
    </row>
    <row r="420" customFormat="false" ht="15" hidden="false" customHeight="false" outlineLevel="0" collapsed="false">
      <c r="A420" s="5" t="n">
        <v>2025</v>
      </c>
      <c r="B420" s="7" t="s">
        <v>1277</v>
      </c>
      <c r="C420" s="10" t="str">
        <f aca="false">INDEX(球員主檔!$B$2:$B$749,MATCH($B420,球員主檔!$A$2:$A$749,0))</f>
        <v>Alonso Jernigan</v>
      </c>
      <c r="D420" s="7" t="s">
        <v>388</v>
      </c>
      <c r="E420" s="10" t="str">
        <f aca="false">INDEX(球隊主檔!$C$2:$C$31,MATCH($D420,球隊主檔!$A$2:$A$31,0))</f>
        <v>休士頓太空人</v>
      </c>
      <c r="F420" s="10" t="str">
        <f aca="false">INDEX(球隊主檔!$D$2:$D$31,MATCH($D420,球隊主檔!$A$2:$A$31,0))</f>
        <v>美聯</v>
      </c>
      <c r="G420" s="7" t="s">
        <v>522</v>
      </c>
      <c r="H420" s="11" t="n">
        <f aca="false">INT((DATE($A420,7,1)-INDEX(球員主檔!$G$2:$G$749,MATCH($B420,球員主檔!$A$2:$A$749,0)))/365.25)</f>
        <v>27</v>
      </c>
      <c r="I420" s="12" t="n">
        <v>57</v>
      </c>
      <c r="J420" s="12" t="n">
        <v>238</v>
      </c>
      <c r="K420" s="12" t="n">
        <v>207</v>
      </c>
      <c r="L420" s="12" t="n">
        <v>27</v>
      </c>
      <c r="M420" s="12" t="n">
        <v>51</v>
      </c>
      <c r="N420" s="12" t="n">
        <v>18</v>
      </c>
      <c r="O420" s="12" t="n">
        <v>3</v>
      </c>
      <c r="P420" s="12" t="n">
        <v>5</v>
      </c>
      <c r="Q420" s="12" t="n">
        <v>25</v>
      </c>
      <c r="R420" s="12" t="n">
        <v>29</v>
      </c>
      <c r="S420" s="12" t="n">
        <v>37</v>
      </c>
      <c r="T420" s="12" t="n">
        <v>1</v>
      </c>
      <c r="U420" s="12" t="n">
        <v>1</v>
      </c>
      <c r="V420" s="12" t="n">
        <v>3</v>
      </c>
      <c r="W420" s="12" t="n">
        <v>1</v>
      </c>
      <c r="X420" s="13" t="n">
        <f aca="false">M420+N420+2*O420+3*P420</f>
        <v>90</v>
      </c>
      <c r="Y420" s="14" t="n">
        <f aca="false">IF(K420=0,0,M420/K420)</f>
        <v>0.246376811594203</v>
      </c>
      <c r="Z420" s="14" t="n">
        <f aca="false">IF(K420+R420+T420+U420=0,0,(M420+R420+T420)/(K420+R420+T420+U420))</f>
        <v>0.340336134453782</v>
      </c>
      <c r="AA420" s="14" t="n">
        <f aca="false">IF(K420=0,0,X420/K420)</f>
        <v>0.434782608695652</v>
      </c>
      <c r="AB420" s="14" t="n">
        <f aca="false">Z420+AA420</f>
        <v>0.775118743149434</v>
      </c>
      <c r="AC420" s="14" t="n">
        <f aca="false">AA420-Y420</f>
        <v>0.188405797101449</v>
      </c>
      <c r="AD420" s="14" t="n">
        <f aca="false">IF(K420-S420-P420+U420=0,0,(M420-P420)/(K420-S420-P420+U420))</f>
        <v>0.27710843373494</v>
      </c>
      <c r="AE420" s="15" t="n">
        <f aca="false">IF(J420=0,0,R420/J420)</f>
        <v>0.121848739495798</v>
      </c>
      <c r="AF420" s="15" t="n">
        <f aca="false">IF(J420=0,0,S420/J420)</f>
        <v>0.15546218487395</v>
      </c>
      <c r="AG420" s="11" t="n">
        <f aca="false">IF(J420&gt;=INDEX(球季參數!$E$2:$E$4,MATCH($A420,球季參數!$A$2:$A$4,0)),1,0)</f>
        <v>0</v>
      </c>
    </row>
    <row r="421" customFormat="false" ht="15" hidden="false" customHeight="false" outlineLevel="0" collapsed="false">
      <c r="A421" s="5" t="n">
        <v>2025</v>
      </c>
      <c r="B421" s="7" t="s">
        <v>935</v>
      </c>
      <c r="C421" s="10" t="str">
        <f aca="false">INDEX(球員主檔!$B$2:$B$749,MATCH($B421,球員主檔!$A$2:$A$749,0))</f>
        <v>Ulises Wexford</v>
      </c>
      <c r="D421" s="7" t="s">
        <v>388</v>
      </c>
      <c r="E421" s="10" t="str">
        <f aca="false">INDEX(球隊主檔!$C$2:$C$31,MATCH($D421,球隊主檔!$A$2:$A$31,0))</f>
        <v>休士頓太空人</v>
      </c>
      <c r="F421" s="10" t="str">
        <f aca="false">INDEX(球隊主檔!$D$2:$D$31,MATCH($D421,球隊主檔!$A$2:$A$31,0))</f>
        <v>美聯</v>
      </c>
      <c r="G421" s="7" t="s">
        <v>486</v>
      </c>
      <c r="H421" s="11" t="n">
        <f aca="false">INT((DATE($A421,7,1)-INDEX(球員主檔!$G$2:$G$749,MATCH($B421,球員主檔!$A$2:$A$749,0)))/365.25)</f>
        <v>33</v>
      </c>
      <c r="I421" s="12" t="n">
        <v>63</v>
      </c>
      <c r="J421" s="12" t="n">
        <v>262</v>
      </c>
      <c r="K421" s="12" t="n">
        <v>235</v>
      </c>
      <c r="L421" s="12" t="n">
        <v>29</v>
      </c>
      <c r="M421" s="12" t="n">
        <v>59</v>
      </c>
      <c r="N421" s="12" t="n">
        <v>29</v>
      </c>
      <c r="O421" s="12" t="n">
        <v>2</v>
      </c>
      <c r="P421" s="12" t="n">
        <v>5</v>
      </c>
      <c r="Q421" s="12" t="n">
        <v>27</v>
      </c>
      <c r="R421" s="12" t="n">
        <v>21</v>
      </c>
      <c r="S421" s="12" t="n">
        <v>65</v>
      </c>
      <c r="T421" s="12" t="n">
        <v>5</v>
      </c>
      <c r="U421" s="12" t="n">
        <v>1</v>
      </c>
      <c r="V421" s="12" t="n">
        <v>8</v>
      </c>
      <c r="W421" s="12" t="n">
        <v>2</v>
      </c>
      <c r="X421" s="13" t="n">
        <f aca="false">M421+N421+2*O421+3*P421</f>
        <v>107</v>
      </c>
      <c r="Y421" s="14" t="n">
        <f aca="false">IF(K421=0,0,M421/K421)</f>
        <v>0.251063829787234</v>
      </c>
      <c r="Z421" s="14" t="n">
        <f aca="false">IF(K421+R421+T421+U421=0,0,(M421+R421+T421)/(K421+R421+T421+U421))</f>
        <v>0.324427480916031</v>
      </c>
      <c r="AA421" s="14" t="n">
        <f aca="false">IF(K421=0,0,X421/K421)</f>
        <v>0.45531914893617</v>
      </c>
      <c r="AB421" s="14" t="n">
        <f aca="false">Z421+AA421</f>
        <v>0.779746629852201</v>
      </c>
      <c r="AC421" s="14" t="n">
        <f aca="false">AA421-Y421</f>
        <v>0.204255319148936</v>
      </c>
      <c r="AD421" s="14" t="n">
        <f aca="false">IF(K421-S421-P421+U421=0,0,(M421-P421)/(K421-S421-P421+U421))</f>
        <v>0.325301204819277</v>
      </c>
      <c r="AE421" s="15" t="n">
        <f aca="false">IF(J421=0,0,R421/J421)</f>
        <v>0.0801526717557252</v>
      </c>
      <c r="AF421" s="15" t="n">
        <f aca="false">IF(J421=0,0,S421/J421)</f>
        <v>0.248091603053435</v>
      </c>
      <c r="AG421" s="11" t="n">
        <f aca="false">IF(J421&gt;=INDEX(球季參數!$E$2:$E$4,MATCH($A421,球季參數!$A$2:$A$4,0)),1,0)</f>
        <v>0</v>
      </c>
    </row>
    <row r="422" customFormat="false" ht="15" hidden="false" customHeight="false" outlineLevel="0" collapsed="false">
      <c r="A422" s="5" t="n">
        <v>2025</v>
      </c>
      <c r="B422" s="7" t="s">
        <v>1725</v>
      </c>
      <c r="C422" s="10" t="str">
        <f aca="false">INDEX(球員主檔!$B$2:$B$749,MATCH($B422,球員主檔!$A$2:$A$749,0))</f>
        <v>Sousuke Jernigan</v>
      </c>
      <c r="D422" s="7" t="s">
        <v>392</v>
      </c>
      <c r="E422" s="10" t="str">
        <f aca="false">INDEX(球隊主檔!$C$2:$C$31,MATCH($D422,球隊主檔!$A$2:$A$31,0))</f>
        <v>洛杉磯天使</v>
      </c>
      <c r="F422" s="10" t="str">
        <f aca="false">INDEX(球隊主檔!$D$2:$D$31,MATCH($D422,球隊主檔!$A$2:$A$31,0))</f>
        <v>美聯</v>
      </c>
      <c r="G422" s="7" t="s">
        <v>478</v>
      </c>
      <c r="H422" s="11" t="n">
        <f aca="false">INT((DATE($A422,7,1)-INDEX(球員主檔!$G$2:$G$749,MATCH($B422,球員主檔!$A$2:$A$749,0)))/365.25)</f>
        <v>25</v>
      </c>
      <c r="I422" s="12" t="n">
        <v>74</v>
      </c>
      <c r="J422" s="12" t="n">
        <v>303</v>
      </c>
      <c r="K422" s="12" t="n">
        <v>269</v>
      </c>
      <c r="L422" s="12" t="n">
        <v>34</v>
      </c>
      <c r="M422" s="12" t="n">
        <v>61</v>
      </c>
      <c r="N422" s="12" t="n">
        <v>24</v>
      </c>
      <c r="O422" s="12" t="n">
        <v>1</v>
      </c>
      <c r="P422" s="12" t="n">
        <v>12</v>
      </c>
      <c r="Q422" s="12" t="n">
        <v>42</v>
      </c>
      <c r="R422" s="12" t="n">
        <v>30</v>
      </c>
      <c r="S422" s="12" t="n">
        <v>71</v>
      </c>
      <c r="T422" s="12" t="n">
        <v>2</v>
      </c>
      <c r="U422" s="12" t="n">
        <v>2</v>
      </c>
      <c r="V422" s="12" t="n">
        <v>14</v>
      </c>
      <c r="W422" s="12" t="n">
        <v>2</v>
      </c>
      <c r="X422" s="13" t="n">
        <f aca="false">M422+N422+2*O422+3*P422</f>
        <v>123</v>
      </c>
      <c r="Y422" s="14" t="n">
        <f aca="false">IF(K422=0,0,M422/K422)</f>
        <v>0.226765799256506</v>
      </c>
      <c r="Z422" s="14" t="n">
        <f aca="false">IF(K422+R422+T422+U422=0,0,(M422+R422+T422)/(K422+R422+T422+U422))</f>
        <v>0.306930693069307</v>
      </c>
      <c r="AA422" s="14" t="n">
        <f aca="false">IF(K422=0,0,X422/K422)</f>
        <v>0.45724907063197</v>
      </c>
      <c r="AB422" s="14" t="n">
        <f aca="false">Z422+AA422</f>
        <v>0.764179763701277</v>
      </c>
      <c r="AC422" s="14" t="n">
        <f aca="false">AA422-Y422</f>
        <v>0.230483271375465</v>
      </c>
      <c r="AD422" s="14" t="n">
        <f aca="false">IF(K422-S422-P422+U422=0,0,(M422-P422)/(K422-S422-P422+U422))</f>
        <v>0.26063829787234</v>
      </c>
      <c r="AE422" s="15" t="n">
        <f aca="false">IF(J422=0,0,R422/J422)</f>
        <v>0.099009900990099</v>
      </c>
      <c r="AF422" s="15" t="n">
        <f aca="false">IF(J422=0,0,S422/J422)</f>
        <v>0.234323432343234</v>
      </c>
      <c r="AG422" s="11" t="n">
        <f aca="false">IF(J422&gt;=INDEX(球季參數!$E$2:$E$4,MATCH($A422,球季參數!$A$2:$A$4,0)),1,0)</f>
        <v>0</v>
      </c>
    </row>
    <row r="423" customFormat="false" ht="15" hidden="false" customHeight="false" outlineLevel="0" collapsed="false">
      <c r="A423" s="5" t="n">
        <v>2025</v>
      </c>
      <c r="B423" s="7" t="s">
        <v>1727</v>
      </c>
      <c r="C423" s="10" t="str">
        <f aca="false">INDEX(球員主檔!$B$2:$B$749,MATCH($B423,球員主檔!$A$2:$A$749,0))</f>
        <v>Matthias Castellón</v>
      </c>
      <c r="D423" s="7" t="s">
        <v>392</v>
      </c>
      <c r="E423" s="10" t="str">
        <f aca="false">INDEX(球隊主檔!$C$2:$C$31,MATCH($D423,球隊主檔!$A$2:$A$31,0))</f>
        <v>洛杉磯天使</v>
      </c>
      <c r="F423" s="10" t="str">
        <f aca="false">INDEX(球隊主檔!$D$2:$D$31,MATCH($D423,球隊主檔!$A$2:$A$31,0))</f>
        <v>美聯</v>
      </c>
      <c r="G423" s="7" t="s">
        <v>470</v>
      </c>
      <c r="H423" s="11" t="n">
        <f aca="false">INT((DATE($A423,7,1)-INDEX(球員主檔!$G$2:$G$749,MATCH($B423,球員主檔!$A$2:$A$749,0)))/365.25)</f>
        <v>25</v>
      </c>
      <c r="I423" s="12" t="n">
        <v>149</v>
      </c>
      <c r="J423" s="12" t="n">
        <v>654</v>
      </c>
      <c r="K423" s="12" t="n">
        <v>625</v>
      </c>
      <c r="L423" s="12" t="n">
        <v>85</v>
      </c>
      <c r="M423" s="12" t="n">
        <v>190</v>
      </c>
      <c r="N423" s="12" t="n">
        <v>36</v>
      </c>
      <c r="O423" s="12" t="n">
        <v>8</v>
      </c>
      <c r="P423" s="12" t="n">
        <v>10</v>
      </c>
      <c r="Q423" s="12" t="n">
        <v>54</v>
      </c>
      <c r="R423" s="12" t="n">
        <v>22</v>
      </c>
      <c r="S423" s="12" t="n">
        <v>180</v>
      </c>
      <c r="T423" s="12" t="n">
        <v>2</v>
      </c>
      <c r="U423" s="12" t="n">
        <v>5</v>
      </c>
      <c r="V423" s="12" t="n">
        <v>34</v>
      </c>
      <c r="W423" s="12" t="n">
        <v>8</v>
      </c>
      <c r="X423" s="13" t="n">
        <f aca="false">M423+N423+2*O423+3*P423</f>
        <v>272</v>
      </c>
      <c r="Y423" s="14" t="n">
        <f aca="false">IF(K423=0,0,M423/K423)</f>
        <v>0.304</v>
      </c>
      <c r="Z423" s="14" t="n">
        <f aca="false">IF(K423+R423+T423+U423=0,0,(M423+R423+T423)/(K423+R423+T423+U423))</f>
        <v>0.327217125382263</v>
      </c>
      <c r="AA423" s="14" t="n">
        <f aca="false">IF(K423=0,0,X423/K423)</f>
        <v>0.4352</v>
      </c>
      <c r="AB423" s="14" t="n">
        <f aca="false">Z423+AA423</f>
        <v>0.762417125382263</v>
      </c>
      <c r="AC423" s="14" t="n">
        <f aca="false">AA423-Y423</f>
        <v>0.1312</v>
      </c>
      <c r="AD423" s="14" t="n">
        <f aca="false">IF(K423-S423-P423+U423=0,0,(M423-P423)/(K423-S423-P423+U423))</f>
        <v>0.409090909090909</v>
      </c>
      <c r="AE423" s="15" t="n">
        <f aca="false">IF(J423=0,0,R423/J423)</f>
        <v>0.0336391437308869</v>
      </c>
      <c r="AF423" s="15" t="n">
        <f aca="false">IF(J423=0,0,S423/J423)</f>
        <v>0.275229357798165</v>
      </c>
      <c r="AG423" s="11" t="n">
        <f aca="false">IF(J423&gt;=INDEX(球季參數!$E$2:$E$4,MATCH($A423,球季參數!$A$2:$A$4,0)),1,0)</f>
        <v>1</v>
      </c>
    </row>
    <row r="424" customFormat="false" ht="15" hidden="false" customHeight="false" outlineLevel="0" collapsed="false">
      <c r="A424" s="5" t="n">
        <v>2025</v>
      </c>
      <c r="B424" s="7" t="s">
        <v>961</v>
      </c>
      <c r="C424" s="10" t="str">
        <f aca="false">INDEX(球員主檔!$B$2:$B$749,MATCH($B424,球員主檔!$A$2:$A$749,0))</f>
        <v>Dorian Montalvo</v>
      </c>
      <c r="D424" s="7" t="s">
        <v>392</v>
      </c>
      <c r="E424" s="10" t="str">
        <f aca="false">INDEX(球隊主檔!$C$2:$C$31,MATCH($D424,球隊主檔!$A$2:$A$31,0))</f>
        <v>洛杉磯天使</v>
      </c>
      <c r="F424" s="10" t="str">
        <f aca="false">INDEX(球隊主檔!$D$2:$D$31,MATCH($D424,球隊主檔!$A$2:$A$31,0))</f>
        <v>美聯</v>
      </c>
      <c r="G424" s="7" t="s">
        <v>522</v>
      </c>
      <c r="H424" s="11" t="n">
        <f aca="false">INT((DATE($A424,7,1)-INDEX(球員主檔!$G$2:$G$749,MATCH($B424,球員主檔!$A$2:$A$749,0)))/365.25)</f>
        <v>30</v>
      </c>
      <c r="I424" s="12" t="n">
        <v>161</v>
      </c>
      <c r="J424" s="12" t="n">
        <v>629</v>
      </c>
      <c r="K424" s="12" t="n">
        <v>574</v>
      </c>
      <c r="L424" s="12" t="n">
        <v>75</v>
      </c>
      <c r="M424" s="12" t="n">
        <v>185</v>
      </c>
      <c r="N424" s="12" t="n">
        <v>13</v>
      </c>
      <c r="O424" s="12" t="n">
        <v>3</v>
      </c>
      <c r="P424" s="12" t="n">
        <v>5</v>
      </c>
      <c r="Q424" s="12" t="n">
        <v>45</v>
      </c>
      <c r="R424" s="12" t="n">
        <v>45</v>
      </c>
      <c r="S424" s="12" t="n">
        <v>141</v>
      </c>
      <c r="T424" s="12" t="n">
        <v>5</v>
      </c>
      <c r="U424" s="12" t="n">
        <v>5</v>
      </c>
      <c r="V424" s="12" t="n">
        <v>10</v>
      </c>
      <c r="W424" s="12" t="n">
        <v>3</v>
      </c>
      <c r="X424" s="13" t="n">
        <f aca="false">M424+N424+2*O424+3*P424</f>
        <v>219</v>
      </c>
      <c r="Y424" s="14" t="n">
        <f aca="false">IF(K424=0,0,M424/K424)</f>
        <v>0.322299651567944</v>
      </c>
      <c r="Z424" s="14" t="n">
        <f aca="false">IF(K424+R424+T424+U424=0,0,(M424+R424+T424)/(K424+R424+T424+U424))</f>
        <v>0.373608903020668</v>
      </c>
      <c r="AA424" s="14" t="n">
        <f aca="false">IF(K424=0,0,X424/K424)</f>
        <v>0.381533101045296</v>
      </c>
      <c r="AB424" s="14" t="n">
        <f aca="false">Z424+AA424</f>
        <v>0.755142004065964</v>
      </c>
      <c r="AC424" s="14" t="n">
        <f aca="false">AA424-Y424</f>
        <v>0.0592334494773519</v>
      </c>
      <c r="AD424" s="14" t="n">
        <f aca="false">IF(K424-S424-P424+U424=0,0,(M424-P424)/(K424-S424-P424+U424))</f>
        <v>0.415704387990762</v>
      </c>
      <c r="AE424" s="15" t="n">
        <f aca="false">IF(J424=0,0,R424/J424)</f>
        <v>0.0715421303656598</v>
      </c>
      <c r="AF424" s="15" t="n">
        <f aca="false">IF(J424=0,0,S424/J424)</f>
        <v>0.224165341812401</v>
      </c>
      <c r="AG424" s="11" t="n">
        <f aca="false">IF(J424&gt;=INDEX(球季參數!$E$2:$E$4,MATCH($A424,球季參數!$A$2:$A$4,0)),1,0)</f>
        <v>1</v>
      </c>
    </row>
    <row r="425" customFormat="false" ht="15" hidden="false" customHeight="false" outlineLevel="0" collapsed="false">
      <c r="A425" s="5" t="n">
        <v>2025</v>
      </c>
      <c r="B425" s="7" t="s">
        <v>957</v>
      </c>
      <c r="C425" s="10" t="str">
        <f aca="false">INDEX(球員主檔!$B$2:$B$749,MATCH($B425,球員主檔!$A$2:$A$749,0))</f>
        <v>Ulises Pellerin</v>
      </c>
      <c r="D425" s="7" t="s">
        <v>392</v>
      </c>
      <c r="E425" s="10" t="str">
        <f aca="false">INDEX(球隊主檔!$C$2:$C$31,MATCH($D425,球隊主檔!$A$2:$A$31,0))</f>
        <v>洛杉磯天使</v>
      </c>
      <c r="F425" s="10" t="str">
        <f aca="false">INDEX(球隊主檔!$D$2:$D$31,MATCH($D425,球隊主檔!$A$2:$A$31,0))</f>
        <v>美聯</v>
      </c>
      <c r="G425" s="7" t="s">
        <v>473</v>
      </c>
      <c r="H425" s="11" t="n">
        <f aca="false">INT((DATE($A425,7,1)-INDEX(球員主檔!$G$2:$G$749,MATCH($B425,球員主檔!$A$2:$A$749,0)))/365.25)</f>
        <v>29</v>
      </c>
      <c r="I425" s="12" t="n">
        <v>162</v>
      </c>
      <c r="J425" s="12" t="n">
        <v>677</v>
      </c>
      <c r="K425" s="12" t="n">
        <v>615</v>
      </c>
      <c r="L425" s="12" t="n">
        <v>77</v>
      </c>
      <c r="M425" s="12" t="n">
        <v>158</v>
      </c>
      <c r="N425" s="12" t="n">
        <v>36</v>
      </c>
      <c r="O425" s="12" t="n">
        <v>11</v>
      </c>
      <c r="P425" s="12" t="n">
        <v>7</v>
      </c>
      <c r="Q425" s="12" t="n">
        <v>58</v>
      </c>
      <c r="R425" s="12" t="n">
        <v>44</v>
      </c>
      <c r="S425" s="12" t="n">
        <v>153</v>
      </c>
      <c r="T425" s="12" t="n">
        <v>12</v>
      </c>
      <c r="U425" s="12" t="n">
        <v>6</v>
      </c>
      <c r="V425" s="12" t="n">
        <v>41</v>
      </c>
      <c r="W425" s="12" t="n">
        <v>14</v>
      </c>
      <c r="X425" s="13" t="n">
        <f aca="false">M425+N425+2*O425+3*P425</f>
        <v>237</v>
      </c>
      <c r="Y425" s="14" t="n">
        <f aca="false">IF(K425=0,0,M425/K425)</f>
        <v>0.256910569105691</v>
      </c>
      <c r="Z425" s="14" t="n">
        <f aca="false">IF(K425+R425+T425+U425=0,0,(M425+R425+T425)/(K425+R425+T425+U425))</f>
        <v>0.316100443131462</v>
      </c>
      <c r="AA425" s="14" t="n">
        <f aca="false">IF(K425=0,0,X425/K425)</f>
        <v>0.385365853658537</v>
      </c>
      <c r="AB425" s="14" t="n">
        <f aca="false">Z425+AA425</f>
        <v>0.701466296789999</v>
      </c>
      <c r="AC425" s="14" t="n">
        <f aca="false">AA425-Y425</f>
        <v>0.128455284552846</v>
      </c>
      <c r="AD425" s="14" t="n">
        <f aca="false">IF(K425-S425-P425+U425=0,0,(M425-P425)/(K425-S425-P425+U425))</f>
        <v>0.327548806941432</v>
      </c>
      <c r="AE425" s="15" t="n">
        <f aca="false">IF(J425=0,0,R425/J425)</f>
        <v>0.0649926144756278</v>
      </c>
      <c r="AF425" s="15" t="n">
        <f aca="false">IF(J425=0,0,S425/J425)</f>
        <v>0.225997045790251</v>
      </c>
      <c r="AG425" s="11" t="n">
        <f aca="false">IF(J425&gt;=INDEX(球季參數!$E$2:$E$4,MATCH($A425,球季參數!$A$2:$A$4,0)),1,0)</f>
        <v>1</v>
      </c>
    </row>
    <row r="426" customFormat="false" ht="15" hidden="false" customHeight="false" outlineLevel="0" collapsed="false">
      <c r="A426" s="5" t="n">
        <v>2025</v>
      </c>
      <c r="B426" s="7" t="s">
        <v>1729</v>
      </c>
      <c r="C426" s="10" t="str">
        <f aca="false">INDEX(球員主檔!$B$2:$B$749,MATCH($B426,球員主檔!$A$2:$A$749,0))</f>
        <v>Minjae Garrity</v>
      </c>
      <c r="D426" s="7" t="s">
        <v>392</v>
      </c>
      <c r="E426" s="10" t="str">
        <f aca="false">INDEX(球隊主檔!$C$2:$C$31,MATCH($D426,球隊主檔!$A$2:$A$31,0))</f>
        <v>洛杉磯天使</v>
      </c>
      <c r="F426" s="10" t="str">
        <f aca="false">INDEX(球隊主檔!$D$2:$D$31,MATCH($D426,球隊主檔!$A$2:$A$31,0))</f>
        <v>美聯</v>
      </c>
      <c r="G426" s="7" t="s">
        <v>63</v>
      </c>
      <c r="H426" s="11" t="n">
        <f aca="false">INT((DATE($A426,7,1)-INDEX(球員主檔!$G$2:$G$749,MATCH($B426,球員主檔!$A$2:$A$749,0)))/365.25)</f>
        <v>21</v>
      </c>
      <c r="I426" s="12" t="n">
        <v>154</v>
      </c>
      <c r="J426" s="12" t="n">
        <v>643</v>
      </c>
      <c r="K426" s="12" t="n">
        <v>558</v>
      </c>
      <c r="L426" s="12" t="n">
        <v>70</v>
      </c>
      <c r="M426" s="12" t="n">
        <v>131</v>
      </c>
      <c r="N426" s="12" t="n">
        <v>32</v>
      </c>
      <c r="O426" s="12" t="n">
        <v>5</v>
      </c>
      <c r="P426" s="12" t="n">
        <v>15</v>
      </c>
      <c r="Q426" s="12" t="n">
        <v>70</v>
      </c>
      <c r="R426" s="12" t="n">
        <v>78</v>
      </c>
      <c r="S426" s="12" t="n">
        <v>179</v>
      </c>
      <c r="T426" s="12" t="n">
        <v>3</v>
      </c>
      <c r="U426" s="12" t="n">
        <v>4</v>
      </c>
      <c r="V426" s="12" t="n">
        <v>30</v>
      </c>
      <c r="W426" s="12" t="n">
        <v>9</v>
      </c>
      <c r="X426" s="13" t="n">
        <f aca="false">M426+N426+2*O426+3*P426</f>
        <v>218</v>
      </c>
      <c r="Y426" s="14" t="n">
        <f aca="false">IF(K426=0,0,M426/K426)</f>
        <v>0.234767025089606</v>
      </c>
      <c r="Z426" s="14" t="n">
        <f aca="false">IF(K426+R426+T426+U426=0,0,(M426+R426+T426)/(K426+R426+T426+U426))</f>
        <v>0.329704510108865</v>
      </c>
      <c r="AA426" s="14" t="n">
        <f aca="false">IF(K426=0,0,X426/K426)</f>
        <v>0.390681003584229</v>
      </c>
      <c r="AB426" s="14" t="n">
        <f aca="false">Z426+AA426</f>
        <v>0.720385513693094</v>
      </c>
      <c r="AC426" s="14" t="n">
        <f aca="false">AA426-Y426</f>
        <v>0.155913978494624</v>
      </c>
      <c r="AD426" s="14" t="n">
        <f aca="false">IF(K426-S426-P426+U426=0,0,(M426-P426)/(K426-S426-P426+U426))</f>
        <v>0.315217391304348</v>
      </c>
      <c r="AE426" s="15" t="n">
        <f aca="false">IF(J426=0,0,R426/J426)</f>
        <v>0.121306376360809</v>
      </c>
      <c r="AF426" s="15" t="n">
        <f aca="false">IF(J426=0,0,S426/J426)</f>
        <v>0.278382581648523</v>
      </c>
      <c r="AG426" s="11" t="n">
        <f aca="false">IF(J426&gt;=INDEX(球季參數!$E$2:$E$4,MATCH($A426,球季參數!$A$2:$A$4,0)),1,0)</f>
        <v>1</v>
      </c>
    </row>
    <row r="427" customFormat="false" ht="15" hidden="false" customHeight="false" outlineLevel="0" collapsed="false">
      <c r="A427" s="5" t="n">
        <v>2025</v>
      </c>
      <c r="B427" s="7" t="s">
        <v>467</v>
      </c>
      <c r="C427" s="10" t="str">
        <f aca="false">INDEX(球員主檔!$B$2:$B$749,MATCH($B427,球員主檔!$A$2:$A$749,0))</f>
        <v>Leandro Yarbrough</v>
      </c>
      <c r="D427" s="7" t="s">
        <v>392</v>
      </c>
      <c r="E427" s="10" t="str">
        <f aca="false">INDEX(球隊主檔!$C$2:$C$31,MATCH($D427,球隊主檔!$A$2:$A$31,0))</f>
        <v>洛杉磯天使</v>
      </c>
      <c r="F427" s="10" t="str">
        <f aca="false">INDEX(球隊主檔!$D$2:$D$31,MATCH($D427,球隊主檔!$A$2:$A$31,0))</f>
        <v>美聯</v>
      </c>
      <c r="G427" s="7" t="s">
        <v>470</v>
      </c>
      <c r="H427" s="11" t="n">
        <f aca="false">INT((DATE($A427,7,1)-INDEX(球員主檔!$G$2:$G$749,MATCH($B427,球員主檔!$A$2:$A$749,0)))/365.25)</f>
        <v>28</v>
      </c>
      <c r="I427" s="12" t="n">
        <v>110</v>
      </c>
      <c r="J427" s="12" t="n">
        <v>448</v>
      </c>
      <c r="K427" s="12" t="n">
        <v>418</v>
      </c>
      <c r="L427" s="12" t="n">
        <v>52</v>
      </c>
      <c r="M427" s="12" t="n">
        <v>99</v>
      </c>
      <c r="N427" s="12" t="n">
        <v>28</v>
      </c>
      <c r="O427" s="12" t="n">
        <v>7</v>
      </c>
      <c r="P427" s="12" t="n">
        <v>25</v>
      </c>
      <c r="Q427" s="12" t="n">
        <v>81</v>
      </c>
      <c r="R427" s="12" t="n">
        <v>24</v>
      </c>
      <c r="S427" s="12" t="n">
        <v>155</v>
      </c>
      <c r="T427" s="12" t="n">
        <v>1</v>
      </c>
      <c r="U427" s="12" t="n">
        <v>5</v>
      </c>
      <c r="V427" s="12" t="n">
        <v>16</v>
      </c>
      <c r="W427" s="12" t="n">
        <v>5</v>
      </c>
      <c r="X427" s="13" t="n">
        <f aca="false">M427+N427+2*O427+3*P427</f>
        <v>216</v>
      </c>
      <c r="Y427" s="14" t="n">
        <f aca="false">IF(K427=0,0,M427/K427)</f>
        <v>0.236842105263158</v>
      </c>
      <c r="Z427" s="14" t="n">
        <f aca="false">IF(K427+R427+T427+U427=0,0,(M427+R427+T427)/(K427+R427+T427+U427))</f>
        <v>0.276785714285714</v>
      </c>
      <c r="AA427" s="14" t="n">
        <f aca="false">IF(K427=0,0,X427/K427)</f>
        <v>0.516746411483254</v>
      </c>
      <c r="AB427" s="14" t="n">
        <f aca="false">Z427+AA427</f>
        <v>0.793532125768968</v>
      </c>
      <c r="AC427" s="14" t="n">
        <f aca="false">AA427-Y427</f>
        <v>0.279904306220096</v>
      </c>
      <c r="AD427" s="14" t="n">
        <f aca="false">IF(K427-S427-P427+U427=0,0,(M427-P427)/(K427-S427-P427+U427))</f>
        <v>0.304526748971193</v>
      </c>
      <c r="AE427" s="15" t="n">
        <f aca="false">IF(J427=0,0,R427/J427)</f>
        <v>0.0535714285714286</v>
      </c>
      <c r="AF427" s="15" t="n">
        <f aca="false">IF(J427=0,0,S427/J427)</f>
        <v>0.345982142857143</v>
      </c>
      <c r="AG427" s="11" t="n">
        <f aca="false">IF(J427&gt;=INDEX(球季參數!$E$2:$E$4,MATCH($A427,球季參數!$A$2:$A$4,0)),1,0)</f>
        <v>0</v>
      </c>
    </row>
    <row r="428" customFormat="false" ht="15" hidden="false" customHeight="false" outlineLevel="0" collapsed="false">
      <c r="A428" s="5" t="n">
        <v>2025</v>
      </c>
      <c r="B428" s="7" t="s">
        <v>969</v>
      </c>
      <c r="C428" s="10" t="str">
        <f aca="false">INDEX(球員主檔!$B$2:$B$749,MATCH($B428,球員主檔!$A$2:$A$749,0))</f>
        <v>Holden Kiriakis</v>
      </c>
      <c r="D428" s="7" t="s">
        <v>392</v>
      </c>
      <c r="E428" s="10" t="str">
        <f aca="false">INDEX(球隊主檔!$C$2:$C$31,MATCH($D428,球隊主檔!$A$2:$A$31,0))</f>
        <v>洛杉磯天使</v>
      </c>
      <c r="F428" s="10" t="str">
        <f aca="false">INDEX(球隊主檔!$D$2:$D$31,MATCH($D428,球隊主檔!$A$2:$A$31,0))</f>
        <v>美聯</v>
      </c>
      <c r="G428" s="7" t="s">
        <v>63</v>
      </c>
      <c r="H428" s="11" t="n">
        <f aca="false">INT((DATE($A428,7,1)-INDEX(球員主檔!$G$2:$G$749,MATCH($B428,球員主檔!$A$2:$A$749,0)))/365.25)</f>
        <v>24</v>
      </c>
      <c r="I428" s="12" t="n">
        <v>107</v>
      </c>
      <c r="J428" s="12" t="n">
        <v>465</v>
      </c>
      <c r="K428" s="12" t="n">
        <v>424</v>
      </c>
      <c r="L428" s="12" t="n">
        <v>49</v>
      </c>
      <c r="M428" s="12" t="n">
        <v>90</v>
      </c>
      <c r="N428" s="12" t="n">
        <v>26</v>
      </c>
      <c r="O428" s="12" t="n">
        <v>2</v>
      </c>
      <c r="P428" s="12" t="n">
        <v>16</v>
      </c>
      <c r="Q428" s="12" t="n">
        <v>52</v>
      </c>
      <c r="R428" s="12" t="n">
        <v>33</v>
      </c>
      <c r="S428" s="12" t="n">
        <v>79</v>
      </c>
      <c r="T428" s="12" t="n">
        <v>6</v>
      </c>
      <c r="U428" s="12" t="n">
        <v>2</v>
      </c>
      <c r="V428" s="12" t="n">
        <v>7</v>
      </c>
      <c r="W428" s="12" t="n">
        <v>2</v>
      </c>
      <c r="X428" s="13" t="n">
        <f aca="false">M428+N428+2*O428+3*P428</f>
        <v>168</v>
      </c>
      <c r="Y428" s="14" t="n">
        <f aca="false">IF(K428=0,0,M428/K428)</f>
        <v>0.212264150943396</v>
      </c>
      <c r="Z428" s="14" t="n">
        <f aca="false">IF(K428+R428+T428+U428=0,0,(M428+R428+T428)/(K428+R428+T428+U428))</f>
        <v>0.27741935483871</v>
      </c>
      <c r="AA428" s="14" t="n">
        <f aca="false">IF(K428=0,0,X428/K428)</f>
        <v>0.39622641509434</v>
      </c>
      <c r="AB428" s="14" t="n">
        <f aca="false">Z428+AA428</f>
        <v>0.673645769933049</v>
      </c>
      <c r="AC428" s="14" t="n">
        <f aca="false">AA428-Y428</f>
        <v>0.183962264150943</v>
      </c>
      <c r="AD428" s="14" t="n">
        <f aca="false">IF(K428-S428-P428+U428=0,0,(M428-P428)/(K428-S428-P428+U428))</f>
        <v>0.223564954682779</v>
      </c>
      <c r="AE428" s="15" t="n">
        <f aca="false">IF(J428=0,0,R428/J428)</f>
        <v>0.0709677419354839</v>
      </c>
      <c r="AF428" s="15" t="n">
        <f aca="false">IF(J428=0,0,S428/J428)</f>
        <v>0.16989247311828</v>
      </c>
      <c r="AG428" s="11" t="n">
        <f aca="false">IF(J428&gt;=INDEX(球季參數!$E$2:$E$4,MATCH($A428,球季參數!$A$2:$A$4,0)),1,0)</f>
        <v>0</v>
      </c>
    </row>
    <row r="429" customFormat="false" ht="15" hidden="false" customHeight="false" outlineLevel="0" collapsed="false">
      <c r="A429" s="5" t="n">
        <v>2025</v>
      </c>
      <c r="B429" s="7" t="s">
        <v>971</v>
      </c>
      <c r="C429" s="10" t="str">
        <f aca="false">INDEX(球員主檔!$B$2:$B$749,MATCH($B429,球員主檔!$A$2:$A$749,0))</f>
        <v>Yusuke Kestrel</v>
      </c>
      <c r="D429" s="7" t="s">
        <v>392</v>
      </c>
      <c r="E429" s="10" t="str">
        <f aca="false">INDEX(球隊主檔!$C$2:$C$31,MATCH($D429,球隊主檔!$A$2:$A$31,0))</f>
        <v>洛杉磯天使</v>
      </c>
      <c r="F429" s="10" t="str">
        <f aca="false">INDEX(球隊主檔!$D$2:$D$31,MATCH($D429,球隊主檔!$A$2:$A$31,0))</f>
        <v>美聯</v>
      </c>
      <c r="G429" s="7" t="s">
        <v>486</v>
      </c>
      <c r="H429" s="11" t="n">
        <f aca="false">INT((DATE($A429,7,1)-INDEX(球員主檔!$G$2:$G$749,MATCH($B429,球員主檔!$A$2:$A$749,0)))/365.25)</f>
        <v>29</v>
      </c>
      <c r="I429" s="12" t="n">
        <v>101</v>
      </c>
      <c r="J429" s="12" t="n">
        <v>454</v>
      </c>
      <c r="K429" s="12" t="n">
        <v>397</v>
      </c>
      <c r="L429" s="12" t="n">
        <v>59</v>
      </c>
      <c r="M429" s="12" t="n">
        <v>110</v>
      </c>
      <c r="N429" s="12" t="n">
        <v>17</v>
      </c>
      <c r="O429" s="12" t="n">
        <v>4</v>
      </c>
      <c r="P429" s="12" t="n">
        <v>8</v>
      </c>
      <c r="Q429" s="12" t="n">
        <v>37</v>
      </c>
      <c r="R429" s="12" t="n">
        <v>51</v>
      </c>
      <c r="S429" s="12" t="n">
        <v>94</v>
      </c>
      <c r="T429" s="12" t="n">
        <v>3</v>
      </c>
      <c r="U429" s="12" t="n">
        <v>3</v>
      </c>
      <c r="V429" s="12" t="n">
        <v>5</v>
      </c>
      <c r="W429" s="12" t="n">
        <v>1</v>
      </c>
      <c r="X429" s="13" t="n">
        <f aca="false">M429+N429+2*O429+3*P429</f>
        <v>159</v>
      </c>
      <c r="Y429" s="14" t="n">
        <f aca="false">IF(K429=0,0,M429/K429)</f>
        <v>0.277078085642317</v>
      </c>
      <c r="Z429" s="14" t="n">
        <f aca="false">IF(K429+R429+T429+U429=0,0,(M429+R429+T429)/(K429+R429+T429+U429))</f>
        <v>0.361233480176211</v>
      </c>
      <c r="AA429" s="14" t="n">
        <f aca="false">IF(K429=0,0,X429/K429)</f>
        <v>0.400503778337532</v>
      </c>
      <c r="AB429" s="14" t="n">
        <f aca="false">Z429+AA429</f>
        <v>0.761737258513743</v>
      </c>
      <c r="AC429" s="14" t="n">
        <f aca="false">AA429-Y429</f>
        <v>0.123425692695214</v>
      </c>
      <c r="AD429" s="14" t="n">
        <f aca="false">IF(K429-S429-P429+U429=0,0,(M429-P429)/(K429-S429-P429+U429))</f>
        <v>0.342281879194631</v>
      </c>
      <c r="AE429" s="15" t="n">
        <f aca="false">IF(J429=0,0,R429/J429)</f>
        <v>0.112334801762115</v>
      </c>
      <c r="AF429" s="15" t="n">
        <f aca="false">IF(J429=0,0,S429/J429)</f>
        <v>0.20704845814978</v>
      </c>
      <c r="AG429" s="11" t="n">
        <f aca="false">IF(J429&gt;=INDEX(球季參數!$E$2:$E$4,MATCH($A429,球季參數!$A$2:$A$4,0)),1,0)</f>
        <v>0</v>
      </c>
    </row>
    <row r="430" customFormat="false" ht="15" hidden="false" customHeight="false" outlineLevel="0" collapsed="false">
      <c r="A430" s="5" t="n">
        <v>2025</v>
      </c>
      <c r="B430" s="7" t="s">
        <v>973</v>
      </c>
      <c r="C430" s="10" t="str">
        <f aca="false">INDEX(球員主檔!$B$2:$B$749,MATCH($B430,球員主檔!$A$2:$A$749,0))</f>
        <v>Landon Prendergast</v>
      </c>
      <c r="D430" s="7" t="s">
        <v>392</v>
      </c>
      <c r="E430" s="10" t="str">
        <f aca="false">INDEX(球隊主檔!$C$2:$C$31,MATCH($D430,球隊主檔!$A$2:$A$31,0))</f>
        <v>洛杉磯天使</v>
      </c>
      <c r="F430" s="10" t="str">
        <f aca="false">INDEX(球隊主檔!$D$2:$D$31,MATCH($D430,球隊主檔!$A$2:$A$31,0))</f>
        <v>美聯</v>
      </c>
      <c r="G430" s="7" t="s">
        <v>470</v>
      </c>
      <c r="H430" s="11" t="n">
        <f aca="false">INT((DATE($A430,7,1)-INDEX(球員主檔!$G$2:$G$749,MATCH($B430,球員主檔!$A$2:$A$749,0)))/365.25)</f>
        <v>26</v>
      </c>
      <c r="I430" s="12" t="n">
        <v>80</v>
      </c>
      <c r="J430" s="12" t="n">
        <v>357</v>
      </c>
      <c r="K430" s="12" t="n">
        <v>324</v>
      </c>
      <c r="L430" s="12" t="n">
        <v>37</v>
      </c>
      <c r="M430" s="12" t="n">
        <v>77</v>
      </c>
      <c r="N430" s="12" t="n">
        <v>17</v>
      </c>
      <c r="O430" s="12" t="n">
        <v>5</v>
      </c>
      <c r="P430" s="12" t="n">
        <v>10</v>
      </c>
      <c r="Q430" s="12" t="n">
        <v>35</v>
      </c>
      <c r="R430" s="12" t="n">
        <v>25</v>
      </c>
      <c r="S430" s="12" t="n">
        <v>107</v>
      </c>
      <c r="T430" s="12" t="n">
        <v>4</v>
      </c>
      <c r="U430" s="12" t="n">
        <v>4</v>
      </c>
      <c r="V430" s="12" t="n">
        <v>12</v>
      </c>
      <c r="W430" s="12" t="n">
        <v>1</v>
      </c>
      <c r="X430" s="13" t="n">
        <f aca="false">M430+N430+2*O430+3*P430</f>
        <v>134</v>
      </c>
      <c r="Y430" s="14" t="n">
        <f aca="false">IF(K430=0,0,M430/K430)</f>
        <v>0.237654320987654</v>
      </c>
      <c r="Z430" s="14" t="n">
        <f aca="false">IF(K430+R430+T430+U430=0,0,(M430+R430+T430)/(K430+R430+T430+U430))</f>
        <v>0.296918767507003</v>
      </c>
      <c r="AA430" s="14" t="n">
        <f aca="false">IF(K430=0,0,X430/K430)</f>
        <v>0.41358024691358</v>
      </c>
      <c r="AB430" s="14" t="n">
        <f aca="false">Z430+AA430</f>
        <v>0.710499014420583</v>
      </c>
      <c r="AC430" s="14" t="n">
        <f aca="false">AA430-Y430</f>
        <v>0.175925925925926</v>
      </c>
      <c r="AD430" s="14" t="n">
        <f aca="false">IF(K430-S430-P430+U430=0,0,(M430-P430)/(K430-S430-P430+U430))</f>
        <v>0.317535545023697</v>
      </c>
      <c r="AE430" s="15" t="n">
        <f aca="false">IF(J430=0,0,R430/J430)</f>
        <v>0.0700280112044818</v>
      </c>
      <c r="AF430" s="15" t="n">
        <f aca="false">IF(J430=0,0,S430/J430)</f>
        <v>0.299719887955182</v>
      </c>
      <c r="AG430" s="11" t="n">
        <f aca="false">IF(J430&gt;=INDEX(球季參數!$E$2:$E$4,MATCH($A430,球季參數!$A$2:$A$4,0)),1,0)</f>
        <v>0</v>
      </c>
    </row>
    <row r="431" customFormat="false" ht="15" hidden="false" customHeight="false" outlineLevel="0" collapsed="false">
      <c r="A431" s="5" t="n">
        <v>2025</v>
      </c>
      <c r="B431" s="7" t="s">
        <v>975</v>
      </c>
      <c r="C431" s="10" t="str">
        <f aca="false">INDEX(球員主檔!$B$2:$B$749,MATCH($B431,球員主檔!$A$2:$A$749,0))</f>
        <v>Dorian Novotný</v>
      </c>
      <c r="D431" s="7" t="s">
        <v>392</v>
      </c>
      <c r="E431" s="10" t="str">
        <f aca="false">INDEX(球隊主檔!$C$2:$C$31,MATCH($D431,球隊主檔!$A$2:$A$31,0))</f>
        <v>洛杉磯天使</v>
      </c>
      <c r="F431" s="10" t="str">
        <f aca="false">INDEX(球隊主檔!$D$2:$D$31,MATCH($D431,球隊主檔!$A$2:$A$31,0))</f>
        <v>美聯</v>
      </c>
      <c r="G431" s="7" t="s">
        <v>478</v>
      </c>
      <c r="H431" s="11" t="n">
        <f aca="false">INT((DATE($A431,7,1)-INDEX(球員主檔!$G$2:$G$749,MATCH($B431,球員主檔!$A$2:$A$749,0)))/365.25)</f>
        <v>26</v>
      </c>
      <c r="I431" s="12" t="n">
        <v>52</v>
      </c>
      <c r="J431" s="12" t="n">
        <v>209</v>
      </c>
      <c r="K431" s="12" t="n">
        <v>177</v>
      </c>
      <c r="L431" s="12" t="n">
        <v>23</v>
      </c>
      <c r="M431" s="12" t="n">
        <v>46</v>
      </c>
      <c r="N431" s="12" t="n">
        <v>17</v>
      </c>
      <c r="O431" s="12" t="n">
        <v>4</v>
      </c>
      <c r="P431" s="12" t="n">
        <v>6</v>
      </c>
      <c r="Q431" s="12" t="n">
        <v>21</v>
      </c>
      <c r="R431" s="12" t="n">
        <v>27</v>
      </c>
      <c r="S431" s="12" t="n">
        <v>31</v>
      </c>
      <c r="T431" s="12" t="n">
        <v>4</v>
      </c>
      <c r="U431" s="12" t="n">
        <v>1</v>
      </c>
      <c r="V431" s="12" t="n">
        <v>8</v>
      </c>
      <c r="W431" s="12" t="n">
        <v>2</v>
      </c>
      <c r="X431" s="13" t="n">
        <f aca="false">M431+N431+2*O431+3*P431</f>
        <v>89</v>
      </c>
      <c r="Y431" s="14" t="n">
        <f aca="false">IF(K431=0,0,M431/K431)</f>
        <v>0.259887005649718</v>
      </c>
      <c r="Z431" s="14" t="n">
        <f aca="false">IF(K431+R431+T431+U431=0,0,(M431+R431+T431)/(K431+R431+T431+U431))</f>
        <v>0.368421052631579</v>
      </c>
      <c r="AA431" s="14" t="n">
        <f aca="false">IF(K431=0,0,X431/K431)</f>
        <v>0.502824858757062</v>
      </c>
      <c r="AB431" s="14" t="n">
        <f aca="false">Z431+AA431</f>
        <v>0.871245911388641</v>
      </c>
      <c r="AC431" s="14" t="n">
        <f aca="false">AA431-Y431</f>
        <v>0.242937853107345</v>
      </c>
      <c r="AD431" s="14" t="n">
        <f aca="false">IF(K431-S431-P431+U431=0,0,(M431-P431)/(K431-S431-P431+U431))</f>
        <v>0.283687943262411</v>
      </c>
      <c r="AE431" s="15" t="n">
        <f aca="false">IF(J431=0,0,R431/J431)</f>
        <v>0.129186602870813</v>
      </c>
      <c r="AF431" s="15" t="n">
        <f aca="false">IF(J431=0,0,S431/J431)</f>
        <v>0.148325358851675</v>
      </c>
      <c r="AG431" s="11" t="n">
        <f aca="false">IF(J431&gt;=INDEX(球季參數!$E$2:$E$4,MATCH($A431,球季參數!$A$2:$A$4,0)),1,0)</f>
        <v>0</v>
      </c>
    </row>
    <row r="432" customFormat="false" ht="15" hidden="false" customHeight="false" outlineLevel="0" collapsed="false">
      <c r="A432" s="5" t="n">
        <v>2025</v>
      </c>
      <c r="B432" s="7" t="s">
        <v>997</v>
      </c>
      <c r="C432" s="10" t="str">
        <f aca="false">INDEX(球員主檔!$B$2:$B$749,MATCH($B432,球員主檔!$A$2:$A$749,0))</f>
        <v>Ulises Zamarripa</v>
      </c>
      <c r="D432" s="7" t="s">
        <v>396</v>
      </c>
      <c r="E432" s="10" t="str">
        <f aca="false">INDEX(球隊主檔!$C$2:$C$31,MATCH($D432,球隊主檔!$A$2:$A$31,0))</f>
        <v>西雅圖水手</v>
      </c>
      <c r="F432" s="10" t="str">
        <f aca="false">INDEX(球隊主檔!$D$2:$D$31,MATCH($D432,球隊主檔!$A$2:$A$31,0))</f>
        <v>美聯</v>
      </c>
      <c r="G432" s="7" t="s">
        <v>522</v>
      </c>
      <c r="H432" s="11" t="n">
        <f aca="false">INT((DATE($A432,7,1)-INDEX(球員主檔!$G$2:$G$749,MATCH($B432,球員主檔!$A$2:$A$749,0)))/365.25)</f>
        <v>27</v>
      </c>
      <c r="I432" s="12" t="n">
        <v>162</v>
      </c>
      <c r="J432" s="12" t="n">
        <v>656</v>
      </c>
      <c r="K432" s="12" t="n">
        <v>580</v>
      </c>
      <c r="L432" s="12" t="n">
        <v>76</v>
      </c>
      <c r="M432" s="12" t="n">
        <v>136</v>
      </c>
      <c r="N432" s="12" t="n">
        <v>34</v>
      </c>
      <c r="O432" s="12" t="n">
        <v>3</v>
      </c>
      <c r="P432" s="12" t="n">
        <v>18</v>
      </c>
      <c r="Q432" s="12" t="n">
        <v>78</v>
      </c>
      <c r="R432" s="12" t="n">
        <v>65</v>
      </c>
      <c r="S432" s="12" t="n">
        <v>167</v>
      </c>
      <c r="T432" s="12" t="n">
        <v>5</v>
      </c>
      <c r="U432" s="12" t="n">
        <v>6</v>
      </c>
      <c r="V432" s="12" t="n">
        <v>27</v>
      </c>
      <c r="W432" s="12" t="n">
        <v>8</v>
      </c>
      <c r="X432" s="13" t="n">
        <f aca="false">M432+N432+2*O432+3*P432</f>
        <v>230</v>
      </c>
      <c r="Y432" s="14" t="n">
        <f aca="false">IF(K432=0,0,M432/K432)</f>
        <v>0.23448275862069</v>
      </c>
      <c r="Z432" s="14" t="n">
        <f aca="false">IF(K432+R432+T432+U432=0,0,(M432+R432+T432)/(K432+R432+T432+U432))</f>
        <v>0.314024390243902</v>
      </c>
      <c r="AA432" s="14" t="n">
        <f aca="false">IF(K432=0,0,X432/K432)</f>
        <v>0.396551724137931</v>
      </c>
      <c r="AB432" s="14" t="n">
        <f aca="false">Z432+AA432</f>
        <v>0.710576114381833</v>
      </c>
      <c r="AC432" s="14" t="n">
        <f aca="false">AA432-Y432</f>
        <v>0.162068965517241</v>
      </c>
      <c r="AD432" s="14" t="n">
        <f aca="false">IF(K432-S432-P432+U432=0,0,(M432-P432)/(K432-S432-P432+U432))</f>
        <v>0.29426433915212</v>
      </c>
      <c r="AE432" s="15" t="n">
        <f aca="false">IF(J432=0,0,R432/J432)</f>
        <v>0.0990853658536585</v>
      </c>
      <c r="AF432" s="15" t="n">
        <f aca="false">IF(J432=0,0,S432/J432)</f>
        <v>0.254573170731707</v>
      </c>
      <c r="AG432" s="11" t="n">
        <f aca="false">IF(J432&gt;=INDEX(球季參數!$E$2:$E$4,MATCH($A432,球季參數!$A$2:$A$4,0)),1,0)</f>
        <v>1</v>
      </c>
    </row>
    <row r="433" customFormat="false" ht="15" hidden="false" customHeight="false" outlineLevel="0" collapsed="false">
      <c r="A433" s="5" t="n">
        <v>2025</v>
      </c>
      <c r="B433" s="7" t="s">
        <v>999</v>
      </c>
      <c r="C433" s="10" t="str">
        <f aca="false">INDEX(球員主檔!$B$2:$B$749,MATCH($B433,球員主檔!$A$2:$A$749,0))</f>
        <v>Dashiell Ferreira</v>
      </c>
      <c r="D433" s="7" t="s">
        <v>396</v>
      </c>
      <c r="E433" s="10" t="str">
        <f aca="false">INDEX(球隊主檔!$C$2:$C$31,MATCH($D433,球隊主檔!$A$2:$A$31,0))</f>
        <v>西雅圖水手</v>
      </c>
      <c r="F433" s="10" t="str">
        <f aca="false">INDEX(球隊主檔!$D$2:$D$31,MATCH($D433,球隊主檔!$A$2:$A$31,0))</f>
        <v>美聯</v>
      </c>
      <c r="G433" s="7" t="s">
        <v>486</v>
      </c>
      <c r="H433" s="11" t="n">
        <f aca="false">INT((DATE($A433,7,1)-INDEX(球員主檔!$G$2:$G$749,MATCH($B433,球員主檔!$A$2:$A$749,0)))/365.25)</f>
        <v>28</v>
      </c>
      <c r="I433" s="12" t="n">
        <v>142</v>
      </c>
      <c r="J433" s="12" t="n">
        <v>580</v>
      </c>
      <c r="K433" s="12" t="n">
        <v>549</v>
      </c>
      <c r="L433" s="12" t="n">
        <v>66</v>
      </c>
      <c r="M433" s="12" t="n">
        <v>159</v>
      </c>
      <c r="N433" s="12" t="n">
        <v>40</v>
      </c>
      <c r="O433" s="12" t="n">
        <v>3</v>
      </c>
      <c r="P433" s="12" t="n">
        <v>20</v>
      </c>
      <c r="Q433" s="12" t="n">
        <v>71</v>
      </c>
      <c r="R433" s="12" t="n">
        <v>15</v>
      </c>
      <c r="S433" s="12" t="n">
        <v>115</v>
      </c>
      <c r="T433" s="12" t="n">
        <v>11</v>
      </c>
      <c r="U433" s="12" t="n">
        <v>5</v>
      </c>
      <c r="V433" s="12" t="n">
        <v>20</v>
      </c>
      <c r="W433" s="12" t="n">
        <v>7</v>
      </c>
      <c r="X433" s="13" t="n">
        <f aca="false">M433+N433+2*O433+3*P433</f>
        <v>265</v>
      </c>
      <c r="Y433" s="14" t="n">
        <f aca="false">IF(K433=0,0,M433/K433)</f>
        <v>0.289617486338798</v>
      </c>
      <c r="Z433" s="14" t="n">
        <f aca="false">IF(K433+R433+T433+U433=0,0,(M433+R433+T433)/(K433+R433+T433+U433))</f>
        <v>0.318965517241379</v>
      </c>
      <c r="AA433" s="14" t="n">
        <f aca="false">IF(K433=0,0,X433/K433)</f>
        <v>0.482695810564663</v>
      </c>
      <c r="AB433" s="14" t="n">
        <f aca="false">Z433+AA433</f>
        <v>0.801661327806042</v>
      </c>
      <c r="AC433" s="14" t="n">
        <f aca="false">AA433-Y433</f>
        <v>0.193078324225865</v>
      </c>
      <c r="AD433" s="14" t="n">
        <f aca="false">IF(K433-S433-P433+U433=0,0,(M433-P433)/(K433-S433-P433+U433))</f>
        <v>0.331742243436754</v>
      </c>
      <c r="AE433" s="15" t="n">
        <f aca="false">IF(J433=0,0,R433/J433)</f>
        <v>0.0258620689655172</v>
      </c>
      <c r="AF433" s="15" t="n">
        <f aca="false">IF(J433=0,0,S433/J433)</f>
        <v>0.198275862068966</v>
      </c>
      <c r="AG433" s="11" t="n">
        <f aca="false">IF(J433&gt;=INDEX(球季參數!$E$2:$E$4,MATCH($A433,球季參數!$A$2:$A$4,0)),1,0)</f>
        <v>1</v>
      </c>
    </row>
    <row r="434" customFormat="false" ht="15" hidden="false" customHeight="false" outlineLevel="0" collapsed="false">
      <c r="A434" s="5" t="n">
        <v>2025</v>
      </c>
      <c r="B434" s="7" t="s">
        <v>1001</v>
      </c>
      <c r="C434" s="10" t="str">
        <f aca="false">INDEX(球員主檔!$B$2:$B$749,MATCH($B434,球員主檔!$A$2:$A$749,0))</f>
        <v>Kellan Ibarra</v>
      </c>
      <c r="D434" s="7" t="s">
        <v>396</v>
      </c>
      <c r="E434" s="10" t="str">
        <f aca="false">INDEX(球隊主檔!$C$2:$C$31,MATCH($D434,球隊主檔!$A$2:$A$31,0))</f>
        <v>西雅圖水手</v>
      </c>
      <c r="F434" s="10" t="str">
        <f aca="false">INDEX(球隊主檔!$D$2:$D$31,MATCH($D434,球隊主檔!$A$2:$A$31,0))</f>
        <v>美聯</v>
      </c>
      <c r="G434" s="7" t="s">
        <v>486</v>
      </c>
      <c r="H434" s="11" t="n">
        <f aca="false">INT((DATE($A434,7,1)-INDEX(球員主檔!$G$2:$G$749,MATCH($B434,球員主檔!$A$2:$A$749,0)))/365.25)</f>
        <v>31</v>
      </c>
      <c r="I434" s="12" t="n">
        <v>157</v>
      </c>
      <c r="J434" s="12" t="n">
        <v>648</v>
      </c>
      <c r="K434" s="12" t="n">
        <v>547</v>
      </c>
      <c r="L434" s="12" t="n">
        <v>80</v>
      </c>
      <c r="M434" s="12" t="n">
        <v>120</v>
      </c>
      <c r="N434" s="12" t="n">
        <v>27</v>
      </c>
      <c r="O434" s="12" t="n">
        <v>8</v>
      </c>
      <c r="P434" s="12" t="n">
        <v>28</v>
      </c>
      <c r="Q434" s="12" t="n">
        <v>78</v>
      </c>
      <c r="R434" s="12" t="n">
        <v>96</v>
      </c>
      <c r="S434" s="12" t="n">
        <v>139</v>
      </c>
      <c r="T434" s="12" t="n">
        <v>4</v>
      </c>
      <c r="U434" s="12" t="n">
        <v>1</v>
      </c>
      <c r="V434" s="12" t="n">
        <v>12</v>
      </c>
      <c r="W434" s="12" t="n">
        <v>4</v>
      </c>
      <c r="X434" s="13" t="n">
        <f aca="false">M434+N434+2*O434+3*P434</f>
        <v>247</v>
      </c>
      <c r="Y434" s="14" t="n">
        <f aca="false">IF(K434=0,0,M434/K434)</f>
        <v>0.219378427787934</v>
      </c>
      <c r="Z434" s="14" t="n">
        <f aca="false">IF(K434+R434+T434+U434=0,0,(M434+R434+T434)/(K434+R434+T434+U434))</f>
        <v>0.339506172839506</v>
      </c>
      <c r="AA434" s="14" t="n">
        <f aca="false">IF(K434=0,0,X434/K434)</f>
        <v>0.451553930530165</v>
      </c>
      <c r="AB434" s="14" t="n">
        <f aca="false">Z434+AA434</f>
        <v>0.791060103369671</v>
      </c>
      <c r="AC434" s="14" t="n">
        <f aca="false">AA434-Y434</f>
        <v>0.23217550274223</v>
      </c>
      <c r="AD434" s="14" t="n">
        <f aca="false">IF(K434-S434-P434+U434=0,0,(M434-P434)/(K434-S434-P434+U434))</f>
        <v>0.241469816272966</v>
      </c>
      <c r="AE434" s="15" t="n">
        <f aca="false">IF(J434=0,0,R434/J434)</f>
        <v>0.148148148148148</v>
      </c>
      <c r="AF434" s="15" t="n">
        <f aca="false">IF(J434=0,0,S434/J434)</f>
        <v>0.214506172839506</v>
      </c>
      <c r="AG434" s="11" t="n">
        <f aca="false">IF(J434&gt;=INDEX(球季參數!$E$2:$E$4,MATCH($A434,球季參數!$A$2:$A$4,0)),1,0)</f>
        <v>1</v>
      </c>
    </row>
    <row r="435" customFormat="false" ht="15" hidden="false" customHeight="false" outlineLevel="0" collapsed="false">
      <c r="A435" s="5" t="n">
        <v>2025</v>
      </c>
      <c r="B435" s="7" t="s">
        <v>1003</v>
      </c>
      <c r="C435" s="10" t="str">
        <f aca="false">INDEX(球員主檔!$B$2:$B$749,MATCH($B435,球員主檔!$A$2:$A$749,0))</f>
        <v>Desmond Wexford</v>
      </c>
      <c r="D435" s="7" t="s">
        <v>396</v>
      </c>
      <c r="E435" s="10" t="str">
        <f aca="false">INDEX(球隊主檔!$C$2:$C$31,MATCH($D435,球隊主檔!$A$2:$A$31,0))</f>
        <v>西雅圖水手</v>
      </c>
      <c r="F435" s="10" t="str">
        <f aca="false">INDEX(球隊主檔!$D$2:$D$31,MATCH($D435,球隊主檔!$A$2:$A$31,0))</f>
        <v>美聯</v>
      </c>
      <c r="G435" s="7" t="s">
        <v>470</v>
      </c>
      <c r="H435" s="11" t="n">
        <f aca="false">INT((DATE($A435,7,1)-INDEX(球員主檔!$G$2:$G$749,MATCH($B435,球員主檔!$A$2:$A$749,0)))/365.25)</f>
        <v>28</v>
      </c>
      <c r="I435" s="12" t="n">
        <v>136</v>
      </c>
      <c r="J435" s="12" t="n">
        <v>610</v>
      </c>
      <c r="K435" s="12" t="n">
        <v>547</v>
      </c>
      <c r="L435" s="12" t="n">
        <v>90</v>
      </c>
      <c r="M435" s="12" t="n">
        <v>144</v>
      </c>
      <c r="N435" s="12" t="n">
        <v>39</v>
      </c>
      <c r="O435" s="12" t="n">
        <v>6</v>
      </c>
      <c r="P435" s="12" t="n">
        <v>30</v>
      </c>
      <c r="Q435" s="12" t="n">
        <v>99</v>
      </c>
      <c r="R435" s="12" t="n">
        <v>54</v>
      </c>
      <c r="S435" s="12" t="n">
        <v>217</v>
      </c>
      <c r="T435" s="12" t="n">
        <v>2</v>
      </c>
      <c r="U435" s="12" t="n">
        <v>7</v>
      </c>
      <c r="V435" s="12" t="n">
        <v>20</v>
      </c>
      <c r="W435" s="12" t="n">
        <v>6</v>
      </c>
      <c r="X435" s="13" t="n">
        <f aca="false">M435+N435+2*O435+3*P435</f>
        <v>285</v>
      </c>
      <c r="Y435" s="14" t="n">
        <f aca="false">IF(K435=0,0,M435/K435)</f>
        <v>0.263254113345521</v>
      </c>
      <c r="Z435" s="14" t="n">
        <f aca="false">IF(K435+R435+T435+U435=0,0,(M435+R435+T435)/(K435+R435+T435+U435))</f>
        <v>0.327868852459016</v>
      </c>
      <c r="AA435" s="14" t="n">
        <f aca="false">IF(K435=0,0,X435/K435)</f>
        <v>0.521023765996344</v>
      </c>
      <c r="AB435" s="14" t="n">
        <f aca="false">Z435+AA435</f>
        <v>0.84889261845536</v>
      </c>
      <c r="AC435" s="14" t="n">
        <f aca="false">AA435-Y435</f>
        <v>0.257769652650823</v>
      </c>
      <c r="AD435" s="14" t="n">
        <f aca="false">IF(K435-S435-P435+U435=0,0,(M435-P435)/(K435-S435-P435+U435))</f>
        <v>0.371335504885994</v>
      </c>
      <c r="AE435" s="15" t="n">
        <f aca="false">IF(J435=0,0,R435/J435)</f>
        <v>0.0885245901639344</v>
      </c>
      <c r="AF435" s="15" t="n">
        <f aca="false">IF(J435=0,0,S435/J435)</f>
        <v>0.355737704918033</v>
      </c>
      <c r="AG435" s="11" t="n">
        <f aca="false">IF(J435&gt;=INDEX(球季參數!$E$2:$E$4,MATCH($A435,球季參數!$A$2:$A$4,0)),1,0)</f>
        <v>1</v>
      </c>
    </row>
    <row r="436" customFormat="false" ht="15" hidden="false" customHeight="false" outlineLevel="0" collapsed="false">
      <c r="A436" s="5" t="n">
        <v>2025</v>
      </c>
      <c r="B436" s="7" t="s">
        <v>883</v>
      </c>
      <c r="C436" s="10" t="str">
        <f aca="false">INDEX(球員主檔!$B$2:$B$749,MATCH($B436,球員主檔!$A$2:$A$749,0))</f>
        <v>Cassius Ibarra</v>
      </c>
      <c r="D436" s="7" t="s">
        <v>396</v>
      </c>
      <c r="E436" s="10" t="str">
        <f aca="false">INDEX(球隊主檔!$C$2:$C$31,MATCH($D436,球隊主檔!$A$2:$A$31,0))</f>
        <v>西雅圖水手</v>
      </c>
      <c r="F436" s="10" t="str">
        <f aca="false">INDEX(球隊主檔!$D$2:$D$31,MATCH($D436,球隊主檔!$A$2:$A$31,0))</f>
        <v>美聯</v>
      </c>
      <c r="G436" s="7" t="s">
        <v>470</v>
      </c>
      <c r="H436" s="11" t="n">
        <f aca="false">INT((DATE($A436,7,1)-INDEX(球員主檔!$G$2:$G$749,MATCH($B436,球員主檔!$A$2:$A$749,0)))/365.25)</f>
        <v>27</v>
      </c>
      <c r="I436" s="12" t="n">
        <v>151</v>
      </c>
      <c r="J436" s="12" t="n">
        <v>664</v>
      </c>
      <c r="K436" s="12" t="n">
        <v>578</v>
      </c>
      <c r="L436" s="12" t="n">
        <v>76</v>
      </c>
      <c r="M436" s="12" t="n">
        <v>149</v>
      </c>
      <c r="N436" s="12" t="n">
        <v>12</v>
      </c>
      <c r="O436" s="12" t="n">
        <v>7</v>
      </c>
      <c r="P436" s="12" t="n">
        <v>25</v>
      </c>
      <c r="Q436" s="12" t="n">
        <v>76</v>
      </c>
      <c r="R436" s="12" t="n">
        <v>79</v>
      </c>
      <c r="S436" s="12" t="n">
        <v>179</v>
      </c>
      <c r="T436" s="12" t="n">
        <v>2</v>
      </c>
      <c r="U436" s="12" t="n">
        <v>5</v>
      </c>
      <c r="V436" s="12" t="n">
        <v>20</v>
      </c>
      <c r="W436" s="12" t="n">
        <v>3</v>
      </c>
      <c r="X436" s="13" t="n">
        <f aca="false">M436+N436+2*O436+3*P436</f>
        <v>250</v>
      </c>
      <c r="Y436" s="14" t="n">
        <f aca="false">IF(K436=0,0,M436/K436)</f>
        <v>0.257785467128028</v>
      </c>
      <c r="Z436" s="14" t="n">
        <f aca="false">IF(K436+R436+T436+U436=0,0,(M436+R436+T436)/(K436+R436+T436+U436))</f>
        <v>0.346385542168675</v>
      </c>
      <c r="AA436" s="14" t="n">
        <f aca="false">IF(K436=0,0,X436/K436)</f>
        <v>0.432525951557093</v>
      </c>
      <c r="AB436" s="14" t="n">
        <f aca="false">Z436+AA436</f>
        <v>0.778911493725768</v>
      </c>
      <c r="AC436" s="14" t="n">
        <f aca="false">AA436-Y436</f>
        <v>0.174740484429066</v>
      </c>
      <c r="AD436" s="14" t="n">
        <f aca="false">IF(K436-S436-P436+U436=0,0,(M436-P436)/(K436-S436-P436+U436))</f>
        <v>0.327176781002639</v>
      </c>
      <c r="AE436" s="15" t="n">
        <f aca="false">IF(J436=0,0,R436/J436)</f>
        <v>0.118975903614458</v>
      </c>
      <c r="AF436" s="15" t="n">
        <f aca="false">IF(J436=0,0,S436/J436)</f>
        <v>0.269578313253012</v>
      </c>
      <c r="AG436" s="11" t="n">
        <f aca="false">IF(J436&gt;=INDEX(球季參數!$E$2:$E$4,MATCH($A436,球季參數!$A$2:$A$4,0)),1,0)</f>
        <v>1</v>
      </c>
    </row>
    <row r="437" customFormat="false" ht="15" hidden="false" customHeight="false" outlineLevel="0" collapsed="false">
      <c r="A437" s="5" t="n">
        <v>2025</v>
      </c>
      <c r="B437" s="7" t="s">
        <v>1007</v>
      </c>
      <c r="C437" s="10" t="str">
        <f aca="false">INDEX(球員主檔!$B$2:$B$749,MATCH($B437,球員主檔!$A$2:$A$749,0))</f>
        <v>Marcus Tanabe</v>
      </c>
      <c r="D437" s="7" t="s">
        <v>396</v>
      </c>
      <c r="E437" s="10" t="str">
        <f aca="false">INDEX(球隊主檔!$C$2:$C$31,MATCH($D437,球隊主檔!$A$2:$A$31,0))</f>
        <v>西雅圖水手</v>
      </c>
      <c r="F437" s="10" t="str">
        <f aca="false">INDEX(球隊主檔!$D$2:$D$31,MATCH($D437,球隊主檔!$A$2:$A$31,0))</f>
        <v>美聯</v>
      </c>
      <c r="G437" s="7" t="s">
        <v>63</v>
      </c>
      <c r="H437" s="11" t="n">
        <f aca="false">INT((DATE($A437,7,1)-INDEX(球員主檔!$G$2:$G$749,MATCH($B437,球員主檔!$A$2:$A$749,0)))/365.25)</f>
        <v>27</v>
      </c>
      <c r="I437" s="12" t="n">
        <v>129</v>
      </c>
      <c r="J437" s="12" t="n">
        <v>524</v>
      </c>
      <c r="K437" s="12" t="n">
        <v>472</v>
      </c>
      <c r="L437" s="12" t="n">
        <v>55</v>
      </c>
      <c r="M437" s="12" t="n">
        <v>118</v>
      </c>
      <c r="N437" s="12" t="n">
        <v>23</v>
      </c>
      <c r="O437" s="12" t="n">
        <v>3</v>
      </c>
      <c r="P437" s="12" t="n">
        <v>22</v>
      </c>
      <c r="Q437" s="12" t="n">
        <v>71</v>
      </c>
      <c r="R437" s="12" t="n">
        <v>37</v>
      </c>
      <c r="S437" s="12" t="n">
        <v>174</v>
      </c>
      <c r="T437" s="12" t="n">
        <v>8</v>
      </c>
      <c r="U437" s="12" t="n">
        <v>7</v>
      </c>
      <c r="V437" s="12" t="n">
        <v>8</v>
      </c>
      <c r="W437" s="12" t="n">
        <v>2</v>
      </c>
      <c r="X437" s="13" t="n">
        <f aca="false">M437+N437+2*O437+3*P437</f>
        <v>213</v>
      </c>
      <c r="Y437" s="14" t="n">
        <f aca="false">IF(K437=0,0,M437/K437)</f>
        <v>0.25</v>
      </c>
      <c r="Z437" s="14" t="n">
        <f aca="false">IF(K437+R437+T437+U437=0,0,(M437+R437+T437)/(K437+R437+T437+U437))</f>
        <v>0.311068702290076</v>
      </c>
      <c r="AA437" s="14" t="n">
        <f aca="false">IF(K437=0,0,X437/K437)</f>
        <v>0.451271186440678</v>
      </c>
      <c r="AB437" s="14" t="n">
        <f aca="false">Z437+AA437</f>
        <v>0.762339888730754</v>
      </c>
      <c r="AC437" s="14" t="n">
        <f aca="false">AA437-Y437</f>
        <v>0.201271186440678</v>
      </c>
      <c r="AD437" s="14" t="n">
        <f aca="false">IF(K437-S437-P437+U437=0,0,(M437-P437)/(K437-S437-P437+U437))</f>
        <v>0.339222614840989</v>
      </c>
      <c r="AE437" s="15" t="n">
        <f aca="false">IF(J437=0,0,R437/J437)</f>
        <v>0.0706106870229008</v>
      </c>
      <c r="AF437" s="15" t="n">
        <f aca="false">IF(J437=0,0,S437/J437)</f>
        <v>0.33206106870229</v>
      </c>
      <c r="AG437" s="11" t="n">
        <f aca="false">IF(J437&gt;=INDEX(球季參數!$E$2:$E$4,MATCH($A437,球季參數!$A$2:$A$4,0)),1,0)</f>
        <v>1</v>
      </c>
    </row>
    <row r="438" customFormat="false" ht="15" hidden="false" customHeight="false" outlineLevel="0" collapsed="false">
      <c r="A438" s="5" t="n">
        <v>2025</v>
      </c>
      <c r="B438" s="7" t="s">
        <v>1009</v>
      </c>
      <c r="C438" s="10" t="str">
        <f aca="false">INDEX(球員主檔!$B$2:$B$749,MATCH($B438,球員主檔!$A$2:$A$749,0))</f>
        <v>Mateo Eberhardt</v>
      </c>
      <c r="D438" s="7" t="s">
        <v>396</v>
      </c>
      <c r="E438" s="10" t="str">
        <f aca="false">INDEX(球隊主檔!$C$2:$C$31,MATCH($D438,球隊主檔!$A$2:$A$31,0))</f>
        <v>西雅圖水手</v>
      </c>
      <c r="F438" s="10" t="str">
        <f aca="false">INDEX(球隊主檔!$D$2:$D$31,MATCH($D438,球隊主檔!$A$2:$A$31,0))</f>
        <v>美聯</v>
      </c>
      <c r="G438" s="7" t="s">
        <v>483</v>
      </c>
      <c r="H438" s="11" t="n">
        <f aca="false">INT((DATE($A438,7,1)-INDEX(球員主檔!$G$2:$G$749,MATCH($B438,球員主檔!$A$2:$A$749,0)))/365.25)</f>
        <v>26</v>
      </c>
      <c r="I438" s="12" t="n">
        <v>130</v>
      </c>
      <c r="J438" s="12" t="n">
        <v>513</v>
      </c>
      <c r="K438" s="12" t="n">
        <v>475</v>
      </c>
      <c r="L438" s="12" t="n">
        <v>57</v>
      </c>
      <c r="M438" s="12" t="n">
        <v>125</v>
      </c>
      <c r="N438" s="12" t="n">
        <v>36</v>
      </c>
      <c r="O438" s="12" t="n">
        <v>1</v>
      </c>
      <c r="P438" s="12" t="n">
        <v>20</v>
      </c>
      <c r="Q438" s="12" t="n">
        <v>72</v>
      </c>
      <c r="R438" s="12" t="n">
        <v>26</v>
      </c>
      <c r="S438" s="12" t="n">
        <v>94</v>
      </c>
      <c r="T438" s="12" t="n">
        <v>9</v>
      </c>
      <c r="U438" s="12" t="n">
        <v>3</v>
      </c>
      <c r="V438" s="12" t="n">
        <v>45</v>
      </c>
      <c r="W438" s="12" t="n">
        <v>14</v>
      </c>
      <c r="X438" s="13" t="n">
        <f aca="false">M438+N438+2*O438+3*P438</f>
        <v>223</v>
      </c>
      <c r="Y438" s="14" t="n">
        <f aca="false">IF(K438=0,0,M438/K438)</f>
        <v>0.263157894736842</v>
      </c>
      <c r="Z438" s="14" t="n">
        <f aca="false">IF(K438+R438+T438+U438=0,0,(M438+R438+T438)/(K438+R438+T438+U438))</f>
        <v>0.311890838206628</v>
      </c>
      <c r="AA438" s="14" t="n">
        <f aca="false">IF(K438=0,0,X438/K438)</f>
        <v>0.469473684210526</v>
      </c>
      <c r="AB438" s="14" t="n">
        <f aca="false">Z438+AA438</f>
        <v>0.781364522417154</v>
      </c>
      <c r="AC438" s="14" t="n">
        <f aca="false">AA438-Y438</f>
        <v>0.206315789473684</v>
      </c>
      <c r="AD438" s="14" t="n">
        <f aca="false">IF(K438-S438-P438+U438=0,0,(M438-P438)/(K438-S438-P438+U438))</f>
        <v>0.288461538461538</v>
      </c>
      <c r="AE438" s="15" t="n">
        <f aca="false">IF(J438=0,0,R438/J438)</f>
        <v>0.050682261208577</v>
      </c>
      <c r="AF438" s="15" t="n">
        <f aca="false">IF(J438=0,0,S438/J438)</f>
        <v>0.183235867446394</v>
      </c>
      <c r="AG438" s="11" t="n">
        <f aca="false">IF(J438&gt;=INDEX(球季參數!$E$2:$E$4,MATCH($A438,球季參數!$A$2:$A$4,0)),1,0)</f>
        <v>1</v>
      </c>
    </row>
    <row r="439" customFormat="false" ht="15" hidden="false" customHeight="false" outlineLevel="0" collapsed="false">
      <c r="A439" s="5" t="n">
        <v>2025</v>
      </c>
      <c r="B439" s="7" t="s">
        <v>1011</v>
      </c>
      <c r="C439" s="10" t="str">
        <f aca="false">INDEX(球員主檔!$B$2:$B$749,MATCH($B439,球員主檔!$A$2:$A$749,0))</f>
        <v>Griffin Arceneaux</v>
      </c>
      <c r="D439" s="7" t="s">
        <v>396</v>
      </c>
      <c r="E439" s="10" t="str">
        <f aca="false">INDEX(球隊主檔!$C$2:$C$31,MATCH($D439,球隊主檔!$A$2:$A$31,0))</f>
        <v>西雅圖水手</v>
      </c>
      <c r="F439" s="10" t="str">
        <f aca="false">INDEX(球隊主檔!$D$2:$D$31,MATCH($D439,球隊主檔!$A$2:$A$31,0))</f>
        <v>美聯</v>
      </c>
      <c r="G439" s="7" t="s">
        <v>470</v>
      </c>
      <c r="H439" s="11" t="n">
        <f aca="false">INT((DATE($A439,7,1)-INDEX(球員主檔!$G$2:$G$749,MATCH($B439,球員主檔!$A$2:$A$749,0)))/365.25)</f>
        <v>26</v>
      </c>
      <c r="I439" s="12" t="n">
        <v>120</v>
      </c>
      <c r="J439" s="12" t="n">
        <v>494</v>
      </c>
      <c r="K439" s="12" t="n">
        <v>454</v>
      </c>
      <c r="L439" s="12" t="n">
        <v>67</v>
      </c>
      <c r="M439" s="12" t="n">
        <v>112</v>
      </c>
      <c r="N439" s="12" t="n">
        <v>31</v>
      </c>
      <c r="O439" s="12" t="n">
        <v>6</v>
      </c>
      <c r="P439" s="12" t="n">
        <v>28</v>
      </c>
      <c r="Q439" s="12" t="n">
        <v>81</v>
      </c>
      <c r="R439" s="12" t="n">
        <v>36</v>
      </c>
      <c r="S439" s="12" t="n">
        <v>88</v>
      </c>
      <c r="T439" s="12" t="n">
        <v>1</v>
      </c>
      <c r="U439" s="12" t="n">
        <v>3</v>
      </c>
      <c r="V439" s="12" t="n">
        <v>8</v>
      </c>
      <c r="W439" s="12" t="n">
        <v>2</v>
      </c>
      <c r="X439" s="13" t="n">
        <f aca="false">M439+N439+2*O439+3*P439</f>
        <v>239</v>
      </c>
      <c r="Y439" s="14" t="n">
        <f aca="false">IF(K439=0,0,M439/K439)</f>
        <v>0.246696035242291</v>
      </c>
      <c r="Z439" s="14" t="n">
        <f aca="false">IF(K439+R439+T439+U439=0,0,(M439+R439+T439)/(K439+R439+T439+U439))</f>
        <v>0.301619433198381</v>
      </c>
      <c r="AA439" s="14" t="n">
        <f aca="false">IF(K439=0,0,X439/K439)</f>
        <v>0.526431718061674</v>
      </c>
      <c r="AB439" s="14" t="n">
        <f aca="false">Z439+AA439</f>
        <v>0.828051151260055</v>
      </c>
      <c r="AC439" s="14" t="n">
        <f aca="false">AA439-Y439</f>
        <v>0.279735682819383</v>
      </c>
      <c r="AD439" s="14" t="n">
        <f aca="false">IF(K439-S439-P439+U439=0,0,(M439-P439)/(K439-S439-P439+U439))</f>
        <v>0.24633431085044</v>
      </c>
      <c r="AE439" s="15" t="n">
        <f aca="false">IF(J439=0,0,R439/J439)</f>
        <v>0.0728744939271255</v>
      </c>
      <c r="AF439" s="15" t="n">
        <f aca="false">IF(J439=0,0,S439/J439)</f>
        <v>0.178137651821862</v>
      </c>
      <c r="AG439" s="11" t="n">
        <f aca="false">IF(J439&gt;=INDEX(球季參數!$E$2:$E$4,MATCH($A439,球季參數!$A$2:$A$4,0)),1,0)</f>
        <v>0</v>
      </c>
    </row>
    <row r="440" customFormat="false" ht="15" hidden="false" customHeight="false" outlineLevel="0" collapsed="false">
      <c r="A440" s="5" t="n">
        <v>2025</v>
      </c>
      <c r="B440" s="7" t="s">
        <v>1013</v>
      </c>
      <c r="C440" s="10" t="str">
        <f aca="false">INDEX(球員主檔!$B$2:$B$749,MATCH($B440,球員主檔!$A$2:$A$749,0))</f>
        <v>Everett Novotný</v>
      </c>
      <c r="D440" s="7" t="s">
        <v>396</v>
      </c>
      <c r="E440" s="10" t="str">
        <f aca="false">INDEX(球隊主檔!$C$2:$C$31,MATCH($D440,球隊主檔!$A$2:$A$31,0))</f>
        <v>西雅圖水手</v>
      </c>
      <c r="F440" s="10" t="str">
        <f aca="false">INDEX(球隊主檔!$D$2:$D$31,MATCH($D440,球隊主檔!$A$2:$A$31,0))</f>
        <v>美聯</v>
      </c>
      <c r="G440" s="7" t="s">
        <v>522</v>
      </c>
      <c r="H440" s="11" t="n">
        <f aca="false">INT((DATE($A440,7,1)-INDEX(球員主檔!$G$2:$G$749,MATCH($B440,球員主檔!$A$2:$A$749,0)))/365.25)</f>
        <v>29</v>
      </c>
      <c r="I440" s="12" t="n">
        <v>62</v>
      </c>
      <c r="J440" s="12" t="n">
        <v>248</v>
      </c>
      <c r="K440" s="12" t="n">
        <v>218</v>
      </c>
      <c r="L440" s="12" t="n">
        <v>26</v>
      </c>
      <c r="M440" s="12" t="n">
        <v>51</v>
      </c>
      <c r="N440" s="12" t="n">
        <v>13</v>
      </c>
      <c r="O440" s="12" t="n">
        <v>5</v>
      </c>
      <c r="P440" s="12" t="n">
        <v>9</v>
      </c>
      <c r="Q440" s="12" t="n">
        <v>26</v>
      </c>
      <c r="R440" s="12" t="n">
        <v>25</v>
      </c>
      <c r="S440" s="12" t="n">
        <v>49</v>
      </c>
      <c r="T440" s="12" t="n">
        <v>4</v>
      </c>
      <c r="U440" s="12" t="n">
        <v>1</v>
      </c>
      <c r="V440" s="12" t="n">
        <v>3</v>
      </c>
      <c r="W440" s="12" t="n">
        <v>1</v>
      </c>
      <c r="X440" s="13" t="n">
        <f aca="false">M440+N440+2*O440+3*P440</f>
        <v>101</v>
      </c>
      <c r="Y440" s="14" t="n">
        <f aca="false">IF(K440=0,0,M440/K440)</f>
        <v>0.23394495412844</v>
      </c>
      <c r="Z440" s="14" t="n">
        <f aca="false">IF(K440+R440+T440+U440=0,0,(M440+R440+T440)/(K440+R440+T440+U440))</f>
        <v>0.32258064516129</v>
      </c>
      <c r="AA440" s="14" t="n">
        <f aca="false">IF(K440=0,0,X440/K440)</f>
        <v>0.463302752293578</v>
      </c>
      <c r="AB440" s="14" t="n">
        <f aca="false">Z440+AA440</f>
        <v>0.785883397454868</v>
      </c>
      <c r="AC440" s="14" t="n">
        <f aca="false">AA440-Y440</f>
        <v>0.229357798165138</v>
      </c>
      <c r="AD440" s="14" t="n">
        <f aca="false">IF(K440-S440-P440+U440=0,0,(M440-P440)/(K440-S440-P440+U440))</f>
        <v>0.260869565217391</v>
      </c>
      <c r="AE440" s="15" t="n">
        <f aca="false">IF(J440=0,0,R440/J440)</f>
        <v>0.100806451612903</v>
      </c>
      <c r="AF440" s="15" t="n">
        <f aca="false">IF(J440=0,0,S440/J440)</f>
        <v>0.19758064516129</v>
      </c>
      <c r="AG440" s="11" t="n">
        <f aca="false">IF(J440&gt;=INDEX(球季參數!$E$2:$E$4,MATCH($A440,球季參數!$A$2:$A$4,0)),1,0)</f>
        <v>0</v>
      </c>
    </row>
    <row r="441" customFormat="false" ht="15" hidden="false" customHeight="false" outlineLevel="0" collapsed="false">
      <c r="A441" s="5" t="n">
        <v>2025</v>
      </c>
      <c r="B441" s="7" t="s">
        <v>1015</v>
      </c>
      <c r="C441" s="10" t="str">
        <f aca="false">INDEX(球員主檔!$B$2:$B$749,MATCH($B441,球員主檔!$A$2:$A$749,0))</f>
        <v>Tobias Alcorn</v>
      </c>
      <c r="D441" s="7" t="s">
        <v>396</v>
      </c>
      <c r="E441" s="10" t="str">
        <f aca="false">INDEX(球隊主檔!$C$2:$C$31,MATCH($D441,球隊主檔!$A$2:$A$31,0))</f>
        <v>西雅圖水手</v>
      </c>
      <c r="F441" s="10" t="str">
        <f aca="false">INDEX(球隊主檔!$D$2:$D$31,MATCH($D441,球隊主檔!$A$2:$A$31,0))</f>
        <v>美聯</v>
      </c>
      <c r="G441" s="7" t="s">
        <v>522</v>
      </c>
      <c r="H441" s="11" t="n">
        <f aca="false">INT((DATE($A441,7,1)-INDEX(球員主檔!$G$2:$G$749,MATCH($B441,球員主檔!$A$2:$A$749,0)))/365.25)</f>
        <v>28</v>
      </c>
      <c r="I441" s="12" t="n">
        <v>54</v>
      </c>
      <c r="J441" s="12" t="n">
        <v>239</v>
      </c>
      <c r="K441" s="12" t="n">
        <v>220</v>
      </c>
      <c r="L441" s="12" t="n">
        <v>18</v>
      </c>
      <c r="M441" s="12" t="n">
        <v>44</v>
      </c>
      <c r="N441" s="12" t="n">
        <v>17</v>
      </c>
      <c r="O441" s="12" t="n">
        <v>7</v>
      </c>
      <c r="P441" s="12" t="n">
        <v>2</v>
      </c>
      <c r="Q441" s="12" t="n">
        <v>16</v>
      </c>
      <c r="R441" s="12" t="n">
        <v>15</v>
      </c>
      <c r="S441" s="12" t="n">
        <v>40</v>
      </c>
      <c r="T441" s="12" t="n">
        <v>3</v>
      </c>
      <c r="U441" s="12" t="n">
        <v>1</v>
      </c>
      <c r="V441" s="12" t="n">
        <v>5</v>
      </c>
      <c r="W441" s="12" t="n">
        <v>2</v>
      </c>
      <c r="X441" s="13" t="n">
        <f aca="false">M441+N441+2*O441+3*P441</f>
        <v>81</v>
      </c>
      <c r="Y441" s="14" t="n">
        <f aca="false">IF(K441=0,0,M441/K441)</f>
        <v>0.2</v>
      </c>
      <c r="Z441" s="14" t="n">
        <f aca="false">IF(K441+R441+T441+U441=0,0,(M441+R441+T441)/(K441+R441+T441+U441))</f>
        <v>0.259414225941423</v>
      </c>
      <c r="AA441" s="14" t="n">
        <f aca="false">IF(K441=0,0,X441/K441)</f>
        <v>0.368181818181818</v>
      </c>
      <c r="AB441" s="14" t="n">
        <f aca="false">Z441+AA441</f>
        <v>0.627596044123241</v>
      </c>
      <c r="AC441" s="14" t="n">
        <f aca="false">AA441-Y441</f>
        <v>0.168181818181818</v>
      </c>
      <c r="AD441" s="14" t="n">
        <f aca="false">IF(K441-S441-P441+U441=0,0,(M441-P441)/(K441-S441-P441+U441))</f>
        <v>0.23463687150838</v>
      </c>
      <c r="AE441" s="15" t="n">
        <f aca="false">IF(J441=0,0,R441/J441)</f>
        <v>0.0627615062761506</v>
      </c>
      <c r="AF441" s="15" t="n">
        <f aca="false">IF(J441=0,0,S441/J441)</f>
        <v>0.167364016736402</v>
      </c>
      <c r="AG441" s="11" t="n">
        <f aca="false">IF(J441&gt;=INDEX(球季參數!$E$2:$E$4,MATCH($A441,球季參數!$A$2:$A$4,0)),1,0)</f>
        <v>0</v>
      </c>
    </row>
    <row r="442" customFormat="false" ht="15" hidden="false" customHeight="false" outlineLevel="0" collapsed="false">
      <c r="A442" s="5" t="n">
        <v>2025</v>
      </c>
      <c r="B442" s="7" t="s">
        <v>1037</v>
      </c>
      <c r="C442" s="10" t="str">
        <f aca="false">INDEX(球員主檔!$B$2:$B$749,MATCH($B442,球員主檔!$A$2:$A$749,0))</f>
        <v>Haruto Haverford</v>
      </c>
      <c r="D442" s="7" t="s">
        <v>400</v>
      </c>
      <c r="E442" s="10" t="str">
        <f aca="false">INDEX(球隊主檔!$C$2:$C$31,MATCH($D442,球隊主檔!$A$2:$A$31,0))</f>
        <v>德州遊騎兵</v>
      </c>
      <c r="F442" s="10" t="str">
        <f aca="false">INDEX(球隊主檔!$D$2:$D$31,MATCH($D442,球隊主檔!$A$2:$A$31,0))</f>
        <v>美聯</v>
      </c>
      <c r="G442" s="7" t="s">
        <v>162</v>
      </c>
      <c r="H442" s="11" t="n">
        <f aca="false">INT((DATE($A442,7,1)-INDEX(球員主檔!$G$2:$G$749,MATCH($B442,球員主檔!$A$2:$A$749,0)))/365.25)</f>
        <v>26</v>
      </c>
      <c r="I442" s="12" t="n">
        <v>68</v>
      </c>
      <c r="J442" s="12" t="n">
        <v>264</v>
      </c>
      <c r="K442" s="12" t="n">
        <v>229</v>
      </c>
      <c r="L442" s="12" t="n">
        <v>32</v>
      </c>
      <c r="M442" s="12" t="n">
        <v>54</v>
      </c>
      <c r="N442" s="12" t="n">
        <v>14</v>
      </c>
      <c r="O442" s="12" t="n">
        <v>5</v>
      </c>
      <c r="P442" s="12" t="n">
        <v>9</v>
      </c>
      <c r="Q442" s="12" t="n">
        <v>32</v>
      </c>
      <c r="R442" s="12" t="n">
        <v>31</v>
      </c>
      <c r="S442" s="12" t="n">
        <v>22</v>
      </c>
      <c r="T442" s="12" t="n">
        <v>3</v>
      </c>
      <c r="U442" s="12" t="n">
        <v>1</v>
      </c>
      <c r="V442" s="12" t="n">
        <v>3</v>
      </c>
      <c r="W442" s="12" t="n">
        <v>0</v>
      </c>
      <c r="X442" s="13" t="n">
        <f aca="false">M442+N442+2*O442+3*P442</f>
        <v>105</v>
      </c>
      <c r="Y442" s="14" t="n">
        <f aca="false">IF(K442=0,0,M442/K442)</f>
        <v>0.235807860262009</v>
      </c>
      <c r="Z442" s="14" t="n">
        <f aca="false">IF(K442+R442+T442+U442=0,0,(M442+R442+T442)/(K442+R442+T442+U442))</f>
        <v>0.333333333333333</v>
      </c>
      <c r="AA442" s="14" t="n">
        <f aca="false">IF(K442=0,0,X442/K442)</f>
        <v>0.458515283842795</v>
      </c>
      <c r="AB442" s="14" t="n">
        <f aca="false">Z442+AA442</f>
        <v>0.791848617176128</v>
      </c>
      <c r="AC442" s="14" t="n">
        <f aca="false">AA442-Y442</f>
        <v>0.222707423580786</v>
      </c>
      <c r="AD442" s="14" t="n">
        <f aca="false">IF(K442-S442-P442+U442=0,0,(M442-P442)/(K442-S442-P442+U442))</f>
        <v>0.226130653266332</v>
      </c>
      <c r="AE442" s="15" t="n">
        <f aca="false">IF(J442=0,0,R442/J442)</f>
        <v>0.117424242424242</v>
      </c>
      <c r="AF442" s="15" t="n">
        <f aca="false">IF(J442=0,0,S442/J442)</f>
        <v>0.0833333333333333</v>
      </c>
      <c r="AG442" s="11" t="n">
        <f aca="false">IF(J442&gt;=INDEX(球季參數!$E$2:$E$4,MATCH($A442,球季參數!$A$2:$A$4,0)),1,0)</f>
        <v>0</v>
      </c>
    </row>
    <row r="443" customFormat="false" ht="15" hidden="false" customHeight="false" outlineLevel="0" collapsed="false">
      <c r="A443" s="5" t="n">
        <v>2025</v>
      </c>
      <c r="B443" s="7" t="s">
        <v>1039</v>
      </c>
      <c r="C443" s="10" t="str">
        <f aca="false">INDEX(球員主檔!$B$2:$B$749,MATCH($B443,球員主檔!$A$2:$A$749,0))</f>
        <v>Bernardo Nordstrom</v>
      </c>
      <c r="D443" s="7" t="s">
        <v>400</v>
      </c>
      <c r="E443" s="10" t="str">
        <f aca="false">INDEX(球隊主檔!$C$2:$C$31,MATCH($D443,球隊主檔!$A$2:$A$31,0))</f>
        <v>德州遊騎兵</v>
      </c>
      <c r="F443" s="10" t="str">
        <f aca="false">INDEX(球隊主檔!$D$2:$D$31,MATCH($D443,球隊主檔!$A$2:$A$31,0))</f>
        <v>美聯</v>
      </c>
      <c r="G443" s="7" t="s">
        <v>63</v>
      </c>
      <c r="H443" s="11" t="n">
        <f aca="false">INT((DATE($A443,7,1)-INDEX(球員主檔!$G$2:$G$749,MATCH($B443,球員主檔!$A$2:$A$749,0)))/365.25)</f>
        <v>29</v>
      </c>
      <c r="I443" s="12" t="n">
        <v>149</v>
      </c>
      <c r="J443" s="12" t="n">
        <v>613</v>
      </c>
      <c r="K443" s="12" t="n">
        <v>563</v>
      </c>
      <c r="L443" s="12" t="n">
        <v>72</v>
      </c>
      <c r="M443" s="12" t="n">
        <v>141</v>
      </c>
      <c r="N443" s="12" t="n">
        <v>32</v>
      </c>
      <c r="O443" s="12" t="n">
        <v>2</v>
      </c>
      <c r="P443" s="12" t="n">
        <v>32</v>
      </c>
      <c r="Q443" s="12" t="n">
        <v>92</v>
      </c>
      <c r="R443" s="12" t="n">
        <v>42</v>
      </c>
      <c r="S443" s="12" t="n">
        <v>156</v>
      </c>
      <c r="T443" s="12" t="n">
        <v>7</v>
      </c>
      <c r="U443" s="12" t="n">
        <v>1</v>
      </c>
      <c r="V443" s="12" t="n">
        <v>10</v>
      </c>
      <c r="W443" s="12" t="n">
        <v>3</v>
      </c>
      <c r="X443" s="13" t="n">
        <f aca="false">M443+N443+2*O443+3*P443</f>
        <v>273</v>
      </c>
      <c r="Y443" s="14" t="n">
        <f aca="false">IF(K443=0,0,M443/K443)</f>
        <v>0.25044404973357</v>
      </c>
      <c r="Z443" s="14" t="n">
        <f aca="false">IF(K443+R443+T443+U443=0,0,(M443+R443+T443)/(K443+R443+T443+U443))</f>
        <v>0.309951060358891</v>
      </c>
      <c r="AA443" s="14" t="n">
        <f aca="false">IF(K443=0,0,X443/K443)</f>
        <v>0.484902309058615</v>
      </c>
      <c r="AB443" s="14" t="n">
        <f aca="false">Z443+AA443</f>
        <v>0.794853369417505</v>
      </c>
      <c r="AC443" s="14" t="n">
        <f aca="false">AA443-Y443</f>
        <v>0.234458259325044</v>
      </c>
      <c r="AD443" s="14" t="n">
        <f aca="false">IF(K443-S443-P443+U443=0,0,(M443-P443)/(K443-S443-P443+U443))</f>
        <v>0.289893617021277</v>
      </c>
      <c r="AE443" s="15" t="n">
        <f aca="false">IF(J443=0,0,R443/J443)</f>
        <v>0.068515497553018</v>
      </c>
      <c r="AF443" s="15" t="n">
        <f aca="false">IF(J443=0,0,S443/J443)</f>
        <v>0.254486133768352</v>
      </c>
      <c r="AG443" s="11" t="n">
        <f aca="false">IF(J443&gt;=INDEX(球季參數!$E$2:$E$4,MATCH($A443,球季參數!$A$2:$A$4,0)),1,0)</f>
        <v>1</v>
      </c>
    </row>
    <row r="444" customFormat="false" ht="15" hidden="false" customHeight="false" outlineLevel="0" collapsed="false">
      <c r="A444" s="5" t="n">
        <v>2025</v>
      </c>
      <c r="B444" s="7" t="s">
        <v>1041</v>
      </c>
      <c r="C444" s="10" t="str">
        <f aca="false">INDEX(球員主檔!$B$2:$B$749,MATCH($B444,球員主檔!$A$2:$A$749,0))</f>
        <v>Osvaldo Zamarripa</v>
      </c>
      <c r="D444" s="7" t="s">
        <v>400</v>
      </c>
      <c r="E444" s="10" t="str">
        <f aca="false">INDEX(球隊主檔!$C$2:$C$31,MATCH($D444,球隊主檔!$A$2:$A$31,0))</f>
        <v>德州遊騎兵</v>
      </c>
      <c r="F444" s="10" t="str">
        <f aca="false">INDEX(球隊主檔!$D$2:$D$31,MATCH($D444,球隊主檔!$A$2:$A$31,0))</f>
        <v>美聯</v>
      </c>
      <c r="G444" s="7" t="s">
        <v>162</v>
      </c>
      <c r="H444" s="11" t="n">
        <f aca="false">INT((DATE($A444,7,1)-INDEX(球員主檔!$G$2:$G$749,MATCH($B444,球員主檔!$A$2:$A$749,0)))/365.25)</f>
        <v>31</v>
      </c>
      <c r="I444" s="12" t="n">
        <v>162</v>
      </c>
      <c r="J444" s="12" t="n">
        <v>702</v>
      </c>
      <c r="K444" s="12" t="n">
        <v>598</v>
      </c>
      <c r="L444" s="12" t="n">
        <v>71</v>
      </c>
      <c r="M444" s="12" t="n">
        <v>153</v>
      </c>
      <c r="N444" s="12" t="n">
        <v>27</v>
      </c>
      <c r="O444" s="12" t="n">
        <v>9</v>
      </c>
      <c r="P444" s="12" t="n">
        <v>11</v>
      </c>
      <c r="Q444" s="12" t="n">
        <v>53</v>
      </c>
      <c r="R444" s="12" t="n">
        <v>86</v>
      </c>
      <c r="S444" s="12" t="n">
        <v>188</v>
      </c>
      <c r="T444" s="12" t="n">
        <v>15</v>
      </c>
      <c r="U444" s="12" t="n">
        <v>3</v>
      </c>
      <c r="V444" s="12" t="n">
        <v>19</v>
      </c>
      <c r="W444" s="12" t="n">
        <v>6</v>
      </c>
      <c r="X444" s="13" t="n">
        <f aca="false">M444+N444+2*O444+3*P444</f>
        <v>231</v>
      </c>
      <c r="Y444" s="14" t="n">
        <f aca="false">IF(K444=0,0,M444/K444)</f>
        <v>0.255852842809365</v>
      </c>
      <c r="Z444" s="14" t="n">
        <f aca="false">IF(K444+R444+T444+U444=0,0,(M444+R444+T444)/(K444+R444+T444+U444))</f>
        <v>0.361823361823362</v>
      </c>
      <c r="AA444" s="14" t="n">
        <f aca="false">IF(K444=0,0,X444/K444)</f>
        <v>0.38628762541806</v>
      </c>
      <c r="AB444" s="14" t="n">
        <f aca="false">Z444+AA444</f>
        <v>0.748110987241422</v>
      </c>
      <c r="AC444" s="14" t="n">
        <f aca="false">AA444-Y444</f>
        <v>0.130434782608696</v>
      </c>
      <c r="AD444" s="14" t="n">
        <f aca="false">IF(K444-S444-P444+U444=0,0,(M444-P444)/(K444-S444-P444+U444))</f>
        <v>0.353233830845771</v>
      </c>
      <c r="AE444" s="15" t="n">
        <f aca="false">IF(J444=0,0,R444/J444)</f>
        <v>0.122507122507123</v>
      </c>
      <c r="AF444" s="15" t="n">
        <f aca="false">IF(J444=0,0,S444/J444)</f>
        <v>0.267806267806268</v>
      </c>
      <c r="AG444" s="11" t="n">
        <f aca="false">IF(J444&gt;=INDEX(球季參數!$E$2:$E$4,MATCH($A444,球季參數!$A$2:$A$4,0)),1,0)</f>
        <v>1</v>
      </c>
    </row>
    <row r="445" customFormat="false" ht="15" hidden="false" customHeight="false" outlineLevel="0" collapsed="false">
      <c r="A445" s="5" t="n">
        <v>2025</v>
      </c>
      <c r="B445" s="7" t="s">
        <v>1317</v>
      </c>
      <c r="C445" s="10" t="str">
        <f aca="false">INDEX(球員主檔!$B$2:$B$749,MATCH($B445,球員主檔!$A$2:$A$749,0))</f>
        <v>Ulises Castellón</v>
      </c>
      <c r="D445" s="7" t="s">
        <v>400</v>
      </c>
      <c r="E445" s="10" t="str">
        <f aca="false">INDEX(球隊主檔!$C$2:$C$31,MATCH($D445,球隊主檔!$A$2:$A$31,0))</f>
        <v>德州遊騎兵</v>
      </c>
      <c r="F445" s="10" t="str">
        <f aca="false">INDEX(球隊主檔!$D$2:$D$31,MATCH($D445,球隊主檔!$A$2:$A$31,0))</f>
        <v>美聯</v>
      </c>
      <c r="G445" s="7" t="s">
        <v>486</v>
      </c>
      <c r="H445" s="11" t="n">
        <f aca="false">INT((DATE($A445,7,1)-INDEX(球員主檔!$G$2:$G$749,MATCH($B445,球員主檔!$A$2:$A$749,0)))/365.25)</f>
        <v>28</v>
      </c>
      <c r="I445" s="12" t="n">
        <v>149</v>
      </c>
      <c r="J445" s="12" t="n">
        <v>610</v>
      </c>
      <c r="K445" s="12" t="n">
        <v>552</v>
      </c>
      <c r="L445" s="12" t="n">
        <v>73</v>
      </c>
      <c r="M445" s="12" t="n">
        <v>111</v>
      </c>
      <c r="N445" s="12" t="n">
        <v>30</v>
      </c>
      <c r="O445" s="12" t="n">
        <v>6</v>
      </c>
      <c r="P445" s="12" t="n">
        <v>28</v>
      </c>
      <c r="Q445" s="12" t="n">
        <v>72</v>
      </c>
      <c r="R445" s="12" t="n">
        <v>48</v>
      </c>
      <c r="S445" s="12" t="n">
        <v>144</v>
      </c>
      <c r="T445" s="12" t="n">
        <v>9</v>
      </c>
      <c r="U445" s="12" t="n">
        <v>1</v>
      </c>
      <c r="V445" s="12" t="n">
        <v>3</v>
      </c>
      <c r="W445" s="12" t="n">
        <v>1</v>
      </c>
      <c r="X445" s="13" t="n">
        <f aca="false">M445+N445+2*O445+3*P445</f>
        <v>237</v>
      </c>
      <c r="Y445" s="14" t="n">
        <f aca="false">IF(K445=0,0,M445/K445)</f>
        <v>0.201086956521739</v>
      </c>
      <c r="Z445" s="14" t="n">
        <f aca="false">IF(K445+R445+T445+U445=0,0,(M445+R445+T445)/(K445+R445+T445+U445))</f>
        <v>0.275409836065574</v>
      </c>
      <c r="AA445" s="14" t="n">
        <f aca="false">IF(K445=0,0,X445/K445)</f>
        <v>0.429347826086957</v>
      </c>
      <c r="AB445" s="14" t="n">
        <f aca="false">Z445+AA445</f>
        <v>0.70475766215253</v>
      </c>
      <c r="AC445" s="14" t="n">
        <f aca="false">AA445-Y445</f>
        <v>0.228260869565217</v>
      </c>
      <c r="AD445" s="14" t="n">
        <f aca="false">IF(K445-S445-P445+U445=0,0,(M445-P445)/(K445-S445-P445+U445))</f>
        <v>0.217847769028871</v>
      </c>
      <c r="AE445" s="15" t="n">
        <f aca="false">IF(J445=0,0,R445/J445)</f>
        <v>0.0786885245901639</v>
      </c>
      <c r="AF445" s="15" t="n">
        <f aca="false">IF(J445=0,0,S445/J445)</f>
        <v>0.236065573770492</v>
      </c>
      <c r="AG445" s="11" t="n">
        <f aca="false">IF(J445&gt;=INDEX(球季參數!$E$2:$E$4,MATCH($A445,球季參數!$A$2:$A$4,0)),1,0)</f>
        <v>1</v>
      </c>
    </row>
    <row r="446" customFormat="false" ht="15" hidden="false" customHeight="false" outlineLevel="0" collapsed="false">
      <c r="A446" s="5" t="n">
        <v>2025</v>
      </c>
      <c r="B446" s="7" t="s">
        <v>1045</v>
      </c>
      <c r="C446" s="10" t="str">
        <f aca="false">INDEX(球員主檔!$B$2:$B$749,MATCH($B446,球員主檔!$A$2:$A$749,0))</f>
        <v>Vicente Jernigan</v>
      </c>
      <c r="D446" s="7" t="s">
        <v>400</v>
      </c>
      <c r="E446" s="10" t="str">
        <f aca="false">INDEX(球隊主檔!$C$2:$C$31,MATCH($D446,球隊主檔!$A$2:$A$31,0))</f>
        <v>德州遊騎兵</v>
      </c>
      <c r="F446" s="10" t="str">
        <f aca="false">INDEX(球隊主檔!$D$2:$D$31,MATCH($D446,球隊主檔!$A$2:$A$31,0))</f>
        <v>美聯</v>
      </c>
      <c r="G446" s="7" t="s">
        <v>158</v>
      </c>
      <c r="H446" s="11" t="n">
        <f aca="false">INT((DATE($A446,7,1)-INDEX(球員主檔!$G$2:$G$749,MATCH($B446,球員主檔!$A$2:$A$749,0)))/365.25)</f>
        <v>26</v>
      </c>
      <c r="I446" s="12" t="n">
        <v>142</v>
      </c>
      <c r="J446" s="12" t="n">
        <v>601</v>
      </c>
      <c r="K446" s="12" t="n">
        <v>524</v>
      </c>
      <c r="L446" s="12" t="n">
        <v>87</v>
      </c>
      <c r="M446" s="12" t="n">
        <v>150</v>
      </c>
      <c r="N446" s="12" t="n">
        <v>21</v>
      </c>
      <c r="O446" s="12" t="n">
        <v>5</v>
      </c>
      <c r="P446" s="12" t="n">
        <v>33</v>
      </c>
      <c r="Q446" s="12" t="n">
        <v>100</v>
      </c>
      <c r="R446" s="12" t="n">
        <v>70</v>
      </c>
      <c r="S446" s="12" t="n">
        <v>122</v>
      </c>
      <c r="T446" s="12" t="n">
        <v>6</v>
      </c>
      <c r="U446" s="12" t="n">
        <v>1</v>
      </c>
      <c r="V446" s="12" t="n">
        <v>46</v>
      </c>
      <c r="W446" s="12" t="n">
        <v>15</v>
      </c>
      <c r="X446" s="13" t="n">
        <f aca="false">M446+N446+2*O446+3*P446</f>
        <v>280</v>
      </c>
      <c r="Y446" s="14" t="n">
        <f aca="false">IF(K446=0,0,M446/K446)</f>
        <v>0.286259541984733</v>
      </c>
      <c r="Z446" s="14" t="n">
        <f aca="false">IF(K446+R446+T446+U446=0,0,(M446+R446+T446)/(K446+R446+T446+U446))</f>
        <v>0.37603993344426</v>
      </c>
      <c r="AA446" s="14" t="n">
        <f aca="false">IF(K446=0,0,X446/K446)</f>
        <v>0.534351145038168</v>
      </c>
      <c r="AB446" s="14" t="n">
        <f aca="false">Z446+AA446</f>
        <v>0.910391078482428</v>
      </c>
      <c r="AC446" s="14" t="n">
        <f aca="false">AA446-Y446</f>
        <v>0.248091603053435</v>
      </c>
      <c r="AD446" s="14" t="n">
        <f aca="false">IF(K446-S446-P446+U446=0,0,(M446-P446)/(K446-S446-P446+U446))</f>
        <v>0.316216216216216</v>
      </c>
      <c r="AE446" s="15" t="n">
        <f aca="false">IF(J446=0,0,R446/J446)</f>
        <v>0.116472545757072</v>
      </c>
      <c r="AF446" s="15" t="n">
        <f aca="false">IF(J446=0,0,S446/J446)</f>
        <v>0.202995008319468</v>
      </c>
      <c r="AG446" s="11" t="n">
        <f aca="false">IF(J446&gt;=INDEX(球季參數!$E$2:$E$4,MATCH($A446,球季參數!$A$2:$A$4,0)),1,0)</f>
        <v>1</v>
      </c>
    </row>
    <row r="447" customFormat="false" ht="15" hidden="false" customHeight="false" outlineLevel="0" collapsed="false">
      <c r="A447" s="5" t="n">
        <v>2025</v>
      </c>
      <c r="B447" s="7" t="s">
        <v>1739</v>
      </c>
      <c r="C447" s="10" t="str">
        <f aca="false">INDEX(球員主檔!$B$2:$B$749,MATCH($B447,球員主檔!$A$2:$A$749,0))</f>
        <v>Tobias Goddard</v>
      </c>
      <c r="D447" s="7" t="s">
        <v>400</v>
      </c>
      <c r="E447" s="10" t="str">
        <f aca="false">INDEX(球隊主檔!$C$2:$C$31,MATCH($D447,球隊主檔!$A$2:$A$31,0))</f>
        <v>德州遊騎兵</v>
      </c>
      <c r="F447" s="10" t="str">
        <f aca="false">INDEX(球隊主檔!$D$2:$D$31,MATCH($D447,球隊主檔!$A$2:$A$31,0))</f>
        <v>美聯</v>
      </c>
      <c r="G447" s="7" t="s">
        <v>473</v>
      </c>
      <c r="H447" s="11" t="n">
        <f aca="false">INT((DATE($A447,7,1)-INDEX(球員主檔!$G$2:$G$749,MATCH($B447,球員主檔!$A$2:$A$749,0)))/365.25)</f>
        <v>20</v>
      </c>
      <c r="I447" s="12" t="n">
        <v>100</v>
      </c>
      <c r="J447" s="12" t="n">
        <v>392</v>
      </c>
      <c r="K447" s="12" t="n">
        <v>343</v>
      </c>
      <c r="L447" s="12" t="n">
        <v>39</v>
      </c>
      <c r="M447" s="12" t="n">
        <v>85</v>
      </c>
      <c r="N447" s="12" t="n">
        <v>33</v>
      </c>
      <c r="O447" s="12" t="n">
        <v>9</v>
      </c>
      <c r="P447" s="12" t="n">
        <v>9</v>
      </c>
      <c r="Q447" s="12" t="n">
        <v>35</v>
      </c>
      <c r="R447" s="12" t="n">
        <v>38</v>
      </c>
      <c r="S447" s="12" t="n">
        <v>106</v>
      </c>
      <c r="T447" s="12" t="n">
        <v>8</v>
      </c>
      <c r="U447" s="12" t="n">
        <v>3</v>
      </c>
      <c r="V447" s="12" t="n">
        <v>18</v>
      </c>
      <c r="W447" s="12" t="n">
        <v>6</v>
      </c>
      <c r="X447" s="13" t="n">
        <f aca="false">M447+N447+2*O447+3*P447</f>
        <v>163</v>
      </c>
      <c r="Y447" s="14" t="n">
        <f aca="false">IF(K447=0,0,M447/K447)</f>
        <v>0.247813411078717</v>
      </c>
      <c r="Z447" s="14" t="n">
        <f aca="false">IF(K447+R447+T447+U447=0,0,(M447+R447+T447)/(K447+R447+T447+U447))</f>
        <v>0.334183673469388</v>
      </c>
      <c r="AA447" s="14" t="n">
        <f aca="false">IF(K447=0,0,X447/K447)</f>
        <v>0.475218658892128</v>
      </c>
      <c r="AB447" s="14" t="n">
        <f aca="false">Z447+AA447</f>
        <v>0.809402332361516</v>
      </c>
      <c r="AC447" s="14" t="n">
        <f aca="false">AA447-Y447</f>
        <v>0.227405247813411</v>
      </c>
      <c r="AD447" s="14" t="n">
        <f aca="false">IF(K447-S447-P447+U447=0,0,(M447-P447)/(K447-S447-P447+U447))</f>
        <v>0.329004329004329</v>
      </c>
      <c r="AE447" s="15" t="n">
        <f aca="false">IF(J447=0,0,R447/J447)</f>
        <v>0.0969387755102041</v>
      </c>
      <c r="AF447" s="15" t="n">
        <f aca="false">IF(J447=0,0,S447/J447)</f>
        <v>0.270408163265306</v>
      </c>
      <c r="AG447" s="11" t="n">
        <f aca="false">IF(J447&gt;=INDEX(球季參數!$E$2:$E$4,MATCH($A447,球季參數!$A$2:$A$4,0)),1,0)</f>
        <v>0</v>
      </c>
    </row>
    <row r="448" customFormat="false" ht="15" hidden="false" customHeight="false" outlineLevel="0" collapsed="false">
      <c r="A448" s="5" t="n">
        <v>2025</v>
      </c>
      <c r="B448" s="7" t="s">
        <v>1049</v>
      </c>
      <c r="C448" s="10" t="str">
        <f aca="false">INDEX(球員主檔!$B$2:$B$749,MATCH($B448,球員主檔!$A$2:$A$749,0))</f>
        <v>Wyatt Yoshinaga</v>
      </c>
      <c r="D448" s="7" t="s">
        <v>400</v>
      </c>
      <c r="E448" s="10" t="str">
        <f aca="false">INDEX(球隊主檔!$C$2:$C$31,MATCH($D448,球隊主檔!$A$2:$A$31,0))</f>
        <v>德州遊騎兵</v>
      </c>
      <c r="F448" s="10" t="str">
        <f aca="false">INDEX(球隊主檔!$D$2:$D$31,MATCH($D448,球隊主檔!$A$2:$A$31,0))</f>
        <v>美聯</v>
      </c>
      <c r="G448" s="7" t="s">
        <v>63</v>
      </c>
      <c r="H448" s="11" t="n">
        <f aca="false">INT((DATE($A448,7,1)-INDEX(球員主檔!$G$2:$G$749,MATCH($B448,球員主檔!$A$2:$A$749,0)))/365.25)</f>
        <v>32</v>
      </c>
      <c r="I448" s="12" t="n">
        <v>135</v>
      </c>
      <c r="J448" s="12" t="n">
        <v>525</v>
      </c>
      <c r="K448" s="12" t="n">
        <v>464</v>
      </c>
      <c r="L448" s="12" t="n">
        <v>49</v>
      </c>
      <c r="M448" s="12" t="n">
        <v>109</v>
      </c>
      <c r="N448" s="12" t="n">
        <v>9</v>
      </c>
      <c r="O448" s="12" t="n">
        <v>4</v>
      </c>
      <c r="P448" s="12" t="n">
        <v>12</v>
      </c>
      <c r="Q448" s="12" t="n">
        <v>52</v>
      </c>
      <c r="R448" s="12" t="n">
        <v>53</v>
      </c>
      <c r="S448" s="12" t="n">
        <v>94</v>
      </c>
      <c r="T448" s="12" t="n">
        <v>6</v>
      </c>
      <c r="U448" s="12" t="n">
        <v>2</v>
      </c>
      <c r="V448" s="12" t="n">
        <v>25</v>
      </c>
      <c r="W448" s="12" t="n">
        <v>6</v>
      </c>
      <c r="X448" s="13" t="n">
        <f aca="false">M448+N448+2*O448+3*P448</f>
        <v>162</v>
      </c>
      <c r="Y448" s="14" t="n">
        <f aca="false">IF(K448=0,0,M448/K448)</f>
        <v>0.234913793103448</v>
      </c>
      <c r="Z448" s="14" t="n">
        <f aca="false">IF(K448+R448+T448+U448=0,0,(M448+R448+T448)/(K448+R448+T448+U448))</f>
        <v>0.32</v>
      </c>
      <c r="AA448" s="14" t="n">
        <f aca="false">IF(K448=0,0,X448/K448)</f>
        <v>0.349137931034483</v>
      </c>
      <c r="AB448" s="14" t="n">
        <f aca="false">Z448+AA448</f>
        <v>0.669137931034483</v>
      </c>
      <c r="AC448" s="14" t="n">
        <f aca="false">AA448-Y448</f>
        <v>0.114224137931034</v>
      </c>
      <c r="AD448" s="14" t="n">
        <f aca="false">IF(K448-S448-P448+U448=0,0,(M448-P448)/(K448-S448-P448+U448))</f>
        <v>0.269444444444444</v>
      </c>
      <c r="AE448" s="15" t="n">
        <f aca="false">IF(J448=0,0,R448/J448)</f>
        <v>0.100952380952381</v>
      </c>
      <c r="AF448" s="15" t="n">
        <f aca="false">IF(J448=0,0,S448/J448)</f>
        <v>0.179047619047619</v>
      </c>
      <c r="AG448" s="11" t="n">
        <f aca="false">IF(J448&gt;=INDEX(球季參數!$E$2:$E$4,MATCH($A448,球季參數!$A$2:$A$4,0)),1,0)</f>
        <v>1</v>
      </c>
    </row>
    <row r="449" customFormat="false" ht="15" hidden="false" customHeight="false" outlineLevel="0" collapsed="false">
      <c r="A449" s="5" t="n">
        <v>2025</v>
      </c>
      <c r="B449" s="7" t="s">
        <v>1051</v>
      </c>
      <c r="C449" s="10" t="str">
        <f aca="false">INDEX(球員主檔!$B$2:$B$749,MATCH($B449,球員主檔!$A$2:$A$749,0))</f>
        <v>Dimitri Wainwright</v>
      </c>
      <c r="D449" s="7" t="s">
        <v>400</v>
      </c>
      <c r="E449" s="10" t="str">
        <f aca="false">INDEX(球隊主檔!$C$2:$C$31,MATCH($D449,球隊主檔!$A$2:$A$31,0))</f>
        <v>德州遊騎兵</v>
      </c>
      <c r="F449" s="10" t="str">
        <f aca="false">INDEX(球隊主檔!$D$2:$D$31,MATCH($D449,球隊主檔!$A$2:$A$31,0))</f>
        <v>美聯</v>
      </c>
      <c r="G449" s="7" t="s">
        <v>478</v>
      </c>
      <c r="H449" s="11" t="n">
        <f aca="false">INT((DATE($A449,7,1)-INDEX(球員主檔!$G$2:$G$749,MATCH($B449,球員主檔!$A$2:$A$749,0)))/365.25)</f>
        <v>32</v>
      </c>
      <c r="I449" s="12" t="n">
        <v>136</v>
      </c>
      <c r="J449" s="12" t="n">
        <v>558</v>
      </c>
      <c r="K449" s="12" t="n">
        <v>504</v>
      </c>
      <c r="L449" s="12" t="n">
        <v>67</v>
      </c>
      <c r="M449" s="12" t="n">
        <v>121</v>
      </c>
      <c r="N449" s="12" t="n">
        <v>26</v>
      </c>
      <c r="O449" s="12" t="n">
        <v>7</v>
      </c>
      <c r="P449" s="12" t="n">
        <v>19</v>
      </c>
      <c r="Q449" s="12" t="n">
        <v>79</v>
      </c>
      <c r="R449" s="12" t="n">
        <v>47</v>
      </c>
      <c r="S449" s="12" t="n">
        <v>141</v>
      </c>
      <c r="T449" s="12" t="n">
        <v>3</v>
      </c>
      <c r="U449" s="12" t="n">
        <v>4</v>
      </c>
      <c r="V449" s="12" t="n">
        <v>10</v>
      </c>
      <c r="W449" s="12" t="n">
        <v>2</v>
      </c>
      <c r="X449" s="13" t="n">
        <f aca="false">M449+N449+2*O449+3*P449</f>
        <v>218</v>
      </c>
      <c r="Y449" s="14" t="n">
        <f aca="false">IF(K449=0,0,M449/K449)</f>
        <v>0.240079365079365</v>
      </c>
      <c r="Z449" s="14" t="n">
        <f aca="false">IF(K449+R449+T449+U449=0,0,(M449+R449+T449)/(K449+R449+T449+U449))</f>
        <v>0.306451612903226</v>
      </c>
      <c r="AA449" s="14" t="n">
        <f aca="false">IF(K449=0,0,X449/K449)</f>
        <v>0.432539682539683</v>
      </c>
      <c r="AB449" s="14" t="n">
        <f aca="false">Z449+AA449</f>
        <v>0.738991295442908</v>
      </c>
      <c r="AC449" s="14" t="n">
        <f aca="false">AA449-Y449</f>
        <v>0.192460317460317</v>
      </c>
      <c r="AD449" s="14" t="n">
        <f aca="false">IF(K449-S449-P449+U449=0,0,(M449-P449)/(K449-S449-P449+U449))</f>
        <v>0.293103448275862</v>
      </c>
      <c r="AE449" s="15" t="n">
        <f aca="false">IF(J449=0,0,R449/J449)</f>
        <v>0.0842293906810036</v>
      </c>
      <c r="AF449" s="15" t="n">
        <f aca="false">IF(J449=0,0,S449/J449)</f>
        <v>0.252688172043011</v>
      </c>
      <c r="AG449" s="11" t="n">
        <f aca="false">IF(J449&gt;=INDEX(球季參數!$E$2:$E$4,MATCH($A449,球季參數!$A$2:$A$4,0)),1,0)</f>
        <v>1</v>
      </c>
    </row>
    <row r="450" customFormat="false" ht="15" hidden="false" customHeight="false" outlineLevel="0" collapsed="false">
      <c r="A450" s="5" t="n">
        <v>2025</v>
      </c>
      <c r="B450" s="7" t="s">
        <v>1053</v>
      </c>
      <c r="C450" s="10" t="str">
        <f aca="false">INDEX(球員主檔!$B$2:$B$749,MATCH($B450,球員主檔!$A$2:$A$749,0))</f>
        <v>Camilo Brightwell</v>
      </c>
      <c r="D450" s="7" t="s">
        <v>400</v>
      </c>
      <c r="E450" s="10" t="str">
        <f aca="false">INDEX(球隊主檔!$C$2:$C$31,MATCH($D450,球隊主檔!$A$2:$A$31,0))</f>
        <v>德州遊騎兵</v>
      </c>
      <c r="F450" s="10" t="str">
        <f aca="false">INDEX(球隊主檔!$D$2:$D$31,MATCH($D450,球隊主檔!$A$2:$A$31,0))</f>
        <v>美聯</v>
      </c>
      <c r="G450" s="7" t="s">
        <v>478</v>
      </c>
      <c r="H450" s="11" t="n">
        <f aca="false">INT((DATE($A450,7,1)-INDEX(球員主檔!$G$2:$G$749,MATCH($B450,球員主檔!$A$2:$A$749,0)))/365.25)</f>
        <v>23</v>
      </c>
      <c r="I450" s="12" t="n">
        <v>71</v>
      </c>
      <c r="J450" s="12" t="n">
        <v>304</v>
      </c>
      <c r="K450" s="12" t="n">
        <v>270</v>
      </c>
      <c r="L450" s="12" t="n">
        <v>48</v>
      </c>
      <c r="M450" s="12" t="n">
        <v>78</v>
      </c>
      <c r="N450" s="12" t="n">
        <v>11</v>
      </c>
      <c r="O450" s="12" t="n">
        <v>4</v>
      </c>
      <c r="P450" s="12" t="n">
        <v>20</v>
      </c>
      <c r="Q450" s="12" t="n">
        <v>56</v>
      </c>
      <c r="R450" s="12" t="n">
        <v>28</v>
      </c>
      <c r="S450" s="12" t="n">
        <v>72</v>
      </c>
      <c r="T450" s="12" t="n">
        <v>3</v>
      </c>
      <c r="U450" s="12" t="n">
        <v>3</v>
      </c>
      <c r="V450" s="12" t="n">
        <v>17</v>
      </c>
      <c r="W450" s="12" t="n">
        <v>5</v>
      </c>
      <c r="X450" s="13" t="n">
        <f aca="false">M450+N450+2*O450+3*P450</f>
        <v>157</v>
      </c>
      <c r="Y450" s="14" t="n">
        <f aca="false">IF(K450=0,0,M450/K450)</f>
        <v>0.288888888888889</v>
      </c>
      <c r="Z450" s="14" t="n">
        <f aca="false">IF(K450+R450+T450+U450=0,0,(M450+R450+T450)/(K450+R450+T450+U450))</f>
        <v>0.358552631578947</v>
      </c>
      <c r="AA450" s="14" t="n">
        <f aca="false">IF(K450=0,0,X450/K450)</f>
        <v>0.581481481481482</v>
      </c>
      <c r="AB450" s="14" t="n">
        <f aca="false">Z450+AA450</f>
        <v>0.940034113060429</v>
      </c>
      <c r="AC450" s="14" t="n">
        <f aca="false">AA450-Y450</f>
        <v>0.292592592592593</v>
      </c>
      <c r="AD450" s="14" t="n">
        <f aca="false">IF(K450-S450-P450+U450=0,0,(M450-P450)/(K450-S450-P450+U450))</f>
        <v>0.320441988950276</v>
      </c>
      <c r="AE450" s="15" t="n">
        <f aca="false">IF(J450=0,0,R450/J450)</f>
        <v>0.0921052631578947</v>
      </c>
      <c r="AF450" s="15" t="n">
        <f aca="false">IF(J450=0,0,S450/J450)</f>
        <v>0.236842105263158</v>
      </c>
      <c r="AG450" s="11" t="n">
        <f aca="false">IF(J450&gt;=INDEX(球季參數!$E$2:$E$4,MATCH($A450,球季參數!$A$2:$A$4,0)),1,0)</f>
        <v>0</v>
      </c>
    </row>
    <row r="451" customFormat="false" ht="15" hidden="false" customHeight="false" outlineLevel="0" collapsed="false">
      <c r="A451" s="5" t="n">
        <v>2025</v>
      </c>
      <c r="B451" s="7" t="s">
        <v>1055</v>
      </c>
      <c r="C451" s="10" t="str">
        <f aca="false">INDEX(球員主檔!$B$2:$B$749,MATCH($B451,球員主檔!$A$2:$A$749,0))</f>
        <v>Esteban Nordstrom</v>
      </c>
      <c r="D451" s="7" t="s">
        <v>400</v>
      </c>
      <c r="E451" s="10" t="str">
        <f aca="false">INDEX(球隊主檔!$C$2:$C$31,MATCH($D451,球隊主檔!$A$2:$A$31,0))</f>
        <v>德州遊騎兵</v>
      </c>
      <c r="F451" s="10" t="str">
        <f aca="false">INDEX(球隊主檔!$D$2:$D$31,MATCH($D451,球隊主檔!$A$2:$A$31,0))</f>
        <v>美聯</v>
      </c>
      <c r="G451" s="7" t="s">
        <v>470</v>
      </c>
      <c r="H451" s="11" t="n">
        <f aca="false">INT((DATE($A451,7,1)-INDEX(球員主檔!$G$2:$G$749,MATCH($B451,球員主檔!$A$2:$A$749,0)))/365.25)</f>
        <v>29</v>
      </c>
      <c r="I451" s="12" t="n">
        <v>72</v>
      </c>
      <c r="J451" s="12" t="n">
        <v>281</v>
      </c>
      <c r="K451" s="12" t="n">
        <v>255</v>
      </c>
      <c r="L451" s="12" t="n">
        <v>27</v>
      </c>
      <c r="M451" s="12" t="n">
        <v>58</v>
      </c>
      <c r="N451" s="12" t="n">
        <v>23</v>
      </c>
      <c r="O451" s="12" t="n">
        <v>7</v>
      </c>
      <c r="P451" s="12" t="n">
        <v>5</v>
      </c>
      <c r="Q451" s="12" t="n">
        <v>22</v>
      </c>
      <c r="R451" s="12" t="n">
        <v>24</v>
      </c>
      <c r="S451" s="12" t="n">
        <v>44</v>
      </c>
      <c r="T451" s="12" t="n">
        <v>1</v>
      </c>
      <c r="U451" s="12" t="n">
        <v>1</v>
      </c>
      <c r="V451" s="12" t="n">
        <v>5</v>
      </c>
      <c r="W451" s="12" t="n">
        <v>1</v>
      </c>
      <c r="X451" s="13" t="n">
        <f aca="false">M451+N451+2*O451+3*P451</f>
        <v>110</v>
      </c>
      <c r="Y451" s="14" t="n">
        <f aca="false">IF(K451=0,0,M451/K451)</f>
        <v>0.227450980392157</v>
      </c>
      <c r="Z451" s="14" t="n">
        <f aca="false">IF(K451+R451+T451+U451=0,0,(M451+R451+T451)/(K451+R451+T451+U451))</f>
        <v>0.295373665480427</v>
      </c>
      <c r="AA451" s="14" t="n">
        <f aca="false">IF(K451=0,0,X451/K451)</f>
        <v>0.431372549019608</v>
      </c>
      <c r="AB451" s="14" t="n">
        <f aca="false">Z451+AA451</f>
        <v>0.726746214500035</v>
      </c>
      <c r="AC451" s="14" t="n">
        <f aca="false">AA451-Y451</f>
        <v>0.203921568627451</v>
      </c>
      <c r="AD451" s="14" t="n">
        <f aca="false">IF(K451-S451-P451+U451=0,0,(M451-P451)/(K451-S451-P451+U451))</f>
        <v>0.256038647342995</v>
      </c>
      <c r="AE451" s="15" t="n">
        <f aca="false">IF(J451=0,0,R451/J451)</f>
        <v>0.0854092526690392</v>
      </c>
      <c r="AF451" s="15" t="n">
        <f aca="false">IF(J451=0,0,S451/J451)</f>
        <v>0.156583629893238</v>
      </c>
      <c r="AG451" s="11" t="n">
        <f aca="false">IF(J451&gt;=INDEX(球季參數!$E$2:$E$4,MATCH($A451,球季參數!$A$2:$A$4,0)),1,0)</f>
        <v>0</v>
      </c>
    </row>
    <row r="452" customFormat="false" ht="15" hidden="false" customHeight="false" outlineLevel="0" collapsed="false">
      <c r="A452" s="5" t="n">
        <v>2025</v>
      </c>
      <c r="B452" s="7" t="s">
        <v>1077</v>
      </c>
      <c r="C452" s="10" t="str">
        <f aca="false">INDEX(球員主檔!$B$2:$B$749,MATCH($B452,球員主檔!$A$2:$A$749,0))</f>
        <v>Emilio Cavanaugh</v>
      </c>
      <c r="D452" s="7" t="s">
        <v>404</v>
      </c>
      <c r="E452" s="10" t="str">
        <f aca="false">INDEX(球隊主檔!$C$2:$C$31,MATCH($D452,球隊主檔!$A$2:$A$31,0))</f>
        <v>亞特蘭大勇士</v>
      </c>
      <c r="F452" s="10" t="str">
        <f aca="false">INDEX(球隊主檔!$D$2:$D$31,MATCH($D452,球隊主檔!$A$2:$A$31,0))</f>
        <v>國聯</v>
      </c>
      <c r="G452" s="7" t="s">
        <v>470</v>
      </c>
      <c r="H452" s="11" t="n">
        <f aca="false">INT((DATE($A452,7,1)-INDEX(球員主檔!$G$2:$G$749,MATCH($B452,球員主檔!$A$2:$A$749,0)))/365.25)</f>
        <v>25</v>
      </c>
      <c r="I452" s="12" t="n">
        <v>69</v>
      </c>
      <c r="J452" s="12" t="n">
        <v>269</v>
      </c>
      <c r="K452" s="12" t="n">
        <v>240</v>
      </c>
      <c r="L452" s="12" t="n">
        <v>41</v>
      </c>
      <c r="M452" s="12" t="n">
        <v>66</v>
      </c>
      <c r="N452" s="12" t="n">
        <v>19</v>
      </c>
      <c r="O452" s="12" t="n">
        <v>8</v>
      </c>
      <c r="P452" s="12" t="n">
        <v>13</v>
      </c>
      <c r="Q452" s="12" t="n">
        <v>40</v>
      </c>
      <c r="R452" s="12" t="n">
        <v>27</v>
      </c>
      <c r="S452" s="12" t="n">
        <v>75</v>
      </c>
      <c r="T452" s="12" t="n">
        <v>1</v>
      </c>
      <c r="U452" s="12" t="n">
        <v>1</v>
      </c>
      <c r="V452" s="12" t="n">
        <v>6</v>
      </c>
      <c r="W452" s="12" t="n">
        <v>2</v>
      </c>
      <c r="X452" s="13" t="n">
        <f aca="false">M452+N452+2*O452+3*P452</f>
        <v>140</v>
      </c>
      <c r="Y452" s="14" t="n">
        <f aca="false">IF(K452=0,0,M452/K452)</f>
        <v>0.275</v>
      </c>
      <c r="Z452" s="14" t="n">
        <f aca="false">IF(K452+R452+T452+U452=0,0,(M452+R452+T452)/(K452+R452+T452+U452))</f>
        <v>0.349442379182156</v>
      </c>
      <c r="AA452" s="14" t="n">
        <f aca="false">IF(K452=0,0,X452/K452)</f>
        <v>0.583333333333333</v>
      </c>
      <c r="AB452" s="14" t="n">
        <f aca="false">Z452+AA452</f>
        <v>0.93277571251549</v>
      </c>
      <c r="AC452" s="14" t="n">
        <f aca="false">AA452-Y452</f>
        <v>0.308333333333333</v>
      </c>
      <c r="AD452" s="14" t="n">
        <f aca="false">IF(K452-S452-P452+U452=0,0,(M452-P452)/(K452-S452-P452+U452))</f>
        <v>0.34640522875817</v>
      </c>
      <c r="AE452" s="15" t="n">
        <f aca="false">IF(J452=0,0,R452/J452)</f>
        <v>0.100371747211896</v>
      </c>
      <c r="AF452" s="15" t="n">
        <f aca="false">IF(J452=0,0,S452/J452)</f>
        <v>0.278810408921933</v>
      </c>
      <c r="AG452" s="11" t="n">
        <f aca="false">IF(J452&gt;=INDEX(球季參數!$E$2:$E$4,MATCH($A452,球季參數!$A$2:$A$4,0)),1,0)</f>
        <v>0</v>
      </c>
    </row>
    <row r="453" customFormat="false" ht="15" hidden="false" customHeight="false" outlineLevel="0" collapsed="false">
      <c r="A453" s="5" t="n">
        <v>2025</v>
      </c>
      <c r="B453" s="7" t="s">
        <v>1079</v>
      </c>
      <c r="C453" s="10" t="str">
        <f aca="false">INDEX(球員主檔!$B$2:$B$749,MATCH($B453,球員主檔!$A$2:$A$749,0))</f>
        <v>Augustin Vandermeer</v>
      </c>
      <c r="D453" s="7" t="s">
        <v>404</v>
      </c>
      <c r="E453" s="10" t="str">
        <f aca="false">INDEX(球隊主檔!$C$2:$C$31,MATCH($D453,球隊主檔!$A$2:$A$31,0))</f>
        <v>亞特蘭大勇士</v>
      </c>
      <c r="F453" s="10" t="str">
        <f aca="false">INDEX(球隊主檔!$D$2:$D$31,MATCH($D453,球隊主檔!$A$2:$A$31,0))</f>
        <v>國聯</v>
      </c>
      <c r="G453" s="7" t="s">
        <v>483</v>
      </c>
      <c r="H453" s="11" t="n">
        <f aca="false">INT((DATE($A453,7,1)-INDEX(球員主檔!$G$2:$G$749,MATCH($B453,球員主檔!$A$2:$A$749,0)))/365.25)</f>
        <v>28</v>
      </c>
      <c r="I453" s="12" t="n">
        <v>56</v>
      </c>
      <c r="J453" s="12" t="n">
        <v>250</v>
      </c>
      <c r="K453" s="12" t="n">
        <v>218</v>
      </c>
      <c r="L453" s="12" t="n">
        <v>37</v>
      </c>
      <c r="M453" s="12" t="n">
        <v>61</v>
      </c>
      <c r="N453" s="12" t="n">
        <v>15</v>
      </c>
      <c r="O453" s="12" t="n">
        <v>6</v>
      </c>
      <c r="P453" s="12" t="n">
        <v>10</v>
      </c>
      <c r="Q453" s="12" t="n">
        <v>40</v>
      </c>
      <c r="R453" s="12" t="n">
        <v>27</v>
      </c>
      <c r="S453" s="12" t="n">
        <v>69</v>
      </c>
      <c r="T453" s="12" t="n">
        <v>2</v>
      </c>
      <c r="U453" s="12" t="n">
        <v>3</v>
      </c>
      <c r="V453" s="12" t="n">
        <v>4</v>
      </c>
      <c r="W453" s="12" t="n">
        <v>1</v>
      </c>
      <c r="X453" s="13" t="n">
        <f aca="false">M453+N453+2*O453+3*P453</f>
        <v>118</v>
      </c>
      <c r="Y453" s="14" t="n">
        <f aca="false">IF(K453=0,0,M453/K453)</f>
        <v>0.279816513761468</v>
      </c>
      <c r="Z453" s="14" t="n">
        <f aca="false">IF(K453+R453+T453+U453=0,0,(M453+R453+T453)/(K453+R453+T453+U453))</f>
        <v>0.36</v>
      </c>
      <c r="AA453" s="14" t="n">
        <f aca="false">IF(K453=0,0,X453/K453)</f>
        <v>0.541284403669725</v>
      </c>
      <c r="AB453" s="14" t="n">
        <f aca="false">Z453+AA453</f>
        <v>0.901284403669725</v>
      </c>
      <c r="AC453" s="14" t="n">
        <f aca="false">AA453-Y453</f>
        <v>0.261467889908257</v>
      </c>
      <c r="AD453" s="14" t="n">
        <f aca="false">IF(K453-S453-P453+U453=0,0,(M453-P453)/(K453-S453-P453+U453))</f>
        <v>0.359154929577465</v>
      </c>
      <c r="AE453" s="15" t="n">
        <f aca="false">IF(J453=0,0,R453/J453)</f>
        <v>0.108</v>
      </c>
      <c r="AF453" s="15" t="n">
        <f aca="false">IF(J453=0,0,S453/J453)</f>
        <v>0.276</v>
      </c>
      <c r="AG453" s="11" t="n">
        <f aca="false">IF(J453&gt;=INDEX(球季參數!$E$2:$E$4,MATCH($A453,球季參數!$A$2:$A$4,0)),1,0)</f>
        <v>0</v>
      </c>
    </row>
    <row r="454" customFormat="false" ht="15" hidden="false" customHeight="false" outlineLevel="0" collapsed="false">
      <c r="A454" s="5" t="n">
        <v>2025</v>
      </c>
      <c r="B454" s="7" t="s">
        <v>1081</v>
      </c>
      <c r="C454" s="10" t="str">
        <f aca="false">INDEX(球員主檔!$B$2:$B$749,MATCH($B454,球員主檔!$A$2:$A$749,0))</f>
        <v>Minjae Quiroga</v>
      </c>
      <c r="D454" s="7" t="s">
        <v>404</v>
      </c>
      <c r="E454" s="10" t="str">
        <f aca="false">INDEX(球隊主檔!$C$2:$C$31,MATCH($D454,球隊主檔!$A$2:$A$31,0))</f>
        <v>亞特蘭大勇士</v>
      </c>
      <c r="F454" s="10" t="str">
        <f aca="false">INDEX(球隊主檔!$D$2:$D$31,MATCH($D454,球隊主檔!$A$2:$A$31,0))</f>
        <v>國聯</v>
      </c>
      <c r="G454" s="7" t="s">
        <v>522</v>
      </c>
      <c r="H454" s="11" t="n">
        <f aca="false">INT((DATE($A454,7,1)-INDEX(球員主檔!$G$2:$G$749,MATCH($B454,球員主檔!$A$2:$A$749,0)))/365.25)</f>
        <v>25</v>
      </c>
      <c r="I454" s="12" t="n">
        <v>159</v>
      </c>
      <c r="J454" s="12" t="n">
        <v>623</v>
      </c>
      <c r="K454" s="12" t="n">
        <v>543</v>
      </c>
      <c r="L454" s="12" t="n">
        <v>59</v>
      </c>
      <c r="M454" s="12" t="n">
        <v>114</v>
      </c>
      <c r="N454" s="12" t="n">
        <v>33</v>
      </c>
      <c r="O454" s="12" t="n">
        <v>1</v>
      </c>
      <c r="P454" s="12" t="n">
        <v>10</v>
      </c>
      <c r="Q454" s="12" t="n">
        <v>48</v>
      </c>
      <c r="R454" s="12" t="n">
        <v>68</v>
      </c>
      <c r="S454" s="12" t="n">
        <v>145</v>
      </c>
      <c r="T454" s="12" t="n">
        <v>11</v>
      </c>
      <c r="U454" s="12" t="n">
        <v>1</v>
      </c>
      <c r="V454" s="12" t="n">
        <v>38</v>
      </c>
      <c r="W454" s="12" t="n">
        <v>9</v>
      </c>
      <c r="X454" s="13" t="n">
        <f aca="false">M454+N454+2*O454+3*P454</f>
        <v>179</v>
      </c>
      <c r="Y454" s="14" t="n">
        <f aca="false">IF(K454=0,0,M454/K454)</f>
        <v>0.209944751381215</v>
      </c>
      <c r="Z454" s="14" t="n">
        <f aca="false">IF(K454+R454+T454+U454=0,0,(M454+R454+T454)/(K454+R454+T454+U454))</f>
        <v>0.309791332263242</v>
      </c>
      <c r="AA454" s="14" t="n">
        <f aca="false">IF(K454=0,0,X454/K454)</f>
        <v>0.329650092081031</v>
      </c>
      <c r="AB454" s="14" t="n">
        <f aca="false">Z454+AA454</f>
        <v>0.639441424344274</v>
      </c>
      <c r="AC454" s="14" t="n">
        <f aca="false">AA454-Y454</f>
        <v>0.119705340699816</v>
      </c>
      <c r="AD454" s="14" t="n">
        <f aca="false">IF(K454-S454-P454+U454=0,0,(M454-P454)/(K454-S454-P454+U454))</f>
        <v>0.267352185089974</v>
      </c>
      <c r="AE454" s="15" t="n">
        <f aca="false">IF(J454=0,0,R454/J454)</f>
        <v>0.109149277688604</v>
      </c>
      <c r="AF454" s="15" t="n">
        <f aca="false">IF(J454=0,0,S454/J454)</f>
        <v>0.232744783306581</v>
      </c>
      <c r="AG454" s="11" t="n">
        <f aca="false">IF(J454&gt;=INDEX(球季參數!$E$2:$E$4,MATCH($A454,球季參數!$A$2:$A$4,0)),1,0)</f>
        <v>1</v>
      </c>
    </row>
    <row r="455" customFormat="false" ht="15" hidden="false" customHeight="false" outlineLevel="0" collapsed="false">
      <c r="A455" s="5" t="n">
        <v>2025</v>
      </c>
      <c r="B455" s="7" t="s">
        <v>1083</v>
      </c>
      <c r="C455" s="10" t="str">
        <f aca="false">INDEX(球員主檔!$B$2:$B$749,MATCH($B455,球員主檔!$A$2:$A$749,0))</f>
        <v>Zane Dunmore</v>
      </c>
      <c r="D455" s="7" t="s">
        <v>404</v>
      </c>
      <c r="E455" s="10" t="str">
        <f aca="false">INDEX(球隊主檔!$C$2:$C$31,MATCH($D455,球隊主檔!$A$2:$A$31,0))</f>
        <v>亞特蘭大勇士</v>
      </c>
      <c r="F455" s="10" t="str">
        <f aca="false">INDEX(球隊主檔!$D$2:$D$31,MATCH($D455,球隊主檔!$A$2:$A$31,0))</f>
        <v>國聯</v>
      </c>
      <c r="G455" s="7" t="s">
        <v>473</v>
      </c>
      <c r="H455" s="11" t="n">
        <f aca="false">INT((DATE($A455,7,1)-INDEX(球員主檔!$G$2:$G$749,MATCH($B455,球員主檔!$A$2:$A$749,0)))/365.25)</f>
        <v>27</v>
      </c>
      <c r="I455" s="12" t="n">
        <v>157</v>
      </c>
      <c r="J455" s="12" t="n">
        <v>614</v>
      </c>
      <c r="K455" s="12" t="n">
        <v>519</v>
      </c>
      <c r="L455" s="12" t="n">
        <v>74</v>
      </c>
      <c r="M455" s="12" t="n">
        <v>123</v>
      </c>
      <c r="N455" s="12" t="n">
        <v>33</v>
      </c>
      <c r="O455" s="12" t="n">
        <v>9</v>
      </c>
      <c r="P455" s="12" t="n">
        <v>23</v>
      </c>
      <c r="Q455" s="12" t="n">
        <v>79</v>
      </c>
      <c r="R455" s="12" t="n">
        <v>90</v>
      </c>
      <c r="S455" s="12" t="n">
        <v>129</v>
      </c>
      <c r="T455" s="12" t="n">
        <v>4</v>
      </c>
      <c r="U455" s="12" t="n">
        <v>1</v>
      </c>
      <c r="V455" s="12" t="n">
        <v>10</v>
      </c>
      <c r="W455" s="12" t="n">
        <v>3</v>
      </c>
      <c r="X455" s="13" t="n">
        <f aca="false">M455+N455+2*O455+3*P455</f>
        <v>243</v>
      </c>
      <c r="Y455" s="14" t="n">
        <f aca="false">IF(K455=0,0,M455/K455)</f>
        <v>0.236994219653179</v>
      </c>
      <c r="Z455" s="14" t="n">
        <f aca="false">IF(K455+R455+T455+U455=0,0,(M455+R455+T455)/(K455+R455+T455+U455))</f>
        <v>0.353420195439739</v>
      </c>
      <c r="AA455" s="14" t="n">
        <f aca="false">IF(K455=0,0,X455/K455)</f>
        <v>0.468208092485549</v>
      </c>
      <c r="AB455" s="14" t="n">
        <f aca="false">Z455+AA455</f>
        <v>0.821628287925289</v>
      </c>
      <c r="AC455" s="14" t="n">
        <f aca="false">AA455-Y455</f>
        <v>0.23121387283237</v>
      </c>
      <c r="AD455" s="14" t="n">
        <f aca="false">IF(K455-S455-P455+U455=0,0,(M455-P455)/(K455-S455-P455+U455))</f>
        <v>0.271739130434783</v>
      </c>
      <c r="AE455" s="15" t="n">
        <f aca="false">IF(J455=0,0,R455/J455)</f>
        <v>0.146579804560261</v>
      </c>
      <c r="AF455" s="15" t="n">
        <f aca="false">IF(J455=0,0,S455/J455)</f>
        <v>0.210097719869707</v>
      </c>
      <c r="AG455" s="11" t="n">
        <f aca="false">IF(J455&gt;=INDEX(球季參數!$E$2:$E$4,MATCH($A455,球季參數!$A$2:$A$4,0)),1,0)</f>
        <v>1</v>
      </c>
    </row>
    <row r="456" customFormat="false" ht="15" hidden="false" customHeight="false" outlineLevel="0" collapsed="false">
      <c r="A456" s="5" t="n">
        <v>2025</v>
      </c>
      <c r="B456" s="7" t="s">
        <v>849</v>
      </c>
      <c r="C456" s="10" t="str">
        <f aca="false">INDEX(球員主檔!$B$2:$B$749,MATCH($B456,球員主檔!$A$2:$A$749,0))</f>
        <v>Yusuke Yamazaki</v>
      </c>
      <c r="D456" s="7" t="s">
        <v>404</v>
      </c>
      <c r="E456" s="10" t="str">
        <f aca="false">INDEX(球隊主檔!$C$2:$C$31,MATCH($D456,球隊主檔!$A$2:$A$31,0))</f>
        <v>亞特蘭大勇士</v>
      </c>
      <c r="F456" s="10" t="str">
        <f aca="false">INDEX(球隊主檔!$D$2:$D$31,MATCH($D456,球隊主檔!$A$2:$A$31,0))</f>
        <v>國聯</v>
      </c>
      <c r="G456" s="7" t="s">
        <v>162</v>
      </c>
      <c r="H456" s="11" t="n">
        <f aca="false">INT((DATE($A456,7,1)-INDEX(球員主檔!$G$2:$G$749,MATCH($B456,球員主檔!$A$2:$A$749,0)))/365.25)</f>
        <v>29</v>
      </c>
      <c r="I456" s="12" t="n">
        <v>155</v>
      </c>
      <c r="J456" s="12" t="n">
        <v>683</v>
      </c>
      <c r="K456" s="12" t="n">
        <v>602</v>
      </c>
      <c r="L456" s="12" t="n">
        <v>71</v>
      </c>
      <c r="M456" s="12" t="n">
        <v>128</v>
      </c>
      <c r="N456" s="12" t="n">
        <v>21</v>
      </c>
      <c r="O456" s="12" t="n">
        <v>1</v>
      </c>
      <c r="P456" s="12" t="n">
        <v>15</v>
      </c>
      <c r="Q456" s="12" t="n">
        <v>57</v>
      </c>
      <c r="R456" s="12" t="n">
        <v>70</v>
      </c>
      <c r="S456" s="12" t="n">
        <v>169</v>
      </c>
      <c r="T456" s="12" t="n">
        <v>4</v>
      </c>
      <c r="U456" s="12" t="n">
        <v>7</v>
      </c>
      <c r="V456" s="12" t="n">
        <v>16</v>
      </c>
      <c r="W456" s="12" t="n">
        <v>2</v>
      </c>
      <c r="X456" s="13" t="n">
        <f aca="false">M456+N456+2*O456+3*P456</f>
        <v>196</v>
      </c>
      <c r="Y456" s="14" t="n">
        <f aca="false">IF(K456=0,0,M456/K456)</f>
        <v>0.212624584717608</v>
      </c>
      <c r="Z456" s="14" t="n">
        <f aca="false">IF(K456+R456+T456+U456=0,0,(M456+R456+T456)/(K456+R456+T456+U456))</f>
        <v>0.295754026354319</v>
      </c>
      <c r="AA456" s="14" t="n">
        <f aca="false">IF(K456=0,0,X456/K456)</f>
        <v>0.325581395348837</v>
      </c>
      <c r="AB456" s="14" t="n">
        <f aca="false">Z456+AA456</f>
        <v>0.621335421703156</v>
      </c>
      <c r="AC456" s="14" t="n">
        <f aca="false">AA456-Y456</f>
        <v>0.112956810631229</v>
      </c>
      <c r="AD456" s="14" t="n">
        <f aca="false">IF(K456-S456-P456+U456=0,0,(M456-P456)/(K456-S456-P456+U456))</f>
        <v>0.265882352941176</v>
      </c>
      <c r="AE456" s="15" t="n">
        <f aca="false">IF(J456=0,0,R456/J456)</f>
        <v>0.102489019033675</v>
      </c>
      <c r="AF456" s="15" t="n">
        <f aca="false">IF(J456=0,0,S456/J456)</f>
        <v>0.247437774524158</v>
      </c>
      <c r="AG456" s="11" t="n">
        <f aca="false">IF(J456&gt;=INDEX(球季參數!$E$2:$E$4,MATCH($A456,球季參數!$A$2:$A$4,0)),1,0)</f>
        <v>1</v>
      </c>
    </row>
    <row r="457" customFormat="false" ht="15" hidden="false" customHeight="false" outlineLevel="0" collapsed="false">
      <c r="A457" s="5" t="n">
        <v>2025</v>
      </c>
      <c r="B457" s="7" t="s">
        <v>1087</v>
      </c>
      <c r="C457" s="10" t="str">
        <f aca="false">INDEX(球員主檔!$B$2:$B$749,MATCH($B457,球員主檔!$A$2:$A$749,0))</f>
        <v>Hugo Esquivel</v>
      </c>
      <c r="D457" s="7" t="s">
        <v>404</v>
      </c>
      <c r="E457" s="10" t="str">
        <f aca="false">INDEX(球隊主檔!$C$2:$C$31,MATCH($D457,球隊主檔!$A$2:$A$31,0))</f>
        <v>亞特蘭大勇士</v>
      </c>
      <c r="F457" s="10" t="str">
        <f aca="false">INDEX(球隊主檔!$D$2:$D$31,MATCH($D457,球隊主檔!$A$2:$A$31,0))</f>
        <v>國聯</v>
      </c>
      <c r="G457" s="7" t="s">
        <v>162</v>
      </c>
      <c r="H457" s="11" t="n">
        <f aca="false">INT((DATE($A457,7,1)-INDEX(球員主檔!$G$2:$G$749,MATCH($B457,球員主檔!$A$2:$A$749,0)))/365.25)</f>
        <v>26</v>
      </c>
      <c r="I457" s="12" t="n">
        <v>66</v>
      </c>
      <c r="J457" s="12" t="n">
        <v>265</v>
      </c>
      <c r="K457" s="12" t="n">
        <v>244</v>
      </c>
      <c r="L457" s="12" t="n">
        <v>31</v>
      </c>
      <c r="M457" s="12" t="n">
        <v>80</v>
      </c>
      <c r="N457" s="12" t="n">
        <v>10</v>
      </c>
      <c r="O457" s="12" t="n">
        <v>10</v>
      </c>
      <c r="P457" s="12" t="n">
        <v>8</v>
      </c>
      <c r="Q457" s="12" t="n">
        <v>29</v>
      </c>
      <c r="R457" s="12" t="n">
        <v>18</v>
      </c>
      <c r="S457" s="12" t="n">
        <v>56</v>
      </c>
      <c r="T457" s="12" t="n">
        <v>1</v>
      </c>
      <c r="U457" s="12" t="n">
        <v>2</v>
      </c>
      <c r="V457" s="12" t="n">
        <v>12</v>
      </c>
      <c r="W457" s="12" t="n">
        <v>3</v>
      </c>
      <c r="X457" s="13" t="n">
        <f aca="false">M457+N457+2*O457+3*P457</f>
        <v>134</v>
      </c>
      <c r="Y457" s="14" t="n">
        <f aca="false">IF(K457=0,0,M457/K457)</f>
        <v>0.327868852459016</v>
      </c>
      <c r="Z457" s="14" t="n">
        <f aca="false">IF(K457+R457+T457+U457=0,0,(M457+R457+T457)/(K457+R457+T457+U457))</f>
        <v>0.373584905660377</v>
      </c>
      <c r="AA457" s="14" t="n">
        <f aca="false">IF(K457=0,0,X457/K457)</f>
        <v>0.549180327868853</v>
      </c>
      <c r="AB457" s="14" t="n">
        <f aca="false">Z457+AA457</f>
        <v>0.92276523352923</v>
      </c>
      <c r="AC457" s="14" t="n">
        <f aca="false">AA457-Y457</f>
        <v>0.221311475409836</v>
      </c>
      <c r="AD457" s="14" t="n">
        <f aca="false">IF(K457-S457-P457+U457=0,0,(M457-P457)/(K457-S457-P457+U457))</f>
        <v>0.395604395604396</v>
      </c>
      <c r="AE457" s="15" t="n">
        <f aca="false">IF(J457=0,0,R457/J457)</f>
        <v>0.0679245283018868</v>
      </c>
      <c r="AF457" s="15" t="n">
        <f aca="false">IF(J457=0,0,S457/J457)</f>
        <v>0.211320754716981</v>
      </c>
      <c r="AG457" s="11" t="n">
        <f aca="false">IF(J457&gt;=INDEX(球季參數!$E$2:$E$4,MATCH($A457,球季參數!$A$2:$A$4,0)),1,0)</f>
        <v>0</v>
      </c>
    </row>
    <row r="458" customFormat="false" ht="15" hidden="false" customHeight="false" outlineLevel="0" collapsed="false">
      <c r="A458" s="5" t="n">
        <v>2025</v>
      </c>
      <c r="B458" s="7" t="s">
        <v>1089</v>
      </c>
      <c r="C458" s="10" t="str">
        <f aca="false">INDEX(球員主檔!$B$2:$B$749,MATCH($B458,球員主檔!$A$2:$A$749,0))</f>
        <v>Rhett Ulloa</v>
      </c>
      <c r="D458" s="7" t="s">
        <v>404</v>
      </c>
      <c r="E458" s="10" t="str">
        <f aca="false">INDEX(球隊主檔!$C$2:$C$31,MATCH($D458,球隊主檔!$A$2:$A$31,0))</f>
        <v>亞特蘭大勇士</v>
      </c>
      <c r="F458" s="10" t="str">
        <f aca="false">INDEX(球隊主檔!$D$2:$D$31,MATCH($D458,球隊主檔!$A$2:$A$31,0))</f>
        <v>國聯</v>
      </c>
      <c r="G458" s="7" t="s">
        <v>63</v>
      </c>
      <c r="H458" s="11" t="n">
        <f aca="false">INT((DATE($A458,7,1)-INDEX(球員主檔!$G$2:$G$749,MATCH($B458,球員主檔!$A$2:$A$749,0)))/365.25)</f>
        <v>28</v>
      </c>
      <c r="I458" s="12" t="n">
        <v>106</v>
      </c>
      <c r="J458" s="12" t="n">
        <v>438</v>
      </c>
      <c r="K458" s="12" t="n">
        <v>411</v>
      </c>
      <c r="L458" s="12" t="n">
        <v>59</v>
      </c>
      <c r="M458" s="12" t="n">
        <v>112</v>
      </c>
      <c r="N458" s="12" t="n">
        <v>37</v>
      </c>
      <c r="O458" s="12" t="n">
        <v>5</v>
      </c>
      <c r="P458" s="12" t="n">
        <v>17</v>
      </c>
      <c r="Q458" s="12" t="n">
        <v>58</v>
      </c>
      <c r="R458" s="12" t="n">
        <v>15</v>
      </c>
      <c r="S458" s="12" t="n">
        <v>60</v>
      </c>
      <c r="T458" s="12" t="n">
        <v>8</v>
      </c>
      <c r="U458" s="12" t="n">
        <v>4</v>
      </c>
      <c r="V458" s="12" t="n">
        <v>2</v>
      </c>
      <c r="W458" s="12" t="n">
        <v>1</v>
      </c>
      <c r="X458" s="13" t="n">
        <f aca="false">M458+N458+2*O458+3*P458</f>
        <v>210</v>
      </c>
      <c r="Y458" s="14" t="n">
        <f aca="false">IF(K458=0,0,M458/K458)</f>
        <v>0.272506082725061</v>
      </c>
      <c r="Z458" s="14" t="n">
        <f aca="false">IF(K458+R458+T458+U458=0,0,(M458+R458+T458)/(K458+R458+T458+U458))</f>
        <v>0.308219178082192</v>
      </c>
      <c r="AA458" s="14" t="n">
        <f aca="false">IF(K458=0,0,X458/K458)</f>
        <v>0.510948905109489</v>
      </c>
      <c r="AB458" s="14" t="n">
        <f aca="false">Z458+AA458</f>
        <v>0.819168083191681</v>
      </c>
      <c r="AC458" s="14" t="n">
        <f aca="false">AA458-Y458</f>
        <v>0.238442822384428</v>
      </c>
      <c r="AD458" s="14" t="n">
        <f aca="false">IF(K458-S458-P458+U458=0,0,(M458-P458)/(K458-S458-P458+U458))</f>
        <v>0.281065088757396</v>
      </c>
      <c r="AE458" s="15" t="n">
        <f aca="false">IF(J458=0,0,R458/J458)</f>
        <v>0.0342465753424658</v>
      </c>
      <c r="AF458" s="15" t="n">
        <f aca="false">IF(J458=0,0,S458/J458)</f>
        <v>0.136986301369863</v>
      </c>
      <c r="AG458" s="11" t="n">
        <f aca="false">IF(J458&gt;=INDEX(球季參數!$E$2:$E$4,MATCH($A458,球季參數!$A$2:$A$4,0)),1,0)</f>
        <v>0</v>
      </c>
    </row>
    <row r="459" customFormat="false" ht="15" hidden="false" customHeight="false" outlineLevel="0" collapsed="false">
      <c r="A459" s="5" t="n">
        <v>2025</v>
      </c>
      <c r="B459" s="7" t="s">
        <v>1091</v>
      </c>
      <c r="C459" s="10" t="str">
        <f aca="false">INDEX(球員主檔!$B$2:$B$749,MATCH($B459,球員主檔!$A$2:$A$749,0))</f>
        <v>Alonso Nakagawa</v>
      </c>
      <c r="D459" s="7" t="s">
        <v>404</v>
      </c>
      <c r="E459" s="10" t="str">
        <f aca="false">INDEX(球隊主檔!$C$2:$C$31,MATCH($D459,球隊主檔!$A$2:$A$31,0))</f>
        <v>亞特蘭大勇士</v>
      </c>
      <c r="F459" s="10" t="str">
        <f aca="false">INDEX(球隊主檔!$D$2:$D$31,MATCH($D459,球隊主檔!$A$2:$A$31,0))</f>
        <v>國聯</v>
      </c>
      <c r="G459" s="7" t="s">
        <v>478</v>
      </c>
      <c r="H459" s="11" t="n">
        <f aca="false">INT((DATE($A459,7,1)-INDEX(球員主檔!$G$2:$G$749,MATCH($B459,球員主檔!$A$2:$A$749,0)))/365.25)</f>
        <v>29</v>
      </c>
      <c r="I459" s="12" t="n">
        <v>114</v>
      </c>
      <c r="J459" s="12" t="n">
        <v>488</v>
      </c>
      <c r="K459" s="12" t="n">
        <v>432</v>
      </c>
      <c r="L459" s="12" t="n">
        <v>56</v>
      </c>
      <c r="M459" s="12" t="n">
        <v>101</v>
      </c>
      <c r="N459" s="12" t="n">
        <v>34</v>
      </c>
      <c r="O459" s="12" t="n">
        <v>3</v>
      </c>
      <c r="P459" s="12" t="n">
        <v>12</v>
      </c>
      <c r="Q459" s="12" t="n">
        <v>44</v>
      </c>
      <c r="R459" s="12" t="n">
        <v>46</v>
      </c>
      <c r="S459" s="12" t="n">
        <v>118</v>
      </c>
      <c r="T459" s="12" t="n">
        <v>5</v>
      </c>
      <c r="U459" s="12" t="n">
        <v>5</v>
      </c>
      <c r="V459" s="12" t="n">
        <v>4</v>
      </c>
      <c r="W459" s="12" t="n">
        <v>1</v>
      </c>
      <c r="X459" s="13" t="n">
        <f aca="false">M459+N459+2*O459+3*P459</f>
        <v>177</v>
      </c>
      <c r="Y459" s="14" t="n">
        <f aca="false">IF(K459=0,0,M459/K459)</f>
        <v>0.233796296296296</v>
      </c>
      <c r="Z459" s="14" t="n">
        <f aca="false">IF(K459+R459+T459+U459=0,0,(M459+R459+T459)/(K459+R459+T459+U459))</f>
        <v>0.311475409836066</v>
      </c>
      <c r="AA459" s="14" t="n">
        <f aca="false">IF(K459=0,0,X459/K459)</f>
        <v>0.409722222222222</v>
      </c>
      <c r="AB459" s="14" t="n">
        <f aca="false">Z459+AA459</f>
        <v>0.721197632058288</v>
      </c>
      <c r="AC459" s="14" t="n">
        <f aca="false">AA459-Y459</f>
        <v>0.175925925925926</v>
      </c>
      <c r="AD459" s="14" t="n">
        <f aca="false">IF(K459-S459-P459+U459=0,0,(M459-P459)/(K459-S459-P459+U459))</f>
        <v>0.289902280130293</v>
      </c>
      <c r="AE459" s="15" t="n">
        <f aca="false">IF(J459=0,0,R459/J459)</f>
        <v>0.0942622950819672</v>
      </c>
      <c r="AF459" s="15" t="n">
        <f aca="false">IF(J459=0,0,S459/J459)</f>
        <v>0.241803278688525</v>
      </c>
      <c r="AG459" s="11" t="n">
        <f aca="false">IF(J459&gt;=INDEX(球季參數!$E$2:$E$4,MATCH($A459,球季參數!$A$2:$A$4,0)),1,0)</f>
        <v>0</v>
      </c>
    </row>
    <row r="460" customFormat="false" ht="15" hidden="false" customHeight="false" outlineLevel="0" collapsed="false">
      <c r="A460" s="5" t="n">
        <v>2025</v>
      </c>
      <c r="B460" s="7" t="s">
        <v>1093</v>
      </c>
      <c r="C460" s="10" t="str">
        <f aca="false">INDEX(球員主檔!$B$2:$B$749,MATCH($B460,球員主檔!$A$2:$A$749,0))</f>
        <v>Benedikt Lindquist</v>
      </c>
      <c r="D460" s="7" t="s">
        <v>404</v>
      </c>
      <c r="E460" s="10" t="str">
        <f aca="false">INDEX(球隊主檔!$C$2:$C$31,MATCH($D460,球隊主檔!$A$2:$A$31,0))</f>
        <v>亞特蘭大勇士</v>
      </c>
      <c r="F460" s="10" t="str">
        <f aca="false">INDEX(球隊主檔!$D$2:$D$31,MATCH($D460,球隊主檔!$A$2:$A$31,0))</f>
        <v>國聯</v>
      </c>
      <c r="G460" s="7" t="s">
        <v>470</v>
      </c>
      <c r="H460" s="11" t="n">
        <f aca="false">INT((DATE($A460,7,1)-INDEX(球員主檔!$G$2:$G$749,MATCH($B460,球員主檔!$A$2:$A$749,0)))/365.25)</f>
        <v>27</v>
      </c>
      <c r="I460" s="12" t="n">
        <v>81</v>
      </c>
      <c r="J460" s="12" t="n">
        <v>338</v>
      </c>
      <c r="K460" s="12" t="n">
        <v>305</v>
      </c>
      <c r="L460" s="12" t="n">
        <v>47</v>
      </c>
      <c r="M460" s="12" t="n">
        <v>91</v>
      </c>
      <c r="N460" s="12" t="n">
        <v>22</v>
      </c>
      <c r="O460" s="12" t="n">
        <v>5</v>
      </c>
      <c r="P460" s="12" t="n">
        <v>17</v>
      </c>
      <c r="Q460" s="12" t="n">
        <v>55</v>
      </c>
      <c r="R460" s="12" t="n">
        <v>26</v>
      </c>
      <c r="S460" s="12" t="n">
        <v>129</v>
      </c>
      <c r="T460" s="12" t="n">
        <v>4</v>
      </c>
      <c r="U460" s="12" t="n">
        <v>3</v>
      </c>
      <c r="V460" s="12" t="n">
        <v>10</v>
      </c>
      <c r="W460" s="12" t="n">
        <v>2</v>
      </c>
      <c r="X460" s="13" t="n">
        <f aca="false">M460+N460+2*O460+3*P460</f>
        <v>174</v>
      </c>
      <c r="Y460" s="14" t="n">
        <f aca="false">IF(K460=0,0,M460/K460)</f>
        <v>0.298360655737705</v>
      </c>
      <c r="Z460" s="14" t="n">
        <f aca="false">IF(K460+R460+T460+U460=0,0,(M460+R460+T460)/(K460+R460+T460+U460))</f>
        <v>0.357988165680473</v>
      </c>
      <c r="AA460" s="14" t="n">
        <f aca="false">IF(K460=0,0,X460/K460)</f>
        <v>0.570491803278689</v>
      </c>
      <c r="AB460" s="14" t="n">
        <f aca="false">Z460+AA460</f>
        <v>0.928479968959162</v>
      </c>
      <c r="AC460" s="14" t="n">
        <f aca="false">AA460-Y460</f>
        <v>0.272131147540984</v>
      </c>
      <c r="AD460" s="14" t="n">
        <f aca="false">IF(K460-S460-P460+U460=0,0,(M460-P460)/(K460-S460-P460+U460))</f>
        <v>0.45679012345679</v>
      </c>
      <c r="AE460" s="15" t="n">
        <f aca="false">IF(J460=0,0,R460/J460)</f>
        <v>0.0769230769230769</v>
      </c>
      <c r="AF460" s="15" t="n">
        <f aca="false">IF(J460=0,0,S460/J460)</f>
        <v>0.381656804733728</v>
      </c>
      <c r="AG460" s="11" t="n">
        <f aca="false">IF(J460&gt;=INDEX(球季參數!$E$2:$E$4,MATCH($A460,球季參數!$A$2:$A$4,0)),1,0)</f>
        <v>0</v>
      </c>
    </row>
    <row r="461" customFormat="false" ht="15" hidden="false" customHeight="false" outlineLevel="0" collapsed="false">
      <c r="A461" s="5" t="n">
        <v>2025</v>
      </c>
      <c r="B461" s="7" t="s">
        <v>1095</v>
      </c>
      <c r="C461" s="10" t="str">
        <f aca="false">INDEX(球員主檔!$B$2:$B$749,MATCH($B461,球員主檔!$A$2:$A$749,0))</f>
        <v>Quentin Beckwith</v>
      </c>
      <c r="D461" s="7" t="s">
        <v>404</v>
      </c>
      <c r="E461" s="10" t="str">
        <f aca="false">INDEX(球隊主檔!$C$2:$C$31,MATCH($D461,球隊主檔!$A$2:$A$31,0))</f>
        <v>亞特蘭大勇士</v>
      </c>
      <c r="F461" s="10" t="str">
        <f aca="false">INDEX(球隊主檔!$D$2:$D$31,MATCH($D461,球隊主檔!$A$2:$A$31,0))</f>
        <v>國聯</v>
      </c>
      <c r="G461" s="7" t="s">
        <v>162</v>
      </c>
      <c r="H461" s="11" t="n">
        <f aca="false">INT((DATE($A461,7,1)-INDEX(球員主檔!$G$2:$G$749,MATCH($B461,球員主檔!$A$2:$A$749,0)))/365.25)</f>
        <v>27</v>
      </c>
      <c r="I461" s="12" t="n">
        <v>65</v>
      </c>
      <c r="J461" s="12" t="n">
        <v>255</v>
      </c>
      <c r="K461" s="12" t="n">
        <v>233</v>
      </c>
      <c r="L461" s="12" t="n">
        <v>23</v>
      </c>
      <c r="M461" s="12" t="n">
        <v>56</v>
      </c>
      <c r="N461" s="12" t="n">
        <v>29</v>
      </c>
      <c r="O461" s="12" t="n">
        <v>1</v>
      </c>
      <c r="P461" s="12" t="n">
        <v>3</v>
      </c>
      <c r="Q461" s="12" t="n">
        <v>18</v>
      </c>
      <c r="R461" s="12" t="n">
        <v>19</v>
      </c>
      <c r="S461" s="12" t="n">
        <v>53</v>
      </c>
      <c r="T461" s="12" t="n">
        <v>1</v>
      </c>
      <c r="U461" s="12" t="n">
        <v>2</v>
      </c>
      <c r="V461" s="12" t="n">
        <v>20</v>
      </c>
      <c r="W461" s="12" t="n">
        <v>4</v>
      </c>
      <c r="X461" s="13" t="n">
        <f aca="false">M461+N461+2*O461+3*P461</f>
        <v>96</v>
      </c>
      <c r="Y461" s="14" t="n">
        <f aca="false">IF(K461=0,0,M461/K461)</f>
        <v>0.240343347639485</v>
      </c>
      <c r="Z461" s="14" t="n">
        <f aca="false">IF(K461+R461+T461+U461=0,0,(M461+R461+T461)/(K461+R461+T461+U461))</f>
        <v>0.298039215686275</v>
      </c>
      <c r="AA461" s="14" t="n">
        <f aca="false">IF(K461=0,0,X461/K461)</f>
        <v>0.412017167381974</v>
      </c>
      <c r="AB461" s="14" t="n">
        <f aca="false">Z461+AA461</f>
        <v>0.710056383068249</v>
      </c>
      <c r="AC461" s="14" t="n">
        <f aca="false">AA461-Y461</f>
        <v>0.171673819742489</v>
      </c>
      <c r="AD461" s="14" t="n">
        <f aca="false">IF(K461-S461-P461+U461=0,0,(M461-P461)/(K461-S461-P461+U461))</f>
        <v>0.29608938547486</v>
      </c>
      <c r="AE461" s="15" t="n">
        <f aca="false">IF(J461=0,0,R461/J461)</f>
        <v>0.0745098039215686</v>
      </c>
      <c r="AF461" s="15" t="n">
        <f aca="false">IF(J461=0,0,S461/J461)</f>
        <v>0.207843137254902</v>
      </c>
      <c r="AG461" s="11" t="n">
        <f aca="false">IF(J461&gt;=INDEX(球季參數!$E$2:$E$4,MATCH($A461,球季參數!$A$2:$A$4,0)),1,0)</f>
        <v>0</v>
      </c>
    </row>
    <row r="462" customFormat="false" ht="15" hidden="false" customHeight="false" outlineLevel="0" collapsed="false">
      <c r="A462" s="5" t="n">
        <v>2025</v>
      </c>
      <c r="B462" s="7" t="s">
        <v>963</v>
      </c>
      <c r="C462" s="10" t="str">
        <f aca="false">INDEX(球員主檔!$B$2:$B$749,MATCH($B462,球員主檔!$A$2:$A$749,0))</f>
        <v>Cassius Rasmussen</v>
      </c>
      <c r="D462" s="7" t="s">
        <v>410</v>
      </c>
      <c r="E462" s="10" t="str">
        <f aca="false">INDEX(球隊主檔!$C$2:$C$31,MATCH($D462,球隊主檔!$A$2:$A$31,0))</f>
        <v>邁阿密馬林魚</v>
      </c>
      <c r="F462" s="10" t="str">
        <f aca="false">INDEX(球隊主檔!$D$2:$D$31,MATCH($D462,球隊主檔!$A$2:$A$31,0))</f>
        <v>國聯</v>
      </c>
      <c r="G462" s="7" t="s">
        <v>478</v>
      </c>
      <c r="H462" s="11" t="n">
        <f aca="false">INT((DATE($A462,7,1)-INDEX(球員主檔!$G$2:$G$749,MATCH($B462,球員主檔!$A$2:$A$749,0)))/365.25)</f>
        <v>25</v>
      </c>
      <c r="I462" s="12" t="n">
        <v>162</v>
      </c>
      <c r="J462" s="12" t="n">
        <v>660</v>
      </c>
      <c r="K462" s="12" t="n">
        <v>582</v>
      </c>
      <c r="L462" s="12" t="n">
        <v>67</v>
      </c>
      <c r="M462" s="12" t="n">
        <v>159</v>
      </c>
      <c r="N462" s="12" t="n">
        <v>32</v>
      </c>
      <c r="O462" s="12" t="n">
        <v>6</v>
      </c>
      <c r="P462" s="12" t="n">
        <v>16</v>
      </c>
      <c r="Q462" s="12" t="n">
        <v>70</v>
      </c>
      <c r="R462" s="12" t="n">
        <v>60</v>
      </c>
      <c r="S462" s="12" t="n">
        <v>219</v>
      </c>
      <c r="T462" s="12" t="n">
        <v>10</v>
      </c>
      <c r="U462" s="12" t="n">
        <v>8</v>
      </c>
      <c r="V462" s="12" t="n">
        <v>13</v>
      </c>
      <c r="W462" s="12" t="n">
        <v>2</v>
      </c>
      <c r="X462" s="13" t="n">
        <f aca="false">M462+N462+2*O462+3*P462</f>
        <v>251</v>
      </c>
      <c r="Y462" s="14" t="n">
        <f aca="false">IF(K462=0,0,M462/K462)</f>
        <v>0.27319587628866</v>
      </c>
      <c r="Z462" s="14" t="n">
        <f aca="false">IF(K462+R462+T462+U462=0,0,(M462+R462+T462)/(K462+R462+T462+U462))</f>
        <v>0.346969696969697</v>
      </c>
      <c r="AA462" s="14" t="n">
        <f aca="false">IF(K462=0,0,X462/K462)</f>
        <v>0.43127147766323</v>
      </c>
      <c r="AB462" s="14" t="n">
        <f aca="false">Z462+AA462</f>
        <v>0.778241174632927</v>
      </c>
      <c r="AC462" s="14" t="n">
        <f aca="false">AA462-Y462</f>
        <v>0.158075601374571</v>
      </c>
      <c r="AD462" s="14" t="n">
        <f aca="false">IF(K462-S462-P462+U462=0,0,(M462-P462)/(K462-S462-P462+U462))</f>
        <v>0.402816901408451</v>
      </c>
      <c r="AE462" s="15" t="n">
        <f aca="false">IF(J462=0,0,R462/J462)</f>
        <v>0.0909090909090909</v>
      </c>
      <c r="AF462" s="15" t="n">
        <f aca="false">IF(J462=0,0,S462/J462)</f>
        <v>0.331818181818182</v>
      </c>
      <c r="AG462" s="11" t="n">
        <f aca="false">IF(J462&gt;=INDEX(球季參數!$E$2:$E$4,MATCH($A462,球季參數!$A$2:$A$4,0)),1,0)</f>
        <v>1</v>
      </c>
    </row>
    <row r="463" customFormat="false" ht="15" hidden="false" customHeight="false" outlineLevel="0" collapsed="false">
      <c r="A463" s="5" t="n">
        <v>2025</v>
      </c>
      <c r="B463" s="7" t="s">
        <v>1119</v>
      </c>
      <c r="C463" s="10" t="str">
        <f aca="false">INDEX(球員主檔!$B$2:$B$749,MATCH($B463,球員主檔!$A$2:$A$749,0))</f>
        <v>Osvaldo Dunmore</v>
      </c>
      <c r="D463" s="7" t="s">
        <v>410</v>
      </c>
      <c r="E463" s="10" t="str">
        <f aca="false">INDEX(球隊主檔!$C$2:$C$31,MATCH($D463,球隊主檔!$A$2:$A$31,0))</f>
        <v>邁阿密馬林魚</v>
      </c>
      <c r="F463" s="10" t="str">
        <f aca="false">INDEX(球隊主檔!$D$2:$D$31,MATCH($D463,球隊主檔!$A$2:$A$31,0))</f>
        <v>國聯</v>
      </c>
      <c r="G463" s="7" t="s">
        <v>522</v>
      </c>
      <c r="H463" s="11" t="n">
        <f aca="false">INT((DATE($A463,7,1)-INDEX(球員主檔!$G$2:$G$749,MATCH($B463,球員主檔!$A$2:$A$749,0)))/365.25)</f>
        <v>23</v>
      </c>
      <c r="I463" s="12" t="n">
        <v>142</v>
      </c>
      <c r="J463" s="12" t="n">
        <v>629</v>
      </c>
      <c r="K463" s="12" t="n">
        <v>554</v>
      </c>
      <c r="L463" s="12" t="n">
        <v>73</v>
      </c>
      <c r="M463" s="12" t="n">
        <v>147</v>
      </c>
      <c r="N463" s="12" t="n">
        <v>28</v>
      </c>
      <c r="O463" s="12" t="n">
        <v>1</v>
      </c>
      <c r="P463" s="12" t="n">
        <v>7</v>
      </c>
      <c r="Q463" s="12" t="n">
        <v>45</v>
      </c>
      <c r="R463" s="12" t="n">
        <v>60</v>
      </c>
      <c r="S463" s="12" t="n">
        <v>113</v>
      </c>
      <c r="T463" s="12" t="n">
        <v>10</v>
      </c>
      <c r="U463" s="12" t="n">
        <v>5</v>
      </c>
      <c r="V463" s="12" t="n">
        <v>2</v>
      </c>
      <c r="W463" s="12" t="n">
        <v>1</v>
      </c>
      <c r="X463" s="13" t="n">
        <f aca="false">M463+N463+2*O463+3*P463</f>
        <v>198</v>
      </c>
      <c r="Y463" s="14" t="n">
        <f aca="false">IF(K463=0,0,M463/K463)</f>
        <v>0.265342960288809</v>
      </c>
      <c r="Z463" s="14" t="n">
        <f aca="false">IF(K463+R463+T463+U463=0,0,(M463+R463+T463)/(K463+R463+T463+U463))</f>
        <v>0.344992050874404</v>
      </c>
      <c r="AA463" s="14" t="n">
        <f aca="false">IF(K463=0,0,X463/K463)</f>
        <v>0.357400722021661</v>
      </c>
      <c r="AB463" s="14" t="n">
        <f aca="false">Z463+AA463</f>
        <v>0.702392772896065</v>
      </c>
      <c r="AC463" s="14" t="n">
        <f aca="false">AA463-Y463</f>
        <v>0.092057761732852</v>
      </c>
      <c r="AD463" s="14" t="n">
        <f aca="false">IF(K463-S463-P463+U463=0,0,(M463-P463)/(K463-S463-P463+U463))</f>
        <v>0.318906605922551</v>
      </c>
      <c r="AE463" s="15" t="n">
        <f aca="false">IF(J463=0,0,R463/J463)</f>
        <v>0.095389507154213</v>
      </c>
      <c r="AF463" s="15" t="n">
        <f aca="false">IF(J463=0,0,S463/J463)</f>
        <v>0.179650238473768</v>
      </c>
      <c r="AG463" s="11" t="n">
        <f aca="false">IF(J463&gt;=INDEX(球季參數!$E$2:$E$4,MATCH($A463,球季參數!$A$2:$A$4,0)),1,0)</f>
        <v>1</v>
      </c>
    </row>
    <row r="464" customFormat="false" ht="15" hidden="false" customHeight="false" outlineLevel="0" collapsed="false">
      <c r="A464" s="5" t="n">
        <v>2025</v>
      </c>
      <c r="B464" s="7" t="s">
        <v>1745</v>
      </c>
      <c r="C464" s="10" t="str">
        <f aca="false">INDEX(球員主檔!$B$2:$B$749,MATCH($B464,球員主檔!$A$2:$A$749,0))</f>
        <v>Hugo Uchendu</v>
      </c>
      <c r="D464" s="7" t="s">
        <v>410</v>
      </c>
      <c r="E464" s="10" t="str">
        <f aca="false">INDEX(球隊主檔!$C$2:$C$31,MATCH($D464,球隊主檔!$A$2:$A$31,0))</f>
        <v>邁阿密馬林魚</v>
      </c>
      <c r="F464" s="10" t="str">
        <f aca="false">INDEX(球隊主檔!$D$2:$D$31,MATCH($D464,球隊主檔!$A$2:$A$31,0))</f>
        <v>國聯</v>
      </c>
      <c r="G464" s="7" t="s">
        <v>473</v>
      </c>
      <c r="H464" s="11" t="n">
        <f aca="false">INT((DATE($A464,7,1)-INDEX(球員主檔!$G$2:$G$749,MATCH($B464,球員主檔!$A$2:$A$749,0)))/365.25)</f>
        <v>22</v>
      </c>
      <c r="I464" s="12" t="n">
        <v>162</v>
      </c>
      <c r="J464" s="12" t="n">
        <v>692</v>
      </c>
      <c r="K464" s="12" t="n">
        <v>607</v>
      </c>
      <c r="L464" s="12" t="n">
        <v>74</v>
      </c>
      <c r="M464" s="12" t="n">
        <v>167</v>
      </c>
      <c r="N464" s="12" t="n">
        <v>31</v>
      </c>
      <c r="O464" s="12" t="n">
        <v>13</v>
      </c>
      <c r="P464" s="12" t="n">
        <v>10</v>
      </c>
      <c r="Q464" s="12" t="n">
        <v>63</v>
      </c>
      <c r="R464" s="12" t="n">
        <v>70</v>
      </c>
      <c r="S464" s="12" t="n">
        <v>156</v>
      </c>
      <c r="T464" s="12" t="n">
        <v>9</v>
      </c>
      <c r="U464" s="12" t="n">
        <v>6</v>
      </c>
      <c r="V464" s="12" t="n">
        <v>30</v>
      </c>
      <c r="W464" s="12" t="n">
        <v>10</v>
      </c>
      <c r="X464" s="13" t="n">
        <f aca="false">M464+N464+2*O464+3*P464</f>
        <v>254</v>
      </c>
      <c r="Y464" s="14" t="n">
        <f aca="false">IF(K464=0,0,M464/K464)</f>
        <v>0.275123558484349</v>
      </c>
      <c r="Z464" s="14" t="n">
        <f aca="false">IF(K464+R464+T464+U464=0,0,(M464+R464+T464)/(K464+R464+T464+U464))</f>
        <v>0.355491329479769</v>
      </c>
      <c r="AA464" s="14" t="n">
        <f aca="false">IF(K464=0,0,X464/K464)</f>
        <v>0.418451400329489</v>
      </c>
      <c r="AB464" s="14" t="n">
        <f aca="false">Z464+AA464</f>
        <v>0.773942729809258</v>
      </c>
      <c r="AC464" s="14" t="n">
        <f aca="false">AA464-Y464</f>
        <v>0.14332784184514</v>
      </c>
      <c r="AD464" s="14" t="n">
        <f aca="false">IF(K464-S464-P464+U464=0,0,(M464-P464)/(K464-S464-P464+U464))</f>
        <v>0.351230425055928</v>
      </c>
      <c r="AE464" s="15" t="n">
        <f aca="false">IF(J464=0,0,R464/J464)</f>
        <v>0.101156069364162</v>
      </c>
      <c r="AF464" s="15" t="n">
        <f aca="false">IF(J464=0,0,S464/J464)</f>
        <v>0.225433526011561</v>
      </c>
      <c r="AG464" s="11" t="n">
        <f aca="false">IF(J464&gt;=INDEX(球季參數!$E$2:$E$4,MATCH($A464,球季參數!$A$2:$A$4,0)),1,0)</f>
        <v>1</v>
      </c>
    </row>
    <row r="465" customFormat="false" ht="15" hidden="false" customHeight="false" outlineLevel="0" collapsed="false">
      <c r="A465" s="5" t="n">
        <v>2025</v>
      </c>
      <c r="B465" s="7" t="s">
        <v>1747</v>
      </c>
      <c r="C465" s="10" t="str">
        <f aca="false">INDEX(球員主檔!$B$2:$B$749,MATCH($B465,球員主檔!$A$2:$A$749,0))</f>
        <v>Jedidiah Alcorn</v>
      </c>
      <c r="D465" s="7" t="s">
        <v>410</v>
      </c>
      <c r="E465" s="10" t="str">
        <f aca="false">INDEX(球隊主檔!$C$2:$C$31,MATCH($D465,球隊主檔!$A$2:$A$31,0))</f>
        <v>邁阿密馬林魚</v>
      </c>
      <c r="F465" s="10" t="str">
        <f aca="false">INDEX(球隊主檔!$D$2:$D$31,MATCH($D465,球隊主檔!$A$2:$A$31,0))</f>
        <v>國聯</v>
      </c>
      <c r="G465" s="7" t="s">
        <v>483</v>
      </c>
      <c r="H465" s="11" t="n">
        <f aca="false">INT((DATE($A465,7,1)-INDEX(球員主檔!$G$2:$G$749,MATCH($B465,球員主檔!$A$2:$A$749,0)))/365.25)</f>
        <v>26</v>
      </c>
      <c r="I465" s="12" t="n">
        <v>145</v>
      </c>
      <c r="J465" s="12" t="n">
        <v>640</v>
      </c>
      <c r="K465" s="12" t="n">
        <v>581</v>
      </c>
      <c r="L465" s="12" t="n">
        <v>60</v>
      </c>
      <c r="M465" s="12" t="n">
        <v>145</v>
      </c>
      <c r="N465" s="12" t="n">
        <v>34</v>
      </c>
      <c r="O465" s="12" t="n">
        <v>12</v>
      </c>
      <c r="P465" s="12" t="n">
        <v>4</v>
      </c>
      <c r="Q465" s="12" t="n">
        <v>35</v>
      </c>
      <c r="R465" s="12" t="n">
        <v>40</v>
      </c>
      <c r="S465" s="12" t="n">
        <v>119</v>
      </c>
      <c r="T465" s="12" t="n">
        <v>12</v>
      </c>
      <c r="U465" s="12" t="n">
        <v>7</v>
      </c>
      <c r="V465" s="12" t="n">
        <v>12</v>
      </c>
      <c r="W465" s="12" t="n">
        <v>3</v>
      </c>
      <c r="X465" s="13" t="n">
        <f aca="false">M465+N465+2*O465+3*P465</f>
        <v>215</v>
      </c>
      <c r="Y465" s="14" t="n">
        <f aca="false">IF(K465=0,0,M465/K465)</f>
        <v>0.249569707401033</v>
      </c>
      <c r="Z465" s="14" t="n">
        <f aca="false">IF(K465+R465+T465+U465=0,0,(M465+R465+T465)/(K465+R465+T465+U465))</f>
        <v>0.3078125</v>
      </c>
      <c r="AA465" s="14" t="n">
        <f aca="false">IF(K465=0,0,X465/K465)</f>
        <v>0.370051635111876</v>
      </c>
      <c r="AB465" s="14" t="n">
        <f aca="false">Z465+AA465</f>
        <v>0.677864135111876</v>
      </c>
      <c r="AC465" s="14" t="n">
        <f aca="false">AA465-Y465</f>
        <v>0.120481927710843</v>
      </c>
      <c r="AD465" s="14" t="n">
        <f aca="false">IF(K465-S465-P465+U465=0,0,(M465-P465)/(K465-S465-P465+U465))</f>
        <v>0.303225806451613</v>
      </c>
      <c r="AE465" s="15" t="n">
        <f aca="false">IF(J465=0,0,R465/J465)</f>
        <v>0.0625</v>
      </c>
      <c r="AF465" s="15" t="n">
        <f aca="false">IF(J465=0,0,S465/J465)</f>
        <v>0.1859375</v>
      </c>
      <c r="AG465" s="11" t="n">
        <f aca="false">IF(J465&gt;=INDEX(球季參數!$E$2:$E$4,MATCH($A465,球季參數!$A$2:$A$4,0)),1,0)</f>
        <v>1</v>
      </c>
    </row>
    <row r="466" customFormat="false" ht="15" hidden="false" customHeight="false" outlineLevel="0" collapsed="false">
      <c r="A466" s="5" t="n">
        <v>2025</v>
      </c>
      <c r="B466" s="7" t="s">
        <v>1125</v>
      </c>
      <c r="C466" s="10" t="str">
        <f aca="false">INDEX(球員主檔!$B$2:$B$749,MATCH($B466,球員主檔!$A$2:$A$749,0))</f>
        <v>Leandro Lemieux</v>
      </c>
      <c r="D466" s="7" t="s">
        <v>410</v>
      </c>
      <c r="E466" s="10" t="str">
        <f aca="false">INDEX(球隊主檔!$C$2:$C$31,MATCH($D466,球隊主檔!$A$2:$A$31,0))</f>
        <v>邁阿密馬林魚</v>
      </c>
      <c r="F466" s="10" t="str">
        <f aca="false">INDEX(球隊主檔!$D$2:$D$31,MATCH($D466,球隊主檔!$A$2:$A$31,0))</f>
        <v>國聯</v>
      </c>
      <c r="G466" s="7" t="s">
        <v>473</v>
      </c>
      <c r="H466" s="11" t="n">
        <f aca="false">INT((DATE($A466,7,1)-INDEX(球員主檔!$G$2:$G$749,MATCH($B466,球員主檔!$A$2:$A$749,0)))/365.25)</f>
        <v>27</v>
      </c>
      <c r="I466" s="12" t="n">
        <v>162</v>
      </c>
      <c r="J466" s="12" t="n">
        <v>680</v>
      </c>
      <c r="K466" s="12" t="n">
        <v>613</v>
      </c>
      <c r="L466" s="12" t="n">
        <v>79</v>
      </c>
      <c r="M466" s="12" t="n">
        <v>155</v>
      </c>
      <c r="N466" s="12" t="n">
        <v>29</v>
      </c>
      <c r="O466" s="12" t="n">
        <v>2</v>
      </c>
      <c r="P466" s="12" t="n">
        <v>15</v>
      </c>
      <c r="Q466" s="12" t="n">
        <v>68</v>
      </c>
      <c r="R466" s="12" t="n">
        <v>52</v>
      </c>
      <c r="S466" s="12" t="n">
        <v>204</v>
      </c>
      <c r="T466" s="12" t="n">
        <v>14</v>
      </c>
      <c r="U466" s="12" t="n">
        <v>1</v>
      </c>
      <c r="V466" s="12" t="n">
        <v>14</v>
      </c>
      <c r="W466" s="12" t="n">
        <v>2</v>
      </c>
      <c r="X466" s="13" t="n">
        <f aca="false">M466+N466+2*O466+3*P466</f>
        <v>233</v>
      </c>
      <c r="Y466" s="14" t="n">
        <f aca="false">IF(K466=0,0,M466/K466)</f>
        <v>0.252854812398042</v>
      </c>
      <c r="Z466" s="14" t="n">
        <f aca="false">IF(K466+R466+T466+U466=0,0,(M466+R466+T466)/(K466+R466+T466+U466))</f>
        <v>0.325</v>
      </c>
      <c r="AA466" s="14" t="n">
        <f aca="false">IF(K466=0,0,X466/K466)</f>
        <v>0.380097879282219</v>
      </c>
      <c r="AB466" s="14" t="n">
        <f aca="false">Z466+AA466</f>
        <v>0.705097879282219</v>
      </c>
      <c r="AC466" s="14" t="n">
        <f aca="false">AA466-Y466</f>
        <v>0.127243066884176</v>
      </c>
      <c r="AD466" s="14" t="n">
        <f aca="false">IF(K466-S466-P466+U466=0,0,(M466-P466)/(K466-S466-P466+U466))</f>
        <v>0.354430379746835</v>
      </c>
      <c r="AE466" s="15" t="n">
        <f aca="false">IF(J466=0,0,R466/J466)</f>
        <v>0.0764705882352941</v>
      </c>
      <c r="AF466" s="15" t="n">
        <f aca="false">IF(J466=0,0,S466/J466)</f>
        <v>0.3</v>
      </c>
      <c r="AG466" s="11" t="n">
        <f aca="false">IF(J466&gt;=INDEX(球季參數!$E$2:$E$4,MATCH($A466,球季參數!$A$2:$A$4,0)),1,0)</f>
        <v>1</v>
      </c>
    </row>
    <row r="467" customFormat="false" ht="15" hidden="false" customHeight="false" outlineLevel="0" collapsed="false">
      <c r="A467" s="5" t="n">
        <v>2025</v>
      </c>
      <c r="B467" s="7" t="s">
        <v>1127</v>
      </c>
      <c r="C467" s="10" t="str">
        <f aca="false">INDEX(球員主檔!$B$2:$B$749,MATCH($B467,球員主檔!$A$2:$A$749,0))</f>
        <v>Jedidiah Ashworth</v>
      </c>
      <c r="D467" s="7" t="s">
        <v>410</v>
      </c>
      <c r="E467" s="10" t="str">
        <f aca="false">INDEX(球隊主檔!$C$2:$C$31,MATCH($D467,球隊主檔!$A$2:$A$31,0))</f>
        <v>邁阿密馬林魚</v>
      </c>
      <c r="F467" s="10" t="str">
        <f aca="false">INDEX(球隊主檔!$D$2:$D$31,MATCH($D467,球隊主檔!$A$2:$A$31,0))</f>
        <v>國聯</v>
      </c>
      <c r="G467" s="7" t="s">
        <v>478</v>
      </c>
      <c r="H467" s="11" t="n">
        <f aca="false">INT((DATE($A467,7,1)-INDEX(球員主檔!$G$2:$G$749,MATCH($B467,球員主檔!$A$2:$A$749,0)))/365.25)</f>
        <v>31</v>
      </c>
      <c r="I467" s="12" t="n">
        <v>85</v>
      </c>
      <c r="J467" s="12" t="n">
        <v>370</v>
      </c>
      <c r="K467" s="12" t="n">
        <v>329</v>
      </c>
      <c r="L467" s="12" t="n">
        <v>43</v>
      </c>
      <c r="M467" s="12" t="n">
        <v>86</v>
      </c>
      <c r="N467" s="12" t="n">
        <v>26</v>
      </c>
      <c r="O467" s="12" t="n">
        <v>6</v>
      </c>
      <c r="P467" s="12" t="n">
        <v>3</v>
      </c>
      <c r="Q467" s="12" t="n">
        <v>28</v>
      </c>
      <c r="R467" s="12" t="n">
        <v>31</v>
      </c>
      <c r="S467" s="12" t="n">
        <v>75</v>
      </c>
      <c r="T467" s="12" t="n">
        <v>6</v>
      </c>
      <c r="U467" s="12" t="n">
        <v>4</v>
      </c>
      <c r="V467" s="12" t="n">
        <v>4</v>
      </c>
      <c r="W467" s="12" t="n">
        <v>1</v>
      </c>
      <c r="X467" s="13" t="n">
        <f aca="false">M467+N467+2*O467+3*P467</f>
        <v>133</v>
      </c>
      <c r="Y467" s="14" t="n">
        <f aca="false">IF(K467=0,0,M467/K467)</f>
        <v>0.261398176291793</v>
      </c>
      <c r="Z467" s="14" t="n">
        <f aca="false">IF(K467+R467+T467+U467=0,0,(M467+R467+T467)/(K467+R467+T467+U467))</f>
        <v>0.332432432432432</v>
      </c>
      <c r="AA467" s="14" t="n">
        <f aca="false">IF(K467=0,0,X467/K467)</f>
        <v>0.404255319148936</v>
      </c>
      <c r="AB467" s="14" t="n">
        <f aca="false">Z467+AA467</f>
        <v>0.736687751581369</v>
      </c>
      <c r="AC467" s="14" t="n">
        <f aca="false">AA467-Y467</f>
        <v>0.142857142857143</v>
      </c>
      <c r="AD467" s="14" t="n">
        <f aca="false">IF(K467-S467-P467+U467=0,0,(M467-P467)/(K467-S467-P467+U467))</f>
        <v>0.325490196078431</v>
      </c>
      <c r="AE467" s="15" t="n">
        <f aca="false">IF(J467=0,0,R467/J467)</f>
        <v>0.0837837837837838</v>
      </c>
      <c r="AF467" s="15" t="n">
        <f aca="false">IF(J467=0,0,S467/J467)</f>
        <v>0.202702702702703</v>
      </c>
      <c r="AG467" s="11" t="n">
        <f aca="false">IF(J467&gt;=INDEX(球季參數!$E$2:$E$4,MATCH($A467,球季參數!$A$2:$A$4,0)),1,0)</f>
        <v>0</v>
      </c>
    </row>
    <row r="468" customFormat="false" ht="15" hidden="false" customHeight="false" outlineLevel="0" collapsed="false">
      <c r="A468" s="5" t="n">
        <v>2025</v>
      </c>
      <c r="B468" s="7" t="s">
        <v>1129</v>
      </c>
      <c r="C468" s="10" t="str">
        <f aca="false">INDEX(球員主檔!$B$2:$B$749,MATCH($B468,球員主檔!$A$2:$A$749,0))</f>
        <v>Caspian Fontaine</v>
      </c>
      <c r="D468" s="7" t="s">
        <v>410</v>
      </c>
      <c r="E468" s="10" t="str">
        <f aca="false">INDEX(球隊主檔!$C$2:$C$31,MATCH($D468,球隊主檔!$A$2:$A$31,0))</f>
        <v>邁阿密馬林魚</v>
      </c>
      <c r="F468" s="10" t="str">
        <f aca="false">INDEX(球隊主檔!$D$2:$D$31,MATCH($D468,球隊主檔!$A$2:$A$31,0))</f>
        <v>國聯</v>
      </c>
      <c r="G468" s="7" t="s">
        <v>478</v>
      </c>
      <c r="H468" s="11" t="n">
        <f aca="false">INT((DATE($A468,7,1)-INDEX(球員主檔!$G$2:$G$749,MATCH($B468,球員主檔!$A$2:$A$749,0)))/365.25)</f>
        <v>29</v>
      </c>
      <c r="I468" s="12" t="n">
        <v>101</v>
      </c>
      <c r="J468" s="12" t="n">
        <v>455</v>
      </c>
      <c r="K468" s="12" t="n">
        <v>424</v>
      </c>
      <c r="L468" s="12" t="n">
        <v>51</v>
      </c>
      <c r="M468" s="12" t="n">
        <v>122</v>
      </c>
      <c r="N468" s="12" t="n">
        <v>31</v>
      </c>
      <c r="O468" s="12" t="n">
        <v>3</v>
      </c>
      <c r="P468" s="12" t="n">
        <v>12</v>
      </c>
      <c r="Q468" s="12" t="n">
        <v>57</v>
      </c>
      <c r="R468" s="12" t="n">
        <v>22</v>
      </c>
      <c r="S468" s="12" t="n">
        <v>81</v>
      </c>
      <c r="T468" s="12" t="n">
        <v>5</v>
      </c>
      <c r="U468" s="12" t="n">
        <v>4</v>
      </c>
      <c r="V468" s="12" t="n">
        <v>0</v>
      </c>
      <c r="W468" s="12" t="n">
        <v>0</v>
      </c>
      <c r="X468" s="13" t="n">
        <f aca="false">M468+N468+2*O468+3*P468</f>
        <v>195</v>
      </c>
      <c r="Y468" s="14" t="n">
        <f aca="false">IF(K468=0,0,M468/K468)</f>
        <v>0.287735849056604</v>
      </c>
      <c r="Z468" s="14" t="n">
        <f aca="false">IF(K468+R468+T468+U468=0,0,(M468+R468+T468)/(K468+R468+T468+U468))</f>
        <v>0.327472527472528</v>
      </c>
      <c r="AA468" s="14" t="n">
        <f aca="false">IF(K468=0,0,X468/K468)</f>
        <v>0.459905660377358</v>
      </c>
      <c r="AB468" s="14" t="n">
        <f aca="false">Z468+AA468</f>
        <v>0.787378187849886</v>
      </c>
      <c r="AC468" s="14" t="n">
        <f aca="false">AA468-Y468</f>
        <v>0.172169811320755</v>
      </c>
      <c r="AD468" s="14" t="n">
        <f aca="false">IF(K468-S468-P468+U468=0,0,(M468-P468)/(K468-S468-P468+U468))</f>
        <v>0.328358208955224</v>
      </c>
      <c r="AE468" s="15" t="n">
        <f aca="false">IF(J468=0,0,R468/J468)</f>
        <v>0.0483516483516484</v>
      </c>
      <c r="AF468" s="15" t="n">
        <f aca="false">IF(J468=0,0,S468/J468)</f>
        <v>0.178021978021978</v>
      </c>
      <c r="AG468" s="11" t="n">
        <f aca="false">IF(J468&gt;=INDEX(球季參數!$E$2:$E$4,MATCH($A468,球季參數!$A$2:$A$4,0)),1,0)</f>
        <v>0</v>
      </c>
    </row>
    <row r="469" customFormat="false" ht="15" hidden="false" customHeight="false" outlineLevel="0" collapsed="false">
      <c r="A469" s="5" t="n">
        <v>2025</v>
      </c>
      <c r="B469" s="7" t="s">
        <v>1749</v>
      </c>
      <c r="C469" s="10" t="str">
        <f aca="false">INDEX(球員主檔!$B$2:$B$749,MATCH($B469,球員主檔!$A$2:$A$749,0))</f>
        <v>Porter Prendergast</v>
      </c>
      <c r="D469" s="7" t="s">
        <v>410</v>
      </c>
      <c r="E469" s="10" t="str">
        <f aca="false">INDEX(球隊主檔!$C$2:$C$31,MATCH($D469,球隊主檔!$A$2:$A$31,0))</f>
        <v>邁阿密馬林魚</v>
      </c>
      <c r="F469" s="10" t="str">
        <f aca="false">INDEX(球隊主檔!$D$2:$D$31,MATCH($D469,球隊主檔!$A$2:$A$31,0))</f>
        <v>國聯</v>
      </c>
      <c r="G469" s="7" t="s">
        <v>522</v>
      </c>
      <c r="H469" s="11" t="n">
        <f aca="false">INT((DATE($A469,7,1)-INDEX(球員主檔!$G$2:$G$749,MATCH($B469,球員主檔!$A$2:$A$749,0)))/365.25)</f>
        <v>24</v>
      </c>
      <c r="I469" s="12" t="n">
        <v>107</v>
      </c>
      <c r="J469" s="12" t="n">
        <v>412</v>
      </c>
      <c r="K469" s="12" t="n">
        <v>358</v>
      </c>
      <c r="L469" s="12" t="n">
        <v>65</v>
      </c>
      <c r="M469" s="12" t="n">
        <v>103</v>
      </c>
      <c r="N469" s="12" t="n">
        <v>14</v>
      </c>
      <c r="O469" s="12" t="n">
        <v>3</v>
      </c>
      <c r="P469" s="12" t="n">
        <v>27</v>
      </c>
      <c r="Q469" s="12" t="n">
        <v>69</v>
      </c>
      <c r="R469" s="12" t="n">
        <v>49</v>
      </c>
      <c r="S469" s="12" t="n">
        <v>92</v>
      </c>
      <c r="T469" s="12" t="n">
        <v>3</v>
      </c>
      <c r="U469" s="12" t="n">
        <v>2</v>
      </c>
      <c r="V469" s="12" t="n">
        <v>23</v>
      </c>
      <c r="W469" s="12" t="n">
        <v>6</v>
      </c>
      <c r="X469" s="13" t="n">
        <f aca="false">M469+N469+2*O469+3*P469</f>
        <v>204</v>
      </c>
      <c r="Y469" s="14" t="n">
        <f aca="false">IF(K469=0,0,M469/K469)</f>
        <v>0.287709497206704</v>
      </c>
      <c r="Z469" s="14" t="n">
        <f aca="false">IF(K469+R469+T469+U469=0,0,(M469+R469+T469)/(K469+R469+T469+U469))</f>
        <v>0.37621359223301</v>
      </c>
      <c r="AA469" s="14" t="n">
        <f aca="false">IF(K469=0,0,X469/K469)</f>
        <v>0.569832402234637</v>
      </c>
      <c r="AB469" s="14" t="n">
        <f aca="false">Z469+AA469</f>
        <v>0.946045994467647</v>
      </c>
      <c r="AC469" s="14" t="n">
        <f aca="false">AA469-Y469</f>
        <v>0.282122905027933</v>
      </c>
      <c r="AD469" s="14" t="n">
        <f aca="false">IF(K469-S469-P469+U469=0,0,(M469-P469)/(K469-S469-P469+U469))</f>
        <v>0.315352697095436</v>
      </c>
      <c r="AE469" s="15" t="n">
        <f aca="false">IF(J469=0,0,R469/J469)</f>
        <v>0.118932038834951</v>
      </c>
      <c r="AF469" s="15" t="n">
        <f aca="false">IF(J469=0,0,S469/J469)</f>
        <v>0.223300970873786</v>
      </c>
      <c r="AG469" s="11" t="n">
        <f aca="false">IF(J469&gt;=INDEX(球季參數!$E$2:$E$4,MATCH($A469,球季參數!$A$2:$A$4,0)),1,0)</f>
        <v>0</v>
      </c>
    </row>
    <row r="470" customFormat="false" ht="15" hidden="false" customHeight="false" outlineLevel="0" collapsed="false">
      <c r="A470" s="5" t="n">
        <v>2025</v>
      </c>
      <c r="B470" s="7" t="s">
        <v>1133</v>
      </c>
      <c r="C470" s="10" t="str">
        <f aca="false">INDEX(球員主檔!$B$2:$B$749,MATCH($B470,球員主檔!$A$2:$A$749,0))</f>
        <v>Camilo Arceneaux</v>
      </c>
      <c r="D470" s="7" t="s">
        <v>410</v>
      </c>
      <c r="E470" s="10" t="str">
        <f aca="false">INDEX(球隊主檔!$C$2:$C$31,MATCH($D470,球隊主檔!$A$2:$A$31,0))</f>
        <v>邁阿密馬林魚</v>
      </c>
      <c r="F470" s="10" t="str">
        <f aca="false">INDEX(球隊主檔!$D$2:$D$31,MATCH($D470,球隊主檔!$A$2:$A$31,0))</f>
        <v>國聯</v>
      </c>
      <c r="G470" s="7" t="s">
        <v>473</v>
      </c>
      <c r="H470" s="11" t="n">
        <f aca="false">INT((DATE($A470,7,1)-INDEX(球員主檔!$G$2:$G$749,MATCH($B470,球員主檔!$A$2:$A$749,0)))/365.25)</f>
        <v>24</v>
      </c>
      <c r="I470" s="12" t="n">
        <v>59</v>
      </c>
      <c r="J470" s="12" t="n">
        <v>262</v>
      </c>
      <c r="K470" s="12" t="n">
        <v>239</v>
      </c>
      <c r="L470" s="12" t="n">
        <v>26</v>
      </c>
      <c r="M470" s="12" t="n">
        <v>61</v>
      </c>
      <c r="N470" s="12" t="n">
        <v>22</v>
      </c>
      <c r="O470" s="12" t="n">
        <v>6</v>
      </c>
      <c r="P470" s="12" t="n">
        <v>4</v>
      </c>
      <c r="Q470" s="12" t="n">
        <v>27</v>
      </c>
      <c r="R470" s="12" t="n">
        <v>20</v>
      </c>
      <c r="S470" s="12" t="n">
        <v>68</v>
      </c>
      <c r="T470" s="12" t="n">
        <v>1</v>
      </c>
      <c r="U470" s="12" t="n">
        <v>2</v>
      </c>
      <c r="V470" s="12" t="n">
        <v>6</v>
      </c>
      <c r="W470" s="12" t="n">
        <v>1</v>
      </c>
      <c r="X470" s="13" t="n">
        <f aca="false">M470+N470+2*O470+3*P470</f>
        <v>107</v>
      </c>
      <c r="Y470" s="14" t="n">
        <f aca="false">IF(K470=0,0,M470/K470)</f>
        <v>0.255230125523013</v>
      </c>
      <c r="Z470" s="14" t="n">
        <f aca="false">IF(K470+R470+T470+U470=0,0,(M470+R470+T470)/(K470+R470+T470+U470))</f>
        <v>0.312977099236641</v>
      </c>
      <c r="AA470" s="14" t="n">
        <f aca="false">IF(K470=0,0,X470/K470)</f>
        <v>0.447698744769875</v>
      </c>
      <c r="AB470" s="14" t="n">
        <f aca="false">Z470+AA470</f>
        <v>0.760675844006516</v>
      </c>
      <c r="AC470" s="14" t="n">
        <f aca="false">AA470-Y470</f>
        <v>0.192468619246862</v>
      </c>
      <c r="AD470" s="14" t="n">
        <f aca="false">IF(K470-S470-P470+U470=0,0,(M470-P470)/(K470-S470-P470+U470))</f>
        <v>0.337278106508876</v>
      </c>
      <c r="AE470" s="15" t="n">
        <f aca="false">IF(J470=0,0,R470/J470)</f>
        <v>0.0763358778625954</v>
      </c>
      <c r="AF470" s="15" t="n">
        <f aca="false">IF(J470=0,0,S470/J470)</f>
        <v>0.259541984732824</v>
      </c>
      <c r="AG470" s="11" t="n">
        <f aca="false">IF(J470&gt;=INDEX(球季參數!$E$2:$E$4,MATCH($A470,球季參數!$A$2:$A$4,0)),1,0)</f>
        <v>0</v>
      </c>
    </row>
    <row r="471" customFormat="false" ht="15" hidden="false" customHeight="false" outlineLevel="0" collapsed="false">
      <c r="A471" s="5" t="n">
        <v>2025</v>
      </c>
      <c r="B471" s="7" t="s">
        <v>1751</v>
      </c>
      <c r="C471" s="10" t="str">
        <f aca="false">INDEX(球員主檔!$B$2:$B$749,MATCH($B471,球員主檔!$A$2:$A$749,0))</f>
        <v>Osvaldo Okafor</v>
      </c>
      <c r="D471" s="7" t="s">
        <v>410</v>
      </c>
      <c r="E471" s="10" t="str">
        <f aca="false">INDEX(球隊主檔!$C$2:$C$31,MATCH($D471,球隊主檔!$A$2:$A$31,0))</f>
        <v>邁阿密馬林魚</v>
      </c>
      <c r="F471" s="10" t="str">
        <f aca="false">INDEX(球隊主檔!$D$2:$D$31,MATCH($D471,球隊主檔!$A$2:$A$31,0))</f>
        <v>國聯</v>
      </c>
      <c r="G471" s="7" t="s">
        <v>522</v>
      </c>
      <c r="H471" s="11" t="n">
        <f aca="false">INT((DATE($A471,7,1)-INDEX(球員主檔!$G$2:$G$749,MATCH($B471,球員主檔!$A$2:$A$749,0)))/365.25)</f>
        <v>25</v>
      </c>
      <c r="I471" s="12" t="n">
        <v>41</v>
      </c>
      <c r="J471" s="12" t="n">
        <v>172</v>
      </c>
      <c r="K471" s="12" t="n">
        <v>157</v>
      </c>
      <c r="L471" s="12" t="n">
        <v>19</v>
      </c>
      <c r="M471" s="12" t="n">
        <v>40</v>
      </c>
      <c r="N471" s="12" t="n">
        <v>6</v>
      </c>
      <c r="O471" s="12" t="n">
        <v>1</v>
      </c>
      <c r="P471" s="12" t="n">
        <v>8</v>
      </c>
      <c r="Q471" s="12" t="n">
        <v>23</v>
      </c>
      <c r="R471" s="12" t="n">
        <v>12</v>
      </c>
      <c r="S471" s="12" t="n">
        <v>32</v>
      </c>
      <c r="T471" s="12" t="n">
        <v>2</v>
      </c>
      <c r="U471" s="12" t="n">
        <v>1</v>
      </c>
      <c r="V471" s="12" t="n">
        <v>3</v>
      </c>
      <c r="W471" s="12" t="n">
        <v>1</v>
      </c>
      <c r="X471" s="13" t="n">
        <f aca="false">M471+N471+2*O471+3*P471</f>
        <v>72</v>
      </c>
      <c r="Y471" s="14" t="n">
        <f aca="false">IF(K471=0,0,M471/K471)</f>
        <v>0.254777070063694</v>
      </c>
      <c r="Z471" s="14" t="n">
        <f aca="false">IF(K471+R471+T471+U471=0,0,(M471+R471+T471)/(K471+R471+T471+U471))</f>
        <v>0.313953488372093</v>
      </c>
      <c r="AA471" s="14" t="n">
        <f aca="false">IF(K471=0,0,X471/K471)</f>
        <v>0.45859872611465</v>
      </c>
      <c r="AB471" s="14" t="n">
        <f aca="false">Z471+AA471</f>
        <v>0.772552214486743</v>
      </c>
      <c r="AC471" s="14" t="n">
        <f aca="false">AA471-Y471</f>
        <v>0.203821656050955</v>
      </c>
      <c r="AD471" s="14" t="n">
        <f aca="false">IF(K471-S471-P471+U471=0,0,(M471-P471)/(K471-S471-P471+U471))</f>
        <v>0.271186440677966</v>
      </c>
      <c r="AE471" s="15" t="n">
        <f aca="false">IF(J471=0,0,R471/J471)</f>
        <v>0.0697674418604651</v>
      </c>
      <c r="AF471" s="15" t="n">
        <f aca="false">IF(J471=0,0,S471/J471)</f>
        <v>0.186046511627907</v>
      </c>
      <c r="AG471" s="11" t="n">
        <f aca="false">IF(J471&gt;=INDEX(球季參數!$E$2:$E$4,MATCH($A471,球季參數!$A$2:$A$4,0)),1,0)</f>
        <v>0</v>
      </c>
    </row>
    <row r="472" customFormat="false" ht="15" hidden="false" customHeight="false" outlineLevel="0" collapsed="false">
      <c r="A472" s="5" t="n">
        <v>2025</v>
      </c>
      <c r="B472" s="7" t="s">
        <v>1157</v>
      </c>
      <c r="C472" s="10" t="str">
        <f aca="false">INDEX(球員主檔!$B$2:$B$749,MATCH($B472,球員主檔!$A$2:$A$749,0))</f>
        <v>Tobias Garrity</v>
      </c>
      <c r="D472" s="7" t="s">
        <v>414</v>
      </c>
      <c r="E472" s="10" t="str">
        <f aca="false">INDEX(球隊主檔!$C$2:$C$31,MATCH($D472,球隊主檔!$A$2:$A$31,0))</f>
        <v>紐約大都會</v>
      </c>
      <c r="F472" s="10" t="str">
        <f aca="false">INDEX(球隊主檔!$D$2:$D$31,MATCH($D472,球隊主檔!$A$2:$A$31,0))</f>
        <v>國聯</v>
      </c>
      <c r="G472" s="7" t="s">
        <v>483</v>
      </c>
      <c r="H472" s="11" t="n">
        <f aca="false">INT((DATE($A472,7,1)-INDEX(球員主檔!$G$2:$G$749,MATCH($B472,球員主檔!$A$2:$A$749,0)))/365.25)</f>
        <v>34</v>
      </c>
      <c r="I472" s="12" t="n">
        <v>162</v>
      </c>
      <c r="J472" s="12" t="n">
        <v>670</v>
      </c>
      <c r="K472" s="12" t="n">
        <v>614</v>
      </c>
      <c r="L472" s="12" t="n">
        <v>68</v>
      </c>
      <c r="M472" s="12" t="n">
        <v>118</v>
      </c>
      <c r="N472" s="12" t="n">
        <v>29</v>
      </c>
      <c r="O472" s="12" t="n">
        <v>7</v>
      </c>
      <c r="P472" s="12" t="n">
        <v>24</v>
      </c>
      <c r="Q472" s="12" t="n">
        <v>70</v>
      </c>
      <c r="R472" s="12" t="n">
        <v>35</v>
      </c>
      <c r="S472" s="12" t="n">
        <v>162</v>
      </c>
      <c r="T472" s="12" t="n">
        <v>13</v>
      </c>
      <c r="U472" s="12" t="n">
        <v>8</v>
      </c>
      <c r="V472" s="12" t="n">
        <v>11</v>
      </c>
      <c r="W472" s="12" t="n">
        <v>2</v>
      </c>
      <c r="X472" s="13" t="n">
        <f aca="false">M472+N472+2*O472+3*P472</f>
        <v>233</v>
      </c>
      <c r="Y472" s="14" t="n">
        <f aca="false">IF(K472=0,0,M472/K472)</f>
        <v>0.192182410423453</v>
      </c>
      <c r="Z472" s="14" t="n">
        <f aca="false">IF(K472+R472+T472+U472=0,0,(M472+R472+T472)/(K472+R472+T472+U472))</f>
        <v>0.247761194029851</v>
      </c>
      <c r="AA472" s="14" t="n">
        <f aca="false">IF(K472=0,0,X472/K472)</f>
        <v>0.379478827361564</v>
      </c>
      <c r="AB472" s="14" t="n">
        <f aca="false">Z472+AA472</f>
        <v>0.627240021391414</v>
      </c>
      <c r="AC472" s="14" t="n">
        <f aca="false">AA472-Y472</f>
        <v>0.187296416938111</v>
      </c>
      <c r="AD472" s="14" t="n">
        <f aca="false">IF(K472-S472-P472+U472=0,0,(M472-P472)/(K472-S472-P472+U472))</f>
        <v>0.215596330275229</v>
      </c>
      <c r="AE472" s="15" t="n">
        <f aca="false">IF(J472=0,0,R472/J472)</f>
        <v>0.0522388059701493</v>
      </c>
      <c r="AF472" s="15" t="n">
        <f aca="false">IF(J472=0,0,S472/J472)</f>
        <v>0.241791044776119</v>
      </c>
      <c r="AG472" s="11" t="n">
        <f aca="false">IF(J472&gt;=INDEX(球季參數!$E$2:$E$4,MATCH($A472,球季參數!$A$2:$A$4,0)),1,0)</f>
        <v>1</v>
      </c>
    </row>
    <row r="473" customFormat="false" ht="15" hidden="false" customHeight="false" outlineLevel="0" collapsed="false">
      <c r="A473" s="5" t="n">
        <v>2025</v>
      </c>
      <c r="B473" s="7" t="s">
        <v>1131</v>
      </c>
      <c r="C473" s="10" t="str">
        <f aca="false">INDEX(球員主檔!$B$2:$B$749,MATCH($B473,球員主檔!$A$2:$A$749,0))</f>
        <v>Porter Wainwright</v>
      </c>
      <c r="D473" s="7" t="s">
        <v>414</v>
      </c>
      <c r="E473" s="10" t="str">
        <f aca="false">INDEX(球隊主檔!$C$2:$C$31,MATCH($D473,球隊主檔!$A$2:$A$31,0))</f>
        <v>紐約大都會</v>
      </c>
      <c r="F473" s="10" t="str">
        <f aca="false">INDEX(球隊主檔!$D$2:$D$31,MATCH($D473,球隊主檔!$A$2:$A$31,0))</f>
        <v>國聯</v>
      </c>
      <c r="G473" s="7" t="s">
        <v>478</v>
      </c>
      <c r="H473" s="11" t="n">
        <f aca="false">INT((DATE($A473,7,1)-INDEX(球員主檔!$G$2:$G$749,MATCH($B473,球員主檔!$A$2:$A$749,0)))/365.25)</f>
        <v>30</v>
      </c>
      <c r="I473" s="12" t="n">
        <v>148</v>
      </c>
      <c r="J473" s="12" t="n">
        <v>615</v>
      </c>
      <c r="K473" s="12" t="n">
        <v>542</v>
      </c>
      <c r="L473" s="12" t="n">
        <v>77</v>
      </c>
      <c r="M473" s="12" t="n">
        <v>128</v>
      </c>
      <c r="N473" s="12" t="n">
        <v>34</v>
      </c>
      <c r="O473" s="12" t="n">
        <v>3</v>
      </c>
      <c r="P473" s="12" t="n">
        <v>37</v>
      </c>
      <c r="Q473" s="12" t="n">
        <v>117</v>
      </c>
      <c r="R473" s="12" t="n">
        <v>53</v>
      </c>
      <c r="S473" s="12" t="n">
        <v>131</v>
      </c>
      <c r="T473" s="12" t="n">
        <v>12</v>
      </c>
      <c r="U473" s="12" t="n">
        <v>8</v>
      </c>
      <c r="V473" s="12" t="n">
        <v>10</v>
      </c>
      <c r="W473" s="12" t="n">
        <v>2</v>
      </c>
      <c r="X473" s="13" t="n">
        <f aca="false">M473+N473+2*O473+3*P473</f>
        <v>279</v>
      </c>
      <c r="Y473" s="14" t="n">
        <f aca="false">IF(K473=0,0,M473/K473)</f>
        <v>0.236162361623616</v>
      </c>
      <c r="Z473" s="14" t="n">
        <f aca="false">IF(K473+R473+T473+U473=0,0,(M473+R473+T473)/(K473+R473+T473+U473))</f>
        <v>0.313821138211382</v>
      </c>
      <c r="AA473" s="14" t="n">
        <f aca="false">IF(K473=0,0,X473/K473)</f>
        <v>0.514760147601476</v>
      </c>
      <c r="AB473" s="14" t="n">
        <f aca="false">Z473+AA473</f>
        <v>0.828581285812858</v>
      </c>
      <c r="AC473" s="14" t="n">
        <f aca="false">AA473-Y473</f>
        <v>0.27859778597786</v>
      </c>
      <c r="AD473" s="14" t="n">
        <f aca="false">IF(K473-S473-P473+U473=0,0,(M473-P473)/(K473-S473-P473+U473))</f>
        <v>0.238219895287958</v>
      </c>
      <c r="AE473" s="15" t="n">
        <f aca="false">IF(J473=0,0,R473/J473)</f>
        <v>0.0861788617886179</v>
      </c>
      <c r="AF473" s="15" t="n">
        <f aca="false">IF(J473=0,0,S473/J473)</f>
        <v>0.213008130081301</v>
      </c>
      <c r="AG473" s="11" t="n">
        <f aca="false">IF(J473&gt;=INDEX(球季參數!$E$2:$E$4,MATCH($A473,球季參數!$A$2:$A$4,0)),1,0)</f>
        <v>1</v>
      </c>
    </row>
    <row r="474" customFormat="false" ht="15" hidden="false" customHeight="false" outlineLevel="0" collapsed="false">
      <c r="A474" s="5" t="n">
        <v>2025</v>
      </c>
      <c r="B474" s="7" t="s">
        <v>1161</v>
      </c>
      <c r="C474" s="10" t="str">
        <f aca="false">INDEX(球員主檔!$B$2:$B$749,MATCH($B474,球員主檔!$A$2:$A$749,0))</f>
        <v>Everett Montalvo</v>
      </c>
      <c r="D474" s="7" t="s">
        <v>414</v>
      </c>
      <c r="E474" s="10" t="str">
        <f aca="false">INDEX(球隊主檔!$C$2:$C$31,MATCH($D474,球隊主檔!$A$2:$A$31,0))</f>
        <v>紐約大都會</v>
      </c>
      <c r="F474" s="10" t="str">
        <f aca="false">INDEX(球隊主檔!$D$2:$D$31,MATCH($D474,球隊主檔!$A$2:$A$31,0))</f>
        <v>國聯</v>
      </c>
      <c r="G474" s="7" t="s">
        <v>486</v>
      </c>
      <c r="H474" s="11" t="n">
        <f aca="false">INT((DATE($A474,7,1)-INDEX(球員主檔!$G$2:$G$749,MATCH($B474,球員主檔!$A$2:$A$749,0)))/365.25)</f>
        <v>31</v>
      </c>
      <c r="I474" s="12" t="n">
        <v>144</v>
      </c>
      <c r="J474" s="12" t="n">
        <v>584</v>
      </c>
      <c r="K474" s="12" t="n">
        <v>535</v>
      </c>
      <c r="L474" s="12" t="n">
        <v>61</v>
      </c>
      <c r="M474" s="12" t="n">
        <v>143</v>
      </c>
      <c r="N474" s="12" t="n">
        <v>28</v>
      </c>
      <c r="O474" s="12" t="n">
        <v>3</v>
      </c>
      <c r="P474" s="12" t="n">
        <v>11</v>
      </c>
      <c r="Q474" s="12" t="n">
        <v>65</v>
      </c>
      <c r="R474" s="12" t="n">
        <v>41</v>
      </c>
      <c r="S474" s="12" t="n">
        <v>188</v>
      </c>
      <c r="T474" s="12" t="n">
        <v>5</v>
      </c>
      <c r="U474" s="12" t="n">
        <v>3</v>
      </c>
      <c r="V474" s="12" t="n">
        <v>19</v>
      </c>
      <c r="W474" s="12" t="n">
        <v>6</v>
      </c>
      <c r="X474" s="13" t="n">
        <f aca="false">M474+N474+2*O474+3*P474</f>
        <v>210</v>
      </c>
      <c r="Y474" s="14" t="n">
        <f aca="false">IF(K474=0,0,M474/K474)</f>
        <v>0.267289719626168</v>
      </c>
      <c r="Z474" s="14" t="n">
        <f aca="false">IF(K474+R474+T474+U474=0,0,(M474+R474+T474)/(K474+R474+T474+U474))</f>
        <v>0.323630136986301</v>
      </c>
      <c r="AA474" s="14" t="n">
        <f aca="false">IF(K474=0,0,X474/K474)</f>
        <v>0.392523364485981</v>
      </c>
      <c r="AB474" s="14" t="n">
        <f aca="false">Z474+AA474</f>
        <v>0.716153501472283</v>
      </c>
      <c r="AC474" s="14" t="n">
        <f aca="false">AA474-Y474</f>
        <v>0.125233644859813</v>
      </c>
      <c r="AD474" s="14" t="n">
        <f aca="false">IF(K474-S474-P474+U474=0,0,(M474-P474)/(K474-S474-P474+U474))</f>
        <v>0.389380530973451</v>
      </c>
      <c r="AE474" s="15" t="n">
        <f aca="false">IF(J474=0,0,R474/J474)</f>
        <v>0.0702054794520548</v>
      </c>
      <c r="AF474" s="15" t="n">
        <f aca="false">IF(J474=0,0,S474/J474)</f>
        <v>0.321917808219178</v>
      </c>
      <c r="AG474" s="11" t="n">
        <f aca="false">IF(J474&gt;=INDEX(球季參數!$E$2:$E$4,MATCH($A474,球季參數!$A$2:$A$4,0)),1,0)</f>
        <v>1</v>
      </c>
    </row>
    <row r="475" customFormat="false" ht="15" hidden="false" customHeight="false" outlineLevel="0" collapsed="false">
      <c r="A475" s="5" t="n">
        <v>2025</v>
      </c>
      <c r="B475" s="7" t="s">
        <v>1163</v>
      </c>
      <c r="C475" s="10" t="str">
        <f aca="false">INDEX(球員主檔!$B$2:$B$749,MATCH($B475,球員主檔!$A$2:$A$749,0))</f>
        <v>Esteban Cavanaugh</v>
      </c>
      <c r="D475" s="7" t="s">
        <v>414</v>
      </c>
      <c r="E475" s="10" t="str">
        <f aca="false">INDEX(球隊主檔!$C$2:$C$31,MATCH($D475,球隊主檔!$A$2:$A$31,0))</f>
        <v>紐約大都會</v>
      </c>
      <c r="F475" s="10" t="str">
        <f aca="false">INDEX(球隊主檔!$D$2:$D$31,MATCH($D475,球隊主檔!$A$2:$A$31,0))</f>
        <v>國聯</v>
      </c>
      <c r="G475" s="7" t="s">
        <v>470</v>
      </c>
      <c r="H475" s="11" t="n">
        <f aca="false">INT((DATE($A475,7,1)-INDEX(球員主檔!$G$2:$G$749,MATCH($B475,球員主檔!$A$2:$A$749,0)))/365.25)</f>
        <v>31</v>
      </c>
      <c r="I475" s="12" t="n">
        <v>159</v>
      </c>
      <c r="J475" s="12" t="n">
        <v>617</v>
      </c>
      <c r="K475" s="12" t="n">
        <v>561</v>
      </c>
      <c r="L475" s="12" t="n">
        <v>78</v>
      </c>
      <c r="M475" s="12" t="n">
        <v>138</v>
      </c>
      <c r="N475" s="12" t="n">
        <v>40</v>
      </c>
      <c r="O475" s="12" t="n">
        <v>4</v>
      </c>
      <c r="P475" s="12" t="n">
        <v>19</v>
      </c>
      <c r="Q475" s="12" t="n">
        <v>75</v>
      </c>
      <c r="R475" s="12" t="n">
        <v>47</v>
      </c>
      <c r="S475" s="12" t="n">
        <v>100</v>
      </c>
      <c r="T475" s="12" t="n">
        <v>7</v>
      </c>
      <c r="U475" s="12" t="n">
        <v>2</v>
      </c>
      <c r="V475" s="12" t="n">
        <v>42</v>
      </c>
      <c r="W475" s="12" t="n">
        <v>10</v>
      </c>
      <c r="X475" s="13" t="n">
        <f aca="false">M475+N475+2*O475+3*P475</f>
        <v>243</v>
      </c>
      <c r="Y475" s="14" t="n">
        <f aca="false">IF(K475=0,0,M475/K475)</f>
        <v>0.245989304812834</v>
      </c>
      <c r="Z475" s="14" t="n">
        <f aca="false">IF(K475+R475+T475+U475=0,0,(M475+R475+T475)/(K475+R475+T475+U475))</f>
        <v>0.311183144246353</v>
      </c>
      <c r="AA475" s="14" t="n">
        <f aca="false">IF(K475=0,0,X475/K475)</f>
        <v>0.433155080213904</v>
      </c>
      <c r="AB475" s="14" t="n">
        <f aca="false">Z475+AA475</f>
        <v>0.744338224460257</v>
      </c>
      <c r="AC475" s="14" t="n">
        <f aca="false">AA475-Y475</f>
        <v>0.18716577540107</v>
      </c>
      <c r="AD475" s="14" t="n">
        <f aca="false">IF(K475-S475-P475+U475=0,0,(M475-P475)/(K475-S475-P475+U475))</f>
        <v>0.268018018018018</v>
      </c>
      <c r="AE475" s="15" t="n">
        <f aca="false">IF(J475=0,0,R475/J475)</f>
        <v>0.0761750405186386</v>
      </c>
      <c r="AF475" s="15" t="n">
        <f aca="false">IF(J475=0,0,S475/J475)</f>
        <v>0.162074554294976</v>
      </c>
      <c r="AG475" s="11" t="n">
        <f aca="false">IF(J475&gt;=INDEX(球季參數!$E$2:$E$4,MATCH($A475,球季參數!$A$2:$A$4,0)),1,0)</f>
        <v>1</v>
      </c>
    </row>
    <row r="476" customFormat="false" ht="15" hidden="false" customHeight="false" outlineLevel="0" collapsed="false">
      <c r="A476" s="5" t="n">
        <v>2025</v>
      </c>
      <c r="B476" s="7" t="s">
        <v>1165</v>
      </c>
      <c r="C476" s="10" t="str">
        <f aca="false">INDEX(球員主檔!$B$2:$B$749,MATCH($B476,球員主檔!$A$2:$A$749,0))</f>
        <v>Porter Beckwith</v>
      </c>
      <c r="D476" s="7" t="s">
        <v>414</v>
      </c>
      <c r="E476" s="10" t="str">
        <f aca="false">INDEX(球隊主檔!$C$2:$C$31,MATCH($D476,球隊主檔!$A$2:$A$31,0))</f>
        <v>紐約大都會</v>
      </c>
      <c r="F476" s="10" t="str">
        <f aca="false">INDEX(球隊主檔!$D$2:$D$31,MATCH($D476,球隊主檔!$A$2:$A$31,0))</f>
        <v>國聯</v>
      </c>
      <c r="G476" s="7" t="s">
        <v>478</v>
      </c>
      <c r="H476" s="11" t="n">
        <f aca="false">INT((DATE($A476,7,1)-INDEX(球員主檔!$G$2:$G$749,MATCH($B476,球員主檔!$A$2:$A$749,0)))/365.25)</f>
        <v>28</v>
      </c>
      <c r="I476" s="12" t="n">
        <v>144</v>
      </c>
      <c r="J476" s="12" t="n">
        <v>560</v>
      </c>
      <c r="K476" s="12" t="n">
        <v>526</v>
      </c>
      <c r="L476" s="12" t="n">
        <v>60</v>
      </c>
      <c r="M476" s="12" t="n">
        <v>148</v>
      </c>
      <c r="N476" s="12" t="n">
        <v>16</v>
      </c>
      <c r="O476" s="12" t="n">
        <v>3</v>
      </c>
      <c r="P476" s="12" t="n">
        <v>8</v>
      </c>
      <c r="Q476" s="12" t="n">
        <v>50</v>
      </c>
      <c r="R476" s="12" t="n">
        <v>29</v>
      </c>
      <c r="S476" s="12" t="n">
        <v>149</v>
      </c>
      <c r="T476" s="12" t="n">
        <v>4</v>
      </c>
      <c r="U476" s="12" t="n">
        <v>1</v>
      </c>
      <c r="V476" s="12" t="n">
        <v>7</v>
      </c>
      <c r="W476" s="12" t="n">
        <v>2</v>
      </c>
      <c r="X476" s="13" t="n">
        <f aca="false">M476+N476+2*O476+3*P476</f>
        <v>194</v>
      </c>
      <c r="Y476" s="14" t="n">
        <f aca="false">IF(K476=0,0,M476/K476)</f>
        <v>0.281368821292776</v>
      </c>
      <c r="Z476" s="14" t="n">
        <f aca="false">IF(K476+R476+T476+U476=0,0,(M476+R476+T476)/(K476+R476+T476+U476))</f>
        <v>0.323214285714286</v>
      </c>
      <c r="AA476" s="14" t="n">
        <f aca="false">IF(K476=0,0,X476/K476)</f>
        <v>0.368821292775665</v>
      </c>
      <c r="AB476" s="14" t="n">
        <f aca="false">Z476+AA476</f>
        <v>0.692035578489951</v>
      </c>
      <c r="AC476" s="14" t="n">
        <f aca="false">AA476-Y476</f>
        <v>0.0874524714828897</v>
      </c>
      <c r="AD476" s="14" t="n">
        <f aca="false">IF(K476-S476-P476+U476=0,0,(M476-P476)/(K476-S476-P476+U476))</f>
        <v>0.378378378378378</v>
      </c>
      <c r="AE476" s="15" t="n">
        <f aca="false">IF(J476=0,0,R476/J476)</f>
        <v>0.0517857142857143</v>
      </c>
      <c r="AF476" s="15" t="n">
        <f aca="false">IF(J476=0,0,S476/J476)</f>
        <v>0.266071428571429</v>
      </c>
      <c r="AG476" s="11" t="n">
        <f aca="false">IF(J476&gt;=INDEX(球季參數!$E$2:$E$4,MATCH($A476,球季參數!$A$2:$A$4,0)),1,0)</f>
        <v>1</v>
      </c>
    </row>
    <row r="477" customFormat="false" ht="15" hidden="false" customHeight="false" outlineLevel="0" collapsed="false">
      <c r="A477" s="5" t="n">
        <v>2025</v>
      </c>
      <c r="B477" s="7" t="s">
        <v>1167</v>
      </c>
      <c r="C477" s="10" t="str">
        <f aca="false">INDEX(球員主檔!$B$2:$B$749,MATCH($B477,球員主檔!$A$2:$A$749,0))</f>
        <v>Griffin Tremblay</v>
      </c>
      <c r="D477" s="7" t="s">
        <v>414</v>
      </c>
      <c r="E477" s="10" t="str">
        <f aca="false">INDEX(球隊主檔!$C$2:$C$31,MATCH($D477,球隊主檔!$A$2:$A$31,0))</f>
        <v>紐約大都會</v>
      </c>
      <c r="F477" s="10" t="str">
        <f aca="false">INDEX(球隊主檔!$D$2:$D$31,MATCH($D477,球隊主檔!$A$2:$A$31,0))</f>
        <v>國聯</v>
      </c>
      <c r="G477" s="7" t="s">
        <v>473</v>
      </c>
      <c r="H477" s="11" t="n">
        <f aca="false">INT((DATE($A477,7,1)-INDEX(球員主檔!$G$2:$G$749,MATCH($B477,球員主檔!$A$2:$A$749,0)))/365.25)</f>
        <v>27</v>
      </c>
      <c r="I477" s="12" t="n">
        <v>95</v>
      </c>
      <c r="J477" s="12" t="n">
        <v>387</v>
      </c>
      <c r="K477" s="12" t="n">
        <v>351</v>
      </c>
      <c r="L477" s="12" t="n">
        <v>42</v>
      </c>
      <c r="M477" s="12" t="n">
        <v>88</v>
      </c>
      <c r="N477" s="12" t="n">
        <v>17</v>
      </c>
      <c r="O477" s="12" t="n">
        <v>2</v>
      </c>
      <c r="P477" s="12" t="n">
        <v>11</v>
      </c>
      <c r="Q477" s="12" t="n">
        <v>48</v>
      </c>
      <c r="R477" s="12" t="n">
        <v>28</v>
      </c>
      <c r="S477" s="12" t="n">
        <v>82</v>
      </c>
      <c r="T477" s="12" t="n">
        <v>4</v>
      </c>
      <c r="U477" s="12" t="n">
        <v>4</v>
      </c>
      <c r="V477" s="12" t="n">
        <v>2</v>
      </c>
      <c r="W477" s="12" t="n">
        <v>0</v>
      </c>
      <c r="X477" s="13" t="n">
        <f aca="false">M477+N477+2*O477+3*P477</f>
        <v>142</v>
      </c>
      <c r="Y477" s="14" t="n">
        <f aca="false">IF(K477=0,0,M477/K477)</f>
        <v>0.250712250712251</v>
      </c>
      <c r="Z477" s="14" t="n">
        <f aca="false">IF(K477+R477+T477+U477=0,0,(M477+R477+T477)/(K477+R477+T477+U477))</f>
        <v>0.310077519379845</v>
      </c>
      <c r="AA477" s="14" t="n">
        <f aca="false">IF(K477=0,0,X477/K477)</f>
        <v>0.404558404558405</v>
      </c>
      <c r="AB477" s="14" t="n">
        <f aca="false">Z477+AA477</f>
        <v>0.71463592393825</v>
      </c>
      <c r="AC477" s="14" t="n">
        <f aca="false">AA477-Y477</f>
        <v>0.153846153846154</v>
      </c>
      <c r="AD477" s="14" t="n">
        <f aca="false">IF(K477-S477-P477+U477=0,0,(M477-P477)/(K477-S477-P477+U477))</f>
        <v>0.293893129770992</v>
      </c>
      <c r="AE477" s="15" t="n">
        <f aca="false">IF(J477=0,0,R477/J477)</f>
        <v>0.0723514211886305</v>
      </c>
      <c r="AF477" s="15" t="n">
        <f aca="false">IF(J477=0,0,S477/J477)</f>
        <v>0.211886304909561</v>
      </c>
      <c r="AG477" s="11" t="n">
        <f aca="false">IF(J477&gt;=INDEX(球季參數!$E$2:$E$4,MATCH($A477,球季參數!$A$2:$A$4,0)),1,0)</f>
        <v>0</v>
      </c>
    </row>
    <row r="478" customFormat="false" ht="15" hidden="false" customHeight="false" outlineLevel="0" collapsed="false">
      <c r="A478" s="5" t="n">
        <v>2025</v>
      </c>
      <c r="B478" s="7" t="s">
        <v>1135</v>
      </c>
      <c r="C478" s="10" t="str">
        <f aca="false">INDEX(球員主檔!$B$2:$B$749,MATCH($B478,球員主檔!$A$2:$A$749,0))</f>
        <v>Konrad Lemieux</v>
      </c>
      <c r="D478" s="7" t="s">
        <v>414</v>
      </c>
      <c r="E478" s="10" t="str">
        <f aca="false">INDEX(球隊主檔!$C$2:$C$31,MATCH($D478,球隊主檔!$A$2:$A$31,0))</f>
        <v>紐約大都會</v>
      </c>
      <c r="F478" s="10" t="str">
        <f aca="false">INDEX(球隊主檔!$D$2:$D$31,MATCH($D478,球隊主檔!$A$2:$A$31,0))</f>
        <v>國聯</v>
      </c>
      <c r="G478" s="7" t="s">
        <v>158</v>
      </c>
      <c r="H478" s="11" t="n">
        <f aca="false">INT((DATE($A478,7,1)-INDEX(球員主檔!$G$2:$G$749,MATCH($B478,球員主檔!$A$2:$A$749,0)))/365.25)</f>
        <v>35</v>
      </c>
      <c r="I478" s="12" t="n">
        <v>88</v>
      </c>
      <c r="J478" s="12" t="n">
        <v>395</v>
      </c>
      <c r="K478" s="12" t="n">
        <v>377</v>
      </c>
      <c r="L478" s="12" t="n">
        <v>39</v>
      </c>
      <c r="M478" s="12" t="n">
        <v>92</v>
      </c>
      <c r="N478" s="12" t="n">
        <v>26</v>
      </c>
      <c r="O478" s="12" t="n">
        <v>10</v>
      </c>
      <c r="P478" s="12" t="n">
        <v>12</v>
      </c>
      <c r="Q478" s="12" t="n">
        <v>42</v>
      </c>
      <c r="R478" s="12" t="n">
        <v>12</v>
      </c>
      <c r="S478" s="12" t="n">
        <v>128</v>
      </c>
      <c r="T478" s="12" t="n">
        <v>2</v>
      </c>
      <c r="U478" s="12" t="n">
        <v>4</v>
      </c>
      <c r="V478" s="12" t="n">
        <v>3</v>
      </c>
      <c r="W478" s="12" t="n">
        <v>1</v>
      </c>
      <c r="X478" s="13" t="n">
        <f aca="false">M478+N478+2*O478+3*P478</f>
        <v>174</v>
      </c>
      <c r="Y478" s="14" t="n">
        <f aca="false">IF(K478=0,0,M478/K478)</f>
        <v>0.244031830238727</v>
      </c>
      <c r="Z478" s="14" t="n">
        <f aca="false">IF(K478+R478+T478+U478=0,0,(M478+R478+T478)/(K478+R478+T478+U478))</f>
        <v>0.268354430379747</v>
      </c>
      <c r="AA478" s="14" t="n">
        <f aca="false">IF(K478=0,0,X478/K478)</f>
        <v>0.461538461538462</v>
      </c>
      <c r="AB478" s="14" t="n">
        <f aca="false">Z478+AA478</f>
        <v>0.729892891918208</v>
      </c>
      <c r="AC478" s="14" t="n">
        <f aca="false">AA478-Y478</f>
        <v>0.217506631299735</v>
      </c>
      <c r="AD478" s="14" t="n">
        <f aca="false">IF(K478-S478-P478+U478=0,0,(M478-P478)/(K478-S478-P478+U478))</f>
        <v>0.33195020746888</v>
      </c>
      <c r="AE478" s="15" t="n">
        <f aca="false">IF(J478=0,0,R478/J478)</f>
        <v>0.030379746835443</v>
      </c>
      <c r="AF478" s="15" t="n">
        <f aca="false">IF(J478=0,0,S478/J478)</f>
        <v>0.324050632911392</v>
      </c>
      <c r="AG478" s="11" t="n">
        <f aca="false">IF(J478&gt;=INDEX(球季參數!$E$2:$E$4,MATCH($A478,球季參數!$A$2:$A$4,0)),1,0)</f>
        <v>0</v>
      </c>
    </row>
    <row r="479" customFormat="false" ht="15" hidden="false" customHeight="false" outlineLevel="0" collapsed="false">
      <c r="A479" s="5" t="n">
        <v>2025</v>
      </c>
      <c r="B479" s="7" t="s">
        <v>1757</v>
      </c>
      <c r="C479" s="10" t="str">
        <f aca="false">INDEX(球員主檔!$B$2:$B$749,MATCH($B479,球員主檔!$A$2:$A$749,0))</f>
        <v>Augustin Ingersoll</v>
      </c>
      <c r="D479" s="7" t="s">
        <v>414</v>
      </c>
      <c r="E479" s="10" t="str">
        <f aca="false">INDEX(球隊主檔!$C$2:$C$31,MATCH($D479,球隊主檔!$A$2:$A$31,0))</f>
        <v>紐約大都會</v>
      </c>
      <c r="F479" s="10" t="str">
        <f aca="false">INDEX(球隊主檔!$D$2:$D$31,MATCH($D479,球隊主檔!$A$2:$A$31,0))</f>
        <v>國聯</v>
      </c>
      <c r="G479" s="7" t="s">
        <v>470</v>
      </c>
      <c r="H479" s="11" t="n">
        <f aca="false">INT((DATE($A479,7,1)-INDEX(球員主檔!$G$2:$G$749,MATCH($B479,球員主檔!$A$2:$A$749,0)))/365.25)</f>
        <v>23</v>
      </c>
      <c r="I479" s="12" t="n">
        <v>116</v>
      </c>
      <c r="J479" s="12" t="n">
        <v>465</v>
      </c>
      <c r="K479" s="12" t="n">
        <v>427</v>
      </c>
      <c r="L479" s="12" t="n">
        <v>54</v>
      </c>
      <c r="M479" s="12" t="n">
        <v>113</v>
      </c>
      <c r="N479" s="12" t="n">
        <v>24</v>
      </c>
      <c r="O479" s="12" t="n">
        <v>9</v>
      </c>
      <c r="P479" s="12" t="n">
        <v>11</v>
      </c>
      <c r="Q479" s="12" t="n">
        <v>57</v>
      </c>
      <c r="R479" s="12" t="n">
        <v>25</v>
      </c>
      <c r="S479" s="12" t="n">
        <v>112</v>
      </c>
      <c r="T479" s="12" t="n">
        <v>9</v>
      </c>
      <c r="U479" s="12" t="n">
        <v>4</v>
      </c>
      <c r="V479" s="12" t="n">
        <v>2</v>
      </c>
      <c r="W479" s="12" t="n">
        <v>0</v>
      </c>
      <c r="X479" s="13" t="n">
        <f aca="false">M479+N479+2*O479+3*P479</f>
        <v>188</v>
      </c>
      <c r="Y479" s="14" t="n">
        <f aca="false">IF(K479=0,0,M479/K479)</f>
        <v>0.26463700234192</v>
      </c>
      <c r="Z479" s="14" t="n">
        <f aca="false">IF(K479+R479+T479+U479=0,0,(M479+R479+T479)/(K479+R479+T479+U479))</f>
        <v>0.316129032258065</v>
      </c>
      <c r="AA479" s="14" t="n">
        <f aca="false">IF(K479=0,0,X479/K479)</f>
        <v>0.440281030444965</v>
      </c>
      <c r="AB479" s="14" t="n">
        <f aca="false">Z479+AA479</f>
        <v>0.756410062703029</v>
      </c>
      <c r="AC479" s="14" t="n">
        <f aca="false">AA479-Y479</f>
        <v>0.175644028103044</v>
      </c>
      <c r="AD479" s="14" t="n">
        <f aca="false">IF(K479-S479-P479+U479=0,0,(M479-P479)/(K479-S479-P479+U479))</f>
        <v>0.331168831168831</v>
      </c>
      <c r="AE479" s="15" t="n">
        <f aca="false">IF(J479=0,0,R479/J479)</f>
        <v>0.0537634408602151</v>
      </c>
      <c r="AF479" s="15" t="n">
        <f aca="false">IF(J479=0,0,S479/J479)</f>
        <v>0.240860215053763</v>
      </c>
      <c r="AG479" s="11" t="n">
        <f aca="false">IF(J479&gt;=INDEX(球季參數!$E$2:$E$4,MATCH($A479,球季參數!$A$2:$A$4,0)),1,0)</f>
        <v>0</v>
      </c>
    </row>
    <row r="480" customFormat="false" ht="15" hidden="false" customHeight="false" outlineLevel="0" collapsed="false">
      <c r="A480" s="5" t="n">
        <v>2025</v>
      </c>
      <c r="B480" s="7" t="s">
        <v>1173</v>
      </c>
      <c r="C480" s="10" t="str">
        <f aca="false">INDEX(球員主檔!$B$2:$B$749,MATCH($B480,球員主檔!$A$2:$A$749,0))</f>
        <v>Desmond Paszkiewicz</v>
      </c>
      <c r="D480" s="7" t="s">
        <v>414</v>
      </c>
      <c r="E480" s="10" t="str">
        <f aca="false">INDEX(球隊主檔!$C$2:$C$31,MATCH($D480,球隊主檔!$A$2:$A$31,0))</f>
        <v>紐約大都會</v>
      </c>
      <c r="F480" s="10" t="str">
        <f aca="false">INDEX(球隊主檔!$D$2:$D$31,MATCH($D480,球隊主檔!$A$2:$A$31,0))</f>
        <v>國聯</v>
      </c>
      <c r="G480" s="7" t="s">
        <v>158</v>
      </c>
      <c r="H480" s="11" t="n">
        <f aca="false">INT((DATE($A480,7,1)-INDEX(球員主檔!$G$2:$G$749,MATCH($B480,球員主檔!$A$2:$A$749,0)))/365.25)</f>
        <v>29</v>
      </c>
      <c r="I480" s="12" t="n">
        <v>63</v>
      </c>
      <c r="J480" s="12" t="n">
        <v>273</v>
      </c>
      <c r="K480" s="12" t="n">
        <v>247</v>
      </c>
      <c r="L480" s="12" t="n">
        <v>33</v>
      </c>
      <c r="M480" s="12" t="n">
        <v>58</v>
      </c>
      <c r="N480" s="12" t="n">
        <v>14</v>
      </c>
      <c r="O480" s="12" t="n">
        <v>7</v>
      </c>
      <c r="P480" s="12" t="n">
        <v>7</v>
      </c>
      <c r="Q480" s="12" t="n">
        <v>23</v>
      </c>
      <c r="R480" s="12" t="n">
        <v>22</v>
      </c>
      <c r="S480" s="12" t="n">
        <v>69</v>
      </c>
      <c r="T480" s="12" t="n">
        <v>2</v>
      </c>
      <c r="U480" s="12" t="n">
        <v>2</v>
      </c>
      <c r="V480" s="12" t="n">
        <v>8</v>
      </c>
      <c r="W480" s="12" t="n">
        <v>2</v>
      </c>
      <c r="X480" s="13" t="n">
        <f aca="false">M480+N480+2*O480+3*P480</f>
        <v>107</v>
      </c>
      <c r="Y480" s="14" t="n">
        <f aca="false">IF(K480=0,0,M480/K480)</f>
        <v>0.234817813765182</v>
      </c>
      <c r="Z480" s="14" t="n">
        <f aca="false">IF(K480+R480+T480+U480=0,0,(M480+R480+T480)/(K480+R480+T480+U480))</f>
        <v>0.3003663003663</v>
      </c>
      <c r="AA480" s="14" t="n">
        <f aca="false">IF(K480=0,0,X480/K480)</f>
        <v>0.433198380566802</v>
      </c>
      <c r="AB480" s="14" t="n">
        <f aca="false">Z480+AA480</f>
        <v>0.733564680933102</v>
      </c>
      <c r="AC480" s="14" t="n">
        <f aca="false">AA480-Y480</f>
        <v>0.198380566801619</v>
      </c>
      <c r="AD480" s="14" t="n">
        <f aca="false">IF(K480-S480-P480+U480=0,0,(M480-P480)/(K480-S480-P480+U480))</f>
        <v>0.294797687861272</v>
      </c>
      <c r="AE480" s="15" t="n">
        <f aca="false">IF(J480=0,0,R480/J480)</f>
        <v>0.0805860805860806</v>
      </c>
      <c r="AF480" s="15" t="n">
        <f aca="false">IF(J480=0,0,S480/J480)</f>
        <v>0.252747252747253</v>
      </c>
      <c r="AG480" s="11" t="n">
        <f aca="false">IF(J480&gt;=INDEX(球季參數!$E$2:$E$4,MATCH($A480,球季參數!$A$2:$A$4,0)),1,0)</f>
        <v>0</v>
      </c>
    </row>
    <row r="481" customFormat="false" ht="15" hidden="false" customHeight="false" outlineLevel="0" collapsed="false">
      <c r="A481" s="5" t="n">
        <v>2025</v>
      </c>
      <c r="B481" s="7" t="s">
        <v>1759</v>
      </c>
      <c r="C481" s="10" t="str">
        <f aca="false">INDEX(球員主檔!$B$2:$B$749,MATCH($B481,球員主檔!$A$2:$A$749,0))</f>
        <v>Osvaldo Goddard</v>
      </c>
      <c r="D481" s="7" t="s">
        <v>414</v>
      </c>
      <c r="E481" s="10" t="str">
        <f aca="false">INDEX(球隊主檔!$C$2:$C$31,MATCH($D481,球隊主檔!$A$2:$A$31,0))</f>
        <v>紐約大都會</v>
      </c>
      <c r="F481" s="10" t="str">
        <f aca="false">INDEX(球隊主檔!$D$2:$D$31,MATCH($D481,球隊主檔!$A$2:$A$31,0))</f>
        <v>國聯</v>
      </c>
      <c r="G481" s="7" t="s">
        <v>478</v>
      </c>
      <c r="H481" s="11" t="n">
        <f aca="false">INT((DATE($A481,7,1)-INDEX(球員主檔!$G$2:$G$749,MATCH($B481,球員主檔!$A$2:$A$749,0)))/365.25)</f>
        <v>25</v>
      </c>
      <c r="I481" s="12" t="n">
        <v>40</v>
      </c>
      <c r="J481" s="12" t="n">
        <v>166</v>
      </c>
      <c r="K481" s="12" t="n">
        <v>156</v>
      </c>
      <c r="L481" s="12" t="n">
        <v>14</v>
      </c>
      <c r="M481" s="12" t="n">
        <v>35</v>
      </c>
      <c r="N481" s="12" t="n">
        <v>12</v>
      </c>
      <c r="O481" s="12" t="n">
        <v>5</v>
      </c>
      <c r="P481" s="12" t="n">
        <v>2</v>
      </c>
      <c r="Q481" s="12" t="n">
        <v>11</v>
      </c>
      <c r="R481" s="12" t="n">
        <v>8</v>
      </c>
      <c r="S481" s="12" t="n">
        <v>41</v>
      </c>
      <c r="T481" s="12" t="n">
        <v>1</v>
      </c>
      <c r="U481" s="12" t="n">
        <v>1</v>
      </c>
      <c r="V481" s="12" t="n">
        <v>2</v>
      </c>
      <c r="W481" s="12" t="n">
        <v>1</v>
      </c>
      <c r="X481" s="13" t="n">
        <f aca="false">M481+N481+2*O481+3*P481</f>
        <v>63</v>
      </c>
      <c r="Y481" s="14" t="n">
        <f aca="false">IF(K481=0,0,M481/K481)</f>
        <v>0.224358974358974</v>
      </c>
      <c r="Z481" s="14" t="n">
        <f aca="false">IF(K481+R481+T481+U481=0,0,(M481+R481+T481)/(K481+R481+T481+U481))</f>
        <v>0.265060240963855</v>
      </c>
      <c r="AA481" s="14" t="n">
        <f aca="false">IF(K481=0,0,X481/K481)</f>
        <v>0.403846153846154</v>
      </c>
      <c r="AB481" s="14" t="n">
        <f aca="false">Z481+AA481</f>
        <v>0.668906394810009</v>
      </c>
      <c r="AC481" s="14" t="n">
        <f aca="false">AA481-Y481</f>
        <v>0.17948717948718</v>
      </c>
      <c r="AD481" s="14" t="n">
        <f aca="false">IF(K481-S481-P481+U481=0,0,(M481-P481)/(K481-S481-P481+U481))</f>
        <v>0.289473684210526</v>
      </c>
      <c r="AE481" s="15" t="n">
        <f aca="false">IF(J481=0,0,R481/J481)</f>
        <v>0.0481927710843374</v>
      </c>
      <c r="AF481" s="15" t="n">
        <f aca="false">IF(J481=0,0,S481/J481)</f>
        <v>0.246987951807229</v>
      </c>
      <c r="AG481" s="11" t="n">
        <f aca="false">IF(J481&gt;=INDEX(球季參數!$E$2:$E$4,MATCH($A481,球季參數!$A$2:$A$4,0)),1,0)</f>
        <v>0</v>
      </c>
    </row>
    <row r="482" customFormat="false" ht="15" hidden="false" customHeight="false" outlineLevel="0" collapsed="false">
      <c r="A482" s="5" t="n">
        <v>2025</v>
      </c>
      <c r="B482" s="7" t="s">
        <v>1197</v>
      </c>
      <c r="C482" s="10" t="str">
        <f aca="false">INDEX(球員主檔!$B$2:$B$749,MATCH($B482,球員主檔!$A$2:$A$749,0))</f>
        <v>Everett Tanabe</v>
      </c>
      <c r="D482" s="7" t="s">
        <v>418</v>
      </c>
      <c r="E482" s="10" t="str">
        <f aca="false">INDEX(球隊主檔!$C$2:$C$31,MATCH($D482,球隊主檔!$A$2:$A$31,0))</f>
        <v>費城費城人</v>
      </c>
      <c r="F482" s="10" t="str">
        <f aca="false">INDEX(球隊主檔!$D$2:$D$31,MATCH($D482,球隊主檔!$A$2:$A$31,0))</f>
        <v>國聯</v>
      </c>
      <c r="G482" s="7" t="s">
        <v>483</v>
      </c>
      <c r="H482" s="11" t="n">
        <f aca="false">INT((DATE($A482,7,1)-INDEX(球員主檔!$G$2:$G$749,MATCH($B482,球員主檔!$A$2:$A$749,0)))/365.25)</f>
        <v>23</v>
      </c>
      <c r="I482" s="12" t="n">
        <v>145</v>
      </c>
      <c r="J482" s="12" t="n">
        <v>619</v>
      </c>
      <c r="K482" s="12" t="n">
        <v>515</v>
      </c>
      <c r="L482" s="12" t="n">
        <v>70</v>
      </c>
      <c r="M482" s="12" t="n">
        <v>103</v>
      </c>
      <c r="N482" s="12" t="n">
        <v>42</v>
      </c>
      <c r="O482" s="12" t="n">
        <v>7</v>
      </c>
      <c r="P482" s="12" t="n">
        <v>13</v>
      </c>
      <c r="Q482" s="12" t="n">
        <v>42</v>
      </c>
      <c r="R482" s="12" t="n">
        <v>96</v>
      </c>
      <c r="S482" s="12" t="n">
        <v>113</v>
      </c>
      <c r="T482" s="12" t="n">
        <v>2</v>
      </c>
      <c r="U482" s="12" t="n">
        <v>6</v>
      </c>
      <c r="V482" s="12" t="n">
        <v>10</v>
      </c>
      <c r="W482" s="12" t="n">
        <v>3</v>
      </c>
      <c r="X482" s="13" t="n">
        <f aca="false">M482+N482+2*O482+3*P482</f>
        <v>198</v>
      </c>
      <c r="Y482" s="14" t="n">
        <f aca="false">IF(K482=0,0,M482/K482)</f>
        <v>0.2</v>
      </c>
      <c r="Z482" s="14" t="n">
        <f aca="false">IF(K482+R482+T482+U482=0,0,(M482+R482+T482)/(K482+R482+T482+U482))</f>
        <v>0.324717285945073</v>
      </c>
      <c r="AA482" s="14" t="n">
        <f aca="false">IF(K482=0,0,X482/K482)</f>
        <v>0.384466019417476</v>
      </c>
      <c r="AB482" s="14" t="n">
        <f aca="false">Z482+AA482</f>
        <v>0.709183305362549</v>
      </c>
      <c r="AC482" s="14" t="n">
        <f aca="false">AA482-Y482</f>
        <v>0.184466019417476</v>
      </c>
      <c r="AD482" s="14" t="n">
        <f aca="false">IF(K482-S482-P482+U482=0,0,(M482-P482)/(K482-S482-P482+U482))</f>
        <v>0.227848101265823</v>
      </c>
      <c r="AE482" s="15" t="n">
        <f aca="false">IF(J482=0,0,R482/J482)</f>
        <v>0.155088852988691</v>
      </c>
      <c r="AF482" s="15" t="n">
        <f aca="false">IF(J482=0,0,S482/J482)</f>
        <v>0.182552504038772</v>
      </c>
      <c r="AG482" s="11" t="n">
        <f aca="false">IF(J482&gt;=INDEX(球季參數!$E$2:$E$4,MATCH($A482,球季參數!$A$2:$A$4,0)),1,0)</f>
        <v>1</v>
      </c>
    </row>
    <row r="483" customFormat="false" ht="15" hidden="false" customHeight="false" outlineLevel="0" collapsed="false">
      <c r="A483" s="5" t="n">
        <v>2025</v>
      </c>
      <c r="B483" s="7" t="s">
        <v>1329</v>
      </c>
      <c r="C483" s="10" t="str">
        <f aca="false">INDEX(球員主檔!$B$2:$B$749,MATCH($B483,球員主檔!$A$2:$A$749,0))</f>
        <v>Caspian Lemieux</v>
      </c>
      <c r="D483" s="7" t="s">
        <v>418</v>
      </c>
      <c r="E483" s="10" t="str">
        <f aca="false">INDEX(球隊主檔!$C$2:$C$31,MATCH($D483,球隊主檔!$A$2:$A$31,0))</f>
        <v>費城費城人</v>
      </c>
      <c r="F483" s="10" t="str">
        <f aca="false">INDEX(球隊主檔!$D$2:$D$31,MATCH($D483,球隊主檔!$A$2:$A$31,0))</f>
        <v>國聯</v>
      </c>
      <c r="G483" s="7" t="s">
        <v>63</v>
      </c>
      <c r="H483" s="11" t="n">
        <f aca="false">INT((DATE($A483,7,1)-INDEX(球員主檔!$G$2:$G$749,MATCH($B483,球員主檔!$A$2:$A$749,0)))/365.25)</f>
        <v>34</v>
      </c>
      <c r="I483" s="12" t="n">
        <v>152</v>
      </c>
      <c r="J483" s="12" t="n">
        <v>667</v>
      </c>
      <c r="K483" s="12" t="n">
        <v>580</v>
      </c>
      <c r="L483" s="12" t="n">
        <v>74</v>
      </c>
      <c r="M483" s="12" t="n">
        <v>124</v>
      </c>
      <c r="N483" s="12" t="n">
        <v>10</v>
      </c>
      <c r="O483" s="12" t="n">
        <v>6</v>
      </c>
      <c r="P483" s="12" t="n">
        <v>7</v>
      </c>
      <c r="Q483" s="12" t="n">
        <v>50</v>
      </c>
      <c r="R483" s="12" t="n">
        <v>76</v>
      </c>
      <c r="S483" s="12" t="n">
        <v>117</v>
      </c>
      <c r="T483" s="12" t="n">
        <v>4</v>
      </c>
      <c r="U483" s="12" t="n">
        <v>7</v>
      </c>
      <c r="V483" s="12" t="n">
        <v>2</v>
      </c>
      <c r="W483" s="12" t="n">
        <v>1</v>
      </c>
      <c r="X483" s="13" t="n">
        <f aca="false">M483+N483+2*O483+3*P483</f>
        <v>167</v>
      </c>
      <c r="Y483" s="14" t="n">
        <f aca="false">IF(K483=0,0,M483/K483)</f>
        <v>0.213793103448276</v>
      </c>
      <c r="Z483" s="14" t="n">
        <f aca="false">IF(K483+R483+T483+U483=0,0,(M483+R483+T483)/(K483+R483+T483+U483))</f>
        <v>0.305847076461769</v>
      </c>
      <c r="AA483" s="14" t="n">
        <f aca="false">IF(K483=0,0,X483/K483)</f>
        <v>0.287931034482759</v>
      </c>
      <c r="AB483" s="14" t="n">
        <f aca="false">Z483+AA483</f>
        <v>0.593778110944528</v>
      </c>
      <c r="AC483" s="14" t="n">
        <f aca="false">AA483-Y483</f>
        <v>0.0741379310344828</v>
      </c>
      <c r="AD483" s="14" t="n">
        <f aca="false">IF(K483-S483-P483+U483=0,0,(M483-P483)/(K483-S483-P483+U483))</f>
        <v>0.252699784017279</v>
      </c>
      <c r="AE483" s="15" t="n">
        <f aca="false">IF(J483=0,0,R483/J483)</f>
        <v>0.113943028485757</v>
      </c>
      <c r="AF483" s="15" t="n">
        <f aca="false">IF(J483=0,0,S483/J483)</f>
        <v>0.175412293853073</v>
      </c>
      <c r="AG483" s="11" t="n">
        <f aca="false">IF(J483&gt;=INDEX(球季參數!$E$2:$E$4,MATCH($A483,球季參數!$A$2:$A$4,0)),1,0)</f>
        <v>1</v>
      </c>
    </row>
    <row r="484" customFormat="false" ht="15" hidden="false" customHeight="false" outlineLevel="0" collapsed="false">
      <c r="A484" s="5" t="n">
        <v>2025</v>
      </c>
      <c r="B484" s="7" t="s">
        <v>1201</v>
      </c>
      <c r="C484" s="10" t="str">
        <f aca="false">INDEX(球員主檔!$B$2:$B$749,MATCH($B484,球員主檔!$A$2:$A$749,0))</f>
        <v>Silas Ashworth</v>
      </c>
      <c r="D484" s="7" t="s">
        <v>418</v>
      </c>
      <c r="E484" s="10" t="str">
        <f aca="false">INDEX(球隊主檔!$C$2:$C$31,MATCH($D484,球隊主檔!$A$2:$A$31,0))</f>
        <v>費城費城人</v>
      </c>
      <c r="F484" s="10" t="str">
        <f aca="false">INDEX(球隊主檔!$D$2:$D$31,MATCH($D484,球隊主檔!$A$2:$A$31,0))</f>
        <v>國聯</v>
      </c>
      <c r="G484" s="7" t="s">
        <v>63</v>
      </c>
      <c r="H484" s="11" t="n">
        <f aca="false">INT((DATE($A484,7,1)-INDEX(球員主檔!$G$2:$G$749,MATCH($B484,球員主檔!$A$2:$A$749,0)))/365.25)</f>
        <v>31</v>
      </c>
      <c r="I484" s="12" t="n">
        <v>135</v>
      </c>
      <c r="J484" s="12" t="n">
        <v>584</v>
      </c>
      <c r="K484" s="12" t="n">
        <v>519</v>
      </c>
      <c r="L484" s="12" t="n">
        <v>60</v>
      </c>
      <c r="M484" s="12" t="n">
        <v>111</v>
      </c>
      <c r="N484" s="12" t="n">
        <v>32</v>
      </c>
      <c r="O484" s="12" t="n">
        <v>3</v>
      </c>
      <c r="P484" s="12" t="n">
        <v>11</v>
      </c>
      <c r="Q484" s="12" t="n">
        <v>45</v>
      </c>
      <c r="R484" s="12" t="n">
        <v>60</v>
      </c>
      <c r="S484" s="12" t="n">
        <v>130</v>
      </c>
      <c r="T484" s="12" t="n">
        <v>4</v>
      </c>
      <c r="U484" s="12" t="n">
        <v>1</v>
      </c>
      <c r="V484" s="12" t="n">
        <v>15</v>
      </c>
      <c r="W484" s="12" t="n">
        <v>5</v>
      </c>
      <c r="X484" s="13" t="n">
        <f aca="false">M484+N484+2*O484+3*P484</f>
        <v>182</v>
      </c>
      <c r="Y484" s="14" t="n">
        <f aca="false">IF(K484=0,0,M484/K484)</f>
        <v>0.213872832369942</v>
      </c>
      <c r="Z484" s="14" t="n">
        <f aca="false">IF(K484+R484+T484+U484=0,0,(M484+R484+T484)/(K484+R484+T484+U484))</f>
        <v>0.299657534246575</v>
      </c>
      <c r="AA484" s="14" t="n">
        <f aca="false">IF(K484=0,0,X484/K484)</f>
        <v>0.350674373795761</v>
      </c>
      <c r="AB484" s="14" t="n">
        <f aca="false">Z484+AA484</f>
        <v>0.650331908042336</v>
      </c>
      <c r="AC484" s="14" t="n">
        <f aca="false">AA484-Y484</f>
        <v>0.136801541425819</v>
      </c>
      <c r="AD484" s="14" t="n">
        <f aca="false">IF(K484-S484-P484+U484=0,0,(M484-P484)/(K484-S484-P484+U484))</f>
        <v>0.263852242744063</v>
      </c>
      <c r="AE484" s="15" t="n">
        <f aca="false">IF(J484=0,0,R484/J484)</f>
        <v>0.102739726027397</v>
      </c>
      <c r="AF484" s="15" t="n">
        <f aca="false">IF(J484=0,0,S484/J484)</f>
        <v>0.222602739726027</v>
      </c>
      <c r="AG484" s="11" t="n">
        <f aca="false">IF(J484&gt;=INDEX(球季參數!$E$2:$E$4,MATCH($A484,球季參數!$A$2:$A$4,0)),1,0)</f>
        <v>1</v>
      </c>
    </row>
    <row r="485" customFormat="false" ht="15" hidden="false" customHeight="false" outlineLevel="0" collapsed="false">
      <c r="A485" s="5" t="n">
        <v>2025</v>
      </c>
      <c r="B485" s="7" t="s">
        <v>1203</v>
      </c>
      <c r="C485" s="10" t="str">
        <f aca="false">INDEX(球員主檔!$B$2:$B$749,MATCH($B485,球員主檔!$A$2:$A$749,0))</f>
        <v>Zane Ashworth</v>
      </c>
      <c r="D485" s="7" t="s">
        <v>418</v>
      </c>
      <c r="E485" s="10" t="str">
        <f aca="false">INDEX(球隊主檔!$C$2:$C$31,MATCH($D485,球隊主檔!$A$2:$A$31,0))</f>
        <v>費城費城人</v>
      </c>
      <c r="F485" s="10" t="str">
        <f aca="false">INDEX(球隊主檔!$D$2:$D$31,MATCH($D485,球隊主檔!$A$2:$A$31,0))</f>
        <v>國聯</v>
      </c>
      <c r="G485" s="7" t="s">
        <v>483</v>
      </c>
      <c r="H485" s="11" t="n">
        <f aca="false">INT((DATE($A485,7,1)-INDEX(球員主檔!$G$2:$G$749,MATCH($B485,球員主檔!$A$2:$A$749,0)))/365.25)</f>
        <v>25</v>
      </c>
      <c r="I485" s="12" t="n">
        <v>132</v>
      </c>
      <c r="J485" s="12" t="n">
        <v>590</v>
      </c>
      <c r="K485" s="12" t="n">
        <v>511</v>
      </c>
      <c r="L485" s="12" t="n">
        <v>80</v>
      </c>
      <c r="M485" s="12" t="n">
        <v>148</v>
      </c>
      <c r="N485" s="12" t="n">
        <v>27</v>
      </c>
      <c r="O485" s="12" t="n">
        <v>1</v>
      </c>
      <c r="P485" s="12" t="n">
        <v>8</v>
      </c>
      <c r="Q485" s="12" t="n">
        <v>54</v>
      </c>
      <c r="R485" s="12" t="n">
        <v>68</v>
      </c>
      <c r="S485" s="12" t="n">
        <v>139</v>
      </c>
      <c r="T485" s="12" t="n">
        <v>9</v>
      </c>
      <c r="U485" s="12" t="n">
        <v>2</v>
      </c>
      <c r="V485" s="12" t="n">
        <v>18</v>
      </c>
      <c r="W485" s="12" t="n">
        <v>4</v>
      </c>
      <c r="X485" s="13" t="n">
        <f aca="false">M485+N485+2*O485+3*P485</f>
        <v>201</v>
      </c>
      <c r="Y485" s="14" t="n">
        <f aca="false">IF(K485=0,0,M485/K485)</f>
        <v>0.289628180039139</v>
      </c>
      <c r="Z485" s="14" t="n">
        <f aca="false">IF(K485+R485+T485+U485=0,0,(M485+R485+T485)/(K485+R485+T485+U485))</f>
        <v>0.38135593220339</v>
      </c>
      <c r="AA485" s="14" t="n">
        <f aca="false">IF(K485=0,0,X485/K485)</f>
        <v>0.39334637964775</v>
      </c>
      <c r="AB485" s="14" t="n">
        <f aca="false">Z485+AA485</f>
        <v>0.774702311851139</v>
      </c>
      <c r="AC485" s="14" t="n">
        <f aca="false">AA485-Y485</f>
        <v>0.103718199608611</v>
      </c>
      <c r="AD485" s="14" t="n">
        <f aca="false">IF(K485-S485-P485+U485=0,0,(M485-P485)/(K485-S485-P485+U485))</f>
        <v>0.382513661202186</v>
      </c>
      <c r="AE485" s="15" t="n">
        <f aca="false">IF(J485=0,0,R485/J485)</f>
        <v>0.115254237288136</v>
      </c>
      <c r="AF485" s="15" t="n">
        <f aca="false">IF(J485=0,0,S485/J485)</f>
        <v>0.235593220338983</v>
      </c>
      <c r="AG485" s="11" t="n">
        <f aca="false">IF(J485&gt;=INDEX(球季參數!$E$2:$E$4,MATCH($A485,球季參數!$A$2:$A$4,0)),1,0)</f>
        <v>1</v>
      </c>
    </row>
    <row r="486" customFormat="false" ht="15" hidden="false" customHeight="false" outlineLevel="0" collapsed="false">
      <c r="A486" s="5" t="n">
        <v>2025</v>
      </c>
      <c r="B486" s="7" t="s">
        <v>1765</v>
      </c>
      <c r="C486" s="10" t="str">
        <f aca="false">INDEX(球員主檔!$B$2:$B$749,MATCH($B486,球員主檔!$A$2:$A$749,0))</f>
        <v>Mateo Yarbrough</v>
      </c>
      <c r="D486" s="7" t="s">
        <v>418</v>
      </c>
      <c r="E486" s="10" t="str">
        <f aca="false">INDEX(球隊主檔!$C$2:$C$31,MATCH($D486,球隊主檔!$A$2:$A$31,0))</f>
        <v>費城費城人</v>
      </c>
      <c r="F486" s="10" t="str">
        <f aca="false">INDEX(球隊主檔!$D$2:$D$31,MATCH($D486,球隊主檔!$A$2:$A$31,0))</f>
        <v>國聯</v>
      </c>
      <c r="G486" s="7" t="s">
        <v>522</v>
      </c>
      <c r="H486" s="11" t="n">
        <f aca="false">INT((DATE($A486,7,1)-INDEX(球員主檔!$G$2:$G$749,MATCH($B486,球員主檔!$A$2:$A$749,0)))/365.25)</f>
        <v>24</v>
      </c>
      <c r="I486" s="12" t="n">
        <v>147</v>
      </c>
      <c r="J486" s="12" t="n">
        <v>652</v>
      </c>
      <c r="K486" s="12" t="n">
        <v>560</v>
      </c>
      <c r="L486" s="12" t="n">
        <v>66</v>
      </c>
      <c r="M486" s="12" t="n">
        <v>103</v>
      </c>
      <c r="N486" s="12" t="n">
        <v>32</v>
      </c>
      <c r="O486" s="12" t="n">
        <v>5</v>
      </c>
      <c r="P486" s="12" t="n">
        <v>8</v>
      </c>
      <c r="Q486" s="12" t="n">
        <v>35</v>
      </c>
      <c r="R486" s="12" t="n">
        <v>77</v>
      </c>
      <c r="S486" s="12" t="n">
        <v>134</v>
      </c>
      <c r="T486" s="12" t="n">
        <v>7</v>
      </c>
      <c r="U486" s="12" t="n">
        <v>8</v>
      </c>
      <c r="V486" s="12" t="n">
        <v>8</v>
      </c>
      <c r="W486" s="12" t="n">
        <v>2</v>
      </c>
      <c r="X486" s="13" t="n">
        <f aca="false">M486+N486+2*O486+3*P486</f>
        <v>169</v>
      </c>
      <c r="Y486" s="14" t="n">
        <f aca="false">IF(K486=0,0,M486/K486)</f>
        <v>0.183928571428571</v>
      </c>
      <c r="Z486" s="14" t="n">
        <f aca="false">IF(K486+R486+T486+U486=0,0,(M486+R486+T486)/(K486+R486+T486+U486))</f>
        <v>0.28680981595092</v>
      </c>
      <c r="AA486" s="14" t="n">
        <f aca="false">IF(K486=0,0,X486/K486)</f>
        <v>0.301785714285714</v>
      </c>
      <c r="AB486" s="14" t="n">
        <f aca="false">Z486+AA486</f>
        <v>0.588595530236635</v>
      </c>
      <c r="AC486" s="14" t="n">
        <f aca="false">AA486-Y486</f>
        <v>0.117857142857143</v>
      </c>
      <c r="AD486" s="14" t="n">
        <f aca="false">IF(K486-S486-P486+U486=0,0,(M486-P486)/(K486-S486-P486+U486))</f>
        <v>0.223004694835681</v>
      </c>
      <c r="AE486" s="15" t="n">
        <f aca="false">IF(J486=0,0,R486/J486)</f>
        <v>0.118098159509202</v>
      </c>
      <c r="AF486" s="15" t="n">
        <f aca="false">IF(J486=0,0,S486/J486)</f>
        <v>0.205521472392638</v>
      </c>
      <c r="AG486" s="11" t="n">
        <f aca="false">IF(J486&gt;=INDEX(球季參數!$E$2:$E$4,MATCH($A486,球季參數!$A$2:$A$4,0)),1,0)</f>
        <v>1</v>
      </c>
    </row>
    <row r="487" customFormat="false" ht="15" hidden="false" customHeight="false" outlineLevel="0" collapsed="false">
      <c r="A487" s="5" t="n">
        <v>2025</v>
      </c>
      <c r="B487" s="7" t="s">
        <v>1207</v>
      </c>
      <c r="C487" s="10" t="str">
        <f aca="false">INDEX(球員主檔!$B$2:$B$749,MATCH($B487,球員主檔!$A$2:$A$749,0))</f>
        <v>Holden Caldera</v>
      </c>
      <c r="D487" s="7" t="s">
        <v>418</v>
      </c>
      <c r="E487" s="10" t="str">
        <f aca="false">INDEX(球隊主檔!$C$2:$C$31,MATCH($D487,球隊主檔!$A$2:$A$31,0))</f>
        <v>費城費城人</v>
      </c>
      <c r="F487" s="10" t="str">
        <f aca="false">INDEX(球隊主檔!$D$2:$D$31,MATCH($D487,球隊主檔!$A$2:$A$31,0))</f>
        <v>國聯</v>
      </c>
      <c r="G487" s="7" t="s">
        <v>63</v>
      </c>
      <c r="H487" s="11" t="n">
        <f aca="false">INT((DATE($A487,7,1)-INDEX(球員主檔!$G$2:$G$749,MATCH($B487,球員主檔!$A$2:$A$749,0)))/365.25)</f>
        <v>26</v>
      </c>
      <c r="I487" s="12" t="n">
        <v>112</v>
      </c>
      <c r="J487" s="12" t="n">
        <v>476</v>
      </c>
      <c r="K487" s="12" t="n">
        <v>447</v>
      </c>
      <c r="L487" s="12" t="n">
        <v>56</v>
      </c>
      <c r="M487" s="12" t="n">
        <v>118</v>
      </c>
      <c r="N487" s="12" t="n">
        <v>29</v>
      </c>
      <c r="O487" s="12" t="n">
        <v>3</v>
      </c>
      <c r="P487" s="12" t="n">
        <v>6</v>
      </c>
      <c r="Q487" s="12" t="n">
        <v>46</v>
      </c>
      <c r="R487" s="12" t="n">
        <v>25</v>
      </c>
      <c r="S487" s="12" t="n">
        <v>129</v>
      </c>
      <c r="T487" s="12" t="n">
        <v>3</v>
      </c>
      <c r="U487" s="12" t="n">
        <v>1</v>
      </c>
      <c r="V487" s="12" t="n">
        <v>29</v>
      </c>
      <c r="W487" s="12" t="n">
        <v>5</v>
      </c>
      <c r="X487" s="13" t="n">
        <f aca="false">M487+N487+2*O487+3*P487</f>
        <v>171</v>
      </c>
      <c r="Y487" s="14" t="n">
        <f aca="false">IF(K487=0,0,M487/K487)</f>
        <v>0.263982102908277</v>
      </c>
      <c r="Z487" s="14" t="n">
        <f aca="false">IF(K487+R487+T487+U487=0,0,(M487+R487+T487)/(K487+R487+T487+U487))</f>
        <v>0.30672268907563</v>
      </c>
      <c r="AA487" s="14" t="n">
        <f aca="false">IF(K487=0,0,X487/K487)</f>
        <v>0.38255033557047</v>
      </c>
      <c r="AB487" s="14" t="n">
        <f aca="false">Z487+AA487</f>
        <v>0.6892730246461</v>
      </c>
      <c r="AC487" s="14" t="n">
        <f aca="false">AA487-Y487</f>
        <v>0.118568232662192</v>
      </c>
      <c r="AD487" s="14" t="n">
        <f aca="false">IF(K487-S487-P487+U487=0,0,(M487-P487)/(K487-S487-P487+U487))</f>
        <v>0.357827476038339</v>
      </c>
      <c r="AE487" s="15" t="n">
        <f aca="false">IF(J487=0,0,R487/J487)</f>
        <v>0.0525210084033613</v>
      </c>
      <c r="AF487" s="15" t="n">
        <f aca="false">IF(J487=0,0,S487/J487)</f>
        <v>0.271008403361345</v>
      </c>
      <c r="AG487" s="11" t="n">
        <f aca="false">IF(J487&gt;=INDEX(球季參數!$E$2:$E$4,MATCH($A487,球季參數!$A$2:$A$4,0)),1,0)</f>
        <v>0</v>
      </c>
    </row>
    <row r="488" customFormat="false" ht="15" hidden="false" customHeight="false" outlineLevel="0" collapsed="false">
      <c r="A488" s="5" t="n">
        <v>2025</v>
      </c>
      <c r="B488" s="7" t="s">
        <v>1209</v>
      </c>
      <c r="C488" s="10" t="str">
        <f aca="false">INDEX(球員主檔!$B$2:$B$749,MATCH($B488,球員主檔!$A$2:$A$749,0))</f>
        <v>Dashiell Whitmore</v>
      </c>
      <c r="D488" s="7" t="s">
        <v>418</v>
      </c>
      <c r="E488" s="10" t="str">
        <f aca="false">INDEX(球隊主檔!$C$2:$C$31,MATCH($D488,球隊主檔!$A$2:$A$31,0))</f>
        <v>費城費城人</v>
      </c>
      <c r="F488" s="10" t="str">
        <f aca="false">INDEX(球隊主檔!$D$2:$D$31,MATCH($D488,球隊主檔!$A$2:$A$31,0))</f>
        <v>國聯</v>
      </c>
      <c r="G488" s="7" t="s">
        <v>158</v>
      </c>
      <c r="H488" s="11" t="n">
        <f aca="false">INT((DATE($A488,7,1)-INDEX(球員主檔!$G$2:$G$749,MATCH($B488,球員主檔!$A$2:$A$749,0)))/365.25)</f>
        <v>27</v>
      </c>
      <c r="I488" s="12" t="n">
        <v>113</v>
      </c>
      <c r="J488" s="12" t="n">
        <v>472</v>
      </c>
      <c r="K488" s="12" t="n">
        <v>429</v>
      </c>
      <c r="L488" s="12" t="n">
        <v>67</v>
      </c>
      <c r="M488" s="12" t="n">
        <v>125</v>
      </c>
      <c r="N488" s="12" t="n">
        <v>25</v>
      </c>
      <c r="O488" s="12" t="n">
        <v>3</v>
      </c>
      <c r="P488" s="12" t="n">
        <v>16</v>
      </c>
      <c r="Q488" s="12" t="n">
        <v>64</v>
      </c>
      <c r="R488" s="12" t="n">
        <v>35</v>
      </c>
      <c r="S488" s="12" t="n">
        <v>88</v>
      </c>
      <c r="T488" s="12" t="n">
        <v>4</v>
      </c>
      <c r="U488" s="12" t="n">
        <v>4</v>
      </c>
      <c r="V488" s="12" t="n">
        <v>6</v>
      </c>
      <c r="W488" s="12" t="n">
        <v>2</v>
      </c>
      <c r="X488" s="13" t="n">
        <f aca="false">M488+N488+2*O488+3*P488</f>
        <v>204</v>
      </c>
      <c r="Y488" s="14" t="n">
        <f aca="false">IF(K488=0,0,M488/K488)</f>
        <v>0.291375291375291</v>
      </c>
      <c r="Z488" s="14" t="n">
        <f aca="false">IF(K488+R488+T488+U488=0,0,(M488+R488+T488)/(K488+R488+T488+U488))</f>
        <v>0.347457627118644</v>
      </c>
      <c r="AA488" s="14" t="n">
        <f aca="false">IF(K488=0,0,X488/K488)</f>
        <v>0.475524475524476</v>
      </c>
      <c r="AB488" s="14" t="n">
        <f aca="false">Z488+AA488</f>
        <v>0.82298210264312</v>
      </c>
      <c r="AC488" s="14" t="n">
        <f aca="false">AA488-Y488</f>
        <v>0.184149184149184</v>
      </c>
      <c r="AD488" s="14" t="n">
        <f aca="false">IF(K488-S488-P488+U488=0,0,(M488-P488)/(K488-S488-P488+U488))</f>
        <v>0.331306990881459</v>
      </c>
      <c r="AE488" s="15" t="n">
        <f aca="false">IF(J488=0,0,R488/J488)</f>
        <v>0.0741525423728814</v>
      </c>
      <c r="AF488" s="15" t="n">
        <f aca="false">IF(J488=0,0,S488/J488)</f>
        <v>0.186440677966102</v>
      </c>
      <c r="AG488" s="11" t="n">
        <f aca="false">IF(J488&gt;=INDEX(球季參數!$E$2:$E$4,MATCH($A488,球季參數!$A$2:$A$4,0)),1,0)</f>
        <v>0</v>
      </c>
    </row>
    <row r="489" customFormat="false" ht="15" hidden="false" customHeight="false" outlineLevel="0" collapsed="false">
      <c r="A489" s="5" t="n">
        <v>2025</v>
      </c>
      <c r="B489" s="7" t="s">
        <v>1211</v>
      </c>
      <c r="C489" s="10" t="str">
        <f aca="false">INDEX(球員主檔!$B$2:$B$749,MATCH($B489,球員主檔!$A$2:$A$749,0))</f>
        <v>Osvaldo Brightwell</v>
      </c>
      <c r="D489" s="7" t="s">
        <v>418</v>
      </c>
      <c r="E489" s="10" t="str">
        <f aca="false">INDEX(球隊主檔!$C$2:$C$31,MATCH($D489,球隊主檔!$A$2:$A$31,0))</f>
        <v>費城費城人</v>
      </c>
      <c r="F489" s="10" t="str">
        <f aca="false">INDEX(球隊主檔!$D$2:$D$31,MATCH($D489,球隊主檔!$A$2:$A$31,0))</f>
        <v>國聯</v>
      </c>
      <c r="G489" s="7" t="s">
        <v>473</v>
      </c>
      <c r="H489" s="11" t="n">
        <f aca="false">INT((DATE($A489,7,1)-INDEX(球員主檔!$G$2:$G$749,MATCH($B489,球員主檔!$A$2:$A$749,0)))/365.25)</f>
        <v>29</v>
      </c>
      <c r="I489" s="12" t="n">
        <v>101</v>
      </c>
      <c r="J489" s="12" t="n">
        <v>419</v>
      </c>
      <c r="K489" s="12" t="n">
        <v>395</v>
      </c>
      <c r="L489" s="12" t="n">
        <v>40</v>
      </c>
      <c r="M489" s="12" t="n">
        <v>110</v>
      </c>
      <c r="N489" s="12" t="n">
        <v>20</v>
      </c>
      <c r="O489" s="12" t="n">
        <v>9</v>
      </c>
      <c r="P489" s="12" t="n">
        <v>8</v>
      </c>
      <c r="Q489" s="12" t="n">
        <v>38</v>
      </c>
      <c r="R489" s="12" t="n">
        <v>16</v>
      </c>
      <c r="S489" s="12" t="n">
        <v>102</v>
      </c>
      <c r="T489" s="12" t="n">
        <v>7</v>
      </c>
      <c r="U489" s="12" t="n">
        <v>1</v>
      </c>
      <c r="V489" s="12" t="n">
        <v>17</v>
      </c>
      <c r="W489" s="12" t="n">
        <v>4</v>
      </c>
      <c r="X489" s="13" t="n">
        <f aca="false">M489+N489+2*O489+3*P489</f>
        <v>172</v>
      </c>
      <c r="Y489" s="14" t="n">
        <f aca="false">IF(K489=0,0,M489/K489)</f>
        <v>0.278481012658228</v>
      </c>
      <c r="Z489" s="14" t="n">
        <f aca="false">IF(K489+R489+T489+U489=0,0,(M489+R489+T489)/(K489+R489+T489+U489))</f>
        <v>0.317422434367542</v>
      </c>
      <c r="AA489" s="14" t="n">
        <f aca="false">IF(K489=0,0,X489/K489)</f>
        <v>0.435443037974684</v>
      </c>
      <c r="AB489" s="14" t="n">
        <f aca="false">Z489+AA489</f>
        <v>0.752865472342225</v>
      </c>
      <c r="AC489" s="14" t="n">
        <f aca="false">AA489-Y489</f>
        <v>0.156962025316456</v>
      </c>
      <c r="AD489" s="14" t="n">
        <f aca="false">IF(K489-S489-P489+U489=0,0,(M489-P489)/(K489-S489-P489+U489))</f>
        <v>0.356643356643357</v>
      </c>
      <c r="AE489" s="15" t="n">
        <f aca="false">IF(J489=0,0,R489/J489)</f>
        <v>0.0381861575178998</v>
      </c>
      <c r="AF489" s="15" t="n">
        <f aca="false">IF(J489=0,0,S489/J489)</f>
        <v>0.243436754176611</v>
      </c>
      <c r="AG489" s="11" t="n">
        <f aca="false">IF(J489&gt;=INDEX(球季參數!$E$2:$E$4,MATCH($A489,球季參數!$A$2:$A$4,0)),1,0)</f>
        <v>0</v>
      </c>
    </row>
    <row r="490" customFormat="false" ht="15" hidden="false" customHeight="false" outlineLevel="0" collapsed="false">
      <c r="A490" s="5" t="n">
        <v>2025</v>
      </c>
      <c r="B490" s="7" t="s">
        <v>1213</v>
      </c>
      <c r="C490" s="10" t="str">
        <f aca="false">INDEX(球員主檔!$B$2:$B$749,MATCH($B490,球員主檔!$A$2:$A$749,0))</f>
        <v>Wendell Fairbanks</v>
      </c>
      <c r="D490" s="7" t="s">
        <v>418</v>
      </c>
      <c r="E490" s="10" t="str">
        <f aca="false">INDEX(球隊主檔!$C$2:$C$31,MATCH($D490,球隊主檔!$A$2:$A$31,0))</f>
        <v>費城費城人</v>
      </c>
      <c r="F490" s="10" t="str">
        <f aca="false">INDEX(球隊主檔!$D$2:$D$31,MATCH($D490,球隊主檔!$A$2:$A$31,0))</f>
        <v>國聯</v>
      </c>
      <c r="G490" s="7" t="s">
        <v>162</v>
      </c>
      <c r="H490" s="11" t="n">
        <f aca="false">INT((DATE($A490,7,1)-INDEX(球員主檔!$G$2:$G$749,MATCH($B490,球員主檔!$A$2:$A$749,0)))/365.25)</f>
        <v>28</v>
      </c>
      <c r="I490" s="12" t="n">
        <v>61</v>
      </c>
      <c r="J490" s="12" t="n">
        <v>267</v>
      </c>
      <c r="K490" s="12" t="n">
        <v>245</v>
      </c>
      <c r="L490" s="12" t="n">
        <v>26</v>
      </c>
      <c r="M490" s="12" t="n">
        <v>58</v>
      </c>
      <c r="N490" s="12" t="n">
        <v>19</v>
      </c>
      <c r="O490" s="12" t="n">
        <v>7</v>
      </c>
      <c r="P490" s="12" t="n">
        <v>9</v>
      </c>
      <c r="Q490" s="12" t="n">
        <v>36</v>
      </c>
      <c r="R490" s="12" t="n">
        <v>16</v>
      </c>
      <c r="S490" s="12" t="n">
        <v>38</v>
      </c>
      <c r="T490" s="12" t="n">
        <v>4</v>
      </c>
      <c r="U490" s="12" t="n">
        <v>2</v>
      </c>
      <c r="V490" s="12" t="n">
        <v>4</v>
      </c>
      <c r="W490" s="12" t="n">
        <v>1</v>
      </c>
      <c r="X490" s="13" t="n">
        <f aca="false">M490+N490+2*O490+3*P490</f>
        <v>118</v>
      </c>
      <c r="Y490" s="14" t="n">
        <f aca="false">IF(K490=0,0,M490/K490)</f>
        <v>0.236734693877551</v>
      </c>
      <c r="Z490" s="14" t="n">
        <f aca="false">IF(K490+R490+T490+U490=0,0,(M490+R490+T490)/(K490+R490+T490+U490))</f>
        <v>0.292134831460674</v>
      </c>
      <c r="AA490" s="14" t="n">
        <f aca="false">IF(K490=0,0,X490/K490)</f>
        <v>0.481632653061225</v>
      </c>
      <c r="AB490" s="14" t="n">
        <f aca="false">Z490+AA490</f>
        <v>0.773767484521899</v>
      </c>
      <c r="AC490" s="14" t="n">
        <f aca="false">AA490-Y490</f>
        <v>0.244897959183673</v>
      </c>
      <c r="AD490" s="14" t="n">
        <f aca="false">IF(K490-S490-P490+U490=0,0,(M490-P490)/(K490-S490-P490+U490))</f>
        <v>0.245</v>
      </c>
      <c r="AE490" s="15" t="n">
        <f aca="false">IF(J490=0,0,R490/J490)</f>
        <v>0.0599250936329588</v>
      </c>
      <c r="AF490" s="15" t="n">
        <f aca="false">IF(J490=0,0,S490/J490)</f>
        <v>0.142322097378277</v>
      </c>
      <c r="AG490" s="11" t="n">
        <f aca="false">IF(J490&gt;=INDEX(球季參數!$E$2:$E$4,MATCH($A490,球季參數!$A$2:$A$4,0)),1,0)</f>
        <v>0</v>
      </c>
    </row>
    <row r="491" customFormat="false" ht="15" hidden="false" customHeight="false" outlineLevel="0" collapsed="false">
      <c r="A491" s="5" t="n">
        <v>2025</v>
      </c>
      <c r="B491" s="7" t="s">
        <v>1215</v>
      </c>
      <c r="C491" s="10" t="str">
        <f aca="false">INDEX(球員主檔!$B$2:$B$749,MATCH($B491,球員主檔!$A$2:$A$749,0))</f>
        <v>Zane Underhill</v>
      </c>
      <c r="D491" s="7" t="s">
        <v>418</v>
      </c>
      <c r="E491" s="10" t="str">
        <f aca="false">INDEX(球隊主檔!$C$2:$C$31,MATCH($D491,球隊主檔!$A$2:$A$31,0))</f>
        <v>費城費城人</v>
      </c>
      <c r="F491" s="10" t="str">
        <f aca="false">INDEX(球隊主檔!$D$2:$D$31,MATCH($D491,球隊主檔!$A$2:$A$31,0))</f>
        <v>國聯</v>
      </c>
      <c r="G491" s="7" t="s">
        <v>473</v>
      </c>
      <c r="H491" s="11" t="n">
        <f aca="false">INT((DATE($A491,7,1)-INDEX(球員主檔!$G$2:$G$749,MATCH($B491,球員主檔!$A$2:$A$749,0)))/365.25)</f>
        <v>31</v>
      </c>
      <c r="I491" s="12" t="n">
        <v>32</v>
      </c>
      <c r="J491" s="12" t="n">
        <v>130</v>
      </c>
      <c r="K491" s="12" t="n">
        <v>118</v>
      </c>
      <c r="L491" s="12" t="n">
        <v>14</v>
      </c>
      <c r="M491" s="12" t="n">
        <v>28</v>
      </c>
      <c r="N491" s="12" t="n">
        <v>14</v>
      </c>
      <c r="O491" s="12" t="n">
        <v>0</v>
      </c>
      <c r="P491" s="12" t="n">
        <v>2</v>
      </c>
      <c r="Q491" s="12" t="n">
        <v>11</v>
      </c>
      <c r="R491" s="12" t="n">
        <v>10</v>
      </c>
      <c r="S491" s="12" t="n">
        <v>19</v>
      </c>
      <c r="T491" s="12" t="n">
        <v>1</v>
      </c>
      <c r="U491" s="12" t="n">
        <v>1</v>
      </c>
      <c r="V491" s="12" t="n">
        <v>0</v>
      </c>
      <c r="W491" s="12" t="n">
        <v>0</v>
      </c>
      <c r="X491" s="13" t="n">
        <f aca="false">M491+N491+2*O491+3*P491</f>
        <v>48</v>
      </c>
      <c r="Y491" s="14" t="n">
        <f aca="false">IF(K491=0,0,M491/K491)</f>
        <v>0.23728813559322</v>
      </c>
      <c r="Z491" s="14" t="n">
        <f aca="false">IF(K491+R491+T491+U491=0,0,(M491+R491+T491)/(K491+R491+T491+U491))</f>
        <v>0.3</v>
      </c>
      <c r="AA491" s="14" t="n">
        <f aca="false">IF(K491=0,0,X491/K491)</f>
        <v>0.406779661016949</v>
      </c>
      <c r="AB491" s="14" t="n">
        <f aca="false">Z491+AA491</f>
        <v>0.706779661016949</v>
      </c>
      <c r="AC491" s="14" t="n">
        <f aca="false">AA491-Y491</f>
        <v>0.169491525423729</v>
      </c>
      <c r="AD491" s="14" t="n">
        <f aca="false">IF(K491-S491-P491+U491=0,0,(M491-P491)/(K491-S491-P491+U491))</f>
        <v>0.26530612244898</v>
      </c>
      <c r="AE491" s="15" t="n">
        <f aca="false">IF(J491=0,0,R491/J491)</f>
        <v>0.0769230769230769</v>
      </c>
      <c r="AF491" s="15" t="n">
        <f aca="false">IF(J491=0,0,S491/J491)</f>
        <v>0.146153846153846</v>
      </c>
      <c r="AG491" s="11" t="n">
        <f aca="false">IF(J491&gt;=INDEX(球季參數!$E$2:$E$4,MATCH($A491,球季參數!$A$2:$A$4,0)),1,0)</f>
        <v>0</v>
      </c>
    </row>
    <row r="492" customFormat="false" ht="15" hidden="false" customHeight="false" outlineLevel="0" collapsed="false">
      <c r="A492" s="5" t="n">
        <v>2025</v>
      </c>
      <c r="B492" s="7" t="s">
        <v>1237</v>
      </c>
      <c r="C492" s="10" t="str">
        <f aca="false">INDEX(球員主檔!$B$2:$B$749,MATCH($B492,球員主檔!$A$2:$A$749,0))</f>
        <v>Cedric Yarbrough</v>
      </c>
      <c r="D492" s="7" t="s">
        <v>422</v>
      </c>
      <c r="E492" s="10" t="str">
        <f aca="false">INDEX(球隊主檔!$C$2:$C$31,MATCH($D492,球隊主檔!$A$2:$A$31,0))</f>
        <v>華盛頓國民</v>
      </c>
      <c r="F492" s="10" t="str">
        <f aca="false">INDEX(球隊主檔!$D$2:$D$31,MATCH($D492,球隊主檔!$A$2:$A$31,0))</f>
        <v>國聯</v>
      </c>
      <c r="G492" s="7" t="s">
        <v>486</v>
      </c>
      <c r="H492" s="11" t="n">
        <f aca="false">INT((DATE($A492,7,1)-INDEX(球員主檔!$G$2:$G$749,MATCH($B492,球員主檔!$A$2:$A$749,0)))/365.25)</f>
        <v>30</v>
      </c>
      <c r="I492" s="12" t="n">
        <v>161</v>
      </c>
      <c r="J492" s="12" t="n">
        <v>650</v>
      </c>
      <c r="K492" s="12" t="n">
        <v>579</v>
      </c>
      <c r="L492" s="12" t="n">
        <v>75</v>
      </c>
      <c r="M492" s="12" t="n">
        <v>129</v>
      </c>
      <c r="N492" s="12" t="n">
        <v>25</v>
      </c>
      <c r="O492" s="12" t="n">
        <v>6</v>
      </c>
      <c r="P492" s="12" t="n">
        <v>19</v>
      </c>
      <c r="Q492" s="12" t="n">
        <v>66</v>
      </c>
      <c r="R492" s="12" t="n">
        <v>66</v>
      </c>
      <c r="S492" s="12" t="n">
        <v>129</v>
      </c>
      <c r="T492" s="12" t="n">
        <v>3</v>
      </c>
      <c r="U492" s="12" t="n">
        <v>2</v>
      </c>
      <c r="V492" s="12" t="n">
        <v>23</v>
      </c>
      <c r="W492" s="12" t="n">
        <v>7</v>
      </c>
      <c r="X492" s="13" t="n">
        <f aca="false">M492+N492+2*O492+3*P492</f>
        <v>223</v>
      </c>
      <c r="Y492" s="14" t="n">
        <f aca="false">IF(K492=0,0,M492/K492)</f>
        <v>0.22279792746114</v>
      </c>
      <c r="Z492" s="14" t="n">
        <f aca="false">IF(K492+R492+T492+U492=0,0,(M492+R492+T492)/(K492+R492+T492+U492))</f>
        <v>0.304615384615385</v>
      </c>
      <c r="AA492" s="14" t="n">
        <f aca="false">IF(K492=0,0,X492/K492)</f>
        <v>0.385146804835924</v>
      </c>
      <c r="AB492" s="14" t="n">
        <f aca="false">Z492+AA492</f>
        <v>0.689762189451309</v>
      </c>
      <c r="AC492" s="14" t="n">
        <f aca="false">AA492-Y492</f>
        <v>0.162348877374784</v>
      </c>
      <c r="AD492" s="14" t="n">
        <f aca="false">IF(K492-S492-P492+U492=0,0,(M492-P492)/(K492-S492-P492+U492))</f>
        <v>0.254041570438799</v>
      </c>
      <c r="AE492" s="15" t="n">
        <f aca="false">IF(J492=0,0,R492/J492)</f>
        <v>0.101538461538462</v>
      </c>
      <c r="AF492" s="15" t="n">
        <f aca="false">IF(J492=0,0,S492/J492)</f>
        <v>0.198461538461538</v>
      </c>
      <c r="AG492" s="11" t="n">
        <f aca="false">IF(J492&gt;=INDEX(球季參數!$E$2:$E$4,MATCH($A492,球季參數!$A$2:$A$4,0)),1,0)</f>
        <v>1</v>
      </c>
    </row>
    <row r="493" customFormat="false" ht="15" hidden="false" customHeight="false" outlineLevel="0" collapsed="false">
      <c r="A493" s="5" t="n">
        <v>2025</v>
      </c>
      <c r="B493" s="7" t="s">
        <v>1771</v>
      </c>
      <c r="C493" s="10" t="str">
        <f aca="false">INDEX(球員主檔!$B$2:$B$749,MATCH($B493,球員主檔!$A$2:$A$749,0))</f>
        <v>Lucien Tremblay</v>
      </c>
      <c r="D493" s="7" t="s">
        <v>422</v>
      </c>
      <c r="E493" s="10" t="str">
        <f aca="false">INDEX(球隊主檔!$C$2:$C$31,MATCH($D493,球隊主檔!$A$2:$A$31,0))</f>
        <v>華盛頓國民</v>
      </c>
      <c r="F493" s="10" t="str">
        <f aca="false">INDEX(球隊主檔!$D$2:$D$31,MATCH($D493,球隊主檔!$A$2:$A$31,0))</f>
        <v>國聯</v>
      </c>
      <c r="G493" s="7" t="s">
        <v>522</v>
      </c>
      <c r="H493" s="11" t="n">
        <f aca="false">INT((DATE($A493,7,1)-INDEX(球員主檔!$G$2:$G$749,MATCH($B493,球員主檔!$A$2:$A$749,0)))/365.25)</f>
        <v>22</v>
      </c>
      <c r="I493" s="12" t="n">
        <v>151</v>
      </c>
      <c r="J493" s="12" t="n">
        <v>584</v>
      </c>
      <c r="K493" s="12" t="n">
        <v>521</v>
      </c>
      <c r="L493" s="12" t="n">
        <v>59</v>
      </c>
      <c r="M493" s="12" t="n">
        <v>141</v>
      </c>
      <c r="N493" s="12" t="n">
        <v>11</v>
      </c>
      <c r="O493" s="12" t="n">
        <v>8</v>
      </c>
      <c r="P493" s="12" t="n">
        <v>4</v>
      </c>
      <c r="Q493" s="12" t="n">
        <v>46</v>
      </c>
      <c r="R493" s="12" t="n">
        <v>52</v>
      </c>
      <c r="S493" s="12" t="n">
        <v>96</v>
      </c>
      <c r="T493" s="12" t="n">
        <v>6</v>
      </c>
      <c r="U493" s="12" t="n">
        <v>5</v>
      </c>
      <c r="V493" s="12" t="n">
        <v>21</v>
      </c>
      <c r="W493" s="12" t="n">
        <v>5</v>
      </c>
      <c r="X493" s="13" t="n">
        <f aca="false">M493+N493+2*O493+3*P493</f>
        <v>180</v>
      </c>
      <c r="Y493" s="14" t="n">
        <f aca="false">IF(K493=0,0,M493/K493)</f>
        <v>0.27063339731286</v>
      </c>
      <c r="Z493" s="14" t="n">
        <f aca="false">IF(K493+R493+T493+U493=0,0,(M493+R493+T493)/(K493+R493+T493+U493))</f>
        <v>0.340753424657534</v>
      </c>
      <c r="AA493" s="14" t="n">
        <f aca="false">IF(K493=0,0,X493/K493)</f>
        <v>0.345489443378119</v>
      </c>
      <c r="AB493" s="14" t="n">
        <f aca="false">Z493+AA493</f>
        <v>0.686242868035653</v>
      </c>
      <c r="AC493" s="14" t="n">
        <f aca="false">AA493-Y493</f>
        <v>0.0748560460652591</v>
      </c>
      <c r="AD493" s="14" t="n">
        <f aca="false">IF(K493-S493-P493+U493=0,0,(M493-P493)/(K493-S493-P493+U493))</f>
        <v>0.321596244131455</v>
      </c>
      <c r="AE493" s="15" t="n">
        <f aca="false">IF(J493=0,0,R493/J493)</f>
        <v>0.089041095890411</v>
      </c>
      <c r="AF493" s="15" t="n">
        <f aca="false">IF(J493=0,0,S493/J493)</f>
        <v>0.164383561643836</v>
      </c>
      <c r="AG493" s="11" t="n">
        <f aca="false">IF(J493&gt;=INDEX(球季參數!$E$2:$E$4,MATCH($A493,球季參數!$A$2:$A$4,0)),1,0)</f>
        <v>1</v>
      </c>
    </row>
    <row r="494" customFormat="false" ht="15" hidden="false" customHeight="false" outlineLevel="0" collapsed="false">
      <c r="A494" s="5" t="n">
        <v>2025</v>
      </c>
      <c r="B494" s="7" t="s">
        <v>685</v>
      </c>
      <c r="C494" s="10" t="str">
        <f aca="false">INDEX(球員主檔!$B$2:$B$749,MATCH($B494,球員主檔!$A$2:$A$749,0))</f>
        <v>Fletcher Dubois</v>
      </c>
      <c r="D494" s="7" t="s">
        <v>422</v>
      </c>
      <c r="E494" s="10" t="str">
        <f aca="false">INDEX(球隊主檔!$C$2:$C$31,MATCH($D494,球隊主檔!$A$2:$A$31,0))</f>
        <v>華盛頓國民</v>
      </c>
      <c r="F494" s="10" t="str">
        <f aca="false">INDEX(球隊主檔!$D$2:$D$31,MATCH($D494,球隊主檔!$A$2:$A$31,0))</f>
        <v>國聯</v>
      </c>
      <c r="G494" s="7" t="s">
        <v>63</v>
      </c>
      <c r="H494" s="11" t="n">
        <f aca="false">INT((DATE($A494,7,1)-INDEX(球員主檔!$G$2:$G$749,MATCH($B494,球員主檔!$A$2:$A$749,0)))/365.25)</f>
        <v>35</v>
      </c>
      <c r="I494" s="12" t="n">
        <v>149</v>
      </c>
      <c r="J494" s="12" t="n">
        <v>653</v>
      </c>
      <c r="K494" s="12" t="n">
        <v>552</v>
      </c>
      <c r="L494" s="12" t="n">
        <v>72</v>
      </c>
      <c r="M494" s="12" t="n">
        <v>149</v>
      </c>
      <c r="N494" s="12" t="n">
        <v>32</v>
      </c>
      <c r="O494" s="12" t="n">
        <v>3</v>
      </c>
      <c r="P494" s="12" t="n">
        <v>12</v>
      </c>
      <c r="Q494" s="12" t="n">
        <v>62</v>
      </c>
      <c r="R494" s="12" t="n">
        <v>85</v>
      </c>
      <c r="S494" s="12" t="n">
        <v>226</v>
      </c>
      <c r="T494" s="12" t="n">
        <v>9</v>
      </c>
      <c r="U494" s="12" t="n">
        <v>7</v>
      </c>
      <c r="V494" s="12" t="n">
        <v>12</v>
      </c>
      <c r="W494" s="12" t="n">
        <v>4</v>
      </c>
      <c r="X494" s="13" t="n">
        <f aca="false">M494+N494+2*O494+3*P494</f>
        <v>223</v>
      </c>
      <c r="Y494" s="14" t="n">
        <f aca="false">IF(K494=0,0,M494/K494)</f>
        <v>0.269927536231884</v>
      </c>
      <c r="Z494" s="14" t="n">
        <f aca="false">IF(K494+R494+T494+U494=0,0,(M494+R494+T494)/(K494+R494+T494+U494))</f>
        <v>0.372128637059724</v>
      </c>
      <c r="AA494" s="14" t="n">
        <f aca="false">IF(K494=0,0,X494/K494)</f>
        <v>0.403985507246377</v>
      </c>
      <c r="AB494" s="14" t="n">
        <f aca="false">Z494+AA494</f>
        <v>0.776114144306101</v>
      </c>
      <c r="AC494" s="14" t="n">
        <f aca="false">AA494-Y494</f>
        <v>0.134057971014493</v>
      </c>
      <c r="AD494" s="14" t="n">
        <f aca="false">IF(K494-S494-P494+U494=0,0,(M494-P494)/(K494-S494-P494+U494))</f>
        <v>0.426791277258567</v>
      </c>
      <c r="AE494" s="15" t="n">
        <f aca="false">IF(J494=0,0,R494/J494)</f>
        <v>0.130168453292496</v>
      </c>
      <c r="AF494" s="15" t="n">
        <f aca="false">IF(J494=0,0,S494/J494)</f>
        <v>0.346094946401225</v>
      </c>
      <c r="AG494" s="11" t="n">
        <f aca="false">IF(J494&gt;=INDEX(球季參數!$E$2:$E$4,MATCH($A494,球季參數!$A$2:$A$4,0)),1,0)</f>
        <v>1</v>
      </c>
    </row>
    <row r="495" customFormat="false" ht="15" hidden="false" customHeight="false" outlineLevel="0" collapsed="false">
      <c r="A495" s="5" t="n">
        <v>2025</v>
      </c>
      <c r="B495" s="7" t="s">
        <v>1243</v>
      </c>
      <c r="C495" s="10" t="str">
        <f aca="false">INDEX(球員主檔!$B$2:$B$749,MATCH($B495,球員主檔!$A$2:$A$749,0))</f>
        <v>Jedidiah Blackwood</v>
      </c>
      <c r="D495" s="7" t="s">
        <v>422</v>
      </c>
      <c r="E495" s="10" t="str">
        <f aca="false">INDEX(球隊主檔!$C$2:$C$31,MATCH($D495,球隊主檔!$A$2:$A$31,0))</f>
        <v>華盛頓國民</v>
      </c>
      <c r="F495" s="10" t="str">
        <f aca="false">INDEX(球隊主檔!$D$2:$D$31,MATCH($D495,球隊主檔!$A$2:$A$31,0))</f>
        <v>國聯</v>
      </c>
      <c r="G495" s="7" t="s">
        <v>483</v>
      </c>
      <c r="H495" s="11" t="n">
        <f aca="false">INT((DATE($A495,7,1)-INDEX(球員主檔!$G$2:$G$749,MATCH($B495,球員主檔!$A$2:$A$749,0)))/365.25)</f>
        <v>31</v>
      </c>
      <c r="I495" s="12" t="n">
        <v>141</v>
      </c>
      <c r="J495" s="12" t="n">
        <v>585</v>
      </c>
      <c r="K495" s="12" t="n">
        <v>529</v>
      </c>
      <c r="L495" s="12" t="n">
        <v>56</v>
      </c>
      <c r="M495" s="12" t="n">
        <v>122</v>
      </c>
      <c r="N495" s="12" t="n">
        <v>14</v>
      </c>
      <c r="O495" s="12" t="n">
        <v>11</v>
      </c>
      <c r="P495" s="12" t="n">
        <v>7</v>
      </c>
      <c r="Q495" s="12" t="n">
        <v>40</v>
      </c>
      <c r="R495" s="12" t="n">
        <v>48</v>
      </c>
      <c r="S495" s="12" t="n">
        <v>160</v>
      </c>
      <c r="T495" s="12" t="n">
        <v>5</v>
      </c>
      <c r="U495" s="12" t="n">
        <v>3</v>
      </c>
      <c r="V495" s="12" t="n">
        <v>4</v>
      </c>
      <c r="W495" s="12" t="n">
        <v>0</v>
      </c>
      <c r="X495" s="13" t="n">
        <f aca="false">M495+N495+2*O495+3*P495</f>
        <v>179</v>
      </c>
      <c r="Y495" s="14" t="n">
        <f aca="false">IF(K495=0,0,M495/K495)</f>
        <v>0.23062381852552</v>
      </c>
      <c r="Z495" s="14" t="n">
        <f aca="false">IF(K495+R495+T495+U495=0,0,(M495+R495+T495)/(K495+R495+T495+U495))</f>
        <v>0.299145299145299</v>
      </c>
      <c r="AA495" s="14" t="n">
        <f aca="false">IF(K495=0,0,X495/K495)</f>
        <v>0.338374291115312</v>
      </c>
      <c r="AB495" s="14" t="n">
        <f aca="false">Z495+AA495</f>
        <v>0.637519590260611</v>
      </c>
      <c r="AC495" s="14" t="n">
        <f aca="false">AA495-Y495</f>
        <v>0.107750472589792</v>
      </c>
      <c r="AD495" s="14" t="n">
        <f aca="false">IF(K495-S495-P495+U495=0,0,(M495-P495)/(K495-S495-P495+U495))</f>
        <v>0.315068493150685</v>
      </c>
      <c r="AE495" s="15" t="n">
        <f aca="false">IF(J495=0,0,R495/J495)</f>
        <v>0.0820512820512821</v>
      </c>
      <c r="AF495" s="15" t="n">
        <f aca="false">IF(J495=0,0,S495/J495)</f>
        <v>0.273504273504274</v>
      </c>
      <c r="AG495" s="11" t="n">
        <f aca="false">IF(J495&gt;=INDEX(球季參數!$E$2:$E$4,MATCH($A495,球季參數!$A$2:$A$4,0)),1,0)</f>
        <v>1</v>
      </c>
    </row>
    <row r="496" customFormat="false" ht="15" hidden="false" customHeight="false" outlineLevel="0" collapsed="false">
      <c r="A496" s="5" t="n">
        <v>2025</v>
      </c>
      <c r="B496" s="7" t="s">
        <v>1245</v>
      </c>
      <c r="C496" s="10" t="str">
        <f aca="false">INDEX(球員主檔!$B$2:$B$749,MATCH($B496,球員主檔!$A$2:$A$749,0))</f>
        <v>Jedidiah Zbornak</v>
      </c>
      <c r="D496" s="7" t="s">
        <v>422</v>
      </c>
      <c r="E496" s="10" t="str">
        <f aca="false">INDEX(球隊主檔!$C$2:$C$31,MATCH($D496,球隊主檔!$A$2:$A$31,0))</f>
        <v>華盛頓國民</v>
      </c>
      <c r="F496" s="10" t="str">
        <f aca="false">INDEX(球隊主檔!$D$2:$D$31,MATCH($D496,球隊主檔!$A$2:$A$31,0))</f>
        <v>國聯</v>
      </c>
      <c r="G496" s="7" t="s">
        <v>483</v>
      </c>
      <c r="H496" s="11" t="n">
        <f aca="false">INT((DATE($A496,7,1)-INDEX(球員主檔!$G$2:$G$749,MATCH($B496,球員主檔!$A$2:$A$749,0)))/365.25)</f>
        <v>30</v>
      </c>
      <c r="I496" s="12" t="n">
        <v>162</v>
      </c>
      <c r="J496" s="12" t="n">
        <v>666</v>
      </c>
      <c r="K496" s="12" t="n">
        <v>595</v>
      </c>
      <c r="L496" s="12" t="n">
        <v>78</v>
      </c>
      <c r="M496" s="12" t="n">
        <v>137</v>
      </c>
      <c r="N496" s="12" t="n">
        <v>31</v>
      </c>
      <c r="O496" s="12" t="n">
        <v>5</v>
      </c>
      <c r="P496" s="12" t="n">
        <v>14</v>
      </c>
      <c r="Q496" s="12" t="n">
        <v>65</v>
      </c>
      <c r="R496" s="12" t="n">
        <v>55</v>
      </c>
      <c r="S496" s="12" t="n">
        <v>213</v>
      </c>
      <c r="T496" s="12" t="n">
        <v>12</v>
      </c>
      <c r="U496" s="12" t="n">
        <v>4</v>
      </c>
      <c r="V496" s="12" t="n">
        <v>10</v>
      </c>
      <c r="W496" s="12" t="n">
        <v>3</v>
      </c>
      <c r="X496" s="13" t="n">
        <f aca="false">M496+N496+2*O496+3*P496</f>
        <v>220</v>
      </c>
      <c r="Y496" s="14" t="n">
        <f aca="false">IF(K496=0,0,M496/K496)</f>
        <v>0.230252100840336</v>
      </c>
      <c r="Z496" s="14" t="n">
        <f aca="false">IF(K496+R496+T496+U496=0,0,(M496+R496+T496)/(K496+R496+T496+U496))</f>
        <v>0.306306306306306</v>
      </c>
      <c r="AA496" s="14" t="n">
        <f aca="false">IF(K496=0,0,X496/K496)</f>
        <v>0.369747899159664</v>
      </c>
      <c r="AB496" s="14" t="n">
        <f aca="false">Z496+AA496</f>
        <v>0.67605420546597</v>
      </c>
      <c r="AC496" s="14" t="n">
        <f aca="false">AA496-Y496</f>
        <v>0.139495798319328</v>
      </c>
      <c r="AD496" s="14" t="n">
        <f aca="false">IF(K496-S496-P496+U496=0,0,(M496-P496)/(K496-S496-P496+U496))</f>
        <v>0.330645161290323</v>
      </c>
      <c r="AE496" s="15" t="n">
        <f aca="false">IF(J496=0,0,R496/J496)</f>
        <v>0.0825825825825826</v>
      </c>
      <c r="AF496" s="15" t="n">
        <f aca="false">IF(J496=0,0,S496/J496)</f>
        <v>0.31981981981982</v>
      </c>
      <c r="AG496" s="11" t="n">
        <f aca="false">IF(J496&gt;=INDEX(球季參數!$E$2:$E$4,MATCH($A496,球季參數!$A$2:$A$4,0)),1,0)</f>
        <v>1</v>
      </c>
    </row>
    <row r="497" customFormat="false" ht="15" hidden="false" customHeight="false" outlineLevel="0" collapsed="false">
      <c r="A497" s="5" t="n">
        <v>2025</v>
      </c>
      <c r="B497" s="7" t="s">
        <v>1247</v>
      </c>
      <c r="C497" s="10" t="str">
        <f aca="false">INDEX(球員主檔!$B$2:$B$749,MATCH($B497,球員主檔!$A$2:$A$749,0))</f>
        <v>Porter Underhill</v>
      </c>
      <c r="D497" s="7" t="s">
        <v>422</v>
      </c>
      <c r="E497" s="10" t="str">
        <f aca="false">INDEX(球隊主檔!$C$2:$C$31,MATCH($D497,球隊主檔!$A$2:$A$31,0))</f>
        <v>華盛頓國民</v>
      </c>
      <c r="F497" s="10" t="str">
        <f aca="false">INDEX(球隊主檔!$D$2:$D$31,MATCH($D497,球隊主檔!$A$2:$A$31,0))</f>
        <v>國聯</v>
      </c>
      <c r="G497" s="7" t="s">
        <v>522</v>
      </c>
      <c r="H497" s="11" t="n">
        <f aca="false">INT((DATE($A497,7,1)-INDEX(球員主檔!$G$2:$G$749,MATCH($B497,球員主檔!$A$2:$A$749,0)))/365.25)</f>
        <v>28</v>
      </c>
      <c r="I497" s="12" t="n">
        <v>95</v>
      </c>
      <c r="J497" s="12" t="n">
        <v>424</v>
      </c>
      <c r="K497" s="12" t="n">
        <v>405</v>
      </c>
      <c r="L497" s="12" t="n">
        <v>57</v>
      </c>
      <c r="M497" s="12" t="n">
        <v>108</v>
      </c>
      <c r="N497" s="12" t="n">
        <v>27</v>
      </c>
      <c r="O497" s="12" t="n">
        <v>9</v>
      </c>
      <c r="P497" s="12" t="n">
        <v>17</v>
      </c>
      <c r="Q497" s="12" t="n">
        <v>55</v>
      </c>
      <c r="R497" s="12" t="n">
        <v>13</v>
      </c>
      <c r="S497" s="12" t="n">
        <v>75</v>
      </c>
      <c r="T497" s="12" t="n">
        <v>2</v>
      </c>
      <c r="U497" s="12" t="n">
        <v>4</v>
      </c>
      <c r="V497" s="12" t="n">
        <v>23</v>
      </c>
      <c r="W497" s="12" t="n">
        <v>4</v>
      </c>
      <c r="X497" s="13" t="n">
        <f aca="false">M497+N497+2*O497+3*P497</f>
        <v>204</v>
      </c>
      <c r="Y497" s="14" t="n">
        <f aca="false">IF(K497=0,0,M497/K497)</f>
        <v>0.266666666666667</v>
      </c>
      <c r="Z497" s="14" t="n">
        <f aca="false">IF(K497+R497+T497+U497=0,0,(M497+R497+T497)/(K497+R497+T497+U497))</f>
        <v>0.290094339622642</v>
      </c>
      <c r="AA497" s="14" t="n">
        <f aca="false">IF(K497=0,0,X497/K497)</f>
        <v>0.503703703703704</v>
      </c>
      <c r="AB497" s="14" t="n">
        <f aca="false">Z497+AA497</f>
        <v>0.793798043326345</v>
      </c>
      <c r="AC497" s="14" t="n">
        <f aca="false">AA497-Y497</f>
        <v>0.237037037037037</v>
      </c>
      <c r="AD497" s="14" t="n">
        <f aca="false">IF(K497-S497-P497+U497=0,0,(M497-P497)/(K497-S497-P497+U497))</f>
        <v>0.287066246056782</v>
      </c>
      <c r="AE497" s="15" t="n">
        <f aca="false">IF(J497=0,0,R497/J497)</f>
        <v>0.0306603773584906</v>
      </c>
      <c r="AF497" s="15" t="n">
        <f aca="false">IF(J497=0,0,S497/J497)</f>
        <v>0.17688679245283</v>
      </c>
      <c r="AG497" s="11" t="n">
        <f aca="false">IF(J497&gt;=INDEX(球季參數!$E$2:$E$4,MATCH($A497,球季參數!$A$2:$A$4,0)),1,0)</f>
        <v>0</v>
      </c>
    </row>
    <row r="498" customFormat="false" ht="15" hidden="false" customHeight="false" outlineLevel="0" collapsed="false">
      <c r="A498" s="5" t="n">
        <v>2025</v>
      </c>
      <c r="B498" s="7" t="s">
        <v>1249</v>
      </c>
      <c r="C498" s="10" t="str">
        <f aca="false">INDEX(球員主檔!$B$2:$B$749,MATCH($B498,球員主檔!$A$2:$A$749,0))</f>
        <v>Desmond Delacroix</v>
      </c>
      <c r="D498" s="7" t="s">
        <v>422</v>
      </c>
      <c r="E498" s="10" t="str">
        <f aca="false">INDEX(球隊主檔!$C$2:$C$31,MATCH($D498,球隊主檔!$A$2:$A$31,0))</f>
        <v>華盛頓國民</v>
      </c>
      <c r="F498" s="10" t="str">
        <f aca="false">INDEX(球隊主檔!$D$2:$D$31,MATCH($D498,球隊主檔!$A$2:$A$31,0))</f>
        <v>國聯</v>
      </c>
      <c r="G498" s="7" t="s">
        <v>483</v>
      </c>
      <c r="H498" s="11" t="n">
        <f aca="false">INT((DATE($A498,7,1)-INDEX(球員主檔!$G$2:$G$749,MATCH($B498,球員主檔!$A$2:$A$749,0)))/365.25)</f>
        <v>28</v>
      </c>
      <c r="I498" s="12" t="n">
        <v>58</v>
      </c>
      <c r="J498" s="12" t="n">
        <v>261</v>
      </c>
      <c r="K498" s="12" t="n">
        <v>245</v>
      </c>
      <c r="L498" s="12" t="n">
        <v>28</v>
      </c>
      <c r="M498" s="12" t="n">
        <v>61</v>
      </c>
      <c r="N498" s="12" t="n">
        <v>24</v>
      </c>
      <c r="O498" s="12" t="n">
        <v>7</v>
      </c>
      <c r="P498" s="12" t="n">
        <v>5</v>
      </c>
      <c r="Q498" s="12" t="n">
        <v>30</v>
      </c>
      <c r="R498" s="12" t="n">
        <v>13</v>
      </c>
      <c r="S498" s="12" t="n">
        <v>61</v>
      </c>
      <c r="T498" s="12" t="n">
        <v>2</v>
      </c>
      <c r="U498" s="12" t="n">
        <v>1</v>
      </c>
      <c r="V498" s="12" t="n">
        <v>7</v>
      </c>
      <c r="W498" s="12" t="n">
        <v>2</v>
      </c>
      <c r="X498" s="13" t="n">
        <f aca="false">M498+N498+2*O498+3*P498</f>
        <v>114</v>
      </c>
      <c r="Y498" s="14" t="n">
        <f aca="false">IF(K498=0,0,M498/K498)</f>
        <v>0.248979591836735</v>
      </c>
      <c r="Z498" s="14" t="n">
        <f aca="false">IF(K498+R498+T498+U498=0,0,(M498+R498+T498)/(K498+R498+T498+U498))</f>
        <v>0.291187739463602</v>
      </c>
      <c r="AA498" s="14" t="n">
        <f aca="false">IF(K498=0,0,X498/K498)</f>
        <v>0.46530612244898</v>
      </c>
      <c r="AB498" s="14" t="n">
        <f aca="false">Z498+AA498</f>
        <v>0.756493861912581</v>
      </c>
      <c r="AC498" s="14" t="n">
        <f aca="false">AA498-Y498</f>
        <v>0.216326530612245</v>
      </c>
      <c r="AD498" s="14" t="n">
        <f aca="false">IF(K498-S498-P498+U498=0,0,(M498-P498)/(K498-S498-P498+U498))</f>
        <v>0.311111111111111</v>
      </c>
      <c r="AE498" s="15" t="n">
        <f aca="false">IF(J498=0,0,R498/J498)</f>
        <v>0.0498084291187739</v>
      </c>
      <c r="AF498" s="15" t="n">
        <f aca="false">IF(J498=0,0,S498/J498)</f>
        <v>0.233716475095785</v>
      </c>
      <c r="AG498" s="11" t="n">
        <f aca="false">IF(J498&gt;=INDEX(球季參數!$E$2:$E$4,MATCH($A498,球季參數!$A$2:$A$4,0)),1,0)</f>
        <v>0</v>
      </c>
    </row>
    <row r="499" customFormat="false" ht="15" hidden="false" customHeight="false" outlineLevel="0" collapsed="false">
      <c r="A499" s="5" t="n">
        <v>2025</v>
      </c>
      <c r="B499" s="7" t="s">
        <v>1773</v>
      </c>
      <c r="C499" s="10" t="str">
        <f aca="false">INDEX(球員主檔!$B$2:$B$749,MATCH($B499,球員主檔!$A$2:$A$749,0))</f>
        <v>Bernardo Arceneaux</v>
      </c>
      <c r="D499" s="7" t="s">
        <v>422</v>
      </c>
      <c r="E499" s="10" t="str">
        <f aca="false">INDEX(球隊主檔!$C$2:$C$31,MATCH($D499,球隊主檔!$A$2:$A$31,0))</f>
        <v>華盛頓國民</v>
      </c>
      <c r="F499" s="10" t="str">
        <f aca="false">INDEX(球隊主檔!$D$2:$D$31,MATCH($D499,球隊主檔!$A$2:$A$31,0))</f>
        <v>國聯</v>
      </c>
      <c r="G499" s="7" t="s">
        <v>162</v>
      </c>
      <c r="H499" s="11" t="n">
        <f aca="false">INT((DATE($A499,7,1)-INDEX(球員主檔!$G$2:$G$749,MATCH($B499,球員主檔!$A$2:$A$749,0)))/365.25)</f>
        <v>21</v>
      </c>
      <c r="I499" s="12" t="n">
        <v>45</v>
      </c>
      <c r="J499" s="12" t="n">
        <v>179</v>
      </c>
      <c r="K499" s="12" t="n">
        <v>160</v>
      </c>
      <c r="L499" s="12" t="n">
        <v>20</v>
      </c>
      <c r="M499" s="12" t="n">
        <v>37</v>
      </c>
      <c r="N499" s="12" t="n">
        <v>18</v>
      </c>
      <c r="O499" s="12" t="n">
        <v>0</v>
      </c>
      <c r="P499" s="12" t="n">
        <v>2</v>
      </c>
      <c r="Q499" s="12" t="n">
        <v>13</v>
      </c>
      <c r="R499" s="12" t="n">
        <v>15</v>
      </c>
      <c r="S499" s="12" t="n">
        <v>41</v>
      </c>
      <c r="T499" s="12" t="n">
        <v>3</v>
      </c>
      <c r="U499" s="12" t="n">
        <v>1</v>
      </c>
      <c r="V499" s="12" t="n">
        <v>4</v>
      </c>
      <c r="W499" s="12" t="n">
        <v>1</v>
      </c>
      <c r="X499" s="13" t="n">
        <f aca="false">M499+N499+2*O499+3*P499</f>
        <v>61</v>
      </c>
      <c r="Y499" s="14" t="n">
        <f aca="false">IF(K499=0,0,M499/K499)</f>
        <v>0.23125</v>
      </c>
      <c r="Z499" s="14" t="n">
        <f aca="false">IF(K499+R499+T499+U499=0,0,(M499+R499+T499)/(K499+R499+T499+U499))</f>
        <v>0.307262569832402</v>
      </c>
      <c r="AA499" s="14" t="n">
        <f aca="false">IF(K499=0,0,X499/K499)</f>
        <v>0.38125</v>
      </c>
      <c r="AB499" s="14" t="n">
        <f aca="false">Z499+AA499</f>
        <v>0.688512569832402</v>
      </c>
      <c r="AC499" s="14" t="n">
        <f aca="false">AA499-Y499</f>
        <v>0.15</v>
      </c>
      <c r="AD499" s="14" t="n">
        <f aca="false">IF(K499-S499-P499+U499=0,0,(M499-P499)/(K499-S499-P499+U499))</f>
        <v>0.296610169491525</v>
      </c>
      <c r="AE499" s="15" t="n">
        <f aca="false">IF(J499=0,0,R499/J499)</f>
        <v>0.0837988826815642</v>
      </c>
      <c r="AF499" s="15" t="n">
        <f aca="false">IF(J499=0,0,S499/J499)</f>
        <v>0.229050279329609</v>
      </c>
      <c r="AG499" s="11" t="n">
        <f aca="false">IF(J499&gt;=INDEX(球季參數!$E$2:$E$4,MATCH($A499,球季參數!$A$2:$A$4,0)),1,0)</f>
        <v>0</v>
      </c>
    </row>
    <row r="500" customFormat="false" ht="15" hidden="false" customHeight="false" outlineLevel="0" collapsed="false">
      <c r="A500" s="5" t="n">
        <v>2025</v>
      </c>
      <c r="B500" s="7" t="s">
        <v>1775</v>
      </c>
      <c r="C500" s="10" t="str">
        <f aca="false">INDEX(球員主檔!$B$2:$B$749,MATCH($B500,球員主檔!$A$2:$A$749,0))</f>
        <v>Hugo Eberhardt</v>
      </c>
      <c r="D500" s="7" t="s">
        <v>422</v>
      </c>
      <c r="E500" s="10" t="str">
        <f aca="false">INDEX(球隊主檔!$C$2:$C$31,MATCH($D500,球隊主檔!$A$2:$A$31,0))</f>
        <v>華盛頓國民</v>
      </c>
      <c r="F500" s="10" t="str">
        <f aca="false">INDEX(球隊主檔!$D$2:$D$31,MATCH($D500,球隊主檔!$A$2:$A$31,0))</f>
        <v>國聯</v>
      </c>
      <c r="G500" s="7" t="s">
        <v>470</v>
      </c>
      <c r="H500" s="11" t="n">
        <f aca="false">INT((DATE($A500,7,1)-INDEX(球員主檔!$G$2:$G$749,MATCH($B500,球員主檔!$A$2:$A$749,0)))/365.25)</f>
        <v>22</v>
      </c>
      <c r="I500" s="12" t="n">
        <v>48</v>
      </c>
      <c r="J500" s="12" t="n">
        <v>217</v>
      </c>
      <c r="K500" s="12" t="n">
        <v>192</v>
      </c>
      <c r="L500" s="12" t="n">
        <v>26</v>
      </c>
      <c r="M500" s="12" t="n">
        <v>48</v>
      </c>
      <c r="N500" s="12" t="n">
        <v>19</v>
      </c>
      <c r="O500" s="12" t="n">
        <v>0</v>
      </c>
      <c r="P500" s="12" t="n">
        <v>9</v>
      </c>
      <c r="Q500" s="12" t="n">
        <v>27</v>
      </c>
      <c r="R500" s="12" t="n">
        <v>20</v>
      </c>
      <c r="S500" s="12" t="n">
        <v>43</v>
      </c>
      <c r="T500" s="12" t="n">
        <v>3</v>
      </c>
      <c r="U500" s="12" t="n">
        <v>2</v>
      </c>
      <c r="V500" s="12" t="n">
        <v>2</v>
      </c>
      <c r="W500" s="12" t="n">
        <v>1</v>
      </c>
      <c r="X500" s="13" t="n">
        <f aca="false">M500+N500+2*O500+3*P500</f>
        <v>94</v>
      </c>
      <c r="Y500" s="14" t="n">
        <f aca="false">IF(K500=0,0,M500/K500)</f>
        <v>0.25</v>
      </c>
      <c r="Z500" s="14" t="n">
        <f aca="false">IF(K500+R500+T500+U500=0,0,(M500+R500+T500)/(K500+R500+T500+U500))</f>
        <v>0.327188940092166</v>
      </c>
      <c r="AA500" s="14" t="n">
        <f aca="false">IF(K500=0,0,X500/K500)</f>
        <v>0.489583333333333</v>
      </c>
      <c r="AB500" s="14" t="n">
        <f aca="false">Z500+AA500</f>
        <v>0.816772273425499</v>
      </c>
      <c r="AC500" s="14" t="n">
        <f aca="false">AA500-Y500</f>
        <v>0.239583333333333</v>
      </c>
      <c r="AD500" s="14" t="n">
        <f aca="false">IF(K500-S500-P500+U500=0,0,(M500-P500)/(K500-S500-P500+U500))</f>
        <v>0.274647887323944</v>
      </c>
      <c r="AE500" s="15" t="n">
        <f aca="false">IF(J500=0,0,R500/J500)</f>
        <v>0.0921658986175115</v>
      </c>
      <c r="AF500" s="15" t="n">
        <f aca="false">IF(J500=0,0,S500/J500)</f>
        <v>0.19815668202765</v>
      </c>
      <c r="AG500" s="11" t="n">
        <f aca="false">IF(J500&gt;=INDEX(球季參數!$E$2:$E$4,MATCH($A500,球季參數!$A$2:$A$4,0)),1,0)</f>
        <v>0</v>
      </c>
    </row>
    <row r="501" customFormat="false" ht="15" hidden="false" customHeight="false" outlineLevel="0" collapsed="false">
      <c r="A501" s="5" t="n">
        <v>2025</v>
      </c>
      <c r="B501" s="7" t="s">
        <v>1255</v>
      </c>
      <c r="C501" s="10" t="str">
        <f aca="false">INDEX(球員主檔!$B$2:$B$749,MATCH($B501,球員主檔!$A$2:$A$749,0))</f>
        <v>Everett Paszkiewicz</v>
      </c>
      <c r="D501" s="7" t="s">
        <v>422</v>
      </c>
      <c r="E501" s="10" t="str">
        <f aca="false">INDEX(球隊主檔!$C$2:$C$31,MATCH($D501,球隊主檔!$A$2:$A$31,0))</f>
        <v>華盛頓國民</v>
      </c>
      <c r="F501" s="10" t="str">
        <f aca="false">INDEX(球隊主檔!$D$2:$D$31,MATCH($D501,球隊主檔!$A$2:$A$31,0))</f>
        <v>國聯</v>
      </c>
      <c r="G501" s="7" t="s">
        <v>473</v>
      </c>
      <c r="H501" s="11" t="n">
        <f aca="false">INT((DATE($A501,7,1)-INDEX(球員主檔!$G$2:$G$749,MATCH($B501,球員主檔!$A$2:$A$749,0)))/365.25)</f>
        <v>34</v>
      </c>
      <c r="I501" s="12" t="n">
        <v>38</v>
      </c>
      <c r="J501" s="12" t="n">
        <v>149</v>
      </c>
      <c r="K501" s="12" t="n">
        <v>136</v>
      </c>
      <c r="L501" s="12" t="n">
        <v>13</v>
      </c>
      <c r="M501" s="12" t="n">
        <v>29</v>
      </c>
      <c r="N501" s="12" t="n">
        <v>14</v>
      </c>
      <c r="O501" s="12" t="n">
        <v>0</v>
      </c>
      <c r="P501" s="12" t="n">
        <v>3</v>
      </c>
      <c r="Q501" s="12" t="n">
        <v>14</v>
      </c>
      <c r="R501" s="12" t="n">
        <v>11</v>
      </c>
      <c r="S501" s="12" t="n">
        <v>23</v>
      </c>
      <c r="T501" s="12" t="n">
        <v>1</v>
      </c>
      <c r="U501" s="12" t="n">
        <v>1</v>
      </c>
      <c r="V501" s="12" t="n">
        <v>1</v>
      </c>
      <c r="W501" s="12" t="n">
        <v>0</v>
      </c>
      <c r="X501" s="13" t="n">
        <f aca="false">M501+N501+2*O501+3*P501</f>
        <v>52</v>
      </c>
      <c r="Y501" s="14" t="n">
        <f aca="false">IF(K501=0,0,M501/K501)</f>
        <v>0.213235294117647</v>
      </c>
      <c r="Z501" s="14" t="n">
        <f aca="false">IF(K501+R501+T501+U501=0,0,(M501+R501+T501)/(K501+R501+T501+U501))</f>
        <v>0.275167785234899</v>
      </c>
      <c r="AA501" s="14" t="n">
        <f aca="false">IF(K501=0,0,X501/K501)</f>
        <v>0.382352941176471</v>
      </c>
      <c r="AB501" s="14" t="n">
        <f aca="false">Z501+AA501</f>
        <v>0.65752072641137</v>
      </c>
      <c r="AC501" s="14" t="n">
        <f aca="false">AA501-Y501</f>
        <v>0.169117647058824</v>
      </c>
      <c r="AD501" s="14" t="n">
        <f aca="false">IF(K501-S501-P501+U501=0,0,(M501-P501)/(K501-S501-P501+U501))</f>
        <v>0.234234234234234</v>
      </c>
      <c r="AE501" s="15" t="n">
        <f aca="false">IF(J501=0,0,R501/J501)</f>
        <v>0.0738255033557047</v>
      </c>
      <c r="AF501" s="15" t="n">
        <f aca="false">IF(J501=0,0,S501/J501)</f>
        <v>0.154362416107383</v>
      </c>
      <c r="AG501" s="11" t="n">
        <f aca="false">IF(J501&gt;=INDEX(球季參數!$E$2:$E$4,MATCH($A501,球季參數!$A$2:$A$4,0)),1,0)</f>
        <v>0</v>
      </c>
    </row>
    <row r="502" customFormat="false" ht="15" hidden="false" customHeight="false" outlineLevel="0" collapsed="false">
      <c r="A502" s="5" t="n">
        <v>2025</v>
      </c>
      <c r="B502" s="7" t="s">
        <v>1777</v>
      </c>
      <c r="C502" s="10" t="str">
        <f aca="false">INDEX(球員主檔!$B$2:$B$749,MATCH($B502,球員主檔!$A$2:$A$749,0))</f>
        <v>Jasper Redmayne</v>
      </c>
      <c r="D502" s="7" t="s">
        <v>426</v>
      </c>
      <c r="E502" s="10" t="str">
        <f aca="false">INDEX(球隊主檔!$C$2:$C$31,MATCH($D502,球隊主檔!$A$2:$A$31,0))</f>
        <v>芝加哥小熊</v>
      </c>
      <c r="F502" s="10" t="str">
        <f aca="false">INDEX(球隊主檔!$D$2:$D$31,MATCH($D502,球隊主檔!$A$2:$A$31,0))</f>
        <v>國聯</v>
      </c>
      <c r="G502" s="7" t="s">
        <v>470</v>
      </c>
      <c r="H502" s="11" t="n">
        <f aca="false">INT((DATE($A502,7,1)-INDEX(球員主檔!$G$2:$G$749,MATCH($B502,球員主檔!$A$2:$A$749,0)))/365.25)</f>
        <v>24</v>
      </c>
      <c r="I502" s="12" t="n">
        <v>146</v>
      </c>
      <c r="J502" s="12" t="n">
        <v>652</v>
      </c>
      <c r="K502" s="12" t="n">
        <v>586</v>
      </c>
      <c r="L502" s="12" t="n">
        <v>54</v>
      </c>
      <c r="M502" s="12" t="n">
        <v>100</v>
      </c>
      <c r="N502" s="12" t="n">
        <v>26</v>
      </c>
      <c r="O502" s="12" t="n">
        <v>2</v>
      </c>
      <c r="P502" s="12" t="n">
        <v>12</v>
      </c>
      <c r="Q502" s="12" t="n">
        <v>44</v>
      </c>
      <c r="R502" s="12" t="n">
        <v>51</v>
      </c>
      <c r="S502" s="12" t="n">
        <v>55</v>
      </c>
      <c r="T502" s="12" t="n">
        <v>11</v>
      </c>
      <c r="U502" s="12" t="n">
        <v>4</v>
      </c>
      <c r="V502" s="12" t="n">
        <v>9</v>
      </c>
      <c r="W502" s="12" t="n">
        <v>3</v>
      </c>
      <c r="X502" s="13" t="n">
        <f aca="false">M502+N502+2*O502+3*P502</f>
        <v>166</v>
      </c>
      <c r="Y502" s="14" t="n">
        <f aca="false">IF(K502=0,0,M502/K502)</f>
        <v>0.170648464163823</v>
      </c>
      <c r="Z502" s="14" t="n">
        <f aca="false">IF(K502+R502+T502+U502=0,0,(M502+R502+T502)/(K502+R502+T502+U502))</f>
        <v>0.248466257668712</v>
      </c>
      <c r="AA502" s="14" t="n">
        <f aca="false">IF(K502=0,0,X502/K502)</f>
        <v>0.283276450511945</v>
      </c>
      <c r="AB502" s="14" t="n">
        <f aca="false">Z502+AA502</f>
        <v>0.531742708180657</v>
      </c>
      <c r="AC502" s="14" t="n">
        <f aca="false">AA502-Y502</f>
        <v>0.112627986348123</v>
      </c>
      <c r="AD502" s="14" t="n">
        <f aca="false">IF(K502-S502-P502+U502=0,0,(M502-P502)/(K502-S502-P502+U502))</f>
        <v>0.168260038240918</v>
      </c>
      <c r="AE502" s="15" t="n">
        <f aca="false">IF(J502=0,0,R502/J502)</f>
        <v>0.0782208588957055</v>
      </c>
      <c r="AF502" s="15" t="n">
        <f aca="false">IF(J502=0,0,S502/J502)</f>
        <v>0.0843558282208589</v>
      </c>
      <c r="AG502" s="11" t="n">
        <f aca="false">IF(J502&gt;=INDEX(球季參數!$E$2:$E$4,MATCH($A502,球季參數!$A$2:$A$4,0)),1,0)</f>
        <v>1</v>
      </c>
    </row>
    <row r="503" customFormat="false" ht="15" hidden="false" customHeight="false" outlineLevel="0" collapsed="false">
      <c r="A503" s="5" t="n">
        <v>2025</v>
      </c>
      <c r="B503" s="7" t="s">
        <v>1279</v>
      </c>
      <c r="C503" s="10" t="str">
        <f aca="false">INDEX(球員主檔!$B$2:$B$749,MATCH($B503,球員主檔!$A$2:$A$749,0))</f>
        <v>Camilo Vasquez</v>
      </c>
      <c r="D503" s="7" t="s">
        <v>426</v>
      </c>
      <c r="E503" s="10" t="str">
        <f aca="false">INDEX(球隊主檔!$C$2:$C$31,MATCH($D503,球隊主檔!$A$2:$A$31,0))</f>
        <v>芝加哥小熊</v>
      </c>
      <c r="F503" s="10" t="str">
        <f aca="false">INDEX(球隊主檔!$D$2:$D$31,MATCH($D503,球隊主檔!$A$2:$A$31,0))</f>
        <v>國聯</v>
      </c>
      <c r="G503" s="7" t="s">
        <v>162</v>
      </c>
      <c r="H503" s="11" t="n">
        <f aca="false">INT((DATE($A503,7,1)-INDEX(球員主檔!$G$2:$G$749,MATCH($B503,球員主檔!$A$2:$A$749,0)))/365.25)</f>
        <v>28</v>
      </c>
      <c r="I503" s="12" t="n">
        <v>91</v>
      </c>
      <c r="J503" s="12" t="n">
        <v>356</v>
      </c>
      <c r="K503" s="12" t="n">
        <v>309</v>
      </c>
      <c r="L503" s="12" t="n">
        <v>41</v>
      </c>
      <c r="M503" s="12" t="n">
        <v>84</v>
      </c>
      <c r="N503" s="12" t="n">
        <v>20</v>
      </c>
      <c r="O503" s="12" t="n">
        <v>9</v>
      </c>
      <c r="P503" s="12" t="n">
        <v>13</v>
      </c>
      <c r="Q503" s="12" t="n">
        <v>51</v>
      </c>
      <c r="R503" s="12" t="n">
        <v>39</v>
      </c>
      <c r="S503" s="12" t="n">
        <v>79</v>
      </c>
      <c r="T503" s="12" t="n">
        <v>5</v>
      </c>
      <c r="U503" s="12" t="n">
        <v>3</v>
      </c>
      <c r="V503" s="12" t="n">
        <v>8</v>
      </c>
      <c r="W503" s="12" t="n">
        <v>1</v>
      </c>
      <c r="X503" s="13" t="n">
        <f aca="false">M503+N503+2*O503+3*P503</f>
        <v>161</v>
      </c>
      <c r="Y503" s="14" t="n">
        <f aca="false">IF(K503=0,0,M503/K503)</f>
        <v>0.271844660194175</v>
      </c>
      <c r="Z503" s="14" t="n">
        <f aca="false">IF(K503+R503+T503+U503=0,0,(M503+R503+T503)/(K503+R503+T503+U503))</f>
        <v>0.359550561797753</v>
      </c>
      <c r="AA503" s="14" t="n">
        <f aca="false">IF(K503=0,0,X503/K503)</f>
        <v>0.521035598705502</v>
      </c>
      <c r="AB503" s="14" t="n">
        <f aca="false">Z503+AA503</f>
        <v>0.880586160503254</v>
      </c>
      <c r="AC503" s="14" t="n">
        <f aca="false">AA503-Y503</f>
        <v>0.249190938511327</v>
      </c>
      <c r="AD503" s="14" t="n">
        <f aca="false">IF(K503-S503-P503+U503=0,0,(M503-P503)/(K503-S503-P503+U503))</f>
        <v>0.322727272727273</v>
      </c>
      <c r="AE503" s="15" t="n">
        <f aca="false">IF(J503=0,0,R503/J503)</f>
        <v>0.109550561797753</v>
      </c>
      <c r="AF503" s="15" t="n">
        <f aca="false">IF(J503=0,0,S503/J503)</f>
        <v>0.221910112359551</v>
      </c>
      <c r="AG503" s="11" t="n">
        <f aca="false">IF(J503&gt;=INDEX(球季參數!$E$2:$E$4,MATCH($A503,球季參數!$A$2:$A$4,0)),1,0)</f>
        <v>0</v>
      </c>
    </row>
    <row r="504" customFormat="false" ht="15" hidden="false" customHeight="false" outlineLevel="0" collapsed="false">
      <c r="A504" s="5" t="n">
        <v>2025</v>
      </c>
      <c r="B504" s="7" t="s">
        <v>1281</v>
      </c>
      <c r="C504" s="10" t="str">
        <f aca="false">INDEX(球員主檔!$B$2:$B$749,MATCH($B504,球員主檔!$A$2:$A$749,0))</f>
        <v>Jedidiah Caldera</v>
      </c>
      <c r="D504" s="7" t="s">
        <v>426</v>
      </c>
      <c r="E504" s="10" t="str">
        <f aca="false">INDEX(球隊主檔!$C$2:$C$31,MATCH($D504,球隊主檔!$A$2:$A$31,0))</f>
        <v>芝加哥小熊</v>
      </c>
      <c r="F504" s="10" t="str">
        <f aca="false">INDEX(球隊主檔!$D$2:$D$31,MATCH($D504,球隊主檔!$A$2:$A$31,0))</f>
        <v>國聯</v>
      </c>
      <c r="G504" s="7" t="s">
        <v>470</v>
      </c>
      <c r="H504" s="11" t="n">
        <f aca="false">INT((DATE($A504,7,1)-INDEX(球員主檔!$G$2:$G$749,MATCH($B504,球員主檔!$A$2:$A$749,0)))/365.25)</f>
        <v>31</v>
      </c>
      <c r="I504" s="12" t="n">
        <v>150</v>
      </c>
      <c r="J504" s="12" t="n">
        <v>661</v>
      </c>
      <c r="K504" s="12" t="n">
        <v>591</v>
      </c>
      <c r="L504" s="12" t="n">
        <v>70</v>
      </c>
      <c r="M504" s="12" t="n">
        <v>114</v>
      </c>
      <c r="N504" s="12" t="n">
        <v>29</v>
      </c>
      <c r="O504" s="12" t="n">
        <v>6</v>
      </c>
      <c r="P504" s="12" t="n">
        <v>34</v>
      </c>
      <c r="Q504" s="12" t="n">
        <v>90</v>
      </c>
      <c r="R504" s="12" t="n">
        <v>51</v>
      </c>
      <c r="S504" s="12" t="n">
        <v>149</v>
      </c>
      <c r="T504" s="12" t="n">
        <v>12</v>
      </c>
      <c r="U504" s="12" t="n">
        <v>7</v>
      </c>
      <c r="V504" s="12" t="n">
        <v>8</v>
      </c>
      <c r="W504" s="12" t="n">
        <v>2</v>
      </c>
      <c r="X504" s="13" t="n">
        <f aca="false">M504+N504+2*O504+3*P504</f>
        <v>257</v>
      </c>
      <c r="Y504" s="14" t="n">
        <f aca="false">IF(K504=0,0,M504/K504)</f>
        <v>0.192893401015228</v>
      </c>
      <c r="Z504" s="14" t="n">
        <f aca="false">IF(K504+R504+T504+U504=0,0,(M504+R504+T504)/(K504+R504+T504+U504))</f>
        <v>0.267776096822995</v>
      </c>
      <c r="AA504" s="14" t="n">
        <f aca="false">IF(K504=0,0,X504/K504)</f>
        <v>0.434856175972927</v>
      </c>
      <c r="AB504" s="14" t="n">
        <f aca="false">Z504+AA504</f>
        <v>0.702632272795923</v>
      </c>
      <c r="AC504" s="14" t="n">
        <f aca="false">AA504-Y504</f>
        <v>0.241962774957699</v>
      </c>
      <c r="AD504" s="14" t="n">
        <f aca="false">IF(K504-S504-P504+U504=0,0,(M504-P504)/(K504-S504-P504+U504))</f>
        <v>0.192771084337349</v>
      </c>
      <c r="AE504" s="15" t="n">
        <f aca="false">IF(J504=0,0,R504/J504)</f>
        <v>0.0771558245083207</v>
      </c>
      <c r="AF504" s="15" t="n">
        <f aca="false">IF(J504=0,0,S504/J504)</f>
        <v>0.225416036308623</v>
      </c>
      <c r="AG504" s="11" t="n">
        <f aca="false">IF(J504&gt;=INDEX(球季參數!$E$2:$E$4,MATCH($A504,球季參數!$A$2:$A$4,0)),1,0)</f>
        <v>1</v>
      </c>
    </row>
    <row r="505" customFormat="false" ht="15" hidden="false" customHeight="false" outlineLevel="0" collapsed="false">
      <c r="A505" s="5" t="n">
        <v>2025</v>
      </c>
      <c r="B505" s="7" t="s">
        <v>651</v>
      </c>
      <c r="C505" s="10" t="str">
        <f aca="false">INDEX(球員主檔!$B$2:$B$749,MATCH($B505,球員主檔!$A$2:$A$749,0))</f>
        <v>Jasper Rasmussen</v>
      </c>
      <c r="D505" s="7" t="s">
        <v>426</v>
      </c>
      <c r="E505" s="10" t="str">
        <f aca="false">INDEX(球隊主檔!$C$2:$C$31,MATCH($D505,球隊主檔!$A$2:$A$31,0))</f>
        <v>芝加哥小熊</v>
      </c>
      <c r="F505" s="10" t="str">
        <f aca="false">INDEX(球隊主檔!$D$2:$D$31,MATCH($D505,球隊主檔!$A$2:$A$31,0))</f>
        <v>國聯</v>
      </c>
      <c r="G505" s="7" t="s">
        <v>473</v>
      </c>
      <c r="H505" s="11" t="n">
        <f aca="false">INT((DATE($A505,7,1)-INDEX(球員主檔!$G$2:$G$749,MATCH($B505,球員主檔!$A$2:$A$749,0)))/365.25)</f>
        <v>26</v>
      </c>
      <c r="I505" s="12" t="n">
        <v>162</v>
      </c>
      <c r="J505" s="12" t="n">
        <v>689</v>
      </c>
      <c r="K505" s="12" t="n">
        <v>603</v>
      </c>
      <c r="L505" s="12" t="n">
        <v>74</v>
      </c>
      <c r="M505" s="12" t="n">
        <v>123</v>
      </c>
      <c r="N505" s="12" t="n">
        <v>36</v>
      </c>
      <c r="O505" s="12" t="n">
        <v>8</v>
      </c>
      <c r="P505" s="12" t="n">
        <v>31</v>
      </c>
      <c r="Q505" s="12" t="n">
        <v>102</v>
      </c>
      <c r="R505" s="12" t="n">
        <v>67</v>
      </c>
      <c r="S505" s="12" t="n">
        <v>121</v>
      </c>
      <c r="T505" s="12" t="n">
        <v>12</v>
      </c>
      <c r="U505" s="12" t="n">
        <v>7</v>
      </c>
      <c r="V505" s="12" t="n">
        <v>19</v>
      </c>
      <c r="W505" s="12" t="n">
        <v>6</v>
      </c>
      <c r="X505" s="13" t="n">
        <f aca="false">M505+N505+2*O505+3*P505</f>
        <v>268</v>
      </c>
      <c r="Y505" s="14" t="n">
        <f aca="false">IF(K505=0,0,M505/K505)</f>
        <v>0.203980099502488</v>
      </c>
      <c r="Z505" s="14" t="n">
        <f aca="false">IF(K505+R505+T505+U505=0,0,(M505+R505+T505)/(K505+R505+T505+U505))</f>
        <v>0.293178519593614</v>
      </c>
      <c r="AA505" s="14" t="n">
        <f aca="false">IF(K505=0,0,X505/K505)</f>
        <v>0.444444444444444</v>
      </c>
      <c r="AB505" s="14" t="n">
        <f aca="false">Z505+AA505</f>
        <v>0.737622964038058</v>
      </c>
      <c r="AC505" s="14" t="n">
        <f aca="false">AA505-Y505</f>
        <v>0.240464344941957</v>
      </c>
      <c r="AD505" s="14" t="n">
        <f aca="false">IF(K505-S505-P505+U505=0,0,(M505-P505)/(K505-S505-P505+U505))</f>
        <v>0.200873362445415</v>
      </c>
      <c r="AE505" s="15" t="n">
        <f aca="false">IF(J505=0,0,R505/J505)</f>
        <v>0.0972423802612482</v>
      </c>
      <c r="AF505" s="15" t="n">
        <f aca="false">IF(J505=0,0,S505/J505)</f>
        <v>0.175616835994194</v>
      </c>
      <c r="AG505" s="11" t="n">
        <f aca="false">IF(J505&gt;=INDEX(球季參數!$E$2:$E$4,MATCH($A505,球季參數!$A$2:$A$4,0)),1,0)</f>
        <v>1</v>
      </c>
    </row>
    <row r="506" customFormat="false" ht="15" hidden="false" customHeight="false" outlineLevel="0" collapsed="false">
      <c r="A506" s="5" t="n">
        <v>2025</v>
      </c>
      <c r="B506" s="7" t="s">
        <v>1285</v>
      </c>
      <c r="C506" s="10" t="str">
        <f aca="false">INDEX(球員主檔!$B$2:$B$749,MATCH($B506,球員主檔!$A$2:$A$749,0))</f>
        <v>Cassius Okafor</v>
      </c>
      <c r="D506" s="7" t="s">
        <v>426</v>
      </c>
      <c r="E506" s="10" t="str">
        <f aca="false">INDEX(球隊主檔!$C$2:$C$31,MATCH($D506,球隊主檔!$A$2:$A$31,0))</f>
        <v>芝加哥小熊</v>
      </c>
      <c r="F506" s="10" t="str">
        <f aca="false">INDEX(球隊主檔!$D$2:$D$31,MATCH($D506,球隊主檔!$A$2:$A$31,0))</f>
        <v>國聯</v>
      </c>
      <c r="G506" s="7" t="s">
        <v>470</v>
      </c>
      <c r="H506" s="11" t="n">
        <f aca="false">INT((DATE($A506,7,1)-INDEX(球員主檔!$G$2:$G$749,MATCH($B506,球員主檔!$A$2:$A$749,0)))/365.25)</f>
        <v>29</v>
      </c>
      <c r="I506" s="12" t="n">
        <v>162</v>
      </c>
      <c r="J506" s="12" t="n">
        <v>665</v>
      </c>
      <c r="K506" s="12" t="n">
        <v>595</v>
      </c>
      <c r="L506" s="12" t="n">
        <v>80</v>
      </c>
      <c r="M506" s="12" t="n">
        <v>156</v>
      </c>
      <c r="N506" s="12" t="n">
        <v>38</v>
      </c>
      <c r="O506" s="12" t="n">
        <v>0</v>
      </c>
      <c r="P506" s="12" t="n">
        <v>29</v>
      </c>
      <c r="Q506" s="12" t="n">
        <v>83</v>
      </c>
      <c r="R506" s="12" t="n">
        <v>59</v>
      </c>
      <c r="S506" s="12" t="n">
        <v>161</v>
      </c>
      <c r="T506" s="12" t="n">
        <v>3</v>
      </c>
      <c r="U506" s="12" t="n">
        <v>8</v>
      </c>
      <c r="V506" s="12" t="n">
        <v>24</v>
      </c>
      <c r="W506" s="12" t="n">
        <v>3</v>
      </c>
      <c r="X506" s="13" t="n">
        <f aca="false">M506+N506+2*O506+3*P506</f>
        <v>281</v>
      </c>
      <c r="Y506" s="14" t="n">
        <f aca="false">IF(K506=0,0,M506/K506)</f>
        <v>0.26218487394958</v>
      </c>
      <c r="Z506" s="14" t="n">
        <f aca="false">IF(K506+R506+T506+U506=0,0,(M506+R506+T506)/(K506+R506+T506+U506))</f>
        <v>0.32781954887218</v>
      </c>
      <c r="AA506" s="14" t="n">
        <f aca="false">IF(K506=0,0,X506/K506)</f>
        <v>0.472268907563025</v>
      </c>
      <c r="AB506" s="14" t="n">
        <f aca="false">Z506+AA506</f>
        <v>0.800088456435206</v>
      </c>
      <c r="AC506" s="14" t="n">
        <f aca="false">AA506-Y506</f>
        <v>0.210084033613445</v>
      </c>
      <c r="AD506" s="14" t="n">
        <f aca="false">IF(K506-S506-P506+U506=0,0,(M506-P506)/(K506-S506-P506+U506))</f>
        <v>0.307506053268765</v>
      </c>
      <c r="AE506" s="15" t="n">
        <f aca="false">IF(J506=0,0,R506/J506)</f>
        <v>0.0887218045112782</v>
      </c>
      <c r="AF506" s="15" t="n">
        <f aca="false">IF(J506=0,0,S506/J506)</f>
        <v>0.242105263157895</v>
      </c>
      <c r="AG506" s="11" t="n">
        <f aca="false">IF(J506&gt;=INDEX(球季參數!$E$2:$E$4,MATCH($A506,球季參數!$A$2:$A$4,0)),1,0)</f>
        <v>1</v>
      </c>
    </row>
    <row r="507" customFormat="false" ht="15" hidden="false" customHeight="false" outlineLevel="0" collapsed="false">
      <c r="A507" s="5" t="n">
        <v>2025</v>
      </c>
      <c r="B507" s="7" t="s">
        <v>1287</v>
      </c>
      <c r="C507" s="10" t="str">
        <f aca="false">INDEX(球員主檔!$B$2:$B$749,MATCH($B507,球員主檔!$A$2:$A$749,0))</f>
        <v>Camilo Ibarra</v>
      </c>
      <c r="D507" s="7" t="s">
        <v>426</v>
      </c>
      <c r="E507" s="10" t="str">
        <f aca="false">INDEX(球隊主檔!$C$2:$C$31,MATCH($D507,球隊主檔!$A$2:$A$31,0))</f>
        <v>芝加哥小熊</v>
      </c>
      <c r="F507" s="10" t="str">
        <f aca="false">INDEX(球隊主檔!$D$2:$D$31,MATCH($D507,球隊主檔!$A$2:$A$31,0))</f>
        <v>國聯</v>
      </c>
      <c r="G507" s="7" t="s">
        <v>473</v>
      </c>
      <c r="H507" s="11" t="n">
        <f aca="false">INT((DATE($A507,7,1)-INDEX(球員主檔!$G$2:$G$749,MATCH($B507,球員主檔!$A$2:$A$749,0)))/365.25)</f>
        <v>28</v>
      </c>
      <c r="I507" s="12" t="n">
        <v>90</v>
      </c>
      <c r="J507" s="12" t="n">
        <v>406</v>
      </c>
      <c r="K507" s="12" t="n">
        <v>353</v>
      </c>
      <c r="L507" s="12" t="n">
        <v>47</v>
      </c>
      <c r="M507" s="12" t="n">
        <v>82</v>
      </c>
      <c r="N507" s="12" t="n">
        <v>14</v>
      </c>
      <c r="O507" s="12" t="n">
        <v>12</v>
      </c>
      <c r="P507" s="12" t="n">
        <v>6</v>
      </c>
      <c r="Q507" s="12" t="n">
        <v>25</v>
      </c>
      <c r="R507" s="12" t="n">
        <v>47</v>
      </c>
      <c r="S507" s="12" t="n">
        <v>124</v>
      </c>
      <c r="T507" s="12" t="n">
        <v>5</v>
      </c>
      <c r="U507" s="12" t="n">
        <v>1</v>
      </c>
      <c r="V507" s="12" t="n">
        <v>24</v>
      </c>
      <c r="W507" s="12" t="n">
        <v>4</v>
      </c>
      <c r="X507" s="13" t="n">
        <f aca="false">M507+N507+2*O507+3*P507</f>
        <v>138</v>
      </c>
      <c r="Y507" s="14" t="n">
        <f aca="false">IF(K507=0,0,M507/K507)</f>
        <v>0.232294617563739</v>
      </c>
      <c r="Z507" s="14" t="n">
        <f aca="false">IF(K507+R507+T507+U507=0,0,(M507+R507+T507)/(K507+R507+T507+U507))</f>
        <v>0.330049261083744</v>
      </c>
      <c r="AA507" s="14" t="n">
        <f aca="false">IF(K507=0,0,X507/K507)</f>
        <v>0.390934844192635</v>
      </c>
      <c r="AB507" s="14" t="n">
        <f aca="false">Z507+AA507</f>
        <v>0.720984105276378</v>
      </c>
      <c r="AC507" s="14" t="n">
        <f aca="false">AA507-Y507</f>
        <v>0.158640226628895</v>
      </c>
      <c r="AD507" s="14" t="n">
        <f aca="false">IF(K507-S507-P507+U507=0,0,(M507-P507)/(K507-S507-P507+U507))</f>
        <v>0.339285714285714</v>
      </c>
      <c r="AE507" s="15" t="n">
        <f aca="false">IF(J507=0,0,R507/J507)</f>
        <v>0.11576354679803</v>
      </c>
      <c r="AF507" s="15" t="n">
        <f aca="false">IF(J507=0,0,S507/J507)</f>
        <v>0.305418719211823</v>
      </c>
      <c r="AG507" s="11" t="n">
        <f aca="false">IF(J507&gt;=INDEX(球季參數!$E$2:$E$4,MATCH($A507,球季參數!$A$2:$A$4,0)),1,0)</f>
        <v>0</v>
      </c>
    </row>
    <row r="508" customFormat="false" ht="15" hidden="false" customHeight="false" outlineLevel="0" collapsed="false">
      <c r="A508" s="5" t="n">
        <v>2025</v>
      </c>
      <c r="B508" s="7" t="s">
        <v>1289</v>
      </c>
      <c r="C508" s="10" t="str">
        <f aca="false">INDEX(球員主檔!$B$2:$B$749,MATCH($B508,球員主檔!$A$2:$A$749,0))</f>
        <v>Niklas Arceneaux</v>
      </c>
      <c r="D508" s="7" t="s">
        <v>426</v>
      </c>
      <c r="E508" s="10" t="str">
        <f aca="false">INDEX(球隊主檔!$C$2:$C$31,MATCH($D508,球隊主檔!$A$2:$A$31,0))</f>
        <v>芝加哥小熊</v>
      </c>
      <c r="F508" s="10" t="str">
        <f aca="false">INDEX(球隊主檔!$D$2:$D$31,MATCH($D508,球隊主檔!$A$2:$A$31,0))</f>
        <v>國聯</v>
      </c>
      <c r="G508" s="7" t="s">
        <v>63</v>
      </c>
      <c r="H508" s="11" t="n">
        <f aca="false">INT((DATE($A508,7,1)-INDEX(球員主檔!$G$2:$G$749,MATCH($B508,球員主檔!$A$2:$A$749,0)))/365.25)</f>
        <v>25</v>
      </c>
      <c r="I508" s="12" t="n">
        <v>78</v>
      </c>
      <c r="J508" s="12" t="n">
        <v>334</v>
      </c>
      <c r="K508" s="12" t="n">
        <v>302</v>
      </c>
      <c r="L508" s="12" t="n">
        <v>39</v>
      </c>
      <c r="M508" s="12" t="n">
        <v>71</v>
      </c>
      <c r="N508" s="12" t="n">
        <v>12</v>
      </c>
      <c r="O508" s="12" t="n">
        <v>4</v>
      </c>
      <c r="P508" s="12" t="n">
        <v>5</v>
      </c>
      <c r="Q508" s="12" t="n">
        <v>22</v>
      </c>
      <c r="R508" s="12" t="n">
        <v>28</v>
      </c>
      <c r="S508" s="12" t="n">
        <v>70</v>
      </c>
      <c r="T508" s="12" t="n">
        <v>3</v>
      </c>
      <c r="U508" s="12" t="n">
        <v>1</v>
      </c>
      <c r="V508" s="12" t="n">
        <v>10</v>
      </c>
      <c r="W508" s="12" t="n">
        <v>3</v>
      </c>
      <c r="X508" s="13" t="n">
        <f aca="false">M508+N508+2*O508+3*P508</f>
        <v>106</v>
      </c>
      <c r="Y508" s="14" t="n">
        <f aca="false">IF(K508=0,0,M508/K508)</f>
        <v>0.235099337748344</v>
      </c>
      <c r="Z508" s="14" t="n">
        <f aca="false">IF(K508+R508+T508+U508=0,0,(M508+R508+T508)/(K508+R508+T508+U508))</f>
        <v>0.305389221556886</v>
      </c>
      <c r="AA508" s="14" t="n">
        <f aca="false">IF(K508=0,0,X508/K508)</f>
        <v>0.350993377483444</v>
      </c>
      <c r="AB508" s="14" t="n">
        <f aca="false">Z508+AA508</f>
        <v>0.65638259904033</v>
      </c>
      <c r="AC508" s="14" t="n">
        <f aca="false">AA508-Y508</f>
        <v>0.115894039735099</v>
      </c>
      <c r="AD508" s="14" t="n">
        <f aca="false">IF(K508-S508-P508+U508=0,0,(M508-P508)/(K508-S508-P508+U508))</f>
        <v>0.289473684210526</v>
      </c>
      <c r="AE508" s="15" t="n">
        <f aca="false">IF(J508=0,0,R508/J508)</f>
        <v>0.0838323353293413</v>
      </c>
      <c r="AF508" s="15" t="n">
        <f aca="false">IF(J508=0,0,S508/J508)</f>
        <v>0.209580838323353</v>
      </c>
      <c r="AG508" s="11" t="n">
        <f aca="false">IF(J508&gt;=INDEX(球季參數!$E$2:$E$4,MATCH($A508,球季參數!$A$2:$A$4,0)),1,0)</f>
        <v>0</v>
      </c>
    </row>
    <row r="509" customFormat="false" ht="15" hidden="false" customHeight="false" outlineLevel="0" collapsed="false">
      <c r="A509" s="5" t="n">
        <v>2025</v>
      </c>
      <c r="B509" s="7" t="s">
        <v>1291</v>
      </c>
      <c r="C509" s="10" t="str">
        <f aca="false">INDEX(球員主檔!$B$2:$B$749,MATCH($B509,球員主檔!$A$2:$A$749,0))</f>
        <v>Ignacio Nordstrom</v>
      </c>
      <c r="D509" s="7" t="s">
        <v>426</v>
      </c>
      <c r="E509" s="10" t="str">
        <f aca="false">INDEX(球隊主檔!$C$2:$C$31,MATCH($D509,球隊主檔!$A$2:$A$31,0))</f>
        <v>芝加哥小熊</v>
      </c>
      <c r="F509" s="10" t="str">
        <f aca="false">INDEX(球隊主檔!$D$2:$D$31,MATCH($D509,球隊主檔!$A$2:$A$31,0))</f>
        <v>國聯</v>
      </c>
      <c r="G509" s="7" t="s">
        <v>470</v>
      </c>
      <c r="H509" s="11" t="n">
        <f aca="false">INT((DATE($A509,7,1)-INDEX(球員主檔!$G$2:$G$749,MATCH($B509,球員主檔!$A$2:$A$749,0)))/365.25)</f>
        <v>32</v>
      </c>
      <c r="I509" s="12" t="n">
        <v>65</v>
      </c>
      <c r="J509" s="12" t="n">
        <v>252</v>
      </c>
      <c r="K509" s="12" t="n">
        <v>237</v>
      </c>
      <c r="L509" s="12" t="n">
        <v>29</v>
      </c>
      <c r="M509" s="12" t="n">
        <v>58</v>
      </c>
      <c r="N509" s="12" t="n">
        <v>12</v>
      </c>
      <c r="O509" s="12" t="n">
        <v>9</v>
      </c>
      <c r="P509" s="12" t="n">
        <v>6</v>
      </c>
      <c r="Q509" s="12" t="n">
        <v>24</v>
      </c>
      <c r="R509" s="12" t="n">
        <v>10</v>
      </c>
      <c r="S509" s="12" t="n">
        <v>84</v>
      </c>
      <c r="T509" s="12" t="n">
        <v>2</v>
      </c>
      <c r="U509" s="12" t="n">
        <v>3</v>
      </c>
      <c r="V509" s="12" t="n">
        <v>5</v>
      </c>
      <c r="W509" s="12" t="n">
        <v>1</v>
      </c>
      <c r="X509" s="13" t="n">
        <f aca="false">M509+N509+2*O509+3*P509</f>
        <v>106</v>
      </c>
      <c r="Y509" s="14" t="n">
        <f aca="false">IF(K509=0,0,M509/K509)</f>
        <v>0.244725738396624</v>
      </c>
      <c r="Z509" s="14" t="n">
        <f aca="false">IF(K509+R509+T509+U509=0,0,(M509+R509+T509)/(K509+R509+T509+U509))</f>
        <v>0.277777777777778</v>
      </c>
      <c r="AA509" s="14" t="n">
        <f aca="false">IF(K509=0,0,X509/K509)</f>
        <v>0.447257383966245</v>
      </c>
      <c r="AB509" s="14" t="n">
        <f aca="false">Z509+AA509</f>
        <v>0.725035161744023</v>
      </c>
      <c r="AC509" s="14" t="n">
        <f aca="false">AA509-Y509</f>
        <v>0.20253164556962</v>
      </c>
      <c r="AD509" s="14" t="n">
        <f aca="false">IF(K509-S509-P509+U509=0,0,(M509-P509)/(K509-S509-P509+U509))</f>
        <v>0.346666666666667</v>
      </c>
      <c r="AE509" s="15" t="n">
        <f aca="false">IF(J509=0,0,R509/J509)</f>
        <v>0.0396825396825397</v>
      </c>
      <c r="AF509" s="15" t="n">
        <f aca="false">IF(J509=0,0,S509/J509)</f>
        <v>0.333333333333333</v>
      </c>
      <c r="AG509" s="11" t="n">
        <f aca="false">IF(J509&gt;=INDEX(球季參數!$E$2:$E$4,MATCH($A509,球季參數!$A$2:$A$4,0)),1,0)</f>
        <v>0</v>
      </c>
    </row>
    <row r="510" customFormat="false" ht="15" hidden="false" customHeight="false" outlineLevel="0" collapsed="false">
      <c r="A510" s="5" t="n">
        <v>2025</v>
      </c>
      <c r="B510" s="7" t="s">
        <v>1293</v>
      </c>
      <c r="C510" s="10" t="str">
        <f aca="false">INDEX(球員主檔!$B$2:$B$749,MATCH($B510,球員主檔!$A$2:$A$749,0))</f>
        <v>Emilio Halloway</v>
      </c>
      <c r="D510" s="7" t="s">
        <v>426</v>
      </c>
      <c r="E510" s="10" t="str">
        <f aca="false">INDEX(球隊主檔!$C$2:$C$31,MATCH($D510,球隊主檔!$A$2:$A$31,0))</f>
        <v>芝加哥小熊</v>
      </c>
      <c r="F510" s="10" t="str">
        <f aca="false">INDEX(球隊主檔!$D$2:$D$31,MATCH($D510,球隊主檔!$A$2:$A$31,0))</f>
        <v>國聯</v>
      </c>
      <c r="G510" s="7" t="s">
        <v>63</v>
      </c>
      <c r="H510" s="11" t="n">
        <f aca="false">INT((DATE($A510,7,1)-INDEX(球員主檔!$G$2:$G$749,MATCH($B510,球員主檔!$A$2:$A$749,0)))/365.25)</f>
        <v>28</v>
      </c>
      <c r="I510" s="12" t="n">
        <v>58</v>
      </c>
      <c r="J510" s="12" t="n">
        <v>225</v>
      </c>
      <c r="K510" s="12" t="n">
        <v>205</v>
      </c>
      <c r="L510" s="12" t="n">
        <v>25</v>
      </c>
      <c r="M510" s="12" t="n">
        <v>53</v>
      </c>
      <c r="N510" s="12" t="n">
        <v>18</v>
      </c>
      <c r="O510" s="12" t="n">
        <v>6</v>
      </c>
      <c r="P510" s="12" t="n">
        <v>8</v>
      </c>
      <c r="Q510" s="12" t="n">
        <v>32</v>
      </c>
      <c r="R510" s="12" t="n">
        <v>17</v>
      </c>
      <c r="S510" s="12" t="n">
        <v>32</v>
      </c>
      <c r="T510" s="12" t="n">
        <v>1</v>
      </c>
      <c r="U510" s="12" t="n">
        <v>2</v>
      </c>
      <c r="V510" s="12" t="n">
        <v>12</v>
      </c>
      <c r="W510" s="12" t="n">
        <v>3</v>
      </c>
      <c r="X510" s="13" t="n">
        <f aca="false">M510+N510+2*O510+3*P510</f>
        <v>107</v>
      </c>
      <c r="Y510" s="14" t="n">
        <f aca="false">IF(K510=0,0,M510/K510)</f>
        <v>0.258536585365854</v>
      </c>
      <c r="Z510" s="14" t="n">
        <f aca="false">IF(K510+R510+T510+U510=0,0,(M510+R510+T510)/(K510+R510+T510+U510))</f>
        <v>0.315555555555556</v>
      </c>
      <c r="AA510" s="14" t="n">
        <f aca="false">IF(K510=0,0,X510/K510)</f>
        <v>0.521951219512195</v>
      </c>
      <c r="AB510" s="14" t="n">
        <f aca="false">Z510+AA510</f>
        <v>0.837506775067751</v>
      </c>
      <c r="AC510" s="14" t="n">
        <f aca="false">AA510-Y510</f>
        <v>0.263414634146342</v>
      </c>
      <c r="AD510" s="14" t="n">
        <f aca="false">IF(K510-S510-P510+U510=0,0,(M510-P510)/(K510-S510-P510+U510))</f>
        <v>0.269461077844311</v>
      </c>
      <c r="AE510" s="15" t="n">
        <f aca="false">IF(J510=0,0,R510/J510)</f>
        <v>0.0755555555555556</v>
      </c>
      <c r="AF510" s="15" t="n">
        <f aca="false">IF(J510=0,0,S510/J510)</f>
        <v>0.142222222222222</v>
      </c>
      <c r="AG510" s="11" t="n">
        <f aca="false">IF(J510&gt;=INDEX(球季參數!$E$2:$E$4,MATCH($A510,球季參數!$A$2:$A$4,0)),1,0)</f>
        <v>0</v>
      </c>
    </row>
    <row r="511" customFormat="false" ht="15" hidden="false" customHeight="false" outlineLevel="0" collapsed="false">
      <c r="A511" s="5" t="n">
        <v>2025</v>
      </c>
      <c r="B511" s="7" t="s">
        <v>1295</v>
      </c>
      <c r="C511" s="10" t="str">
        <f aca="false">INDEX(球員主檔!$B$2:$B$749,MATCH($B511,球員主檔!$A$2:$A$749,0))</f>
        <v>Sawyer Kiriakis</v>
      </c>
      <c r="D511" s="7" t="s">
        <v>426</v>
      </c>
      <c r="E511" s="10" t="str">
        <f aca="false">INDEX(球隊主檔!$C$2:$C$31,MATCH($D511,球隊主檔!$A$2:$A$31,0))</f>
        <v>芝加哥小熊</v>
      </c>
      <c r="F511" s="10" t="str">
        <f aca="false">INDEX(球隊主檔!$D$2:$D$31,MATCH($D511,球隊主檔!$A$2:$A$31,0))</f>
        <v>國聯</v>
      </c>
      <c r="G511" s="7" t="s">
        <v>63</v>
      </c>
      <c r="H511" s="11" t="n">
        <f aca="false">INT((DATE($A511,7,1)-INDEX(球員主檔!$G$2:$G$749,MATCH($B511,球員主檔!$A$2:$A$749,0)))/365.25)</f>
        <v>33</v>
      </c>
      <c r="I511" s="12" t="n">
        <v>52</v>
      </c>
      <c r="J511" s="12" t="n">
        <v>214</v>
      </c>
      <c r="K511" s="12" t="n">
        <v>195</v>
      </c>
      <c r="L511" s="12" t="n">
        <v>21</v>
      </c>
      <c r="M511" s="12" t="n">
        <v>44</v>
      </c>
      <c r="N511" s="12" t="n">
        <v>6</v>
      </c>
      <c r="O511" s="12" t="n">
        <v>2</v>
      </c>
      <c r="P511" s="12" t="n">
        <v>2</v>
      </c>
      <c r="Q511" s="12" t="n">
        <v>13</v>
      </c>
      <c r="R511" s="12" t="n">
        <v>13</v>
      </c>
      <c r="S511" s="12" t="n">
        <v>52</v>
      </c>
      <c r="T511" s="12" t="n">
        <v>4</v>
      </c>
      <c r="U511" s="12" t="n">
        <v>2</v>
      </c>
      <c r="V511" s="12" t="n">
        <v>7</v>
      </c>
      <c r="W511" s="12" t="n">
        <v>1</v>
      </c>
      <c r="X511" s="13" t="n">
        <f aca="false">M511+N511+2*O511+3*P511</f>
        <v>60</v>
      </c>
      <c r="Y511" s="14" t="n">
        <f aca="false">IF(K511=0,0,M511/K511)</f>
        <v>0.225641025641026</v>
      </c>
      <c r="Z511" s="14" t="n">
        <f aca="false">IF(K511+R511+T511+U511=0,0,(M511+R511+T511)/(K511+R511+T511+U511))</f>
        <v>0.285046728971963</v>
      </c>
      <c r="AA511" s="14" t="n">
        <f aca="false">IF(K511=0,0,X511/K511)</f>
        <v>0.307692307692308</v>
      </c>
      <c r="AB511" s="14" t="n">
        <f aca="false">Z511+AA511</f>
        <v>0.59273903666427</v>
      </c>
      <c r="AC511" s="14" t="n">
        <f aca="false">AA511-Y511</f>
        <v>0.0820512820512821</v>
      </c>
      <c r="AD511" s="14" t="n">
        <f aca="false">IF(K511-S511-P511+U511=0,0,(M511-P511)/(K511-S511-P511+U511))</f>
        <v>0.293706293706294</v>
      </c>
      <c r="AE511" s="15" t="n">
        <f aca="false">IF(J511=0,0,R511/J511)</f>
        <v>0.0607476635514019</v>
      </c>
      <c r="AF511" s="15" t="n">
        <f aca="false">IF(J511=0,0,S511/J511)</f>
        <v>0.242990654205607</v>
      </c>
      <c r="AG511" s="11" t="n">
        <f aca="false">IF(J511&gt;=INDEX(球季參數!$E$2:$E$4,MATCH($A511,球季參數!$A$2:$A$4,0)),1,0)</f>
        <v>0</v>
      </c>
    </row>
    <row r="512" customFormat="false" ht="15" hidden="false" customHeight="false" outlineLevel="0" collapsed="false">
      <c r="A512" s="5" t="n">
        <v>2025</v>
      </c>
      <c r="B512" s="7" t="s">
        <v>1781</v>
      </c>
      <c r="C512" s="10" t="str">
        <f aca="false">INDEX(球員主檔!$B$2:$B$749,MATCH($B512,球員主檔!$A$2:$A$749,0))</f>
        <v>Ulises Wainwright</v>
      </c>
      <c r="D512" s="7" t="s">
        <v>430</v>
      </c>
      <c r="E512" s="10" t="str">
        <f aca="false">INDEX(球隊主檔!$C$2:$C$31,MATCH($D512,球隊主檔!$A$2:$A$31,0))</f>
        <v>辛辛那提紅人</v>
      </c>
      <c r="F512" s="10" t="str">
        <f aca="false">INDEX(球隊主檔!$D$2:$D$31,MATCH($D512,球隊主檔!$A$2:$A$31,0))</f>
        <v>國聯</v>
      </c>
      <c r="G512" s="7" t="s">
        <v>522</v>
      </c>
      <c r="H512" s="11" t="n">
        <f aca="false">INT((DATE($A512,7,1)-INDEX(球員主檔!$G$2:$G$749,MATCH($B512,球員主檔!$A$2:$A$749,0)))/365.25)</f>
        <v>21</v>
      </c>
      <c r="I512" s="12" t="n">
        <v>151</v>
      </c>
      <c r="J512" s="12" t="n">
        <v>672</v>
      </c>
      <c r="K512" s="12" t="n">
        <v>583</v>
      </c>
      <c r="L512" s="12" t="n">
        <v>101</v>
      </c>
      <c r="M512" s="12" t="n">
        <v>161</v>
      </c>
      <c r="N512" s="12" t="n">
        <v>24</v>
      </c>
      <c r="O512" s="12" t="n">
        <v>1</v>
      </c>
      <c r="P512" s="12" t="n">
        <v>39</v>
      </c>
      <c r="Q512" s="12" t="n">
        <v>108</v>
      </c>
      <c r="R512" s="12" t="n">
        <v>75</v>
      </c>
      <c r="S512" s="12" t="n">
        <v>110</v>
      </c>
      <c r="T512" s="12" t="n">
        <v>9</v>
      </c>
      <c r="U512" s="12" t="n">
        <v>5</v>
      </c>
      <c r="V512" s="12" t="n">
        <v>16</v>
      </c>
      <c r="W512" s="12" t="n">
        <v>4</v>
      </c>
      <c r="X512" s="13" t="n">
        <f aca="false">M512+N512+2*O512+3*P512</f>
        <v>304</v>
      </c>
      <c r="Y512" s="14" t="n">
        <f aca="false">IF(K512=0,0,M512/K512)</f>
        <v>0.276157804459691</v>
      </c>
      <c r="Z512" s="14" t="n">
        <f aca="false">IF(K512+R512+T512+U512=0,0,(M512+R512+T512)/(K512+R512+T512+U512))</f>
        <v>0.364583333333333</v>
      </c>
      <c r="AA512" s="14" t="n">
        <f aca="false">IF(K512=0,0,X512/K512)</f>
        <v>0.521440823327616</v>
      </c>
      <c r="AB512" s="14" t="n">
        <f aca="false">Z512+AA512</f>
        <v>0.886024156660949</v>
      </c>
      <c r="AC512" s="14" t="n">
        <f aca="false">AA512-Y512</f>
        <v>0.245283018867925</v>
      </c>
      <c r="AD512" s="14" t="n">
        <f aca="false">IF(K512-S512-P512+U512=0,0,(M512-P512)/(K512-S512-P512+U512))</f>
        <v>0.277904328018223</v>
      </c>
      <c r="AE512" s="15" t="n">
        <f aca="false">IF(J512=0,0,R512/J512)</f>
        <v>0.111607142857143</v>
      </c>
      <c r="AF512" s="15" t="n">
        <f aca="false">IF(J512=0,0,S512/J512)</f>
        <v>0.163690476190476</v>
      </c>
      <c r="AG512" s="11" t="n">
        <f aca="false">IF(J512&gt;=INDEX(球季參數!$E$2:$E$4,MATCH($A512,球季參數!$A$2:$A$4,0)),1,0)</f>
        <v>1</v>
      </c>
    </row>
    <row r="513" customFormat="false" ht="15" hidden="false" customHeight="false" outlineLevel="0" collapsed="false">
      <c r="A513" s="5" t="n">
        <v>2025</v>
      </c>
      <c r="B513" s="7" t="s">
        <v>1319</v>
      </c>
      <c r="C513" s="10" t="str">
        <f aca="false">INDEX(球員主檔!$B$2:$B$749,MATCH($B513,球員主檔!$A$2:$A$749,0))</f>
        <v>Wyatt Yamazaki</v>
      </c>
      <c r="D513" s="7" t="s">
        <v>430</v>
      </c>
      <c r="E513" s="10" t="str">
        <f aca="false">INDEX(球隊主檔!$C$2:$C$31,MATCH($D513,球隊主檔!$A$2:$A$31,0))</f>
        <v>辛辛那提紅人</v>
      </c>
      <c r="F513" s="10" t="str">
        <f aca="false">INDEX(球隊主檔!$D$2:$D$31,MATCH($D513,球隊主檔!$A$2:$A$31,0))</f>
        <v>國聯</v>
      </c>
      <c r="G513" s="7" t="s">
        <v>63</v>
      </c>
      <c r="H513" s="11" t="n">
        <f aca="false">INT((DATE($A513,7,1)-INDEX(球員主檔!$G$2:$G$749,MATCH($B513,球員主檔!$A$2:$A$749,0)))/365.25)</f>
        <v>25</v>
      </c>
      <c r="I513" s="12" t="n">
        <v>144</v>
      </c>
      <c r="J513" s="12" t="n">
        <v>612</v>
      </c>
      <c r="K513" s="12" t="n">
        <v>526</v>
      </c>
      <c r="L513" s="12" t="n">
        <v>59</v>
      </c>
      <c r="M513" s="12" t="n">
        <v>128</v>
      </c>
      <c r="N513" s="12" t="n">
        <v>22</v>
      </c>
      <c r="O513" s="12" t="n">
        <v>1</v>
      </c>
      <c r="P513" s="12" t="n">
        <v>12</v>
      </c>
      <c r="Q513" s="12" t="n">
        <v>45</v>
      </c>
      <c r="R513" s="12" t="n">
        <v>73</v>
      </c>
      <c r="S513" s="12" t="n">
        <v>174</v>
      </c>
      <c r="T513" s="12" t="n">
        <v>7</v>
      </c>
      <c r="U513" s="12" t="n">
        <v>6</v>
      </c>
      <c r="V513" s="12" t="n">
        <v>5</v>
      </c>
      <c r="W513" s="12" t="n">
        <v>1</v>
      </c>
      <c r="X513" s="13" t="n">
        <f aca="false">M513+N513+2*O513+3*P513</f>
        <v>188</v>
      </c>
      <c r="Y513" s="14" t="n">
        <f aca="false">IF(K513=0,0,M513/K513)</f>
        <v>0.243346007604563</v>
      </c>
      <c r="Z513" s="14" t="n">
        <f aca="false">IF(K513+R513+T513+U513=0,0,(M513+R513+T513)/(K513+R513+T513+U513))</f>
        <v>0.339869281045752</v>
      </c>
      <c r="AA513" s="14" t="n">
        <f aca="false">IF(K513=0,0,X513/K513)</f>
        <v>0.357414448669202</v>
      </c>
      <c r="AB513" s="14" t="n">
        <f aca="false">Z513+AA513</f>
        <v>0.697283729714953</v>
      </c>
      <c r="AC513" s="14" t="n">
        <f aca="false">AA513-Y513</f>
        <v>0.114068441064639</v>
      </c>
      <c r="AD513" s="14" t="n">
        <f aca="false">IF(K513-S513-P513+U513=0,0,(M513-P513)/(K513-S513-P513+U513))</f>
        <v>0.335260115606936</v>
      </c>
      <c r="AE513" s="15" t="n">
        <f aca="false">IF(J513=0,0,R513/J513)</f>
        <v>0.119281045751634</v>
      </c>
      <c r="AF513" s="15" t="n">
        <f aca="false">IF(J513=0,0,S513/J513)</f>
        <v>0.284313725490196</v>
      </c>
      <c r="AG513" s="11" t="n">
        <f aca="false">IF(J513&gt;=INDEX(球季參數!$E$2:$E$4,MATCH($A513,球季參數!$A$2:$A$4,0)),1,0)</f>
        <v>1</v>
      </c>
    </row>
    <row r="514" customFormat="false" ht="15" hidden="false" customHeight="false" outlineLevel="0" collapsed="false">
      <c r="A514" s="5" t="n">
        <v>2025</v>
      </c>
      <c r="B514" s="7" t="s">
        <v>1321</v>
      </c>
      <c r="C514" s="10" t="str">
        <f aca="false">INDEX(球員主檔!$B$2:$B$749,MATCH($B514,球員主檔!$A$2:$A$749,0))</f>
        <v>Emilio Yoshinaga</v>
      </c>
      <c r="D514" s="7" t="s">
        <v>430</v>
      </c>
      <c r="E514" s="10" t="str">
        <f aca="false">INDEX(球隊主檔!$C$2:$C$31,MATCH($D514,球隊主檔!$A$2:$A$31,0))</f>
        <v>辛辛那提紅人</v>
      </c>
      <c r="F514" s="10" t="str">
        <f aca="false">INDEX(球隊主檔!$D$2:$D$31,MATCH($D514,球隊主檔!$A$2:$A$31,0))</f>
        <v>國聯</v>
      </c>
      <c r="G514" s="7" t="s">
        <v>478</v>
      </c>
      <c r="H514" s="11" t="n">
        <f aca="false">INT((DATE($A514,7,1)-INDEX(球員主檔!$G$2:$G$749,MATCH($B514,球員主檔!$A$2:$A$749,0)))/365.25)</f>
        <v>31</v>
      </c>
      <c r="I514" s="12" t="n">
        <v>143</v>
      </c>
      <c r="J514" s="12" t="n">
        <v>581</v>
      </c>
      <c r="K514" s="12" t="n">
        <v>537</v>
      </c>
      <c r="L514" s="12" t="n">
        <v>62</v>
      </c>
      <c r="M514" s="12" t="n">
        <v>114</v>
      </c>
      <c r="N514" s="12" t="n">
        <v>31</v>
      </c>
      <c r="O514" s="12" t="n">
        <v>9</v>
      </c>
      <c r="P514" s="12" t="n">
        <v>29</v>
      </c>
      <c r="Q514" s="12" t="n">
        <v>83</v>
      </c>
      <c r="R514" s="12" t="n">
        <v>33</v>
      </c>
      <c r="S514" s="12" t="n">
        <v>129</v>
      </c>
      <c r="T514" s="12" t="n">
        <v>5</v>
      </c>
      <c r="U514" s="12" t="n">
        <v>6</v>
      </c>
      <c r="V514" s="12" t="n">
        <v>16</v>
      </c>
      <c r="W514" s="12" t="n">
        <v>4</v>
      </c>
      <c r="X514" s="13" t="n">
        <f aca="false">M514+N514+2*O514+3*P514</f>
        <v>250</v>
      </c>
      <c r="Y514" s="14" t="n">
        <f aca="false">IF(K514=0,0,M514/K514)</f>
        <v>0.212290502793296</v>
      </c>
      <c r="Z514" s="14" t="n">
        <f aca="false">IF(K514+R514+T514+U514=0,0,(M514+R514+T514)/(K514+R514+T514+U514))</f>
        <v>0.261617900172117</v>
      </c>
      <c r="AA514" s="14" t="n">
        <f aca="false">IF(K514=0,0,X514/K514)</f>
        <v>0.465549348230913</v>
      </c>
      <c r="AB514" s="14" t="n">
        <f aca="false">Z514+AA514</f>
        <v>0.72716724840303</v>
      </c>
      <c r="AC514" s="14" t="n">
        <f aca="false">AA514-Y514</f>
        <v>0.253258845437616</v>
      </c>
      <c r="AD514" s="14" t="n">
        <f aca="false">IF(K514-S514-P514+U514=0,0,(M514-P514)/(K514-S514-P514+U514))</f>
        <v>0.220779220779221</v>
      </c>
      <c r="AE514" s="15" t="n">
        <f aca="false">IF(J514=0,0,R514/J514)</f>
        <v>0.0567986230636833</v>
      </c>
      <c r="AF514" s="15" t="n">
        <f aca="false">IF(J514=0,0,S514/J514)</f>
        <v>0.222030981067126</v>
      </c>
      <c r="AG514" s="11" t="n">
        <f aca="false">IF(J514&gt;=INDEX(球季參數!$E$2:$E$4,MATCH($A514,球季參數!$A$2:$A$4,0)),1,0)</f>
        <v>1</v>
      </c>
    </row>
    <row r="515" customFormat="false" ht="15" hidden="false" customHeight="false" outlineLevel="0" collapsed="false">
      <c r="A515" s="5" t="n">
        <v>2025</v>
      </c>
      <c r="B515" s="7" t="s">
        <v>1323</v>
      </c>
      <c r="C515" s="10" t="str">
        <f aca="false">INDEX(球員主檔!$B$2:$B$749,MATCH($B515,球員主檔!$A$2:$A$749,0))</f>
        <v>Yusuke Vasquez</v>
      </c>
      <c r="D515" s="7" t="s">
        <v>430</v>
      </c>
      <c r="E515" s="10" t="str">
        <f aca="false">INDEX(球隊主檔!$C$2:$C$31,MATCH($D515,球隊主檔!$A$2:$A$31,0))</f>
        <v>辛辛那提紅人</v>
      </c>
      <c r="F515" s="10" t="str">
        <f aca="false">INDEX(球隊主檔!$D$2:$D$31,MATCH($D515,球隊主檔!$A$2:$A$31,0))</f>
        <v>國聯</v>
      </c>
      <c r="G515" s="7" t="s">
        <v>470</v>
      </c>
      <c r="H515" s="11" t="n">
        <f aca="false">INT((DATE($A515,7,1)-INDEX(球員主檔!$G$2:$G$749,MATCH($B515,球員主檔!$A$2:$A$749,0)))/365.25)</f>
        <v>30</v>
      </c>
      <c r="I515" s="12" t="n">
        <v>148</v>
      </c>
      <c r="J515" s="12" t="n">
        <v>668</v>
      </c>
      <c r="K515" s="12" t="n">
        <v>606</v>
      </c>
      <c r="L515" s="12" t="n">
        <v>83</v>
      </c>
      <c r="M515" s="12" t="n">
        <v>149</v>
      </c>
      <c r="N515" s="12" t="n">
        <v>42</v>
      </c>
      <c r="O515" s="12" t="n">
        <v>6</v>
      </c>
      <c r="P515" s="12" t="n">
        <v>35</v>
      </c>
      <c r="Q515" s="12" t="n">
        <v>96</v>
      </c>
      <c r="R515" s="12" t="n">
        <v>54</v>
      </c>
      <c r="S515" s="12" t="n">
        <v>126</v>
      </c>
      <c r="T515" s="12" t="n">
        <v>4</v>
      </c>
      <c r="U515" s="12" t="n">
        <v>4</v>
      </c>
      <c r="V515" s="12" t="n">
        <v>14</v>
      </c>
      <c r="W515" s="12" t="n">
        <v>3</v>
      </c>
      <c r="X515" s="13" t="n">
        <f aca="false">M515+N515+2*O515+3*P515</f>
        <v>308</v>
      </c>
      <c r="Y515" s="14" t="n">
        <f aca="false">IF(K515=0,0,M515/K515)</f>
        <v>0.245874587458746</v>
      </c>
      <c r="Z515" s="14" t="n">
        <f aca="false">IF(K515+R515+T515+U515=0,0,(M515+R515+T515)/(K515+R515+T515+U515))</f>
        <v>0.309880239520958</v>
      </c>
      <c r="AA515" s="14" t="n">
        <f aca="false">IF(K515=0,0,X515/K515)</f>
        <v>0.508250825082508</v>
      </c>
      <c r="AB515" s="14" t="n">
        <f aca="false">Z515+AA515</f>
        <v>0.818131064603466</v>
      </c>
      <c r="AC515" s="14" t="n">
        <f aca="false">AA515-Y515</f>
        <v>0.262376237623762</v>
      </c>
      <c r="AD515" s="14" t="n">
        <f aca="false">IF(K515-S515-P515+U515=0,0,(M515-P515)/(K515-S515-P515+U515))</f>
        <v>0.253897550111359</v>
      </c>
      <c r="AE515" s="15" t="n">
        <f aca="false">IF(J515=0,0,R515/J515)</f>
        <v>0.0808383233532934</v>
      </c>
      <c r="AF515" s="15" t="n">
        <f aca="false">IF(J515=0,0,S515/J515)</f>
        <v>0.188622754491018</v>
      </c>
      <c r="AG515" s="11" t="n">
        <f aca="false">IF(J515&gt;=INDEX(球季參數!$E$2:$E$4,MATCH($A515,球季參數!$A$2:$A$4,0)),1,0)</f>
        <v>1</v>
      </c>
    </row>
    <row r="516" customFormat="false" ht="15" hidden="false" customHeight="false" outlineLevel="0" collapsed="false">
      <c r="A516" s="5" t="n">
        <v>2025</v>
      </c>
      <c r="B516" s="7" t="s">
        <v>1325</v>
      </c>
      <c r="C516" s="10" t="str">
        <f aca="false">INDEX(球員主檔!$B$2:$B$749,MATCH($B516,球員主檔!$A$2:$A$749,0))</f>
        <v>Ulises Lindquist</v>
      </c>
      <c r="D516" s="7" t="s">
        <v>430</v>
      </c>
      <c r="E516" s="10" t="str">
        <f aca="false">INDEX(球隊主檔!$C$2:$C$31,MATCH($D516,球隊主檔!$A$2:$A$31,0))</f>
        <v>辛辛那提紅人</v>
      </c>
      <c r="F516" s="10" t="str">
        <f aca="false">INDEX(球隊主檔!$D$2:$D$31,MATCH($D516,球隊主檔!$A$2:$A$31,0))</f>
        <v>國聯</v>
      </c>
      <c r="G516" s="7" t="s">
        <v>483</v>
      </c>
      <c r="H516" s="11" t="n">
        <f aca="false">INT((DATE($A516,7,1)-INDEX(球員主檔!$G$2:$G$749,MATCH($B516,球員主檔!$A$2:$A$749,0)))/365.25)</f>
        <v>31</v>
      </c>
      <c r="I516" s="12" t="n">
        <v>162</v>
      </c>
      <c r="J516" s="12" t="n">
        <v>676</v>
      </c>
      <c r="K516" s="12" t="n">
        <v>595</v>
      </c>
      <c r="L516" s="12" t="n">
        <v>71</v>
      </c>
      <c r="M516" s="12" t="n">
        <v>120</v>
      </c>
      <c r="N516" s="12" t="n">
        <v>34</v>
      </c>
      <c r="O516" s="12" t="n">
        <v>2</v>
      </c>
      <c r="P516" s="12" t="n">
        <v>37</v>
      </c>
      <c r="Q516" s="12" t="n">
        <v>95</v>
      </c>
      <c r="R516" s="12" t="n">
        <v>64</v>
      </c>
      <c r="S516" s="12" t="n">
        <v>169</v>
      </c>
      <c r="T516" s="12" t="n">
        <v>13</v>
      </c>
      <c r="U516" s="12" t="n">
        <v>4</v>
      </c>
      <c r="V516" s="12" t="n">
        <v>16</v>
      </c>
      <c r="W516" s="12" t="n">
        <v>4</v>
      </c>
      <c r="X516" s="13" t="n">
        <f aca="false">M516+N516+2*O516+3*P516</f>
        <v>269</v>
      </c>
      <c r="Y516" s="14" t="n">
        <f aca="false">IF(K516=0,0,M516/K516)</f>
        <v>0.201680672268908</v>
      </c>
      <c r="Z516" s="14" t="n">
        <f aca="false">IF(K516+R516+T516+U516=0,0,(M516+R516+T516)/(K516+R516+T516+U516))</f>
        <v>0.291420118343195</v>
      </c>
      <c r="AA516" s="14" t="n">
        <f aca="false">IF(K516=0,0,X516/K516)</f>
        <v>0.452100840336134</v>
      </c>
      <c r="AB516" s="14" t="n">
        <f aca="false">Z516+AA516</f>
        <v>0.74352095867933</v>
      </c>
      <c r="AC516" s="14" t="n">
        <f aca="false">AA516-Y516</f>
        <v>0.250420168067227</v>
      </c>
      <c r="AD516" s="14" t="n">
        <f aca="false">IF(K516-S516-P516+U516=0,0,(M516-P516)/(K516-S516-P516+U516))</f>
        <v>0.211195928753181</v>
      </c>
      <c r="AE516" s="15" t="n">
        <f aca="false">IF(J516=0,0,R516/J516)</f>
        <v>0.0946745562130178</v>
      </c>
      <c r="AF516" s="15" t="n">
        <f aca="false">IF(J516=0,0,S516/J516)</f>
        <v>0.25</v>
      </c>
      <c r="AG516" s="11" t="n">
        <f aca="false">IF(J516&gt;=INDEX(球季參數!$E$2:$E$4,MATCH($A516,球季參數!$A$2:$A$4,0)),1,0)</f>
        <v>1</v>
      </c>
    </row>
    <row r="517" customFormat="false" ht="15" hidden="false" customHeight="false" outlineLevel="0" collapsed="false">
      <c r="A517" s="5" t="n">
        <v>2025</v>
      </c>
      <c r="B517" s="7" t="s">
        <v>1327</v>
      </c>
      <c r="C517" s="10" t="str">
        <f aca="false">INDEX(球員主檔!$B$2:$B$749,MATCH($B517,球員主檔!$A$2:$A$749,0))</f>
        <v>Tobias Kestrel</v>
      </c>
      <c r="D517" s="7" t="s">
        <v>430</v>
      </c>
      <c r="E517" s="10" t="str">
        <f aca="false">INDEX(球隊主檔!$C$2:$C$31,MATCH($D517,球隊主檔!$A$2:$A$31,0))</f>
        <v>辛辛那提紅人</v>
      </c>
      <c r="F517" s="10" t="str">
        <f aca="false">INDEX(球隊主檔!$D$2:$D$31,MATCH($D517,球隊主檔!$A$2:$A$31,0))</f>
        <v>國聯</v>
      </c>
      <c r="G517" s="7" t="s">
        <v>162</v>
      </c>
      <c r="H517" s="11" t="n">
        <f aca="false">INT((DATE($A517,7,1)-INDEX(球員主檔!$G$2:$G$749,MATCH($B517,球員主檔!$A$2:$A$749,0)))/365.25)</f>
        <v>26</v>
      </c>
      <c r="I517" s="12" t="n">
        <v>94</v>
      </c>
      <c r="J517" s="12" t="n">
        <v>408</v>
      </c>
      <c r="K517" s="12" t="n">
        <v>361</v>
      </c>
      <c r="L517" s="12" t="n">
        <v>50</v>
      </c>
      <c r="M517" s="12" t="n">
        <v>97</v>
      </c>
      <c r="N517" s="12" t="n">
        <v>22</v>
      </c>
      <c r="O517" s="12" t="n">
        <v>4</v>
      </c>
      <c r="P517" s="12" t="n">
        <v>9</v>
      </c>
      <c r="Q517" s="12" t="n">
        <v>42</v>
      </c>
      <c r="R517" s="12" t="n">
        <v>38</v>
      </c>
      <c r="S517" s="12" t="n">
        <v>65</v>
      </c>
      <c r="T517" s="12" t="n">
        <v>5</v>
      </c>
      <c r="U517" s="12" t="n">
        <v>4</v>
      </c>
      <c r="V517" s="12" t="n">
        <v>16</v>
      </c>
      <c r="W517" s="12" t="n">
        <v>2</v>
      </c>
      <c r="X517" s="13" t="n">
        <f aca="false">M517+N517+2*O517+3*P517</f>
        <v>154</v>
      </c>
      <c r="Y517" s="14" t="n">
        <f aca="false">IF(K517=0,0,M517/K517)</f>
        <v>0.268698060941828</v>
      </c>
      <c r="Z517" s="14" t="n">
        <f aca="false">IF(K517+R517+T517+U517=0,0,(M517+R517+T517)/(K517+R517+T517+U517))</f>
        <v>0.343137254901961</v>
      </c>
      <c r="AA517" s="14" t="n">
        <f aca="false">IF(K517=0,0,X517/K517)</f>
        <v>0.426592797783934</v>
      </c>
      <c r="AB517" s="14" t="n">
        <f aca="false">Z517+AA517</f>
        <v>0.769730052685894</v>
      </c>
      <c r="AC517" s="14" t="n">
        <f aca="false">AA517-Y517</f>
        <v>0.157894736842105</v>
      </c>
      <c r="AD517" s="14" t="n">
        <f aca="false">IF(K517-S517-P517+U517=0,0,(M517-P517)/(K517-S517-P517+U517))</f>
        <v>0.302405498281787</v>
      </c>
      <c r="AE517" s="15" t="n">
        <f aca="false">IF(J517=0,0,R517/J517)</f>
        <v>0.0931372549019608</v>
      </c>
      <c r="AF517" s="15" t="n">
        <f aca="false">IF(J517=0,0,S517/J517)</f>
        <v>0.159313725490196</v>
      </c>
      <c r="AG517" s="11" t="n">
        <f aca="false">IF(J517&gt;=INDEX(球季參數!$E$2:$E$4,MATCH($A517,球季參數!$A$2:$A$4,0)),1,0)</f>
        <v>0</v>
      </c>
    </row>
    <row r="518" customFormat="false" ht="15" hidden="false" customHeight="false" outlineLevel="0" collapsed="false">
      <c r="A518" s="5" t="n">
        <v>2025</v>
      </c>
      <c r="B518" s="7" t="s">
        <v>1783</v>
      </c>
      <c r="C518" s="10" t="str">
        <f aca="false">INDEX(球員主檔!$B$2:$B$749,MATCH($B518,球員主檔!$A$2:$A$749,0))</f>
        <v>Mateo Brightwell</v>
      </c>
      <c r="D518" s="7" t="s">
        <v>430</v>
      </c>
      <c r="E518" s="10" t="str">
        <f aca="false">INDEX(球隊主檔!$C$2:$C$31,MATCH($D518,球隊主檔!$A$2:$A$31,0))</f>
        <v>辛辛那提紅人</v>
      </c>
      <c r="F518" s="10" t="str">
        <f aca="false">INDEX(球隊主檔!$D$2:$D$31,MATCH($D518,球隊主檔!$A$2:$A$31,0))</f>
        <v>國聯</v>
      </c>
      <c r="G518" s="7" t="s">
        <v>486</v>
      </c>
      <c r="H518" s="11" t="n">
        <f aca="false">INT((DATE($A518,7,1)-INDEX(球員主檔!$G$2:$G$749,MATCH($B518,球員主檔!$A$2:$A$749,0)))/365.25)</f>
        <v>25</v>
      </c>
      <c r="I518" s="12" t="n">
        <v>108</v>
      </c>
      <c r="J518" s="12" t="n">
        <v>483</v>
      </c>
      <c r="K518" s="12" t="n">
        <v>440</v>
      </c>
      <c r="L518" s="12" t="n">
        <v>55</v>
      </c>
      <c r="M518" s="12" t="n">
        <v>89</v>
      </c>
      <c r="N518" s="12" t="n">
        <v>26</v>
      </c>
      <c r="O518" s="12" t="n">
        <v>6</v>
      </c>
      <c r="P518" s="12" t="n">
        <v>21</v>
      </c>
      <c r="Q518" s="12" t="n">
        <v>61</v>
      </c>
      <c r="R518" s="12" t="n">
        <v>38</v>
      </c>
      <c r="S518" s="12" t="n">
        <v>123</v>
      </c>
      <c r="T518" s="12" t="n">
        <v>2</v>
      </c>
      <c r="U518" s="12" t="n">
        <v>3</v>
      </c>
      <c r="V518" s="12" t="n">
        <v>18</v>
      </c>
      <c r="W518" s="12" t="n">
        <v>6</v>
      </c>
      <c r="X518" s="13" t="n">
        <f aca="false">M518+N518+2*O518+3*P518</f>
        <v>190</v>
      </c>
      <c r="Y518" s="14" t="n">
        <f aca="false">IF(K518=0,0,M518/K518)</f>
        <v>0.202272727272727</v>
      </c>
      <c r="Z518" s="14" t="n">
        <f aca="false">IF(K518+R518+T518+U518=0,0,(M518+R518+T518)/(K518+R518+T518+U518))</f>
        <v>0.267080745341615</v>
      </c>
      <c r="AA518" s="14" t="n">
        <f aca="false">IF(K518=0,0,X518/K518)</f>
        <v>0.431818181818182</v>
      </c>
      <c r="AB518" s="14" t="n">
        <f aca="false">Z518+AA518</f>
        <v>0.698898927159797</v>
      </c>
      <c r="AC518" s="14" t="n">
        <f aca="false">AA518-Y518</f>
        <v>0.229545454545455</v>
      </c>
      <c r="AD518" s="14" t="n">
        <f aca="false">IF(K518-S518-P518+U518=0,0,(M518-P518)/(K518-S518-P518+U518))</f>
        <v>0.22742474916388</v>
      </c>
      <c r="AE518" s="15" t="n">
        <f aca="false">IF(J518=0,0,R518/J518)</f>
        <v>0.0786749482401656</v>
      </c>
      <c r="AF518" s="15" t="n">
        <f aca="false">IF(J518=0,0,S518/J518)</f>
        <v>0.254658385093168</v>
      </c>
      <c r="AG518" s="11" t="n">
        <f aca="false">IF(J518&gt;=INDEX(球季參數!$E$2:$E$4,MATCH($A518,球季參數!$A$2:$A$4,0)),1,0)</f>
        <v>0</v>
      </c>
    </row>
    <row r="519" customFormat="false" ht="15" hidden="false" customHeight="false" outlineLevel="0" collapsed="false">
      <c r="A519" s="5" t="n">
        <v>2025</v>
      </c>
      <c r="B519" s="7" t="s">
        <v>601</v>
      </c>
      <c r="C519" s="10" t="str">
        <f aca="false">INDEX(球員主檔!$B$2:$B$749,MATCH($B519,球員主檔!$A$2:$A$749,0))</f>
        <v>Lorenzo Villalobos</v>
      </c>
      <c r="D519" s="7" t="s">
        <v>430</v>
      </c>
      <c r="E519" s="10" t="str">
        <f aca="false">INDEX(球隊主檔!$C$2:$C$31,MATCH($D519,球隊主檔!$A$2:$A$31,0))</f>
        <v>辛辛那提紅人</v>
      </c>
      <c r="F519" s="10" t="str">
        <f aca="false">INDEX(球隊主檔!$D$2:$D$31,MATCH($D519,球隊主檔!$A$2:$A$31,0))</f>
        <v>國聯</v>
      </c>
      <c r="G519" s="7" t="s">
        <v>473</v>
      </c>
      <c r="H519" s="11" t="n">
        <f aca="false">INT((DATE($A519,7,1)-INDEX(球員主檔!$G$2:$G$749,MATCH($B519,球員主檔!$A$2:$A$749,0)))/365.25)</f>
        <v>30</v>
      </c>
      <c r="I519" s="12" t="n">
        <v>53</v>
      </c>
      <c r="J519" s="12" t="n">
        <v>232</v>
      </c>
      <c r="K519" s="12" t="n">
        <v>214</v>
      </c>
      <c r="L519" s="12" t="n">
        <v>20</v>
      </c>
      <c r="M519" s="12" t="n">
        <v>49</v>
      </c>
      <c r="N519" s="12" t="n">
        <v>20</v>
      </c>
      <c r="O519" s="12" t="n">
        <v>4</v>
      </c>
      <c r="P519" s="12" t="n">
        <v>5</v>
      </c>
      <c r="Q519" s="12" t="n">
        <v>19</v>
      </c>
      <c r="R519" s="12" t="n">
        <v>15</v>
      </c>
      <c r="S519" s="12" t="n">
        <v>56</v>
      </c>
      <c r="T519" s="12" t="n">
        <v>2</v>
      </c>
      <c r="U519" s="12" t="n">
        <v>1</v>
      </c>
      <c r="V519" s="12" t="n">
        <v>17</v>
      </c>
      <c r="W519" s="12" t="n">
        <v>4</v>
      </c>
      <c r="X519" s="13" t="n">
        <f aca="false">M519+N519+2*O519+3*P519</f>
        <v>92</v>
      </c>
      <c r="Y519" s="14" t="n">
        <f aca="false">IF(K519=0,0,M519/K519)</f>
        <v>0.228971962616822</v>
      </c>
      <c r="Z519" s="14" t="n">
        <f aca="false">IF(K519+R519+T519+U519=0,0,(M519+R519+T519)/(K519+R519+T519+U519))</f>
        <v>0.28448275862069</v>
      </c>
      <c r="AA519" s="14" t="n">
        <f aca="false">IF(K519=0,0,X519/K519)</f>
        <v>0.429906542056075</v>
      </c>
      <c r="AB519" s="14" t="n">
        <f aca="false">Z519+AA519</f>
        <v>0.714389300676764</v>
      </c>
      <c r="AC519" s="14" t="n">
        <f aca="false">AA519-Y519</f>
        <v>0.200934579439252</v>
      </c>
      <c r="AD519" s="14" t="n">
        <f aca="false">IF(K519-S519-P519+U519=0,0,(M519-P519)/(K519-S519-P519+U519))</f>
        <v>0.285714285714286</v>
      </c>
      <c r="AE519" s="15" t="n">
        <f aca="false">IF(J519=0,0,R519/J519)</f>
        <v>0.0646551724137931</v>
      </c>
      <c r="AF519" s="15" t="n">
        <f aca="false">IF(J519=0,0,S519/J519)</f>
        <v>0.241379310344828</v>
      </c>
      <c r="AG519" s="11" t="n">
        <f aca="false">IF(J519&gt;=INDEX(球季參數!$E$2:$E$4,MATCH($A519,球季參數!$A$2:$A$4,0)),1,0)</f>
        <v>0</v>
      </c>
    </row>
    <row r="520" customFormat="false" ht="15" hidden="false" customHeight="false" outlineLevel="0" collapsed="false">
      <c r="A520" s="5" t="n">
        <v>2025</v>
      </c>
      <c r="B520" s="7" t="s">
        <v>1159</v>
      </c>
      <c r="C520" s="10" t="str">
        <f aca="false">INDEX(球員主檔!$B$2:$B$749,MATCH($B520,球員主檔!$A$2:$A$749,0))</f>
        <v>Esteban Thorsby</v>
      </c>
      <c r="D520" s="7" t="s">
        <v>430</v>
      </c>
      <c r="E520" s="10" t="str">
        <f aca="false">INDEX(球隊主檔!$C$2:$C$31,MATCH($D520,球隊主檔!$A$2:$A$31,0))</f>
        <v>辛辛那提紅人</v>
      </c>
      <c r="F520" s="10" t="str">
        <f aca="false">INDEX(球隊主檔!$D$2:$D$31,MATCH($D520,球隊主檔!$A$2:$A$31,0))</f>
        <v>國聯</v>
      </c>
      <c r="G520" s="7" t="s">
        <v>483</v>
      </c>
      <c r="H520" s="11" t="n">
        <f aca="false">INT((DATE($A520,7,1)-INDEX(球員主檔!$G$2:$G$749,MATCH($B520,球員主檔!$A$2:$A$749,0)))/365.25)</f>
        <v>27</v>
      </c>
      <c r="I520" s="12" t="n">
        <v>24</v>
      </c>
      <c r="J520" s="12" t="n">
        <v>109</v>
      </c>
      <c r="K520" s="12" t="n">
        <v>97</v>
      </c>
      <c r="L520" s="12" t="n">
        <v>12</v>
      </c>
      <c r="M520" s="12" t="n">
        <v>26</v>
      </c>
      <c r="N520" s="12" t="n">
        <v>12</v>
      </c>
      <c r="O520" s="12" t="n">
        <v>0</v>
      </c>
      <c r="P520" s="12" t="n">
        <v>2</v>
      </c>
      <c r="Q520" s="12" t="n">
        <v>11</v>
      </c>
      <c r="R520" s="12" t="n">
        <v>9</v>
      </c>
      <c r="S520" s="12" t="n">
        <v>20</v>
      </c>
      <c r="T520" s="12" t="n">
        <v>2</v>
      </c>
      <c r="U520" s="12" t="n">
        <v>1</v>
      </c>
      <c r="V520" s="12" t="n">
        <v>1</v>
      </c>
      <c r="W520" s="12" t="n">
        <v>0</v>
      </c>
      <c r="X520" s="13" t="n">
        <f aca="false">M520+N520+2*O520+3*P520</f>
        <v>44</v>
      </c>
      <c r="Y520" s="14" t="n">
        <f aca="false">IF(K520=0,0,M520/K520)</f>
        <v>0.268041237113402</v>
      </c>
      <c r="Z520" s="14" t="n">
        <f aca="false">IF(K520+R520+T520+U520=0,0,(M520+R520+T520)/(K520+R520+T520+U520))</f>
        <v>0.339449541284404</v>
      </c>
      <c r="AA520" s="14" t="n">
        <f aca="false">IF(K520=0,0,X520/K520)</f>
        <v>0.45360824742268</v>
      </c>
      <c r="AB520" s="14" t="n">
        <f aca="false">Z520+AA520</f>
        <v>0.793057788707084</v>
      </c>
      <c r="AC520" s="14" t="n">
        <f aca="false">AA520-Y520</f>
        <v>0.185567010309278</v>
      </c>
      <c r="AD520" s="14" t="n">
        <f aca="false">IF(K520-S520-P520+U520=0,0,(M520-P520)/(K520-S520-P520+U520))</f>
        <v>0.315789473684211</v>
      </c>
      <c r="AE520" s="15" t="n">
        <f aca="false">IF(J520=0,0,R520/J520)</f>
        <v>0.0825688073394496</v>
      </c>
      <c r="AF520" s="15" t="n">
        <f aca="false">IF(J520=0,0,S520/J520)</f>
        <v>0.18348623853211</v>
      </c>
      <c r="AG520" s="11" t="n">
        <f aca="false">IF(J520&gt;=INDEX(球季參數!$E$2:$E$4,MATCH($A520,球季參數!$A$2:$A$4,0)),1,0)</f>
        <v>0</v>
      </c>
    </row>
    <row r="521" customFormat="false" ht="15" hidden="false" customHeight="false" outlineLevel="0" collapsed="false">
      <c r="A521" s="5" t="n">
        <v>2025</v>
      </c>
      <c r="B521" s="7" t="s">
        <v>1335</v>
      </c>
      <c r="C521" s="10" t="str">
        <f aca="false">INDEX(球員主檔!$B$2:$B$749,MATCH($B521,球員主檔!$A$2:$A$749,0))</f>
        <v>Elias Okafor</v>
      </c>
      <c r="D521" s="7" t="s">
        <v>430</v>
      </c>
      <c r="E521" s="10" t="str">
        <f aca="false">INDEX(球隊主檔!$C$2:$C$31,MATCH($D521,球隊主檔!$A$2:$A$31,0))</f>
        <v>辛辛那提紅人</v>
      </c>
      <c r="F521" s="10" t="str">
        <f aca="false">INDEX(球隊主檔!$D$2:$D$31,MATCH($D521,球隊主檔!$A$2:$A$31,0))</f>
        <v>國聯</v>
      </c>
      <c r="G521" s="7" t="s">
        <v>162</v>
      </c>
      <c r="H521" s="11" t="n">
        <f aca="false">INT((DATE($A521,7,1)-INDEX(球員主檔!$G$2:$G$749,MATCH($B521,球員主檔!$A$2:$A$749,0)))/365.25)</f>
        <v>33</v>
      </c>
      <c r="I521" s="12" t="n">
        <v>74</v>
      </c>
      <c r="J521" s="12" t="n">
        <v>287</v>
      </c>
      <c r="K521" s="12" t="n">
        <v>256</v>
      </c>
      <c r="L521" s="12" t="n">
        <v>27</v>
      </c>
      <c r="M521" s="12" t="n">
        <v>53</v>
      </c>
      <c r="N521" s="12" t="n">
        <v>22</v>
      </c>
      <c r="O521" s="12" t="n">
        <v>5</v>
      </c>
      <c r="P521" s="12" t="n">
        <v>5</v>
      </c>
      <c r="Q521" s="12" t="n">
        <v>24</v>
      </c>
      <c r="R521" s="12" t="n">
        <v>24</v>
      </c>
      <c r="S521" s="12" t="n">
        <v>39</v>
      </c>
      <c r="T521" s="12" t="n">
        <v>5</v>
      </c>
      <c r="U521" s="12" t="n">
        <v>2</v>
      </c>
      <c r="V521" s="12" t="n">
        <v>12</v>
      </c>
      <c r="W521" s="12" t="n">
        <v>1</v>
      </c>
      <c r="X521" s="13" t="n">
        <f aca="false">M521+N521+2*O521+3*P521</f>
        <v>100</v>
      </c>
      <c r="Y521" s="14" t="n">
        <f aca="false">IF(K521=0,0,M521/K521)</f>
        <v>0.20703125</v>
      </c>
      <c r="Z521" s="14" t="n">
        <f aca="false">IF(K521+R521+T521+U521=0,0,(M521+R521+T521)/(K521+R521+T521+U521))</f>
        <v>0.285714285714286</v>
      </c>
      <c r="AA521" s="14" t="n">
        <f aca="false">IF(K521=0,0,X521/K521)</f>
        <v>0.390625</v>
      </c>
      <c r="AB521" s="14" t="n">
        <f aca="false">Z521+AA521</f>
        <v>0.676339285714286</v>
      </c>
      <c r="AC521" s="14" t="n">
        <f aca="false">AA521-Y521</f>
        <v>0.18359375</v>
      </c>
      <c r="AD521" s="14" t="n">
        <f aca="false">IF(K521-S521-P521+U521=0,0,(M521-P521)/(K521-S521-P521+U521))</f>
        <v>0.224299065420561</v>
      </c>
      <c r="AE521" s="15" t="n">
        <f aca="false">IF(J521=0,0,R521/J521)</f>
        <v>0.083623693379791</v>
      </c>
      <c r="AF521" s="15" t="n">
        <f aca="false">IF(J521=0,0,S521/J521)</f>
        <v>0.13588850174216</v>
      </c>
      <c r="AG521" s="11" t="n">
        <f aca="false">IF(J521&gt;=INDEX(球季參數!$E$2:$E$4,MATCH($A521,球季參數!$A$2:$A$4,0)),1,0)</f>
        <v>0</v>
      </c>
    </row>
    <row r="522" customFormat="false" ht="15" hidden="false" customHeight="false" outlineLevel="0" collapsed="false">
      <c r="A522" s="5" t="n">
        <v>2025</v>
      </c>
      <c r="B522" s="7" t="s">
        <v>1047</v>
      </c>
      <c r="C522" s="10" t="str">
        <f aca="false">INDEX(球員主檔!$B$2:$B$749,MATCH($B522,球員主檔!$A$2:$A$749,0))</f>
        <v>Camilo Kestrel</v>
      </c>
      <c r="D522" s="7" t="s">
        <v>434</v>
      </c>
      <c r="E522" s="10" t="str">
        <f aca="false">INDEX(球隊主檔!$C$2:$C$31,MATCH($D522,球隊主檔!$A$2:$A$31,0))</f>
        <v>密爾瓦基釀酒人</v>
      </c>
      <c r="F522" s="10" t="str">
        <f aca="false">INDEX(球隊主檔!$D$2:$D$31,MATCH($D522,球隊主檔!$A$2:$A$31,0))</f>
        <v>國聯</v>
      </c>
      <c r="G522" s="7" t="s">
        <v>63</v>
      </c>
      <c r="H522" s="11" t="n">
        <f aca="false">INT((DATE($A522,7,1)-INDEX(球員主檔!$G$2:$G$749,MATCH($B522,球員主檔!$A$2:$A$749,0)))/365.25)</f>
        <v>30</v>
      </c>
      <c r="I522" s="12" t="n">
        <v>142</v>
      </c>
      <c r="J522" s="12" t="n">
        <v>631</v>
      </c>
      <c r="K522" s="12" t="n">
        <v>566</v>
      </c>
      <c r="L522" s="12" t="n">
        <v>83</v>
      </c>
      <c r="M522" s="12" t="n">
        <v>145</v>
      </c>
      <c r="N522" s="12" t="n">
        <v>21</v>
      </c>
      <c r="O522" s="12" t="n">
        <v>2</v>
      </c>
      <c r="P522" s="12" t="n">
        <v>26</v>
      </c>
      <c r="Q522" s="12" t="n">
        <v>81</v>
      </c>
      <c r="R522" s="12" t="n">
        <v>57</v>
      </c>
      <c r="S522" s="12" t="n">
        <v>121</v>
      </c>
      <c r="T522" s="12" t="n">
        <v>2</v>
      </c>
      <c r="U522" s="12" t="n">
        <v>6</v>
      </c>
      <c r="V522" s="12" t="n">
        <v>17</v>
      </c>
      <c r="W522" s="12" t="n">
        <v>6</v>
      </c>
      <c r="X522" s="13" t="n">
        <f aca="false">M522+N522+2*O522+3*P522</f>
        <v>248</v>
      </c>
      <c r="Y522" s="14" t="n">
        <f aca="false">IF(K522=0,0,M522/K522)</f>
        <v>0.256183745583039</v>
      </c>
      <c r="Z522" s="14" t="n">
        <f aca="false">IF(K522+R522+T522+U522=0,0,(M522+R522+T522)/(K522+R522+T522+U522))</f>
        <v>0.323296354992076</v>
      </c>
      <c r="AA522" s="14" t="n">
        <f aca="false">IF(K522=0,0,X522/K522)</f>
        <v>0.438162544169611</v>
      </c>
      <c r="AB522" s="14" t="n">
        <f aca="false">Z522+AA522</f>
        <v>0.761458899161687</v>
      </c>
      <c r="AC522" s="14" t="n">
        <f aca="false">AA522-Y522</f>
        <v>0.181978798586572</v>
      </c>
      <c r="AD522" s="14" t="n">
        <f aca="false">IF(K522-S522-P522+U522=0,0,(M522-P522)/(K522-S522-P522+U522))</f>
        <v>0.28</v>
      </c>
      <c r="AE522" s="15" t="n">
        <f aca="false">IF(J522=0,0,R522/J522)</f>
        <v>0.0903328050713154</v>
      </c>
      <c r="AF522" s="15" t="n">
        <f aca="false">IF(J522=0,0,S522/J522)</f>
        <v>0.19175911251981</v>
      </c>
      <c r="AG522" s="11" t="n">
        <f aca="false">IF(J522&gt;=INDEX(球季參數!$E$2:$E$4,MATCH($A522,球季參數!$A$2:$A$4,0)),1,0)</f>
        <v>1</v>
      </c>
    </row>
    <row r="523" customFormat="false" ht="15" hidden="false" customHeight="false" outlineLevel="0" collapsed="false">
      <c r="A523" s="5" t="n">
        <v>2025</v>
      </c>
      <c r="B523" s="7" t="s">
        <v>1359</v>
      </c>
      <c r="C523" s="10" t="str">
        <f aca="false">INDEX(球員主檔!$B$2:$B$749,MATCH($B523,球員主檔!$A$2:$A$749,0))</f>
        <v>Cedric Jovanović</v>
      </c>
      <c r="D523" s="7" t="s">
        <v>434</v>
      </c>
      <c r="E523" s="10" t="str">
        <f aca="false">INDEX(球隊主檔!$C$2:$C$31,MATCH($D523,球隊主檔!$A$2:$A$31,0))</f>
        <v>密爾瓦基釀酒人</v>
      </c>
      <c r="F523" s="10" t="str">
        <f aca="false">INDEX(球隊主檔!$D$2:$D$31,MATCH($D523,球隊主檔!$A$2:$A$31,0))</f>
        <v>國聯</v>
      </c>
      <c r="G523" s="7" t="s">
        <v>478</v>
      </c>
      <c r="H523" s="11" t="n">
        <f aca="false">INT((DATE($A523,7,1)-INDEX(球員主檔!$G$2:$G$749,MATCH($B523,球員主檔!$A$2:$A$749,0)))/365.25)</f>
        <v>34</v>
      </c>
      <c r="I523" s="12" t="n">
        <v>72</v>
      </c>
      <c r="J523" s="12" t="n">
        <v>306</v>
      </c>
      <c r="K523" s="12" t="n">
        <v>274</v>
      </c>
      <c r="L523" s="12" t="n">
        <v>32</v>
      </c>
      <c r="M523" s="12" t="n">
        <v>76</v>
      </c>
      <c r="N523" s="12" t="n">
        <v>23</v>
      </c>
      <c r="O523" s="12" t="n">
        <v>3</v>
      </c>
      <c r="P523" s="12" t="n">
        <v>4</v>
      </c>
      <c r="Q523" s="12" t="n">
        <v>27</v>
      </c>
      <c r="R523" s="12" t="n">
        <v>28</v>
      </c>
      <c r="S523" s="12" t="n">
        <v>52</v>
      </c>
      <c r="T523" s="12" t="n">
        <v>2</v>
      </c>
      <c r="U523" s="12" t="n">
        <v>2</v>
      </c>
      <c r="V523" s="12" t="n">
        <v>15</v>
      </c>
      <c r="W523" s="12" t="n">
        <v>4</v>
      </c>
      <c r="X523" s="13" t="n">
        <f aca="false">M523+N523+2*O523+3*P523</f>
        <v>117</v>
      </c>
      <c r="Y523" s="14" t="n">
        <f aca="false">IF(K523=0,0,M523/K523)</f>
        <v>0.277372262773723</v>
      </c>
      <c r="Z523" s="14" t="n">
        <f aca="false">IF(K523+R523+T523+U523=0,0,(M523+R523+T523)/(K523+R523+T523+U523))</f>
        <v>0.34640522875817</v>
      </c>
      <c r="AA523" s="14" t="n">
        <f aca="false">IF(K523=0,0,X523/K523)</f>
        <v>0.427007299270073</v>
      </c>
      <c r="AB523" s="14" t="n">
        <f aca="false">Z523+AA523</f>
        <v>0.773412528028243</v>
      </c>
      <c r="AC523" s="14" t="n">
        <f aca="false">AA523-Y523</f>
        <v>0.14963503649635</v>
      </c>
      <c r="AD523" s="14" t="n">
        <f aca="false">IF(K523-S523-P523+U523=0,0,(M523-P523)/(K523-S523-P523+U523))</f>
        <v>0.327272727272727</v>
      </c>
      <c r="AE523" s="15" t="n">
        <f aca="false">IF(J523=0,0,R523/J523)</f>
        <v>0.0915032679738562</v>
      </c>
      <c r="AF523" s="15" t="n">
        <f aca="false">IF(J523=0,0,S523/J523)</f>
        <v>0.169934640522876</v>
      </c>
      <c r="AG523" s="11" t="n">
        <f aca="false">IF(J523&gt;=INDEX(球季參數!$E$2:$E$4,MATCH($A523,球季參數!$A$2:$A$4,0)),1,0)</f>
        <v>0</v>
      </c>
    </row>
    <row r="524" customFormat="false" ht="15" hidden="false" customHeight="false" outlineLevel="0" collapsed="false">
      <c r="A524" s="5" t="n">
        <v>2025</v>
      </c>
      <c r="B524" s="7" t="s">
        <v>1241</v>
      </c>
      <c r="C524" s="10" t="str">
        <f aca="false">INDEX(球員主檔!$B$2:$B$749,MATCH($B524,球員主檔!$A$2:$A$749,0))</f>
        <v>Rhett Yamazaki</v>
      </c>
      <c r="D524" s="7" t="s">
        <v>434</v>
      </c>
      <c r="E524" s="10" t="str">
        <f aca="false">INDEX(球隊主檔!$C$2:$C$31,MATCH($D524,球隊主檔!$A$2:$A$31,0))</f>
        <v>密爾瓦基釀酒人</v>
      </c>
      <c r="F524" s="10" t="str">
        <f aca="false">INDEX(球隊主檔!$D$2:$D$31,MATCH($D524,球隊主檔!$A$2:$A$31,0))</f>
        <v>國聯</v>
      </c>
      <c r="G524" s="7" t="s">
        <v>158</v>
      </c>
      <c r="H524" s="11" t="n">
        <f aca="false">INT((DATE($A524,7,1)-INDEX(球員主檔!$G$2:$G$749,MATCH($B524,球員主檔!$A$2:$A$749,0)))/365.25)</f>
        <v>31</v>
      </c>
      <c r="I524" s="12" t="n">
        <v>131</v>
      </c>
      <c r="J524" s="12" t="n">
        <v>562</v>
      </c>
      <c r="K524" s="12" t="n">
        <v>492</v>
      </c>
      <c r="L524" s="12" t="n">
        <v>54</v>
      </c>
      <c r="M524" s="12" t="n">
        <v>93</v>
      </c>
      <c r="N524" s="12" t="n">
        <v>30</v>
      </c>
      <c r="O524" s="12" t="n">
        <v>6</v>
      </c>
      <c r="P524" s="12" t="n">
        <v>20</v>
      </c>
      <c r="Q524" s="12" t="n">
        <v>68</v>
      </c>
      <c r="R524" s="12" t="n">
        <v>64</v>
      </c>
      <c r="S524" s="12" t="n">
        <v>73</v>
      </c>
      <c r="T524" s="12" t="n">
        <v>4</v>
      </c>
      <c r="U524" s="12" t="n">
        <v>2</v>
      </c>
      <c r="V524" s="12" t="n">
        <v>29</v>
      </c>
      <c r="W524" s="12" t="n">
        <v>7</v>
      </c>
      <c r="X524" s="13" t="n">
        <f aca="false">M524+N524+2*O524+3*P524</f>
        <v>195</v>
      </c>
      <c r="Y524" s="14" t="n">
        <f aca="false">IF(K524=0,0,M524/K524)</f>
        <v>0.189024390243902</v>
      </c>
      <c r="Z524" s="14" t="n">
        <f aca="false">IF(K524+R524+T524+U524=0,0,(M524+R524+T524)/(K524+R524+T524+U524))</f>
        <v>0.286476868327402</v>
      </c>
      <c r="AA524" s="14" t="n">
        <f aca="false">IF(K524=0,0,X524/K524)</f>
        <v>0.396341463414634</v>
      </c>
      <c r="AB524" s="14" t="n">
        <f aca="false">Z524+AA524</f>
        <v>0.682818331742036</v>
      </c>
      <c r="AC524" s="14" t="n">
        <f aca="false">AA524-Y524</f>
        <v>0.207317073170732</v>
      </c>
      <c r="AD524" s="14" t="n">
        <f aca="false">IF(K524-S524-P524+U524=0,0,(M524-P524)/(K524-S524-P524+U524))</f>
        <v>0.182044887780549</v>
      </c>
      <c r="AE524" s="15" t="n">
        <f aca="false">IF(J524=0,0,R524/J524)</f>
        <v>0.113879003558719</v>
      </c>
      <c r="AF524" s="15" t="n">
        <f aca="false">IF(J524=0,0,S524/J524)</f>
        <v>0.129893238434164</v>
      </c>
      <c r="AG524" s="11" t="n">
        <f aca="false">IF(J524&gt;=INDEX(球季參數!$E$2:$E$4,MATCH($A524,球季參數!$A$2:$A$4,0)),1,0)</f>
        <v>1</v>
      </c>
    </row>
    <row r="525" customFormat="false" ht="15" hidden="false" customHeight="false" outlineLevel="0" collapsed="false">
      <c r="A525" s="5" t="n">
        <v>2025</v>
      </c>
      <c r="B525" s="7" t="s">
        <v>1363</v>
      </c>
      <c r="C525" s="10" t="str">
        <f aca="false">INDEX(球員主檔!$B$2:$B$749,MATCH($B525,球員主檔!$A$2:$A$749,0))</f>
        <v>Jedidiah Hargreaves</v>
      </c>
      <c r="D525" s="7" t="s">
        <v>434</v>
      </c>
      <c r="E525" s="10" t="str">
        <f aca="false">INDEX(球隊主檔!$C$2:$C$31,MATCH($D525,球隊主檔!$A$2:$A$31,0))</f>
        <v>密爾瓦基釀酒人</v>
      </c>
      <c r="F525" s="10" t="str">
        <f aca="false">INDEX(球隊主檔!$D$2:$D$31,MATCH($D525,球隊主檔!$A$2:$A$31,0))</f>
        <v>國聯</v>
      </c>
      <c r="G525" s="7" t="s">
        <v>522</v>
      </c>
      <c r="H525" s="11" t="n">
        <f aca="false">INT((DATE($A525,7,1)-INDEX(球員主檔!$G$2:$G$749,MATCH($B525,球員主檔!$A$2:$A$749,0)))/365.25)</f>
        <v>23</v>
      </c>
      <c r="I525" s="12" t="n">
        <v>153</v>
      </c>
      <c r="J525" s="12" t="n">
        <v>630</v>
      </c>
      <c r="K525" s="12" t="n">
        <v>545</v>
      </c>
      <c r="L525" s="12" t="n">
        <v>82</v>
      </c>
      <c r="M525" s="12" t="n">
        <v>174</v>
      </c>
      <c r="N525" s="12" t="n">
        <v>26</v>
      </c>
      <c r="O525" s="12" t="n">
        <v>5</v>
      </c>
      <c r="P525" s="12" t="n">
        <v>29</v>
      </c>
      <c r="Q525" s="12" t="n">
        <v>100</v>
      </c>
      <c r="R525" s="12" t="n">
        <v>75</v>
      </c>
      <c r="S525" s="12" t="n">
        <v>188</v>
      </c>
      <c r="T525" s="12" t="n">
        <v>4</v>
      </c>
      <c r="U525" s="12" t="n">
        <v>6</v>
      </c>
      <c r="V525" s="12" t="n">
        <v>5</v>
      </c>
      <c r="W525" s="12" t="n">
        <v>2</v>
      </c>
      <c r="X525" s="13" t="n">
        <f aca="false">M525+N525+2*O525+3*P525</f>
        <v>297</v>
      </c>
      <c r="Y525" s="14" t="n">
        <f aca="false">IF(K525=0,0,M525/K525)</f>
        <v>0.319266055045872</v>
      </c>
      <c r="Z525" s="14" t="n">
        <f aca="false">IF(K525+R525+T525+U525=0,0,(M525+R525+T525)/(K525+R525+T525+U525))</f>
        <v>0.401587301587302</v>
      </c>
      <c r="AA525" s="14" t="n">
        <f aca="false">IF(K525=0,0,X525/K525)</f>
        <v>0.544954128440367</v>
      </c>
      <c r="AB525" s="14" t="n">
        <f aca="false">Z525+AA525</f>
        <v>0.946541430027669</v>
      </c>
      <c r="AC525" s="14" t="n">
        <f aca="false">AA525-Y525</f>
        <v>0.225688073394495</v>
      </c>
      <c r="AD525" s="14" t="n">
        <f aca="false">IF(K525-S525-P525+U525=0,0,(M525-P525)/(K525-S525-P525+U525))</f>
        <v>0.434131736526946</v>
      </c>
      <c r="AE525" s="15" t="n">
        <f aca="false">IF(J525=0,0,R525/J525)</f>
        <v>0.119047619047619</v>
      </c>
      <c r="AF525" s="15" t="n">
        <f aca="false">IF(J525=0,0,S525/J525)</f>
        <v>0.298412698412698</v>
      </c>
      <c r="AG525" s="11" t="n">
        <f aca="false">IF(J525&gt;=INDEX(球季參數!$E$2:$E$4,MATCH($A525,球季參數!$A$2:$A$4,0)),1,0)</f>
        <v>1</v>
      </c>
    </row>
    <row r="526" customFormat="false" ht="15" hidden="false" customHeight="false" outlineLevel="0" collapsed="false">
      <c r="A526" s="5" t="n">
        <v>2025</v>
      </c>
      <c r="B526" s="7" t="s">
        <v>1365</v>
      </c>
      <c r="C526" s="10" t="str">
        <f aca="false">INDEX(球員主檔!$B$2:$B$749,MATCH($B526,球員主檔!$A$2:$A$749,0))</f>
        <v>Konrad Thorsby</v>
      </c>
      <c r="D526" s="7" t="s">
        <v>434</v>
      </c>
      <c r="E526" s="10" t="str">
        <f aca="false">INDEX(球隊主檔!$C$2:$C$31,MATCH($D526,球隊主檔!$A$2:$A$31,0))</f>
        <v>密爾瓦基釀酒人</v>
      </c>
      <c r="F526" s="10" t="str">
        <f aca="false">INDEX(球隊主檔!$D$2:$D$31,MATCH($D526,球隊主檔!$A$2:$A$31,0))</f>
        <v>國聯</v>
      </c>
      <c r="G526" s="7" t="s">
        <v>483</v>
      </c>
      <c r="H526" s="11" t="n">
        <f aca="false">INT((DATE($A526,7,1)-INDEX(球員主檔!$G$2:$G$749,MATCH($B526,球員主檔!$A$2:$A$749,0)))/365.25)</f>
        <v>29</v>
      </c>
      <c r="I526" s="12" t="n">
        <v>162</v>
      </c>
      <c r="J526" s="12" t="n">
        <v>691</v>
      </c>
      <c r="K526" s="12" t="n">
        <v>636</v>
      </c>
      <c r="L526" s="12" t="n">
        <v>68</v>
      </c>
      <c r="M526" s="12" t="n">
        <v>125</v>
      </c>
      <c r="N526" s="12" t="n">
        <v>21</v>
      </c>
      <c r="O526" s="12" t="n">
        <v>2</v>
      </c>
      <c r="P526" s="12" t="n">
        <v>20</v>
      </c>
      <c r="Q526" s="12" t="n">
        <v>71</v>
      </c>
      <c r="R526" s="12" t="n">
        <v>40</v>
      </c>
      <c r="S526" s="12" t="n">
        <v>156</v>
      </c>
      <c r="T526" s="12" t="n">
        <v>8</v>
      </c>
      <c r="U526" s="12" t="n">
        <v>7</v>
      </c>
      <c r="V526" s="12" t="n">
        <v>21</v>
      </c>
      <c r="W526" s="12" t="n">
        <v>6</v>
      </c>
      <c r="X526" s="13" t="n">
        <f aca="false">M526+N526+2*O526+3*P526</f>
        <v>210</v>
      </c>
      <c r="Y526" s="14" t="n">
        <f aca="false">IF(K526=0,0,M526/K526)</f>
        <v>0.196540880503145</v>
      </c>
      <c r="Z526" s="14" t="n">
        <f aca="false">IF(K526+R526+T526+U526=0,0,(M526+R526+T526)/(K526+R526+T526+U526))</f>
        <v>0.250361794500724</v>
      </c>
      <c r="AA526" s="14" t="n">
        <f aca="false">IF(K526=0,0,X526/K526)</f>
        <v>0.330188679245283</v>
      </c>
      <c r="AB526" s="14" t="n">
        <f aca="false">Z526+AA526</f>
        <v>0.580550473746007</v>
      </c>
      <c r="AC526" s="14" t="n">
        <f aca="false">AA526-Y526</f>
        <v>0.133647798742138</v>
      </c>
      <c r="AD526" s="14" t="n">
        <f aca="false">IF(K526-S526-P526+U526=0,0,(M526-P526)/(K526-S526-P526+U526))</f>
        <v>0.224839400428266</v>
      </c>
      <c r="AE526" s="15" t="n">
        <f aca="false">IF(J526=0,0,R526/J526)</f>
        <v>0.0578871201157742</v>
      </c>
      <c r="AF526" s="15" t="n">
        <f aca="false">IF(J526=0,0,S526/J526)</f>
        <v>0.22575976845152</v>
      </c>
      <c r="AG526" s="11" t="n">
        <f aca="false">IF(J526&gt;=INDEX(球季參數!$E$2:$E$4,MATCH($A526,球季參數!$A$2:$A$4,0)),1,0)</f>
        <v>1</v>
      </c>
    </row>
    <row r="527" customFormat="false" ht="15" hidden="false" customHeight="false" outlineLevel="0" collapsed="false">
      <c r="A527" s="5" t="n">
        <v>2025</v>
      </c>
      <c r="B527" s="7" t="s">
        <v>1367</v>
      </c>
      <c r="C527" s="10" t="str">
        <f aca="false">INDEX(球員主檔!$B$2:$B$749,MATCH($B527,球員主檔!$A$2:$A$749,0))</f>
        <v>Lucien Marchetti</v>
      </c>
      <c r="D527" s="7" t="s">
        <v>434</v>
      </c>
      <c r="E527" s="10" t="str">
        <f aca="false">INDEX(球隊主檔!$C$2:$C$31,MATCH($D527,球隊主檔!$A$2:$A$31,0))</f>
        <v>密爾瓦基釀酒人</v>
      </c>
      <c r="F527" s="10" t="str">
        <f aca="false">INDEX(球隊主檔!$D$2:$D$31,MATCH($D527,球隊主檔!$A$2:$A$31,0))</f>
        <v>國聯</v>
      </c>
      <c r="G527" s="7" t="s">
        <v>483</v>
      </c>
      <c r="H527" s="11" t="n">
        <f aca="false">INT((DATE($A527,7,1)-INDEX(球員主檔!$G$2:$G$749,MATCH($B527,球員主檔!$A$2:$A$749,0)))/365.25)</f>
        <v>25</v>
      </c>
      <c r="I527" s="12" t="n">
        <v>136</v>
      </c>
      <c r="J527" s="12" t="n">
        <v>539</v>
      </c>
      <c r="K527" s="12" t="n">
        <v>465</v>
      </c>
      <c r="L527" s="12" t="n">
        <v>73</v>
      </c>
      <c r="M527" s="12" t="n">
        <v>149</v>
      </c>
      <c r="N527" s="12" t="n">
        <v>21</v>
      </c>
      <c r="O527" s="12" t="n">
        <v>0</v>
      </c>
      <c r="P527" s="12" t="n">
        <v>4</v>
      </c>
      <c r="Q527" s="12" t="n">
        <v>35</v>
      </c>
      <c r="R527" s="12" t="n">
        <v>63</v>
      </c>
      <c r="S527" s="12" t="n">
        <v>91</v>
      </c>
      <c r="T527" s="12" t="n">
        <v>5</v>
      </c>
      <c r="U527" s="12" t="n">
        <v>6</v>
      </c>
      <c r="V527" s="12" t="n">
        <v>4</v>
      </c>
      <c r="W527" s="12" t="n">
        <v>1</v>
      </c>
      <c r="X527" s="13" t="n">
        <f aca="false">M527+N527+2*O527+3*P527</f>
        <v>182</v>
      </c>
      <c r="Y527" s="14" t="n">
        <f aca="false">IF(K527=0,0,M527/K527)</f>
        <v>0.320430107526882</v>
      </c>
      <c r="Z527" s="14" t="n">
        <f aca="false">IF(K527+R527+T527+U527=0,0,(M527+R527+T527)/(K527+R527+T527+U527))</f>
        <v>0.402597402597403</v>
      </c>
      <c r="AA527" s="14" t="n">
        <f aca="false">IF(K527=0,0,X527/K527)</f>
        <v>0.391397849462366</v>
      </c>
      <c r="AB527" s="14" t="n">
        <f aca="false">Z527+AA527</f>
        <v>0.793995252059768</v>
      </c>
      <c r="AC527" s="14" t="n">
        <f aca="false">AA527-Y527</f>
        <v>0.0709677419354839</v>
      </c>
      <c r="AD527" s="14" t="n">
        <f aca="false">IF(K527-S527-P527+U527=0,0,(M527-P527)/(K527-S527-P527+U527))</f>
        <v>0.38563829787234</v>
      </c>
      <c r="AE527" s="15" t="n">
        <f aca="false">IF(J527=0,0,R527/J527)</f>
        <v>0.116883116883117</v>
      </c>
      <c r="AF527" s="15" t="n">
        <f aca="false">IF(J527=0,0,S527/J527)</f>
        <v>0.168831168831169</v>
      </c>
      <c r="AG527" s="11" t="n">
        <f aca="false">IF(J527&gt;=INDEX(球季參數!$E$2:$E$4,MATCH($A527,球季參數!$A$2:$A$4,0)),1,0)</f>
        <v>1</v>
      </c>
    </row>
    <row r="528" customFormat="false" ht="15" hidden="false" customHeight="false" outlineLevel="0" collapsed="false">
      <c r="A528" s="5" t="n">
        <v>2025</v>
      </c>
      <c r="B528" s="7" t="s">
        <v>1615</v>
      </c>
      <c r="C528" s="10" t="str">
        <f aca="false">INDEX(球員主檔!$B$2:$B$749,MATCH($B528,球員主檔!$A$2:$A$749,0))</f>
        <v>Tristan Thorsby</v>
      </c>
      <c r="D528" s="7" t="s">
        <v>434</v>
      </c>
      <c r="E528" s="10" t="str">
        <f aca="false">INDEX(球隊主檔!$C$2:$C$31,MATCH($D528,球隊主檔!$A$2:$A$31,0))</f>
        <v>密爾瓦基釀酒人</v>
      </c>
      <c r="F528" s="10" t="str">
        <f aca="false">INDEX(球隊主檔!$D$2:$D$31,MATCH($D528,球隊主檔!$A$2:$A$31,0))</f>
        <v>國聯</v>
      </c>
      <c r="G528" s="7" t="s">
        <v>158</v>
      </c>
      <c r="H528" s="11" t="n">
        <f aca="false">INT((DATE($A528,7,1)-INDEX(球員主檔!$G$2:$G$749,MATCH($B528,球員主檔!$A$2:$A$749,0)))/365.25)</f>
        <v>28</v>
      </c>
      <c r="I528" s="12" t="n">
        <v>89</v>
      </c>
      <c r="J528" s="12" t="n">
        <v>365</v>
      </c>
      <c r="K528" s="12" t="n">
        <v>336</v>
      </c>
      <c r="L528" s="12" t="n">
        <v>39</v>
      </c>
      <c r="M528" s="12" t="n">
        <v>86</v>
      </c>
      <c r="N528" s="12" t="n">
        <v>22</v>
      </c>
      <c r="O528" s="12" t="n">
        <v>3</v>
      </c>
      <c r="P528" s="12" t="n">
        <v>13</v>
      </c>
      <c r="Q528" s="12" t="n">
        <v>48</v>
      </c>
      <c r="R528" s="12" t="n">
        <v>22</v>
      </c>
      <c r="S528" s="12" t="n">
        <v>86</v>
      </c>
      <c r="T528" s="12" t="n">
        <v>7</v>
      </c>
      <c r="U528" s="12" t="n">
        <v>0</v>
      </c>
      <c r="V528" s="12" t="n">
        <v>4</v>
      </c>
      <c r="W528" s="12" t="n">
        <v>1</v>
      </c>
      <c r="X528" s="13" t="n">
        <f aca="false">M528+N528+2*O528+3*P528</f>
        <v>153</v>
      </c>
      <c r="Y528" s="14" t="n">
        <f aca="false">IF(K528=0,0,M528/K528)</f>
        <v>0.255952380952381</v>
      </c>
      <c r="Z528" s="14" t="n">
        <f aca="false">IF(K528+R528+T528+U528=0,0,(M528+R528+T528)/(K528+R528+T528+U528))</f>
        <v>0.315068493150685</v>
      </c>
      <c r="AA528" s="14" t="n">
        <f aca="false">IF(K528=0,0,X528/K528)</f>
        <v>0.455357142857143</v>
      </c>
      <c r="AB528" s="14" t="n">
        <f aca="false">Z528+AA528</f>
        <v>0.770425636007828</v>
      </c>
      <c r="AC528" s="14" t="n">
        <f aca="false">AA528-Y528</f>
        <v>0.199404761904762</v>
      </c>
      <c r="AD528" s="14" t="n">
        <f aca="false">IF(K528-S528-P528+U528=0,0,(M528-P528)/(K528-S528-P528+U528))</f>
        <v>0.308016877637131</v>
      </c>
      <c r="AE528" s="15" t="n">
        <f aca="false">IF(J528=0,0,R528/J528)</f>
        <v>0.0602739726027397</v>
      </c>
      <c r="AF528" s="15" t="n">
        <f aca="false">IF(J528=0,0,S528/J528)</f>
        <v>0.235616438356164</v>
      </c>
      <c r="AG528" s="11" t="n">
        <f aca="false">IF(J528&gt;=INDEX(球季參數!$E$2:$E$4,MATCH($A528,球季參數!$A$2:$A$4,0)),1,0)</f>
        <v>0</v>
      </c>
    </row>
    <row r="529" customFormat="false" ht="15" hidden="false" customHeight="false" outlineLevel="0" collapsed="false">
      <c r="A529" s="5" t="n">
        <v>2025</v>
      </c>
      <c r="B529" s="7" t="s">
        <v>1371</v>
      </c>
      <c r="C529" s="10" t="str">
        <f aca="false">INDEX(球員主檔!$B$2:$B$749,MATCH($B529,球員主檔!$A$2:$A$749,0))</f>
        <v>Thiago Jernigan</v>
      </c>
      <c r="D529" s="7" t="s">
        <v>434</v>
      </c>
      <c r="E529" s="10" t="str">
        <f aca="false">INDEX(球隊主檔!$C$2:$C$31,MATCH($D529,球隊主檔!$A$2:$A$31,0))</f>
        <v>密爾瓦基釀酒人</v>
      </c>
      <c r="F529" s="10" t="str">
        <f aca="false">INDEX(球隊主檔!$D$2:$D$31,MATCH($D529,球隊主檔!$A$2:$A$31,0))</f>
        <v>國聯</v>
      </c>
      <c r="G529" s="7" t="s">
        <v>63</v>
      </c>
      <c r="H529" s="11" t="n">
        <f aca="false">INT((DATE($A529,7,1)-INDEX(球員主檔!$G$2:$G$749,MATCH($B529,球員主檔!$A$2:$A$749,0)))/365.25)</f>
        <v>28</v>
      </c>
      <c r="I529" s="12" t="n">
        <v>105</v>
      </c>
      <c r="J529" s="12" t="n">
        <v>423</v>
      </c>
      <c r="K529" s="12" t="n">
        <v>375</v>
      </c>
      <c r="L529" s="12" t="n">
        <v>57</v>
      </c>
      <c r="M529" s="12" t="n">
        <v>111</v>
      </c>
      <c r="N529" s="12" t="n">
        <v>31</v>
      </c>
      <c r="O529" s="12" t="n">
        <v>1</v>
      </c>
      <c r="P529" s="12" t="n">
        <v>10</v>
      </c>
      <c r="Q529" s="12" t="n">
        <v>48</v>
      </c>
      <c r="R529" s="12" t="n">
        <v>42</v>
      </c>
      <c r="S529" s="12" t="n">
        <v>133</v>
      </c>
      <c r="T529" s="12" t="n">
        <v>4</v>
      </c>
      <c r="U529" s="12" t="n">
        <v>2</v>
      </c>
      <c r="V529" s="12" t="n">
        <v>12</v>
      </c>
      <c r="W529" s="12" t="n">
        <v>1</v>
      </c>
      <c r="X529" s="13" t="n">
        <f aca="false">M529+N529+2*O529+3*P529</f>
        <v>174</v>
      </c>
      <c r="Y529" s="14" t="n">
        <f aca="false">IF(K529=0,0,M529/K529)</f>
        <v>0.296</v>
      </c>
      <c r="Z529" s="14" t="n">
        <f aca="false">IF(K529+R529+T529+U529=0,0,(M529+R529+T529)/(K529+R529+T529+U529))</f>
        <v>0.371158392434988</v>
      </c>
      <c r="AA529" s="14" t="n">
        <f aca="false">IF(K529=0,0,X529/K529)</f>
        <v>0.464</v>
      </c>
      <c r="AB529" s="14" t="n">
        <f aca="false">Z529+AA529</f>
        <v>0.835158392434988</v>
      </c>
      <c r="AC529" s="14" t="n">
        <f aca="false">AA529-Y529</f>
        <v>0.168</v>
      </c>
      <c r="AD529" s="14" t="n">
        <f aca="false">IF(K529-S529-P529+U529=0,0,(M529-P529)/(K529-S529-P529+U529))</f>
        <v>0.431623931623932</v>
      </c>
      <c r="AE529" s="15" t="n">
        <f aca="false">IF(J529=0,0,R529/J529)</f>
        <v>0.099290780141844</v>
      </c>
      <c r="AF529" s="15" t="n">
        <f aca="false">IF(J529=0,0,S529/J529)</f>
        <v>0.314420803782506</v>
      </c>
      <c r="AG529" s="11" t="n">
        <f aca="false">IF(J529&gt;=INDEX(球季參數!$E$2:$E$4,MATCH($A529,球季參數!$A$2:$A$4,0)),1,0)</f>
        <v>0</v>
      </c>
    </row>
    <row r="530" customFormat="false" ht="15" hidden="false" customHeight="false" outlineLevel="0" collapsed="false">
      <c r="A530" s="5" t="n">
        <v>2025</v>
      </c>
      <c r="B530" s="7" t="s">
        <v>1373</v>
      </c>
      <c r="C530" s="10" t="str">
        <f aca="false">INDEX(球員主檔!$B$2:$B$749,MATCH($B530,球員主檔!$A$2:$A$749,0))</f>
        <v>Thaddeus Villalobos</v>
      </c>
      <c r="D530" s="7" t="s">
        <v>434</v>
      </c>
      <c r="E530" s="10" t="str">
        <f aca="false">INDEX(球隊主檔!$C$2:$C$31,MATCH($D530,球隊主檔!$A$2:$A$31,0))</f>
        <v>密爾瓦基釀酒人</v>
      </c>
      <c r="F530" s="10" t="str">
        <f aca="false">INDEX(球隊主檔!$D$2:$D$31,MATCH($D530,球隊主檔!$A$2:$A$31,0))</f>
        <v>國聯</v>
      </c>
      <c r="G530" s="7" t="s">
        <v>470</v>
      </c>
      <c r="H530" s="11" t="n">
        <f aca="false">INT((DATE($A530,7,1)-INDEX(球員主檔!$G$2:$G$749,MATCH($B530,球員主檔!$A$2:$A$749,0)))/365.25)</f>
        <v>29</v>
      </c>
      <c r="I530" s="12" t="n">
        <v>77</v>
      </c>
      <c r="J530" s="12" t="n">
        <v>300</v>
      </c>
      <c r="K530" s="12" t="n">
        <v>261</v>
      </c>
      <c r="L530" s="12" t="n">
        <v>37</v>
      </c>
      <c r="M530" s="12" t="n">
        <v>72</v>
      </c>
      <c r="N530" s="12" t="n">
        <v>14</v>
      </c>
      <c r="O530" s="12" t="n">
        <v>7</v>
      </c>
      <c r="P530" s="12" t="n">
        <v>7</v>
      </c>
      <c r="Q530" s="12" t="n">
        <v>30</v>
      </c>
      <c r="R530" s="12" t="n">
        <v>32</v>
      </c>
      <c r="S530" s="12" t="n">
        <v>68</v>
      </c>
      <c r="T530" s="12" t="n">
        <v>4</v>
      </c>
      <c r="U530" s="12" t="n">
        <v>3</v>
      </c>
      <c r="V530" s="12" t="n">
        <v>10</v>
      </c>
      <c r="W530" s="12" t="n">
        <v>3</v>
      </c>
      <c r="X530" s="13" t="n">
        <f aca="false">M530+N530+2*O530+3*P530</f>
        <v>121</v>
      </c>
      <c r="Y530" s="14" t="n">
        <f aca="false">IF(K530=0,0,M530/K530)</f>
        <v>0.275862068965517</v>
      </c>
      <c r="Z530" s="14" t="n">
        <f aca="false">IF(K530+R530+T530+U530=0,0,(M530+R530+T530)/(K530+R530+T530+U530))</f>
        <v>0.36</v>
      </c>
      <c r="AA530" s="14" t="n">
        <f aca="false">IF(K530=0,0,X530/K530)</f>
        <v>0.46360153256705</v>
      </c>
      <c r="AB530" s="14" t="n">
        <f aca="false">Z530+AA530</f>
        <v>0.82360153256705</v>
      </c>
      <c r="AC530" s="14" t="n">
        <f aca="false">AA530-Y530</f>
        <v>0.187739463601533</v>
      </c>
      <c r="AD530" s="14" t="n">
        <f aca="false">IF(K530-S530-P530+U530=0,0,(M530-P530)/(K530-S530-P530+U530))</f>
        <v>0.343915343915344</v>
      </c>
      <c r="AE530" s="15" t="n">
        <f aca="false">IF(J530=0,0,R530/J530)</f>
        <v>0.106666666666667</v>
      </c>
      <c r="AF530" s="15" t="n">
        <f aca="false">IF(J530=0,0,S530/J530)</f>
        <v>0.226666666666667</v>
      </c>
      <c r="AG530" s="11" t="n">
        <f aca="false">IF(J530&gt;=INDEX(球季參數!$E$2:$E$4,MATCH($A530,球季參數!$A$2:$A$4,0)),1,0)</f>
        <v>0</v>
      </c>
    </row>
    <row r="531" customFormat="false" ht="15" hidden="false" customHeight="false" outlineLevel="0" collapsed="false">
      <c r="A531" s="5" t="n">
        <v>2025</v>
      </c>
      <c r="B531" s="7" t="s">
        <v>967</v>
      </c>
      <c r="C531" s="10" t="str">
        <f aca="false">INDEX(球員主檔!$B$2:$B$749,MATCH($B531,球員主檔!$A$2:$A$749,0))</f>
        <v>Niklas Marchetti</v>
      </c>
      <c r="D531" s="7" t="s">
        <v>434</v>
      </c>
      <c r="E531" s="10" t="str">
        <f aca="false">INDEX(球隊主檔!$C$2:$C$31,MATCH($D531,球隊主檔!$A$2:$A$31,0))</f>
        <v>密爾瓦基釀酒人</v>
      </c>
      <c r="F531" s="10" t="str">
        <f aca="false">INDEX(球隊主檔!$D$2:$D$31,MATCH($D531,球隊主檔!$A$2:$A$31,0))</f>
        <v>國聯</v>
      </c>
      <c r="G531" s="7" t="s">
        <v>473</v>
      </c>
      <c r="H531" s="11" t="n">
        <f aca="false">INT((DATE($A531,7,1)-INDEX(球員主檔!$G$2:$G$749,MATCH($B531,球員主檔!$A$2:$A$749,0)))/365.25)</f>
        <v>26</v>
      </c>
      <c r="I531" s="12" t="n">
        <v>77</v>
      </c>
      <c r="J531" s="12" t="n">
        <v>302</v>
      </c>
      <c r="K531" s="12" t="n">
        <v>267</v>
      </c>
      <c r="L531" s="12" t="n">
        <v>40</v>
      </c>
      <c r="M531" s="12" t="n">
        <v>75</v>
      </c>
      <c r="N531" s="12" t="n">
        <v>17</v>
      </c>
      <c r="O531" s="12" t="n">
        <v>12</v>
      </c>
      <c r="P531" s="12" t="n">
        <v>17</v>
      </c>
      <c r="Q531" s="12" t="n">
        <v>55</v>
      </c>
      <c r="R531" s="12" t="n">
        <v>27</v>
      </c>
      <c r="S531" s="12" t="n">
        <v>46</v>
      </c>
      <c r="T531" s="12" t="n">
        <v>4</v>
      </c>
      <c r="U531" s="12" t="n">
        <v>4</v>
      </c>
      <c r="V531" s="12" t="n">
        <v>18</v>
      </c>
      <c r="W531" s="12" t="n">
        <v>4</v>
      </c>
      <c r="X531" s="13" t="n">
        <f aca="false">M531+N531+2*O531+3*P531</f>
        <v>167</v>
      </c>
      <c r="Y531" s="14" t="n">
        <f aca="false">IF(K531=0,0,M531/K531)</f>
        <v>0.280898876404494</v>
      </c>
      <c r="Z531" s="14" t="n">
        <f aca="false">IF(K531+R531+T531+U531=0,0,(M531+R531+T531)/(K531+R531+T531+U531))</f>
        <v>0.350993377483444</v>
      </c>
      <c r="AA531" s="14" t="n">
        <f aca="false">IF(K531=0,0,X531/K531)</f>
        <v>0.625468164794008</v>
      </c>
      <c r="AB531" s="14" t="n">
        <f aca="false">Z531+AA531</f>
        <v>0.976461542277451</v>
      </c>
      <c r="AC531" s="14" t="n">
        <f aca="false">AA531-Y531</f>
        <v>0.344569288389513</v>
      </c>
      <c r="AD531" s="14" t="n">
        <f aca="false">IF(K531-S531-P531+U531=0,0,(M531-P531)/(K531-S531-P531+U531))</f>
        <v>0.278846153846154</v>
      </c>
      <c r="AE531" s="15" t="n">
        <f aca="false">IF(J531=0,0,R531/J531)</f>
        <v>0.0894039735099338</v>
      </c>
      <c r="AF531" s="15" t="n">
        <f aca="false">IF(J531=0,0,S531/J531)</f>
        <v>0.152317880794702</v>
      </c>
      <c r="AG531" s="11" t="n">
        <f aca="false">IF(J531&gt;=INDEX(球季參數!$E$2:$E$4,MATCH($A531,球季參數!$A$2:$A$4,0)),1,0)</f>
        <v>0</v>
      </c>
    </row>
    <row r="532" customFormat="false" ht="15" hidden="false" customHeight="false" outlineLevel="0" collapsed="false">
      <c r="A532" s="5" t="n">
        <v>2025</v>
      </c>
      <c r="B532" s="7" t="s">
        <v>1397</v>
      </c>
      <c r="C532" s="10" t="str">
        <f aca="false">INDEX(球員主檔!$B$2:$B$749,MATCH($B532,球員主檔!$A$2:$A$749,0))</f>
        <v>Konrad Yamazaki</v>
      </c>
      <c r="D532" s="7" t="s">
        <v>438</v>
      </c>
      <c r="E532" s="10" t="str">
        <f aca="false">INDEX(球隊主檔!$C$2:$C$31,MATCH($D532,球隊主檔!$A$2:$A$31,0))</f>
        <v>匹茲堡海盜</v>
      </c>
      <c r="F532" s="10" t="str">
        <f aca="false">INDEX(球隊主檔!$D$2:$D$31,MATCH($D532,球隊主檔!$A$2:$A$31,0))</f>
        <v>國聯</v>
      </c>
      <c r="G532" s="7" t="s">
        <v>470</v>
      </c>
      <c r="H532" s="11" t="n">
        <f aca="false">INT((DATE($A532,7,1)-INDEX(球員主檔!$G$2:$G$749,MATCH($B532,球員主檔!$A$2:$A$749,0)))/365.25)</f>
        <v>30</v>
      </c>
      <c r="I532" s="12" t="n">
        <v>149</v>
      </c>
      <c r="J532" s="12" t="n">
        <v>641</v>
      </c>
      <c r="K532" s="12" t="n">
        <v>602</v>
      </c>
      <c r="L532" s="12" t="n">
        <v>76</v>
      </c>
      <c r="M532" s="12" t="n">
        <v>141</v>
      </c>
      <c r="N532" s="12" t="n">
        <v>34</v>
      </c>
      <c r="O532" s="12" t="n">
        <v>2</v>
      </c>
      <c r="P532" s="12" t="n">
        <v>14</v>
      </c>
      <c r="Q532" s="12" t="n">
        <v>72</v>
      </c>
      <c r="R532" s="12" t="n">
        <v>33</v>
      </c>
      <c r="S532" s="12" t="n">
        <v>139</v>
      </c>
      <c r="T532" s="12" t="n">
        <v>1</v>
      </c>
      <c r="U532" s="12" t="n">
        <v>5</v>
      </c>
      <c r="V532" s="12" t="n">
        <v>16</v>
      </c>
      <c r="W532" s="12" t="n">
        <v>4</v>
      </c>
      <c r="X532" s="13" t="n">
        <f aca="false">M532+N532+2*O532+3*P532</f>
        <v>221</v>
      </c>
      <c r="Y532" s="14" t="n">
        <f aca="false">IF(K532=0,0,M532/K532)</f>
        <v>0.23421926910299</v>
      </c>
      <c r="Z532" s="14" t="n">
        <f aca="false">IF(K532+R532+T532+U532=0,0,(M532+R532+T532)/(K532+R532+T532+U532))</f>
        <v>0.273010920436817</v>
      </c>
      <c r="AA532" s="14" t="n">
        <f aca="false">IF(K532=0,0,X532/K532)</f>
        <v>0.367109634551495</v>
      </c>
      <c r="AB532" s="14" t="n">
        <f aca="false">Z532+AA532</f>
        <v>0.640120554988312</v>
      </c>
      <c r="AC532" s="14" t="n">
        <f aca="false">AA532-Y532</f>
        <v>0.132890365448505</v>
      </c>
      <c r="AD532" s="14" t="n">
        <f aca="false">IF(K532-S532-P532+U532=0,0,(M532-P532)/(K532-S532-P532+U532))</f>
        <v>0.279735682819383</v>
      </c>
      <c r="AE532" s="15" t="n">
        <f aca="false">IF(J532=0,0,R532/J532)</f>
        <v>0.0514820592823713</v>
      </c>
      <c r="AF532" s="15" t="n">
        <f aca="false">IF(J532=0,0,S532/J532)</f>
        <v>0.216848673946958</v>
      </c>
      <c r="AG532" s="11" t="n">
        <f aca="false">IF(J532&gt;=INDEX(球季參數!$E$2:$E$4,MATCH($A532,球季參數!$A$2:$A$4,0)),1,0)</f>
        <v>1</v>
      </c>
    </row>
    <row r="533" customFormat="false" ht="15" hidden="false" customHeight="false" outlineLevel="0" collapsed="false">
      <c r="A533" s="5" t="n">
        <v>2025</v>
      </c>
      <c r="B533" s="7" t="s">
        <v>1399</v>
      </c>
      <c r="C533" s="10" t="str">
        <f aca="false">INDEX(球員主檔!$B$2:$B$749,MATCH($B533,球員主檔!$A$2:$A$749,0))</f>
        <v>Augustin Underhill</v>
      </c>
      <c r="D533" s="7" t="s">
        <v>438</v>
      </c>
      <c r="E533" s="10" t="str">
        <f aca="false">INDEX(球隊主檔!$C$2:$C$31,MATCH($D533,球隊主檔!$A$2:$A$31,0))</f>
        <v>匹茲堡海盜</v>
      </c>
      <c r="F533" s="10" t="str">
        <f aca="false">INDEX(球隊主檔!$D$2:$D$31,MATCH($D533,球隊主檔!$A$2:$A$31,0))</f>
        <v>國聯</v>
      </c>
      <c r="G533" s="7" t="s">
        <v>158</v>
      </c>
      <c r="H533" s="11" t="n">
        <f aca="false">INT((DATE($A533,7,1)-INDEX(球員主檔!$G$2:$G$749,MATCH($B533,球員主檔!$A$2:$A$749,0)))/365.25)</f>
        <v>28</v>
      </c>
      <c r="I533" s="12" t="n">
        <v>139</v>
      </c>
      <c r="J533" s="12" t="n">
        <v>594</v>
      </c>
      <c r="K533" s="12" t="n">
        <v>516</v>
      </c>
      <c r="L533" s="12" t="n">
        <v>57</v>
      </c>
      <c r="M533" s="12" t="n">
        <v>85</v>
      </c>
      <c r="N533" s="12" t="n">
        <v>34</v>
      </c>
      <c r="O533" s="12" t="n">
        <v>2</v>
      </c>
      <c r="P533" s="12" t="n">
        <v>15</v>
      </c>
      <c r="Q533" s="12" t="n">
        <v>45</v>
      </c>
      <c r="R533" s="12" t="n">
        <v>67</v>
      </c>
      <c r="S533" s="12" t="n">
        <v>125</v>
      </c>
      <c r="T533" s="12" t="n">
        <v>8</v>
      </c>
      <c r="U533" s="12" t="n">
        <v>3</v>
      </c>
      <c r="V533" s="12" t="n">
        <v>23</v>
      </c>
      <c r="W533" s="12" t="n">
        <v>4</v>
      </c>
      <c r="X533" s="13" t="n">
        <f aca="false">M533+N533+2*O533+3*P533</f>
        <v>168</v>
      </c>
      <c r="Y533" s="14" t="n">
        <f aca="false">IF(K533=0,0,M533/K533)</f>
        <v>0.164728682170543</v>
      </c>
      <c r="Z533" s="14" t="n">
        <f aca="false">IF(K533+R533+T533+U533=0,0,(M533+R533+T533)/(K533+R533+T533+U533))</f>
        <v>0.269360269360269</v>
      </c>
      <c r="AA533" s="14" t="n">
        <f aca="false">IF(K533=0,0,X533/K533)</f>
        <v>0.325581395348837</v>
      </c>
      <c r="AB533" s="14" t="n">
        <f aca="false">Z533+AA533</f>
        <v>0.594941664709107</v>
      </c>
      <c r="AC533" s="14" t="n">
        <f aca="false">AA533-Y533</f>
        <v>0.160852713178295</v>
      </c>
      <c r="AD533" s="14" t="n">
        <f aca="false">IF(K533-S533-P533+U533=0,0,(M533-P533)/(K533-S533-P533+U533))</f>
        <v>0.184696569920844</v>
      </c>
      <c r="AE533" s="15" t="n">
        <f aca="false">IF(J533=0,0,R533/J533)</f>
        <v>0.112794612794613</v>
      </c>
      <c r="AF533" s="15" t="n">
        <f aca="false">IF(J533=0,0,S533/J533)</f>
        <v>0.21043771043771</v>
      </c>
      <c r="AG533" s="11" t="n">
        <f aca="false">IF(J533&gt;=INDEX(球季參數!$E$2:$E$4,MATCH($A533,球季參數!$A$2:$A$4,0)),1,0)</f>
        <v>1</v>
      </c>
    </row>
    <row r="534" customFormat="false" ht="15" hidden="false" customHeight="false" outlineLevel="0" collapsed="false">
      <c r="A534" s="5" t="n">
        <v>2025</v>
      </c>
      <c r="B534" s="7" t="s">
        <v>1401</v>
      </c>
      <c r="C534" s="10" t="str">
        <f aca="false">INDEX(球員主檔!$B$2:$B$749,MATCH($B534,球員主檔!$A$2:$A$749,0))</f>
        <v>Desmond Nordstrom</v>
      </c>
      <c r="D534" s="7" t="s">
        <v>438</v>
      </c>
      <c r="E534" s="10" t="str">
        <f aca="false">INDEX(球隊主檔!$C$2:$C$31,MATCH($D534,球隊主檔!$A$2:$A$31,0))</f>
        <v>匹茲堡海盜</v>
      </c>
      <c r="F534" s="10" t="str">
        <f aca="false">INDEX(球隊主檔!$D$2:$D$31,MATCH($D534,球隊主檔!$A$2:$A$31,0))</f>
        <v>國聯</v>
      </c>
      <c r="G534" s="7" t="s">
        <v>158</v>
      </c>
      <c r="H534" s="11" t="n">
        <f aca="false">INT((DATE($A534,7,1)-INDEX(球員主檔!$G$2:$G$749,MATCH($B534,球員主檔!$A$2:$A$749,0)))/365.25)</f>
        <v>27</v>
      </c>
      <c r="I534" s="12" t="n">
        <v>132</v>
      </c>
      <c r="J534" s="12" t="n">
        <v>587</v>
      </c>
      <c r="K534" s="12" t="n">
        <v>516</v>
      </c>
      <c r="L534" s="12" t="n">
        <v>85</v>
      </c>
      <c r="M534" s="12" t="n">
        <v>132</v>
      </c>
      <c r="N534" s="12" t="n">
        <v>19</v>
      </c>
      <c r="O534" s="12" t="n">
        <v>9</v>
      </c>
      <c r="P534" s="12" t="n">
        <v>31</v>
      </c>
      <c r="Q534" s="12" t="n">
        <v>85</v>
      </c>
      <c r="R534" s="12" t="n">
        <v>57</v>
      </c>
      <c r="S534" s="12" t="n">
        <v>119</v>
      </c>
      <c r="T534" s="12" t="n">
        <v>8</v>
      </c>
      <c r="U534" s="12" t="n">
        <v>6</v>
      </c>
      <c r="V534" s="12" t="n">
        <v>22</v>
      </c>
      <c r="W534" s="12" t="n">
        <v>7</v>
      </c>
      <c r="X534" s="13" t="n">
        <f aca="false">M534+N534+2*O534+3*P534</f>
        <v>262</v>
      </c>
      <c r="Y534" s="14" t="n">
        <f aca="false">IF(K534=0,0,M534/K534)</f>
        <v>0.255813953488372</v>
      </c>
      <c r="Z534" s="14" t="n">
        <f aca="false">IF(K534+R534+T534+U534=0,0,(M534+R534+T534)/(K534+R534+T534+U534))</f>
        <v>0.335604770017036</v>
      </c>
      <c r="AA534" s="14" t="n">
        <f aca="false">IF(K534=0,0,X534/K534)</f>
        <v>0.507751937984496</v>
      </c>
      <c r="AB534" s="14" t="n">
        <f aca="false">Z534+AA534</f>
        <v>0.843356708001532</v>
      </c>
      <c r="AC534" s="14" t="n">
        <f aca="false">AA534-Y534</f>
        <v>0.251937984496124</v>
      </c>
      <c r="AD534" s="14" t="n">
        <f aca="false">IF(K534-S534-P534+U534=0,0,(M534-P534)/(K534-S534-P534+U534))</f>
        <v>0.271505376344086</v>
      </c>
      <c r="AE534" s="15" t="n">
        <f aca="false">IF(J534=0,0,R534/J534)</f>
        <v>0.0971039182282794</v>
      </c>
      <c r="AF534" s="15" t="n">
        <f aca="false">IF(J534=0,0,S534/J534)</f>
        <v>0.202725724020443</v>
      </c>
      <c r="AG534" s="11" t="n">
        <f aca="false">IF(J534&gt;=INDEX(球季參數!$E$2:$E$4,MATCH($A534,球季參數!$A$2:$A$4,0)),1,0)</f>
        <v>1</v>
      </c>
    </row>
    <row r="535" customFormat="false" ht="15" hidden="false" customHeight="false" outlineLevel="0" collapsed="false">
      <c r="A535" s="5" t="n">
        <v>2025</v>
      </c>
      <c r="B535" s="7" t="s">
        <v>1403</v>
      </c>
      <c r="C535" s="10" t="str">
        <f aca="false">INDEX(球員主檔!$B$2:$B$749,MATCH($B535,球員主檔!$A$2:$A$749,0))</f>
        <v>Rhett Vasquez</v>
      </c>
      <c r="D535" s="7" t="s">
        <v>438</v>
      </c>
      <c r="E535" s="10" t="str">
        <f aca="false">INDEX(球隊主檔!$C$2:$C$31,MATCH($D535,球隊主檔!$A$2:$A$31,0))</f>
        <v>匹茲堡海盜</v>
      </c>
      <c r="F535" s="10" t="str">
        <f aca="false">INDEX(球隊主檔!$D$2:$D$31,MATCH($D535,球隊主檔!$A$2:$A$31,0))</f>
        <v>國聯</v>
      </c>
      <c r="G535" s="7" t="s">
        <v>158</v>
      </c>
      <c r="H535" s="11" t="n">
        <f aca="false">INT((DATE($A535,7,1)-INDEX(球員主檔!$G$2:$G$749,MATCH($B535,球員主檔!$A$2:$A$749,0)))/365.25)</f>
        <v>26</v>
      </c>
      <c r="I535" s="12" t="n">
        <v>141</v>
      </c>
      <c r="J535" s="12" t="n">
        <v>604</v>
      </c>
      <c r="K535" s="12" t="n">
        <v>533</v>
      </c>
      <c r="L535" s="12" t="n">
        <v>68</v>
      </c>
      <c r="M535" s="12" t="n">
        <v>156</v>
      </c>
      <c r="N535" s="12" t="n">
        <v>17</v>
      </c>
      <c r="O535" s="12" t="n">
        <v>3</v>
      </c>
      <c r="P535" s="12" t="n">
        <v>14</v>
      </c>
      <c r="Q535" s="12" t="n">
        <v>64</v>
      </c>
      <c r="R535" s="12" t="n">
        <v>65</v>
      </c>
      <c r="S535" s="12" t="n">
        <v>154</v>
      </c>
      <c r="T535" s="12" t="n">
        <v>4</v>
      </c>
      <c r="U535" s="12" t="n">
        <v>2</v>
      </c>
      <c r="V535" s="12" t="n">
        <v>23</v>
      </c>
      <c r="W535" s="12" t="n">
        <v>7</v>
      </c>
      <c r="X535" s="13" t="n">
        <f aca="false">M535+N535+2*O535+3*P535</f>
        <v>221</v>
      </c>
      <c r="Y535" s="14" t="n">
        <f aca="false">IF(K535=0,0,M535/K535)</f>
        <v>0.292682926829268</v>
      </c>
      <c r="Z535" s="14" t="n">
        <f aca="false">IF(K535+R535+T535+U535=0,0,(M535+R535+T535)/(K535+R535+T535+U535))</f>
        <v>0.372516556291391</v>
      </c>
      <c r="AA535" s="14" t="n">
        <f aca="false">IF(K535=0,0,X535/K535)</f>
        <v>0.414634146341463</v>
      </c>
      <c r="AB535" s="14" t="n">
        <f aca="false">Z535+AA535</f>
        <v>0.787150702632854</v>
      </c>
      <c r="AC535" s="14" t="n">
        <f aca="false">AA535-Y535</f>
        <v>0.121951219512195</v>
      </c>
      <c r="AD535" s="14" t="n">
        <f aca="false">IF(K535-S535-P535+U535=0,0,(M535-P535)/(K535-S535-P535+U535))</f>
        <v>0.386920980926431</v>
      </c>
      <c r="AE535" s="15" t="n">
        <f aca="false">IF(J535=0,0,R535/J535)</f>
        <v>0.107615894039735</v>
      </c>
      <c r="AF535" s="15" t="n">
        <f aca="false">IF(J535=0,0,S535/J535)</f>
        <v>0.254966887417219</v>
      </c>
      <c r="AG535" s="11" t="n">
        <f aca="false">IF(J535&gt;=INDEX(球季參數!$E$2:$E$4,MATCH($A535,球季參數!$A$2:$A$4,0)),1,0)</f>
        <v>1</v>
      </c>
    </row>
    <row r="536" customFormat="false" ht="15" hidden="false" customHeight="false" outlineLevel="0" collapsed="false">
      <c r="A536" s="5" t="n">
        <v>2025</v>
      </c>
      <c r="B536" s="7" t="s">
        <v>1405</v>
      </c>
      <c r="C536" s="10" t="str">
        <f aca="false">INDEX(球員主檔!$B$2:$B$749,MATCH($B536,球員主檔!$A$2:$A$749,0))</f>
        <v>Emilio Ulloa</v>
      </c>
      <c r="D536" s="7" t="s">
        <v>438</v>
      </c>
      <c r="E536" s="10" t="str">
        <f aca="false">INDEX(球隊主檔!$C$2:$C$31,MATCH($D536,球隊主檔!$A$2:$A$31,0))</f>
        <v>匹茲堡海盜</v>
      </c>
      <c r="F536" s="10" t="str">
        <f aca="false">INDEX(球隊主檔!$D$2:$D$31,MATCH($D536,球隊主檔!$A$2:$A$31,0))</f>
        <v>國聯</v>
      </c>
      <c r="G536" s="7" t="s">
        <v>486</v>
      </c>
      <c r="H536" s="11" t="n">
        <f aca="false">INT((DATE($A536,7,1)-INDEX(球員主檔!$G$2:$G$749,MATCH($B536,球員主檔!$A$2:$A$749,0)))/365.25)</f>
        <v>27</v>
      </c>
      <c r="I536" s="12" t="n">
        <v>159</v>
      </c>
      <c r="J536" s="12" t="n">
        <v>621</v>
      </c>
      <c r="K536" s="12" t="n">
        <v>569</v>
      </c>
      <c r="L536" s="12" t="n">
        <v>87</v>
      </c>
      <c r="M536" s="12" t="n">
        <v>139</v>
      </c>
      <c r="N536" s="12" t="n">
        <v>29</v>
      </c>
      <c r="O536" s="12" t="n">
        <v>7</v>
      </c>
      <c r="P536" s="12" t="n">
        <v>36</v>
      </c>
      <c r="Q536" s="12" t="n">
        <v>107</v>
      </c>
      <c r="R536" s="12" t="n">
        <v>46</v>
      </c>
      <c r="S536" s="12" t="n">
        <v>169</v>
      </c>
      <c r="T536" s="12" t="n">
        <v>4</v>
      </c>
      <c r="U536" s="12" t="n">
        <v>2</v>
      </c>
      <c r="V536" s="12" t="n">
        <v>42</v>
      </c>
      <c r="W536" s="12" t="n">
        <v>12</v>
      </c>
      <c r="X536" s="13" t="n">
        <f aca="false">M536+N536+2*O536+3*P536</f>
        <v>290</v>
      </c>
      <c r="Y536" s="14" t="n">
        <f aca="false">IF(K536=0,0,M536/K536)</f>
        <v>0.244288224956063</v>
      </c>
      <c r="Z536" s="14" t="n">
        <f aca="false">IF(K536+R536+T536+U536=0,0,(M536+R536+T536)/(K536+R536+T536+U536))</f>
        <v>0.304347826086957</v>
      </c>
      <c r="AA536" s="14" t="n">
        <f aca="false">IF(K536=0,0,X536/K536)</f>
        <v>0.509666080843585</v>
      </c>
      <c r="AB536" s="14" t="n">
        <f aca="false">Z536+AA536</f>
        <v>0.814013906930542</v>
      </c>
      <c r="AC536" s="14" t="n">
        <f aca="false">AA536-Y536</f>
        <v>0.265377855887522</v>
      </c>
      <c r="AD536" s="14" t="n">
        <f aca="false">IF(K536-S536-P536+U536=0,0,(M536-P536)/(K536-S536-P536+U536))</f>
        <v>0.281420765027322</v>
      </c>
      <c r="AE536" s="15" t="n">
        <f aca="false">IF(J536=0,0,R536/J536)</f>
        <v>0.0740740740740741</v>
      </c>
      <c r="AF536" s="15" t="n">
        <f aca="false">IF(J536=0,0,S536/J536)</f>
        <v>0.272141706924316</v>
      </c>
      <c r="AG536" s="11" t="n">
        <f aca="false">IF(J536&gt;=INDEX(球季參數!$E$2:$E$4,MATCH($A536,球季參數!$A$2:$A$4,0)),1,0)</f>
        <v>1</v>
      </c>
    </row>
    <row r="537" customFormat="false" ht="15" hidden="false" customHeight="false" outlineLevel="0" collapsed="false">
      <c r="A537" s="5" t="n">
        <v>2025</v>
      </c>
      <c r="B537" s="7" t="s">
        <v>1407</v>
      </c>
      <c r="C537" s="10" t="str">
        <f aca="false">INDEX(球員主檔!$B$2:$B$749,MATCH($B537,球員主檔!$A$2:$A$749,0))</f>
        <v>Zane Wainwright</v>
      </c>
      <c r="D537" s="7" t="s">
        <v>438</v>
      </c>
      <c r="E537" s="10" t="str">
        <f aca="false">INDEX(球隊主檔!$C$2:$C$31,MATCH($D537,球隊主檔!$A$2:$A$31,0))</f>
        <v>匹茲堡海盜</v>
      </c>
      <c r="F537" s="10" t="str">
        <f aca="false">INDEX(球隊主檔!$D$2:$D$31,MATCH($D537,球隊主檔!$A$2:$A$31,0))</f>
        <v>國聯</v>
      </c>
      <c r="G537" s="7" t="s">
        <v>162</v>
      </c>
      <c r="H537" s="11" t="n">
        <f aca="false">INT((DATE($A537,7,1)-INDEX(球員主檔!$G$2:$G$749,MATCH($B537,球員主檔!$A$2:$A$749,0)))/365.25)</f>
        <v>25</v>
      </c>
      <c r="I537" s="12" t="n">
        <v>99</v>
      </c>
      <c r="J537" s="12" t="n">
        <v>412</v>
      </c>
      <c r="K537" s="12" t="n">
        <v>375</v>
      </c>
      <c r="L537" s="12" t="n">
        <v>50</v>
      </c>
      <c r="M537" s="12" t="n">
        <v>92</v>
      </c>
      <c r="N537" s="12" t="n">
        <v>20</v>
      </c>
      <c r="O537" s="12" t="n">
        <v>2</v>
      </c>
      <c r="P537" s="12" t="n">
        <v>25</v>
      </c>
      <c r="Q537" s="12" t="n">
        <v>76</v>
      </c>
      <c r="R537" s="12" t="n">
        <v>26</v>
      </c>
      <c r="S537" s="12" t="n">
        <v>91</v>
      </c>
      <c r="T537" s="12" t="n">
        <v>8</v>
      </c>
      <c r="U537" s="12" t="n">
        <v>3</v>
      </c>
      <c r="V537" s="12" t="n">
        <v>16</v>
      </c>
      <c r="W537" s="12" t="n">
        <v>3</v>
      </c>
      <c r="X537" s="13" t="n">
        <f aca="false">M537+N537+2*O537+3*P537</f>
        <v>191</v>
      </c>
      <c r="Y537" s="14" t="n">
        <f aca="false">IF(K537=0,0,M537/K537)</f>
        <v>0.245333333333333</v>
      </c>
      <c r="Z537" s="14" t="n">
        <f aca="false">IF(K537+R537+T537+U537=0,0,(M537+R537+T537)/(K537+R537+T537+U537))</f>
        <v>0.305825242718447</v>
      </c>
      <c r="AA537" s="14" t="n">
        <f aca="false">IF(K537=0,0,X537/K537)</f>
        <v>0.509333333333333</v>
      </c>
      <c r="AB537" s="14" t="n">
        <f aca="false">Z537+AA537</f>
        <v>0.81515857605178</v>
      </c>
      <c r="AC537" s="14" t="n">
        <f aca="false">AA537-Y537</f>
        <v>0.264</v>
      </c>
      <c r="AD537" s="14" t="n">
        <f aca="false">IF(K537-S537-P537+U537=0,0,(M537-P537)/(K537-S537-P537+U537))</f>
        <v>0.255725190839695</v>
      </c>
      <c r="AE537" s="15" t="n">
        <f aca="false">IF(J537=0,0,R537/J537)</f>
        <v>0.0631067961165049</v>
      </c>
      <c r="AF537" s="15" t="n">
        <f aca="false">IF(J537=0,0,S537/J537)</f>
        <v>0.220873786407767</v>
      </c>
      <c r="AG537" s="11" t="n">
        <f aca="false">IF(J537&gt;=INDEX(球季參數!$E$2:$E$4,MATCH($A537,球季參數!$A$2:$A$4,0)),1,0)</f>
        <v>0</v>
      </c>
    </row>
    <row r="538" customFormat="false" ht="15" hidden="false" customHeight="false" outlineLevel="0" collapsed="false">
      <c r="A538" s="5" t="n">
        <v>2025</v>
      </c>
      <c r="B538" s="7" t="s">
        <v>1409</v>
      </c>
      <c r="C538" s="10" t="str">
        <f aca="false">INDEX(球員主檔!$B$2:$B$749,MATCH($B538,球員主檔!$A$2:$A$749,0))</f>
        <v>Jedidiah Ulloa</v>
      </c>
      <c r="D538" s="7" t="s">
        <v>438</v>
      </c>
      <c r="E538" s="10" t="str">
        <f aca="false">INDEX(球隊主檔!$C$2:$C$31,MATCH($D538,球隊主檔!$A$2:$A$31,0))</f>
        <v>匹茲堡海盜</v>
      </c>
      <c r="F538" s="10" t="str">
        <f aca="false">INDEX(球隊主檔!$D$2:$D$31,MATCH($D538,球隊主檔!$A$2:$A$31,0))</f>
        <v>國聯</v>
      </c>
      <c r="G538" s="7" t="s">
        <v>63</v>
      </c>
      <c r="H538" s="11" t="n">
        <f aca="false">INT((DATE($A538,7,1)-INDEX(球員主檔!$G$2:$G$749,MATCH($B538,球員主檔!$A$2:$A$749,0)))/365.25)</f>
        <v>30</v>
      </c>
      <c r="I538" s="12" t="n">
        <v>140</v>
      </c>
      <c r="J538" s="12" t="n">
        <v>560</v>
      </c>
      <c r="K538" s="12" t="n">
        <v>505</v>
      </c>
      <c r="L538" s="12" t="n">
        <v>71</v>
      </c>
      <c r="M538" s="12" t="n">
        <v>133</v>
      </c>
      <c r="N538" s="12" t="n">
        <v>26</v>
      </c>
      <c r="O538" s="12" t="n">
        <v>11</v>
      </c>
      <c r="P538" s="12" t="n">
        <v>29</v>
      </c>
      <c r="Q538" s="12" t="n">
        <v>86</v>
      </c>
      <c r="R538" s="12" t="n">
        <v>44</v>
      </c>
      <c r="S538" s="12" t="n">
        <v>134</v>
      </c>
      <c r="T538" s="12" t="n">
        <v>4</v>
      </c>
      <c r="U538" s="12" t="n">
        <v>7</v>
      </c>
      <c r="V538" s="12" t="n">
        <v>7</v>
      </c>
      <c r="W538" s="12" t="n">
        <v>2</v>
      </c>
      <c r="X538" s="13" t="n">
        <f aca="false">M538+N538+2*O538+3*P538</f>
        <v>268</v>
      </c>
      <c r="Y538" s="14" t="n">
        <f aca="false">IF(K538=0,0,M538/K538)</f>
        <v>0.263366336633663</v>
      </c>
      <c r="Z538" s="14" t="n">
        <f aca="false">IF(K538+R538+T538+U538=0,0,(M538+R538+T538)/(K538+R538+T538+U538))</f>
        <v>0.323214285714286</v>
      </c>
      <c r="AA538" s="14" t="n">
        <f aca="false">IF(K538=0,0,X538/K538)</f>
        <v>0.530693069306931</v>
      </c>
      <c r="AB538" s="14" t="n">
        <f aca="false">Z538+AA538</f>
        <v>0.853907355021216</v>
      </c>
      <c r="AC538" s="14" t="n">
        <f aca="false">AA538-Y538</f>
        <v>0.267326732673267</v>
      </c>
      <c r="AD538" s="14" t="n">
        <f aca="false">IF(K538-S538-P538+U538=0,0,(M538-P538)/(K538-S538-P538+U538))</f>
        <v>0.297994269340974</v>
      </c>
      <c r="AE538" s="15" t="n">
        <f aca="false">IF(J538=0,0,R538/J538)</f>
        <v>0.0785714285714286</v>
      </c>
      <c r="AF538" s="15" t="n">
        <f aca="false">IF(J538=0,0,S538/J538)</f>
        <v>0.239285714285714</v>
      </c>
      <c r="AG538" s="11" t="n">
        <f aca="false">IF(J538&gt;=INDEX(球季參數!$E$2:$E$4,MATCH($A538,球季參數!$A$2:$A$4,0)),1,0)</f>
        <v>1</v>
      </c>
    </row>
    <row r="539" customFormat="false" ht="15" hidden="false" customHeight="false" outlineLevel="0" collapsed="false">
      <c r="A539" s="5" t="n">
        <v>2025</v>
      </c>
      <c r="B539" s="7" t="s">
        <v>1411</v>
      </c>
      <c r="C539" s="10" t="str">
        <f aca="false">INDEX(球員主檔!$B$2:$B$749,MATCH($B539,球員主檔!$A$2:$A$749,0))</f>
        <v>Oakley Fontaine</v>
      </c>
      <c r="D539" s="7" t="s">
        <v>438</v>
      </c>
      <c r="E539" s="10" t="str">
        <f aca="false">INDEX(球隊主檔!$C$2:$C$31,MATCH($D539,球隊主檔!$A$2:$A$31,0))</f>
        <v>匹茲堡海盜</v>
      </c>
      <c r="F539" s="10" t="str">
        <f aca="false">INDEX(球隊主檔!$D$2:$D$31,MATCH($D539,球隊主檔!$A$2:$A$31,0))</f>
        <v>國聯</v>
      </c>
      <c r="G539" s="7" t="s">
        <v>483</v>
      </c>
      <c r="H539" s="11" t="n">
        <f aca="false">INT((DATE($A539,7,1)-INDEX(球員主檔!$G$2:$G$749,MATCH($B539,球員主檔!$A$2:$A$749,0)))/365.25)</f>
        <v>22</v>
      </c>
      <c r="I539" s="12" t="n">
        <v>89</v>
      </c>
      <c r="J539" s="12" t="n">
        <v>366</v>
      </c>
      <c r="K539" s="12" t="n">
        <v>318</v>
      </c>
      <c r="L539" s="12" t="n">
        <v>40</v>
      </c>
      <c r="M539" s="12" t="n">
        <v>81</v>
      </c>
      <c r="N539" s="12" t="n">
        <v>27</v>
      </c>
      <c r="O539" s="12" t="n">
        <v>5</v>
      </c>
      <c r="P539" s="12" t="n">
        <v>16</v>
      </c>
      <c r="Q539" s="12" t="n">
        <v>54</v>
      </c>
      <c r="R539" s="12" t="n">
        <v>37</v>
      </c>
      <c r="S539" s="12" t="n">
        <v>106</v>
      </c>
      <c r="T539" s="12" t="n">
        <v>6</v>
      </c>
      <c r="U539" s="12" t="n">
        <v>5</v>
      </c>
      <c r="V539" s="12" t="n">
        <v>11</v>
      </c>
      <c r="W539" s="12" t="n">
        <v>3</v>
      </c>
      <c r="X539" s="13" t="n">
        <f aca="false">M539+N539+2*O539+3*P539</f>
        <v>166</v>
      </c>
      <c r="Y539" s="14" t="n">
        <f aca="false">IF(K539=0,0,M539/K539)</f>
        <v>0.254716981132075</v>
      </c>
      <c r="Z539" s="14" t="n">
        <f aca="false">IF(K539+R539+T539+U539=0,0,(M539+R539+T539)/(K539+R539+T539+U539))</f>
        <v>0.33879781420765</v>
      </c>
      <c r="AA539" s="14" t="n">
        <f aca="false">IF(K539=0,0,X539/K539)</f>
        <v>0.522012578616352</v>
      </c>
      <c r="AB539" s="14" t="n">
        <f aca="false">Z539+AA539</f>
        <v>0.860810392824003</v>
      </c>
      <c r="AC539" s="14" t="n">
        <f aca="false">AA539-Y539</f>
        <v>0.267295597484277</v>
      </c>
      <c r="AD539" s="14" t="n">
        <f aca="false">IF(K539-S539-P539+U539=0,0,(M539-P539)/(K539-S539-P539+U539))</f>
        <v>0.323383084577114</v>
      </c>
      <c r="AE539" s="15" t="n">
        <f aca="false">IF(J539=0,0,R539/J539)</f>
        <v>0.101092896174863</v>
      </c>
      <c r="AF539" s="15" t="n">
        <f aca="false">IF(J539=0,0,S539/J539)</f>
        <v>0.289617486338798</v>
      </c>
      <c r="AG539" s="11" t="n">
        <f aca="false">IF(J539&gt;=INDEX(球季參數!$E$2:$E$4,MATCH($A539,球季參數!$A$2:$A$4,0)),1,0)</f>
        <v>0</v>
      </c>
    </row>
    <row r="540" customFormat="false" ht="15" hidden="false" customHeight="false" outlineLevel="0" collapsed="false">
      <c r="A540" s="5" t="n">
        <v>2025</v>
      </c>
      <c r="B540" s="7" t="s">
        <v>1413</v>
      </c>
      <c r="C540" s="10" t="str">
        <f aca="false">INDEX(球員主檔!$B$2:$B$749,MATCH($B540,球員主檔!$A$2:$A$749,0))</f>
        <v>Rhett Mbeki</v>
      </c>
      <c r="D540" s="7" t="s">
        <v>438</v>
      </c>
      <c r="E540" s="10" t="str">
        <f aca="false">INDEX(球隊主檔!$C$2:$C$31,MATCH($D540,球隊主檔!$A$2:$A$31,0))</f>
        <v>匹茲堡海盜</v>
      </c>
      <c r="F540" s="10" t="str">
        <f aca="false">INDEX(球隊主檔!$D$2:$D$31,MATCH($D540,球隊主檔!$A$2:$A$31,0))</f>
        <v>國聯</v>
      </c>
      <c r="G540" s="7" t="s">
        <v>522</v>
      </c>
      <c r="H540" s="11" t="n">
        <f aca="false">INT((DATE($A540,7,1)-INDEX(球員主檔!$G$2:$G$749,MATCH($B540,球員主檔!$A$2:$A$749,0)))/365.25)</f>
        <v>28</v>
      </c>
      <c r="I540" s="12" t="n">
        <v>75</v>
      </c>
      <c r="J540" s="12" t="n">
        <v>333</v>
      </c>
      <c r="K540" s="12" t="n">
        <v>297</v>
      </c>
      <c r="L540" s="12" t="n">
        <v>43</v>
      </c>
      <c r="M540" s="12" t="n">
        <v>74</v>
      </c>
      <c r="N540" s="12" t="n">
        <v>29</v>
      </c>
      <c r="O540" s="12" t="n">
        <v>4</v>
      </c>
      <c r="P540" s="12" t="n">
        <v>12</v>
      </c>
      <c r="Q540" s="12" t="n">
        <v>40</v>
      </c>
      <c r="R540" s="12" t="n">
        <v>31</v>
      </c>
      <c r="S540" s="12" t="n">
        <v>52</v>
      </c>
      <c r="T540" s="12" t="n">
        <v>4</v>
      </c>
      <c r="U540" s="12" t="n">
        <v>1</v>
      </c>
      <c r="V540" s="12" t="n">
        <v>2</v>
      </c>
      <c r="W540" s="12" t="n">
        <v>0</v>
      </c>
      <c r="X540" s="13" t="n">
        <f aca="false">M540+N540+2*O540+3*P540</f>
        <v>147</v>
      </c>
      <c r="Y540" s="14" t="n">
        <f aca="false">IF(K540=0,0,M540/K540)</f>
        <v>0.249158249158249</v>
      </c>
      <c r="Z540" s="14" t="n">
        <f aca="false">IF(K540+R540+T540+U540=0,0,(M540+R540+T540)/(K540+R540+T540+U540))</f>
        <v>0.327327327327327</v>
      </c>
      <c r="AA540" s="14" t="n">
        <f aca="false">IF(K540=0,0,X540/K540)</f>
        <v>0.494949494949495</v>
      </c>
      <c r="AB540" s="14" t="n">
        <f aca="false">Z540+AA540</f>
        <v>0.822276822276822</v>
      </c>
      <c r="AC540" s="14" t="n">
        <f aca="false">AA540-Y540</f>
        <v>0.245791245791246</v>
      </c>
      <c r="AD540" s="14" t="n">
        <f aca="false">IF(K540-S540-P540+U540=0,0,(M540-P540)/(K540-S540-P540+U540))</f>
        <v>0.264957264957265</v>
      </c>
      <c r="AE540" s="15" t="n">
        <f aca="false">IF(J540=0,0,R540/J540)</f>
        <v>0.0930930930930931</v>
      </c>
      <c r="AF540" s="15" t="n">
        <f aca="false">IF(J540=0,0,S540/J540)</f>
        <v>0.156156156156156</v>
      </c>
      <c r="AG540" s="11" t="n">
        <f aca="false">IF(J540&gt;=INDEX(球季參數!$E$2:$E$4,MATCH($A540,球季參數!$A$2:$A$4,0)),1,0)</f>
        <v>0</v>
      </c>
    </row>
    <row r="541" customFormat="false" ht="15" hidden="false" customHeight="false" outlineLevel="0" collapsed="false">
      <c r="A541" s="5" t="n">
        <v>2025</v>
      </c>
      <c r="B541" s="7" t="s">
        <v>1415</v>
      </c>
      <c r="C541" s="10" t="str">
        <f aca="false">INDEX(球員主檔!$B$2:$B$749,MATCH($B541,球員主檔!$A$2:$A$749,0))</f>
        <v>Silas Sorrentino</v>
      </c>
      <c r="D541" s="7" t="s">
        <v>438</v>
      </c>
      <c r="E541" s="10" t="str">
        <f aca="false">INDEX(球隊主檔!$C$2:$C$31,MATCH($D541,球隊主檔!$A$2:$A$31,0))</f>
        <v>匹茲堡海盜</v>
      </c>
      <c r="F541" s="10" t="str">
        <f aca="false">INDEX(球隊主檔!$D$2:$D$31,MATCH($D541,球隊主檔!$A$2:$A$31,0))</f>
        <v>國聯</v>
      </c>
      <c r="G541" s="7" t="s">
        <v>486</v>
      </c>
      <c r="H541" s="11" t="n">
        <f aca="false">INT((DATE($A541,7,1)-INDEX(球員主檔!$G$2:$G$749,MATCH($B541,球員主檔!$A$2:$A$749,0)))/365.25)</f>
        <v>32</v>
      </c>
      <c r="I541" s="12" t="n">
        <v>60</v>
      </c>
      <c r="J541" s="12" t="n">
        <v>236</v>
      </c>
      <c r="K541" s="12" t="n">
        <v>213</v>
      </c>
      <c r="L541" s="12" t="n">
        <v>26</v>
      </c>
      <c r="M541" s="12" t="n">
        <v>51</v>
      </c>
      <c r="N541" s="12" t="n">
        <v>11</v>
      </c>
      <c r="O541" s="12" t="n">
        <v>4</v>
      </c>
      <c r="P541" s="12" t="n">
        <v>8</v>
      </c>
      <c r="Q541" s="12" t="n">
        <v>27</v>
      </c>
      <c r="R541" s="12" t="n">
        <v>18</v>
      </c>
      <c r="S541" s="12" t="n">
        <v>39</v>
      </c>
      <c r="T541" s="12" t="n">
        <v>3</v>
      </c>
      <c r="U541" s="12" t="n">
        <v>2</v>
      </c>
      <c r="V541" s="12" t="n">
        <v>7</v>
      </c>
      <c r="W541" s="12" t="n">
        <v>1</v>
      </c>
      <c r="X541" s="13" t="n">
        <f aca="false">M541+N541+2*O541+3*P541</f>
        <v>94</v>
      </c>
      <c r="Y541" s="14" t="n">
        <f aca="false">IF(K541=0,0,M541/K541)</f>
        <v>0.23943661971831</v>
      </c>
      <c r="Z541" s="14" t="n">
        <f aca="false">IF(K541+R541+T541+U541=0,0,(M541+R541+T541)/(K541+R541+T541+U541))</f>
        <v>0.305084745762712</v>
      </c>
      <c r="AA541" s="14" t="n">
        <f aca="false">IF(K541=0,0,X541/K541)</f>
        <v>0.44131455399061</v>
      </c>
      <c r="AB541" s="14" t="n">
        <f aca="false">Z541+AA541</f>
        <v>0.746399299753322</v>
      </c>
      <c r="AC541" s="14" t="n">
        <f aca="false">AA541-Y541</f>
        <v>0.2018779342723</v>
      </c>
      <c r="AD541" s="14" t="n">
        <f aca="false">IF(K541-S541-P541+U541=0,0,(M541-P541)/(K541-S541-P541+U541))</f>
        <v>0.255952380952381</v>
      </c>
      <c r="AE541" s="15" t="n">
        <f aca="false">IF(J541=0,0,R541/J541)</f>
        <v>0.076271186440678</v>
      </c>
      <c r="AF541" s="15" t="n">
        <f aca="false">IF(J541=0,0,S541/J541)</f>
        <v>0.165254237288136</v>
      </c>
      <c r="AG541" s="11" t="n">
        <f aca="false">IF(J541&gt;=INDEX(球季參數!$E$2:$E$4,MATCH($A541,球季參數!$A$2:$A$4,0)),1,0)</f>
        <v>0</v>
      </c>
    </row>
    <row r="542" customFormat="false" ht="15" hidden="false" customHeight="false" outlineLevel="0" collapsed="false">
      <c r="A542" s="5" t="n">
        <v>2025</v>
      </c>
      <c r="B542" s="7" t="s">
        <v>1437</v>
      </c>
      <c r="C542" s="10" t="str">
        <f aca="false">INDEX(球員主檔!$B$2:$B$749,MATCH($B542,球員主檔!$A$2:$A$749,0))</f>
        <v>Zane Montalvo</v>
      </c>
      <c r="D542" s="7" t="s">
        <v>442</v>
      </c>
      <c r="E542" s="10" t="str">
        <f aca="false">INDEX(球隊主檔!$C$2:$C$31,MATCH($D542,球隊主檔!$A$2:$A$31,0))</f>
        <v>聖路易紅雀</v>
      </c>
      <c r="F542" s="10" t="str">
        <f aca="false">INDEX(球隊主檔!$D$2:$D$31,MATCH($D542,球隊主檔!$A$2:$A$31,0))</f>
        <v>國聯</v>
      </c>
      <c r="G542" s="7" t="s">
        <v>162</v>
      </c>
      <c r="H542" s="11" t="n">
        <f aca="false">INT((DATE($A542,7,1)-INDEX(球員主檔!$G$2:$G$749,MATCH($B542,球員主檔!$A$2:$A$749,0)))/365.25)</f>
        <v>25</v>
      </c>
      <c r="I542" s="12" t="n">
        <v>147</v>
      </c>
      <c r="J542" s="12" t="n">
        <v>621</v>
      </c>
      <c r="K542" s="12" t="n">
        <v>535</v>
      </c>
      <c r="L542" s="12" t="n">
        <v>82</v>
      </c>
      <c r="M542" s="12" t="n">
        <v>165</v>
      </c>
      <c r="N542" s="12" t="n">
        <v>17</v>
      </c>
      <c r="O542" s="12" t="n">
        <v>10</v>
      </c>
      <c r="P542" s="12" t="n">
        <v>10</v>
      </c>
      <c r="Q542" s="12" t="n">
        <v>71</v>
      </c>
      <c r="R542" s="12" t="n">
        <v>76</v>
      </c>
      <c r="S542" s="12" t="n">
        <v>145</v>
      </c>
      <c r="T542" s="12" t="n">
        <v>3</v>
      </c>
      <c r="U542" s="12" t="n">
        <v>7</v>
      </c>
      <c r="V542" s="12" t="n">
        <v>11</v>
      </c>
      <c r="W542" s="12" t="n">
        <v>3</v>
      </c>
      <c r="X542" s="13" t="n">
        <f aca="false">M542+N542+2*O542+3*P542</f>
        <v>232</v>
      </c>
      <c r="Y542" s="14" t="n">
        <f aca="false">IF(K542=0,0,M542/K542)</f>
        <v>0.308411214953271</v>
      </c>
      <c r="Z542" s="14" t="n">
        <f aca="false">IF(K542+R542+T542+U542=0,0,(M542+R542+T542)/(K542+R542+T542+U542))</f>
        <v>0.392914653784219</v>
      </c>
      <c r="AA542" s="14" t="n">
        <f aca="false">IF(K542=0,0,X542/K542)</f>
        <v>0.433644859813084</v>
      </c>
      <c r="AB542" s="14" t="n">
        <f aca="false">Z542+AA542</f>
        <v>0.826559513597303</v>
      </c>
      <c r="AC542" s="14" t="n">
        <f aca="false">AA542-Y542</f>
        <v>0.125233644859813</v>
      </c>
      <c r="AD542" s="14" t="n">
        <f aca="false">IF(K542-S542-P542+U542=0,0,(M542-P542)/(K542-S542-P542+U542))</f>
        <v>0.400516795865633</v>
      </c>
      <c r="AE542" s="15" t="n">
        <f aca="false">IF(J542=0,0,R542/J542)</f>
        <v>0.122383252818035</v>
      </c>
      <c r="AF542" s="15" t="n">
        <f aca="false">IF(J542=0,0,S542/J542)</f>
        <v>0.233494363929147</v>
      </c>
      <c r="AG542" s="11" t="n">
        <f aca="false">IF(J542&gt;=INDEX(球季參數!$E$2:$E$4,MATCH($A542,球季參數!$A$2:$A$4,0)),1,0)</f>
        <v>1</v>
      </c>
    </row>
    <row r="543" customFormat="false" ht="15" hidden="false" customHeight="false" outlineLevel="0" collapsed="false">
      <c r="A543" s="5" t="n">
        <v>2025</v>
      </c>
      <c r="B543" s="7" t="s">
        <v>1439</v>
      </c>
      <c r="C543" s="10" t="str">
        <f aca="false">INDEX(球員主檔!$B$2:$B$749,MATCH($B543,球員主檔!$A$2:$A$749,0))</f>
        <v>Rintaro Fontaine</v>
      </c>
      <c r="D543" s="7" t="s">
        <v>442</v>
      </c>
      <c r="E543" s="10" t="str">
        <f aca="false">INDEX(球隊主檔!$C$2:$C$31,MATCH($D543,球隊主檔!$A$2:$A$31,0))</f>
        <v>聖路易紅雀</v>
      </c>
      <c r="F543" s="10" t="str">
        <f aca="false">INDEX(球隊主檔!$D$2:$D$31,MATCH($D543,球隊主檔!$A$2:$A$31,0))</f>
        <v>國聯</v>
      </c>
      <c r="G543" s="7" t="s">
        <v>478</v>
      </c>
      <c r="H543" s="11" t="n">
        <f aca="false">INT((DATE($A543,7,1)-INDEX(球員主檔!$G$2:$G$749,MATCH($B543,球員主檔!$A$2:$A$749,0)))/365.25)</f>
        <v>28</v>
      </c>
      <c r="I543" s="12" t="n">
        <v>144</v>
      </c>
      <c r="J543" s="12" t="n">
        <v>612</v>
      </c>
      <c r="K543" s="12" t="n">
        <v>558</v>
      </c>
      <c r="L543" s="12" t="n">
        <v>63</v>
      </c>
      <c r="M543" s="12" t="n">
        <v>133</v>
      </c>
      <c r="N543" s="12" t="n">
        <v>36</v>
      </c>
      <c r="O543" s="12" t="n">
        <v>9</v>
      </c>
      <c r="P543" s="12" t="n">
        <v>23</v>
      </c>
      <c r="Q543" s="12" t="n">
        <v>68</v>
      </c>
      <c r="R543" s="12" t="n">
        <v>36</v>
      </c>
      <c r="S543" s="12" t="n">
        <v>116</v>
      </c>
      <c r="T543" s="12" t="n">
        <v>11</v>
      </c>
      <c r="U543" s="12" t="n">
        <v>7</v>
      </c>
      <c r="V543" s="12" t="n">
        <v>21</v>
      </c>
      <c r="W543" s="12" t="n">
        <v>3</v>
      </c>
      <c r="X543" s="13" t="n">
        <f aca="false">M543+N543+2*O543+3*P543</f>
        <v>256</v>
      </c>
      <c r="Y543" s="14" t="n">
        <f aca="false">IF(K543=0,0,M543/K543)</f>
        <v>0.238351254480287</v>
      </c>
      <c r="Z543" s="14" t="n">
        <f aca="false">IF(K543+R543+T543+U543=0,0,(M543+R543+T543)/(K543+R543+T543+U543))</f>
        <v>0.294117647058824</v>
      </c>
      <c r="AA543" s="14" t="n">
        <f aca="false">IF(K543=0,0,X543/K543)</f>
        <v>0.458781362007168</v>
      </c>
      <c r="AB543" s="14" t="n">
        <f aca="false">Z543+AA543</f>
        <v>0.752899009065992</v>
      </c>
      <c r="AC543" s="14" t="n">
        <f aca="false">AA543-Y543</f>
        <v>0.220430107526882</v>
      </c>
      <c r="AD543" s="14" t="n">
        <f aca="false">IF(K543-S543-P543+U543=0,0,(M543-P543)/(K543-S543-P543+U543))</f>
        <v>0.258215962441315</v>
      </c>
      <c r="AE543" s="15" t="n">
        <f aca="false">IF(J543=0,0,R543/J543)</f>
        <v>0.0588235294117647</v>
      </c>
      <c r="AF543" s="15" t="n">
        <f aca="false">IF(J543=0,0,S543/J543)</f>
        <v>0.189542483660131</v>
      </c>
      <c r="AG543" s="11" t="n">
        <f aca="false">IF(J543&gt;=INDEX(球季參數!$E$2:$E$4,MATCH($A543,球季參數!$A$2:$A$4,0)),1,0)</f>
        <v>1</v>
      </c>
    </row>
    <row r="544" customFormat="false" ht="15" hidden="false" customHeight="false" outlineLevel="0" collapsed="false">
      <c r="A544" s="5" t="n">
        <v>2025</v>
      </c>
      <c r="B544" s="7" t="s">
        <v>1441</v>
      </c>
      <c r="C544" s="10" t="str">
        <f aca="false">INDEX(球員主檔!$B$2:$B$749,MATCH($B544,球員主檔!$A$2:$A$749,0))</f>
        <v>Ulises Cavanaugh</v>
      </c>
      <c r="D544" s="7" t="s">
        <v>442</v>
      </c>
      <c r="E544" s="10" t="str">
        <f aca="false">INDEX(球隊主檔!$C$2:$C$31,MATCH($D544,球隊主檔!$A$2:$A$31,0))</f>
        <v>聖路易紅雀</v>
      </c>
      <c r="F544" s="10" t="str">
        <f aca="false">INDEX(球隊主檔!$D$2:$D$31,MATCH($D544,球隊主檔!$A$2:$A$31,0))</f>
        <v>國聯</v>
      </c>
      <c r="G544" s="7" t="s">
        <v>162</v>
      </c>
      <c r="H544" s="11" t="n">
        <f aca="false">INT((DATE($A544,7,1)-INDEX(球員主檔!$G$2:$G$749,MATCH($B544,球員主檔!$A$2:$A$749,0)))/365.25)</f>
        <v>30</v>
      </c>
      <c r="I544" s="12" t="n">
        <v>142</v>
      </c>
      <c r="J544" s="12" t="n">
        <v>564</v>
      </c>
      <c r="K544" s="12" t="n">
        <v>502</v>
      </c>
      <c r="L544" s="12" t="n">
        <v>67</v>
      </c>
      <c r="M544" s="12" t="n">
        <v>127</v>
      </c>
      <c r="N544" s="12" t="n">
        <v>20</v>
      </c>
      <c r="O544" s="12" t="n">
        <v>6</v>
      </c>
      <c r="P544" s="12" t="n">
        <v>16</v>
      </c>
      <c r="Q544" s="12" t="n">
        <v>68</v>
      </c>
      <c r="R544" s="12" t="n">
        <v>55</v>
      </c>
      <c r="S544" s="12" t="n">
        <v>128</v>
      </c>
      <c r="T544" s="12" t="n">
        <v>6</v>
      </c>
      <c r="U544" s="12" t="n">
        <v>1</v>
      </c>
      <c r="V544" s="12" t="n">
        <v>6</v>
      </c>
      <c r="W544" s="12" t="n">
        <v>1</v>
      </c>
      <c r="X544" s="13" t="n">
        <f aca="false">M544+N544+2*O544+3*P544</f>
        <v>207</v>
      </c>
      <c r="Y544" s="14" t="n">
        <f aca="false">IF(K544=0,0,M544/K544)</f>
        <v>0.252988047808765</v>
      </c>
      <c r="Z544" s="14" t="n">
        <f aca="false">IF(K544+R544+T544+U544=0,0,(M544+R544+T544)/(K544+R544+T544+U544))</f>
        <v>0.333333333333333</v>
      </c>
      <c r="AA544" s="14" t="n">
        <f aca="false">IF(K544=0,0,X544/K544)</f>
        <v>0.412350597609562</v>
      </c>
      <c r="AB544" s="14" t="n">
        <f aca="false">Z544+AA544</f>
        <v>0.745683930942895</v>
      </c>
      <c r="AC544" s="14" t="n">
        <f aca="false">AA544-Y544</f>
        <v>0.159362549800797</v>
      </c>
      <c r="AD544" s="14" t="n">
        <f aca="false">IF(K544-S544-P544+U544=0,0,(M544-P544)/(K544-S544-P544+U544))</f>
        <v>0.309192200557103</v>
      </c>
      <c r="AE544" s="15" t="n">
        <f aca="false">IF(J544=0,0,R544/J544)</f>
        <v>0.0975177304964539</v>
      </c>
      <c r="AF544" s="15" t="n">
        <f aca="false">IF(J544=0,0,S544/J544)</f>
        <v>0.226950354609929</v>
      </c>
      <c r="AG544" s="11" t="n">
        <f aca="false">IF(J544&gt;=INDEX(球季參數!$E$2:$E$4,MATCH($A544,球季參數!$A$2:$A$4,0)),1,0)</f>
        <v>1</v>
      </c>
    </row>
    <row r="545" customFormat="false" ht="15" hidden="false" customHeight="false" outlineLevel="0" collapsed="false">
      <c r="A545" s="5" t="n">
        <v>2025</v>
      </c>
      <c r="B545" s="7" t="s">
        <v>1443</v>
      </c>
      <c r="C545" s="10" t="str">
        <f aca="false">INDEX(球員主檔!$B$2:$B$749,MATCH($B545,球員主檔!$A$2:$A$749,0))</f>
        <v>Camilo Ostrowski</v>
      </c>
      <c r="D545" s="7" t="s">
        <v>442</v>
      </c>
      <c r="E545" s="10" t="str">
        <f aca="false">INDEX(球隊主檔!$C$2:$C$31,MATCH($D545,球隊主檔!$A$2:$A$31,0))</f>
        <v>聖路易紅雀</v>
      </c>
      <c r="F545" s="10" t="str">
        <f aca="false">INDEX(球隊主檔!$D$2:$D$31,MATCH($D545,球隊主檔!$A$2:$A$31,0))</f>
        <v>國聯</v>
      </c>
      <c r="G545" s="7" t="s">
        <v>473</v>
      </c>
      <c r="H545" s="11" t="n">
        <f aca="false">INT((DATE($A545,7,1)-INDEX(球員主檔!$G$2:$G$749,MATCH($B545,球員主檔!$A$2:$A$749,0)))/365.25)</f>
        <v>31</v>
      </c>
      <c r="I545" s="12" t="n">
        <v>69</v>
      </c>
      <c r="J545" s="12" t="n">
        <v>314</v>
      </c>
      <c r="K545" s="12" t="n">
        <v>279</v>
      </c>
      <c r="L545" s="12" t="n">
        <v>26</v>
      </c>
      <c r="M545" s="12" t="n">
        <v>60</v>
      </c>
      <c r="N545" s="12" t="n">
        <v>26</v>
      </c>
      <c r="O545" s="12" t="n">
        <v>6</v>
      </c>
      <c r="P545" s="12" t="n">
        <v>4</v>
      </c>
      <c r="Q545" s="12" t="n">
        <v>25</v>
      </c>
      <c r="R545" s="12" t="n">
        <v>27</v>
      </c>
      <c r="S545" s="12" t="n">
        <v>41</v>
      </c>
      <c r="T545" s="12" t="n">
        <v>5</v>
      </c>
      <c r="U545" s="12" t="n">
        <v>3</v>
      </c>
      <c r="V545" s="12" t="n">
        <v>3</v>
      </c>
      <c r="W545" s="12" t="n">
        <v>1</v>
      </c>
      <c r="X545" s="13" t="n">
        <f aca="false">M545+N545+2*O545+3*P545</f>
        <v>110</v>
      </c>
      <c r="Y545" s="14" t="n">
        <f aca="false">IF(K545=0,0,M545/K545)</f>
        <v>0.21505376344086</v>
      </c>
      <c r="Z545" s="14" t="n">
        <f aca="false">IF(K545+R545+T545+U545=0,0,(M545+R545+T545)/(K545+R545+T545+U545))</f>
        <v>0.292993630573248</v>
      </c>
      <c r="AA545" s="14" t="n">
        <f aca="false">IF(K545=0,0,X545/K545)</f>
        <v>0.39426523297491</v>
      </c>
      <c r="AB545" s="14" t="n">
        <f aca="false">Z545+AA545</f>
        <v>0.687258863548159</v>
      </c>
      <c r="AC545" s="14" t="n">
        <f aca="false">AA545-Y545</f>
        <v>0.17921146953405</v>
      </c>
      <c r="AD545" s="14" t="n">
        <f aca="false">IF(K545-S545-P545+U545=0,0,(M545-P545)/(K545-S545-P545+U545))</f>
        <v>0.236286919831224</v>
      </c>
      <c r="AE545" s="15" t="n">
        <f aca="false">IF(J545=0,0,R545/J545)</f>
        <v>0.0859872611464968</v>
      </c>
      <c r="AF545" s="15" t="n">
        <f aca="false">IF(J545=0,0,S545/J545)</f>
        <v>0.130573248407643</v>
      </c>
      <c r="AG545" s="11" t="n">
        <f aca="false">IF(J545&gt;=INDEX(球季參數!$E$2:$E$4,MATCH($A545,球季參數!$A$2:$A$4,0)),1,0)</f>
        <v>0</v>
      </c>
    </row>
    <row r="546" customFormat="false" ht="15" hidden="false" customHeight="false" outlineLevel="0" collapsed="false">
      <c r="A546" s="5" t="n">
        <v>2025</v>
      </c>
      <c r="B546" s="7" t="s">
        <v>1239</v>
      </c>
      <c r="C546" s="10" t="str">
        <f aca="false">INDEX(球員主檔!$B$2:$B$749,MATCH($B546,球員主檔!$A$2:$A$749,0))</f>
        <v>Fletcher Kowalczyk</v>
      </c>
      <c r="D546" s="7" t="s">
        <v>442</v>
      </c>
      <c r="E546" s="10" t="str">
        <f aca="false">INDEX(球隊主檔!$C$2:$C$31,MATCH($D546,球隊主檔!$A$2:$A$31,0))</f>
        <v>聖路易紅雀</v>
      </c>
      <c r="F546" s="10" t="str">
        <f aca="false">INDEX(球隊主檔!$D$2:$D$31,MATCH($D546,球隊主檔!$A$2:$A$31,0))</f>
        <v>國聯</v>
      </c>
      <c r="G546" s="7" t="s">
        <v>522</v>
      </c>
      <c r="H546" s="11" t="n">
        <f aca="false">INT((DATE($A546,7,1)-INDEX(球員主檔!$G$2:$G$749,MATCH($B546,球員主檔!$A$2:$A$749,0)))/365.25)</f>
        <v>27</v>
      </c>
      <c r="I546" s="12" t="n">
        <v>162</v>
      </c>
      <c r="J546" s="12" t="n">
        <v>648</v>
      </c>
      <c r="K546" s="12" t="n">
        <v>604</v>
      </c>
      <c r="L546" s="12" t="n">
        <v>73</v>
      </c>
      <c r="M546" s="12" t="n">
        <v>154</v>
      </c>
      <c r="N546" s="12" t="n">
        <v>41</v>
      </c>
      <c r="O546" s="12" t="n">
        <v>4</v>
      </c>
      <c r="P546" s="12" t="n">
        <v>26</v>
      </c>
      <c r="Q546" s="12" t="n">
        <v>78</v>
      </c>
      <c r="R546" s="12" t="n">
        <v>40</v>
      </c>
      <c r="S546" s="12" t="n">
        <v>112</v>
      </c>
      <c r="T546" s="12" t="n">
        <v>2</v>
      </c>
      <c r="U546" s="12" t="n">
        <v>2</v>
      </c>
      <c r="V546" s="12" t="n">
        <v>21</v>
      </c>
      <c r="W546" s="12" t="n">
        <v>6</v>
      </c>
      <c r="X546" s="13" t="n">
        <f aca="false">M546+N546+2*O546+3*P546</f>
        <v>281</v>
      </c>
      <c r="Y546" s="14" t="n">
        <f aca="false">IF(K546=0,0,M546/K546)</f>
        <v>0.254966887417219</v>
      </c>
      <c r="Z546" s="14" t="n">
        <f aca="false">IF(K546+R546+T546+U546=0,0,(M546+R546+T546)/(K546+R546+T546+U546))</f>
        <v>0.302469135802469</v>
      </c>
      <c r="AA546" s="14" t="n">
        <f aca="false">IF(K546=0,0,X546/K546)</f>
        <v>0.46523178807947</v>
      </c>
      <c r="AB546" s="14" t="n">
        <f aca="false">Z546+AA546</f>
        <v>0.767700923881939</v>
      </c>
      <c r="AC546" s="14" t="n">
        <f aca="false">AA546-Y546</f>
        <v>0.210264900662252</v>
      </c>
      <c r="AD546" s="14" t="n">
        <f aca="false">IF(K546-S546-P546+U546=0,0,(M546-P546)/(K546-S546-P546+U546))</f>
        <v>0.273504273504274</v>
      </c>
      <c r="AE546" s="15" t="n">
        <f aca="false">IF(J546=0,0,R546/J546)</f>
        <v>0.0617283950617284</v>
      </c>
      <c r="AF546" s="15" t="n">
        <f aca="false">IF(J546=0,0,S546/J546)</f>
        <v>0.17283950617284</v>
      </c>
      <c r="AG546" s="11" t="n">
        <f aca="false">IF(J546&gt;=INDEX(球季參數!$E$2:$E$4,MATCH($A546,球季參數!$A$2:$A$4,0)),1,0)</f>
        <v>1</v>
      </c>
    </row>
    <row r="547" customFormat="false" ht="15" hidden="false" customHeight="false" outlineLevel="0" collapsed="false">
      <c r="A547" s="5" t="n">
        <v>2025</v>
      </c>
      <c r="B547" s="7" t="s">
        <v>1447</v>
      </c>
      <c r="C547" s="10" t="str">
        <f aca="false">INDEX(球員主檔!$B$2:$B$749,MATCH($B547,球員主檔!$A$2:$A$749,0))</f>
        <v>Hugo Wainwright</v>
      </c>
      <c r="D547" s="7" t="s">
        <v>442</v>
      </c>
      <c r="E547" s="10" t="str">
        <f aca="false">INDEX(球隊主檔!$C$2:$C$31,MATCH($D547,球隊主檔!$A$2:$A$31,0))</f>
        <v>聖路易紅雀</v>
      </c>
      <c r="F547" s="10" t="str">
        <f aca="false">INDEX(球隊主檔!$D$2:$D$31,MATCH($D547,球隊主檔!$A$2:$A$31,0))</f>
        <v>國聯</v>
      </c>
      <c r="G547" s="7" t="s">
        <v>63</v>
      </c>
      <c r="H547" s="11" t="n">
        <f aca="false">INT((DATE($A547,7,1)-INDEX(球員主檔!$G$2:$G$749,MATCH($B547,球員主檔!$A$2:$A$749,0)))/365.25)</f>
        <v>27</v>
      </c>
      <c r="I547" s="12" t="n">
        <v>142</v>
      </c>
      <c r="J547" s="12" t="n">
        <v>560</v>
      </c>
      <c r="K547" s="12" t="n">
        <v>527</v>
      </c>
      <c r="L547" s="12" t="n">
        <v>78</v>
      </c>
      <c r="M547" s="12" t="n">
        <v>138</v>
      </c>
      <c r="N547" s="12" t="n">
        <v>19</v>
      </c>
      <c r="O547" s="12" t="n">
        <v>2</v>
      </c>
      <c r="P547" s="12" t="n">
        <v>30</v>
      </c>
      <c r="Q547" s="12" t="n">
        <v>92</v>
      </c>
      <c r="R547" s="12" t="n">
        <v>21</v>
      </c>
      <c r="S547" s="12" t="n">
        <v>119</v>
      </c>
      <c r="T547" s="12" t="n">
        <v>7</v>
      </c>
      <c r="U547" s="12" t="n">
        <v>5</v>
      </c>
      <c r="V547" s="12" t="n">
        <v>21</v>
      </c>
      <c r="W547" s="12" t="n">
        <v>5</v>
      </c>
      <c r="X547" s="13" t="n">
        <f aca="false">M547+N547+2*O547+3*P547</f>
        <v>251</v>
      </c>
      <c r="Y547" s="14" t="n">
        <f aca="false">IF(K547=0,0,M547/K547)</f>
        <v>0.261859582542695</v>
      </c>
      <c r="Z547" s="14" t="n">
        <f aca="false">IF(K547+R547+T547+U547=0,0,(M547+R547+T547)/(K547+R547+T547+U547))</f>
        <v>0.296428571428571</v>
      </c>
      <c r="AA547" s="14" t="n">
        <f aca="false">IF(K547=0,0,X547/K547)</f>
        <v>0.476280834914611</v>
      </c>
      <c r="AB547" s="14" t="n">
        <f aca="false">Z547+AA547</f>
        <v>0.772709406343182</v>
      </c>
      <c r="AC547" s="14" t="n">
        <f aca="false">AA547-Y547</f>
        <v>0.214421252371917</v>
      </c>
      <c r="AD547" s="14" t="n">
        <f aca="false">IF(K547-S547-P547+U547=0,0,(M547-P547)/(K547-S547-P547+U547))</f>
        <v>0.281984334203655</v>
      </c>
      <c r="AE547" s="15" t="n">
        <f aca="false">IF(J547=0,0,R547/J547)</f>
        <v>0.0375</v>
      </c>
      <c r="AF547" s="15" t="n">
        <f aca="false">IF(J547=0,0,S547/J547)</f>
        <v>0.2125</v>
      </c>
      <c r="AG547" s="11" t="n">
        <f aca="false">IF(J547&gt;=INDEX(球季參數!$E$2:$E$4,MATCH($A547,球季參數!$A$2:$A$4,0)),1,0)</f>
        <v>1</v>
      </c>
    </row>
    <row r="548" customFormat="false" ht="15" hidden="false" customHeight="false" outlineLevel="0" collapsed="false">
      <c r="A548" s="5" t="n">
        <v>2025</v>
      </c>
      <c r="B548" s="7" t="s">
        <v>1449</v>
      </c>
      <c r="C548" s="10" t="str">
        <f aca="false">INDEX(球員主檔!$B$2:$B$749,MATCH($B548,球員主檔!$A$2:$A$749,0))</f>
        <v>Dorian Prendergast</v>
      </c>
      <c r="D548" s="7" t="s">
        <v>442</v>
      </c>
      <c r="E548" s="10" t="str">
        <f aca="false">INDEX(球隊主檔!$C$2:$C$31,MATCH($D548,球隊主檔!$A$2:$A$31,0))</f>
        <v>聖路易紅雀</v>
      </c>
      <c r="F548" s="10" t="str">
        <f aca="false">INDEX(球隊主檔!$D$2:$D$31,MATCH($D548,球隊主檔!$A$2:$A$31,0))</f>
        <v>國聯</v>
      </c>
      <c r="G548" s="7" t="s">
        <v>158</v>
      </c>
      <c r="H548" s="11" t="n">
        <f aca="false">INT((DATE($A548,7,1)-INDEX(球員主檔!$G$2:$G$749,MATCH($B548,球員主檔!$A$2:$A$749,0)))/365.25)</f>
        <v>31</v>
      </c>
      <c r="I548" s="12" t="n">
        <v>98</v>
      </c>
      <c r="J548" s="12" t="n">
        <v>382</v>
      </c>
      <c r="K548" s="12" t="n">
        <v>339</v>
      </c>
      <c r="L548" s="12" t="n">
        <v>54</v>
      </c>
      <c r="M548" s="12" t="n">
        <v>98</v>
      </c>
      <c r="N548" s="12" t="n">
        <v>12</v>
      </c>
      <c r="O548" s="12" t="n">
        <v>2</v>
      </c>
      <c r="P548" s="12" t="n">
        <v>12</v>
      </c>
      <c r="Q548" s="12" t="n">
        <v>53</v>
      </c>
      <c r="R548" s="12" t="n">
        <v>30</v>
      </c>
      <c r="S548" s="12" t="n">
        <v>96</v>
      </c>
      <c r="T548" s="12" t="n">
        <v>8</v>
      </c>
      <c r="U548" s="12" t="n">
        <v>5</v>
      </c>
      <c r="V548" s="12" t="n">
        <v>2</v>
      </c>
      <c r="W548" s="12" t="n">
        <v>1</v>
      </c>
      <c r="X548" s="13" t="n">
        <f aca="false">M548+N548+2*O548+3*P548</f>
        <v>150</v>
      </c>
      <c r="Y548" s="14" t="n">
        <f aca="false">IF(K548=0,0,M548/K548)</f>
        <v>0.289085545722714</v>
      </c>
      <c r="Z548" s="14" t="n">
        <f aca="false">IF(K548+R548+T548+U548=0,0,(M548+R548+T548)/(K548+R548+T548+U548))</f>
        <v>0.356020942408377</v>
      </c>
      <c r="AA548" s="14" t="n">
        <f aca="false">IF(K548=0,0,X548/K548)</f>
        <v>0.442477876106195</v>
      </c>
      <c r="AB548" s="14" t="n">
        <f aca="false">Z548+AA548</f>
        <v>0.798498818514572</v>
      </c>
      <c r="AC548" s="14" t="n">
        <f aca="false">AA548-Y548</f>
        <v>0.153392330383481</v>
      </c>
      <c r="AD548" s="14" t="n">
        <f aca="false">IF(K548-S548-P548+U548=0,0,(M548-P548)/(K548-S548-P548+U548))</f>
        <v>0.364406779661017</v>
      </c>
      <c r="AE548" s="15" t="n">
        <f aca="false">IF(J548=0,0,R548/J548)</f>
        <v>0.0785340314136126</v>
      </c>
      <c r="AF548" s="15" t="n">
        <f aca="false">IF(J548=0,0,S548/J548)</f>
        <v>0.25130890052356</v>
      </c>
      <c r="AG548" s="11" t="n">
        <f aca="false">IF(J548&gt;=INDEX(球季參數!$E$2:$E$4,MATCH($A548,球季參數!$A$2:$A$4,0)),1,0)</f>
        <v>0</v>
      </c>
    </row>
    <row r="549" customFormat="false" ht="15" hidden="false" customHeight="false" outlineLevel="0" collapsed="false">
      <c r="A549" s="5" t="n">
        <v>2025</v>
      </c>
      <c r="B549" s="7" t="s">
        <v>1451</v>
      </c>
      <c r="C549" s="10" t="str">
        <f aca="false">INDEX(球員主檔!$B$2:$B$749,MATCH($B549,球員主檔!$A$2:$A$749,0))</f>
        <v>Alonso Ravenscroft</v>
      </c>
      <c r="D549" s="7" t="s">
        <v>442</v>
      </c>
      <c r="E549" s="10" t="str">
        <f aca="false">INDEX(球隊主檔!$C$2:$C$31,MATCH($D549,球隊主檔!$A$2:$A$31,0))</f>
        <v>聖路易紅雀</v>
      </c>
      <c r="F549" s="10" t="str">
        <f aca="false">INDEX(球隊主檔!$D$2:$D$31,MATCH($D549,球隊主檔!$A$2:$A$31,0))</f>
        <v>國聯</v>
      </c>
      <c r="G549" s="7" t="s">
        <v>162</v>
      </c>
      <c r="H549" s="11" t="n">
        <f aca="false">INT((DATE($A549,7,1)-INDEX(球員主檔!$G$2:$G$749,MATCH($B549,球員主檔!$A$2:$A$749,0)))/365.25)</f>
        <v>28</v>
      </c>
      <c r="I549" s="12" t="n">
        <v>44</v>
      </c>
      <c r="J549" s="12" t="n">
        <v>185</v>
      </c>
      <c r="K549" s="12" t="n">
        <v>173</v>
      </c>
      <c r="L549" s="12" t="n">
        <v>25</v>
      </c>
      <c r="M549" s="12" t="n">
        <v>56</v>
      </c>
      <c r="N549" s="12" t="n">
        <v>23</v>
      </c>
      <c r="O549" s="12" t="n">
        <v>3</v>
      </c>
      <c r="P549" s="12" t="n">
        <v>7</v>
      </c>
      <c r="Q549" s="12" t="n">
        <v>24</v>
      </c>
      <c r="R549" s="12" t="n">
        <v>9</v>
      </c>
      <c r="S549" s="12" t="n">
        <v>49</v>
      </c>
      <c r="T549" s="12" t="n">
        <v>1</v>
      </c>
      <c r="U549" s="12" t="n">
        <v>2</v>
      </c>
      <c r="V549" s="12" t="n">
        <v>9</v>
      </c>
      <c r="W549" s="12" t="n">
        <v>1</v>
      </c>
      <c r="X549" s="13" t="n">
        <f aca="false">M549+N549+2*O549+3*P549</f>
        <v>106</v>
      </c>
      <c r="Y549" s="14" t="n">
        <f aca="false">IF(K549=0,0,M549/K549)</f>
        <v>0.323699421965318</v>
      </c>
      <c r="Z549" s="14" t="n">
        <f aca="false">IF(K549+R549+T549+U549=0,0,(M549+R549+T549)/(K549+R549+T549+U549))</f>
        <v>0.356756756756757</v>
      </c>
      <c r="AA549" s="14" t="n">
        <f aca="false">IF(K549=0,0,X549/K549)</f>
        <v>0.61271676300578</v>
      </c>
      <c r="AB549" s="14" t="n">
        <f aca="false">Z549+AA549</f>
        <v>0.969473519762537</v>
      </c>
      <c r="AC549" s="14" t="n">
        <f aca="false">AA549-Y549</f>
        <v>0.289017341040462</v>
      </c>
      <c r="AD549" s="14" t="n">
        <f aca="false">IF(K549-S549-P549+U549=0,0,(M549-P549)/(K549-S549-P549+U549))</f>
        <v>0.411764705882353</v>
      </c>
      <c r="AE549" s="15" t="n">
        <f aca="false">IF(J549=0,0,R549/J549)</f>
        <v>0.0486486486486487</v>
      </c>
      <c r="AF549" s="15" t="n">
        <f aca="false">IF(J549=0,0,S549/J549)</f>
        <v>0.264864864864865</v>
      </c>
      <c r="AG549" s="11" t="n">
        <f aca="false">IF(J549&gt;=INDEX(球季參數!$E$2:$E$4,MATCH($A549,球季參數!$A$2:$A$4,0)),1,0)</f>
        <v>0</v>
      </c>
    </row>
    <row r="550" customFormat="false" ht="15" hidden="false" customHeight="false" outlineLevel="0" collapsed="false">
      <c r="A550" s="5" t="n">
        <v>2025</v>
      </c>
      <c r="B550" s="7" t="s">
        <v>1453</v>
      </c>
      <c r="C550" s="10" t="str">
        <f aca="false">INDEX(球員主檔!$B$2:$B$749,MATCH($B550,球員主檔!$A$2:$A$749,0))</f>
        <v>Porter Ingersoll</v>
      </c>
      <c r="D550" s="7" t="s">
        <v>442</v>
      </c>
      <c r="E550" s="10" t="str">
        <f aca="false">INDEX(球隊主檔!$C$2:$C$31,MATCH($D550,球隊主檔!$A$2:$A$31,0))</f>
        <v>聖路易紅雀</v>
      </c>
      <c r="F550" s="10" t="str">
        <f aca="false">INDEX(球隊主檔!$D$2:$D$31,MATCH($D550,球隊主檔!$A$2:$A$31,0))</f>
        <v>國聯</v>
      </c>
      <c r="G550" s="7" t="s">
        <v>478</v>
      </c>
      <c r="H550" s="11" t="n">
        <f aca="false">INT((DATE($A550,7,1)-INDEX(球員主檔!$G$2:$G$749,MATCH($B550,球員主檔!$A$2:$A$749,0)))/365.25)</f>
        <v>34</v>
      </c>
      <c r="I550" s="12" t="n">
        <v>54</v>
      </c>
      <c r="J550" s="12" t="n">
        <v>217</v>
      </c>
      <c r="K550" s="12" t="n">
        <v>195</v>
      </c>
      <c r="L550" s="12" t="n">
        <v>25</v>
      </c>
      <c r="M550" s="12" t="n">
        <v>45</v>
      </c>
      <c r="N550" s="12" t="n">
        <v>15</v>
      </c>
      <c r="O550" s="12" t="n">
        <v>0</v>
      </c>
      <c r="P550" s="12" t="n">
        <v>5</v>
      </c>
      <c r="Q550" s="12" t="n">
        <v>23</v>
      </c>
      <c r="R550" s="12" t="n">
        <v>17</v>
      </c>
      <c r="S550" s="12" t="n">
        <v>52</v>
      </c>
      <c r="T550" s="12" t="n">
        <v>3</v>
      </c>
      <c r="U550" s="12" t="n">
        <v>2</v>
      </c>
      <c r="V550" s="12" t="n">
        <v>2</v>
      </c>
      <c r="W550" s="12" t="n">
        <v>1</v>
      </c>
      <c r="X550" s="13" t="n">
        <f aca="false">M550+N550+2*O550+3*P550</f>
        <v>75</v>
      </c>
      <c r="Y550" s="14" t="n">
        <f aca="false">IF(K550=0,0,M550/K550)</f>
        <v>0.230769230769231</v>
      </c>
      <c r="Z550" s="14" t="n">
        <f aca="false">IF(K550+R550+T550+U550=0,0,(M550+R550+T550)/(K550+R550+T550+U550))</f>
        <v>0.299539170506912</v>
      </c>
      <c r="AA550" s="14" t="n">
        <f aca="false">IF(K550=0,0,X550/K550)</f>
        <v>0.384615384615385</v>
      </c>
      <c r="AB550" s="14" t="n">
        <f aca="false">Z550+AA550</f>
        <v>0.684154555122297</v>
      </c>
      <c r="AC550" s="14" t="n">
        <f aca="false">AA550-Y550</f>
        <v>0.153846153846154</v>
      </c>
      <c r="AD550" s="14" t="n">
        <f aca="false">IF(K550-S550-P550+U550=0,0,(M550-P550)/(K550-S550-P550+U550))</f>
        <v>0.285714285714286</v>
      </c>
      <c r="AE550" s="15" t="n">
        <f aca="false">IF(J550=0,0,R550/J550)</f>
        <v>0.0783410138248848</v>
      </c>
      <c r="AF550" s="15" t="n">
        <f aca="false">IF(J550=0,0,S550/J550)</f>
        <v>0.23963133640553</v>
      </c>
      <c r="AG550" s="11" t="n">
        <f aca="false">IF(J550&gt;=INDEX(球季參數!$E$2:$E$4,MATCH($A550,球季參數!$A$2:$A$4,0)),1,0)</f>
        <v>0</v>
      </c>
    </row>
    <row r="551" customFormat="false" ht="15" hidden="false" customHeight="false" outlineLevel="0" collapsed="false">
      <c r="A551" s="5" t="n">
        <v>2025</v>
      </c>
      <c r="B551" s="7" t="s">
        <v>933</v>
      </c>
      <c r="C551" s="10" t="str">
        <f aca="false">INDEX(球員主檔!$B$2:$B$749,MATCH($B551,球員主檔!$A$2:$A$749,0))</f>
        <v>Bernardo Vasquez</v>
      </c>
      <c r="D551" s="7" t="s">
        <v>442</v>
      </c>
      <c r="E551" s="10" t="str">
        <f aca="false">INDEX(球隊主檔!$C$2:$C$31,MATCH($D551,球隊主檔!$A$2:$A$31,0))</f>
        <v>聖路易紅雀</v>
      </c>
      <c r="F551" s="10" t="str">
        <f aca="false">INDEX(球隊主檔!$D$2:$D$31,MATCH($D551,球隊主檔!$A$2:$A$31,0))</f>
        <v>國聯</v>
      </c>
      <c r="G551" s="7" t="s">
        <v>486</v>
      </c>
      <c r="H551" s="11" t="n">
        <f aca="false">INT((DATE($A551,7,1)-INDEX(球員主檔!$G$2:$G$749,MATCH($B551,球員主檔!$A$2:$A$749,0)))/365.25)</f>
        <v>26</v>
      </c>
      <c r="I551" s="12" t="n">
        <v>76</v>
      </c>
      <c r="J551" s="12" t="n">
        <v>338</v>
      </c>
      <c r="K551" s="12" t="n">
        <v>300</v>
      </c>
      <c r="L551" s="12" t="n">
        <v>40</v>
      </c>
      <c r="M551" s="12" t="n">
        <v>75</v>
      </c>
      <c r="N551" s="12" t="n">
        <v>27</v>
      </c>
      <c r="O551" s="12" t="n">
        <v>2</v>
      </c>
      <c r="P551" s="12" t="n">
        <v>5</v>
      </c>
      <c r="Q551" s="12" t="n">
        <v>30</v>
      </c>
      <c r="R551" s="12" t="n">
        <v>31</v>
      </c>
      <c r="S551" s="12" t="n">
        <v>76</v>
      </c>
      <c r="T551" s="12" t="n">
        <v>5</v>
      </c>
      <c r="U551" s="12" t="n">
        <v>2</v>
      </c>
      <c r="V551" s="12" t="n">
        <v>3</v>
      </c>
      <c r="W551" s="12" t="n">
        <v>1</v>
      </c>
      <c r="X551" s="13" t="n">
        <f aca="false">M551+N551+2*O551+3*P551</f>
        <v>121</v>
      </c>
      <c r="Y551" s="14" t="n">
        <f aca="false">IF(K551=0,0,M551/K551)</f>
        <v>0.25</v>
      </c>
      <c r="Z551" s="14" t="n">
        <f aca="false">IF(K551+R551+T551+U551=0,0,(M551+R551+T551)/(K551+R551+T551+U551))</f>
        <v>0.328402366863905</v>
      </c>
      <c r="AA551" s="14" t="n">
        <f aca="false">IF(K551=0,0,X551/K551)</f>
        <v>0.403333333333333</v>
      </c>
      <c r="AB551" s="14" t="n">
        <f aca="false">Z551+AA551</f>
        <v>0.731735700197239</v>
      </c>
      <c r="AC551" s="14" t="n">
        <f aca="false">AA551-Y551</f>
        <v>0.153333333333333</v>
      </c>
      <c r="AD551" s="14" t="n">
        <f aca="false">IF(K551-S551-P551+U551=0,0,(M551-P551)/(K551-S551-P551+U551))</f>
        <v>0.316742081447964</v>
      </c>
      <c r="AE551" s="15" t="n">
        <f aca="false">IF(J551=0,0,R551/J551)</f>
        <v>0.0917159763313609</v>
      </c>
      <c r="AF551" s="15" t="n">
        <f aca="false">IF(J551=0,0,S551/J551)</f>
        <v>0.224852071005917</v>
      </c>
      <c r="AG551" s="11" t="n">
        <f aca="false">IF(J551&gt;=INDEX(球季參數!$E$2:$E$4,MATCH($A551,球季參數!$A$2:$A$4,0)),1,0)</f>
        <v>0</v>
      </c>
    </row>
    <row r="552" customFormat="false" ht="15" hidden="false" customHeight="false" outlineLevel="0" collapsed="false">
      <c r="A552" s="5" t="n">
        <v>2025</v>
      </c>
      <c r="B552" s="7" t="s">
        <v>923</v>
      </c>
      <c r="C552" s="10" t="str">
        <f aca="false">INDEX(球員主檔!$B$2:$B$749,MATCH($B552,球員主檔!$A$2:$A$749,0))</f>
        <v>Ronin Zamarripa</v>
      </c>
      <c r="D552" s="7" t="s">
        <v>446</v>
      </c>
      <c r="E552" s="10" t="str">
        <f aca="false">INDEX(球隊主檔!$C$2:$C$31,MATCH($D552,球隊主檔!$A$2:$A$31,0))</f>
        <v>亞利桑那響尾蛇</v>
      </c>
      <c r="F552" s="10" t="str">
        <f aca="false">INDEX(球隊主檔!$D$2:$D$31,MATCH($D552,球隊主檔!$A$2:$A$31,0))</f>
        <v>國聯</v>
      </c>
      <c r="G552" s="7" t="s">
        <v>486</v>
      </c>
      <c r="H552" s="11" t="n">
        <f aca="false">INT((DATE($A552,7,1)-INDEX(球員主檔!$G$2:$G$749,MATCH($B552,球員主檔!$A$2:$A$749,0)))/365.25)</f>
        <v>24</v>
      </c>
      <c r="I552" s="12" t="n">
        <v>145</v>
      </c>
      <c r="J552" s="12" t="n">
        <v>595</v>
      </c>
      <c r="K552" s="12" t="n">
        <v>562</v>
      </c>
      <c r="L552" s="12" t="n">
        <v>51</v>
      </c>
      <c r="M552" s="12" t="n">
        <v>146</v>
      </c>
      <c r="N552" s="12" t="n">
        <v>26</v>
      </c>
      <c r="O552" s="12" t="n">
        <v>1</v>
      </c>
      <c r="P552" s="12" t="n">
        <v>9</v>
      </c>
      <c r="Q552" s="12" t="n">
        <v>54</v>
      </c>
      <c r="R552" s="12" t="n">
        <v>17</v>
      </c>
      <c r="S552" s="12" t="n">
        <v>124</v>
      </c>
      <c r="T552" s="12" t="n">
        <v>12</v>
      </c>
      <c r="U552" s="12" t="n">
        <v>4</v>
      </c>
      <c r="V552" s="12" t="n">
        <v>22</v>
      </c>
      <c r="W552" s="12" t="n">
        <v>2</v>
      </c>
      <c r="X552" s="13" t="n">
        <f aca="false">M552+N552+2*O552+3*P552</f>
        <v>201</v>
      </c>
      <c r="Y552" s="14" t="n">
        <f aca="false">IF(K552=0,0,M552/K552)</f>
        <v>0.259786476868327</v>
      </c>
      <c r="Z552" s="14" t="n">
        <f aca="false">IF(K552+R552+T552+U552=0,0,(M552+R552+T552)/(K552+R552+T552+U552))</f>
        <v>0.294117647058824</v>
      </c>
      <c r="AA552" s="14" t="n">
        <f aca="false">IF(K552=0,0,X552/K552)</f>
        <v>0.357651245551601</v>
      </c>
      <c r="AB552" s="14" t="n">
        <f aca="false">Z552+AA552</f>
        <v>0.651768892610425</v>
      </c>
      <c r="AC552" s="14" t="n">
        <f aca="false">AA552-Y552</f>
        <v>0.097864768683274</v>
      </c>
      <c r="AD552" s="14" t="n">
        <f aca="false">IF(K552-S552-P552+U552=0,0,(M552-P552)/(K552-S552-P552+U552))</f>
        <v>0.316397228637413</v>
      </c>
      <c r="AE552" s="15" t="n">
        <f aca="false">IF(J552=0,0,R552/J552)</f>
        <v>0.0285714285714286</v>
      </c>
      <c r="AF552" s="15" t="n">
        <f aca="false">IF(J552=0,0,S552/J552)</f>
        <v>0.208403361344538</v>
      </c>
      <c r="AG552" s="11" t="n">
        <f aca="false">IF(J552&gt;=INDEX(球季參數!$E$2:$E$4,MATCH($A552,球季參數!$A$2:$A$4,0)),1,0)</f>
        <v>1</v>
      </c>
    </row>
    <row r="553" customFormat="false" ht="15" hidden="false" customHeight="false" outlineLevel="0" collapsed="false">
      <c r="A553" s="5" t="n">
        <v>2025</v>
      </c>
      <c r="B553" s="7" t="s">
        <v>1479</v>
      </c>
      <c r="C553" s="10" t="str">
        <f aca="false">INDEX(球員主檔!$B$2:$B$749,MATCH($B553,球員主檔!$A$2:$A$749,0))</f>
        <v>Thiago Nakagawa</v>
      </c>
      <c r="D553" s="7" t="s">
        <v>446</v>
      </c>
      <c r="E553" s="10" t="str">
        <f aca="false">INDEX(球隊主檔!$C$2:$C$31,MATCH($D553,球隊主檔!$A$2:$A$31,0))</f>
        <v>亞利桑那響尾蛇</v>
      </c>
      <c r="F553" s="10" t="str">
        <f aca="false">INDEX(球隊主檔!$D$2:$D$31,MATCH($D553,球隊主檔!$A$2:$A$31,0))</f>
        <v>國聯</v>
      </c>
      <c r="G553" s="7" t="s">
        <v>470</v>
      </c>
      <c r="H553" s="11" t="n">
        <f aca="false">INT((DATE($A553,7,1)-INDEX(球員主檔!$G$2:$G$749,MATCH($B553,球員主檔!$A$2:$A$749,0)))/365.25)</f>
        <v>28</v>
      </c>
      <c r="I553" s="12" t="n">
        <v>158</v>
      </c>
      <c r="J553" s="12" t="n">
        <v>688</v>
      </c>
      <c r="K553" s="12" t="n">
        <v>598</v>
      </c>
      <c r="L553" s="12" t="n">
        <v>82</v>
      </c>
      <c r="M553" s="12" t="n">
        <v>157</v>
      </c>
      <c r="N553" s="12" t="n">
        <v>20</v>
      </c>
      <c r="O553" s="12" t="n">
        <v>2</v>
      </c>
      <c r="P553" s="12" t="n">
        <v>21</v>
      </c>
      <c r="Q553" s="12" t="n">
        <v>85</v>
      </c>
      <c r="R553" s="12" t="n">
        <v>77</v>
      </c>
      <c r="S553" s="12" t="n">
        <v>151</v>
      </c>
      <c r="T553" s="12" t="n">
        <v>12</v>
      </c>
      <c r="U553" s="12" t="n">
        <v>1</v>
      </c>
      <c r="V553" s="12" t="n">
        <v>13</v>
      </c>
      <c r="W553" s="12" t="n">
        <v>3</v>
      </c>
      <c r="X553" s="13" t="n">
        <f aca="false">M553+N553+2*O553+3*P553</f>
        <v>244</v>
      </c>
      <c r="Y553" s="14" t="n">
        <f aca="false">IF(K553=0,0,M553/K553)</f>
        <v>0.262541806020067</v>
      </c>
      <c r="Z553" s="14" t="n">
        <f aca="false">IF(K553+R553+T553+U553=0,0,(M553+R553+T553)/(K553+R553+T553+U553))</f>
        <v>0.357558139534884</v>
      </c>
      <c r="AA553" s="14" t="n">
        <f aca="false">IF(K553=0,0,X553/K553)</f>
        <v>0.408026755852843</v>
      </c>
      <c r="AB553" s="14" t="n">
        <f aca="false">Z553+AA553</f>
        <v>0.765584895387727</v>
      </c>
      <c r="AC553" s="14" t="n">
        <f aca="false">AA553-Y553</f>
        <v>0.145484949832776</v>
      </c>
      <c r="AD553" s="14" t="n">
        <f aca="false">IF(K553-S553-P553+U553=0,0,(M553-P553)/(K553-S553-P553+U553))</f>
        <v>0.318501170960187</v>
      </c>
      <c r="AE553" s="15" t="n">
        <f aca="false">IF(J553=0,0,R553/J553)</f>
        <v>0.111918604651163</v>
      </c>
      <c r="AF553" s="15" t="n">
        <f aca="false">IF(J553=0,0,S553/J553)</f>
        <v>0.219476744186047</v>
      </c>
      <c r="AG553" s="11" t="n">
        <f aca="false">IF(J553&gt;=INDEX(球季參數!$E$2:$E$4,MATCH($A553,球季參數!$A$2:$A$4,0)),1,0)</f>
        <v>1</v>
      </c>
    </row>
    <row r="554" customFormat="false" ht="15" hidden="false" customHeight="false" outlineLevel="0" collapsed="false">
      <c r="A554" s="5" t="n">
        <v>2025</v>
      </c>
      <c r="B554" s="7" t="s">
        <v>1481</v>
      </c>
      <c r="C554" s="10" t="str">
        <f aca="false">INDEX(球員主檔!$B$2:$B$749,MATCH($B554,球員主檔!$A$2:$A$749,0))</f>
        <v>Isaias Okafor</v>
      </c>
      <c r="D554" s="7" t="s">
        <v>446</v>
      </c>
      <c r="E554" s="10" t="str">
        <f aca="false">INDEX(球隊主檔!$C$2:$C$31,MATCH($D554,球隊主檔!$A$2:$A$31,0))</f>
        <v>亞利桑那響尾蛇</v>
      </c>
      <c r="F554" s="10" t="str">
        <f aca="false">INDEX(球隊主檔!$D$2:$D$31,MATCH($D554,球隊主檔!$A$2:$A$31,0))</f>
        <v>國聯</v>
      </c>
      <c r="G554" s="7" t="s">
        <v>470</v>
      </c>
      <c r="H554" s="11" t="n">
        <f aca="false">INT((DATE($A554,7,1)-INDEX(球員主檔!$G$2:$G$749,MATCH($B554,球員主檔!$A$2:$A$749,0)))/365.25)</f>
        <v>27</v>
      </c>
      <c r="I554" s="12" t="n">
        <v>162</v>
      </c>
      <c r="J554" s="12" t="n">
        <v>693</v>
      </c>
      <c r="K554" s="12" t="n">
        <v>658</v>
      </c>
      <c r="L554" s="12" t="n">
        <v>61</v>
      </c>
      <c r="M554" s="12" t="n">
        <v>151</v>
      </c>
      <c r="N554" s="12" t="n">
        <v>32</v>
      </c>
      <c r="O554" s="12" t="n">
        <v>4</v>
      </c>
      <c r="P554" s="12" t="n">
        <v>16</v>
      </c>
      <c r="Q554" s="12" t="n">
        <v>58</v>
      </c>
      <c r="R554" s="12" t="n">
        <v>17</v>
      </c>
      <c r="S554" s="12" t="n">
        <v>188</v>
      </c>
      <c r="T554" s="12" t="n">
        <v>12</v>
      </c>
      <c r="U554" s="12" t="n">
        <v>6</v>
      </c>
      <c r="V554" s="12" t="n">
        <v>9</v>
      </c>
      <c r="W554" s="12" t="n">
        <v>1</v>
      </c>
      <c r="X554" s="13" t="n">
        <f aca="false">M554+N554+2*O554+3*P554</f>
        <v>239</v>
      </c>
      <c r="Y554" s="14" t="n">
        <f aca="false">IF(K554=0,0,M554/K554)</f>
        <v>0.229483282674772</v>
      </c>
      <c r="Z554" s="14" t="n">
        <f aca="false">IF(K554+R554+T554+U554=0,0,(M554+R554+T554)/(K554+R554+T554+U554))</f>
        <v>0.25974025974026</v>
      </c>
      <c r="AA554" s="14" t="n">
        <f aca="false">IF(K554=0,0,X554/K554)</f>
        <v>0.36322188449848</v>
      </c>
      <c r="AB554" s="14" t="n">
        <f aca="false">Z554+AA554</f>
        <v>0.62296214423874</v>
      </c>
      <c r="AC554" s="14" t="n">
        <f aca="false">AA554-Y554</f>
        <v>0.133738601823708</v>
      </c>
      <c r="AD554" s="14" t="n">
        <f aca="false">IF(K554-S554-P554+U554=0,0,(M554-P554)/(K554-S554-P554+U554))</f>
        <v>0.293478260869565</v>
      </c>
      <c r="AE554" s="15" t="n">
        <f aca="false">IF(J554=0,0,R554/J554)</f>
        <v>0.0245310245310245</v>
      </c>
      <c r="AF554" s="15" t="n">
        <f aca="false">IF(J554=0,0,S554/J554)</f>
        <v>0.271284271284271</v>
      </c>
      <c r="AG554" s="11" t="n">
        <f aca="false">IF(J554&gt;=INDEX(球季參數!$E$2:$E$4,MATCH($A554,球季參數!$A$2:$A$4,0)),1,0)</f>
        <v>1</v>
      </c>
    </row>
    <row r="555" customFormat="false" ht="15" hidden="false" customHeight="false" outlineLevel="0" collapsed="false">
      <c r="A555" s="5" t="n">
        <v>2025</v>
      </c>
      <c r="B555" s="7" t="s">
        <v>1483</v>
      </c>
      <c r="C555" s="10" t="str">
        <f aca="false">INDEX(球員主檔!$B$2:$B$749,MATCH($B555,球員主檔!$A$2:$A$749,0))</f>
        <v>Jedidiah Kowalczyk</v>
      </c>
      <c r="D555" s="7" t="s">
        <v>446</v>
      </c>
      <c r="E555" s="10" t="str">
        <f aca="false">INDEX(球隊主檔!$C$2:$C$31,MATCH($D555,球隊主檔!$A$2:$A$31,0))</f>
        <v>亞利桑那響尾蛇</v>
      </c>
      <c r="F555" s="10" t="str">
        <f aca="false">INDEX(球隊主檔!$D$2:$D$31,MATCH($D555,球隊主檔!$A$2:$A$31,0))</f>
        <v>國聯</v>
      </c>
      <c r="G555" s="7" t="s">
        <v>473</v>
      </c>
      <c r="H555" s="11" t="n">
        <f aca="false">INT((DATE($A555,7,1)-INDEX(球員主檔!$G$2:$G$749,MATCH($B555,球員主檔!$A$2:$A$749,0)))/365.25)</f>
        <v>28</v>
      </c>
      <c r="I555" s="12" t="n">
        <v>142</v>
      </c>
      <c r="J555" s="12" t="n">
        <v>567</v>
      </c>
      <c r="K555" s="12" t="n">
        <v>510</v>
      </c>
      <c r="L555" s="12" t="n">
        <v>58</v>
      </c>
      <c r="M555" s="12" t="n">
        <v>133</v>
      </c>
      <c r="N555" s="12" t="n">
        <v>27</v>
      </c>
      <c r="O555" s="12" t="n">
        <v>12</v>
      </c>
      <c r="P555" s="12" t="n">
        <v>6</v>
      </c>
      <c r="Q555" s="12" t="n">
        <v>39</v>
      </c>
      <c r="R555" s="12" t="n">
        <v>42</v>
      </c>
      <c r="S555" s="12" t="n">
        <v>86</v>
      </c>
      <c r="T555" s="12" t="n">
        <v>10</v>
      </c>
      <c r="U555" s="12" t="n">
        <v>5</v>
      </c>
      <c r="V555" s="12" t="n">
        <v>37</v>
      </c>
      <c r="W555" s="12" t="n">
        <v>8</v>
      </c>
      <c r="X555" s="13" t="n">
        <f aca="false">M555+N555+2*O555+3*P555</f>
        <v>202</v>
      </c>
      <c r="Y555" s="14" t="n">
        <f aca="false">IF(K555=0,0,M555/K555)</f>
        <v>0.26078431372549</v>
      </c>
      <c r="Z555" s="14" t="n">
        <f aca="false">IF(K555+R555+T555+U555=0,0,(M555+R555+T555)/(K555+R555+T555+U555))</f>
        <v>0.326278659611993</v>
      </c>
      <c r="AA555" s="14" t="n">
        <f aca="false">IF(K555=0,0,X555/K555)</f>
        <v>0.396078431372549</v>
      </c>
      <c r="AB555" s="14" t="n">
        <f aca="false">Z555+AA555</f>
        <v>0.722357090984542</v>
      </c>
      <c r="AC555" s="14" t="n">
        <f aca="false">AA555-Y555</f>
        <v>0.135294117647059</v>
      </c>
      <c r="AD555" s="14" t="n">
        <f aca="false">IF(K555-S555-P555+U555=0,0,(M555-P555)/(K555-S555-P555+U555))</f>
        <v>0.300236406619385</v>
      </c>
      <c r="AE555" s="15" t="n">
        <f aca="false">IF(J555=0,0,R555/J555)</f>
        <v>0.0740740740740741</v>
      </c>
      <c r="AF555" s="15" t="n">
        <f aca="false">IF(J555=0,0,S555/J555)</f>
        <v>0.151675485008818</v>
      </c>
      <c r="AG555" s="11" t="n">
        <f aca="false">IF(J555&gt;=INDEX(球季參數!$E$2:$E$4,MATCH($A555,球季參數!$A$2:$A$4,0)),1,0)</f>
        <v>1</v>
      </c>
    </row>
    <row r="556" customFormat="false" ht="15" hidden="false" customHeight="false" outlineLevel="0" collapsed="false">
      <c r="A556" s="5" t="n">
        <v>2025</v>
      </c>
      <c r="B556" s="7" t="s">
        <v>1485</v>
      </c>
      <c r="C556" s="10" t="str">
        <f aca="false">INDEX(球員主檔!$B$2:$B$749,MATCH($B556,球員主檔!$A$2:$A$749,0))</f>
        <v>Ignacio Zbornak</v>
      </c>
      <c r="D556" s="7" t="s">
        <v>446</v>
      </c>
      <c r="E556" s="10" t="str">
        <f aca="false">INDEX(球隊主檔!$C$2:$C$31,MATCH($D556,球隊主檔!$A$2:$A$31,0))</f>
        <v>亞利桑那響尾蛇</v>
      </c>
      <c r="F556" s="10" t="str">
        <f aca="false">INDEX(球隊主檔!$D$2:$D$31,MATCH($D556,球隊主檔!$A$2:$A$31,0))</f>
        <v>國聯</v>
      </c>
      <c r="G556" s="7" t="s">
        <v>483</v>
      </c>
      <c r="H556" s="11" t="n">
        <f aca="false">INT((DATE($A556,7,1)-INDEX(球員主檔!$G$2:$G$749,MATCH($B556,球員主檔!$A$2:$A$749,0)))/365.25)</f>
        <v>31</v>
      </c>
      <c r="I556" s="12" t="n">
        <v>135</v>
      </c>
      <c r="J556" s="12" t="n">
        <v>593</v>
      </c>
      <c r="K556" s="12" t="n">
        <v>508</v>
      </c>
      <c r="L556" s="12" t="n">
        <v>67</v>
      </c>
      <c r="M556" s="12" t="n">
        <v>123</v>
      </c>
      <c r="N556" s="12" t="n">
        <v>45</v>
      </c>
      <c r="O556" s="12" t="n">
        <v>5</v>
      </c>
      <c r="P556" s="12" t="n">
        <v>26</v>
      </c>
      <c r="Q556" s="12" t="n">
        <v>81</v>
      </c>
      <c r="R556" s="12" t="n">
        <v>72</v>
      </c>
      <c r="S556" s="12" t="n">
        <v>128</v>
      </c>
      <c r="T556" s="12" t="n">
        <v>7</v>
      </c>
      <c r="U556" s="12" t="n">
        <v>6</v>
      </c>
      <c r="V556" s="12" t="n">
        <v>20</v>
      </c>
      <c r="W556" s="12" t="n">
        <v>5</v>
      </c>
      <c r="X556" s="13" t="n">
        <f aca="false">M556+N556+2*O556+3*P556</f>
        <v>256</v>
      </c>
      <c r="Y556" s="14" t="n">
        <f aca="false">IF(K556=0,0,M556/K556)</f>
        <v>0.242125984251969</v>
      </c>
      <c r="Z556" s="14" t="n">
        <f aca="false">IF(K556+R556+T556+U556=0,0,(M556+R556+T556)/(K556+R556+T556+U556))</f>
        <v>0.340640809443508</v>
      </c>
      <c r="AA556" s="14" t="n">
        <f aca="false">IF(K556=0,0,X556/K556)</f>
        <v>0.503937007874016</v>
      </c>
      <c r="AB556" s="14" t="n">
        <f aca="false">Z556+AA556</f>
        <v>0.844577817317523</v>
      </c>
      <c r="AC556" s="14" t="n">
        <f aca="false">AA556-Y556</f>
        <v>0.261811023622047</v>
      </c>
      <c r="AD556" s="14" t="n">
        <f aca="false">IF(K556-S556-P556+U556=0,0,(M556-P556)/(K556-S556-P556+U556))</f>
        <v>0.269444444444444</v>
      </c>
      <c r="AE556" s="15" t="n">
        <f aca="false">IF(J556=0,0,R556/J556)</f>
        <v>0.12141652613828</v>
      </c>
      <c r="AF556" s="15" t="n">
        <f aca="false">IF(J556=0,0,S556/J556)</f>
        <v>0.215851602023609</v>
      </c>
      <c r="AG556" s="11" t="n">
        <f aca="false">IF(J556&gt;=INDEX(球季參數!$E$2:$E$4,MATCH($A556,球季參數!$A$2:$A$4,0)),1,0)</f>
        <v>1</v>
      </c>
    </row>
    <row r="557" customFormat="false" ht="15" hidden="false" customHeight="false" outlineLevel="0" collapsed="false">
      <c r="A557" s="5" t="n">
        <v>2025</v>
      </c>
      <c r="B557" s="7" t="s">
        <v>1487</v>
      </c>
      <c r="C557" s="10" t="str">
        <f aca="false">INDEX(球員主檔!$B$2:$B$749,MATCH($B557,球員主檔!$A$2:$A$749,0))</f>
        <v>Porter Kestrel</v>
      </c>
      <c r="D557" s="7" t="s">
        <v>446</v>
      </c>
      <c r="E557" s="10" t="str">
        <f aca="false">INDEX(球隊主檔!$C$2:$C$31,MATCH($D557,球隊主檔!$A$2:$A$31,0))</f>
        <v>亞利桑那響尾蛇</v>
      </c>
      <c r="F557" s="10" t="str">
        <f aca="false">INDEX(球隊主檔!$D$2:$D$31,MATCH($D557,球隊主檔!$A$2:$A$31,0))</f>
        <v>國聯</v>
      </c>
      <c r="G557" s="7" t="s">
        <v>470</v>
      </c>
      <c r="H557" s="11" t="n">
        <f aca="false">INT((DATE($A557,7,1)-INDEX(球員主檔!$G$2:$G$749,MATCH($B557,球員主檔!$A$2:$A$749,0)))/365.25)</f>
        <v>29</v>
      </c>
      <c r="I557" s="12" t="n">
        <v>33</v>
      </c>
      <c r="J557" s="12" t="n">
        <v>144</v>
      </c>
      <c r="K557" s="12" t="n">
        <v>123</v>
      </c>
      <c r="L557" s="12" t="n">
        <v>17</v>
      </c>
      <c r="M557" s="12" t="n">
        <v>34</v>
      </c>
      <c r="N557" s="12" t="n">
        <v>11</v>
      </c>
      <c r="O557" s="12" t="n">
        <v>2</v>
      </c>
      <c r="P557" s="12" t="n">
        <v>4</v>
      </c>
      <c r="Q557" s="12" t="n">
        <v>16</v>
      </c>
      <c r="R557" s="12" t="n">
        <v>18</v>
      </c>
      <c r="S557" s="12" t="n">
        <v>34</v>
      </c>
      <c r="T557" s="12" t="n">
        <v>2</v>
      </c>
      <c r="U557" s="12" t="n">
        <v>1</v>
      </c>
      <c r="V557" s="12" t="n">
        <v>2</v>
      </c>
      <c r="W557" s="12" t="n">
        <v>0</v>
      </c>
      <c r="X557" s="13" t="n">
        <f aca="false">M557+N557+2*O557+3*P557</f>
        <v>61</v>
      </c>
      <c r="Y557" s="14" t="n">
        <f aca="false">IF(K557=0,0,M557/K557)</f>
        <v>0.276422764227642</v>
      </c>
      <c r="Z557" s="14" t="n">
        <f aca="false">IF(K557+R557+T557+U557=0,0,(M557+R557+T557)/(K557+R557+T557+U557))</f>
        <v>0.375</v>
      </c>
      <c r="AA557" s="14" t="n">
        <f aca="false">IF(K557=0,0,X557/K557)</f>
        <v>0.495934959349594</v>
      </c>
      <c r="AB557" s="14" t="n">
        <f aca="false">Z557+AA557</f>
        <v>0.870934959349593</v>
      </c>
      <c r="AC557" s="14" t="n">
        <f aca="false">AA557-Y557</f>
        <v>0.219512195121951</v>
      </c>
      <c r="AD557" s="14" t="n">
        <f aca="false">IF(K557-S557-P557+U557=0,0,(M557-P557)/(K557-S557-P557+U557))</f>
        <v>0.348837209302326</v>
      </c>
      <c r="AE557" s="15" t="n">
        <f aca="false">IF(J557=0,0,R557/J557)</f>
        <v>0.125</v>
      </c>
      <c r="AF557" s="15" t="n">
        <f aca="false">IF(J557=0,0,S557/J557)</f>
        <v>0.236111111111111</v>
      </c>
      <c r="AG557" s="11" t="n">
        <f aca="false">IF(J557&gt;=INDEX(球季參數!$E$2:$E$4,MATCH($A557,球季參數!$A$2:$A$4,0)),1,0)</f>
        <v>0</v>
      </c>
    </row>
    <row r="558" customFormat="false" ht="15" hidden="false" customHeight="false" outlineLevel="0" collapsed="false">
      <c r="A558" s="5" t="n">
        <v>2025</v>
      </c>
      <c r="B558" s="7" t="s">
        <v>959</v>
      </c>
      <c r="C558" s="10" t="str">
        <f aca="false">INDEX(球員主檔!$B$2:$B$749,MATCH($B558,球員主檔!$A$2:$A$749,0))</f>
        <v>Sousuke Sorrentino</v>
      </c>
      <c r="D558" s="7" t="s">
        <v>446</v>
      </c>
      <c r="E558" s="10" t="str">
        <f aca="false">INDEX(球隊主檔!$C$2:$C$31,MATCH($D558,球隊主檔!$A$2:$A$31,0))</f>
        <v>亞利桑那響尾蛇</v>
      </c>
      <c r="F558" s="10" t="str">
        <f aca="false">INDEX(球隊主檔!$D$2:$D$31,MATCH($D558,球隊主檔!$A$2:$A$31,0))</f>
        <v>國聯</v>
      </c>
      <c r="G558" s="7" t="s">
        <v>483</v>
      </c>
      <c r="H558" s="11" t="n">
        <f aca="false">INT((DATE($A558,7,1)-INDEX(球員主檔!$G$2:$G$749,MATCH($B558,球員主檔!$A$2:$A$749,0)))/365.25)</f>
        <v>27</v>
      </c>
      <c r="I558" s="12" t="n">
        <v>117</v>
      </c>
      <c r="J558" s="12" t="n">
        <v>498</v>
      </c>
      <c r="K558" s="12" t="n">
        <v>440</v>
      </c>
      <c r="L558" s="12" t="n">
        <v>67</v>
      </c>
      <c r="M558" s="12" t="n">
        <v>127</v>
      </c>
      <c r="N558" s="12" t="n">
        <v>11</v>
      </c>
      <c r="O558" s="12" t="n">
        <v>1</v>
      </c>
      <c r="P558" s="12" t="n">
        <v>14</v>
      </c>
      <c r="Q558" s="12" t="n">
        <v>51</v>
      </c>
      <c r="R558" s="12" t="n">
        <v>44</v>
      </c>
      <c r="S558" s="12" t="n">
        <v>97</v>
      </c>
      <c r="T558" s="12" t="n">
        <v>10</v>
      </c>
      <c r="U558" s="12" t="n">
        <v>4</v>
      </c>
      <c r="V558" s="12" t="n">
        <v>10</v>
      </c>
      <c r="W558" s="12" t="n">
        <v>3</v>
      </c>
      <c r="X558" s="13" t="n">
        <f aca="false">M558+N558+2*O558+3*P558</f>
        <v>182</v>
      </c>
      <c r="Y558" s="14" t="n">
        <f aca="false">IF(K558=0,0,M558/K558)</f>
        <v>0.288636363636364</v>
      </c>
      <c r="Z558" s="14" t="n">
        <f aca="false">IF(K558+R558+T558+U558=0,0,(M558+R558+T558)/(K558+R558+T558+U558))</f>
        <v>0.363453815261044</v>
      </c>
      <c r="AA558" s="14" t="n">
        <f aca="false">IF(K558=0,0,X558/K558)</f>
        <v>0.413636363636364</v>
      </c>
      <c r="AB558" s="14" t="n">
        <f aca="false">Z558+AA558</f>
        <v>0.777090178897408</v>
      </c>
      <c r="AC558" s="14" t="n">
        <f aca="false">AA558-Y558</f>
        <v>0.125</v>
      </c>
      <c r="AD558" s="14" t="n">
        <f aca="false">IF(K558-S558-P558+U558=0,0,(M558-P558)/(K558-S558-P558+U558))</f>
        <v>0.339339339339339</v>
      </c>
      <c r="AE558" s="15" t="n">
        <f aca="false">IF(J558=0,0,R558/J558)</f>
        <v>0.0883534136546185</v>
      </c>
      <c r="AF558" s="15" t="n">
        <f aca="false">IF(J558=0,0,S558/J558)</f>
        <v>0.194779116465863</v>
      </c>
      <c r="AG558" s="11" t="n">
        <f aca="false">IF(J558&gt;=INDEX(球季參數!$E$2:$E$4,MATCH($A558,球季參數!$A$2:$A$4,0)),1,0)</f>
        <v>0</v>
      </c>
    </row>
    <row r="559" customFormat="false" ht="15" hidden="false" customHeight="false" outlineLevel="0" collapsed="false">
      <c r="A559" s="5" t="n">
        <v>2025</v>
      </c>
      <c r="B559" s="7" t="s">
        <v>1491</v>
      </c>
      <c r="C559" s="10" t="str">
        <f aca="false">INDEX(球員主檔!$B$2:$B$749,MATCH($B559,球員主檔!$A$2:$A$749,0))</f>
        <v>Holden Montalvo</v>
      </c>
      <c r="D559" s="7" t="s">
        <v>446</v>
      </c>
      <c r="E559" s="10" t="str">
        <f aca="false">INDEX(球隊主檔!$C$2:$C$31,MATCH($D559,球隊主檔!$A$2:$A$31,0))</f>
        <v>亞利桑那響尾蛇</v>
      </c>
      <c r="F559" s="10" t="str">
        <f aca="false">INDEX(球隊主檔!$D$2:$D$31,MATCH($D559,球隊主檔!$A$2:$A$31,0))</f>
        <v>國聯</v>
      </c>
      <c r="G559" s="7" t="s">
        <v>63</v>
      </c>
      <c r="H559" s="11" t="n">
        <f aca="false">INT((DATE($A559,7,1)-INDEX(球員主檔!$G$2:$G$749,MATCH($B559,球員主檔!$A$2:$A$749,0)))/365.25)</f>
        <v>25</v>
      </c>
      <c r="I559" s="12" t="n">
        <v>118</v>
      </c>
      <c r="J559" s="12" t="n">
        <v>471</v>
      </c>
      <c r="K559" s="12" t="n">
        <v>433</v>
      </c>
      <c r="L559" s="12" t="n">
        <v>57</v>
      </c>
      <c r="M559" s="12" t="n">
        <v>121</v>
      </c>
      <c r="N559" s="12" t="n">
        <v>28</v>
      </c>
      <c r="O559" s="12" t="n">
        <v>2</v>
      </c>
      <c r="P559" s="12" t="n">
        <v>21</v>
      </c>
      <c r="Q559" s="12" t="n">
        <v>75</v>
      </c>
      <c r="R559" s="12" t="n">
        <v>26</v>
      </c>
      <c r="S559" s="12" t="n">
        <v>98</v>
      </c>
      <c r="T559" s="12" t="n">
        <v>7</v>
      </c>
      <c r="U559" s="12" t="n">
        <v>5</v>
      </c>
      <c r="V559" s="12" t="n">
        <v>25</v>
      </c>
      <c r="W559" s="12" t="n">
        <v>6</v>
      </c>
      <c r="X559" s="13" t="n">
        <f aca="false">M559+N559+2*O559+3*P559</f>
        <v>216</v>
      </c>
      <c r="Y559" s="14" t="n">
        <f aca="false">IF(K559=0,0,M559/K559)</f>
        <v>0.279445727482679</v>
      </c>
      <c r="Z559" s="14" t="n">
        <f aca="false">IF(K559+R559+T559+U559=0,0,(M559+R559+T559)/(K559+R559+T559+U559))</f>
        <v>0.326963906581741</v>
      </c>
      <c r="AA559" s="14" t="n">
        <f aca="false">IF(K559=0,0,X559/K559)</f>
        <v>0.498845265588915</v>
      </c>
      <c r="AB559" s="14" t="n">
        <f aca="false">Z559+AA559</f>
        <v>0.825809172170656</v>
      </c>
      <c r="AC559" s="14" t="n">
        <f aca="false">AA559-Y559</f>
        <v>0.219399538106236</v>
      </c>
      <c r="AD559" s="14" t="n">
        <f aca="false">IF(K559-S559-P559+U559=0,0,(M559-P559)/(K559-S559-P559+U559))</f>
        <v>0.313479623824451</v>
      </c>
      <c r="AE559" s="15" t="n">
        <f aca="false">IF(J559=0,0,R559/J559)</f>
        <v>0.0552016985138004</v>
      </c>
      <c r="AF559" s="15" t="n">
        <f aca="false">IF(J559=0,0,S559/J559)</f>
        <v>0.208067940552017</v>
      </c>
      <c r="AG559" s="11" t="n">
        <f aca="false">IF(J559&gt;=INDEX(球季參數!$E$2:$E$4,MATCH($A559,球季參數!$A$2:$A$4,0)),1,0)</f>
        <v>0</v>
      </c>
    </row>
    <row r="560" customFormat="false" ht="15" hidden="false" customHeight="false" outlineLevel="0" collapsed="false">
      <c r="A560" s="5" t="n">
        <v>2025</v>
      </c>
      <c r="B560" s="7" t="s">
        <v>1493</v>
      </c>
      <c r="C560" s="10" t="str">
        <f aca="false">INDEX(球員主檔!$B$2:$B$749,MATCH($B560,球員主檔!$A$2:$A$749,0))</f>
        <v>Matthias Nordstrom</v>
      </c>
      <c r="D560" s="7" t="s">
        <v>446</v>
      </c>
      <c r="E560" s="10" t="str">
        <f aca="false">INDEX(球隊主檔!$C$2:$C$31,MATCH($D560,球隊主檔!$A$2:$A$31,0))</f>
        <v>亞利桑那響尾蛇</v>
      </c>
      <c r="F560" s="10" t="str">
        <f aca="false">INDEX(球隊主檔!$D$2:$D$31,MATCH($D560,球隊主檔!$A$2:$A$31,0))</f>
        <v>國聯</v>
      </c>
      <c r="G560" s="7" t="s">
        <v>483</v>
      </c>
      <c r="H560" s="11" t="n">
        <f aca="false">INT((DATE($A560,7,1)-INDEX(球員主檔!$G$2:$G$749,MATCH($B560,球員主檔!$A$2:$A$749,0)))/365.25)</f>
        <v>29</v>
      </c>
      <c r="I560" s="12" t="n">
        <v>86</v>
      </c>
      <c r="J560" s="12" t="n">
        <v>350</v>
      </c>
      <c r="K560" s="12" t="n">
        <v>307</v>
      </c>
      <c r="L560" s="12" t="n">
        <v>47</v>
      </c>
      <c r="M560" s="12" t="n">
        <v>88</v>
      </c>
      <c r="N560" s="12" t="n">
        <v>36</v>
      </c>
      <c r="O560" s="12" t="n">
        <v>3</v>
      </c>
      <c r="P560" s="12" t="n">
        <v>14</v>
      </c>
      <c r="Q560" s="12" t="n">
        <v>55</v>
      </c>
      <c r="R560" s="12" t="n">
        <v>36</v>
      </c>
      <c r="S560" s="12" t="n">
        <v>84</v>
      </c>
      <c r="T560" s="12" t="n">
        <v>5</v>
      </c>
      <c r="U560" s="12" t="n">
        <v>2</v>
      </c>
      <c r="V560" s="12" t="n">
        <v>11</v>
      </c>
      <c r="W560" s="12" t="n">
        <v>2</v>
      </c>
      <c r="X560" s="13" t="n">
        <f aca="false">M560+N560+2*O560+3*P560</f>
        <v>172</v>
      </c>
      <c r="Y560" s="14" t="n">
        <f aca="false">IF(K560=0,0,M560/K560)</f>
        <v>0.286644951140065</v>
      </c>
      <c r="Z560" s="14" t="n">
        <f aca="false">IF(K560+R560+T560+U560=0,0,(M560+R560+T560)/(K560+R560+T560+U560))</f>
        <v>0.368571428571429</v>
      </c>
      <c r="AA560" s="14" t="n">
        <f aca="false">IF(K560=0,0,X560/K560)</f>
        <v>0.560260586319218</v>
      </c>
      <c r="AB560" s="14" t="n">
        <f aca="false">Z560+AA560</f>
        <v>0.928832014890647</v>
      </c>
      <c r="AC560" s="14" t="n">
        <f aca="false">AA560-Y560</f>
        <v>0.273615635179153</v>
      </c>
      <c r="AD560" s="14" t="n">
        <f aca="false">IF(K560-S560-P560+U560=0,0,(M560-P560)/(K560-S560-P560+U560))</f>
        <v>0.350710900473934</v>
      </c>
      <c r="AE560" s="15" t="n">
        <f aca="false">IF(J560=0,0,R560/J560)</f>
        <v>0.102857142857143</v>
      </c>
      <c r="AF560" s="15" t="n">
        <f aca="false">IF(J560=0,0,S560/J560)</f>
        <v>0.24</v>
      </c>
      <c r="AG560" s="11" t="n">
        <f aca="false">IF(J560&gt;=INDEX(球季參數!$E$2:$E$4,MATCH($A560,球季參數!$A$2:$A$4,0)),1,0)</f>
        <v>0</v>
      </c>
    </row>
    <row r="561" customFormat="false" ht="15" hidden="false" customHeight="false" outlineLevel="0" collapsed="false">
      <c r="A561" s="5" t="n">
        <v>2025</v>
      </c>
      <c r="B561" s="7" t="s">
        <v>1495</v>
      </c>
      <c r="C561" s="10" t="str">
        <f aca="false">INDEX(球員主檔!$B$2:$B$749,MATCH($B561,球員主檔!$A$2:$A$749,0))</f>
        <v>Porter Esquivel</v>
      </c>
      <c r="D561" s="7" t="s">
        <v>446</v>
      </c>
      <c r="E561" s="10" t="str">
        <f aca="false">INDEX(球隊主檔!$C$2:$C$31,MATCH($D561,球隊主檔!$A$2:$A$31,0))</f>
        <v>亞利桑那響尾蛇</v>
      </c>
      <c r="F561" s="10" t="str">
        <f aca="false">INDEX(球隊主檔!$D$2:$D$31,MATCH($D561,球隊主檔!$A$2:$A$31,0))</f>
        <v>國聯</v>
      </c>
      <c r="G561" s="7" t="s">
        <v>158</v>
      </c>
      <c r="H561" s="11" t="n">
        <f aca="false">INT((DATE($A561,7,1)-INDEX(球員主檔!$G$2:$G$749,MATCH($B561,球員主檔!$A$2:$A$749,0)))/365.25)</f>
        <v>29</v>
      </c>
      <c r="I561" s="12" t="n">
        <v>67</v>
      </c>
      <c r="J561" s="12" t="n">
        <v>303</v>
      </c>
      <c r="K561" s="12" t="n">
        <v>277</v>
      </c>
      <c r="L561" s="12" t="n">
        <v>39</v>
      </c>
      <c r="M561" s="12" t="n">
        <v>68</v>
      </c>
      <c r="N561" s="12" t="n">
        <v>20</v>
      </c>
      <c r="O561" s="12" t="n">
        <v>5</v>
      </c>
      <c r="P561" s="12" t="n">
        <v>16</v>
      </c>
      <c r="Q561" s="12" t="n">
        <v>51</v>
      </c>
      <c r="R561" s="12" t="n">
        <v>23</v>
      </c>
      <c r="S561" s="12" t="n">
        <v>75</v>
      </c>
      <c r="T561" s="12" t="n">
        <v>1</v>
      </c>
      <c r="U561" s="12" t="n">
        <v>2</v>
      </c>
      <c r="V561" s="12" t="n">
        <v>2</v>
      </c>
      <c r="W561" s="12" t="n">
        <v>1</v>
      </c>
      <c r="X561" s="13" t="n">
        <f aca="false">M561+N561+2*O561+3*P561</f>
        <v>146</v>
      </c>
      <c r="Y561" s="14" t="n">
        <f aca="false">IF(K561=0,0,M561/K561)</f>
        <v>0.245487364620939</v>
      </c>
      <c r="Z561" s="14" t="n">
        <f aca="false">IF(K561+R561+T561+U561=0,0,(M561+R561+T561)/(K561+R561+T561+U561))</f>
        <v>0.303630363036304</v>
      </c>
      <c r="AA561" s="14" t="n">
        <f aca="false">IF(K561=0,0,X561/K561)</f>
        <v>0.527075812274368</v>
      </c>
      <c r="AB561" s="14" t="n">
        <f aca="false">Z561+AA561</f>
        <v>0.830706175310672</v>
      </c>
      <c r="AC561" s="14" t="n">
        <f aca="false">AA561-Y561</f>
        <v>0.28158844765343</v>
      </c>
      <c r="AD561" s="14" t="n">
        <f aca="false">IF(K561-S561-P561+U561=0,0,(M561-P561)/(K561-S561-P561+U561))</f>
        <v>0.276595744680851</v>
      </c>
      <c r="AE561" s="15" t="n">
        <f aca="false">IF(J561=0,0,R561/J561)</f>
        <v>0.0759075907590759</v>
      </c>
      <c r="AF561" s="15" t="n">
        <f aca="false">IF(J561=0,0,S561/J561)</f>
        <v>0.247524752475248</v>
      </c>
      <c r="AG561" s="11" t="n">
        <f aca="false">IF(J561&gt;=INDEX(球季參數!$E$2:$E$4,MATCH($A561,球季參數!$A$2:$A$4,0)),1,0)</f>
        <v>0</v>
      </c>
    </row>
    <row r="562" customFormat="false" ht="15" hidden="false" customHeight="false" outlineLevel="0" collapsed="false">
      <c r="A562" s="5" t="n">
        <v>2025</v>
      </c>
      <c r="B562" s="7" t="s">
        <v>1517</v>
      </c>
      <c r="C562" s="10" t="str">
        <f aca="false">INDEX(球員主檔!$B$2:$B$749,MATCH($B562,球員主檔!$A$2:$A$749,0))</f>
        <v>Bernardo Jernigan</v>
      </c>
      <c r="D562" s="7" t="s">
        <v>451</v>
      </c>
      <c r="E562" s="10" t="str">
        <f aca="false">INDEX(球隊主檔!$C$2:$C$31,MATCH($D562,球隊主檔!$A$2:$A$31,0))</f>
        <v>科羅拉多落磯</v>
      </c>
      <c r="F562" s="10" t="str">
        <f aca="false">INDEX(球隊主檔!$D$2:$D$31,MATCH($D562,球隊主檔!$A$2:$A$31,0))</f>
        <v>國聯</v>
      </c>
      <c r="G562" s="7" t="s">
        <v>522</v>
      </c>
      <c r="H562" s="11" t="n">
        <f aca="false">INT((DATE($A562,7,1)-INDEX(球員主檔!$G$2:$G$749,MATCH($B562,球員主檔!$A$2:$A$749,0)))/365.25)</f>
        <v>25</v>
      </c>
      <c r="I562" s="12" t="n">
        <v>87</v>
      </c>
      <c r="J562" s="12" t="n">
        <v>341</v>
      </c>
      <c r="K562" s="12" t="n">
        <v>317</v>
      </c>
      <c r="L562" s="12" t="n">
        <v>36</v>
      </c>
      <c r="M562" s="12" t="n">
        <v>73</v>
      </c>
      <c r="N562" s="12" t="n">
        <v>22</v>
      </c>
      <c r="O562" s="12" t="n">
        <v>6</v>
      </c>
      <c r="P562" s="12" t="n">
        <v>8</v>
      </c>
      <c r="Q562" s="12" t="n">
        <v>30</v>
      </c>
      <c r="R562" s="12" t="n">
        <v>19</v>
      </c>
      <c r="S562" s="12" t="n">
        <v>117</v>
      </c>
      <c r="T562" s="12" t="n">
        <v>2</v>
      </c>
      <c r="U562" s="12" t="n">
        <v>3</v>
      </c>
      <c r="V562" s="12" t="n">
        <v>20</v>
      </c>
      <c r="W562" s="12" t="n">
        <v>4</v>
      </c>
      <c r="X562" s="13" t="n">
        <f aca="false">M562+N562+2*O562+3*P562</f>
        <v>131</v>
      </c>
      <c r="Y562" s="14" t="n">
        <f aca="false">IF(K562=0,0,M562/K562)</f>
        <v>0.230283911671924</v>
      </c>
      <c r="Z562" s="14" t="n">
        <f aca="false">IF(K562+R562+T562+U562=0,0,(M562+R562+T562)/(K562+R562+T562+U562))</f>
        <v>0.275659824046921</v>
      </c>
      <c r="AA562" s="14" t="n">
        <f aca="false">IF(K562=0,0,X562/K562)</f>
        <v>0.413249211356467</v>
      </c>
      <c r="AB562" s="14" t="n">
        <f aca="false">Z562+AA562</f>
        <v>0.688909035403388</v>
      </c>
      <c r="AC562" s="14" t="n">
        <f aca="false">AA562-Y562</f>
        <v>0.182965299684543</v>
      </c>
      <c r="AD562" s="14" t="n">
        <f aca="false">IF(K562-S562-P562+U562=0,0,(M562-P562)/(K562-S562-P562+U562))</f>
        <v>0.333333333333333</v>
      </c>
      <c r="AE562" s="15" t="n">
        <f aca="false">IF(J562=0,0,R562/J562)</f>
        <v>0.0557184750733138</v>
      </c>
      <c r="AF562" s="15" t="n">
        <f aca="false">IF(J562=0,0,S562/J562)</f>
        <v>0.343108504398827</v>
      </c>
      <c r="AG562" s="11" t="n">
        <f aca="false">IF(J562&gt;=INDEX(球季參數!$E$2:$E$4,MATCH($A562,球季參數!$A$2:$A$4,0)),1,0)</f>
        <v>0</v>
      </c>
    </row>
    <row r="563" customFormat="false" ht="15" hidden="false" customHeight="false" outlineLevel="0" collapsed="false">
      <c r="A563" s="5" t="n">
        <v>2025</v>
      </c>
      <c r="B563" s="7" t="s">
        <v>1519</v>
      </c>
      <c r="C563" s="10" t="str">
        <f aca="false">INDEX(球員主檔!$B$2:$B$749,MATCH($B563,球員主檔!$A$2:$A$749,0))</f>
        <v>Zane Lemieux</v>
      </c>
      <c r="D563" s="7" t="s">
        <v>451</v>
      </c>
      <c r="E563" s="10" t="str">
        <f aca="false">INDEX(球隊主檔!$C$2:$C$31,MATCH($D563,球隊主檔!$A$2:$A$31,0))</f>
        <v>科羅拉多落磯</v>
      </c>
      <c r="F563" s="10" t="str">
        <f aca="false">INDEX(球隊主檔!$D$2:$D$31,MATCH($D563,球隊主檔!$A$2:$A$31,0))</f>
        <v>國聯</v>
      </c>
      <c r="G563" s="7" t="s">
        <v>470</v>
      </c>
      <c r="H563" s="11" t="n">
        <f aca="false">INT((DATE($A563,7,1)-INDEX(球員主檔!$G$2:$G$749,MATCH($B563,球員主檔!$A$2:$A$749,0)))/365.25)</f>
        <v>30</v>
      </c>
      <c r="I563" s="12" t="n">
        <v>156</v>
      </c>
      <c r="J563" s="12" t="n">
        <v>625</v>
      </c>
      <c r="K563" s="12" t="n">
        <v>576</v>
      </c>
      <c r="L563" s="12" t="n">
        <v>73</v>
      </c>
      <c r="M563" s="12" t="n">
        <v>144</v>
      </c>
      <c r="N563" s="12" t="n">
        <v>27</v>
      </c>
      <c r="O563" s="12" t="n">
        <v>8</v>
      </c>
      <c r="P563" s="12" t="n">
        <v>37</v>
      </c>
      <c r="Q563" s="12" t="n">
        <v>100</v>
      </c>
      <c r="R563" s="12" t="n">
        <v>31</v>
      </c>
      <c r="S563" s="12" t="n">
        <v>185</v>
      </c>
      <c r="T563" s="12" t="n">
        <v>11</v>
      </c>
      <c r="U563" s="12" t="n">
        <v>7</v>
      </c>
      <c r="V563" s="12" t="n">
        <v>24</v>
      </c>
      <c r="W563" s="12" t="n">
        <v>6</v>
      </c>
      <c r="X563" s="13" t="n">
        <f aca="false">M563+N563+2*O563+3*P563</f>
        <v>298</v>
      </c>
      <c r="Y563" s="14" t="n">
        <f aca="false">IF(K563=0,0,M563/K563)</f>
        <v>0.25</v>
      </c>
      <c r="Z563" s="14" t="n">
        <f aca="false">IF(K563+R563+T563+U563=0,0,(M563+R563+T563)/(K563+R563+T563+U563))</f>
        <v>0.2976</v>
      </c>
      <c r="AA563" s="14" t="n">
        <f aca="false">IF(K563=0,0,X563/K563)</f>
        <v>0.517361111111111</v>
      </c>
      <c r="AB563" s="14" t="n">
        <f aca="false">Z563+AA563</f>
        <v>0.814961111111111</v>
      </c>
      <c r="AC563" s="14" t="n">
        <f aca="false">AA563-Y563</f>
        <v>0.267361111111111</v>
      </c>
      <c r="AD563" s="14" t="n">
        <f aca="false">IF(K563-S563-P563+U563=0,0,(M563-P563)/(K563-S563-P563+U563))</f>
        <v>0.296398891966759</v>
      </c>
      <c r="AE563" s="15" t="n">
        <f aca="false">IF(J563=0,0,R563/J563)</f>
        <v>0.0496</v>
      </c>
      <c r="AF563" s="15" t="n">
        <f aca="false">IF(J563=0,0,S563/J563)</f>
        <v>0.296</v>
      </c>
      <c r="AG563" s="11" t="n">
        <f aca="false">IF(J563&gt;=INDEX(球季參數!$E$2:$E$4,MATCH($A563,球季參數!$A$2:$A$4,0)),1,0)</f>
        <v>1</v>
      </c>
    </row>
    <row r="564" customFormat="false" ht="15" hidden="false" customHeight="false" outlineLevel="0" collapsed="false">
      <c r="A564" s="5" t="n">
        <v>2025</v>
      </c>
      <c r="B564" s="7" t="s">
        <v>1521</v>
      </c>
      <c r="C564" s="10" t="str">
        <f aca="false">INDEX(球員主檔!$B$2:$B$749,MATCH($B564,球員主檔!$A$2:$A$749,0))</f>
        <v>Bernardo Fairbanks</v>
      </c>
      <c r="D564" s="7" t="s">
        <v>451</v>
      </c>
      <c r="E564" s="10" t="str">
        <f aca="false">INDEX(球隊主檔!$C$2:$C$31,MATCH($D564,球隊主檔!$A$2:$A$31,0))</f>
        <v>科羅拉多落磯</v>
      </c>
      <c r="F564" s="10" t="str">
        <f aca="false">INDEX(球隊主檔!$D$2:$D$31,MATCH($D564,球隊主檔!$A$2:$A$31,0))</f>
        <v>國聯</v>
      </c>
      <c r="G564" s="7" t="s">
        <v>158</v>
      </c>
      <c r="H564" s="11" t="n">
        <f aca="false">INT((DATE($A564,7,1)-INDEX(球員主檔!$G$2:$G$749,MATCH($B564,球員主檔!$A$2:$A$749,0)))/365.25)</f>
        <v>33</v>
      </c>
      <c r="I564" s="12" t="n">
        <v>73</v>
      </c>
      <c r="J564" s="12" t="n">
        <v>328</v>
      </c>
      <c r="K564" s="12" t="n">
        <v>300</v>
      </c>
      <c r="L564" s="12" t="n">
        <v>47</v>
      </c>
      <c r="M564" s="12" t="n">
        <v>84</v>
      </c>
      <c r="N564" s="12" t="n">
        <v>24</v>
      </c>
      <c r="O564" s="12" t="n">
        <v>9</v>
      </c>
      <c r="P564" s="12" t="n">
        <v>17</v>
      </c>
      <c r="Q564" s="12" t="n">
        <v>50</v>
      </c>
      <c r="R564" s="12" t="n">
        <v>20</v>
      </c>
      <c r="S564" s="12" t="n">
        <v>44</v>
      </c>
      <c r="T564" s="12" t="n">
        <v>6</v>
      </c>
      <c r="U564" s="12" t="n">
        <v>2</v>
      </c>
      <c r="V564" s="12" t="n">
        <v>7</v>
      </c>
      <c r="W564" s="12" t="n">
        <v>2</v>
      </c>
      <c r="X564" s="13" t="n">
        <f aca="false">M564+N564+2*O564+3*P564</f>
        <v>177</v>
      </c>
      <c r="Y564" s="14" t="n">
        <f aca="false">IF(K564=0,0,M564/K564)</f>
        <v>0.28</v>
      </c>
      <c r="Z564" s="14" t="n">
        <f aca="false">IF(K564+R564+T564+U564=0,0,(M564+R564+T564)/(K564+R564+T564+U564))</f>
        <v>0.335365853658537</v>
      </c>
      <c r="AA564" s="14" t="n">
        <f aca="false">IF(K564=0,0,X564/K564)</f>
        <v>0.59</v>
      </c>
      <c r="AB564" s="14" t="n">
        <f aca="false">Z564+AA564</f>
        <v>0.925365853658537</v>
      </c>
      <c r="AC564" s="14" t="n">
        <f aca="false">AA564-Y564</f>
        <v>0.31</v>
      </c>
      <c r="AD564" s="14" t="n">
        <f aca="false">IF(K564-S564-P564+U564=0,0,(M564-P564)/(K564-S564-P564+U564))</f>
        <v>0.278008298755187</v>
      </c>
      <c r="AE564" s="15" t="n">
        <f aca="false">IF(J564=0,0,R564/J564)</f>
        <v>0.0609756097560976</v>
      </c>
      <c r="AF564" s="15" t="n">
        <f aca="false">IF(J564=0,0,S564/J564)</f>
        <v>0.134146341463415</v>
      </c>
      <c r="AG564" s="11" t="n">
        <f aca="false">IF(J564&gt;=INDEX(球季參數!$E$2:$E$4,MATCH($A564,球季參數!$A$2:$A$4,0)),1,0)</f>
        <v>0</v>
      </c>
    </row>
    <row r="565" customFormat="false" ht="15" hidden="false" customHeight="false" outlineLevel="0" collapsed="false">
      <c r="A565" s="5" t="n">
        <v>2025</v>
      </c>
      <c r="B565" s="7" t="s">
        <v>1523</v>
      </c>
      <c r="C565" s="10" t="str">
        <f aca="false">INDEX(球員主檔!$B$2:$B$749,MATCH($B565,球員主檔!$A$2:$A$749,0))</f>
        <v>Jedidiah Ibarra</v>
      </c>
      <c r="D565" s="7" t="s">
        <v>451</v>
      </c>
      <c r="E565" s="10" t="str">
        <f aca="false">INDEX(球隊主檔!$C$2:$C$31,MATCH($D565,球隊主檔!$A$2:$A$31,0))</f>
        <v>科羅拉多落磯</v>
      </c>
      <c r="F565" s="10" t="str">
        <f aca="false">INDEX(球隊主檔!$D$2:$D$31,MATCH($D565,球隊主檔!$A$2:$A$31,0))</f>
        <v>國聯</v>
      </c>
      <c r="G565" s="7" t="s">
        <v>162</v>
      </c>
      <c r="H565" s="11" t="n">
        <f aca="false">INT((DATE($A565,7,1)-INDEX(球員主檔!$G$2:$G$749,MATCH($B565,球員主檔!$A$2:$A$749,0)))/365.25)</f>
        <v>24</v>
      </c>
      <c r="I565" s="12" t="n">
        <v>162</v>
      </c>
      <c r="J565" s="12" t="n">
        <v>678</v>
      </c>
      <c r="K565" s="12" t="n">
        <v>614</v>
      </c>
      <c r="L565" s="12" t="n">
        <v>64</v>
      </c>
      <c r="M565" s="12" t="n">
        <v>123</v>
      </c>
      <c r="N565" s="12" t="n">
        <v>31</v>
      </c>
      <c r="O565" s="12" t="n">
        <v>3</v>
      </c>
      <c r="P565" s="12" t="n">
        <v>10</v>
      </c>
      <c r="Q565" s="12" t="n">
        <v>46</v>
      </c>
      <c r="R565" s="12" t="n">
        <v>50</v>
      </c>
      <c r="S565" s="12" t="n">
        <v>208</v>
      </c>
      <c r="T565" s="12" t="n">
        <v>13</v>
      </c>
      <c r="U565" s="12" t="n">
        <v>1</v>
      </c>
      <c r="V565" s="12" t="n">
        <v>31</v>
      </c>
      <c r="W565" s="12" t="n">
        <v>5</v>
      </c>
      <c r="X565" s="13" t="n">
        <f aca="false">M565+N565+2*O565+3*P565</f>
        <v>190</v>
      </c>
      <c r="Y565" s="14" t="n">
        <f aca="false">IF(K565=0,0,M565/K565)</f>
        <v>0.200325732899023</v>
      </c>
      <c r="Z565" s="14" t="n">
        <f aca="false">IF(K565+R565+T565+U565=0,0,(M565+R565+T565)/(K565+R565+T565+U565))</f>
        <v>0.274336283185841</v>
      </c>
      <c r="AA565" s="14" t="n">
        <f aca="false">IF(K565=0,0,X565/K565)</f>
        <v>0.309446254071661</v>
      </c>
      <c r="AB565" s="14" t="n">
        <f aca="false">Z565+AA565</f>
        <v>0.583782537257502</v>
      </c>
      <c r="AC565" s="14" t="n">
        <f aca="false">AA565-Y565</f>
        <v>0.109120521172638</v>
      </c>
      <c r="AD565" s="14" t="n">
        <f aca="false">IF(K565-S565-P565+U565=0,0,(M565-P565)/(K565-S565-P565+U565))</f>
        <v>0.28463476070529</v>
      </c>
      <c r="AE565" s="15" t="n">
        <f aca="false">IF(J565=0,0,R565/J565)</f>
        <v>0.0737463126843658</v>
      </c>
      <c r="AF565" s="15" t="n">
        <f aca="false">IF(J565=0,0,S565/J565)</f>
        <v>0.306784660766962</v>
      </c>
      <c r="AG565" s="11" t="n">
        <f aca="false">IF(J565&gt;=INDEX(球季參數!$E$2:$E$4,MATCH($A565,球季參數!$A$2:$A$4,0)),1,0)</f>
        <v>1</v>
      </c>
    </row>
    <row r="566" customFormat="false" ht="15" hidden="false" customHeight="false" outlineLevel="0" collapsed="false">
      <c r="A566" s="5" t="n">
        <v>2025</v>
      </c>
      <c r="B566" s="7" t="s">
        <v>1525</v>
      </c>
      <c r="C566" s="10" t="str">
        <f aca="false">INDEX(球員主檔!$B$2:$B$749,MATCH($B566,球員主檔!$A$2:$A$749,0))</f>
        <v>Sawyer Zamarripa</v>
      </c>
      <c r="D566" s="7" t="s">
        <v>451</v>
      </c>
      <c r="E566" s="10" t="str">
        <f aca="false">INDEX(球隊主檔!$C$2:$C$31,MATCH($D566,球隊主檔!$A$2:$A$31,0))</f>
        <v>科羅拉多落磯</v>
      </c>
      <c r="F566" s="10" t="str">
        <f aca="false">INDEX(球隊主檔!$D$2:$D$31,MATCH($D566,球隊主檔!$A$2:$A$31,0))</f>
        <v>國聯</v>
      </c>
      <c r="G566" s="7" t="s">
        <v>478</v>
      </c>
      <c r="H566" s="11" t="n">
        <f aca="false">INT((DATE($A566,7,1)-INDEX(球員主檔!$G$2:$G$749,MATCH($B566,球員主檔!$A$2:$A$749,0)))/365.25)</f>
        <v>25</v>
      </c>
      <c r="I566" s="12" t="n">
        <v>145</v>
      </c>
      <c r="J566" s="12" t="n">
        <v>653</v>
      </c>
      <c r="K566" s="12" t="n">
        <v>574</v>
      </c>
      <c r="L566" s="12" t="n">
        <v>75</v>
      </c>
      <c r="M566" s="12" t="n">
        <v>144</v>
      </c>
      <c r="N566" s="12" t="n">
        <v>40</v>
      </c>
      <c r="O566" s="12" t="n">
        <v>6</v>
      </c>
      <c r="P566" s="12" t="n">
        <v>26</v>
      </c>
      <c r="Q566" s="12" t="n">
        <v>73</v>
      </c>
      <c r="R566" s="12" t="n">
        <v>66</v>
      </c>
      <c r="S566" s="12" t="n">
        <v>139</v>
      </c>
      <c r="T566" s="12" t="n">
        <v>10</v>
      </c>
      <c r="U566" s="12" t="n">
        <v>3</v>
      </c>
      <c r="V566" s="12" t="n">
        <v>5</v>
      </c>
      <c r="W566" s="12" t="n">
        <v>1</v>
      </c>
      <c r="X566" s="13" t="n">
        <f aca="false">M566+N566+2*O566+3*P566</f>
        <v>274</v>
      </c>
      <c r="Y566" s="14" t="n">
        <f aca="false">IF(K566=0,0,M566/K566)</f>
        <v>0.250871080139373</v>
      </c>
      <c r="Z566" s="14" t="n">
        <f aca="false">IF(K566+R566+T566+U566=0,0,(M566+R566+T566)/(K566+R566+T566+U566))</f>
        <v>0.336906584992343</v>
      </c>
      <c r="AA566" s="14" t="n">
        <f aca="false">IF(K566=0,0,X566/K566)</f>
        <v>0.477351916376307</v>
      </c>
      <c r="AB566" s="14" t="n">
        <f aca="false">Z566+AA566</f>
        <v>0.81425850136865</v>
      </c>
      <c r="AC566" s="14" t="n">
        <f aca="false">AA566-Y566</f>
        <v>0.226480836236934</v>
      </c>
      <c r="AD566" s="14" t="n">
        <f aca="false">IF(K566-S566-P566+U566=0,0,(M566-P566)/(K566-S566-P566+U566))</f>
        <v>0.286407766990291</v>
      </c>
      <c r="AE566" s="15" t="n">
        <f aca="false">IF(J566=0,0,R566/J566)</f>
        <v>0.101071975497703</v>
      </c>
      <c r="AF566" s="15" t="n">
        <f aca="false">IF(J566=0,0,S566/J566)</f>
        <v>0.212863705972435</v>
      </c>
      <c r="AG566" s="11" t="n">
        <f aca="false">IF(J566&gt;=INDEX(球季參數!$E$2:$E$4,MATCH($A566,球季參數!$A$2:$A$4,0)),1,0)</f>
        <v>1</v>
      </c>
    </row>
    <row r="567" customFormat="false" ht="15" hidden="false" customHeight="false" outlineLevel="0" collapsed="false">
      <c r="A567" s="5" t="n">
        <v>2025</v>
      </c>
      <c r="B567" s="7" t="s">
        <v>1527</v>
      </c>
      <c r="C567" s="10" t="str">
        <f aca="false">INDEX(球員主檔!$B$2:$B$749,MATCH($B567,球員主檔!$A$2:$A$749,0))</f>
        <v>Joaquín Kowalczyk</v>
      </c>
      <c r="D567" s="7" t="s">
        <v>451</v>
      </c>
      <c r="E567" s="10" t="str">
        <f aca="false">INDEX(球隊主檔!$C$2:$C$31,MATCH($D567,球隊主檔!$A$2:$A$31,0))</f>
        <v>科羅拉多落磯</v>
      </c>
      <c r="F567" s="10" t="str">
        <f aca="false">INDEX(球隊主檔!$D$2:$D$31,MATCH($D567,球隊主檔!$A$2:$A$31,0))</f>
        <v>國聯</v>
      </c>
      <c r="G567" s="7" t="s">
        <v>470</v>
      </c>
      <c r="H567" s="11" t="n">
        <f aca="false">INT((DATE($A567,7,1)-INDEX(球員主檔!$G$2:$G$749,MATCH($B567,球員主檔!$A$2:$A$749,0)))/365.25)</f>
        <v>26</v>
      </c>
      <c r="I567" s="12" t="n">
        <v>74</v>
      </c>
      <c r="J567" s="12" t="n">
        <v>302</v>
      </c>
      <c r="K567" s="12" t="n">
        <v>267</v>
      </c>
      <c r="L567" s="12" t="n">
        <v>41</v>
      </c>
      <c r="M567" s="12" t="n">
        <v>77</v>
      </c>
      <c r="N567" s="12" t="n">
        <v>22</v>
      </c>
      <c r="O567" s="12" t="n">
        <v>2</v>
      </c>
      <c r="P567" s="12" t="n">
        <v>12</v>
      </c>
      <c r="Q567" s="12" t="n">
        <v>43</v>
      </c>
      <c r="R567" s="12" t="n">
        <v>30</v>
      </c>
      <c r="S567" s="12" t="n">
        <v>64</v>
      </c>
      <c r="T567" s="12" t="n">
        <v>3</v>
      </c>
      <c r="U567" s="12" t="n">
        <v>2</v>
      </c>
      <c r="V567" s="12" t="n">
        <v>16</v>
      </c>
      <c r="W567" s="12" t="n">
        <v>6</v>
      </c>
      <c r="X567" s="13" t="n">
        <f aca="false">M567+N567+2*O567+3*P567</f>
        <v>139</v>
      </c>
      <c r="Y567" s="14" t="n">
        <f aca="false">IF(K567=0,0,M567/K567)</f>
        <v>0.288389513108614</v>
      </c>
      <c r="Z567" s="14" t="n">
        <f aca="false">IF(K567+R567+T567+U567=0,0,(M567+R567+T567)/(K567+R567+T567+U567))</f>
        <v>0.364238410596026</v>
      </c>
      <c r="AA567" s="14" t="n">
        <f aca="false">IF(K567=0,0,X567/K567)</f>
        <v>0.52059925093633</v>
      </c>
      <c r="AB567" s="14" t="n">
        <f aca="false">Z567+AA567</f>
        <v>0.884837661532356</v>
      </c>
      <c r="AC567" s="14" t="n">
        <f aca="false">AA567-Y567</f>
        <v>0.232209737827715</v>
      </c>
      <c r="AD567" s="14" t="n">
        <f aca="false">IF(K567-S567-P567+U567=0,0,(M567-P567)/(K567-S567-P567+U567))</f>
        <v>0.336787564766839</v>
      </c>
      <c r="AE567" s="15" t="n">
        <f aca="false">IF(J567=0,0,R567/J567)</f>
        <v>0.0993377483443709</v>
      </c>
      <c r="AF567" s="15" t="n">
        <f aca="false">IF(J567=0,0,S567/J567)</f>
        <v>0.211920529801325</v>
      </c>
      <c r="AG567" s="11" t="n">
        <f aca="false">IF(J567&gt;=INDEX(球季參數!$E$2:$E$4,MATCH($A567,球季參數!$A$2:$A$4,0)),1,0)</f>
        <v>0</v>
      </c>
    </row>
    <row r="568" customFormat="false" ht="15" hidden="false" customHeight="false" outlineLevel="0" collapsed="false">
      <c r="A568" s="5" t="n">
        <v>2025</v>
      </c>
      <c r="B568" s="7" t="s">
        <v>1529</v>
      </c>
      <c r="C568" s="10" t="str">
        <f aca="false">INDEX(球員主檔!$B$2:$B$749,MATCH($B568,球員主檔!$A$2:$A$749,0))</f>
        <v>Minjae Ulloa</v>
      </c>
      <c r="D568" s="7" t="s">
        <v>451</v>
      </c>
      <c r="E568" s="10" t="str">
        <f aca="false">INDEX(球隊主檔!$C$2:$C$31,MATCH($D568,球隊主檔!$A$2:$A$31,0))</f>
        <v>科羅拉多落磯</v>
      </c>
      <c r="F568" s="10" t="str">
        <f aca="false">INDEX(球隊主檔!$D$2:$D$31,MATCH($D568,球隊主檔!$A$2:$A$31,0))</f>
        <v>國聯</v>
      </c>
      <c r="G568" s="7" t="s">
        <v>63</v>
      </c>
      <c r="H568" s="11" t="n">
        <f aca="false">INT((DATE($A568,7,1)-INDEX(球員主檔!$G$2:$G$749,MATCH($B568,球員主檔!$A$2:$A$749,0)))/365.25)</f>
        <v>27</v>
      </c>
      <c r="I568" s="12" t="n">
        <v>39</v>
      </c>
      <c r="J568" s="12" t="n">
        <v>173</v>
      </c>
      <c r="K568" s="12" t="n">
        <v>155</v>
      </c>
      <c r="L568" s="12" t="n">
        <v>17</v>
      </c>
      <c r="M568" s="12" t="n">
        <v>39</v>
      </c>
      <c r="N568" s="12" t="n">
        <v>18</v>
      </c>
      <c r="O568" s="12" t="n">
        <v>4</v>
      </c>
      <c r="P568" s="12" t="n">
        <v>1</v>
      </c>
      <c r="Q568" s="12" t="n">
        <v>10</v>
      </c>
      <c r="R568" s="12" t="n">
        <v>14</v>
      </c>
      <c r="S568" s="12" t="n">
        <v>31</v>
      </c>
      <c r="T568" s="12" t="n">
        <v>3</v>
      </c>
      <c r="U568" s="12" t="n">
        <v>1</v>
      </c>
      <c r="V568" s="12" t="n">
        <v>5</v>
      </c>
      <c r="W568" s="12" t="n">
        <v>2</v>
      </c>
      <c r="X568" s="13" t="n">
        <f aca="false">M568+N568+2*O568+3*P568</f>
        <v>68</v>
      </c>
      <c r="Y568" s="14" t="n">
        <f aca="false">IF(K568=0,0,M568/K568)</f>
        <v>0.251612903225806</v>
      </c>
      <c r="Z568" s="14" t="n">
        <f aca="false">IF(K568+R568+T568+U568=0,0,(M568+R568+T568)/(K568+R568+T568+U568))</f>
        <v>0.323699421965318</v>
      </c>
      <c r="AA568" s="14" t="n">
        <f aca="false">IF(K568=0,0,X568/K568)</f>
        <v>0.438709677419355</v>
      </c>
      <c r="AB568" s="14" t="n">
        <f aca="false">Z568+AA568</f>
        <v>0.762409099384673</v>
      </c>
      <c r="AC568" s="14" t="n">
        <f aca="false">AA568-Y568</f>
        <v>0.187096774193548</v>
      </c>
      <c r="AD568" s="14" t="n">
        <f aca="false">IF(K568-S568-P568+U568=0,0,(M568-P568)/(K568-S568-P568+U568))</f>
        <v>0.306451612903226</v>
      </c>
      <c r="AE568" s="15" t="n">
        <f aca="false">IF(J568=0,0,R568/J568)</f>
        <v>0.0809248554913295</v>
      </c>
      <c r="AF568" s="15" t="n">
        <f aca="false">IF(J568=0,0,S568/J568)</f>
        <v>0.179190751445087</v>
      </c>
      <c r="AG568" s="11" t="n">
        <f aca="false">IF(J568&gt;=INDEX(球季參數!$E$2:$E$4,MATCH($A568,球季參數!$A$2:$A$4,0)),1,0)</f>
        <v>0</v>
      </c>
    </row>
    <row r="569" customFormat="false" ht="15" hidden="false" customHeight="false" outlineLevel="0" collapsed="false">
      <c r="A569" s="5" t="n">
        <v>2025</v>
      </c>
      <c r="B569" s="7" t="s">
        <v>1531</v>
      </c>
      <c r="C569" s="10" t="str">
        <f aca="false">INDEX(球員主檔!$B$2:$B$749,MATCH($B569,球員主檔!$A$2:$A$749,0))</f>
        <v>Alonso Kestrel</v>
      </c>
      <c r="D569" s="7" t="s">
        <v>451</v>
      </c>
      <c r="E569" s="10" t="str">
        <f aca="false">INDEX(球隊主檔!$C$2:$C$31,MATCH($D569,球隊主檔!$A$2:$A$31,0))</f>
        <v>科羅拉多落磯</v>
      </c>
      <c r="F569" s="10" t="str">
        <f aca="false">INDEX(球隊主檔!$D$2:$D$31,MATCH($D569,球隊主檔!$A$2:$A$31,0))</f>
        <v>國聯</v>
      </c>
      <c r="G569" s="7" t="s">
        <v>522</v>
      </c>
      <c r="H569" s="11" t="n">
        <f aca="false">INT((DATE($A569,7,1)-INDEX(球員主檔!$G$2:$G$749,MATCH($B569,球員主檔!$A$2:$A$749,0)))/365.25)</f>
        <v>31</v>
      </c>
      <c r="I569" s="12" t="n">
        <v>87</v>
      </c>
      <c r="J569" s="12" t="n">
        <v>381</v>
      </c>
      <c r="K569" s="12" t="n">
        <v>328</v>
      </c>
      <c r="L569" s="12" t="n">
        <v>39</v>
      </c>
      <c r="M569" s="12" t="n">
        <v>64</v>
      </c>
      <c r="N569" s="12" t="n">
        <v>24</v>
      </c>
      <c r="O569" s="12" t="n">
        <v>6</v>
      </c>
      <c r="P569" s="12" t="n">
        <v>9</v>
      </c>
      <c r="Q569" s="12" t="n">
        <v>37</v>
      </c>
      <c r="R569" s="12" t="n">
        <v>47</v>
      </c>
      <c r="S569" s="12" t="n">
        <v>88</v>
      </c>
      <c r="T569" s="12" t="n">
        <v>5</v>
      </c>
      <c r="U569" s="12" t="n">
        <v>1</v>
      </c>
      <c r="V569" s="12" t="n">
        <v>7</v>
      </c>
      <c r="W569" s="12" t="n">
        <v>2</v>
      </c>
      <c r="X569" s="13" t="n">
        <f aca="false">M569+N569+2*O569+3*P569</f>
        <v>127</v>
      </c>
      <c r="Y569" s="14" t="n">
        <f aca="false">IF(K569=0,0,M569/K569)</f>
        <v>0.195121951219512</v>
      </c>
      <c r="Z569" s="14" t="n">
        <f aca="false">IF(K569+R569+T569+U569=0,0,(M569+R569+T569)/(K569+R569+T569+U569))</f>
        <v>0.304461942257218</v>
      </c>
      <c r="AA569" s="14" t="n">
        <f aca="false">IF(K569=0,0,X569/K569)</f>
        <v>0.38719512195122</v>
      </c>
      <c r="AB569" s="14" t="n">
        <f aca="false">Z569+AA569</f>
        <v>0.691657064208437</v>
      </c>
      <c r="AC569" s="14" t="n">
        <f aca="false">AA569-Y569</f>
        <v>0.192073170731707</v>
      </c>
      <c r="AD569" s="14" t="n">
        <f aca="false">IF(K569-S569-P569+U569=0,0,(M569-P569)/(K569-S569-P569+U569))</f>
        <v>0.237068965517241</v>
      </c>
      <c r="AE569" s="15" t="n">
        <f aca="false">IF(J569=0,0,R569/J569)</f>
        <v>0.123359580052493</v>
      </c>
      <c r="AF569" s="15" t="n">
        <f aca="false">IF(J569=0,0,S569/J569)</f>
        <v>0.230971128608924</v>
      </c>
      <c r="AG569" s="11" t="n">
        <f aca="false">IF(J569&gt;=INDEX(球季參數!$E$2:$E$4,MATCH($A569,球季參數!$A$2:$A$4,0)),1,0)</f>
        <v>0</v>
      </c>
    </row>
    <row r="570" customFormat="false" ht="15" hidden="false" customHeight="false" outlineLevel="0" collapsed="false">
      <c r="A570" s="5" t="n">
        <v>2025</v>
      </c>
      <c r="B570" s="7" t="s">
        <v>1533</v>
      </c>
      <c r="C570" s="10" t="str">
        <f aca="false">INDEX(球員主檔!$B$2:$B$749,MATCH($B570,球員主檔!$A$2:$A$749,0))</f>
        <v>Osvaldo Paszkiewicz</v>
      </c>
      <c r="D570" s="7" t="s">
        <v>451</v>
      </c>
      <c r="E570" s="10" t="str">
        <f aca="false">INDEX(球隊主檔!$C$2:$C$31,MATCH($D570,球隊主檔!$A$2:$A$31,0))</f>
        <v>科羅拉多落磯</v>
      </c>
      <c r="F570" s="10" t="str">
        <f aca="false">INDEX(球隊主檔!$D$2:$D$31,MATCH($D570,球隊主檔!$A$2:$A$31,0))</f>
        <v>國聯</v>
      </c>
      <c r="G570" s="7" t="s">
        <v>158</v>
      </c>
      <c r="H570" s="11" t="n">
        <f aca="false">INT((DATE($A570,7,1)-INDEX(球員主檔!$G$2:$G$749,MATCH($B570,球員主檔!$A$2:$A$749,0)))/365.25)</f>
        <v>30</v>
      </c>
      <c r="I570" s="12" t="n">
        <v>57</v>
      </c>
      <c r="J570" s="12" t="n">
        <v>257</v>
      </c>
      <c r="K570" s="12" t="n">
        <v>225</v>
      </c>
      <c r="L570" s="12" t="n">
        <v>28</v>
      </c>
      <c r="M570" s="12" t="n">
        <v>47</v>
      </c>
      <c r="N570" s="12" t="n">
        <v>12</v>
      </c>
      <c r="O570" s="12" t="n">
        <v>5</v>
      </c>
      <c r="P570" s="12" t="n">
        <v>10</v>
      </c>
      <c r="Q570" s="12" t="n">
        <v>28</v>
      </c>
      <c r="R570" s="12" t="n">
        <v>28</v>
      </c>
      <c r="S570" s="12" t="n">
        <v>32</v>
      </c>
      <c r="T570" s="12" t="n">
        <v>3</v>
      </c>
      <c r="U570" s="12" t="n">
        <v>1</v>
      </c>
      <c r="V570" s="12" t="n">
        <v>1</v>
      </c>
      <c r="W570" s="12" t="n">
        <v>0</v>
      </c>
      <c r="X570" s="13" t="n">
        <f aca="false">M570+N570+2*O570+3*P570</f>
        <v>99</v>
      </c>
      <c r="Y570" s="14" t="n">
        <f aca="false">IF(K570=0,0,M570/K570)</f>
        <v>0.208888888888889</v>
      </c>
      <c r="Z570" s="14" t="n">
        <f aca="false">IF(K570+R570+T570+U570=0,0,(M570+R570+T570)/(K570+R570+T570+U570))</f>
        <v>0.303501945525292</v>
      </c>
      <c r="AA570" s="14" t="n">
        <f aca="false">IF(K570=0,0,X570/K570)</f>
        <v>0.44</v>
      </c>
      <c r="AB570" s="14" t="n">
        <f aca="false">Z570+AA570</f>
        <v>0.743501945525292</v>
      </c>
      <c r="AC570" s="14" t="n">
        <f aca="false">AA570-Y570</f>
        <v>0.231111111111111</v>
      </c>
      <c r="AD570" s="14" t="n">
        <f aca="false">IF(K570-S570-P570+U570=0,0,(M570-P570)/(K570-S570-P570+U570))</f>
        <v>0.201086956521739</v>
      </c>
      <c r="AE570" s="15" t="n">
        <f aca="false">IF(J570=0,0,R570/J570)</f>
        <v>0.108949416342412</v>
      </c>
      <c r="AF570" s="15" t="n">
        <f aca="false">IF(J570=0,0,S570/J570)</f>
        <v>0.124513618677043</v>
      </c>
      <c r="AG570" s="11" t="n">
        <f aca="false">IF(J570&gt;=INDEX(球季參數!$E$2:$E$4,MATCH($A570,球季參數!$A$2:$A$4,0)),1,0)</f>
        <v>0</v>
      </c>
    </row>
    <row r="571" customFormat="false" ht="15" hidden="false" customHeight="false" outlineLevel="0" collapsed="false">
      <c r="A571" s="5" t="n">
        <v>2025</v>
      </c>
      <c r="B571" s="7" t="s">
        <v>1535</v>
      </c>
      <c r="C571" s="10" t="str">
        <f aca="false">INDEX(球員主檔!$B$2:$B$749,MATCH($B571,球員主檔!$A$2:$A$749,0))</f>
        <v>Matthias Redmayne</v>
      </c>
      <c r="D571" s="7" t="s">
        <v>451</v>
      </c>
      <c r="E571" s="10" t="str">
        <f aca="false">INDEX(球隊主檔!$C$2:$C$31,MATCH($D571,球隊主檔!$A$2:$A$31,0))</f>
        <v>科羅拉多落磯</v>
      </c>
      <c r="F571" s="10" t="str">
        <f aca="false">INDEX(球隊主檔!$D$2:$D$31,MATCH($D571,球隊主檔!$A$2:$A$31,0))</f>
        <v>國聯</v>
      </c>
      <c r="G571" s="7" t="s">
        <v>483</v>
      </c>
      <c r="H571" s="11" t="n">
        <f aca="false">INT((DATE($A571,7,1)-INDEX(球員主檔!$G$2:$G$749,MATCH($B571,球員主檔!$A$2:$A$749,0)))/365.25)</f>
        <v>27</v>
      </c>
      <c r="I571" s="12" t="n">
        <v>61</v>
      </c>
      <c r="J571" s="12" t="n">
        <v>255</v>
      </c>
      <c r="K571" s="12" t="n">
        <v>223</v>
      </c>
      <c r="L571" s="12" t="n">
        <v>32</v>
      </c>
      <c r="M571" s="12" t="n">
        <v>52</v>
      </c>
      <c r="N571" s="12" t="n">
        <v>12</v>
      </c>
      <c r="O571" s="12" t="n">
        <v>3</v>
      </c>
      <c r="P571" s="12" t="n">
        <v>7</v>
      </c>
      <c r="Q571" s="12" t="n">
        <v>29</v>
      </c>
      <c r="R571" s="12" t="n">
        <v>27</v>
      </c>
      <c r="S571" s="12" t="n">
        <v>79</v>
      </c>
      <c r="T571" s="12" t="n">
        <v>2</v>
      </c>
      <c r="U571" s="12" t="n">
        <v>3</v>
      </c>
      <c r="V571" s="12" t="n">
        <v>1</v>
      </c>
      <c r="W571" s="12" t="n">
        <v>0</v>
      </c>
      <c r="X571" s="13" t="n">
        <f aca="false">M571+N571+2*O571+3*P571</f>
        <v>91</v>
      </c>
      <c r="Y571" s="14" t="n">
        <f aca="false">IF(K571=0,0,M571/K571)</f>
        <v>0.233183856502242</v>
      </c>
      <c r="Z571" s="14" t="n">
        <f aca="false">IF(K571+R571+T571+U571=0,0,(M571+R571+T571)/(K571+R571+T571+U571))</f>
        <v>0.317647058823529</v>
      </c>
      <c r="AA571" s="14" t="n">
        <f aca="false">IF(K571=0,0,X571/K571)</f>
        <v>0.408071748878924</v>
      </c>
      <c r="AB571" s="14" t="n">
        <f aca="false">Z571+AA571</f>
        <v>0.725718807702453</v>
      </c>
      <c r="AC571" s="14" t="n">
        <f aca="false">AA571-Y571</f>
        <v>0.174887892376682</v>
      </c>
      <c r="AD571" s="14" t="n">
        <f aca="false">IF(K571-S571-P571+U571=0,0,(M571-P571)/(K571-S571-P571+U571))</f>
        <v>0.321428571428571</v>
      </c>
      <c r="AE571" s="15" t="n">
        <f aca="false">IF(J571=0,0,R571/J571)</f>
        <v>0.105882352941176</v>
      </c>
      <c r="AF571" s="15" t="n">
        <f aca="false">IF(J571=0,0,S571/J571)</f>
        <v>0.309803921568627</v>
      </c>
      <c r="AG571" s="11" t="n">
        <f aca="false">IF(J571&gt;=INDEX(球季參數!$E$2:$E$4,MATCH($A571,球季參數!$A$2:$A$4,0)),1,0)</f>
        <v>0</v>
      </c>
    </row>
    <row r="572" customFormat="false" ht="15" hidden="false" customHeight="false" outlineLevel="0" collapsed="false">
      <c r="A572" s="5" t="n">
        <v>2025</v>
      </c>
      <c r="B572" s="7" t="s">
        <v>1791</v>
      </c>
      <c r="C572" s="10" t="str">
        <f aca="false">INDEX(球員主檔!$B$2:$B$749,MATCH($B572,球員主檔!$A$2:$A$749,0))</f>
        <v>Percival Dubois</v>
      </c>
      <c r="D572" s="7" t="s">
        <v>455</v>
      </c>
      <c r="E572" s="10" t="str">
        <f aca="false">INDEX(球隊主檔!$C$2:$C$31,MATCH($D572,球隊主檔!$A$2:$A$31,0))</f>
        <v>洛杉磯道奇</v>
      </c>
      <c r="F572" s="10" t="str">
        <f aca="false">INDEX(球隊主檔!$D$2:$D$31,MATCH($D572,球隊主檔!$A$2:$A$31,0))</f>
        <v>國聯</v>
      </c>
      <c r="G572" s="7" t="s">
        <v>486</v>
      </c>
      <c r="H572" s="11" t="n">
        <f aca="false">INT((DATE($A572,7,1)-INDEX(球員主檔!$G$2:$G$749,MATCH($B572,球員主檔!$A$2:$A$749,0)))/365.25)</f>
        <v>22</v>
      </c>
      <c r="I572" s="12" t="n">
        <v>138</v>
      </c>
      <c r="J572" s="12" t="n">
        <v>591</v>
      </c>
      <c r="K572" s="12" t="n">
        <v>513</v>
      </c>
      <c r="L572" s="12" t="n">
        <v>85</v>
      </c>
      <c r="M572" s="12" t="n">
        <v>151</v>
      </c>
      <c r="N572" s="12" t="n">
        <v>16</v>
      </c>
      <c r="O572" s="12" t="n">
        <v>11</v>
      </c>
      <c r="P572" s="12" t="n">
        <v>27</v>
      </c>
      <c r="Q572" s="12" t="n">
        <v>96</v>
      </c>
      <c r="R572" s="12" t="n">
        <v>68</v>
      </c>
      <c r="S572" s="12" t="n">
        <v>168</v>
      </c>
      <c r="T572" s="12" t="n">
        <v>3</v>
      </c>
      <c r="U572" s="12" t="n">
        <v>7</v>
      </c>
      <c r="V572" s="12" t="n">
        <v>15</v>
      </c>
      <c r="W572" s="12" t="n">
        <v>3</v>
      </c>
      <c r="X572" s="13" t="n">
        <f aca="false">M572+N572+2*O572+3*P572</f>
        <v>270</v>
      </c>
      <c r="Y572" s="14" t="n">
        <f aca="false">IF(K572=0,0,M572/K572)</f>
        <v>0.294346978557505</v>
      </c>
      <c r="Z572" s="14" t="n">
        <f aca="false">IF(K572+R572+T572+U572=0,0,(M572+R572+T572)/(K572+R572+T572+U572))</f>
        <v>0.375634517766498</v>
      </c>
      <c r="AA572" s="14" t="n">
        <f aca="false">IF(K572=0,0,X572/K572)</f>
        <v>0.526315789473684</v>
      </c>
      <c r="AB572" s="14" t="n">
        <f aca="false">Z572+AA572</f>
        <v>0.901950307240182</v>
      </c>
      <c r="AC572" s="14" t="n">
        <f aca="false">AA572-Y572</f>
        <v>0.231968810916179</v>
      </c>
      <c r="AD572" s="14" t="n">
        <f aca="false">IF(K572-S572-P572+U572=0,0,(M572-P572)/(K572-S572-P572+U572))</f>
        <v>0.381538461538462</v>
      </c>
      <c r="AE572" s="15" t="n">
        <f aca="false">IF(J572=0,0,R572/J572)</f>
        <v>0.115059221658206</v>
      </c>
      <c r="AF572" s="15" t="n">
        <f aca="false">IF(J572=0,0,S572/J572)</f>
        <v>0.284263959390863</v>
      </c>
      <c r="AG572" s="11" t="n">
        <f aca="false">IF(J572&gt;=INDEX(球季參數!$E$2:$E$4,MATCH($A572,球季參數!$A$2:$A$4,0)),1,0)</f>
        <v>1</v>
      </c>
    </row>
    <row r="573" customFormat="false" ht="15" hidden="false" customHeight="false" outlineLevel="0" collapsed="false">
      <c r="A573" s="5" t="n">
        <v>2025</v>
      </c>
      <c r="B573" s="7" t="s">
        <v>1563</v>
      </c>
      <c r="C573" s="10" t="str">
        <f aca="false">INDEX(球員主檔!$B$2:$B$749,MATCH($B573,球員主檔!$A$2:$A$749,0))</f>
        <v>Griffin Jovanović</v>
      </c>
      <c r="D573" s="7" t="s">
        <v>455</v>
      </c>
      <c r="E573" s="10" t="str">
        <f aca="false">INDEX(球隊主檔!$C$2:$C$31,MATCH($D573,球隊主檔!$A$2:$A$31,0))</f>
        <v>洛杉磯道奇</v>
      </c>
      <c r="F573" s="10" t="str">
        <f aca="false">INDEX(球隊主檔!$D$2:$D$31,MATCH($D573,球隊主檔!$A$2:$A$31,0))</f>
        <v>國聯</v>
      </c>
      <c r="G573" s="7" t="s">
        <v>486</v>
      </c>
      <c r="H573" s="11" t="n">
        <f aca="false">INT((DATE($A573,7,1)-INDEX(球員主檔!$G$2:$G$749,MATCH($B573,球員主檔!$A$2:$A$749,0)))/365.25)</f>
        <v>31</v>
      </c>
      <c r="I573" s="12" t="n">
        <v>129</v>
      </c>
      <c r="J573" s="12" t="n">
        <v>581</v>
      </c>
      <c r="K573" s="12" t="n">
        <v>525</v>
      </c>
      <c r="L573" s="12" t="n">
        <v>75</v>
      </c>
      <c r="M573" s="12" t="n">
        <v>123</v>
      </c>
      <c r="N573" s="12" t="n">
        <v>35</v>
      </c>
      <c r="O573" s="12" t="n">
        <v>5</v>
      </c>
      <c r="P573" s="12" t="n">
        <v>29</v>
      </c>
      <c r="Q573" s="12" t="n">
        <v>96</v>
      </c>
      <c r="R573" s="12" t="n">
        <v>51</v>
      </c>
      <c r="S573" s="12" t="n">
        <v>154</v>
      </c>
      <c r="T573" s="12" t="n">
        <v>3</v>
      </c>
      <c r="U573" s="12" t="n">
        <v>2</v>
      </c>
      <c r="V573" s="12" t="n">
        <v>9</v>
      </c>
      <c r="W573" s="12" t="n">
        <v>1</v>
      </c>
      <c r="X573" s="13" t="n">
        <f aca="false">M573+N573+2*O573+3*P573</f>
        <v>255</v>
      </c>
      <c r="Y573" s="14" t="n">
        <f aca="false">IF(K573=0,0,M573/K573)</f>
        <v>0.234285714285714</v>
      </c>
      <c r="Z573" s="14" t="n">
        <f aca="false">IF(K573+R573+T573+U573=0,0,(M573+R573+T573)/(K573+R573+T573+U573))</f>
        <v>0.304647160068847</v>
      </c>
      <c r="AA573" s="14" t="n">
        <f aca="false">IF(K573=0,0,X573/K573)</f>
        <v>0.485714285714286</v>
      </c>
      <c r="AB573" s="14" t="n">
        <f aca="false">Z573+AA573</f>
        <v>0.790361445783133</v>
      </c>
      <c r="AC573" s="14" t="n">
        <f aca="false">AA573-Y573</f>
        <v>0.251428571428571</v>
      </c>
      <c r="AD573" s="14" t="n">
        <f aca="false">IF(K573-S573-P573+U573=0,0,(M573-P573)/(K573-S573-P573+U573))</f>
        <v>0.273255813953488</v>
      </c>
      <c r="AE573" s="15" t="n">
        <f aca="false">IF(J573=0,0,R573/J573)</f>
        <v>0.0877796901893287</v>
      </c>
      <c r="AF573" s="15" t="n">
        <f aca="false">IF(J573=0,0,S573/J573)</f>
        <v>0.265060240963855</v>
      </c>
      <c r="AG573" s="11" t="n">
        <f aca="false">IF(J573&gt;=INDEX(球季參數!$E$2:$E$4,MATCH($A573,球季參數!$A$2:$A$4,0)),1,0)</f>
        <v>1</v>
      </c>
    </row>
    <row r="574" customFormat="false" ht="15" hidden="false" customHeight="false" outlineLevel="0" collapsed="false">
      <c r="A574" s="5" t="n">
        <v>2025</v>
      </c>
      <c r="B574" s="7" t="s">
        <v>1561</v>
      </c>
      <c r="C574" s="10" t="str">
        <f aca="false">INDEX(球員主檔!$B$2:$B$749,MATCH($B574,球員主檔!$A$2:$A$749,0))</f>
        <v>Silas Goddard</v>
      </c>
      <c r="D574" s="7" t="s">
        <v>455</v>
      </c>
      <c r="E574" s="10" t="str">
        <f aca="false">INDEX(球隊主檔!$C$2:$C$31,MATCH($D574,球隊主檔!$A$2:$A$31,0))</f>
        <v>洛杉磯道奇</v>
      </c>
      <c r="F574" s="10" t="str">
        <f aca="false">INDEX(球隊主檔!$D$2:$D$31,MATCH($D574,球隊主檔!$A$2:$A$31,0))</f>
        <v>國聯</v>
      </c>
      <c r="G574" s="7" t="s">
        <v>483</v>
      </c>
      <c r="H574" s="11" t="n">
        <f aca="false">INT((DATE($A574,7,1)-INDEX(球員主檔!$G$2:$G$749,MATCH($B574,球員主檔!$A$2:$A$749,0)))/365.25)</f>
        <v>25</v>
      </c>
      <c r="I574" s="12" t="n">
        <v>137</v>
      </c>
      <c r="J574" s="12" t="n">
        <v>597</v>
      </c>
      <c r="K574" s="12" t="n">
        <v>555</v>
      </c>
      <c r="L574" s="12" t="n">
        <v>67</v>
      </c>
      <c r="M574" s="12" t="n">
        <v>145</v>
      </c>
      <c r="N574" s="12" t="n">
        <v>24</v>
      </c>
      <c r="O574" s="12" t="n">
        <v>9</v>
      </c>
      <c r="P574" s="12" t="n">
        <v>15</v>
      </c>
      <c r="Q574" s="12" t="n">
        <v>64</v>
      </c>
      <c r="R574" s="12" t="n">
        <v>25</v>
      </c>
      <c r="S574" s="12" t="n">
        <v>114</v>
      </c>
      <c r="T574" s="12" t="n">
        <v>10</v>
      </c>
      <c r="U574" s="12" t="n">
        <v>7</v>
      </c>
      <c r="V574" s="12" t="n">
        <v>10</v>
      </c>
      <c r="W574" s="12" t="n">
        <v>2</v>
      </c>
      <c r="X574" s="13" t="n">
        <f aca="false">M574+N574+2*O574+3*P574</f>
        <v>232</v>
      </c>
      <c r="Y574" s="14" t="n">
        <f aca="false">IF(K574=0,0,M574/K574)</f>
        <v>0.261261261261261</v>
      </c>
      <c r="Z574" s="14" t="n">
        <f aca="false">IF(K574+R574+T574+U574=0,0,(M574+R574+T574)/(K574+R574+T574+U574))</f>
        <v>0.301507537688442</v>
      </c>
      <c r="AA574" s="14" t="n">
        <f aca="false">IF(K574=0,0,X574/K574)</f>
        <v>0.418018018018018</v>
      </c>
      <c r="AB574" s="14" t="n">
        <f aca="false">Z574+AA574</f>
        <v>0.71952555570646</v>
      </c>
      <c r="AC574" s="14" t="n">
        <f aca="false">AA574-Y574</f>
        <v>0.156756756756757</v>
      </c>
      <c r="AD574" s="14" t="n">
        <f aca="false">IF(K574-S574-P574+U574=0,0,(M574-P574)/(K574-S574-P574+U574))</f>
        <v>0.300230946882217</v>
      </c>
      <c r="AE574" s="15" t="n">
        <f aca="false">IF(J574=0,0,R574/J574)</f>
        <v>0.0418760469011725</v>
      </c>
      <c r="AF574" s="15" t="n">
        <f aca="false">IF(J574=0,0,S574/J574)</f>
        <v>0.190954773869347</v>
      </c>
      <c r="AG574" s="11" t="n">
        <f aca="false">IF(J574&gt;=INDEX(球季參數!$E$2:$E$4,MATCH($A574,球季參數!$A$2:$A$4,0)),1,0)</f>
        <v>1</v>
      </c>
    </row>
    <row r="575" customFormat="false" ht="15" hidden="false" customHeight="false" outlineLevel="0" collapsed="false">
      <c r="A575" s="5" t="n">
        <v>2025</v>
      </c>
      <c r="B575" s="7" t="s">
        <v>1793</v>
      </c>
      <c r="C575" s="10" t="str">
        <f aca="false">INDEX(球員主檔!$B$2:$B$749,MATCH($B575,球員主檔!$A$2:$A$749,0))</f>
        <v>Konrad Cavanaugh</v>
      </c>
      <c r="D575" s="7" t="s">
        <v>455</v>
      </c>
      <c r="E575" s="10" t="str">
        <f aca="false">INDEX(球隊主檔!$C$2:$C$31,MATCH($D575,球隊主檔!$A$2:$A$31,0))</f>
        <v>洛杉磯道奇</v>
      </c>
      <c r="F575" s="10" t="str">
        <f aca="false">INDEX(球隊主檔!$D$2:$D$31,MATCH($D575,球隊主檔!$A$2:$A$31,0))</f>
        <v>國聯</v>
      </c>
      <c r="G575" s="7" t="s">
        <v>470</v>
      </c>
      <c r="H575" s="11" t="n">
        <f aca="false">INT((DATE($A575,7,1)-INDEX(球員主檔!$G$2:$G$749,MATCH($B575,球員主檔!$A$2:$A$749,0)))/365.25)</f>
        <v>23</v>
      </c>
      <c r="I575" s="12" t="n">
        <v>145</v>
      </c>
      <c r="J575" s="12" t="n">
        <v>571</v>
      </c>
      <c r="K575" s="12" t="n">
        <v>526</v>
      </c>
      <c r="L575" s="12" t="n">
        <v>69</v>
      </c>
      <c r="M575" s="12" t="n">
        <v>135</v>
      </c>
      <c r="N575" s="12" t="n">
        <v>26</v>
      </c>
      <c r="O575" s="12" t="n">
        <v>8</v>
      </c>
      <c r="P575" s="12" t="n">
        <v>16</v>
      </c>
      <c r="Q575" s="12" t="n">
        <v>62</v>
      </c>
      <c r="R575" s="12" t="n">
        <v>36</v>
      </c>
      <c r="S575" s="12" t="n">
        <v>72</v>
      </c>
      <c r="T575" s="12" t="n">
        <v>5</v>
      </c>
      <c r="U575" s="12" t="n">
        <v>4</v>
      </c>
      <c r="V575" s="12" t="n">
        <v>9</v>
      </c>
      <c r="W575" s="12" t="n">
        <v>3</v>
      </c>
      <c r="X575" s="13" t="n">
        <f aca="false">M575+N575+2*O575+3*P575</f>
        <v>225</v>
      </c>
      <c r="Y575" s="14" t="n">
        <f aca="false">IF(K575=0,0,M575/K575)</f>
        <v>0.256653992395437</v>
      </c>
      <c r="Z575" s="14" t="n">
        <f aca="false">IF(K575+R575+T575+U575=0,0,(M575+R575+T575)/(K575+R575+T575+U575))</f>
        <v>0.308231173380035</v>
      </c>
      <c r="AA575" s="14" t="n">
        <f aca="false">IF(K575=0,0,X575/K575)</f>
        <v>0.427756653992395</v>
      </c>
      <c r="AB575" s="14" t="n">
        <f aca="false">Z575+AA575</f>
        <v>0.735987827372431</v>
      </c>
      <c r="AC575" s="14" t="n">
        <f aca="false">AA575-Y575</f>
        <v>0.171102661596958</v>
      </c>
      <c r="AD575" s="14" t="n">
        <f aca="false">IF(K575-S575-P575+U575=0,0,(M575-P575)/(K575-S575-P575+U575))</f>
        <v>0.269230769230769</v>
      </c>
      <c r="AE575" s="15" t="n">
        <f aca="false">IF(J575=0,0,R575/J575)</f>
        <v>0.0630472854640981</v>
      </c>
      <c r="AF575" s="15" t="n">
        <f aca="false">IF(J575=0,0,S575/J575)</f>
        <v>0.126094570928196</v>
      </c>
      <c r="AG575" s="11" t="n">
        <f aca="false">IF(J575&gt;=INDEX(球季參數!$E$2:$E$4,MATCH($A575,球季參數!$A$2:$A$4,0)),1,0)</f>
        <v>1</v>
      </c>
    </row>
    <row r="576" customFormat="false" ht="15" hidden="false" customHeight="false" outlineLevel="0" collapsed="false">
      <c r="A576" s="5" t="n">
        <v>2025</v>
      </c>
      <c r="B576" s="7" t="s">
        <v>1565</v>
      </c>
      <c r="C576" s="10" t="str">
        <f aca="false">INDEX(球員主檔!$B$2:$B$749,MATCH($B576,球員主檔!$A$2:$A$749,0))</f>
        <v>Rowan Castellón</v>
      </c>
      <c r="D576" s="7" t="s">
        <v>455</v>
      </c>
      <c r="E576" s="10" t="str">
        <f aca="false">INDEX(球隊主檔!$C$2:$C$31,MATCH($D576,球隊主檔!$A$2:$A$31,0))</f>
        <v>洛杉磯道奇</v>
      </c>
      <c r="F576" s="10" t="str">
        <f aca="false">INDEX(球隊主檔!$D$2:$D$31,MATCH($D576,球隊主檔!$A$2:$A$31,0))</f>
        <v>國聯</v>
      </c>
      <c r="G576" s="7" t="s">
        <v>63</v>
      </c>
      <c r="H576" s="11" t="n">
        <f aca="false">INT((DATE($A576,7,1)-INDEX(球員主檔!$G$2:$G$749,MATCH($B576,球員主檔!$A$2:$A$749,0)))/365.25)</f>
        <v>29</v>
      </c>
      <c r="I576" s="12" t="n">
        <v>143</v>
      </c>
      <c r="J576" s="12" t="n">
        <v>564</v>
      </c>
      <c r="K576" s="12" t="n">
        <v>484</v>
      </c>
      <c r="L576" s="12" t="n">
        <v>70</v>
      </c>
      <c r="M576" s="12" t="n">
        <v>123</v>
      </c>
      <c r="N576" s="12" t="n">
        <v>31</v>
      </c>
      <c r="O576" s="12" t="n">
        <v>7</v>
      </c>
      <c r="P576" s="12" t="n">
        <v>23</v>
      </c>
      <c r="Q576" s="12" t="n">
        <v>76</v>
      </c>
      <c r="R576" s="12" t="n">
        <v>65</v>
      </c>
      <c r="S576" s="12" t="n">
        <v>93</v>
      </c>
      <c r="T576" s="12" t="n">
        <v>11</v>
      </c>
      <c r="U576" s="12" t="n">
        <v>4</v>
      </c>
      <c r="V576" s="12" t="n">
        <v>8</v>
      </c>
      <c r="W576" s="12" t="n">
        <v>2</v>
      </c>
      <c r="X576" s="13" t="n">
        <f aca="false">M576+N576+2*O576+3*P576</f>
        <v>237</v>
      </c>
      <c r="Y576" s="14" t="n">
        <f aca="false">IF(K576=0,0,M576/K576)</f>
        <v>0.254132231404959</v>
      </c>
      <c r="Z576" s="14" t="n">
        <f aca="false">IF(K576+R576+T576+U576=0,0,(M576+R576+T576)/(K576+R576+T576+U576))</f>
        <v>0.352836879432624</v>
      </c>
      <c r="AA576" s="14" t="n">
        <f aca="false">IF(K576=0,0,X576/K576)</f>
        <v>0.489669421487603</v>
      </c>
      <c r="AB576" s="14" t="n">
        <f aca="false">Z576+AA576</f>
        <v>0.842506300920227</v>
      </c>
      <c r="AC576" s="14" t="n">
        <f aca="false">AA576-Y576</f>
        <v>0.235537190082645</v>
      </c>
      <c r="AD576" s="14" t="n">
        <f aca="false">IF(K576-S576-P576+U576=0,0,(M576-P576)/(K576-S576-P576+U576))</f>
        <v>0.268817204301075</v>
      </c>
      <c r="AE576" s="15" t="n">
        <f aca="false">IF(J576=0,0,R576/J576)</f>
        <v>0.115248226950355</v>
      </c>
      <c r="AF576" s="15" t="n">
        <f aca="false">IF(J576=0,0,S576/J576)</f>
        <v>0.164893617021277</v>
      </c>
      <c r="AG576" s="11" t="n">
        <f aca="false">IF(J576&gt;=INDEX(球季參數!$E$2:$E$4,MATCH($A576,球季參數!$A$2:$A$4,0)),1,0)</f>
        <v>1</v>
      </c>
    </row>
    <row r="577" customFormat="false" ht="15" hidden="false" customHeight="false" outlineLevel="0" collapsed="false">
      <c r="A577" s="5" t="n">
        <v>2025</v>
      </c>
      <c r="B577" s="7" t="s">
        <v>1567</v>
      </c>
      <c r="C577" s="10" t="str">
        <f aca="false">INDEX(球員主檔!$B$2:$B$749,MATCH($B577,球員主檔!$A$2:$A$749,0))</f>
        <v>Zane Haverford</v>
      </c>
      <c r="D577" s="7" t="s">
        <v>455</v>
      </c>
      <c r="E577" s="10" t="str">
        <f aca="false">INDEX(球隊主檔!$C$2:$C$31,MATCH($D577,球隊主檔!$A$2:$A$31,0))</f>
        <v>洛杉磯道奇</v>
      </c>
      <c r="F577" s="10" t="str">
        <f aca="false">INDEX(球隊主檔!$D$2:$D$31,MATCH($D577,球隊主檔!$A$2:$A$31,0))</f>
        <v>國聯</v>
      </c>
      <c r="G577" s="7" t="s">
        <v>473</v>
      </c>
      <c r="H577" s="11" t="n">
        <f aca="false">INT((DATE($A577,7,1)-INDEX(球員主檔!$G$2:$G$749,MATCH($B577,球員主檔!$A$2:$A$749,0)))/365.25)</f>
        <v>25</v>
      </c>
      <c r="I577" s="12" t="n">
        <v>113</v>
      </c>
      <c r="J577" s="12" t="n">
        <v>489</v>
      </c>
      <c r="K577" s="12" t="n">
        <v>445</v>
      </c>
      <c r="L577" s="12" t="n">
        <v>60</v>
      </c>
      <c r="M577" s="12" t="n">
        <v>105</v>
      </c>
      <c r="N577" s="12" t="n">
        <v>28</v>
      </c>
      <c r="O577" s="12" t="n">
        <v>3</v>
      </c>
      <c r="P577" s="12" t="n">
        <v>13</v>
      </c>
      <c r="Q577" s="12" t="n">
        <v>47</v>
      </c>
      <c r="R577" s="12" t="n">
        <v>32</v>
      </c>
      <c r="S577" s="12" t="n">
        <v>124</v>
      </c>
      <c r="T577" s="12" t="n">
        <v>9</v>
      </c>
      <c r="U577" s="12" t="n">
        <v>3</v>
      </c>
      <c r="V577" s="12" t="n">
        <v>11</v>
      </c>
      <c r="W577" s="12" t="n">
        <v>1</v>
      </c>
      <c r="X577" s="13" t="n">
        <f aca="false">M577+N577+2*O577+3*P577</f>
        <v>178</v>
      </c>
      <c r="Y577" s="14" t="n">
        <f aca="false">IF(K577=0,0,M577/K577)</f>
        <v>0.235955056179775</v>
      </c>
      <c r="Z577" s="14" t="n">
        <f aca="false">IF(K577+R577+T577+U577=0,0,(M577+R577+T577)/(K577+R577+T577+U577))</f>
        <v>0.298568507157464</v>
      </c>
      <c r="AA577" s="14" t="n">
        <f aca="false">IF(K577=0,0,X577/K577)</f>
        <v>0.4</v>
      </c>
      <c r="AB577" s="14" t="n">
        <f aca="false">Z577+AA577</f>
        <v>0.698568507157464</v>
      </c>
      <c r="AC577" s="14" t="n">
        <f aca="false">AA577-Y577</f>
        <v>0.164044943820225</v>
      </c>
      <c r="AD577" s="14" t="n">
        <f aca="false">IF(K577-S577-P577+U577=0,0,(M577-P577)/(K577-S577-P577+U577))</f>
        <v>0.295819935691318</v>
      </c>
      <c r="AE577" s="15" t="n">
        <f aca="false">IF(J577=0,0,R577/J577)</f>
        <v>0.065439672801636</v>
      </c>
      <c r="AF577" s="15" t="n">
        <f aca="false">IF(J577=0,0,S577/J577)</f>
        <v>0.253578732106339</v>
      </c>
      <c r="AG577" s="11" t="n">
        <f aca="false">IF(J577&gt;=INDEX(球季參數!$E$2:$E$4,MATCH($A577,球季參數!$A$2:$A$4,0)),1,0)</f>
        <v>0</v>
      </c>
    </row>
    <row r="578" customFormat="false" ht="15" hidden="false" customHeight="false" outlineLevel="0" collapsed="false">
      <c r="A578" s="5" t="n">
        <v>2025</v>
      </c>
      <c r="B578" s="7" t="s">
        <v>1569</v>
      </c>
      <c r="C578" s="10" t="str">
        <f aca="false">INDEX(球員主檔!$B$2:$B$749,MATCH($B578,球員主檔!$A$2:$A$749,0))</f>
        <v>Garrison Fontaine</v>
      </c>
      <c r="D578" s="7" t="s">
        <v>455</v>
      </c>
      <c r="E578" s="10" t="str">
        <f aca="false">INDEX(球隊主檔!$C$2:$C$31,MATCH($D578,球隊主檔!$A$2:$A$31,0))</f>
        <v>洛杉磯道奇</v>
      </c>
      <c r="F578" s="10" t="str">
        <f aca="false">INDEX(球隊主檔!$D$2:$D$31,MATCH($D578,球隊主檔!$A$2:$A$31,0))</f>
        <v>國聯</v>
      </c>
      <c r="G578" s="7" t="s">
        <v>470</v>
      </c>
      <c r="H578" s="11" t="n">
        <f aca="false">INT((DATE($A578,7,1)-INDEX(球員主檔!$G$2:$G$749,MATCH($B578,球員主檔!$A$2:$A$749,0)))/365.25)</f>
        <v>26</v>
      </c>
      <c r="I578" s="12" t="n">
        <v>135</v>
      </c>
      <c r="J578" s="12" t="n">
        <v>546</v>
      </c>
      <c r="K578" s="12" t="n">
        <v>488</v>
      </c>
      <c r="L578" s="12" t="n">
        <v>61</v>
      </c>
      <c r="M578" s="12" t="n">
        <v>131</v>
      </c>
      <c r="N578" s="12" t="n">
        <v>30</v>
      </c>
      <c r="O578" s="12" t="n">
        <v>7</v>
      </c>
      <c r="P578" s="12" t="n">
        <v>20</v>
      </c>
      <c r="Q578" s="12" t="n">
        <v>73</v>
      </c>
      <c r="R578" s="12" t="n">
        <v>47</v>
      </c>
      <c r="S578" s="12" t="n">
        <v>83</v>
      </c>
      <c r="T578" s="12" t="n">
        <v>5</v>
      </c>
      <c r="U578" s="12" t="n">
        <v>6</v>
      </c>
      <c r="V578" s="12" t="n">
        <v>22</v>
      </c>
      <c r="W578" s="12" t="n">
        <v>4</v>
      </c>
      <c r="X578" s="13" t="n">
        <f aca="false">M578+N578+2*O578+3*P578</f>
        <v>235</v>
      </c>
      <c r="Y578" s="14" t="n">
        <f aca="false">IF(K578=0,0,M578/K578)</f>
        <v>0.26844262295082</v>
      </c>
      <c r="Z578" s="14" t="n">
        <f aca="false">IF(K578+R578+T578+U578=0,0,(M578+R578+T578)/(K578+R578+T578+U578))</f>
        <v>0.335164835164835</v>
      </c>
      <c r="AA578" s="14" t="n">
        <f aca="false">IF(K578=0,0,X578/K578)</f>
        <v>0.48155737704918</v>
      </c>
      <c r="AB578" s="14" t="n">
        <f aca="false">Z578+AA578</f>
        <v>0.816722212214015</v>
      </c>
      <c r="AC578" s="14" t="n">
        <f aca="false">AA578-Y578</f>
        <v>0.213114754098361</v>
      </c>
      <c r="AD578" s="14" t="n">
        <f aca="false">IF(K578-S578-P578+U578=0,0,(M578-P578)/(K578-S578-P578+U578))</f>
        <v>0.283887468030691</v>
      </c>
      <c r="AE578" s="15" t="n">
        <f aca="false">IF(J578=0,0,R578/J578)</f>
        <v>0.0860805860805861</v>
      </c>
      <c r="AF578" s="15" t="n">
        <f aca="false">IF(J578=0,0,S578/J578)</f>
        <v>0.152014652014652</v>
      </c>
      <c r="AG578" s="11" t="n">
        <f aca="false">IF(J578&gt;=INDEX(球季參數!$E$2:$E$4,MATCH($A578,球季參數!$A$2:$A$4,0)),1,0)</f>
        <v>1</v>
      </c>
    </row>
    <row r="579" customFormat="false" ht="15" hidden="false" customHeight="false" outlineLevel="0" collapsed="false">
      <c r="A579" s="5" t="n">
        <v>2025</v>
      </c>
      <c r="B579" s="7" t="s">
        <v>1795</v>
      </c>
      <c r="C579" s="10" t="str">
        <f aca="false">INDEX(球員主檔!$B$2:$B$749,MATCH($B579,球員主檔!$A$2:$A$749,0))</f>
        <v>Garrison Lindquist</v>
      </c>
      <c r="D579" s="7" t="s">
        <v>455</v>
      </c>
      <c r="E579" s="10" t="str">
        <f aca="false">INDEX(球隊主檔!$C$2:$C$31,MATCH($D579,球隊主檔!$A$2:$A$31,0))</f>
        <v>洛杉磯道奇</v>
      </c>
      <c r="F579" s="10" t="str">
        <f aca="false">INDEX(球隊主檔!$D$2:$D$31,MATCH($D579,球隊主檔!$A$2:$A$31,0))</f>
        <v>國聯</v>
      </c>
      <c r="G579" s="7" t="s">
        <v>522</v>
      </c>
      <c r="H579" s="11" t="n">
        <f aca="false">INT((DATE($A579,7,1)-INDEX(球員主檔!$G$2:$G$749,MATCH($B579,球員主檔!$A$2:$A$749,0)))/365.25)</f>
        <v>22</v>
      </c>
      <c r="I579" s="12" t="n">
        <v>55</v>
      </c>
      <c r="J579" s="12" t="n">
        <v>247</v>
      </c>
      <c r="K579" s="12" t="n">
        <v>216</v>
      </c>
      <c r="L579" s="12" t="n">
        <v>21</v>
      </c>
      <c r="M579" s="12" t="n">
        <v>49</v>
      </c>
      <c r="N579" s="12" t="n">
        <v>23</v>
      </c>
      <c r="O579" s="12" t="n">
        <v>2</v>
      </c>
      <c r="P579" s="12" t="n">
        <v>4</v>
      </c>
      <c r="Q579" s="12" t="n">
        <v>22</v>
      </c>
      <c r="R579" s="12" t="n">
        <v>24</v>
      </c>
      <c r="S579" s="12" t="n">
        <v>42</v>
      </c>
      <c r="T579" s="12" t="n">
        <v>5</v>
      </c>
      <c r="U579" s="12" t="n">
        <v>2</v>
      </c>
      <c r="V579" s="12" t="n">
        <v>9</v>
      </c>
      <c r="W579" s="12" t="n">
        <v>1</v>
      </c>
      <c r="X579" s="13" t="n">
        <f aca="false">M579+N579+2*O579+3*P579</f>
        <v>88</v>
      </c>
      <c r="Y579" s="14" t="n">
        <f aca="false">IF(K579=0,0,M579/K579)</f>
        <v>0.226851851851852</v>
      </c>
      <c r="Z579" s="14" t="n">
        <f aca="false">IF(K579+R579+T579+U579=0,0,(M579+R579+T579)/(K579+R579+T579+U579))</f>
        <v>0.315789473684211</v>
      </c>
      <c r="AA579" s="14" t="n">
        <f aca="false">IF(K579=0,0,X579/K579)</f>
        <v>0.407407407407407</v>
      </c>
      <c r="AB579" s="14" t="n">
        <f aca="false">Z579+AA579</f>
        <v>0.723196881091618</v>
      </c>
      <c r="AC579" s="14" t="n">
        <f aca="false">AA579-Y579</f>
        <v>0.180555555555556</v>
      </c>
      <c r="AD579" s="14" t="n">
        <f aca="false">IF(K579-S579-P579+U579=0,0,(M579-P579)/(K579-S579-P579+U579))</f>
        <v>0.261627906976744</v>
      </c>
      <c r="AE579" s="15" t="n">
        <f aca="false">IF(J579=0,0,R579/J579)</f>
        <v>0.097165991902834</v>
      </c>
      <c r="AF579" s="15" t="n">
        <f aca="false">IF(J579=0,0,S579/J579)</f>
        <v>0.17004048582996</v>
      </c>
      <c r="AG579" s="11" t="n">
        <f aca="false">IF(J579&gt;=INDEX(球季參數!$E$2:$E$4,MATCH($A579,球季參數!$A$2:$A$4,0)),1,0)</f>
        <v>0</v>
      </c>
    </row>
    <row r="580" customFormat="false" ht="15" hidden="false" customHeight="false" outlineLevel="0" collapsed="false">
      <c r="A580" s="5" t="n">
        <v>2025</v>
      </c>
      <c r="B580" s="7" t="s">
        <v>1573</v>
      </c>
      <c r="C580" s="10" t="str">
        <f aca="false">INDEX(球員主檔!$B$2:$B$749,MATCH($B580,球員主檔!$A$2:$A$749,0))</f>
        <v>Ignacio Yamazaki</v>
      </c>
      <c r="D580" s="7" t="s">
        <v>455</v>
      </c>
      <c r="E580" s="10" t="str">
        <f aca="false">INDEX(球隊主檔!$C$2:$C$31,MATCH($D580,球隊主檔!$A$2:$A$31,0))</f>
        <v>洛杉磯道奇</v>
      </c>
      <c r="F580" s="10" t="str">
        <f aca="false">INDEX(球隊主檔!$D$2:$D$31,MATCH($D580,球隊主檔!$A$2:$A$31,0))</f>
        <v>國聯</v>
      </c>
      <c r="G580" s="7" t="s">
        <v>478</v>
      </c>
      <c r="H580" s="11" t="n">
        <f aca="false">INT((DATE($A580,7,1)-INDEX(球員主檔!$G$2:$G$749,MATCH($B580,球員主檔!$A$2:$A$749,0)))/365.25)</f>
        <v>32</v>
      </c>
      <c r="I580" s="12" t="n">
        <v>52</v>
      </c>
      <c r="J580" s="12" t="n">
        <v>225</v>
      </c>
      <c r="K580" s="12" t="n">
        <v>196</v>
      </c>
      <c r="L580" s="12" t="n">
        <v>24</v>
      </c>
      <c r="M580" s="12" t="n">
        <v>42</v>
      </c>
      <c r="N580" s="12" t="n">
        <v>7</v>
      </c>
      <c r="O580" s="12" t="n">
        <v>10</v>
      </c>
      <c r="P580" s="12" t="n">
        <v>7</v>
      </c>
      <c r="Q580" s="12" t="n">
        <v>21</v>
      </c>
      <c r="R580" s="12" t="n">
        <v>26</v>
      </c>
      <c r="S580" s="12" t="n">
        <v>46</v>
      </c>
      <c r="T580" s="12" t="n">
        <v>2</v>
      </c>
      <c r="U580" s="12" t="n">
        <v>1</v>
      </c>
      <c r="V580" s="12" t="n">
        <v>7</v>
      </c>
      <c r="W580" s="12" t="n">
        <v>2</v>
      </c>
      <c r="X580" s="13" t="n">
        <f aca="false">M580+N580+2*O580+3*P580</f>
        <v>90</v>
      </c>
      <c r="Y580" s="14" t="n">
        <f aca="false">IF(K580=0,0,M580/K580)</f>
        <v>0.214285714285714</v>
      </c>
      <c r="Z580" s="14" t="n">
        <f aca="false">IF(K580+R580+T580+U580=0,0,(M580+R580+T580)/(K580+R580+T580+U580))</f>
        <v>0.311111111111111</v>
      </c>
      <c r="AA580" s="14" t="n">
        <f aca="false">IF(K580=0,0,X580/K580)</f>
        <v>0.459183673469388</v>
      </c>
      <c r="AB580" s="14" t="n">
        <f aca="false">Z580+AA580</f>
        <v>0.770294784580499</v>
      </c>
      <c r="AC580" s="14" t="n">
        <f aca="false">AA580-Y580</f>
        <v>0.244897959183674</v>
      </c>
      <c r="AD580" s="14" t="n">
        <f aca="false">IF(K580-S580-P580+U580=0,0,(M580-P580)/(K580-S580-P580+U580))</f>
        <v>0.243055555555556</v>
      </c>
      <c r="AE580" s="15" t="n">
        <f aca="false">IF(J580=0,0,R580/J580)</f>
        <v>0.115555555555556</v>
      </c>
      <c r="AF580" s="15" t="n">
        <f aca="false">IF(J580=0,0,S580/J580)</f>
        <v>0.204444444444444</v>
      </c>
      <c r="AG580" s="11" t="n">
        <f aca="false">IF(J580&gt;=INDEX(球季參數!$E$2:$E$4,MATCH($A580,球季參數!$A$2:$A$4,0)),1,0)</f>
        <v>0</v>
      </c>
    </row>
    <row r="581" customFormat="false" ht="15" hidden="false" customHeight="false" outlineLevel="0" collapsed="false">
      <c r="A581" s="5" t="n">
        <v>2025</v>
      </c>
      <c r="B581" s="7" t="s">
        <v>1575</v>
      </c>
      <c r="C581" s="10" t="str">
        <f aca="false">INDEX(球員主檔!$B$2:$B$749,MATCH($B581,球員主檔!$A$2:$A$749,0))</f>
        <v>Minjae Ravenscroft</v>
      </c>
      <c r="D581" s="7" t="s">
        <v>455</v>
      </c>
      <c r="E581" s="10" t="str">
        <f aca="false">INDEX(球隊主檔!$C$2:$C$31,MATCH($D581,球隊主檔!$A$2:$A$31,0))</f>
        <v>洛杉磯道奇</v>
      </c>
      <c r="F581" s="10" t="str">
        <f aca="false">INDEX(球隊主檔!$D$2:$D$31,MATCH($D581,球隊主檔!$A$2:$A$31,0))</f>
        <v>國聯</v>
      </c>
      <c r="G581" s="7" t="s">
        <v>486</v>
      </c>
      <c r="H581" s="11" t="n">
        <f aca="false">INT((DATE($A581,7,1)-INDEX(球員主檔!$G$2:$G$749,MATCH($B581,球員主檔!$A$2:$A$749,0)))/365.25)</f>
        <v>28</v>
      </c>
      <c r="I581" s="12" t="n">
        <v>77</v>
      </c>
      <c r="J581" s="12" t="n">
        <v>321</v>
      </c>
      <c r="K581" s="12" t="n">
        <v>292</v>
      </c>
      <c r="L581" s="12" t="n">
        <v>39</v>
      </c>
      <c r="M581" s="12" t="n">
        <v>80</v>
      </c>
      <c r="N581" s="12" t="n">
        <v>21</v>
      </c>
      <c r="O581" s="12" t="n">
        <v>3</v>
      </c>
      <c r="P581" s="12" t="n">
        <v>11</v>
      </c>
      <c r="Q581" s="12" t="n">
        <v>43</v>
      </c>
      <c r="R581" s="12" t="n">
        <v>25</v>
      </c>
      <c r="S581" s="12" t="n">
        <v>51</v>
      </c>
      <c r="T581" s="12" t="n">
        <v>2</v>
      </c>
      <c r="U581" s="12" t="n">
        <v>2</v>
      </c>
      <c r="V581" s="12" t="n">
        <v>1</v>
      </c>
      <c r="W581" s="12" t="n">
        <v>0</v>
      </c>
      <c r="X581" s="13" t="n">
        <f aca="false">M581+N581+2*O581+3*P581</f>
        <v>140</v>
      </c>
      <c r="Y581" s="14" t="n">
        <f aca="false">IF(K581=0,0,M581/K581)</f>
        <v>0.273972602739726</v>
      </c>
      <c r="Z581" s="14" t="n">
        <f aca="false">IF(K581+R581+T581+U581=0,0,(M581+R581+T581)/(K581+R581+T581+U581))</f>
        <v>0.333333333333333</v>
      </c>
      <c r="AA581" s="14" t="n">
        <f aca="false">IF(K581=0,0,X581/K581)</f>
        <v>0.479452054794521</v>
      </c>
      <c r="AB581" s="14" t="n">
        <f aca="false">Z581+AA581</f>
        <v>0.812785388127854</v>
      </c>
      <c r="AC581" s="14" t="n">
        <f aca="false">AA581-Y581</f>
        <v>0.205479452054795</v>
      </c>
      <c r="AD581" s="14" t="n">
        <f aca="false">IF(K581-S581-P581+U581=0,0,(M581-P581)/(K581-S581-P581+U581))</f>
        <v>0.297413793103448</v>
      </c>
      <c r="AE581" s="15" t="n">
        <f aca="false">IF(J581=0,0,R581/J581)</f>
        <v>0.0778816199376947</v>
      </c>
      <c r="AF581" s="15" t="n">
        <f aca="false">IF(J581=0,0,S581/J581)</f>
        <v>0.158878504672897</v>
      </c>
      <c r="AG581" s="11" t="n">
        <f aca="false">IF(J581&gt;=INDEX(球季參數!$E$2:$E$4,MATCH($A581,球季參數!$A$2:$A$4,0)),1,0)</f>
        <v>0</v>
      </c>
    </row>
    <row r="582" customFormat="false" ht="15" hidden="false" customHeight="false" outlineLevel="0" collapsed="false">
      <c r="A582" s="5" t="n">
        <v>2025</v>
      </c>
      <c r="B582" s="7" t="s">
        <v>1375</v>
      </c>
      <c r="C582" s="10" t="str">
        <f aca="false">INDEX(球員主檔!$B$2:$B$749,MATCH($B582,球員主檔!$A$2:$A$749,0))</f>
        <v>Mateo Caldera</v>
      </c>
      <c r="D582" s="7" t="s">
        <v>459</v>
      </c>
      <c r="E582" s="10" t="str">
        <f aca="false">INDEX(球隊主檔!$C$2:$C$31,MATCH($D582,球隊主檔!$A$2:$A$31,0))</f>
        <v>聖地牙哥教士</v>
      </c>
      <c r="F582" s="10" t="str">
        <f aca="false">INDEX(球隊主檔!$D$2:$D$31,MATCH($D582,球隊主檔!$A$2:$A$31,0))</f>
        <v>國聯</v>
      </c>
      <c r="G582" s="7" t="s">
        <v>473</v>
      </c>
      <c r="H582" s="11" t="n">
        <f aca="false">INT((DATE($A582,7,1)-INDEX(球員主檔!$G$2:$G$749,MATCH($B582,球員主檔!$A$2:$A$749,0)))/365.25)</f>
        <v>33</v>
      </c>
      <c r="I582" s="12" t="n">
        <v>131</v>
      </c>
      <c r="J582" s="12" t="n">
        <v>566</v>
      </c>
      <c r="K582" s="12" t="n">
        <v>491</v>
      </c>
      <c r="L582" s="12" t="n">
        <v>60</v>
      </c>
      <c r="M582" s="12" t="n">
        <v>105</v>
      </c>
      <c r="N582" s="12" t="n">
        <v>38</v>
      </c>
      <c r="O582" s="12" t="n">
        <v>5</v>
      </c>
      <c r="P582" s="12" t="n">
        <v>8</v>
      </c>
      <c r="Q582" s="12" t="n">
        <v>40</v>
      </c>
      <c r="R582" s="12" t="n">
        <v>67</v>
      </c>
      <c r="S582" s="12" t="n">
        <v>105</v>
      </c>
      <c r="T582" s="12" t="n">
        <v>5</v>
      </c>
      <c r="U582" s="12" t="n">
        <v>3</v>
      </c>
      <c r="V582" s="12" t="n">
        <v>8</v>
      </c>
      <c r="W582" s="12" t="n">
        <v>2</v>
      </c>
      <c r="X582" s="13" t="n">
        <f aca="false">M582+N582+2*O582+3*P582</f>
        <v>177</v>
      </c>
      <c r="Y582" s="14" t="n">
        <f aca="false">IF(K582=0,0,M582/K582)</f>
        <v>0.213849287169043</v>
      </c>
      <c r="Z582" s="14" t="n">
        <f aca="false">IF(K582+R582+T582+U582=0,0,(M582+R582+T582)/(K582+R582+T582+U582))</f>
        <v>0.312720848056537</v>
      </c>
      <c r="AA582" s="14" t="n">
        <f aca="false">IF(K582=0,0,X582/K582)</f>
        <v>0.360488798370672</v>
      </c>
      <c r="AB582" s="14" t="n">
        <f aca="false">Z582+AA582</f>
        <v>0.673209646427209</v>
      </c>
      <c r="AC582" s="14" t="n">
        <f aca="false">AA582-Y582</f>
        <v>0.146639511201629</v>
      </c>
      <c r="AD582" s="14" t="n">
        <f aca="false">IF(K582-S582-P582+U582=0,0,(M582-P582)/(K582-S582-P582+U582))</f>
        <v>0.254593175853018</v>
      </c>
      <c r="AE582" s="15" t="n">
        <f aca="false">IF(J582=0,0,R582/J582)</f>
        <v>0.118374558303887</v>
      </c>
      <c r="AF582" s="15" t="n">
        <f aca="false">IF(J582=0,0,S582/J582)</f>
        <v>0.185512367491166</v>
      </c>
      <c r="AG582" s="11" t="n">
        <f aca="false">IF(J582&gt;=INDEX(球季參數!$E$2:$E$4,MATCH($A582,球季參數!$A$2:$A$4,0)),1,0)</f>
        <v>1</v>
      </c>
    </row>
    <row r="583" customFormat="false" ht="15" hidden="false" customHeight="false" outlineLevel="0" collapsed="false">
      <c r="A583" s="5" t="n">
        <v>2025</v>
      </c>
      <c r="B583" s="7" t="s">
        <v>1599</v>
      </c>
      <c r="C583" s="10" t="str">
        <f aca="false">INDEX(球員主檔!$B$2:$B$749,MATCH($B583,球員主檔!$A$2:$A$749,0))</f>
        <v>Dimitri Yarbrough</v>
      </c>
      <c r="D583" s="7" t="s">
        <v>459</v>
      </c>
      <c r="E583" s="10" t="str">
        <f aca="false">INDEX(球隊主檔!$C$2:$C$31,MATCH($D583,球隊主檔!$A$2:$A$31,0))</f>
        <v>聖地牙哥教士</v>
      </c>
      <c r="F583" s="10" t="str">
        <f aca="false">INDEX(球隊主檔!$D$2:$D$31,MATCH($D583,球隊主檔!$A$2:$A$31,0))</f>
        <v>國聯</v>
      </c>
      <c r="G583" s="7" t="s">
        <v>158</v>
      </c>
      <c r="H583" s="11" t="n">
        <f aca="false">INT((DATE($A583,7,1)-INDEX(球員主檔!$G$2:$G$749,MATCH($B583,球員主檔!$A$2:$A$749,0)))/365.25)</f>
        <v>30</v>
      </c>
      <c r="I583" s="12" t="n">
        <v>55</v>
      </c>
      <c r="J583" s="12" t="n">
        <v>216</v>
      </c>
      <c r="K583" s="12" t="n">
        <v>191</v>
      </c>
      <c r="L583" s="12" t="n">
        <v>21</v>
      </c>
      <c r="M583" s="12" t="n">
        <v>39</v>
      </c>
      <c r="N583" s="12" t="n">
        <v>12</v>
      </c>
      <c r="O583" s="12" t="n">
        <v>8</v>
      </c>
      <c r="P583" s="12" t="n">
        <v>3</v>
      </c>
      <c r="Q583" s="12" t="n">
        <v>17</v>
      </c>
      <c r="R583" s="12" t="n">
        <v>21</v>
      </c>
      <c r="S583" s="12" t="n">
        <v>39</v>
      </c>
      <c r="T583" s="12" t="n">
        <v>2</v>
      </c>
      <c r="U583" s="12" t="n">
        <v>2</v>
      </c>
      <c r="V583" s="12" t="n">
        <v>11</v>
      </c>
      <c r="W583" s="12" t="n">
        <v>2</v>
      </c>
      <c r="X583" s="13" t="n">
        <f aca="false">M583+N583+2*O583+3*P583</f>
        <v>76</v>
      </c>
      <c r="Y583" s="14" t="n">
        <f aca="false">IF(K583=0,0,M583/K583)</f>
        <v>0.204188481675393</v>
      </c>
      <c r="Z583" s="14" t="n">
        <f aca="false">IF(K583+R583+T583+U583=0,0,(M583+R583+T583)/(K583+R583+T583+U583))</f>
        <v>0.287037037037037</v>
      </c>
      <c r="AA583" s="14" t="n">
        <f aca="false">IF(K583=0,0,X583/K583)</f>
        <v>0.397905759162304</v>
      </c>
      <c r="AB583" s="14" t="n">
        <f aca="false">Z583+AA583</f>
        <v>0.684942796199341</v>
      </c>
      <c r="AC583" s="14" t="n">
        <f aca="false">AA583-Y583</f>
        <v>0.193717277486911</v>
      </c>
      <c r="AD583" s="14" t="n">
        <f aca="false">IF(K583-S583-P583+U583=0,0,(M583-P583)/(K583-S583-P583+U583))</f>
        <v>0.23841059602649</v>
      </c>
      <c r="AE583" s="15" t="n">
        <f aca="false">IF(J583=0,0,R583/J583)</f>
        <v>0.0972222222222222</v>
      </c>
      <c r="AF583" s="15" t="n">
        <f aca="false">IF(J583=0,0,S583/J583)</f>
        <v>0.180555555555556</v>
      </c>
      <c r="AG583" s="11" t="n">
        <f aca="false">IF(J583&gt;=INDEX(球季參數!$E$2:$E$4,MATCH($A583,球季參數!$A$2:$A$4,0)),1,0)</f>
        <v>0</v>
      </c>
    </row>
    <row r="584" customFormat="false" ht="15" hidden="false" customHeight="false" outlineLevel="0" collapsed="false">
      <c r="A584" s="5" t="n">
        <v>2025</v>
      </c>
      <c r="B584" s="7" t="s">
        <v>1601</v>
      </c>
      <c r="C584" s="10" t="str">
        <f aca="false">INDEX(球員主檔!$B$2:$B$749,MATCH($B584,球員主檔!$A$2:$A$749,0))</f>
        <v>Everett Dunmore</v>
      </c>
      <c r="D584" s="7" t="s">
        <v>459</v>
      </c>
      <c r="E584" s="10" t="str">
        <f aca="false">INDEX(球隊主檔!$C$2:$C$31,MATCH($D584,球隊主檔!$A$2:$A$31,0))</f>
        <v>聖地牙哥教士</v>
      </c>
      <c r="F584" s="10" t="str">
        <f aca="false">INDEX(球隊主檔!$D$2:$D$31,MATCH($D584,球隊主檔!$A$2:$A$31,0))</f>
        <v>國聯</v>
      </c>
      <c r="G584" s="7" t="s">
        <v>470</v>
      </c>
      <c r="H584" s="11" t="n">
        <f aca="false">INT((DATE($A584,7,1)-INDEX(球員主檔!$G$2:$G$749,MATCH($B584,球員主檔!$A$2:$A$749,0)))/365.25)</f>
        <v>34</v>
      </c>
      <c r="I584" s="12" t="n">
        <v>145</v>
      </c>
      <c r="J584" s="12" t="n">
        <v>644</v>
      </c>
      <c r="K584" s="12" t="n">
        <v>587</v>
      </c>
      <c r="L584" s="12" t="n">
        <v>72</v>
      </c>
      <c r="M584" s="12" t="n">
        <v>142</v>
      </c>
      <c r="N584" s="12" t="n">
        <v>41</v>
      </c>
      <c r="O584" s="12" t="n">
        <v>6</v>
      </c>
      <c r="P584" s="12" t="n">
        <v>23</v>
      </c>
      <c r="Q584" s="12" t="n">
        <v>88</v>
      </c>
      <c r="R584" s="12" t="n">
        <v>49</v>
      </c>
      <c r="S584" s="12" t="n">
        <v>166</v>
      </c>
      <c r="T584" s="12" t="n">
        <v>7</v>
      </c>
      <c r="U584" s="12" t="n">
        <v>1</v>
      </c>
      <c r="V584" s="12" t="n">
        <v>3</v>
      </c>
      <c r="W584" s="12" t="n">
        <v>1</v>
      </c>
      <c r="X584" s="13" t="n">
        <f aca="false">M584+N584+2*O584+3*P584</f>
        <v>264</v>
      </c>
      <c r="Y584" s="14" t="n">
        <f aca="false">IF(K584=0,0,M584/K584)</f>
        <v>0.24190800681431</v>
      </c>
      <c r="Z584" s="14" t="n">
        <f aca="false">IF(K584+R584+T584+U584=0,0,(M584+R584+T584)/(K584+R584+T584+U584))</f>
        <v>0.307453416149068</v>
      </c>
      <c r="AA584" s="14" t="n">
        <f aca="false">IF(K584=0,0,X584/K584)</f>
        <v>0.449744463373084</v>
      </c>
      <c r="AB584" s="14" t="n">
        <f aca="false">Z584+AA584</f>
        <v>0.757197879522152</v>
      </c>
      <c r="AC584" s="14" t="n">
        <f aca="false">AA584-Y584</f>
        <v>0.207836456558773</v>
      </c>
      <c r="AD584" s="14" t="n">
        <f aca="false">IF(K584-S584-P584+U584=0,0,(M584-P584)/(K584-S584-P584+U584))</f>
        <v>0.298245614035088</v>
      </c>
      <c r="AE584" s="15" t="n">
        <f aca="false">IF(J584=0,0,R584/J584)</f>
        <v>0.0760869565217391</v>
      </c>
      <c r="AF584" s="15" t="n">
        <f aca="false">IF(J584=0,0,S584/J584)</f>
        <v>0.25776397515528</v>
      </c>
      <c r="AG584" s="11" t="n">
        <f aca="false">IF(J584&gt;=INDEX(球季參數!$E$2:$E$4,MATCH($A584,球季參數!$A$2:$A$4,0)),1,0)</f>
        <v>1</v>
      </c>
    </row>
    <row r="585" customFormat="false" ht="15" hidden="false" customHeight="false" outlineLevel="0" collapsed="false">
      <c r="A585" s="5" t="n">
        <v>2025</v>
      </c>
      <c r="B585" s="7" t="s">
        <v>1603</v>
      </c>
      <c r="C585" s="10" t="str">
        <f aca="false">INDEX(球員主檔!$B$2:$B$749,MATCH($B585,球員主檔!$A$2:$A$749,0))</f>
        <v>Silas Ostrowski</v>
      </c>
      <c r="D585" s="7" t="s">
        <v>459</v>
      </c>
      <c r="E585" s="10" t="str">
        <f aca="false">INDEX(球隊主檔!$C$2:$C$31,MATCH($D585,球隊主檔!$A$2:$A$31,0))</f>
        <v>聖地牙哥教士</v>
      </c>
      <c r="F585" s="10" t="str">
        <f aca="false">INDEX(球隊主檔!$D$2:$D$31,MATCH($D585,球隊主檔!$A$2:$A$31,0))</f>
        <v>國聯</v>
      </c>
      <c r="G585" s="7" t="s">
        <v>522</v>
      </c>
      <c r="H585" s="11" t="n">
        <f aca="false">INT((DATE($A585,7,1)-INDEX(球員主檔!$G$2:$G$749,MATCH($B585,球員主檔!$A$2:$A$749,0)))/365.25)</f>
        <v>32</v>
      </c>
      <c r="I585" s="12" t="n">
        <v>162</v>
      </c>
      <c r="J585" s="12" t="n">
        <v>686</v>
      </c>
      <c r="K585" s="12" t="n">
        <v>614</v>
      </c>
      <c r="L585" s="12" t="n">
        <v>94</v>
      </c>
      <c r="M585" s="12" t="n">
        <v>184</v>
      </c>
      <c r="N585" s="12" t="n">
        <v>16</v>
      </c>
      <c r="O585" s="12" t="n">
        <v>5</v>
      </c>
      <c r="P585" s="12" t="n">
        <v>22</v>
      </c>
      <c r="Q585" s="12" t="n">
        <v>78</v>
      </c>
      <c r="R585" s="12" t="n">
        <v>53</v>
      </c>
      <c r="S585" s="12" t="n">
        <v>195</v>
      </c>
      <c r="T585" s="12" t="n">
        <v>11</v>
      </c>
      <c r="U585" s="12" t="n">
        <v>8</v>
      </c>
      <c r="V585" s="12" t="n">
        <v>11</v>
      </c>
      <c r="W585" s="12" t="n">
        <v>3</v>
      </c>
      <c r="X585" s="13" t="n">
        <f aca="false">M585+N585+2*O585+3*P585</f>
        <v>276</v>
      </c>
      <c r="Y585" s="14" t="n">
        <f aca="false">IF(K585=0,0,M585/K585)</f>
        <v>0.299674267100977</v>
      </c>
      <c r="Z585" s="14" t="n">
        <f aca="false">IF(K585+R585+T585+U585=0,0,(M585+R585+T585)/(K585+R585+T585+U585))</f>
        <v>0.361516034985423</v>
      </c>
      <c r="AA585" s="14" t="n">
        <f aca="false">IF(K585=0,0,X585/K585)</f>
        <v>0.449511400651466</v>
      </c>
      <c r="AB585" s="14" t="n">
        <f aca="false">Z585+AA585</f>
        <v>0.811027435636889</v>
      </c>
      <c r="AC585" s="14" t="n">
        <f aca="false">AA585-Y585</f>
        <v>0.149837133550489</v>
      </c>
      <c r="AD585" s="14" t="n">
        <f aca="false">IF(K585-S585-P585+U585=0,0,(M585-P585)/(K585-S585-P585+U585))</f>
        <v>0.4</v>
      </c>
      <c r="AE585" s="15" t="n">
        <f aca="false">IF(J585=0,0,R585/J585)</f>
        <v>0.0772594752186589</v>
      </c>
      <c r="AF585" s="15" t="n">
        <f aca="false">IF(J585=0,0,S585/J585)</f>
        <v>0.284256559766764</v>
      </c>
      <c r="AG585" s="11" t="n">
        <f aca="false">IF(J585&gt;=INDEX(球季參數!$E$2:$E$4,MATCH($A585,球季參數!$A$2:$A$4,0)),1,0)</f>
        <v>1</v>
      </c>
    </row>
    <row r="586" customFormat="false" ht="15" hidden="false" customHeight="false" outlineLevel="0" collapsed="false">
      <c r="A586" s="5" t="n">
        <v>2025</v>
      </c>
      <c r="B586" s="7" t="s">
        <v>1605</v>
      </c>
      <c r="C586" s="10" t="str">
        <f aca="false">INDEX(球員主檔!$B$2:$B$749,MATCH($B586,球員主檔!$A$2:$A$749,0))</f>
        <v>Sousuke Beckwith</v>
      </c>
      <c r="D586" s="7" t="s">
        <v>459</v>
      </c>
      <c r="E586" s="10" t="str">
        <f aca="false">INDEX(球隊主檔!$C$2:$C$31,MATCH($D586,球隊主檔!$A$2:$A$31,0))</f>
        <v>聖地牙哥教士</v>
      </c>
      <c r="F586" s="10" t="str">
        <f aca="false">INDEX(球隊主檔!$D$2:$D$31,MATCH($D586,球隊主檔!$A$2:$A$31,0))</f>
        <v>國聯</v>
      </c>
      <c r="G586" s="7" t="s">
        <v>63</v>
      </c>
      <c r="H586" s="11" t="n">
        <f aca="false">INT((DATE($A586,7,1)-INDEX(球員主檔!$G$2:$G$749,MATCH($B586,球員主檔!$A$2:$A$749,0)))/365.25)</f>
        <v>31</v>
      </c>
      <c r="I586" s="12" t="n">
        <v>143</v>
      </c>
      <c r="J586" s="12" t="n">
        <v>589</v>
      </c>
      <c r="K586" s="12" t="n">
        <v>511</v>
      </c>
      <c r="L586" s="12" t="n">
        <v>74</v>
      </c>
      <c r="M586" s="12" t="n">
        <v>116</v>
      </c>
      <c r="N586" s="12" t="n">
        <v>35</v>
      </c>
      <c r="O586" s="12" t="n">
        <v>10</v>
      </c>
      <c r="P586" s="12" t="n">
        <v>18</v>
      </c>
      <c r="Q586" s="12" t="n">
        <v>55</v>
      </c>
      <c r="R586" s="12" t="n">
        <v>60</v>
      </c>
      <c r="S586" s="12" t="n">
        <v>137</v>
      </c>
      <c r="T586" s="12" t="n">
        <v>11</v>
      </c>
      <c r="U586" s="12" t="n">
        <v>7</v>
      </c>
      <c r="V586" s="12" t="n">
        <v>19</v>
      </c>
      <c r="W586" s="12" t="n">
        <v>6</v>
      </c>
      <c r="X586" s="13" t="n">
        <f aca="false">M586+N586+2*O586+3*P586</f>
        <v>225</v>
      </c>
      <c r="Y586" s="14" t="n">
        <f aca="false">IF(K586=0,0,M586/K586)</f>
        <v>0.227005870841487</v>
      </c>
      <c r="Z586" s="14" t="n">
        <f aca="false">IF(K586+R586+T586+U586=0,0,(M586+R586+T586)/(K586+R586+T586+U586))</f>
        <v>0.317487266553481</v>
      </c>
      <c r="AA586" s="14" t="n">
        <f aca="false">IF(K586=0,0,X586/K586)</f>
        <v>0.440313111545988</v>
      </c>
      <c r="AB586" s="14" t="n">
        <f aca="false">Z586+AA586</f>
        <v>0.757800378099469</v>
      </c>
      <c r="AC586" s="14" t="n">
        <f aca="false">AA586-Y586</f>
        <v>0.213307240704501</v>
      </c>
      <c r="AD586" s="14" t="n">
        <f aca="false">IF(K586-S586-P586+U586=0,0,(M586-P586)/(K586-S586-P586+U586))</f>
        <v>0.269972451790634</v>
      </c>
      <c r="AE586" s="15" t="n">
        <f aca="false">IF(J586=0,0,R586/J586)</f>
        <v>0.101867572156197</v>
      </c>
      <c r="AF586" s="15" t="n">
        <f aca="false">IF(J586=0,0,S586/J586)</f>
        <v>0.232597623089983</v>
      </c>
      <c r="AG586" s="11" t="n">
        <f aca="false">IF(J586&gt;=INDEX(球季參數!$E$2:$E$4,MATCH($A586,球季參數!$A$2:$A$4,0)),1,0)</f>
        <v>1</v>
      </c>
    </row>
    <row r="587" customFormat="false" ht="15" hidden="false" customHeight="false" outlineLevel="0" collapsed="false">
      <c r="A587" s="5" t="n">
        <v>2025</v>
      </c>
      <c r="B587" s="7" t="s">
        <v>1607</v>
      </c>
      <c r="C587" s="10" t="str">
        <f aca="false">INDEX(球員主檔!$B$2:$B$749,MATCH($B587,球員主檔!$A$2:$A$749,0))</f>
        <v>Griffin Ostrowski</v>
      </c>
      <c r="D587" s="7" t="s">
        <v>459</v>
      </c>
      <c r="E587" s="10" t="str">
        <f aca="false">INDEX(球隊主檔!$C$2:$C$31,MATCH($D587,球隊主檔!$A$2:$A$31,0))</f>
        <v>聖地牙哥教士</v>
      </c>
      <c r="F587" s="10" t="str">
        <f aca="false">INDEX(球隊主檔!$D$2:$D$31,MATCH($D587,球隊主檔!$A$2:$A$31,0))</f>
        <v>國聯</v>
      </c>
      <c r="G587" s="7" t="s">
        <v>162</v>
      </c>
      <c r="H587" s="11" t="n">
        <f aca="false">INT((DATE($A587,7,1)-INDEX(球員主檔!$G$2:$G$749,MATCH($B587,球員主檔!$A$2:$A$749,0)))/365.25)</f>
        <v>31</v>
      </c>
      <c r="I587" s="12" t="n">
        <v>45</v>
      </c>
      <c r="J587" s="12" t="n">
        <v>202</v>
      </c>
      <c r="K587" s="12" t="n">
        <v>177</v>
      </c>
      <c r="L587" s="12" t="n">
        <v>22</v>
      </c>
      <c r="M587" s="12" t="n">
        <v>40</v>
      </c>
      <c r="N587" s="12" t="n">
        <v>13</v>
      </c>
      <c r="O587" s="12" t="n">
        <v>5</v>
      </c>
      <c r="P587" s="12" t="n">
        <v>5</v>
      </c>
      <c r="Q587" s="12" t="n">
        <v>16</v>
      </c>
      <c r="R587" s="12" t="n">
        <v>21</v>
      </c>
      <c r="S587" s="12" t="n">
        <v>37</v>
      </c>
      <c r="T587" s="12" t="n">
        <v>3</v>
      </c>
      <c r="U587" s="12" t="n">
        <v>1</v>
      </c>
      <c r="V587" s="12" t="n">
        <v>2</v>
      </c>
      <c r="W587" s="12" t="n">
        <v>1</v>
      </c>
      <c r="X587" s="13" t="n">
        <f aca="false">M587+N587+2*O587+3*P587</f>
        <v>78</v>
      </c>
      <c r="Y587" s="14" t="n">
        <f aca="false">IF(K587=0,0,M587/K587)</f>
        <v>0.225988700564972</v>
      </c>
      <c r="Z587" s="14" t="n">
        <f aca="false">IF(K587+R587+T587+U587=0,0,(M587+R587+T587)/(K587+R587+T587+U587))</f>
        <v>0.316831683168317</v>
      </c>
      <c r="AA587" s="14" t="n">
        <f aca="false">IF(K587=0,0,X587/K587)</f>
        <v>0.440677966101695</v>
      </c>
      <c r="AB587" s="14" t="n">
        <f aca="false">Z587+AA587</f>
        <v>0.757509649270012</v>
      </c>
      <c r="AC587" s="14" t="n">
        <f aca="false">AA587-Y587</f>
        <v>0.214689265536723</v>
      </c>
      <c r="AD587" s="14" t="n">
        <f aca="false">IF(K587-S587-P587+U587=0,0,(M587-P587)/(K587-S587-P587+U587))</f>
        <v>0.257352941176471</v>
      </c>
      <c r="AE587" s="15" t="n">
        <f aca="false">IF(J587=0,0,R587/J587)</f>
        <v>0.103960396039604</v>
      </c>
      <c r="AF587" s="15" t="n">
        <f aca="false">IF(J587=0,0,S587/J587)</f>
        <v>0.183168316831683</v>
      </c>
      <c r="AG587" s="11" t="n">
        <f aca="false">IF(J587&gt;=INDEX(球季參數!$E$2:$E$4,MATCH($A587,球季參數!$A$2:$A$4,0)),1,0)</f>
        <v>0</v>
      </c>
    </row>
    <row r="588" customFormat="false" ht="15" hidden="false" customHeight="false" outlineLevel="0" collapsed="false">
      <c r="A588" s="5" t="n">
        <v>2025</v>
      </c>
      <c r="B588" s="7" t="s">
        <v>1609</v>
      </c>
      <c r="C588" s="10" t="str">
        <f aca="false">INDEX(球員主檔!$B$2:$B$749,MATCH($B588,球員主檔!$A$2:$A$749,0))</f>
        <v>Matthias Lemieux</v>
      </c>
      <c r="D588" s="7" t="s">
        <v>459</v>
      </c>
      <c r="E588" s="10" t="str">
        <f aca="false">INDEX(球隊主檔!$C$2:$C$31,MATCH($D588,球隊主檔!$A$2:$A$31,0))</f>
        <v>聖地牙哥教士</v>
      </c>
      <c r="F588" s="10" t="str">
        <f aca="false">INDEX(球隊主檔!$D$2:$D$31,MATCH($D588,球隊主檔!$A$2:$A$31,0))</f>
        <v>國聯</v>
      </c>
      <c r="G588" s="7" t="s">
        <v>470</v>
      </c>
      <c r="H588" s="11" t="n">
        <f aca="false">INT((DATE($A588,7,1)-INDEX(球員主檔!$G$2:$G$749,MATCH($B588,球員主檔!$A$2:$A$749,0)))/365.25)</f>
        <v>28</v>
      </c>
      <c r="I588" s="12" t="n">
        <v>118</v>
      </c>
      <c r="J588" s="12" t="n">
        <v>465</v>
      </c>
      <c r="K588" s="12" t="n">
        <v>411</v>
      </c>
      <c r="L588" s="12" t="n">
        <v>64</v>
      </c>
      <c r="M588" s="12" t="n">
        <v>105</v>
      </c>
      <c r="N588" s="12" t="n">
        <v>20</v>
      </c>
      <c r="O588" s="12" t="n">
        <v>2</v>
      </c>
      <c r="P588" s="12" t="n">
        <v>17</v>
      </c>
      <c r="Q588" s="12" t="n">
        <v>58</v>
      </c>
      <c r="R588" s="12" t="n">
        <v>47</v>
      </c>
      <c r="S588" s="12" t="n">
        <v>69</v>
      </c>
      <c r="T588" s="12" t="n">
        <v>6</v>
      </c>
      <c r="U588" s="12" t="n">
        <v>1</v>
      </c>
      <c r="V588" s="12" t="n">
        <v>7</v>
      </c>
      <c r="W588" s="12" t="n">
        <v>2</v>
      </c>
      <c r="X588" s="13" t="n">
        <f aca="false">M588+N588+2*O588+3*P588</f>
        <v>180</v>
      </c>
      <c r="Y588" s="14" t="n">
        <f aca="false">IF(K588=0,0,M588/K588)</f>
        <v>0.255474452554745</v>
      </c>
      <c r="Z588" s="14" t="n">
        <f aca="false">IF(K588+R588+T588+U588=0,0,(M588+R588+T588)/(K588+R588+T588+U588))</f>
        <v>0.339784946236559</v>
      </c>
      <c r="AA588" s="14" t="n">
        <f aca="false">IF(K588=0,0,X588/K588)</f>
        <v>0.437956204379562</v>
      </c>
      <c r="AB588" s="14" t="n">
        <f aca="false">Z588+AA588</f>
        <v>0.777741150616121</v>
      </c>
      <c r="AC588" s="14" t="n">
        <f aca="false">AA588-Y588</f>
        <v>0.182481751824818</v>
      </c>
      <c r="AD588" s="14" t="n">
        <f aca="false">IF(K588-S588-P588+U588=0,0,(M588-P588)/(K588-S588-P588+U588))</f>
        <v>0.269938650306748</v>
      </c>
      <c r="AE588" s="15" t="n">
        <f aca="false">IF(J588=0,0,R588/J588)</f>
        <v>0.101075268817204</v>
      </c>
      <c r="AF588" s="15" t="n">
        <f aca="false">IF(J588=0,0,S588/J588)</f>
        <v>0.148387096774194</v>
      </c>
      <c r="AG588" s="11" t="n">
        <f aca="false">IF(J588&gt;=INDEX(球季參數!$E$2:$E$4,MATCH($A588,球季參數!$A$2:$A$4,0)),1,0)</f>
        <v>0</v>
      </c>
    </row>
    <row r="589" customFormat="false" ht="15" hidden="false" customHeight="false" outlineLevel="0" collapsed="false">
      <c r="A589" s="5" t="n">
        <v>2025</v>
      </c>
      <c r="B589" s="7" t="s">
        <v>719</v>
      </c>
      <c r="C589" s="10" t="str">
        <f aca="false">INDEX(球員主檔!$B$2:$B$749,MATCH($B589,球員主檔!$A$2:$A$749,0))</f>
        <v>Desmond Halloway</v>
      </c>
      <c r="D589" s="7" t="s">
        <v>459</v>
      </c>
      <c r="E589" s="10" t="str">
        <f aca="false">INDEX(球隊主檔!$C$2:$C$31,MATCH($D589,球隊主檔!$A$2:$A$31,0))</f>
        <v>聖地牙哥教士</v>
      </c>
      <c r="F589" s="10" t="str">
        <f aca="false">INDEX(球隊主檔!$D$2:$D$31,MATCH($D589,球隊主檔!$A$2:$A$31,0))</f>
        <v>國聯</v>
      </c>
      <c r="G589" s="7" t="s">
        <v>63</v>
      </c>
      <c r="H589" s="11" t="n">
        <f aca="false">INT((DATE($A589,7,1)-INDEX(球員主檔!$G$2:$G$749,MATCH($B589,球員主檔!$A$2:$A$749,0)))/365.25)</f>
        <v>34</v>
      </c>
      <c r="I589" s="12" t="n">
        <v>86</v>
      </c>
      <c r="J589" s="12" t="n">
        <v>378</v>
      </c>
      <c r="K589" s="12" t="n">
        <v>361</v>
      </c>
      <c r="L589" s="12" t="n">
        <v>42</v>
      </c>
      <c r="M589" s="12" t="n">
        <v>86</v>
      </c>
      <c r="N589" s="12" t="n">
        <v>25</v>
      </c>
      <c r="O589" s="12" t="n">
        <v>9</v>
      </c>
      <c r="P589" s="12" t="n">
        <v>10</v>
      </c>
      <c r="Q589" s="12" t="n">
        <v>35</v>
      </c>
      <c r="R589" s="12" t="n">
        <v>10</v>
      </c>
      <c r="S589" s="12" t="n">
        <v>68</v>
      </c>
      <c r="T589" s="12" t="n">
        <v>3</v>
      </c>
      <c r="U589" s="12" t="n">
        <v>4</v>
      </c>
      <c r="V589" s="12" t="n">
        <v>2</v>
      </c>
      <c r="W589" s="12" t="n">
        <v>0</v>
      </c>
      <c r="X589" s="13" t="n">
        <f aca="false">M589+N589+2*O589+3*P589</f>
        <v>159</v>
      </c>
      <c r="Y589" s="14" t="n">
        <f aca="false">IF(K589=0,0,M589/K589)</f>
        <v>0.238227146814404</v>
      </c>
      <c r="Z589" s="14" t="n">
        <f aca="false">IF(K589+R589+T589+U589=0,0,(M589+R589+T589)/(K589+R589+T589+U589))</f>
        <v>0.261904761904762</v>
      </c>
      <c r="AA589" s="14" t="n">
        <f aca="false">IF(K589=0,0,X589/K589)</f>
        <v>0.440443213296399</v>
      </c>
      <c r="AB589" s="14" t="n">
        <f aca="false">Z589+AA589</f>
        <v>0.702347975201161</v>
      </c>
      <c r="AC589" s="14" t="n">
        <f aca="false">AA589-Y589</f>
        <v>0.202216066481994</v>
      </c>
      <c r="AD589" s="14" t="n">
        <f aca="false">IF(K589-S589-P589+U589=0,0,(M589-P589)/(K589-S589-P589+U589))</f>
        <v>0.264808362369338</v>
      </c>
      <c r="AE589" s="15" t="n">
        <f aca="false">IF(J589=0,0,R589/J589)</f>
        <v>0.0264550264550265</v>
      </c>
      <c r="AF589" s="15" t="n">
        <f aca="false">IF(J589=0,0,S589/J589)</f>
        <v>0.17989417989418</v>
      </c>
      <c r="AG589" s="11" t="n">
        <f aca="false">IF(J589&gt;=INDEX(球季參數!$E$2:$E$4,MATCH($A589,球季參數!$A$2:$A$4,0)),1,0)</f>
        <v>0</v>
      </c>
    </row>
    <row r="590" customFormat="false" ht="15" hidden="false" customHeight="false" outlineLevel="0" collapsed="false">
      <c r="A590" s="5" t="n">
        <v>2025</v>
      </c>
      <c r="B590" s="7" t="s">
        <v>1613</v>
      </c>
      <c r="C590" s="10" t="str">
        <f aca="false">INDEX(球員主檔!$B$2:$B$749,MATCH($B590,球員主檔!$A$2:$A$749,0))</f>
        <v>Esteban Tremblay</v>
      </c>
      <c r="D590" s="7" t="s">
        <v>459</v>
      </c>
      <c r="E590" s="10" t="str">
        <f aca="false">INDEX(球隊主檔!$C$2:$C$31,MATCH($D590,球隊主檔!$A$2:$A$31,0))</f>
        <v>聖地牙哥教士</v>
      </c>
      <c r="F590" s="10" t="str">
        <f aca="false">INDEX(球隊主檔!$D$2:$D$31,MATCH($D590,球隊主檔!$A$2:$A$31,0))</f>
        <v>國聯</v>
      </c>
      <c r="G590" s="7" t="s">
        <v>522</v>
      </c>
      <c r="H590" s="11" t="n">
        <f aca="false">INT((DATE($A590,7,1)-INDEX(球員主檔!$G$2:$G$749,MATCH($B590,球員主檔!$A$2:$A$749,0)))/365.25)</f>
        <v>29</v>
      </c>
      <c r="I590" s="12" t="n">
        <v>71</v>
      </c>
      <c r="J590" s="12" t="n">
        <v>281</v>
      </c>
      <c r="K590" s="12" t="n">
        <v>250</v>
      </c>
      <c r="L590" s="12" t="n">
        <v>32</v>
      </c>
      <c r="M590" s="12" t="n">
        <v>62</v>
      </c>
      <c r="N590" s="12" t="n">
        <v>27</v>
      </c>
      <c r="O590" s="12" t="n">
        <v>3</v>
      </c>
      <c r="P590" s="12" t="n">
        <v>7</v>
      </c>
      <c r="Q590" s="12" t="n">
        <v>29</v>
      </c>
      <c r="R590" s="12" t="n">
        <v>27</v>
      </c>
      <c r="S590" s="12" t="n">
        <v>66</v>
      </c>
      <c r="T590" s="12" t="n">
        <v>1</v>
      </c>
      <c r="U590" s="12" t="n">
        <v>3</v>
      </c>
      <c r="V590" s="12" t="n">
        <v>3</v>
      </c>
      <c r="W590" s="12" t="n">
        <v>1</v>
      </c>
      <c r="X590" s="13" t="n">
        <f aca="false">M590+N590+2*O590+3*P590</f>
        <v>116</v>
      </c>
      <c r="Y590" s="14" t="n">
        <f aca="false">IF(K590=0,0,M590/K590)</f>
        <v>0.248</v>
      </c>
      <c r="Z590" s="14" t="n">
        <f aca="false">IF(K590+R590+T590+U590=0,0,(M590+R590+T590)/(K590+R590+T590+U590))</f>
        <v>0.320284697508897</v>
      </c>
      <c r="AA590" s="14" t="n">
        <f aca="false">IF(K590=0,0,X590/K590)</f>
        <v>0.464</v>
      </c>
      <c r="AB590" s="14" t="n">
        <f aca="false">Z590+AA590</f>
        <v>0.784284697508897</v>
      </c>
      <c r="AC590" s="14" t="n">
        <f aca="false">AA590-Y590</f>
        <v>0.216</v>
      </c>
      <c r="AD590" s="14" t="n">
        <f aca="false">IF(K590-S590-P590+U590=0,0,(M590-P590)/(K590-S590-P590+U590))</f>
        <v>0.305555555555556</v>
      </c>
      <c r="AE590" s="15" t="n">
        <f aca="false">IF(J590=0,0,R590/J590)</f>
        <v>0.096085409252669</v>
      </c>
      <c r="AF590" s="15" t="n">
        <f aca="false">IF(J590=0,0,S590/J590)</f>
        <v>0.234875444839858</v>
      </c>
      <c r="AG590" s="11" t="n">
        <f aca="false">IF(J590&gt;=INDEX(球季參數!$E$2:$E$4,MATCH($A590,球季參數!$A$2:$A$4,0)),1,0)</f>
        <v>0</v>
      </c>
    </row>
    <row r="591" customFormat="false" ht="15" hidden="false" customHeight="false" outlineLevel="0" collapsed="false">
      <c r="A591" s="5" t="n">
        <v>2025</v>
      </c>
      <c r="B591" s="7" t="s">
        <v>1797</v>
      </c>
      <c r="C591" s="10" t="str">
        <f aca="false">INDEX(球員主檔!$B$2:$B$749,MATCH($B591,球員主檔!$A$2:$A$749,0))</f>
        <v>Landon Haverford</v>
      </c>
      <c r="D591" s="7" t="s">
        <v>459</v>
      </c>
      <c r="E591" s="10" t="str">
        <f aca="false">INDEX(球隊主檔!$C$2:$C$31,MATCH($D591,球隊主檔!$A$2:$A$31,0))</f>
        <v>聖地牙哥教士</v>
      </c>
      <c r="F591" s="10" t="str">
        <f aca="false">INDEX(球隊主檔!$D$2:$D$31,MATCH($D591,球隊主檔!$A$2:$A$31,0))</f>
        <v>國聯</v>
      </c>
      <c r="G591" s="7" t="s">
        <v>63</v>
      </c>
      <c r="H591" s="11" t="n">
        <f aca="false">INT((DATE($A591,7,1)-INDEX(球員主檔!$G$2:$G$749,MATCH($B591,球員主檔!$A$2:$A$749,0)))/365.25)</f>
        <v>23</v>
      </c>
      <c r="I591" s="12" t="n">
        <v>45</v>
      </c>
      <c r="J591" s="12" t="n">
        <v>193</v>
      </c>
      <c r="K591" s="12" t="n">
        <v>177</v>
      </c>
      <c r="L591" s="12" t="n">
        <v>20</v>
      </c>
      <c r="M591" s="12" t="n">
        <v>44</v>
      </c>
      <c r="N591" s="12" t="n">
        <v>19</v>
      </c>
      <c r="O591" s="12" t="n">
        <v>5</v>
      </c>
      <c r="P591" s="12" t="n">
        <v>2</v>
      </c>
      <c r="Q591" s="12" t="n">
        <v>12</v>
      </c>
      <c r="R591" s="12" t="n">
        <v>12</v>
      </c>
      <c r="S591" s="12" t="n">
        <v>49</v>
      </c>
      <c r="T591" s="12" t="n">
        <v>2</v>
      </c>
      <c r="U591" s="12" t="n">
        <v>2</v>
      </c>
      <c r="V591" s="12" t="n">
        <v>3</v>
      </c>
      <c r="W591" s="12" t="n">
        <v>1</v>
      </c>
      <c r="X591" s="13" t="n">
        <f aca="false">M591+N591+2*O591+3*P591</f>
        <v>79</v>
      </c>
      <c r="Y591" s="14" t="n">
        <f aca="false">IF(K591=0,0,M591/K591)</f>
        <v>0.248587570621469</v>
      </c>
      <c r="Z591" s="14" t="n">
        <f aca="false">IF(K591+R591+T591+U591=0,0,(M591+R591+T591)/(K591+R591+T591+U591))</f>
        <v>0.300518134715026</v>
      </c>
      <c r="AA591" s="14" t="n">
        <f aca="false">IF(K591=0,0,X591/K591)</f>
        <v>0.446327683615819</v>
      </c>
      <c r="AB591" s="14" t="n">
        <f aca="false">Z591+AA591</f>
        <v>0.746845818330845</v>
      </c>
      <c r="AC591" s="14" t="n">
        <f aca="false">AA591-Y591</f>
        <v>0.19774011299435</v>
      </c>
      <c r="AD591" s="14" t="n">
        <f aca="false">IF(K591-S591-P591+U591=0,0,(M591-P591)/(K591-S591-P591+U591))</f>
        <v>0.328125</v>
      </c>
      <c r="AE591" s="15" t="n">
        <f aca="false">IF(J591=0,0,R591/J591)</f>
        <v>0.0621761658031088</v>
      </c>
      <c r="AF591" s="15" t="n">
        <f aca="false">IF(J591=0,0,S591/J591)</f>
        <v>0.253886010362694</v>
      </c>
      <c r="AG591" s="11" t="n">
        <f aca="false">IF(J591&gt;=INDEX(球季參數!$E$2:$E$4,MATCH($A591,球季參數!$A$2:$A$4,0)),1,0)</f>
        <v>0</v>
      </c>
    </row>
    <row r="592" customFormat="false" ht="15" hidden="false" customHeight="false" outlineLevel="0" collapsed="false">
      <c r="A592" s="5" t="n">
        <v>2025</v>
      </c>
      <c r="B592" s="7" t="s">
        <v>1637</v>
      </c>
      <c r="C592" s="10" t="str">
        <f aca="false">INDEX(球員主檔!$B$2:$B$749,MATCH($B592,球員主檔!$A$2:$A$749,0))</f>
        <v>Niklas Uchendu</v>
      </c>
      <c r="D592" s="7" t="s">
        <v>463</v>
      </c>
      <c r="E592" s="10" t="str">
        <f aca="false">INDEX(球隊主檔!$C$2:$C$31,MATCH($D592,球隊主檔!$A$2:$A$31,0))</f>
        <v>舊金山巨人</v>
      </c>
      <c r="F592" s="10" t="str">
        <f aca="false">INDEX(球隊主檔!$D$2:$D$31,MATCH($D592,球隊主檔!$A$2:$A$31,0))</f>
        <v>國聯</v>
      </c>
      <c r="G592" s="7" t="s">
        <v>470</v>
      </c>
      <c r="H592" s="11" t="n">
        <f aca="false">INT((DATE($A592,7,1)-INDEX(球員主檔!$G$2:$G$749,MATCH($B592,球員主檔!$A$2:$A$749,0)))/365.25)</f>
        <v>35</v>
      </c>
      <c r="I592" s="12" t="n">
        <v>148</v>
      </c>
      <c r="J592" s="12" t="n">
        <v>604</v>
      </c>
      <c r="K592" s="12" t="n">
        <v>533</v>
      </c>
      <c r="L592" s="12" t="n">
        <v>64</v>
      </c>
      <c r="M592" s="12" t="n">
        <v>105</v>
      </c>
      <c r="N592" s="12" t="n">
        <v>38</v>
      </c>
      <c r="O592" s="12" t="n">
        <v>5</v>
      </c>
      <c r="P592" s="12" t="n">
        <v>17</v>
      </c>
      <c r="Q592" s="12" t="n">
        <v>60</v>
      </c>
      <c r="R592" s="12" t="n">
        <v>56</v>
      </c>
      <c r="S592" s="12" t="n">
        <v>129</v>
      </c>
      <c r="T592" s="12" t="n">
        <v>8</v>
      </c>
      <c r="U592" s="12" t="n">
        <v>7</v>
      </c>
      <c r="V592" s="12" t="n">
        <v>15</v>
      </c>
      <c r="W592" s="12" t="n">
        <v>5</v>
      </c>
      <c r="X592" s="13" t="n">
        <f aca="false">M592+N592+2*O592+3*P592</f>
        <v>204</v>
      </c>
      <c r="Y592" s="14" t="n">
        <f aca="false">IF(K592=0,0,M592/K592)</f>
        <v>0.196998123827392</v>
      </c>
      <c r="Z592" s="14" t="n">
        <f aca="false">IF(K592+R592+T592+U592=0,0,(M592+R592+T592)/(K592+R592+T592+U592))</f>
        <v>0.279801324503311</v>
      </c>
      <c r="AA592" s="14" t="n">
        <f aca="false">IF(K592=0,0,X592/K592)</f>
        <v>0.382739212007505</v>
      </c>
      <c r="AB592" s="14" t="n">
        <f aca="false">Z592+AA592</f>
        <v>0.662540536510816</v>
      </c>
      <c r="AC592" s="14" t="n">
        <f aca="false">AA592-Y592</f>
        <v>0.185741088180113</v>
      </c>
      <c r="AD592" s="14" t="n">
        <f aca="false">IF(K592-S592-P592+U592=0,0,(M592-P592)/(K592-S592-P592+U592))</f>
        <v>0.223350253807107</v>
      </c>
      <c r="AE592" s="15" t="n">
        <f aca="false">IF(J592=0,0,R592/J592)</f>
        <v>0.0927152317880795</v>
      </c>
      <c r="AF592" s="15" t="n">
        <f aca="false">IF(J592=0,0,S592/J592)</f>
        <v>0.213576158940397</v>
      </c>
      <c r="AG592" s="11" t="n">
        <f aca="false">IF(J592&gt;=INDEX(球季參數!$E$2:$E$4,MATCH($A592,球季參數!$A$2:$A$4,0)),1,0)</f>
        <v>1</v>
      </c>
    </row>
    <row r="593" customFormat="false" ht="15" hidden="false" customHeight="false" outlineLevel="0" collapsed="false">
      <c r="A593" s="5" t="n">
        <v>2025</v>
      </c>
      <c r="B593" s="7" t="s">
        <v>1639</v>
      </c>
      <c r="C593" s="10" t="str">
        <f aca="false">INDEX(球員主檔!$B$2:$B$749,MATCH($B593,球員主檔!$A$2:$A$749,0))</f>
        <v>Esteban Brightwell</v>
      </c>
      <c r="D593" s="7" t="s">
        <v>463</v>
      </c>
      <c r="E593" s="10" t="str">
        <f aca="false">INDEX(球隊主檔!$C$2:$C$31,MATCH($D593,球隊主檔!$A$2:$A$31,0))</f>
        <v>舊金山巨人</v>
      </c>
      <c r="F593" s="10" t="str">
        <f aca="false">INDEX(球隊主檔!$D$2:$D$31,MATCH($D593,球隊主檔!$A$2:$A$31,0))</f>
        <v>國聯</v>
      </c>
      <c r="G593" s="7" t="s">
        <v>486</v>
      </c>
      <c r="H593" s="11" t="n">
        <f aca="false">INT((DATE($A593,7,1)-INDEX(球員主檔!$G$2:$G$749,MATCH($B593,球員主檔!$A$2:$A$749,0)))/365.25)</f>
        <v>31</v>
      </c>
      <c r="I593" s="12" t="n">
        <v>94</v>
      </c>
      <c r="J593" s="12" t="n">
        <v>394</v>
      </c>
      <c r="K593" s="12" t="n">
        <v>359</v>
      </c>
      <c r="L593" s="12" t="n">
        <v>45</v>
      </c>
      <c r="M593" s="12" t="n">
        <v>95</v>
      </c>
      <c r="N593" s="12" t="n">
        <v>25</v>
      </c>
      <c r="O593" s="12" t="n">
        <v>7</v>
      </c>
      <c r="P593" s="12" t="n">
        <v>6</v>
      </c>
      <c r="Q593" s="12" t="n">
        <v>33</v>
      </c>
      <c r="R593" s="12" t="n">
        <v>28</v>
      </c>
      <c r="S593" s="12" t="n">
        <v>58</v>
      </c>
      <c r="T593" s="12" t="n">
        <v>3</v>
      </c>
      <c r="U593" s="12" t="n">
        <v>4</v>
      </c>
      <c r="V593" s="12" t="n">
        <v>17</v>
      </c>
      <c r="W593" s="12" t="n">
        <v>2</v>
      </c>
      <c r="X593" s="13" t="n">
        <f aca="false">M593+N593+2*O593+3*P593</f>
        <v>152</v>
      </c>
      <c r="Y593" s="14" t="n">
        <f aca="false">IF(K593=0,0,M593/K593)</f>
        <v>0.264623955431755</v>
      </c>
      <c r="Z593" s="14" t="n">
        <f aca="false">IF(K593+R593+T593+U593=0,0,(M593+R593+T593)/(K593+R593+T593+U593))</f>
        <v>0.319796954314721</v>
      </c>
      <c r="AA593" s="14" t="n">
        <f aca="false">IF(K593=0,0,X593/K593)</f>
        <v>0.423398328690808</v>
      </c>
      <c r="AB593" s="14" t="n">
        <f aca="false">Z593+AA593</f>
        <v>0.743195283005529</v>
      </c>
      <c r="AC593" s="14" t="n">
        <f aca="false">AA593-Y593</f>
        <v>0.158774373259053</v>
      </c>
      <c r="AD593" s="14" t="n">
        <f aca="false">IF(K593-S593-P593+U593=0,0,(M593-P593)/(K593-S593-P593+U593))</f>
        <v>0.297658862876254</v>
      </c>
      <c r="AE593" s="15" t="n">
        <f aca="false">IF(J593=0,0,R593/J593)</f>
        <v>0.0710659898477157</v>
      </c>
      <c r="AF593" s="15" t="n">
        <f aca="false">IF(J593=0,0,S593/J593)</f>
        <v>0.147208121827411</v>
      </c>
      <c r="AG593" s="11" t="n">
        <f aca="false">IF(J593&gt;=INDEX(球季參數!$E$2:$E$4,MATCH($A593,球季參數!$A$2:$A$4,0)),1,0)</f>
        <v>0</v>
      </c>
    </row>
    <row r="594" customFormat="false" ht="15" hidden="false" customHeight="false" outlineLevel="0" collapsed="false">
      <c r="A594" s="5" t="n">
        <v>2025</v>
      </c>
      <c r="B594" s="7" t="s">
        <v>1641</v>
      </c>
      <c r="C594" s="10" t="str">
        <f aca="false">INDEX(球員主檔!$B$2:$B$749,MATCH($B594,球員主檔!$A$2:$A$749,0))</f>
        <v>Quentin Thorsby</v>
      </c>
      <c r="D594" s="7" t="s">
        <v>463</v>
      </c>
      <c r="E594" s="10" t="str">
        <f aca="false">INDEX(球隊主檔!$C$2:$C$31,MATCH($D594,球隊主檔!$A$2:$A$31,0))</f>
        <v>舊金山巨人</v>
      </c>
      <c r="F594" s="10" t="str">
        <f aca="false">INDEX(球隊主檔!$D$2:$D$31,MATCH($D594,球隊主檔!$A$2:$A$31,0))</f>
        <v>國聯</v>
      </c>
      <c r="G594" s="7" t="s">
        <v>478</v>
      </c>
      <c r="H594" s="11" t="n">
        <f aca="false">INT((DATE($A594,7,1)-INDEX(球員主檔!$G$2:$G$749,MATCH($B594,球員主檔!$A$2:$A$749,0)))/365.25)</f>
        <v>30</v>
      </c>
      <c r="I594" s="12" t="n">
        <v>149</v>
      </c>
      <c r="J594" s="12" t="n">
        <v>657</v>
      </c>
      <c r="K594" s="12" t="n">
        <v>582</v>
      </c>
      <c r="L594" s="12" t="n">
        <v>65</v>
      </c>
      <c r="M594" s="12" t="n">
        <v>115</v>
      </c>
      <c r="N594" s="12" t="n">
        <v>21</v>
      </c>
      <c r="O594" s="12" t="n">
        <v>5</v>
      </c>
      <c r="P594" s="12" t="n">
        <v>23</v>
      </c>
      <c r="Q594" s="12" t="n">
        <v>70</v>
      </c>
      <c r="R594" s="12" t="n">
        <v>63</v>
      </c>
      <c r="S594" s="12" t="n">
        <v>88</v>
      </c>
      <c r="T594" s="12" t="n">
        <v>11</v>
      </c>
      <c r="U594" s="12" t="n">
        <v>1</v>
      </c>
      <c r="V594" s="12" t="n">
        <v>26</v>
      </c>
      <c r="W594" s="12" t="n">
        <v>3</v>
      </c>
      <c r="X594" s="13" t="n">
        <f aca="false">M594+N594+2*O594+3*P594</f>
        <v>215</v>
      </c>
      <c r="Y594" s="14" t="n">
        <f aca="false">IF(K594=0,0,M594/K594)</f>
        <v>0.197594501718213</v>
      </c>
      <c r="Z594" s="14" t="n">
        <f aca="false">IF(K594+R594+T594+U594=0,0,(M594+R594+T594)/(K594+R594+T594+U594))</f>
        <v>0.287671232876712</v>
      </c>
      <c r="AA594" s="14" t="n">
        <f aca="false">IF(K594=0,0,X594/K594)</f>
        <v>0.369415807560138</v>
      </c>
      <c r="AB594" s="14" t="n">
        <f aca="false">Z594+AA594</f>
        <v>0.65708704043685</v>
      </c>
      <c r="AC594" s="14" t="n">
        <f aca="false">AA594-Y594</f>
        <v>0.171821305841924</v>
      </c>
      <c r="AD594" s="14" t="n">
        <f aca="false">IF(K594-S594-P594+U594=0,0,(M594-P594)/(K594-S594-P594+U594))</f>
        <v>0.194915254237288</v>
      </c>
      <c r="AE594" s="15" t="n">
        <f aca="false">IF(J594=0,0,R594/J594)</f>
        <v>0.0958904109589041</v>
      </c>
      <c r="AF594" s="15" t="n">
        <f aca="false">IF(J594=0,0,S594/J594)</f>
        <v>0.133942161339422</v>
      </c>
      <c r="AG594" s="11" t="n">
        <f aca="false">IF(J594&gt;=INDEX(球季參數!$E$2:$E$4,MATCH($A594,球季參數!$A$2:$A$4,0)),1,0)</f>
        <v>1</v>
      </c>
    </row>
    <row r="595" customFormat="false" ht="15" hidden="false" customHeight="false" outlineLevel="0" collapsed="false">
      <c r="A595" s="5" t="n">
        <v>2025</v>
      </c>
      <c r="B595" s="7" t="s">
        <v>1643</v>
      </c>
      <c r="C595" s="10" t="str">
        <f aca="false">INDEX(球員主檔!$B$2:$B$749,MATCH($B595,球員主檔!$A$2:$A$749,0))</f>
        <v>Nolan Engelhardt</v>
      </c>
      <c r="D595" s="7" t="s">
        <v>463</v>
      </c>
      <c r="E595" s="10" t="str">
        <f aca="false">INDEX(球隊主檔!$C$2:$C$31,MATCH($D595,球隊主檔!$A$2:$A$31,0))</f>
        <v>舊金山巨人</v>
      </c>
      <c r="F595" s="10" t="str">
        <f aca="false">INDEX(球隊主檔!$D$2:$D$31,MATCH($D595,球隊主檔!$A$2:$A$31,0))</f>
        <v>國聯</v>
      </c>
      <c r="G595" s="7" t="s">
        <v>162</v>
      </c>
      <c r="H595" s="11" t="n">
        <f aca="false">INT((DATE($A595,7,1)-INDEX(球員主檔!$G$2:$G$749,MATCH($B595,球員主檔!$A$2:$A$749,0)))/365.25)</f>
        <v>31</v>
      </c>
      <c r="I595" s="12" t="n">
        <v>135</v>
      </c>
      <c r="J595" s="12" t="n">
        <v>577</v>
      </c>
      <c r="K595" s="12" t="n">
        <v>530</v>
      </c>
      <c r="L595" s="12" t="n">
        <v>65</v>
      </c>
      <c r="M595" s="12" t="n">
        <v>124</v>
      </c>
      <c r="N595" s="12" t="n">
        <v>19</v>
      </c>
      <c r="O595" s="12" t="n">
        <v>3</v>
      </c>
      <c r="P595" s="12" t="n">
        <v>10</v>
      </c>
      <c r="Q595" s="12" t="n">
        <v>45</v>
      </c>
      <c r="R595" s="12" t="n">
        <v>38</v>
      </c>
      <c r="S595" s="12" t="n">
        <v>132</v>
      </c>
      <c r="T595" s="12" t="n">
        <v>4</v>
      </c>
      <c r="U595" s="12" t="n">
        <v>5</v>
      </c>
      <c r="V595" s="12" t="n">
        <v>10</v>
      </c>
      <c r="W595" s="12" t="n">
        <v>2</v>
      </c>
      <c r="X595" s="13" t="n">
        <f aca="false">M595+N595+2*O595+3*P595</f>
        <v>179</v>
      </c>
      <c r="Y595" s="14" t="n">
        <f aca="false">IF(K595=0,0,M595/K595)</f>
        <v>0.233962264150943</v>
      </c>
      <c r="Z595" s="14" t="n">
        <f aca="false">IF(K595+R595+T595+U595=0,0,(M595+R595+T595)/(K595+R595+T595+U595))</f>
        <v>0.287694974003466</v>
      </c>
      <c r="AA595" s="14" t="n">
        <f aca="false">IF(K595=0,0,X595/K595)</f>
        <v>0.337735849056604</v>
      </c>
      <c r="AB595" s="14" t="n">
        <f aca="false">Z595+AA595</f>
        <v>0.62543082306007</v>
      </c>
      <c r="AC595" s="14" t="n">
        <f aca="false">AA595-Y595</f>
        <v>0.10377358490566</v>
      </c>
      <c r="AD595" s="14" t="n">
        <f aca="false">IF(K595-S595-P595+U595=0,0,(M595-P595)/(K595-S595-P595+U595))</f>
        <v>0.290076335877863</v>
      </c>
      <c r="AE595" s="15" t="n">
        <f aca="false">IF(J595=0,0,R595/J595)</f>
        <v>0.0658578856152513</v>
      </c>
      <c r="AF595" s="15" t="n">
        <f aca="false">IF(J595=0,0,S595/J595)</f>
        <v>0.228769497400347</v>
      </c>
      <c r="AG595" s="11" t="n">
        <f aca="false">IF(J595&gt;=INDEX(球季參數!$E$2:$E$4,MATCH($A595,球季參數!$A$2:$A$4,0)),1,0)</f>
        <v>1</v>
      </c>
    </row>
    <row r="596" customFormat="false" ht="15" hidden="false" customHeight="false" outlineLevel="0" collapsed="false">
      <c r="A596" s="5" t="n">
        <v>2025</v>
      </c>
      <c r="B596" s="7" t="s">
        <v>1645</v>
      </c>
      <c r="C596" s="10" t="str">
        <f aca="false">INDEX(球員主檔!$B$2:$B$749,MATCH($B596,球員主檔!$A$2:$A$749,0))</f>
        <v>Kellan Ravenscroft</v>
      </c>
      <c r="D596" s="7" t="s">
        <v>463</v>
      </c>
      <c r="E596" s="10" t="str">
        <f aca="false">INDEX(球隊主檔!$C$2:$C$31,MATCH($D596,球隊主檔!$A$2:$A$31,0))</f>
        <v>舊金山巨人</v>
      </c>
      <c r="F596" s="10" t="str">
        <f aca="false">INDEX(球隊主檔!$D$2:$D$31,MATCH($D596,球隊主檔!$A$2:$A$31,0))</f>
        <v>國聯</v>
      </c>
      <c r="G596" s="7" t="s">
        <v>158</v>
      </c>
      <c r="H596" s="11" t="n">
        <f aca="false">INT((DATE($A596,7,1)-INDEX(球員主檔!$G$2:$G$749,MATCH($B596,球員主檔!$A$2:$A$749,0)))/365.25)</f>
        <v>32</v>
      </c>
      <c r="I596" s="12" t="n">
        <v>162</v>
      </c>
      <c r="J596" s="12" t="n">
        <v>650</v>
      </c>
      <c r="K596" s="12" t="n">
        <v>575</v>
      </c>
      <c r="L596" s="12" t="n">
        <v>82</v>
      </c>
      <c r="M596" s="12" t="n">
        <v>179</v>
      </c>
      <c r="N596" s="12" t="n">
        <v>34</v>
      </c>
      <c r="O596" s="12" t="n">
        <v>4</v>
      </c>
      <c r="P596" s="12" t="n">
        <v>18</v>
      </c>
      <c r="Q596" s="12" t="n">
        <v>83</v>
      </c>
      <c r="R596" s="12" t="n">
        <v>58</v>
      </c>
      <c r="S596" s="12" t="n">
        <v>94</v>
      </c>
      <c r="T596" s="12" t="n">
        <v>12</v>
      </c>
      <c r="U596" s="12" t="n">
        <v>5</v>
      </c>
      <c r="V596" s="12" t="n">
        <v>12</v>
      </c>
      <c r="W596" s="12" t="n">
        <v>3</v>
      </c>
      <c r="X596" s="13" t="n">
        <f aca="false">M596+N596+2*O596+3*P596</f>
        <v>275</v>
      </c>
      <c r="Y596" s="14" t="n">
        <f aca="false">IF(K596=0,0,M596/K596)</f>
        <v>0.311304347826087</v>
      </c>
      <c r="Z596" s="14" t="n">
        <f aca="false">IF(K596+R596+T596+U596=0,0,(M596+R596+T596)/(K596+R596+T596+U596))</f>
        <v>0.383076923076923</v>
      </c>
      <c r="AA596" s="14" t="n">
        <f aca="false">IF(K596=0,0,X596/K596)</f>
        <v>0.478260869565217</v>
      </c>
      <c r="AB596" s="14" t="n">
        <f aca="false">Z596+AA596</f>
        <v>0.861337792642141</v>
      </c>
      <c r="AC596" s="14" t="n">
        <f aca="false">AA596-Y596</f>
        <v>0.16695652173913</v>
      </c>
      <c r="AD596" s="14" t="n">
        <f aca="false">IF(K596-S596-P596+U596=0,0,(M596-P596)/(K596-S596-P596+U596))</f>
        <v>0.344017094017094</v>
      </c>
      <c r="AE596" s="15" t="n">
        <f aca="false">IF(J596=0,0,R596/J596)</f>
        <v>0.0892307692307692</v>
      </c>
      <c r="AF596" s="15" t="n">
        <f aca="false">IF(J596=0,0,S596/J596)</f>
        <v>0.144615384615385</v>
      </c>
      <c r="AG596" s="11" t="n">
        <f aca="false">IF(J596&gt;=INDEX(球季參數!$E$2:$E$4,MATCH($A596,球季參數!$A$2:$A$4,0)),1,0)</f>
        <v>1</v>
      </c>
    </row>
    <row r="597" customFormat="false" ht="15" hidden="false" customHeight="false" outlineLevel="0" collapsed="false">
      <c r="A597" s="5" t="n">
        <v>2025</v>
      </c>
      <c r="B597" s="7" t="s">
        <v>1647</v>
      </c>
      <c r="C597" s="10" t="str">
        <f aca="false">INDEX(球員主檔!$B$2:$B$749,MATCH($B597,球員主檔!$A$2:$A$749,0))</f>
        <v>Benedikt Kiriakis</v>
      </c>
      <c r="D597" s="7" t="s">
        <v>463</v>
      </c>
      <c r="E597" s="10" t="str">
        <f aca="false">INDEX(球隊主檔!$C$2:$C$31,MATCH($D597,球隊主檔!$A$2:$A$31,0))</f>
        <v>舊金山巨人</v>
      </c>
      <c r="F597" s="10" t="str">
        <f aca="false">INDEX(球隊主檔!$D$2:$D$31,MATCH($D597,球隊主檔!$A$2:$A$31,0))</f>
        <v>國聯</v>
      </c>
      <c r="G597" s="7" t="s">
        <v>63</v>
      </c>
      <c r="H597" s="11" t="n">
        <f aca="false">INT((DATE($A597,7,1)-INDEX(球員主檔!$G$2:$G$749,MATCH($B597,球員主檔!$A$2:$A$749,0)))/365.25)</f>
        <v>28</v>
      </c>
      <c r="I597" s="12" t="n">
        <v>101</v>
      </c>
      <c r="J597" s="12" t="n">
        <v>420</v>
      </c>
      <c r="K597" s="12" t="n">
        <v>378</v>
      </c>
      <c r="L597" s="12" t="n">
        <v>42</v>
      </c>
      <c r="M597" s="12" t="n">
        <v>88</v>
      </c>
      <c r="N597" s="12" t="n">
        <v>17</v>
      </c>
      <c r="O597" s="12" t="n">
        <v>5</v>
      </c>
      <c r="P597" s="12" t="n">
        <v>9</v>
      </c>
      <c r="Q597" s="12" t="n">
        <v>41</v>
      </c>
      <c r="R597" s="12" t="n">
        <v>32</v>
      </c>
      <c r="S597" s="12" t="n">
        <v>75</v>
      </c>
      <c r="T597" s="12" t="n">
        <v>5</v>
      </c>
      <c r="U597" s="12" t="n">
        <v>5</v>
      </c>
      <c r="V597" s="12" t="n">
        <v>23</v>
      </c>
      <c r="W597" s="12" t="n">
        <v>3</v>
      </c>
      <c r="X597" s="13" t="n">
        <f aca="false">M597+N597+2*O597+3*P597</f>
        <v>142</v>
      </c>
      <c r="Y597" s="14" t="n">
        <f aca="false">IF(K597=0,0,M597/K597)</f>
        <v>0.232804232804233</v>
      </c>
      <c r="Z597" s="14" t="n">
        <f aca="false">IF(K597+R597+T597+U597=0,0,(M597+R597+T597)/(K597+R597+T597+U597))</f>
        <v>0.297619047619048</v>
      </c>
      <c r="AA597" s="14" t="n">
        <f aca="false">IF(K597=0,0,X597/K597)</f>
        <v>0.375661375661376</v>
      </c>
      <c r="AB597" s="14" t="n">
        <f aca="false">Z597+AA597</f>
        <v>0.673280423280423</v>
      </c>
      <c r="AC597" s="14" t="n">
        <f aca="false">AA597-Y597</f>
        <v>0.142857142857143</v>
      </c>
      <c r="AD597" s="14" t="n">
        <f aca="false">IF(K597-S597-P597+U597=0,0,(M597-P597)/(K597-S597-P597+U597))</f>
        <v>0.264214046822742</v>
      </c>
      <c r="AE597" s="15" t="n">
        <f aca="false">IF(J597=0,0,R597/J597)</f>
        <v>0.0761904761904762</v>
      </c>
      <c r="AF597" s="15" t="n">
        <f aca="false">IF(J597=0,0,S597/J597)</f>
        <v>0.178571428571429</v>
      </c>
      <c r="AG597" s="11" t="n">
        <f aca="false">IF(J597&gt;=INDEX(球季參數!$E$2:$E$4,MATCH($A597,球季參數!$A$2:$A$4,0)),1,0)</f>
        <v>0</v>
      </c>
    </row>
    <row r="598" customFormat="false" ht="15" hidden="false" customHeight="false" outlineLevel="0" collapsed="false">
      <c r="A598" s="5" t="n">
        <v>2025</v>
      </c>
      <c r="B598" s="7" t="s">
        <v>1801</v>
      </c>
      <c r="C598" s="10" t="str">
        <f aca="false">INDEX(球員主檔!$B$2:$B$749,MATCH($B598,球員主檔!$A$2:$A$749,0))</f>
        <v>Oakley Villalobos</v>
      </c>
      <c r="D598" s="7" t="s">
        <v>463</v>
      </c>
      <c r="E598" s="10" t="str">
        <f aca="false">INDEX(球隊主檔!$C$2:$C$31,MATCH($D598,球隊主檔!$A$2:$A$31,0))</f>
        <v>舊金山巨人</v>
      </c>
      <c r="F598" s="10" t="str">
        <f aca="false">INDEX(球隊主檔!$D$2:$D$31,MATCH($D598,球隊主檔!$A$2:$A$31,0))</f>
        <v>國聯</v>
      </c>
      <c r="G598" s="7" t="s">
        <v>158</v>
      </c>
      <c r="H598" s="11" t="n">
        <f aca="false">INT((DATE($A598,7,1)-INDEX(球員主檔!$G$2:$G$749,MATCH($B598,球員主檔!$A$2:$A$749,0)))/365.25)</f>
        <v>24</v>
      </c>
      <c r="I598" s="12" t="n">
        <v>100</v>
      </c>
      <c r="J598" s="12" t="n">
        <v>416</v>
      </c>
      <c r="K598" s="12" t="n">
        <v>367</v>
      </c>
      <c r="L598" s="12" t="n">
        <v>50</v>
      </c>
      <c r="M598" s="12" t="n">
        <v>116</v>
      </c>
      <c r="N598" s="12" t="n">
        <v>31</v>
      </c>
      <c r="O598" s="12" t="n">
        <v>3</v>
      </c>
      <c r="P598" s="12" t="n">
        <v>10</v>
      </c>
      <c r="Q598" s="12" t="n">
        <v>49</v>
      </c>
      <c r="R598" s="12" t="n">
        <v>44</v>
      </c>
      <c r="S598" s="12" t="n">
        <v>95</v>
      </c>
      <c r="T598" s="12" t="n">
        <v>1</v>
      </c>
      <c r="U598" s="12" t="n">
        <v>4</v>
      </c>
      <c r="V598" s="12" t="n">
        <v>15</v>
      </c>
      <c r="W598" s="12" t="n">
        <v>5</v>
      </c>
      <c r="X598" s="13" t="n">
        <f aca="false">M598+N598+2*O598+3*P598</f>
        <v>183</v>
      </c>
      <c r="Y598" s="14" t="n">
        <f aca="false">IF(K598=0,0,M598/K598)</f>
        <v>0.316076294277929</v>
      </c>
      <c r="Z598" s="14" t="n">
        <f aca="false">IF(K598+R598+T598+U598=0,0,(M598+R598+T598)/(K598+R598+T598+U598))</f>
        <v>0.387019230769231</v>
      </c>
      <c r="AA598" s="14" t="n">
        <f aca="false">IF(K598=0,0,X598/K598)</f>
        <v>0.498637602179837</v>
      </c>
      <c r="AB598" s="14" t="n">
        <f aca="false">Z598+AA598</f>
        <v>0.885656832949067</v>
      </c>
      <c r="AC598" s="14" t="n">
        <f aca="false">AA598-Y598</f>
        <v>0.182561307901907</v>
      </c>
      <c r="AD598" s="14" t="n">
        <f aca="false">IF(K598-S598-P598+U598=0,0,(M598-P598)/(K598-S598-P598+U598))</f>
        <v>0.398496240601504</v>
      </c>
      <c r="AE598" s="15" t="n">
        <f aca="false">IF(J598=0,0,R598/J598)</f>
        <v>0.105769230769231</v>
      </c>
      <c r="AF598" s="15" t="n">
        <f aca="false">IF(J598=0,0,S598/J598)</f>
        <v>0.228365384615385</v>
      </c>
      <c r="AG598" s="11" t="n">
        <f aca="false">IF(J598&gt;=INDEX(球季參數!$E$2:$E$4,MATCH($A598,球季參數!$A$2:$A$4,0)),1,0)</f>
        <v>0</v>
      </c>
    </row>
    <row r="599" customFormat="false" ht="15" hidden="false" customHeight="false" outlineLevel="0" collapsed="false">
      <c r="A599" s="5" t="n">
        <v>2025</v>
      </c>
      <c r="B599" s="7" t="s">
        <v>1803</v>
      </c>
      <c r="C599" s="10" t="str">
        <f aca="false">INDEX(球員主檔!$B$2:$B$749,MATCH($B599,球員主檔!$A$2:$A$749,0))</f>
        <v>Porter Kowalczyk</v>
      </c>
      <c r="D599" s="7" t="s">
        <v>463</v>
      </c>
      <c r="E599" s="10" t="str">
        <f aca="false">INDEX(球隊主檔!$C$2:$C$31,MATCH($D599,球隊主檔!$A$2:$A$31,0))</f>
        <v>舊金山巨人</v>
      </c>
      <c r="F599" s="10" t="str">
        <f aca="false">INDEX(球隊主檔!$D$2:$D$31,MATCH($D599,球隊主檔!$A$2:$A$31,0))</f>
        <v>國聯</v>
      </c>
      <c r="G599" s="7" t="s">
        <v>162</v>
      </c>
      <c r="H599" s="11" t="n">
        <f aca="false">INT((DATE($A599,7,1)-INDEX(球員主檔!$G$2:$G$749,MATCH($B599,球員主檔!$A$2:$A$749,0)))/365.25)</f>
        <v>21</v>
      </c>
      <c r="I599" s="12" t="n">
        <v>96</v>
      </c>
      <c r="J599" s="12" t="n">
        <v>411</v>
      </c>
      <c r="K599" s="12" t="n">
        <v>395</v>
      </c>
      <c r="L599" s="12" t="n">
        <v>48</v>
      </c>
      <c r="M599" s="12" t="n">
        <v>103</v>
      </c>
      <c r="N599" s="12" t="n">
        <v>39</v>
      </c>
      <c r="O599" s="12" t="n">
        <v>10</v>
      </c>
      <c r="P599" s="12" t="n">
        <v>13</v>
      </c>
      <c r="Q599" s="12" t="n">
        <v>51</v>
      </c>
      <c r="R599" s="12" t="n">
        <v>12</v>
      </c>
      <c r="S599" s="12" t="n">
        <v>88</v>
      </c>
      <c r="T599" s="12" t="n">
        <v>1</v>
      </c>
      <c r="U599" s="12" t="n">
        <v>3</v>
      </c>
      <c r="V599" s="12" t="n">
        <v>7</v>
      </c>
      <c r="W599" s="12" t="n">
        <v>2</v>
      </c>
      <c r="X599" s="13" t="n">
        <f aca="false">M599+N599+2*O599+3*P599</f>
        <v>201</v>
      </c>
      <c r="Y599" s="14" t="n">
        <f aca="false">IF(K599=0,0,M599/K599)</f>
        <v>0.260759493670886</v>
      </c>
      <c r="Z599" s="14" t="n">
        <f aca="false">IF(K599+R599+T599+U599=0,0,(M599+R599+T599)/(K599+R599+T599+U599))</f>
        <v>0.282238442822384</v>
      </c>
      <c r="AA599" s="14" t="n">
        <f aca="false">IF(K599=0,0,X599/K599)</f>
        <v>0.508860759493671</v>
      </c>
      <c r="AB599" s="14" t="n">
        <f aca="false">Z599+AA599</f>
        <v>0.791099202316055</v>
      </c>
      <c r="AC599" s="14" t="n">
        <f aca="false">AA599-Y599</f>
        <v>0.248101265822785</v>
      </c>
      <c r="AD599" s="14" t="n">
        <f aca="false">IF(K599-S599-P599+U599=0,0,(M599-P599)/(K599-S599-P599+U599))</f>
        <v>0.303030303030303</v>
      </c>
      <c r="AE599" s="15" t="n">
        <f aca="false">IF(J599=0,0,R599/J599)</f>
        <v>0.0291970802919708</v>
      </c>
      <c r="AF599" s="15" t="n">
        <f aca="false">IF(J599=0,0,S599/J599)</f>
        <v>0.214111922141119</v>
      </c>
      <c r="AG599" s="11" t="n">
        <f aca="false">IF(J599&gt;=INDEX(球季參數!$E$2:$E$4,MATCH($A599,球季參數!$A$2:$A$4,0)),1,0)</f>
        <v>0</v>
      </c>
    </row>
    <row r="600" customFormat="false" ht="15" hidden="false" customHeight="false" outlineLevel="0" collapsed="false">
      <c r="A600" s="5" t="n">
        <v>2025</v>
      </c>
      <c r="B600" s="7" t="s">
        <v>1653</v>
      </c>
      <c r="C600" s="10" t="str">
        <f aca="false">INDEX(球員主檔!$B$2:$B$749,MATCH($B600,球員主檔!$A$2:$A$749,0))</f>
        <v>Soren Kestrel</v>
      </c>
      <c r="D600" s="7" t="s">
        <v>463</v>
      </c>
      <c r="E600" s="10" t="str">
        <f aca="false">INDEX(球隊主檔!$C$2:$C$31,MATCH($D600,球隊主檔!$A$2:$A$31,0))</f>
        <v>舊金山巨人</v>
      </c>
      <c r="F600" s="10" t="str">
        <f aca="false">INDEX(球隊主檔!$D$2:$D$31,MATCH($D600,球隊主檔!$A$2:$A$31,0))</f>
        <v>國聯</v>
      </c>
      <c r="G600" s="7" t="s">
        <v>158</v>
      </c>
      <c r="H600" s="11" t="n">
        <f aca="false">INT((DATE($A600,7,1)-INDEX(球員主檔!$G$2:$G$749,MATCH($B600,球員主檔!$A$2:$A$749,0)))/365.25)</f>
        <v>28</v>
      </c>
      <c r="I600" s="12" t="n">
        <v>72</v>
      </c>
      <c r="J600" s="12" t="n">
        <v>305</v>
      </c>
      <c r="K600" s="12" t="n">
        <v>271</v>
      </c>
      <c r="L600" s="12" t="n">
        <v>39</v>
      </c>
      <c r="M600" s="12" t="n">
        <v>68</v>
      </c>
      <c r="N600" s="12" t="n">
        <v>28</v>
      </c>
      <c r="O600" s="12" t="n">
        <v>0</v>
      </c>
      <c r="P600" s="12" t="n">
        <v>12</v>
      </c>
      <c r="Q600" s="12" t="n">
        <v>36</v>
      </c>
      <c r="R600" s="12" t="n">
        <v>26</v>
      </c>
      <c r="S600" s="12" t="n">
        <v>57</v>
      </c>
      <c r="T600" s="12" t="n">
        <v>5</v>
      </c>
      <c r="U600" s="12" t="n">
        <v>3</v>
      </c>
      <c r="V600" s="12" t="n">
        <v>10</v>
      </c>
      <c r="W600" s="12" t="n">
        <v>3</v>
      </c>
      <c r="X600" s="13" t="n">
        <f aca="false">M600+N600+2*O600+3*P600</f>
        <v>132</v>
      </c>
      <c r="Y600" s="14" t="n">
        <f aca="false">IF(K600=0,0,M600/K600)</f>
        <v>0.250922509225092</v>
      </c>
      <c r="Z600" s="14" t="n">
        <f aca="false">IF(K600+R600+T600+U600=0,0,(M600+R600+T600)/(K600+R600+T600+U600))</f>
        <v>0.324590163934426</v>
      </c>
      <c r="AA600" s="14" t="n">
        <f aca="false">IF(K600=0,0,X600/K600)</f>
        <v>0.487084870848709</v>
      </c>
      <c r="AB600" s="14" t="n">
        <f aca="false">Z600+AA600</f>
        <v>0.811675034783135</v>
      </c>
      <c r="AC600" s="14" t="n">
        <f aca="false">AA600-Y600</f>
        <v>0.236162361623616</v>
      </c>
      <c r="AD600" s="14" t="n">
        <f aca="false">IF(K600-S600-P600+U600=0,0,(M600-P600)/(K600-S600-P600+U600))</f>
        <v>0.273170731707317</v>
      </c>
      <c r="AE600" s="15" t="n">
        <f aca="false">IF(J600=0,0,R600/J600)</f>
        <v>0.0852459016393443</v>
      </c>
      <c r="AF600" s="15" t="n">
        <f aca="false">IF(J600=0,0,S600/J600)</f>
        <v>0.186885245901639</v>
      </c>
      <c r="AG600" s="11" t="n">
        <f aca="false">IF(J600&gt;=INDEX(球季參數!$E$2:$E$4,MATCH($A600,球季參數!$A$2:$A$4,0)),1,0)</f>
        <v>0</v>
      </c>
    </row>
    <row r="601" customFormat="false" ht="15" hidden="false" customHeight="false" outlineLevel="0" collapsed="false">
      <c r="A601" s="5" t="n">
        <v>2025</v>
      </c>
      <c r="B601" s="7" t="s">
        <v>1655</v>
      </c>
      <c r="C601" s="10" t="str">
        <f aca="false">INDEX(球員主檔!$B$2:$B$749,MATCH($B601,球員主檔!$A$2:$A$749,0))</f>
        <v>Benedikt Halloway</v>
      </c>
      <c r="D601" s="7" t="s">
        <v>463</v>
      </c>
      <c r="E601" s="10" t="str">
        <f aca="false">INDEX(球隊主檔!$C$2:$C$31,MATCH($D601,球隊主檔!$A$2:$A$31,0))</f>
        <v>舊金山巨人</v>
      </c>
      <c r="F601" s="10" t="str">
        <f aca="false">INDEX(球隊主檔!$D$2:$D$31,MATCH($D601,球隊主檔!$A$2:$A$31,0))</f>
        <v>國聯</v>
      </c>
      <c r="G601" s="7" t="s">
        <v>63</v>
      </c>
      <c r="H601" s="11" t="n">
        <f aca="false">INT((DATE($A601,7,1)-INDEX(球員主檔!$G$2:$G$749,MATCH($B601,球員主檔!$A$2:$A$749,0)))/365.25)</f>
        <v>27</v>
      </c>
      <c r="I601" s="12" t="n">
        <v>65</v>
      </c>
      <c r="J601" s="12" t="n">
        <v>279</v>
      </c>
      <c r="K601" s="12" t="n">
        <v>260</v>
      </c>
      <c r="L601" s="12" t="n">
        <v>36</v>
      </c>
      <c r="M601" s="12" t="n">
        <v>66</v>
      </c>
      <c r="N601" s="12" t="n">
        <v>19</v>
      </c>
      <c r="O601" s="12" t="n">
        <v>7</v>
      </c>
      <c r="P601" s="12" t="n">
        <v>9</v>
      </c>
      <c r="Q601" s="12" t="n">
        <v>38</v>
      </c>
      <c r="R601" s="12" t="n">
        <v>17</v>
      </c>
      <c r="S601" s="12" t="n">
        <v>79</v>
      </c>
      <c r="T601" s="12" t="n">
        <v>1</v>
      </c>
      <c r="U601" s="12" t="n">
        <v>1</v>
      </c>
      <c r="V601" s="12" t="n">
        <v>3</v>
      </c>
      <c r="W601" s="12" t="n">
        <v>0</v>
      </c>
      <c r="X601" s="13" t="n">
        <f aca="false">M601+N601+2*O601+3*P601</f>
        <v>126</v>
      </c>
      <c r="Y601" s="14" t="n">
        <f aca="false">IF(K601=0,0,M601/K601)</f>
        <v>0.253846153846154</v>
      </c>
      <c r="Z601" s="14" t="n">
        <f aca="false">IF(K601+R601+T601+U601=0,0,(M601+R601+T601)/(K601+R601+T601+U601))</f>
        <v>0.301075268817204</v>
      </c>
      <c r="AA601" s="14" t="n">
        <f aca="false">IF(K601=0,0,X601/K601)</f>
        <v>0.484615384615385</v>
      </c>
      <c r="AB601" s="14" t="n">
        <f aca="false">Z601+AA601</f>
        <v>0.785690653432589</v>
      </c>
      <c r="AC601" s="14" t="n">
        <f aca="false">AA601-Y601</f>
        <v>0.230769230769231</v>
      </c>
      <c r="AD601" s="14" t="n">
        <f aca="false">IF(K601-S601-P601+U601=0,0,(M601-P601)/(K601-S601-P601+U601))</f>
        <v>0.329479768786127</v>
      </c>
      <c r="AE601" s="15" t="n">
        <f aca="false">IF(J601=0,0,R601/J601)</f>
        <v>0.0609318996415771</v>
      </c>
      <c r="AF601" s="15" t="n">
        <f aca="false">IF(J601=0,0,S601/J601)</f>
        <v>0.283154121863799</v>
      </c>
      <c r="AG601" s="11" t="n">
        <f aca="false">IF(J601&gt;=INDEX(球季參數!$E$2:$E$4,MATCH($A601,球季參數!$A$2:$A$4,0)),1,0)</f>
        <v>0</v>
      </c>
    </row>
    <row r="602" customFormat="false" ht="15" hidden="false" customHeight="false" outlineLevel="0" collapsed="false">
      <c r="A602" s="5" t="n">
        <v>2026</v>
      </c>
      <c r="B602" s="7" t="s">
        <v>1677</v>
      </c>
      <c r="C602" s="10" t="str">
        <f aca="false">INDEX(球員主檔!$B$2:$B$749,MATCH($B602,球員主檔!$A$2:$A$749,0))</f>
        <v>Cassius Yoshinaga</v>
      </c>
      <c r="D602" s="7" t="s">
        <v>340</v>
      </c>
      <c r="E602" s="10" t="str">
        <f aca="false">INDEX(球隊主檔!$C$2:$C$31,MATCH($D602,球隊主檔!$A$2:$A$31,0))</f>
        <v>巴爾的摩金鶯</v>
      </c>
      <c r="F602" s="10" t="str">
        <f aca="false">INDEX(球隊主檔!$D$2:$D$31,MATCH($D602,球隊主檔!$A$2:$A$31,0))</f>
        <v>美聯</v>
      </c>
      <c r="G602" s="7" t="s">
        <v>158</v>
      </c>
      <c r="H602" s="11" t="n">
        <f aca="false">INT((DATE($A602,7,1)-INDEX(球員主檔!$G$2:$G$749,MATCH($B602,球員主檔!$A$2:$A$749,0)))/365.25)</f>
        <v>25</v>
      </c>
      <c r="I602" s="12" t="n">
        <v>154</v>
      </c>
      <c r="J602" s="12" t="n">
        <v>655</v>
      </c>
      <c r="K602" s="12" t="n">
        <v>562</v>
      </c>
      <c r="L602" s="12" t="n">
        <v>72</v>
      </c>
      <c r="M602" s="12" t="n">
        <v>121</v>
      </c>
      <c r="N602" s="12" t="n">
        <v>39</v>
      </c>
      <c r="O602" s="12" t="n">
        <v>7</v>
      </c>
      <c r="P602" s="12" t="n">
        <v>12</v>
      </c>
      <c r="Q602" s="12" t="n">
        <v>55</v>
      </c>
      <c r="R602" s="12" t="n">
        <v>81</v>
      </c>
      <c r="S602" s="12" t="n">
        <v>171</v>
      </c>
      <c r="T602" s="12" t="n">
        <v>5</v>
      </c>
      <c r="U602" s="12" t="n">
        <v>7</v>
      </c>
      <c r="V602" s="12" t="n">
        <v>13</v>
      </c>
      <c r="W602" s="12" t="n">
        <v>4</v>
      </c>
      <c r="X602" s="13" t="n">
        <f aca="false">M602+N602+2*O602+3*P602</f>
        <v>210</v>
      </c>
      <c r="Y602" s="14" t="n">
        <f aca="false">IF(K602=0,0,M602/K602)</f>
        <v>0.215302491103203</v>
      </c>
      <c r="Z602" s="14" t="n">
        <f aca="false">IF(K602+R602+T602+U602=0,0,(M602+R602+T602)/(K602+R602+T602+U602))</f>
        <v>0.316030534351145</v>
      </c>
      <c r="AA602" s="14" t="n">
        <f aca="false">IF(K602=0,0,X602/K602)</f>
        <v>0.373665480427046</v>
      </c>
      <c r="AB602" s="14" t="n">
        <f aca="false">Z602+AA602</f>
        <v>0.689696014778191</v>
      </c>
      <c r="AC602" s="14" t="n">
        <f aca="false">AA602-Y602</f>
        <v>0.158362989323843</v>
      </c>
      <c r="AD602" s="14" t="n">
        <f aca="false">IF(K602-S602-P602+U602=0,0,(M602-P602)/(K602-S602-P602+U602))</f>
        <v>0.282383419689119</v>
      </c>
      <c r="AE602" s="15" t="n">
        <f aca="false">IF(J602=0,0,R602/J602)</f>
        <v>0.123664122137405</v>
      </c>
      <c r="AF602" s="15" t="n">
        <f aca="false">IF(J602=0,0,S602/J602)</f>
        <v>0.261068702290076</v>
      </c>
      <c r="AG602" s="11" t="n">
        <f aca="false">IF(J602&gt;=INDEX(球季參數!$E$2:$E$4,MATCH($A602,球季參數!$A$2:$A$4,0)),1,0)</f>
        <v>1</v>
      </c>
    </row>
    <row r="603" customFormat="false" ht="15" hidden="false" customHeight="false" outlineLevel="0" collapsed="false">
      <c r="A603" s="5" t="n">
        <v>2026</v>
      </c>
      <c r="B603" s="7" t="s">
        <v>471</v>
      </c>
      <c r="C603" s="10" t="str">
        <f aca="false">INDEX(球員主檔!$B$2:$B$749,MATCH($B603,球員主檔!$A$2:$A$749,0))</f>
        <v>Seonwoo Brightwell</v>
      </c>
      <c r="D603" s="7" t="s">
        <v>340</v>
      </c>
      <c r="E603" s="10" t="str">
        <f aca="false">INDEX(球隊主檔!$C$2:$C$31,MATCH($D603,球隊主檔!$A$2:$A$31,0))</f>
        <v>巴爾的摩金鶯</v>
      </c>
      <c r="F603" s="10" t="str">
        <f aca="false">INDEX(球隊主檔!$D$2:$D$31,MATCH($D603,球隊主檔!$A$2:$A$31,0))</f>
        <v>美聯</v>
      </c>
      <c r="G603" s="7" t="s">
        <v>473</v>
      </c>
      <c r="H603" s="11" t="n">
        <f aca="false">INT((DATE($A603,7,1)-INDEX(球員主檔!$G$2:$G$749,MATCH($B603,球員主檔!$A$2:$A$749,0)))/365.25)</f>
        <v>30</v>
      </c>
      <c r="I603" s="12" t="n">
        <v>64</v>
      </c>
      <c r="J603" s="12" t="n">
        <v>253</v>
      </c>
      <c r="K603" s="12" t="n">
        <v>241</v>
      </c>
      <c r="L603" s="12" t="n">
        <v>27</v>
      </c>
      <c r="M603" s="12" t="n">
        <v>51</v>
      </c>
      <c r="N603" s="12" t="n">
        <v>20</v>
      </c>
      <c r="O603" s="12" t="n">
        <v>0</v>
      </c>
      <c r="P603" s="12" t="n">
        <v>10</v>
      </c>
      <c r="Q603" s="12" t="n">
        <v>33</v>
      </c>
      <c r="R603" s="12" t="n">
        <v>7</v>
      </c>
      <c r="S603" s="12" t="n">
        <v>59</v>
      </c>
      <c r="T603" s="12" t="n">
        <v>3</v>
      </c>
      <c r="U603" s="12" t="n">
        <v>2</v>
      </c>
      <c r="V603" s="12" t="n">
        <v>8</v>
      </c>
      <c r="W603" s="12" t="n">
        <v>1</v>
      </c>
      <c r="X603" s="13" t="n">
        <f aca="false">M603+N603+2*O603+3*P603</f>
        <v>101</v>
      </c>
      <c r="Y603" s="14" t="n">
        <f aca="false">IF(K603=0,0,M603/K603)</f>
        <v>0.211618257261411</v>
      </c>
      <c r="Z603" s="14" t="n">
        <f aca="false">IF(K603+R603+T603+U603=0,0,(M603+R603+T603)/(K603+R603+T603+U603))</f>
        <v>0.241106719367589</v>
      </c>
      <c r="AA603" s="14" t="n">
        <f aca="false">IF(K603=0,0,X603/K603)</f>
        <v>0.419087136929461</v>
      </c>
      <c r="AB603" s="14" t="n">
        <f aca="false">Z603+AA603</f>
        <v>0.66019385629705</v>
      </c>
      <c r="AC603" s="14" t="n">
        <f aca="false">AA603-Y603</f>
        <v>0.20746887966805</v>
      </c>
      <c r="AD603" s="14" t="n">
        <f aca="false">IF(K603-S603-P603+U603=0,0,(M603-P603)/(K603-S603-P603+U603))</f>
        <v>0.235632183908046</v>
      </c>
      <c r="AE603" s="15" t="n">
        <f aca="false">IF(J603=0,0,R603/J603)</f>
        <v>0.0276679841897233</v>
      </c>
      <c r="AF603" s="15" t="n">
        <f aca="false">IF(J603=0,0,S603/J603)</f>
        <v>0.233201581027668</v>
      </c>
      <c r="AG603" s="11" t="n">
        <f aca="false">IF(J603&gt;=INDEX(球季參數!$E$2:$E$4,MATCH($A603,球季參數!$A$2:$A$4,0)),1,0)</f>
        <v>0</v>
      </c>
    </row>
    <row r="604" customFormat="false" ht="15" hidden="false" customHeight="false" outlineLevel="0" collapsed="false">
      <c r="A604" s="5" t="n">
        <v>2026</v>
      </c>
      <c r="B604" s="7" t="s">
        <v>474</v>
      </c>
      <c r="C604" s="10" t="str">
        <f aca="false">INDEX(球員主檔!$B$2:$B$749,MATCH($B604,球員主檔!$A$2:$A$749,0))</f>
        <v>Jasper Iwasaki</v>
      </c>
      <c r="D604" s="7" t="s">
        <v>340</v>
      </c>
      <c r="E604" s="10" t="str">
        <f aca="false">INDEX(球隊主檔!$C$2:$C$31,MATCH($D604,球隊主檔!$A$2:$A$31,0))</f>
        <v>巴爾的摩金鶯</v>
      </c>
      <c r="F604" s="10" t="str">
        <f aca="false">INDEX(球隊主檔!$D$2:$D$31,MATCH($D604,球隊主檔!$A$2:$A$31,0))</f>
        <v>美聯</v>
      </c>
      <c r="G604" s="7" t="s">
        <v>162</v>
      </c>
      <c r="H604" s="11" t="n">
        <f aca="false">INT((DATE($A604,7,1)-INDEX(球員主檔!$G$2:$G$749,MATCH($B604,球員主檔!$A$2:$A$749,0)))/365.25)</f>
        <v>26</v>
      </c>
      <c r="I604" s="12" t="n">
        <v>157</v>
      </c>
      <c r="J604" s="12" t="n">
        <v>701</v>
      </c>
      <c r="K604" s="12" t="n">
        <v>642</v>
      </c>
      <c r="L604" s="12" t="n">
        <v>79</v>
      </c>
      <c r="M604" s="12" t="n">
        <v>134</v>
      </c>
      <c r="N604" s="12" t="n">
        <v>32</v>
      </c>
      <c r="O604" s="12" t="n">
        <v>2</v>
      </c>
      <c r="P604" s="12" t="n">
        <v>25</v>
      </c>
      <c r="Q604" s="12" t="n">
        <v>86</v>
      </c>
      <c r="R604" s="12" t="n">
        <v>51</v>
      </c>
      <c r="S604" s="12" t="n">
        <v>107</v>
      </c>
      <c r="T604" s="12" t="n">
        <v>3</v>
      </c>
      <c r="U604" s="12" t="n">
        <v>5</v>
      </c>
      <c r="V604" s="12" t="n">
        <v>10</v>
      </c>
      <c r="W604" s="12" t="n">
        <v>3</v>
      </c>
      <c r="X604" s="13" t="n">
        <f aca="false">M604+N604+2*O604+3*P604</f>
        <v>245</v>
      </c>
      <c r="Y604" s="14" t="n">
        <f aca="false">IF(K604=0,0,M604/K604)</f>
        <v>0.208722741433022</v>
      </c>
      <c r="Z604" s="14" t="n">
        <f aca="false">IF(K604+R604+T604+U604=0,0,(M604+R604+T604)/(K604+R604+T604+U604))</f>
        <v>0.268188302425107</v>
      </c>
      <c r="AA604" s="14" t="n">
        <f aca="false">IF(K604=0,0,X604/K604)</f>
        <v>0.381619937694704</v>
      </c>
      <c r="AB604" s="14" t="n">
        <f aca="false">Z604+AA604</f>
        <v>0.649808240119811</v>
      </c>
      <c r="AC604" s="14" t="n">
        <f aca="false">AA604-Y604</f>
        <v>0.172897196261682</v>
      </c>
      <c r="AD604" s="14" t="n">
        <f aca="false">IF(K604-S604-P604+U604=0,0,(M604-P604)/(K604-S604-P604+U604))</f>
        <v>0.211650485436893</v>
      </c>
      <c r="AE604" s="15" t="n">
        <f aca="false">IF(J604=0,0,R604/J604)</f>
        <v>0.072753209700428</v>
      </c>
      <c r="AF604" s="15" t="n">
        <f aca="false">IF(J604=0,0,S604/J604)</f>
        <v>0.152639087018545</v>
      </c>
      <c r="AG604" s="11" t="n">
        <f aca="false">IF(J604&gt;=INDEX(球季參數!$E$2:$E$4,MATCH($A604,球季參數!$A$2:$A$4,0)),1,0)</f>
        <v>1</v>
      </c>
    </row>
    <row r="605" customFormat="false" ht="15" hidden="false" customHeight="false" outlineLevel="0" collapsed="false">
      <c r="A605" s="5" t="n">
        <v>2026</v>
      </c>
      <c r="B605" s="7" t="s">
        <v>476</v>
      </c>
      <c r="C605" s="10" t="str">
        <f aca="false">INDEX(球員主檔!$B$2:$B$749,MATCH($B605,球員主檔!$A$2:$A$749,0))</f>
        <v>Tristan Lindquist</v>
      </c>
      <c r="D605" s="7" t="s">
        <v>340</v>
      </c>
      <c r="E605" s="10" t="str">
        <f aca="false">INDEX(球隊主檔!$C$2:$C$31,MATCH($D605,球隊主檔!$A$2:$A$31,0))</f>
        <v>巴爾的摩金鶯</v>
      </c>
      <c r="F605" s="10" t="str">
        <f aca="false">INDEX(球隊主檔!$D$2:$D$31,MATCH($D605,球隊主檔!$A$2:$A$31,0))</f>
        <v>美聯</v>
      </c>
      <c r="G605" s="7" t="s">
        <v>478</v>
      </c>
      <c r="H605" s="11" t="n">
        <f aca="false">INT((DATE($A605,7,1)-INDEX(球員主檔!$G$2:$G$749,MATCH($B605,球員主檔!$A$2:$A$749,0)))/365.25)</f>
        <v>25</v>
      </c>
      <c r="I605" s="12" t="n">
        <v>138</v>
      </c>
      <c r="J605" s="12" t="n">
        <v>605</v>
      </c>
      <c r="K605" s="12" t="n">
        <v>485</v>
      </c>
      <c r="L605" s="12" t="n">
        <v>73</v>
      </c>
      <c r="M605" s="12" t="n">
        <v>92</v>
      </c>
      <c r="N605" s="12" t="n">
        <v>22</v>
      </c>
      <c r="O605" s="12" t="n">
        <v>5</v>
      </c>
      <c r="P605" s="12" t="n">
        <v>28</v>
      </c>
      <c r="Q605" s="12" t="n">
        <v>74</v>
      </c>
      <c r="R605" s="12" t="n">
        <v>110</v>
      </c>
      <c r="S605" s="12" t="n">
        <v>136</v>
      </c>
      <c r="T605" s="12" t="n">
        <v>8</v>
      </c>
      <c r="U605" s="12" t="n">
        <v>2</v>
      </c>
      <c r="V605" s="12" t="n">
        <v>5</v>
      </c>
      <c r="W605" s="12" t="n">
        <v>1</v>
      </c>
      <c r="X605" s="13" t="n">
        <f aca="false">M605+N605+2*O605+3*P605</f>
        <v>208</v>
      </c>
      <c r="Y605" s="14" t="n">
        <f aca="false">IF(K605=0,0,M605/K605)</f>
        <v>0.189690721649485</v>
      </c>
      <c r="Z605" s="14" t="n">
        <f aca="false">IF(K605+R605+T605+U605=0,0,(M605+R605+T605)/(K605+R605+T605+U605))</f>
        <v>0.347107438016529</v>
      </c>
      <c r="AA605" s="14" t="n">
        <f aca="false">IF(K605=0,0,X605/K605)</f>
        <v>0.428865979381443</v>
      </c>
      <c r="AB605" s="14" t="n">
        <f aca="false">Z605+AA605</f>
        <v>0.775973417397972</v>
      </c>
      <c r="AC605" s="14" t="n">
        <f aca="false">AA605-Y605</f>
        <v>0.239175257731959</v>
      </c>
      <c r="AD605" s="14" t="n">
        <f aca="false">IF(K605-S605-P605+U605=0,0,(M605-P605)/(K605-S605-P605+U605))</f>
        <v>0.198142414860681</v>
      </c>
      <c r="AE605" s="15" t="n">
        <f aca="false">IF(J605=0,0,R605/J605)</f>
        <v>0.181818181818182</v>
      </c>
      <c r="AF605" s="15" t="n">
        <f aca="false">IF(J605=0,0,S605/J605)</f>
        <v>0.224793388429752</v>
      </c>
      <c r="AG605" s="11" t="n">
        <f aca="false">IF(J605&gt;=INDEX(球季參數!$E$2:$E$4,MATCH($A605,球季參數!$A$2:$A$4,0)),1,0)</f>
        <v>1</v>
      </c>
    </row>
    <row r="606" customFormat="false" ht="15" hidden="false" customHeight="false" outlineLevel="0" collapsed="false">
      <c r="A606" s="5" t="n">
        <v>2026</v>
      </c>
      <c r="B606" s="7" t="s">
        <v>895</v>
      </c>
      <c r="C606" s="10" t="str">
        <f aca="false">INDEX(球員主檔!$B$2:$B$749,MATCH($B606,球員主檔!$A$2:$A$749,0))</f>
        <v>Dimitri Engelhardt</v>
      </c>
      <c r="D606" s="7" t="s">
        <v>340</v>
      </c>
      <c r="E606" s="10" t="str">
        <f aca="false">INDEX(球隊主檔!$C$2:$C$31,MATCH($D606,球隊主檔!$A$2:$A$31,0))</f>
        <v>巴爾的摩金鶯</v>
      </c>
      <c r="F606" s="10" t="str">
        <f aca="false">INDEX(球隊主檔!$D$2:$D$31,MATCH($D606,球隊主檔!$A$2:$A$31,0))</f>
        <v>美聯</v>
      </c>
      <c r="G606" s="7" t="s">
        <v>158</v>
      </c>
      <c r="H606" s="11" t="n">
        <f aca="false">INT((DATE($A606,7,1)-INDEX(球員主檔!$G$2:$G$749,MATCH($B606,球員主檔!$A$2:$A$749,0)))/365.25)</f>
        <v>29</v>
      </c>
      <c r="I606" s="12" t="n">
        <v>141</v>
      </c>
      <c r="J606" s="12" t="n">
        <v>634</v>
      </c>
      <c r="K606" s="12" t="n">
        <v>555</v>
      </c>
      <c r="L606" s="12" t="n">
        <v>81</v>
      </c>
      <c r="M606" s="12" t="n">
        <v>142</v>
      </c>
      <c r="N606" s="12" t="n">
        <v>18</v>
      </c>
      <c r="O606" s="12" t="n">
        <v>2</v>
      </c>
      <c r="P606" s="12" t="n">
        <v>15</v>
      </c>
      <c r="Q606" s="12" t="n">
        <v>63</v>
      </c>
      <c r="R606" s="12" t="n">
        <v>66</v>
      </c>
      <c r="S606" s="12" t="n">
        <v>168</v>
      </c>
      <c r="T606" s="12" t="n">
        <v>6</v>
      </c>
      <c r="U606" s="12" t="n">
        <v>7</v>
      </c>
      <c r="V606" s="12" t="n">
        <v>12</v>
      </c>
      <c r="W606" s="12" t="n">
        <v>3</v>
      </c>
      <c r="X606" s="13" t="n">
        <f aca="false">M606+N606+2*O606+3*P606</f>
        <v>209</v>
      </c>
      <c r="Y606" s="14" t="n">
        <f aca="false">IF(K606=0,0,M606/K606)</f>
        <v>0.255855855855856</v>
      </c>
      <c r="Z606" s="14" t="n">
        <f aca="false">IF(K606+R606+T606+U606=0,0,(M606+R606+T606)/(K606+R606+T606+U606))</f>
        <v>0.337539432176656</v>
      </c>
      <c r="AA606" s="14" t="n">
        <f aca="false">IF(K606=0,0,X606/K606)</f>
        <v>0.376576576576577</v>
      </c>
      <c r="AB606" s="14" t="n">
        <f aca="false">Z606+AA606</f>
        <v>0.714116008753233</v>
      </c>
      <c r="AC606" s="14" t="n">
        <f aca="false">AA606-Y606</f>
        <v>0.120720720720721</v>
      </c>
      <c r="AD606" s="14" t="n">
        <f aca="false">IF(K606-S606-P606+U606=0,0,(M606-P606)/(K606-S606-P606+U606))</f>
        <v>0.33509234828496</v>
      </c>
      <c r="AE606" s="15" t="n">
        <f aca="false">IF(J606=0,0,R606/J606)</f>
        <v>0.10410094637224</v>
      </c>
      <c r="AF606" s="15" t="n">
        <f aca="false">IF(J606=0,0,S606/J606)</f>
        <v>0.264984227129338</v>
      </c>
      <c r="AG606" s="11" t="n">
        <f aca="false">IF(J606&gt;=INDEX(球季參數!$E$2:$E$4,MATCH($A606,球季參數!$A$2:$A$4,0)),1,0)</f>
        <v>1</v>
      </c>
    </row>
    <row r="607" customFormat="false" ht="15" hidden="false" customHeight="false" outlineLevel="0" collapsed="false">
      <c r="A607" s="5" t="n">
        <v>2026</v>
      </c>
      <c r="B607" s="7" t="s">
        <v>481</v>
      </c>
      <c r="C607" s="10" t="str">
        <f aca="false">INDEX(球員主檔!$B$2:$B$749,MATCH($B607,球員主檔!$A$2:$A$749,0))</f>
        <v>Leandro Esquivel</v>
      </c>
      <c r="D607" s="7" t="s">
        <v>340</v>
      </c>
      <c r="E607" s="10" t="str">
        <f aca="false">INDEX(球隊主檔!$C$2:$C$31,MATCH($D607,球隊主檔!$A$2:$A$31,0))</f>
        <v>巴爾的摩金鶯</v>
      </c>
      <c r="F607" s="10" t="str">
        <f aca="false">INDEX(球隊主檔!$D$2:$D$31,MATCH($D607,球隊主檔!$A$2:$A$31,0))</f>
        <v>美聯</v>
      </c>
      <c r="G607" s="7" t="s">
        <v>483</v>
      </c>
      <c r="H607" s="11" t="n">
        <f aca="false">INT((DATE($A607,7,1)-INDEX(球員主檔!$G$2:$G$749,MATCH($B607,球員主檔!$A$2:$A$749,0)))/365.25)</f>
        <v>29</v>
      </c>
      <c r="I607" s="12" t="n">
        <v>122</v>
      </c>
      <c r="J607" s="12" t="n">
        <v>517</v>
      </c>
      <c r="K607" s="12" t="n">
        <v>473</v>
      </c>
      <c r="L607" s="12" t="n">
        <v>55</v>
      </c>
      <c r="M607" s="12" t="n">
        <v>135</v>
      </c>
      <c r="N607" s="12" t="n">
        <v>29</v>
      </c>
      <c r="O607" s="12" t="n">
        <v>3</v>
      </c>
      <c r="P607" s="12" t="n">
        <v>9</v>
      </c>
      <c r="Q607" s="12" t="n">
        <v>45</v>
      </c>
      <c r="R607" s="12" t="n">
        <v>42</v>
      </c>
      <c r="S607" s="12" t="n">
        <v>69</v>
      </c>
      <c r="T607" s="12" t="n">
        <v>1</v>
      </c>
      <c r="U607" s="12" t="n">
        <v>1</v>
      </c>
      <c r="V607" s="12" t="n">
        <v>9</v>
      </c>
      <c r="W607" s="12" t="n">
        <v>2</v>
      </c>
      <c r="X607" s="13" t="n">
        <f aca="false">M607+N607+2*O607+3*P607</f>
        <v>197</v>
      </c>
      <c r="Y607" s="14" t="n">
        <f aca="false">IF(K607=0,0,M607/K607)</f>
        <v>0.285412262156448</v>
      </c>
      <c r="Z607" s="14" t="n">
        <f aca="false">IF(K607+R607+T607+U607=0,0,(M607+R607+T607)/(K607+R607+T607+U607))</f>
        <v>0.344294003868472</v>
      </c>
      <c r="AA607" s="14" t="n">
        <f aca="false">IF(K607=0,0,X607/K607)</f>
        <v>0.416490486257928</v>
      </c>
      <c r="AB607" s="14" t="n">
        <f aca="false">Z607+AA607</f>
        <v>0.7607844901264</v>
      </c>
      <c r="AC607" s="14" t="n">
        <f aca="false">AA607-Y607</f>
        <v>0.13107822410148</v>
      </c>
      <c r="AD607" s="14" t="n">
        <f aca="false">IF(K607-S607-P607+U607=0,0,(M607-P607)/(K607-S607-P607+U607))</f>
        <v>0.318181818181818</v>
      </c>
      <c r="AE607" s="15" t="n">
        <f aca="false">IF(J607=0,0,R607/J607)</f>
        <v>0.0812379110251451</v>
      </c>
      <c r="AF607" s="15" t="n">
        <f aca="false">IF(J607=0,0,S607/J607)</f>
        <v>0.133462282398453</v>
      </c>
      <c r="AG607" s="11" t="n">
        <f aca="false">IF(J607&gt;=INDEX(球季參數!$E$2:$E$4,MATCH($A607,球季參數!$A$2:$A$4,0)),1,0)</f>
        <v>1</v>
      </c>
    </row>
    <row r="608" customFormat="false" ht="15" hidden="false" customHeight="false" outlineLevel="0" collapsed="false">
      <c r="A608" s="5" t="n">
        <v>2026</v>
      </c>
      <c r="B608" s="7" t="s">
        <v>1679</v>
      </c>
      <c r="C608" s="10" t="str">
        <f aca="false">INDEX(球員主檔!$B$2:$B$749,MATCH($B608,球員主檔!$A$2:$A$749,0))</f>
        <v>Everett Nordstrom</v>
      </c>
      <c r="D608" s="7" t="s">
        <v>340</v>
      </c>
      <c r="E608" s="10" t="str">
        <f aca="false">INDEX(球隊主檔!$C$2:$C$31,MATCH($D608,球隊主檔!$A$2:$A$31,0))</f>
        <v>巴爾的摩金鶯</v>
      </c>
      <c r="F608" s="10" t="str">
        <f aca="false">INDEX(球隊主檔!$D$2:$D$31,MATCH($D608,球隊主檔!$A$2:$A$31,0))</f>
        <v>美聯</v>
      </c>
      <c r="G608" s="7" t="s">
        <v>162</v>
      </c>
      <c r="H608" s="11" t="n">
        <f aca="false">INT((DATE($A608,7,1)-INDEX(球員主檔!$G$2:$G$749,MATCH($B608,球員主檔!$A$2:$A$749,0)))/365.25)</f>
        <v>25</v>
      </c>
      <c r="I608" s="12" t="n">
        <v>105</v>
      </c>
      <c r="J608" s="12" t="n">
        <v>418</v>
      </c>
      <c r="K608" s="12" t="n">
        <v>386</v>
      </c>
      <c r="L608" s="12" t="n">
        <v>58</v>
      </c>
      <c r="M608" s="12" t="n">
        <v>104</v>
      </c>
      <c r="N608" s="12" t="n">
        <v>12</v>
      </c>
      <c r="O608" s="12" t="n">
        <v>1</v>
      </c>
      <c r="P608" s="12" t="n">
        <v>15</v>
      </c>
      <c r="Q608" s="12" t="n">
        <v>54</v>
      </c>
      <c r="R608" s="12" t="n">
        <v>23</v>
      </c>
      <c r="S608" s="12" t="n">
        <v>82</v>
      </c>
      <c r="T608" s="12" t="n">
        <v>6</v>
      </c>
      <c r="U608" s="12" t="n">
        <v>3</v>
      </c>
      <c r="V608" s="12" t="n">
        <v>3</v>
      </c>
      <c r="W608" s="12" t="n">
        <v>1</v>
      </c>
      <c r="X608" s="13" t="n">
        <f aca="false">M608+N608+2*O608+3*P608</f>
        <v>163</v>
      </c>
      <c r="Y608" s="14" t="n">
        <f aca="false">IF(K608=0,0,M608/K608)</f>
        <v>0.269430051813472</v>
      </c>
      <c r="Z608" s="14" t="n">
        <f aca="false">IF(K608+R608+T608+U608=0,0,(M608+R608+T608)/(K608+R608+T608+U608))</f>
        <v>0.318181818181818</v>
      </c>
      <c r="AA608" s="14" t="n">
        <f aca="false">IF(K608=0,0,X608/K608)</f>
        <v>0.422279792746114</v>
      </c>
      <c r="AB608" s="14" t="n">
        <f aca="false">Z608+AA608</f>
        <v>0.740461610927932</v>
      </c>
      <c r="AC608" s="14" t="n">
        <f aca="false">AA608-Y608</f>
        <v>0.152849740932642</v>
      </c>
      <c r="AD608" s="14" t="n">
        <f aca="false">IF(K608-S608-P608+U608=0,0,(M608-P608)/(K608-S608-P608+U608))</f>
        <v>0.304794520547945</v>
      </c>
      <c r="AE608" s="15" t="n">
        <f aca="false">IF(J608=0,0,R608/J608)</f>
        <v>0.0550239234449761</v>
      </c>
      <c r="AF608" s="15" t="n">
        <f aca="false">IF(J608=0,0,S608/J608)</f>
        <v>0.196172248803828</v>
      </c>
      <c r="AG608" s="11" t="n">
        <f aca="false">IF(J608&gt;=INDEX(球季參數!$E$2:$E$4,MATCH($A608,球季參數!$A$2:$A$4,0)),1,0)</f>
        <v>0</v>
      </c>
    </row>
    <row r="609" customFormat="false" ht="15" hidden="false" customHeight="false" outlineLevel="0" collapsed="false">
      <c r="A609" s="5" t="n">
        <v>2026</v>
      </c>
      <c r="B609" s="7" t="s">
        <v>1681</v>
      </c>
      <c r="C609" s="10" t="str">
        <f aca="false">INDEX(球員主檔!$B$2:$B$749,MATCH($B609,球員主檔!$A$2:$A$749,0))</f>
        <v>Soren Wainwright</v>
      </c>
      <c r="D609" s="7" t="s">
        <v>340</v>
      </c>
      <c r="E609" s="10" t="str">
        <f aca="false">INDEX(球隊主檔!$C$2:$C$31,MATCH($D609,球隊主檔!$A$2:$A$31,0))</f>
        <v>巴爾的摩金鶯</v>
      </c>
      <c r="F609" s="10" t="str">
        <f aca="false">INDEX(球隊主檔!$D$2:$D$31,MATCH($D609,球隊主檔!$A$2:$A$31,0))</f>
        <v>美聯</v>
      </c>
      <c r="G609" s="7" t="s">
        <v>522</v>
      </c>
      <c r="H609" s="11" t="n">
        <f aca="false">INT((DATE($A609,7,1)-INDEX(球員主檔!$G$2:$G$749,MATCH($B609,球員主檔!$A$2:$A$749,0)))/365.25)</f>
        <v>21</v>
      </c>
      <c r="I609" s="12" t="n">
        <v>57</v>
      </c>
      <c r="J609" s="12" t="n">
        <v>231</v>
      </c>
      <c r="K609" s="12" t="n">
        <v>201</v>
      </c>
      <c r="L609" s="12" t="n">
        <v>22</v>
      </c>
      <c r="M609" s="12" t="n">
        <v>42</v>
      </c>
      <c r="N609" s="12" t="n">
        <v>18</v>
      </c>
      <c r="O609" s="12" t="n">
        <v>1</v>
      </c>
      <c r="P609" s="12" t="n">
        <v>5</v>
      </c>
      <c r="Q609" s="12" t="n">
        <v>18</v>
      </c>
      <c r="R609" s="12" t="n">
        <v>25</v>
      </c>
      <c r="S609" s="12" t="n">
        <v>75</v>
      </c>
      <c r="T609" s="12" t="n">
        <v>3</v>
      </c>
      <c r="U609" s="12" t="n">
        <v>2</v>
      </c>
      <c r="V609" s="12" t="n">
        <v>7</v>
      </c>
      <c r="W609" s="12" t="n">
        <v>2</v>
      </c>
      <c r="X609" s="13" t="n">
        <f aca="false">M609+N609+2*O609+3*P609</f>
        <v>77</v>
      </c>
      <c r="Y609" s="14" t="n">
        <f aca="false">IF(K609=0,0,M609/K609)</f>
        <v>0.208955223880597</v>
      </c>
      <c r="Z609" s="14" t="n">
        <f aca="false">IF(K609+R609+T609+U609=0,0,(M609+R609+T609)/(K609+R609+T609+U609))</f>
        <v>0.303030303030303</v>
      </c>
      <c r="AA609" s="14" t="n">
        <f aca="false">IF(K609=0,0,X609/K609)</f>
        <v>0.383084577114428</v>
      </c>
      <c r="AB609" s="14" t="n">
        <f aca="false">Z609+AA609</f>
        <v>0.686114880144731</v>
      </c>
      <c r="AC609" s="14" t="n">
        <f aca="false">AA609-Y609</f>
        <v>0.174129353233831</v>
      </c>
      <c r="AD609" s="14" t="n">
        <f aca="false">IF(K609-S609-P609+U609=0,0,(M609-P609)/(K609-S609-P609+U609))</f>
        <v>0.300813008130081</v>
      </c>
      <c r="AE609" s="15" t="n">
        <f aca="false">IF(J609=0,0,R609/J609)</f>
        <v>0.108225108225108</v>
      </c>
      <c r="AF609" s="15" t="n">
        <f aca="false">IF(J609=0,0,S609/J609)</f>
        <v>0.324675324675325</v>
      </c>
      <c r="AG609" s="11" t="n">
        <f aca="false">IF(J609&gt;=INDEX(球季參數!$E$2:$E$4,MATCH($A609,球季參數!$A$2:$A$4,0)),1,0)</f>
        <v>0</v>
      </c>
    </row>
    <row r="610" customFormat="false" ht="15" hidden="false" customHeight="false" outlineLevel="0" collapsed="false">
      <c r="A610" s="5" t="n">
        <v>2026</v>
      </c>
      <c r="B610" s="7" t="s">
        <v>1811</v>
      </c>
      <c r="C610" s="10" t="str">
        <f aca="false">INDEX(球員主檔!$B$2:$B$749,MATCH($B610,球員主檔!$A$2:$A$749,0))</f>
        <v>Soren Ostrowski</v>
      </c>
      <c r="D610" s="7" t="s">
        <v>340</v>
      </c>
      <c r="E610" s="10" t="str">
        <f aca="false">INDEX(球隊主檔!$C$2:$C$31,MATCH($D610,球隊主檔!$A$2:$A$31,0))</f>
        <v>巴爾的摩金鶯</v>
      </c>
      <c r="F610" s="10" t="str">
        <f aca="false">INDEX(球隊主檔!$D$2:$D$31,MATCH($D610,球隊主檔!$A$2:$A$31,0))</f>
        <v>美聯</v>
      </c>
      <c r="G610" s="7" t="s">
        <v>522</v>
      </c>
      <c r="H610" s="11" t="n">
        <f aca="false">INT((DATE($A610,7,1)-INDEX(球員主檔!$G$2:$G$749,MATCH($B610,球員主檔!$A$2:$A$749,0)))/365.25)</f>
        <v>21</v>
      </c>
      <c r="I610" s="12" t="n">
        <v>32</v>
      </c>
      <c r="J610" s="12" t="n">
        <v>134</v>
      </c>
      <c r="K610" s="12" t="n">
        <v>113</v>
      </c>
      <c r="L610" s="12" t="n">
        <v>11</v>
      </c>
      <c r="M610" s="12" t="n">
        <v>23</v>
      </c>
      <c r="N610" s="12" t="n">
        <v>10</v>
      </c>
      <c r="O610" s="12" t="n">
        <v>2</v>
      </c>
      <c r="P610" s="12" t="n">
        <v>1</v>
      </c>
      <c r="Q610" s="12" t="n">
        <v>8</v>
      </c>
      <c r="R610" s="12" t="n">
        <v>19</v>
      </c>
      <c r="S610" s="12" t="n">
        <v>21</v>
      </c>
      <c r="T610" s="12" t="n">
        <v>1</v>
      </c>
      <c r="U610" s="12" t="n">
        <v>1</v>
      </c>
      <c r="V610" s="12" t="n">
        <v>6</v>
      </c>
      <c r="W610" s="12" t="n">
        <v>1</v>
      </c>
      <c r="X610" s="13" t="n">
        <f aca="false">M610+N610+2*O610+3*P610</f>
        <v>40</v>
      </c>
      <c r="Y610" s="14" t="n">
        <f aca="false">IF(K610=0,0,M610/K610)</f>
        <v>0.20353982300885</v>
      </c>
      <c r="Z610" s="14" t="n">
        <f aca="false">IF(K610+R610+T610+U610=0,0,(M610+R610+T610)/(K610+R610+T610+U610))</f>
        <v>0.32089552238806</v>
      </c>
      <c r="AA610" s="14" t="n">
        <f aca="false">IF(K610=0,0,X610/K610)</f>
        <v>0.353982300884956</v>
      </c>
      <c r="AB610" s="14" t="n">
        <f aca="false">Z610+AA610</f>
        <v>0.674877823273016</v>
      </c>
      <c r="AC610" s="14" t="n">
        <f aca="false">AA610-Y610</f>
        <v>0.150442477876106</v>
      </c>
      <c r="AD610" s="14" t="n">
        <f aca="false">IF(K610-S610-P610+U610=0,0,(M610-P610)/(K610-S610-P610+U610))</f>
        <v>0.239130434782609</v>
      </c>
      <c r="AE610" s="15" t="n">
        <f aca="false">IF(J610=0,0,R610/J610)</f>
        <v>0.141791044776119</v>
      </c>
      <c r="AF610" s="15" t="n">
        <f aca="false">IF(J610=0,0,S610/J610)</f>
        <v>0.156716417910448</v>
      </c>
      <c r="AG610" s="11" t="n">
        <f aca="false">IF(J610&gt;=INDEX(球季參數!$E$2:$E$4,MATCH($A610,球季參數!$A$2:$A$4,0)),1,0)</f>
        <v>0</v>
      </c>
    </row>
    <row r="611" customFormat="false" ht="15" hidden="false" customHeight="false" outlineLevel="0" collapsed="false">
      <c r="A611" s="5" t="n">
        <v>2026</v>
      </c>
      <c r="B611" s="7" t="s">
        <v>1813</v>
      </c>
      <c r="C611" s="10" t="str">
        <f aca="false">INDEX(球員主檔!$B$2:$B$749,MATCH($B611,球員主檔!$A$2:$A$749,0))</f>
        <v>Soren Thorsby</v>
      </c>
      <c r="D611" s="7" t="s">
        <v>340</v>
      </c>
      <c r="E611" s="10" t="str">
        <f aca="false">INDEX(球隊主檔!$C$2:$C$31,MATCH($D611,球隊主檔!$A$2:$A$31,0))</f>
        <v>巴爾的摩金鶯</v>
      </c>
      <c r="F611" s="10" t="str">
        <f aca="false">INDEX(球隊主檔!$D$2:$D$31,MATCH($D611,球隊主檔!$A$2:$A$31,0))</f>
        <v>美聯</v>
      </c>
      <c r="G611" s="7" t="s">
        <v>478</v>
      </c>
      <c r="H611" s="11" t="n">
        <f aca="false">INT((DATE($A611,7,1)-INDEX(球員主檔!$G$2:$G$749,MATCH($B611,球員主檔!$A$2:$A$749,0)))/365.25)</f>
        <v>23</v>
      </c>
      <c r="I611" s="12" t="n">
        <v>58</v>
      </c>
      <c r="J611" s="12" t="n">
        <v>240</v>
      </c>
      <c r="K611" s="12" t="n">
        <v>214</v>
      </c>
      <c r="L611" s="12" t="n">
        <v>32</v>
      </c>
      <c r="M611" s="12" t="n">
        <v>66</v>
      </c>
      <c r="N611" s="12" t="n">
        <v>26</v>
      </c>
      <c r="O611" s="12" t="n">
        <v>6</v>
      </c>
      <c r="P611" s="12" t="n">
        <v>2</v>
      </c>
      <c r="Q611" s="12" t="n">
        <v>20</v>
      </c>
      <c r="R611" s="12" t="n">
        <v>23</v>
      </c>
      <c r="S611" s="12" t="n">
        <v>57</v>
      </c>
      <c r="T611" s="12" t="n">
        <v>1</v>
      </c>
      <c r="U611" s="12" t="n">
        <v>2</v>
      </c>
      <c r="V611" s="12" t="n">
        <v>5</v>
      </c>
      <c r="W611" s="12" t="n">
        <v>1</v>
      </c>
      <c r="X611" s="13" t="n">
        <f aca="false">M611+N611+2*O611+3*P611</f>
        <v>110</v>
      </c>
      <c r="Y611" s="14" t="n">
        <f aca="false">IF(K611=0,0,M611/K611)</f>
        <v>0.308411214953271</v>
      </c>
      <c r="Z611" s="14" t="n">
        <f aca="false">IF(K611+R611+T611+U611=0,0,(M611+R611+T611)/(K611+R611+T611+U611))</f>
        <v>0.375</v>
      </c>
      <c r="AA611" s="14" t="n">
        <f aca="false">IF(K611=0,0,X611/K611)</f>
        <v>0.514018691588785</v>
      </c>
      <c r="AB611" s="14" t="n">
        <f aca="false">Z611+AA611</f>
        <v>0.889018691588785</v>
      </c>
      <c r="AC611" s="14" t="n">
        <f aca="false">AA611-Y611</f>
        <v>0.205607476635514</v>
      </c>
      <c r="AD611" s="14" t="n">
        <f aca="false">IF(K611-S611-P611+U611=0,0,(M611-P611)/(K611-S611-P611+U611))</f>
        <v>0.407643312101911</v>
      </c>
      <c r="AE611" s="15" t="n">
        <f aca="false">IF(J611=0,0,R611/J611)</f>
        <v>0.0958333333333333</v>
      </c>
      <c r="AF611" s="15" t="n">
        <f aca="false">IF(J611=0,0,S611/J611)</f>
        <v>0.2375</v>
      </c>
      <c r="AG611" s="11" t="n">
        <f aca="false">IF(J611&gt;=INDEX(球季參數!$E$2:$E$4,MATCH($A611,球季參數!$A$2:$A$4,0)),1,0)</f>
        <v>0</v>
      </c>
    </row>
    <row r="612" customFormat="false" ht="15" hidden="false" customHeight="false" outlineLevel="0" collapsed="false">
      <c r="A612" s="5" t="n">
        <v>2026</v>
      </c>
      <c r="B612" s="7" t="s">
        <v>516</v>
      </c>
      <c r="C612" s="10" t="str">
        <f aca="false">INDEX(球員主檔!$B$2:$B$749,MATCH($B612,球員主檔!$A$2:$A$749,0))</f>
        <v>Leandro Castellón</v>
      </c>
      <c r="D612" s="7" t="s">
        <v>346</v>
      </c>
      <c r="E612" s="10" t="str">
        <f aca="false">INDEX(球隊主檔!$C$2:$C$31,MATCH($D612,球隊主檔!$A$2:$A$31,0))</f>
        <v>波士頓紅襪</v>
      </c>
      <c r="F612" s="10" t="str">
        <f aca="false">INDEX(球隊主檔!$D$2:$D$31,MATCH($D612,球隊主檔!$A$2:$A$31,0))</f>
        <v>美聯</v>
      </c>
      <c r="G612" s="7" t="s">
        <v>473</v>
      </c>
      <c r="H612" s="11" t="n">
        <f aca="false">INT((DATE($A612,7,1)-INDEX(球員主檔!$G$2:$G$749,MATCH($B612,球員主檔!$A$2:$A$749,0)))/365.25)</f>
        <v>26</v>
      </c>
      <c r="I612" s="12" t="n">
        <v>88</v>
      </c>
      <c r="J612" s="12" t="n">
        <v>353</v>
      </c>
      <c r="K612" s="12" t="n">
        <v>319</v>
      </c>
      <c r="L612" s="12" t="n">
        <v>44</v>
      </c>
      <c r="M612" s="12" t="n">
        <v>84</v>
      </c>
      <c r="N612" s="12" t="n">
        <v>32</v>
      </c>
      <c r="O612" s="12" t="n">
        <v>6</v>
      </c>
      <c r="P612" s="12" t="n">
        <v>13</v>
      </c>
      <c r="Q612" s="12" t="n">
        <v>51</v>
      </c>
      <c r="R612" s="12" t="n">
        <v>31</v>
      </c>
      <c r="S612" s="12" t="n">
        <v>88</v>
      </c>
      <c r="T612" s="12" t="n">
        <v>1</v>
      </c>
      <c r="U612" s="12" t="n">
        <v>2</v>
      </c>
      <c r="V612" s="12" t="n">
        <v>5</v>
      </c>
      <c r="W612" s="12" t="n">
        <v>2</v>
      </c>
      <c r="X612" s="13" t="n">
        <f aca="false">M612+N612+2*O612+3*P612</f>
        <v>167</v>
      </c>
      <c r="Y612" s="14" t="n">
        <f aca="false">IF(K612=0,0,M612/K612)</f>
        <v>0.263322884012539</v>
      </c>
      <c r="Z612" s="14" t="n">
        <f aca="false">IF(K612+R612+T612+U612=0,0,(M612+R612+T612)/(K612+R612+T612+U612))</f>
        <v>0.328611898016997</v>
      </c>
      <c r="AA612" s="14" t="n">
        <f aca="false">IF(K612=0,0,X612/K612)</f>
        <v>0.523510971786834</v>
      </c>
      <c r="AB612" s="14" t="n">
        <f aca="false">Z612+AA612</f>
        <v>0.852122869803831</v>
      </c>
      <c r="AC612" s="14" t="n">
        <f aca="false">AA612-Y612</f>
        <v>0.260188087774295</v>
      </c>
      <c r="AD612" s="14" t="n">
        <f aca="false">IF(K612-S612-P612+U612=0,0,(M612-P612)/(K612-S612-P612+U612))</f>
        <v>0.322727272727273</v>
      </c>
      <c r="AE612" s="15" t="n">
        <f aca="false">IF(J612=0,0,R612/J612)</f>
        <v>0.0878186968838527</v>
      </c>
      <c r="AF612" s="15" t="n">
        <f aca="false">IF(J612=0,0,S612/J612)</f>
        <v>0.24929178470255</v>
      </c>
      <c r="AG612" s="11" t="n">
        <f aca="false">IF(J612&gt;=INDEX(球季參數!$E$2:$E$4,MATCH($A612,球季參數!$A$2:$A$4,0)),1,0)</f>
        <v>0</v>
      </c>
    </row>
    <row r="613" customFormat="false" ht="15" hidden="false" customHeight="false" outlineLevel="0" collapsed="false">
      <c r="A613" s="5" t="n">
        <v>2026</v>
      </c>
      <c r="B613" s="7" t="s">
        <v>518</v>
      </c>
      <c r="C613" s="10" t="str">
        <f aca="false">INDEX(球員主檔!$B$2:$B$749,MATCH($B613,球員主檔!$A$2:$A$749,0))</f>
        <v>Lucien Nordstrom</v>
      </c>
      <c r="D613" s="7" t="s">
        <v>346</v>
      </c>
      <c r="E613" s="10" t="str">
        <f aca="false">INDEX(球隊主檔!$C$2:$C$31,MATCH($D613,球隊主檔!$A$2:$A$31,0))</f>
        <v>波士頓紅襪</v>
      </c>
      <c r="F613" s="10" t="str">
        <f aca="false">INDEX(球隊主檔!$D$2:$D$31,MATCH($D613,球隊主檔!$A$2:$A$31,0))</f>
        <v>美聯</v>
      </c>
      <c r="G613" s="7" t="s">
        <v>483</v>
      </c>
      <c r="H613" s="11" t="n">
        <f aca="false">INT((DATE($A613,7,1)-INDEX(球員主檔!$G$2:$G$749,MATCH($B613,球員主檔!$A$2:$A$749,0)))/365.25)</f>
        <v>25</v>
      </c>
      <c r="I613" s="12" t="n">
        <v>142</v>
      </c>
      <c r="J613" s="12" t="n">
        <v>616</v>
      </c>
      <c r="K613" s="12" t="n">
        <v>530</v>
      </c>
      <c r="L613" s="12" t="n">
        <v>85</v>
      </c>
      <c r="M613" s="12" t="n">
        <v>116</v>
      </c>
      <c r="N613" s="12" t="n">
        <v>28</v>
      </c>
      <c r="O613" s="12" t="n">
        <v>6</v>
      </c>
      <c r="P613" s="12" t="n">
        <v>36</v>
      </c>
      <c r="Q613" s="12" t="n">
        <v>98</v>
      </c>
      <c r="R613" s="12" t="n">
        <v>73</v>
      </c>
      <c r="S613" s="12" t="n">
        <v>146</v>
      </c>
      <c r="T613" s="12" t="n">
        <v>9</v>
      </c>
      <c r="U613" s="12" t="n">
        <v>4</v>
      </c>
      <c r="V613" s="12" t="n">
        <v>19</v>
      </c>
      <c r="W613" s="12" t="n">
        <v>6</v>
      </c>
      <c r="X613" s="13" t="n">
        <f aca="false">M613+N613+2*O613+3*P613</f>
        <v>264</v>
      </c>
      <c r="Y613" s="14" t="n">
        <f aca="false">IF(K613=0,0,M613/K613)</f>
        <v>0.218867924528302</v>
      </c>
      <c r="Z613" s="14" t="n">
        <f aca="false">IF(K613+R613+T613+U613=0,0,(M613+R613+T613)/(K613+R613+T613+U613))</f>
        <v>0.321428571428571</v>
      </c>
      <c r="AA613" s="14" t="n">
        <f aca="false">IF(K613=0,0,X613/K613)</f>
        <v>0.49811320754717</v>
      </c>
      <c r="AB613" s="14" t="n">
        <f aca="false">Z613+AA613</f>
        <v>0.819541778975741</v>
      </c>
      <c r="AC613" s="14" t="n">
        <f aca="false">AA613-Y613</f>
        <v>0.279245283018868</v>
      </c>
      <c r="AD613" s="14" t="n">
        <f aca="false">IF(K613-S613-P613+U613=0,0,(M613-P613)/(K613-S613-P613+U613))</f>
        <v>0.227272727272727</v>
      </c>
      <c r="AE613" s="15" t="n">
        <f aca="false">IF(J613=0,0,R613/J613)</f>
        <v>0.118506493506494</v>
      </c>
      <c r="AF613" s="15" t="n">
        <f aca="false">IF(J613=0,0,S613/J613)</f>
        <v>0.237012987012987</v>
      </c>
      <c r="AG613" s="11" t="n">
        <f aca="false">IF(J613&gt;=INDEX(球季參數!$E$2:$E$4,MATCH($A613,球季參數!$A$2:$A$4,0)),1,0)</f>
        <v>1</v>
      </c>
    </row>
    <row r="614" customFormat="false" ht="15" hidden="false" customHeight="false" outlineLevel="0" collapsed="false">
      <c r="A614" s="5" t="n">
        <v>2026</v>
      </c>
      <c r="B614" s="7" t="s">
        <v>520</v>
      </c>
      <c r="C614" s="10" t="str">
        <f aca="false">INDEX(球員主檔!$B$2:$B$749,MATCH($B614,球員主檔!$A$2:$A$749,0))</f>
        <v>Everett Redmayne</v>
      </c>
      <c r="D614" s="7" t="s">
        <v>346</v>
      </c>
      <c r="E614" s="10" t="str">
        <f aca="false">INDEX(球隊主檔!$C$2:$C$31,MATCH($D614,球隊主檔!$A$2:$A$31,0))</f>
        <v>波士頓紅襪</v>
      </c>
      <c r="F614" s="10" t="str">
        <f aca="false">INDEX(球隊主檔!$D$2:$D$31,MATCH($D614,球隊主檔!$A$2:$A$31,0))</f>
        <v>美聯</v>
      </c>
      <c r="G614" s="7" t="s">
        <v>522</v>
      </c>
      <c r="H614" s="11" t="n">
        <f aca="false">INT((DATE($A614,7,1)-INDEX(球員主檔!$G$2:$G$749,MATCH($B614,球員主檔!$A$2:$A$749,0)))/365.25)</f>
        <v>26</v>
      </c>
      <c r="I614" s="12" t="n">
        <v>63</v>
      </c>
      <c r="J614" s="12" t="n">
        <v>274</v>
      </c>
      <c r="K614" s="12" t="n">
        <v>254</v>
      </c>
      <c r="L614" s="12" t="n">
        <v>31</v>
      </c>
      <c r="M614" s="12" t="n">
        <v>66</v>
      </c>
      <c r="N614" s="12" t="n">
        <v>28</v>
      </c>
      <c r="O614" s="12" t="n">
        <v>7</v>
      </c>
      <c r="P614" s="12" t="n">
        <v>5</v>
      </c>
      <c r="Q614" s="12" t="n">
        <v>26</v>
      </c>
      <c r="R614" s="12" t="n">
        <v>19</v>
      </c>
      <c r="S614" s="12" t="n">
        <v>73</v>
      </c>
      <c r="T614" s="12" t="n">
        <v>1</v>
      </c>
      <c r="U614" s="12" t="n">
        <v>0</v>
      </c>
      <c r="V614" s="12" t="n">
        <v>19</v>
      </c>
      <c r="W614" s="12" t="n">
        <v>6</v>
      </c>
      <c r="X614" s="13" t="n">
        <f aca="false">M614+N614+2*O614+3*P614</f>
        <v>123</v>
      </c>
      <c r="Y614" s="14" t="n">
        <f aca="false">IF(K614=0,0,M614/K614)</f>
        <v>0.259842519685039</v>
      </c>
      <c r="Z614" s="14" t="n">
        <f aca="false">IF(K614+R614+T614+U614=0,0,(M614+R614+T614)/(K614+R614+T614+U614))</f>
        <v>0.313868613138686</v>
      </c>
      <c r="AA614" s="14" t="n">
        <f aca="false">IF(K614=0,0,X614/K614)</f>
        <v>0.484251968503937</v>
      </c>
      <c r="AB614" s="14" t="n">
        <f aca="false">Z614+AA614</f>
        <v>0.798120581642623</v>
      </c>
      <c r="AC614" s="14" t="n">
        <f aca="false">AA614-Y614</f>
        <v>0.224409448818898</v>
      </c>
      <c r="AD614" s="14" t="n">
        <f aca="false">IF(K614-S614-P614+U614=0,0,(M614-P614)/(K614-S614-P614+U614))</f>
        <v>0.346590909090909</v>
      </c>
      <c r="AE614" s="15" t="n">
        <f aca="false">IF(J614=0,0,R614/J614)</f>
        <v>0.0693430656934307</v>
      </c>
      <c r="AF614" s="15" t="n">
        <f aca="false">IF(J614=0,0,S614/J614)</f>
        <v>0.266423357664234</v>
      </c>
      <c r="AG614" s="11" t="n">
        <f aca="false">IF(J614&gt;=INDEX(球季參數!$E$2:$E$4,MATCH($A614,球季參數!$A$2:$A$4,0)),1,0)</f>
        <v>0</v>
      </c>
    </row>
    <row r="615" customFormat="false" ht="15" hidden="false" customHeight="false" outlineLevel="0" collapsed="false">
      <c r="A615" s="5" t="n">
        <v>2026</v>
      </c>
      <c r="B615" s="7" t="s">
        <v>523</v>
      </c>
      <c r="C615" s="10" t="str">
        <f aca="false">INDEX(球員主檔!$B$2:$B$749,MATCH($B615,球員主檔!$A$2:$A$749,0))</f>
        <v>Camilo Dubois</v>
      </c>
      <c r="D615" s="7" t="s">
        <v>346</v>
      </c>
      <c r="E615" s="10" t="str">
        <f aca="false">INDEX(球隊主檔!$C$2:$C$31,MATCH($D615,球隊主檔!$A$2:$A$31,0))</f>
        <v>波士頓紅襪</v>
      </c>
      <c r="F615" s="10" t="str">
        <f aca="false">INDEX(球隊主檔!$D$2:$D$31,MATCH($D615,球隊主檔!$A$2:$A$31,0))</f>
        <v>美聯</v>
      </c>
      <c r="G615" s="7" t="s">
        <v>478</v>
      </c>
      <c r="H615" s="11" t="n">
        <f aca="false">INT((DATE($A615,7,1)-INDEX(球員主檔!$G$2:$G$749,MATCH($B615,球員主檔!$A$2:$A$749,0)))/365.25)</f>
        <v>31</v>
      </c>
      <c r="I615" s="12" t="n">
        <v>146</v>
      </c>
      <c r="J615" s="12" t="n">
        <v>609</v>
      </c>
      <c r="K615" s="12" t="n">
        <v>547</v>
      </c>
      <c r="L615" s="12" t="n">
        <v>73</v>
      </c>
      <c r="M615" s="12" t="n">
        <v>138</v>
      </c>
      <c r="N615" s="12" t="n">
        <v>27</v>
      </c>
      <c r="O615" s="12" t="n">
        <v>3</v>
      </c>
      <c r="P615" s="12" t="n">
        <v>17</v>
      </c>
      <c r="Q615" s="12" t="n">
        <v>68</v>
      </c>
      <c r="R615" s="12" t="n">
        <v>48</v>
      </c>
      <c r="S615" s="12" t="n">
        <v>113</v>
      </c>
      <c r="T615" s="12" t="n">
        <v>9</v>
      </c>
      <c r="U615" s="12" t="n">
        <v>5</v>
      </c>
      <c r="V615" s="12" t="n">
        <v>1</v>
      </c>
      <c r="W615" s="12" t="n">
        <v>0</v>
      </c>
      <c r="X615" s="13" t="n">
        <f aca="false">M615+N615+2*O615+3*P615</f>
        <v>222</v>
      </c>
      <c r="Y615" s="14" t="n">
        <f aca="false">IF(K615=0,0,M615/K615)</f>
        <v>0.252285191956124</v>
      </c>
      <c r="Z615" s="14" t="n">
        <f aca="false">IF(K615+R615+T615+U615=0,0,(M615+R615+T615)/(K615+R615+T615+U615))</f>
        <v>0.320197044334975</v>
      </c>
      <c r="AA615" s="14" t="n">
        <f aca="false">IF(K615=0,0,X615/K615)</f>
        <v>0.405850091407678</v>
      </c>
      <c r="AB615" s="14" t="n">
        <f aca="false">Z615+AA615</f>
        <v>0.726047135742654</v>
      </c>
      <c r="AC615" s="14" t="n">
        <f aca="false">AA615-Y615</f>
        <v>0.153564899451554</v>
      </c>
      <c r="AD615" s="14" t="n">
        <f aca="false">IF(K615-S615-P615+U615=0,0,(M615-P615)/(K615-S615-P615+U615))</f>
        <v>0.286729857819905</v>
      </c>
      <c r="AE615" s="15" t="n">
        <f aca="false">IF(J615=0,0,R615/J615)</f>
        <v>0.0788177339901478</v>
      </c>
      <c r="AF615" s="15" t="n">
        <f aca="false">IF(J615=0,0,S615/J615)</f>
        <v>0.185550082101806</v>
      </c>
      <c r="AG615" s="11" t="n">
        <f aca="false">IF(J615&gt;=INDEX(球季參數!$E$2:$E$4,MATCH($A615,球季參數!$A$2:$A$4,0)),1,0)</f>
        <v>1</v>
      </c>
    </row>
    <row r="616" customFormat="false" ht="15" hidden="false" customHeight="false" outlineLevel="0" collapsed="false">
      <c r="A616" s="5" t="n">
        <v>2026</v>
      </c>
      <c r="B616" s="7" t="s">
        <v>525</v>
      </c>
      <c r="C616" s="10" t="str">
        <f aca="false">INDEX(球員主檔!$B$2:$B$749,MATCH($B616,球員主檔!$A$2:$A$749,0))</f>
        <v>Yusuke Zbornak</v>
      </c>
      <c r="D616" s="7" t="s">
        <v>346</v>
      </c>
      <c r="E616" s="10" t="str">
        <f aca="false">INDEX(球隊主檔!$C$2:$C$31,MATCH($D616,球隊主檔!$A$2:$A$31,0))</f>
        <v>波士頓紅襪</v>
      </c>
      <c r="F616" s="10" t="str">
        <f aca="false">INDEX(球隊主檔!$D$2:$D$31,MATCH($D616,球隊主檔!$A$2:$A$31,0))</f>
        <v>美聯</v>
      </c>
      <c r="G616" s="7" t="s">
        <v>473</v>
      </c>
      <c r="H616" s="11" t="n">
        <f aca="false">INT((DATE($A616,7,1)-INDEX(球員主檔!$G$2:$G$749,MATCH($B616,球員主檔!$A$2:$A$749,0)))/365.25)</f>
        <v>24</v>
      </c>
      <c r="I616" s="12" t="n">
        <v>157</v>
      </c>
      <c r="J616" s="12" t="n">
        <v>674</v>
      </c>
      <c r="K616" s="12" t="n">
        <v>608</v>
      </c>
      <c r="L616" s="12" t="n">
        <v>90</v>
      </c>
      <c r="M616" s="12" t="n">
        <v>141</v>
      </c>
      <c r="N616" s="12" t="n">
        <v>39</v>
      </c>
      <c r="O616" s="12" t="n">
        <v>4</v>
      </c>
      <c r="P616" s="12" t="n">
        <v>42</v>
      </c>
      <c r="Q616" s="12" t="n">
        <v>129</v>
      </c>
      <c r="R616" s="12" t="n">
        <v>48</v>
      </c>
      <c r="S616" s="12" t="n">
        <v>140</v>
      </c>
      <c r="T616" s="12" t="n">
        <v>12</v>
      </c>
      <c r="U616" s="12" t="n">
        <v>6</v>
      </c>
      <c r="V616" s="12" t="n">
        <v>33</v>
      </c>
      <c r="W616" s="12" t="n">
        <v>6</v>
      </c>
      <c r="X616" s="13" t="n">
        <f aca="false">M616+N616+2*O616+3*P616</f>
        <v>314</v>
      </c>
      <c r="Y616" s="14" t="n">
        <f aca="false">IF(K616=0,0,M616/K616)</f>
        <v>0.231907894736842</v>
      </c>
      <c r="Z616" s="14" t="n">
        <f aca="false">IF(K616+R616+T616+U616=0,0,(M616+R616+T616)/(K616+R616+T616+U616))</f>
        <v>0.298219584569733</v>
      </c>
      <c r="AA616" s="14" t="n">
        <f aca="false">IF(K616=0,0,X616/K616)</f>
        <v>0.516447368421053</v>
      </c>
      <c r="AB616" s="14" t="n">
        <f aca="false">Z616+AA616</f>
        <v>0.814666952990786</v>
      </c>
      <c r="AC616" s="14" t="n">
        <f aca="false">AA616-Y616</f>
        <v>0.284539473684211</v>
      </c>
      <c r="AD616" s="14" t="n">
        <f aca="false">IF(K616-S616-P616+U616=0,0,(M616-P616)/(K616-S616-P616+U616))</f>
        <v>0.229166666666667</v>
      </c>
      <c r="AE616" s="15" t="n">
        <f aca="false">IF(J616=0,0,R616/J616)</f>
        <v>0.0712166172106825</v>
      </c>
      <c r="AF616" s="15" t="n">
        <f aca="false">IF(J616=0,0,S616/J616)</f>
        <v>0.207715133531157</v>
      </c>
      <c r="AG616" s="11" t="n">
        <f aca="false">IF(J616&gt;=INDEX(球季參數!$E$2:$E$4,MATCH($A616,球季參數!$A$2:$A$4,0)),1,0)</f>
        <v>1</v>
      </c>
    </row>
    <row r="617" customFormat="false" ht="15" hidden="false" customHeight="false" outlineLevel="0" collapsed="false">
      <c r="A617" s="5" t="n">
        <v>2026</v>
      </c>
      <c r="B617" s="7" t="s">
        <v>527</v>
      </c>
      <c r="C617" s="10" t="str">
        <f aca="false">INDEX(球員主檔!$B$2:$B$749,MATCH($B617,球員主檔!$A$2:$A$749,0))</f>
        <v>Rintaro Dubois</v>
      </c>
      <c r="D617" s="7" t="s">
        <v>346</v>
      </c>
      <c r="E617" s="10" t="str">
        <f aca="false">INDEX(球隊主檔!$C$2:$C$31,MATCH($D617,球隊主檔!$A$2:$A$31,0))</f>
        <v>波士頓紅襪</v>
      </c>
      <c r="F617" s="10" t="str">
        <f aca="false">INDEX(球隊主檔!$D$2:$D$31,MATCH($D617,球隊主檔!$A$2:$A$31,0))</f>
        <v>美聯</v>
      </c>
      <c r="G617" s="7" t="s">
        <v>473</v>
      </c>
      <c r="H617" s="11" t="n">
        <f aca="false">INT((DATE($A617,7,1)-INDEX(球員主檔!$G$2:$G$749,MATCH($B617,球員主檔!$A$2:$A$749,0)))/365.25)</f>
        <v>29</v>
      </c>
      <c r="I617" s="12" t="n">
        <v>97</v>
      </c>
      <c r="J617" s="12" t="n">
        <v>418</v>
      </c>
      <c r="K617" s="12" t="n">
        <v>373</v>
      </c>
      <c r="L617" s="12" t="n">
        <v>59</v>
      </c>
      <c r="M617" s="12" t="n">
        <v>86</v>
      </c>
      <c r="N617" s="12" t="n">
        <v>23</v>
      </c>
      <c r="O617" s="12" t="n">
        <v>1</v>
      </c>
      <c r="P617" s="12" t="n">
        <v>28</v>
      </c>
      <c r="Q617" s="12" t="n">
        <v>75</v>
      </c>
      <c r="R617" s="12" t="n">
        <v>36</v>
      </c>
      <c r="S617" s="12" t="n">
        <v>75</v>
      </c>
      <c r="T617" s="12" t="n">
        <v>5</v>
      </c>
      <c r="U617" s="12" t="n">
        <v>4</v>
      </c>
      <c r="V617" s="12" t="n">
        <v>2</v>
      </c>
      <c r="W617" s="12" t="n">
        <v>1</v>
      </c>
      <c r="X617" s="13" t="n">
        <f aca="false">M617+N617+2*O617+3*P617</f>
        <v>195</v>
      </c>
      <c r="Y617" s="14" t="n">
        <f aca="false">IF(K617=0,0,M617/K617)</f>
        <v>0.230563002680965</v>
      </c>
      <c r="Z617" s="14" t="n">
        <f aca="false">IF(K617+R617+T617+U617=0,0,(M617+R617+T617)/(K617+R617+T617+U617))</f>
        <v>0.303827751196172</v>
      </c>
      <c r="AA617" s="14" t="n">
        <f aca="false">IF(K617=0,0,X617/K617)</f>
        <v>0.522788203753351</v>
      </c>
      <c r="AB617" s="14" t="n">
        <f aca="false">Z617+AA617</f>
        <v>0.826615954949523</v>
      </c>
      <c r="AC617" s="14" t="n">
        <f aca="false">AA617-Y617</f>
        <v>0.292225201072386</v>
      </c>
      <c r="AD617" s="14" t="n">
        <f aca="false">IF(K617-S617-P617+U617=0,0,(M617-P617)/(K617-S617-P617+U617))</f>
        <v>0.211678832116788</v>
      </c>
      <c r="AE617" s="15" t="n">
        <f aca="false">IF(J617=0,0,R617/J617)</f>
        <v>0.0861244019138756</v>
      </c>
      <c r="AF617" s="15" t="n">
        <f aca="false">IF(J617=0,0,S617/J617)</f>
        <v>0.179425837320574</v>
      </c>
      <c r="AG617" s="11" t="n">
        <f aca="false">IF(J617&gt;=INDEX(球季參數!$E$2:$E$4,MATCH($A617,球季參數!$A$2:$A$4,0)),1,0)</f>
        <v>0</v>
      </c>
    </row>
    <row r="618" customFormat="false" ht="15" hidden="false" customHeight="false" outlineLevel="0" collapsed="false">
      <c r="A618" s="5" t="n">
        <v>2026</v>
      </c>
      <c r="B618" s="7" t="s">
        <v>1815</v>
      </c>
      <c r="C618" s="10" t="str">
        <f aca="false">INDEX(球員主檔!$B$2:$B$749,MATCH($B618,球員主檔!$A$2:$A$749,0))</f>
        <v>Elias Haverford</v>
      </c>
      <c r="D618" s="7" t="s">
        <v>346</v>
      </c>
      <c r="E618" s="10" t="str">
        <f aca="false">INDEX(球隊主檔!$C$2:$C$31,MATCH($D618,球隊主檔!$A$2:$A$31,0))</f>
        <v>波士頓紅襪</v>
      </c>
      <c r="F618" s="10" t="str">
        <f aca="false">INDEX(球隊主檔!$D$2:$D$31,MATCH($D618,球隊主檔!$A$2:$A$31,0))</f>
        <v>美聯</v>
      </c>
      <c r="G618" s="7" t="s">
        <v>162</v>
      </c>
      <c r="H618" s="11" t="n">
        <f aca="false">INT((DATE($A618,7,1)-INDEX(球員主檔!$G$2:$G$749,MATCH($B618,球員主檔!$A$2:$A$749,0)))/365.25)</f>
        <v>24</v>
      </c>
      <c r="I618" s="12" t="n">
        <v>102</v>
      </c>
      <c r="J618" s="12" t="n">
        <v>456</v>
      </c>
      <c r="K618" s="12" t="n">
        <v>417</v>
      </c>
      <c r="L618" s="12" t="n">
        <v>50</v>
      </c>
      <c r="M618" s="12" t="n">
        <v>120</v>
      </c>
      <c r="N618" s="12" t="n">
        <v>43</v>
      </c>
      <c r="O618" s="12" t="n">
        <v>4</v>
      </c>
      <c r="P618" s="12" t="n">
        <v>8</v>
      </c>
      <c r="Q618" s="12" t="n">
        <v>45</v>
      </c>
      <c r="R618" s="12" t="n">
        <v>26</v>
      </c>
      <c r="S618" s="12" t="n">
        <v>78</v>
      </c>
      <c r="T618" s="12" t="n">
        <v>8</v>
      </c>
      <c r="U618" s="12" t="n">
        <v>5</v>
      </c>
      <c r="V618" s="12" t="n">
        <v>16</v>
      </c>
      <c r="W618" s="12" t="n">
        <v>2</v>
      </c>
      <c r="X618" s="13" t="n">
        <f aca="false">M618+N618+2*O618+3*P618</f>
        <v>195</v>
      </c>
      <c r="Y618" s="14" t="n">
        <f aca="false">IF(K618=0,0,M618/K618)</f>
        <v>0.287769784172662</v>
      </c>
      <c r="Z618" s="14" t="n">
        <f aca="false">IF(K618+R618+T618+U618=0,0,(M618+R618+T618)/(K618+R618+T618+U618))</f>
        <v>0.337719298245614</v>
      </c>
      <c r="AA618" s="14" t="n">
        <f aca="false">IF(K618=0,0,X618/K618)</f>
        <v>0.467625899280576</v>
      </c>
      <c r="AB618" s="14" t="n">
        <f aca="false">Z618+AA618</f>
        <v>0.80534519752619</v>
      </c>
      <c r="AC618" s="14" t="n">
        <f aca="false">AA618-Y618</f>
        <v>0.179856115107914</v>
      </c>
      <c r="AD618" s="14" t="n">
        <f aca="false">IF(K618-S618-P618+U618=0,0,(M618-P618)/(K618-S618-P618+U618))</f>
        <v>0.333333333333333</v>
      </c>
      <c r="AE618" s="15" t="n">
        <f aca="false">IF(J618=0,0,R618/J618)</f>
        <v>0.0570175438596491</v>
      </c>
      <c r="AF618" s="15" t="n">
        <f aca="false">IF(J618=0,0,S618/J618)</f>
        <v>0.171052631578947</v>
      </c>
      <c r="AG618" s="11" t="n">
        <f aca="false">IF(J618&gt;=INDEX(球季參數!$E$2:$E$4,MATCH($A618,球季參數!$A$2:$A$4,0)),1,0)</f>
        <v>0</v>
      </c>
    </row>
    <row r="619" customFormat="false" ht="15" hidden="false" customHeight="false" outlineLevel="0" collapsed="false">
      <c r="A619" s="5" t="n">
        <v>2026</v>
      </c>
      <c r="B619" s="7" t="s">
        <v>1817</v>
      </c>
      <c r="C619" s="10" t="str">
        <f aca="false">INDEX(球員主檔!$B$2:$B$749,MATCH($B619,球員主檔!$A$2:$A$749,0))</f>
        <v>Silas Kiriakis</v>
      </c>
      <c r="D619" s="7" t="s">
        <v>346</v>
      </c>
      <c r="E619" s="10" t="str">
        <f aca="false">INDEX(球隊主檔!$C$2:$C$31,MATCH($D619,球隊主檔!$A$2:$A$31,0))</f>
        <v>波士頓紅襪</v>
      </c>
      <c r="F619" s="10" t="str">
        <f aca="false">INDEX(球隊主檔!$D$2:$D$31,MATCH($D619,球隊主檔!$A$2:$A$31,0))</f>
        <v>美聯</v>
      </c>
      <c r="G619" s="7" t="s">
        <v>478</v>
      </c>
      <c r="H619" s="11" t="n">
        <f aca="false">INT((DATE($A619,7,1)-INDEX(球員主檔!$G$2:$G$749,MATCH($B619,球員主檔!$A$2:$A$749,0)))/365.25)</f>
        <v>26</v>
      </c>
      <c r="I619" s="12" t="n">
        <v>124</v>
      </c>
      <c r="J619" s="12" t="n">
        <v>515</v>
      </c>
      <c r="K619" s="12" t="n">
        <v>476</v>
      </c>
      <c r="L619" s="12" t="n">
        <v>52</v>
      </c>
      <c r="M619" s="12" t="n">
        <v>109</v>
      </c>
      <c r="N619" s="12" t="n">
        <v>17</v>
      </c>
      <c r="O619" s="12" t="n">
        <v>7</v>
      </c>
      <c r="P619" s="12" t="n">
        <v>6</v>
      </c>
      <c r="Q619" s="12" t="n">
        <v>40</v>
      </c>
      <c r="R619" s="12" t="n">
        <v>25</v>
      </c>
      <c r="S619" s="12" t="n">
        <v>135</v>
      </c>
      <c r="T619" s="12" t="n">
        <v>9</v>
      </c>
      <c r="U619" s="12" t="n">
        <v>5</v>
      </c>
      <c r="V619" s="12" t="n">
        <v>16</v>
      </c>
      <c r="W619" s="12" t="n">
        <v>2</v>
      </c>
      <c r="X619" s="13" t="n">
        <f aca="false">M619+N619+2*O619+3*P619</f>
        <v>158</v>
      </c>
      <c r="Y619" s="14" t="n">
        <f aca="false">IF(K619=0,0,M619/K619)</f>
        <v>0.228991596638655</v>
      </c>
      <c r="Z619" s="14" t="n">
        <f aca="false">IF(K619+R619+T619+U619=0,0,(M619+R619+T619)/(K619+R619+T619+U619))</f>
        <v>0.277669902912621</v>
      </c>
      <c r="AA619" s="14" t="n">
        <f aca="false">IF(K619=0,0,X619/K619)</f>
        <v>0.331932773109244</v>
      </c>
      <c r="AB619" s="14" t="n">
        <f aca="false">Z619+AA619</f>
        <v>0.609602676021865</v>
      </c>
      <c r="AC619" s="14" t="n">
        <f aca="false">AA619-Y619</f>
        <v>0.102941176470588</v>
      </c>
      <c r="AD619" s="14" t="n">
        <f aca="false">IF(K619-S619-P619+U619=0,0,(M619-P619)/(K619-S619-P619+U619))</f>
        <v>0.302941176470588</v>
      </c>
      <c r="AE619" s="15" t="n">
        <f aca="false">IF(J619=0,0,R619/J619)</f>
        <v>0.0485436893203884</v>
      </c>
      <c r="AF619" s="15" t="n">
        <f aca="false">IF(J619=0,0,S619/J619)</f>
        <v>0.262135922330097</v>
      </c>
      <c r="AG619" s="11" t="n">
        <f aca="false">IF(J619&gt;=INDEX(球季參數!$E$2:$E$4,MATCH($A619,球季參數!$A$2:$A$4,0)),1,0)</f>
        <v>1</v>
      </c>
    </row>
    <row r="620" customFormat="false" ht="15" hidden="false" customHeight="false" outlineLevel="0" collapsed="false">
      <c r="A620" s="5" t="n">
        <v>2026</v>
      </c>
      <c r="B620" s="7" t="s">
        <v>1819</v>
      </c>
      <c r="C620" s="10" t="str">
        <f aca="false">INDEX(球員主檔!$B$2:$B$749,MATCH($B620,球員主檔!$A$2:$A$749,0))</f>
        <v>Camilo Yoshinaga</v>
      </c>
      <c r="D620" s="7" t="s">
        <v>346</v>
      </c>
      <c r="E620" s="10" t="str">
        <f aca="false">INDEX(球隊主檔!$C$2:$C$31,MATCH($D620,球隊主檔!$A$2:$A$31,0))</f>
        <v>波士頓紅襪</v>
      </c>
      <c r="F620" s="10" t="str">
        <f aca="false">INDEX(球隊主檔!$D$2:$D$31,MATCH($D620,球隊主檔!$A$2:$A$31,0))</f>
        <v>美聯</v>
      </c>
      <c r="G620" s="7" t="s">
        <v>486</v>
      </c>
      <c r="H620" s="11" t="n">
        <f aca="false">INT((DATE($A620,7,1)-INDEX(球員主檔!$G$2:$G$749,MATCH($B620,球員主檔!$A$2:$A$749,0)))/365.25)</f>
        <v>23</v>
      </c>
      <c r="I620" s="12" t="n">
        <v>59</v>
      </c>
      <c r="J620" s="12" t="n">
        <v>257</v>
      </c>
      <c r="K620" s="12" t="n">
        <v>222</v>
      </c>
      <c r="L620" s="12" t="n">
        <v>36</v>
      </c>
      <c r="M620" s="12" t="n">
        <v>61</v>
      </c>
      <c r="N620" s="12" t="n">
        <v>22</v>
      </c>
      <c r="O620" s="12" t="n">
        <v>8</v>
      </c>
      <c r="P620" s="12" t="n">
        <v>6</v>
      </c>
      <c r="Q620" s="12" t="n">
        <v>25</v>
      </c>
      <c r="R620" s="12" t="n">
        <v>31</v>
      </c>
      <c r="S620" s="12" t="n">
        <v>40</v>
      </c>
      <c r="T620" s="12" t="n">
        <v>1</v>
      </c>
      <c r="U620" s="12" t="n">
        <v>3</v>
      </c>
      <c r="V620" s="12" t="n">
        <v>3</v>
      </c>
      <c r="W620" s="12" t="n">
        <v>1</v>
      </c>
      <c r="X620" s="13" t="n">
        <f aca="false">M620+N620+2*O620+3*P620</f>
        <v>117</v>
      </c>
      <c r="Y620" s="14" t="n">
        <f aca="false">IF(K620=0,0,M620/K620)</f>
        <v>0.274774774774775</v>
      </c>
      <c r="Z620" s="14" t="n">
        <f aca="false">IF(K620+R620+T620+U620=0,0,(M620+R620+T620)/(K620+R620+T620+U620))</f>
        <v>0.361867704280156</v>
      </c>
      <c r="AA620" s="14" t="n">
        <f aca="false">IF(K620=0,0,X620/K620)</f>
        <v>0.527027027027027</v>
      </c>
      <c r="AB620" s="14" t="n">
        <f aca="false">Z620+AA620</f>
        <v>0.888894731307183</v>
      </c>
      <c r="AC620" s="14" t="n">
        <f aca="false">AA620-Y620</f>
        <v>0.252252252252252</v>
      </c>
      <c r="AD620" s="14" t="n">
        <f aca="false">IF(K620-S620-P620+U620=0,0,(M620-P620)/(K620-S620-P620+U620))</f>
        <v>0.307262569832402</v>
      </c>
      <c r="AE620" s="15" t="n">
        <f aca="false">IF(J620=0,0,R620/J620)</f>
        <v>0.120622568093385</v>
      </c>
      <c r="AF620" s="15" t="n">
        <f aca="false">IF(J620=0,0,S620/J620)</f>
        <v>0.155642023346304</v>
      </c>
      <c r="AG620" s="11" t="n">
        <f aca="false">IF(J620&gt;=INDEX(球季參數!$E$2:$E$4,MATCH($A620,球季參數!$A$2:$A$4,0)),1,0)</f>
        <v>0</v>
      </c>
    </row>
    <row r="621" customFormat="false" ht="15" hidden="false" customHeight="false" outlineLevel="0" collapsed="false">
      <c r="A621" s="5" t="n">
        <v>2026</v>
      </c>
      <c r="B621" s="7" t="s">
        <v>813</v>
      </c>
      <c r="C621" s="10" t="str">
        <f aca="false">INDEX(球員主檔!$B$2:$B$749,MATCH($B621,球員主檔!$A$2:$A$749,0))</f>
        <v>Marcus Delacroix</v>
      </c>
      <c r="D621" s="7" t="s">
        <v>346</v>
      </c>
      <c r="E621" s="10" t="str">
        <f aca="false">INDEX(球隊主檔!$C$2:$C$31,MATCH($D621,球隊主檔!$A$2:$A$31,0))</f>
        <v>波士頓紅襪</v>
      </c>
      <c r="F621" s="10" t="str">
        <f aca="false">INDEX(球隊主檔!$D$2:$D$31,MATCH($D621,球隊主檔!$A$2:$A$31,0))</f>
        <v>美聯</v>
      </c>
      <c r="G621" s="7" t="s">
        <v>63</v>
      </c>
      <c r="H621" s="11" t="n">
        <f aca="false">INT((DATE($A621,7,1)-INDEX(球員主檔!$G$2:$G$749,MATCH($B621,球員主檔!$A$2:$A$749,0)))/365.25)</f>
        <v>29</v>
      </c>
      <c r="I621" s="12" t="n">
        <v>83</v>
      </c>
      <c r="J621" s="12" t="n">
        <v>327</v>
      </c>
      <c r="K621" s="12" t="n">
        <v>289</v>
      </c>
      <c r="L621" s="12" t="n">
        <v>30</v>
      </c>
      <c r="M621" s="12" t="n">
        <v>60</v>
      </c>
      <c r="N621" s="12" t="n">
        <v>27</v>
      </c>
      <c r="O621" s="12" t="n">
        <v>0</v>
      </c>
      <c r="P621" s="12" t="n">
        <v>8</v>
      </c>
      <c r="Q621" s="12" t="n">
        <v>26</v>
      </c>
      <c r="R621" s="12" t="n">
        <v>32</v>
      </c>
      <c r="S621" s="12" t="n">
        <v>112</v>
      </c>
      <c r="T621" s="12" t="n">
        <v>3</v>
      </c>
      <c r="U621" s="12" t="n">
        <v>3</v>
      </c>
      <c r="V621" s="12" t="n">
        <v>11</v>
      </c>
      <c r="W621" s="12" t="n">
        <v>3</v>
      </c>
      <c r="X621" s="13" t="n">
        <f aca="false">M621+N621+2*O621+3*P621</f>
        <v>111</v>
      </c>
      <c r="Y621" s="14" t="n">
        <f aca="false">IF(K621=0,0,M621/K621)</f>
        <v>0.207612456747405</v>
      </c>
      <c r="Z621" s="14" t="n">
        <f aca="false">IF(K621+R621+T621+U621=0,0,(M621+R621+T621)/(K621+R621+T621+U621))</f>
        <v>0.290519877675841</v>
      </c>
      <c r="AA621" s="14" t="n">
        <f aca="false">IF(K621=0,0,X621/K621)</f>
        <v>0.384083044982699</v>
      </c>
      <c r="AB621" s="14" t="n">
        <f aca="false">Z621+AA621</f>
        <v>0.67460292265854</v>
      </c>
      <c r="AC621" s="14" t="n">
        <f aca="false">AA621-Y621</f>
        <v>0.176470588235294</v>
      </c>
      <c r="AD621" s="14" t="n">
        <f aca="false">IF(K621-S621-P621+U621=0,0,(M621-P621)/(K621-S621-P621+U621))</f>
        <v>0.302325581395349</v>
      </c>
      <c r="AE621" s="15" t="n">
        <f aca="false">IF(J621=0,0,R621/J621)</f>
        <v>0.0978593272171254</v>
      </c>
      <c r="AF621" s="15" t="n">
        <f aca="false">IF(J621=0,0,S621/J621)</f>
        <v>0.342507645259939</v>
      </c>
      <c r="AG621" s="11" t="n">
        <f aca="false">IF(J621&gt;=INDEX(球季參數!$E$2:$E$4,MATCH($A621,球季參數!$A$2:$A$4,0)),1,0)</f>
        <v>0</v>
      </c>
    </row>
    <row r="622" customFormat="false" ht="15" hidden="false" customHeight="false" outlineLevel="0" collapsed="false">
      <c r="A622" s="5" t="n">
        <v>2026</v>
      </c>
      <c r="B622" s="7" t="s">
        <v>1683</v>
      </c>
      <c r="C622" s="10" t="str">
        <f aca="false">INDEX(球員主檔!$B$2:$B$749,MATCH($B622,球員主檔!$A$2:$A$749,0))</f>
        <v>Konrad Jaramillo</v>
      </c>
      <c r="D622" s="7" t="s">
        <v>350</v>
      </c>
      <c r="E622" s="10" t="str">
        <f aca="false">INDEX(球隊主檔!$C$2:$C$31,MATCH($D622,球隊主檔!$A$2:$A$31,0))</f>
        <v>紐約洋基</v>
      </c>
      <c r="F622" s="10" t="str">
        <f aca="false">INDEX(球隊主檔!$D$2:$D$31,MATCH($D622,球隊主檔!$A$2:$A$31,0))</f>
        <v>美聯</v>
      </c>
      <c r="G622" s="7" t="s">
        <v>486</v>
      </c>
      <c r="H622" s="11" t="n">
        <f aca="false">INT((DATE($A622,7,1)-INDEX(球員主檔!$G$2:$G$749,MATCH($B622,球員主檔!$A$2:$A$749,0)))/365.25)</f>
        <v>24</v>
      </c>
      <c r="I622" s="12" t="n">
        <v>154</v>
      </c>
      <c r="J622" s="12" t="n">
        <v>643</v>
      </c>
      <c r="K622" s="12" t="n">
        <v>562</v>
      </c>
      <c r="L622" s="12" t="n">
        <v>78</v>
      </c>
      <c r="M622" s="12" t="n">
        <v>111</v>
      </c>
      <c r="N622" s="12" t="n">
        <v>29</v>
      </c>
      <c r="O622" s="12" t="n">
        <v>6</v>
      </c>
      <c r="P622" s="12" t="n">
        <v>32</v>
      </c>
      <c r="Q622" s="12" t="n">
        <v>101</v>
      </c>
      <c r="R622" s="12" t="n">
        <v>63</v>
      </c>
      <c r="S622" s="12" t="n">
        <v>165</v>
      </c>
      <c r="T622" s="12" t="n">
        <v>11</v>
      </c>
      <c r="U622" s="12" t="n">
        <v>7</v>
      </c>
      <c r="V622" s="12" t="n">
        <v>7</v>
      </c>
      <c r="W622" s="12" t="n">
        <v>1</v>
      </c>
      <c r="X622" s="13" t="n">
        <f aca="false">M622+N622+2*O622+3*P622</f>
        <v>248</v>
      </c>
      <c r="Y622" s="14" t="n">
        <f aca="false">IF(K622=0,0,M622/K622)</f>
        <v>0.197508896797153</v>
      </c>
      <c r="Z622" s="14" t="n">
        <f aca="false">IF(K622+R622+T622+U622=0,0,(M622+R622+T622)/(K622+R622+T622+U622))</f>
        <v>0.287713841368585</v>
      </c>
      <c r="AA622" s="14" t="n">
        <f aca="false">IF(K622=0,0,X622/K622)</f>
        <v>0.441281138790036</v>
      </c>
      <c r="AB622" s="14" t="n">
        <f aca="false">Z622+AA622</f>
        <v>0.72899498015862</v>
      </c>
      <c r="AC622" s="14" t="n">
        <f aca="false">AA622-Y622</f>
        <v>0.243772241992883</v>
      </c>
      <c r="AD622" s="14" t="n">
        <f aca="false">IF(K622-S622-P622+U622=0,0,(M622-P622)/(K622-S622-P622+U622))</f>
        <v>0.212365591397849</v>
      </c>
      <c r="AE622" s="15" t="n">
        <f aca="false">IF(J622=0,0,R622/J622)</f>
        <v>0.0979782270606532</v>
      </c>
      <c r="AF622" s="15" t="n">
        <f aca="false">IF(J622=0,0,S622/J622)</f>
        <v>0.256609642301711</v>
      </c>
      <c r="AG622" s="11" t="n">
        <f aca="false">IF(J622&gt;=INDEX(球季參數!$E$2:$E$4,MATCH($A622,球季參數!$A$2:$A$4,0)),1,0)</f>
        <v>1</v>
      </c>
    </row>
    <row r="623" customFormat="false" ht="15" hidden="false" customHeight="false" outlineLevel="0" collapsed="false">
      <c r="A623" s="5" t="n">
        <v>2026</v>
      </c>
      <c r="B623" s="7" t="s">
        <v>1597</v>
      </c>
      <c r="C623" s="10" t="str">
        <f aca="false">INDEX(球員主檔!$B$2:$B$749,MATCH($B623,球員主檔!$A$2:$A$749,0))</f>
        <v>Quentin Brightwell</v>
      </c>
      <c r="D623" s="7" t="s">
        <v>350</v>
      </c>
      <c r="E623" s="10" t="str">
        <f aca="false">INDEX(球隊主檔!$C$2:$C$31,MATCH($D623,球隊主檔!$A$2:$A$31,0))</f>
        <v>紐約洋基</v>
      </c>
      <c r="F623" s="10" t="str">
        <f aca="false">INDEX(球隊主檔!$D$2:$D$31,MATCH($D623,球隊主檔!$A$2:$A$31,0))</f>
        <v>美聯</v>
      </c>
      <c r="G623" s="7" t="s">
        <v>486</v>
      </c>
      <c r="H623" s="11" t="n">
        <f aca="false">INT((DATE($A623,7,1)-INDEX(球員主檔!$G$2:$G$749,MATCH($B623,球員主檔!$A$2:$A$749,0)))/365.25)</f>
        <v>31</v>
      </c>
      <c r="I623" s="12" t="n">
        <v>162</v>
      </c>
      <c r="J623" s="12" t="n">
        <v>661</v>
      </c>
      <c r="K623" s="12" t="n">
        <v>588</v>
      </c>
      <c r="L623" s="12" t="n">
        <v>89</v>
      </c>
      <c r="M623" s="12" t="n">
        <v>146</v>
      </c>
      <c r="N623" s="12" t="n">
        <v>45</v>
      </c>
      <c r="O623" s="12" t="n">
        <v>9</v>
      </c>
      <c r="P623" s="12" t="n">
        <v>34</v>
      </c>
      <c r="Q623" s="12" t="n">
        <v>87</v>
      </c>
      <c r="R623" s="12" t="n">
        <v>54</v>
      </c>
      <c r="S623" s="12" t="n">
        <v>120</v>
      </c>
      <c r="T623" s="12" t="n">
        <v>11</v>
      </c>
      <c r="U623" s="12" t="n">
        <v>8</v>
      </c>
      <c r="V623" s="12" t="n">
        <v>7</v>
      </c>
      <c r="W623" s="12" t="n">
        <v>2</v>
      </c>
      <c r="X623" s="13" t="n">
        <f aca="false">M623+N623+2*O623+3*P623</f>
        <v>311</v>
      </c>
      <c r="Y623" s="14" t="n">
        <f aca="false">IF(K623=0,0,M623/K623)</f>
        <v>0.248299319727891</v>
      </c>
      <c r="Z623" s="14" t="n">
        <f aca="false">IF(K623+R623+T623+U623=0,0,(M623+R623+T623)/(K623+R623+T623+U623))</f>
        <v>0.319213313161876</v>
      </c>
      <c r="AA623" s="14" t="n">
        <f aca="false">IF(K623=0,0,X623/K623)</f>
        <v>0.52891156462585</v>
      </c>
      <c r="AB623" s="14" t="n">
        <f aca="false">Z623+AA623</f>
        <v>0.848124877787726</v>
      </c>
      <c r="AC623" s="14" t="n">
        <f aca="false">AA623-Y623</f>
        <v>0.280612244897959</v>
      </c>
      <c r="AD623" s="14" t="n">
        <f aca="false">IF(K623-S623-P623+U623=0,0,(M623-P623)/(K623-S623-P623+U623))</f>
        <v>0.253393665158371</v>
      </c>
      <c r="AE623" s="15" t="n">
        <f aca="false">IF(J623=0,0,R623/J623)</f>
        <v>0.0816944024205749</v>
      </c>
      <c r="AF623" s="15" t="n">
        <f aca="false">IF(J623=0,0,S623/J623)</f>
        <v>0.181543116490166</v>
      </c>
      <c r="AG623" s="11" t="n">
        <f aca="false">IF(J623&gt;=INDEX(球季參數!$E$2:$E$4,MATCH($A623,球季參數!$A$2:$A$4,0)),1,0)</f>
        <v>1</v>
      </c>
    </row>
    <row r="624" customFormat="false" ht="15" hidden="false" customHeight="false" outlineLevel="0" collapsed="false">
      <c r="A624" s="5" t="n">
        <v>2026</v>
      </c>
      <c r="B624" s="7" t="s">
        <v>1685</v>
      </c>
      <c r="C624" s="10" t="str">
        <f aca="false">INDEX(球員主檔!$B$2:$B$749,MATCH($B624,球員主檔!$A$2:$A$749,0))</f>
        <v>Isaias Marchetti</v>
      </c>
      <c r="D624" s="7" t="s">
        <v>350</v>
      </c>
      <c r="E624" s="10" t="str">
        <f aca="false">INDEX(球隊主檔!$C$2:$C$31,MATCH($D624,球隊主檔!$A$2:$A$31,0))</f>
        <v>紐約洋基</v>
      </c>
      <c r="F624" s="10" t="str">
        <f aca="false">INDEX(球隊主檔!$D$2:$D$31,MATCH($D624,球隊主檔!$A$2:$A$31,0))</f>
        <v>美聯</v>
      </c>
      <c r="G624" s="7" t="s">
        <v>470</v>
      </c>
      <c r="H624" s="11" t="n">
        <f aca="false">INT((DATE($A624,7,1)-INDEX(球員主檔!$G$2:$G$749,MATCH($B624,球員主檔!$A$2:$A$749,0)))/365.25)</f>
        <v>23</v>
      </c>
      <c r="I624" s="12" t="n">
        <v>161</v>
      </c>
      <c r="J624" s="12" t="n">
        <v>640</v>
      </c>
      <c r="K624" s="12" t="n">
        <v>573</v>
      </c>
      <c r="L624" s="12" t="n">
        <v>88</v>
      </c>
      <c r="M624" s="12" t="n">
        <v>155</v>
      </c>
      <c r="N624" s="12" t="n">
        <v>38</v>
      </c>
      <c r="O624" s="12" t="n">
        <v>5</v>
      </c>
      <c r="P624" s="12" t="n">
        <v>17</v>
      </c>
      <c r="Q624" s="12" t="n">
        <v>69</v>
      </c>
      <c r="R624" s="12" t="n">
        <v>57</v>
      </c>
      <c r="S624" s="12" t="n">
        <v>58</v>
      </c>
      <c r="T624" s="12" t="n">
        <v>8</v>
      </c>
      <c r="U624" s="12" t="n">
        <v>2</v>
      </c>
      <c r="V624" s="12" t="n">
        <v>9</v>
      </c>
      <c r="W624" s="12" t="n">
        <v>3</v>
      </c>
      <c r="X624" s="13" t="n">
        <f aca="false">M624+N624+2*O624+3*P624</f>
        <v>254</v>
      </c>
      <c r="Y624" s="14" t="n">
        <f aca="false">IF(K624=0,0,M624/K624)</f>
        <v>0.270506108202443</v>
      </c>
      <c r="Z624" s="14" t="n">
        <f aca="false">IF(K624+R624+T624+U624=0,0,(M624+R624+T624)/(K624+R624+T624+U624))</f>
        <v>0.34375</v>
      </c>
      <c r="AA624" s="14" t="n">
        <f aca="false">IF(K624=0,0,X624/K624)</f>
        <v>0.443280977312391</v>
      </c>
      <c r="AB624" s="14" t="n">
        <f aca="false">Z624+AA624</f>
        <v>0.787030977312391</v>
      </c>
      <c r="AC624" s="14" t="n">
        <f aca="false">AA624-Y624</f>
        <v>0.172774869109948</v>
      </c>
      <c r="AD624" s="14" t="n">
        <f aca="false">IF(K624-S624-P624+U624=0,0,(M624-P624)/(K624-S624-P624+U624))</f>
        <v>0.276</v>
      </c>
      <c r="AE624" s="15" t="n">
        <f aca="false">IF(J624=0,0,R624/J624)</f>
        <v>0.0890625</v>
      </c>
      <c r="AF624" s="15" t="n">
        <f aca="false">IF(J624=0,0,S624/J624)</f>
        <v>0.090625</v>
      </c>
      <c r="AG624" s="11" t="n">
        <f aca="false">IF(J624&gt;=INDEX(球季參數!$E$2:$E$4,MATCH($A624,球季參數!$A$2:$A$4,0)),1,0)</f>
        <v>1</v>
      </c>
    </row>
    <row r="625" customFormat="false" ht="15" hidden="false" customHeight="false" outlineLevel="0" collapsed="false">
      <c r="A625" s="5" t="n">
        <v>2026</v>
      </c>
      <c r="B625" s="7" t="s">
        <v>563</v>
      </c>
      <c r="C625" s="10" t="str">
        <f aca="false">INDEX(球員主檔!$B$2:$B$749,MATCH($B625,球員主檔!$A$2:$A$749,0))</f>
        <v>Percival Larrabee</v>
      </c>
      <c r="D625" s="7" t="s">
        <v>350</v>
      </c>
      <c r="E625" s="10" t="str">
        <f aca="false">INDEX(球隊主檔!$C$2:$C$31,MATCH($D625,球隊主檔!$A$2:$A$31,0))</f>
        <v>紐約洋基</v>
      </c>
      <c r="F625" s="10" t="str">
        <f aca="false">INDEX(球隊主檔!$D$2:$D$31,MATCH($D625,球隊主檔!$A$2:$A$31,0))</f>
        <v>美聯</v>
      </c>
      <c r="G625" s="7" t="s">
        <v>158</v>
      </c>
      <c r="H625" s="11" t="n">
        <f aca="false">INT((DATE($A625,7,1)-INDEX(球員主檔!$G$2:$G$749,MATCH($B625,球員主檔!$A$2:$A$749,0)))/365.25)</f>
        <v>33</v>
      </c>
      <c r="I625" s="12" t="n">
        <v>88</v>
      </c>
      <c r="J625" s="12" t="n">
        <v>379</v>
      </c>
      <c r="K625" s="12" t="n">
        <v>347</v>
      </c>
      <c r="L625" s="12" t="n">
        <v>35</v>
      </c>
      <c r="M625" s="12" t="n">
        <v>70</v>
      </c>
      <c r="N625" s="12" t="n">
        <v>14</v>
      </c>
      <c r="O625" s="12" t="n">
        <v>7</v>
      </c>
      <c r="P625" s="12" t="n">
        <v>11</v>
      </c>
      <c r="Q625" s="12" t="n">
        <v>42</v>
      </c>
      <c r="R625" s="12" t="n">
        <v>23</v>
      </c>
      <c r="S625" s="12" t="n">
        <v>82</v>
      </c>
      <c r="T625" s="12" t="n">
        <v>5</v>
      </c>
      <c r="U625" s="12" t="n">
        <v>4</v>
      </c>
      <c r="V625" s="12" t="n">
        <v>4</v>
      </c>
      <c r="W625" s="12" t="n">
        <v>1</v>
      </c>
      <c r="X625" s="13" t="n">
        <f aca="false">M625+N625+2*O625+3*P625</f>
        <v>131</v>
      </c>
      <c r="Y625" s="14" t="n">
        <f aca="false">IF(K625=0,0,M625/K625)</f>
        <v>0.201729106628242</v>
      </c>
      <c r="Z625" s="14" t="n">
        <f aca="false">IF(K625+R625+T625+U625=0,0,(M625+R625+T625)/(K625+R625+T625+U625))</f>
        <v>0.258575197889182</v>
      </c>
      <c r="AA625" s="14" t="n">
        <f aca="false">IF(K625=0,0,X625/K625)</f>
        <v>0.377521613832853</v>
      </c>
      <c r="AB625" s="14" t="n">
        <f aca="false">Z625+AA625</f>
        <v>0.636096811722035</v>
      </c>
      <c r="AC625" s="14" t="n">
        <f aca="false">AA625-Y625</f>
        <v>0.175792507204611</v>
      </c>
      <c r="AD625" s="14" t="n">
        <f aca="false">IF(K625-S625-P625+U625=0,0,(M625-P625)/(K625-S625-P625+U625))</f>
        <v>0.228682170542636</v>
      </c>
      <c r="AE625" s="15" t="n">
        <f aca="false">IF(J625=0,0,R625/J625)</f>
        <v>0.0606860158311346</v>
      </c>
      <c r="AF625" s="15" t="n">
        <f aca="false">IF(J625=0,0,S625/J625)</f>
        <v>0.216358839050132</v>
      </c>
      <c r="AG625" s="11" t="n">
        <f aca="false">IF(J625&gt;=INDEX(球季參數!$E$2:$E$4,MATCH($A625,球季參數!$A$2:$A$4,0)),1,0)</f>
        <v>0</v>
      </c>
    </row>
    <row r="626" customFormat="false" ht="15" hidden="false" customHeight="false" outlineLevel="0" collapsed="false">
      <c r="A626" s="5" t="n">
        <v>2026</v>
      </c>
      <c r="B626" s="7" t="s">
        <v>565</v>
      </c>
      <c r="C626" s="10" t="str">
        <f aca="false">INDEX(球員主檔!$B$2:$B$749,MATCH($B626,球員主檔!$A$2:$A$749,0))</f>
        <v>Porter Blackwood</v>
      </c>
      <c r="D626" s="7" t="s">
        <v>350</v>
      </c>
      <c r="E626" s="10" t="str">
        <f aca="false">INDEX(球隊主檔!$C$2:$C$31,MATCH($D626,球隊主檔!$A$2:$A$31,0))</f>
        <v>紐約洋基</v>
      </c>
      <c r="F626" s="10" t="str">
        <f aca="false">INDEX(球隊主檔!$D$2:$D$31,MATCH($D626,球隊主檔!$A$2:$A$31,0))</f>
        <v>美聯</v>
      </c>
      <c r="G626" s="7" t="s">
        <v>473</v>
      </c>
      <c r="H626" s="11" t="n">
        <f aca="false">INT((DATE($A626,7,1)-INDEX(球員主檔!$G$2:$G$749,MATCH($B626,球員主檔!$A$2:$A$749,0)))/365.25)</f>
        <v>31</v>
      </c>
      <c r="I626" s="12" t="n">
        <v>150</v>
      </c>
      <c r="J626" s="12" t="n">
        <v>665</v>
      </c>
      <c r="K626" s="12" t="n">
        <v>603</v>
      </c>
      <c r="L626" s="12" t="n">
        <v>84</v>
      </c>
      <c r="M626" s="12" t="n">
        <v>172</v>
      </c>
      <c r="N626" s="12" t="n">
        <v>31</v>
      </c>
      <c r="O626" s="12" t="n">
        <v>6</v>
      </c>
      <c r="P626" s="12" t="n">
        <v>29</v>
      </c>
      <c r="Q626" s="12" t="n">
        <v>100</v>
      </c>
      <c r="R626" s="12" t="n">
        <v>48</v>
      </c>
      <c r="S626" s="12" t="n">
        <v>187</v>
      </c>
      <c r="T626" s="12" t="n">
        <v>10</v>
      </c>
      <c r="U626" s="12" t="n">
        <v>4</v>
      </c>
      <c r="V626" s="12" t="n">
        <v>1</v>
      </c>
      <c r="W626" s="12" t="n">
        <v>0</v>
      </c>
      <c r="X626" s="13" t="n">
        <f aca="false">M626+N626+2*O626+3*P626</f>
        <v>302</v>
      </c>
      <c r="Y626" s="14" t="n">
        <f aca="false">IF(K626=0,0,M626/K626)</f>
        <v>0.285240464344942</v>
      </c>
      <c r="Z626" s="14" t="n">
        <f aca="false">IF(K626+R626+T626+U626=0,0,(M626+R626+T626)/(K626+R626+T626+U626))</f>
        <v>0.345864661654135</v>
      </c>
      <c r="AA626" s="14" t="n">
        <f aca="false">IF(K626=0,0,X626/K626)</f>
        <v>0.500829187396352</v>
      </c>
      <c r="AB626" s="14" t="n">
        <f aca="false">Z626+AA626</f>
        <v>0.846693849050487</v>
      </c>
      <c r="AC626" s="14" t="n">
        <f aca="false">AA626-Y626</f>
        <v>0.21558872305141</v>
      </c>
      <c r="AD626" s="14" t="n">
        <f aca="false">IF(K626-S626-P626+U626=0,0,(M626-P626)/(K626-S626-P626+U626))</f>
        <v>0.365728900255755</v>
      </c>
      <c r="AE626" s="15" t="n">
        <f aca="false">IF(J626=0,0,R626/J626)</f>
        <v>0.0721804511278196</v>
      </c>
      <c r="AF626" s="15" t="n">
        <f aca="false">IF(J626=0,0,S626/J626)</f>
        <v>0.281203007518797</v>
      </c>
      <c r="AG626" s="11" t="n">
        <f aca="false">IF(J626&gt;=INDEX(球季參數!$E$2:$E$4,MATCH($A626,球季參數!$A$2:$A$4,0)),1,0)</f>
        <v>1</v>
      </c>
    </row>
    <row r="627" customFormat="false" ht="15" hidden="false" customHeight="false" outlineLevel="0" collapsed="false">
      <c r="A627" s="5" t="n">
        <v>2026</v>
      </c>
      <c r="B627" s="7" t="s">
        <v>567</v>
      </c>
      <c r="C627" s="10" t="str">
        <f aca="false">INDEX(球員主檔!$B$2:$B$749,MATCH($B627,球員主檔!$A$2:$A$749,0))</f>
        <v>Tristan Blackwood</v>
      </c>
      <c r="D627" s="7" t="s">
        <v>350</v>
      </c>
      <c r="E627" s="10" t="str">
        <f aca="false">INDEX(球隊主檔!$C$2:$C$31,MATCH($D627,球隊主檔!$A$2:$A$31,0))</f>
        <v>紐約洋基</v>
      </c>
      <c r="F627" s="10" t="str">
        <f aca="false">INDEX(球隊主檔!$D$2:$D$31,MATCH($D627,球隊主檔!$A$2:$A$31,0))</f>
        <v>美聯</v>
      </c>
      <c r="G627" s="7" t="s">
        <v>162</v>
      </c>
      <c r="H627" s="11" t="n">
        <f aca="false">INT((DATE($A627,7,1)-INDEX(球員主檔!$G$2:$G$749,MATCH($B627,球員主檔!$A$2:$A$749,0)))/365.25)</f>
        <v>27</v>
      </c>
      <c r="I627" s="12" t="n">
        <v>106</v>
      </c>
      <c r="J627" s="12" t="n">
        <v>426</v>
      </c>
      <c r="K627" s="12" t="n">
        <v>400</v>
      </c>
      <c r="L627" s="12" t="n">
        <v>45</v>
      </c>
      <c r="M627" s="12" t="n">
        <v>103</v>
      </c>
      <c r="N627" s="12" t="n">
        <v>23</v>
      </c>
      <c r="O627" s="12" t="n">
        <v>4</v>
      </c>
      <c r="P627" s="12" t="n">
        <v>10</v>
      </c>
      <c r="Q627" s="12" t="n">
        <v>46</v>
      </c>
      <c r="R627" s="12" t="n">
        <v>17</v>
      </c>
      <c r="S627" s="12" t="n">
        <v>124</v>
      </c>
      <c r="T627" s="12" t="n">
        <v>7</v>
      </c>
      <c r="U627" s="12" t="n">
        <v>2</v>
      </c>
      <c r="V627" s="12" t="n">
        <v>7</v>
      </c>
      <c r="W627" s="12" t="n">
        <v>1</v>
      </c>
      <c r="X627" s="13" t="n">
        <f aca="false">M627+N627+2*O627+3*P627</f>
        <v>164</v>
      </c>
      <c r="Y627" s="14" t="n">
        <f aca="false">IF(K627=0,0,M627/K627)</f>
        <v>0.2575</v>
      </c>
      <c r="Z627" s="14" t="n">
        <f aca="false">IF(K627+R627+T627+U627=0,0,(M627+R627+T627)/(K627+R627+T627+U627))</f>
        <v>0.2981220657277</v>
      </c>
      <c r="AA627" s="14" t="n">
        <f aca="false">IF(K627=0,0,X627/K627)</f>
        <v>0.41</v>
      </c>
      <c r="AB627" s="14" t="n">
        <f aca="false">Z627+AA627</f>
        <v>0.708122065727699</v>
      </c>
      <c r="AC627" s="14" t="n">
        <f aca="false">AA627-Y627</f>
        <v>0.1525</v>
      </c>
      <c r="AD627" s="14" t="n">
        <f aca="false">IF(K627-S627-P627+U627=0,0,(M627-P627)/(K627-S627-P627+U627))</f>
        <v>0.347014925373134</v>
      </c>
      <c r="AE627" s="15" t="n">
        <f aca="false">IF(J627=0,0,R627/J627)</f>
        <v>0.039906103286385</v>
      </c>
      <c r="AF627" s="15" t="n">
        <f aca="false">IF(J627=0,0,S627/J627)</f>
        <v>0.291079812206573</v>
      </c>
      <c r="AG627" s="11" t="n">
        <f aca="false">IF(J627&gt;=INDEX(球季參數!$E$2:$E$4,MATCH($A627,球季參數!$A$2:$A$4,0)),1,0)</f>
        <v>0</v>
      </c>
    </row>
    <row r="628" customFormat="false" ht="15" hidden="false" customHeight="false" outlineLevel="0" collapsed="false">
      <c r="A628" s="5" t="n">
        <v>2026</v>
      </c>
      <c r="B628" s="7" t="s">
        <v>569</v>
      </c>
      <c r="C628" s="10" t="str">
        <f aca="false">INDEX(球員主檔!$B$2:$B$749,MATCH($B628,球員主檔!$A$2:$A$749,0))</f>
        <v>Holden Delacroix</v>
      </c>
      <c r="D628" s="7" t="s">
        <v>350</v>
      </c>
      <c r="E628" s="10" t="str">
        <f aca="false">INDEX(球隊主檔!$C$2:$C$31,MATCH($D628,球隊主檔!$A$2:$A$31,0))</f>
        <v>紐約洋基</v>
      </c>
      <c r="F628" s="10" t="str">
        <f aca="false">INDEX(球隊主檔!$D$2:$D$31,MATCH($D628,球隊主檔!$A$2:$A$31,0))</f>
        <v>美聯</v>
      </c>
      <c r="G628" s="7" t="s">
        <v>473</v>
      </c>
      <c r="H628" s="11" t="n">
        <f aca="false">INT((DATE($A628,7,1)-INDEX(球員主檔!$G$2:$G$749,MATCH($B628,球員主檔!$A$2:$A$749,0)))/365.25)</f>
        <v>28</v>
      </c>
      <c r="I628" s="12" t="n">
        <v>115</v>
      </c>
      <c r="J628" s="12" t="n">
        <v>479</v>
      </c>
      <c r="K628" s="12" t="n">
        <v>395</v>
      </c>
      <c r="L628" s="12" t="n">
        <v>73</v>
      </c>
      <c r="M628" s="12" t="n">
        <v>107</v>
      </c>
      <c r="N628" s="12" t="n">
        <v>23</v>
      </c>
      <c r="O628" s="12" t="n">
        <v>7</v>
      </c>
      <c r="P628" s="12" t="n">
        <v>23</v>
      </c>
      <c r="Q628" s="12" t="n">
        <v>67</v>
      </c>
      <c r="R628" s="12" t="n">
        <v>78</v>
      </c>
      <c r="S628" s="12" t="n">
        <v>165</v>
      </c>
      <c r="T628" s="12" t="n">
        <v>2</v>
      </c>
      <c r="U628" s="12" t="n">
        <v>4</v>
      </c>
      <c r="V628" s="12" t="n">
        <v>9</v>
      </c>
      <c r="W628" s="12" t="n">
        <v>1</v>
      </c>
      <c r="X628" s="13" t="n">
        <f aca="false">M628+N628+2*O628+3*P628</f>
        <v>213</v>
      </c>
      <c r="Y628" s="14" t="n">
        <f aca="false">IF(K628=0,0,M628/K628)</f>
        <v>0.270886075949367</v>
      </c>
      <c r="Z628" s="14" t="n">
        <f aca="false">IF(K628+R628+T628+U628=0,0,(M628+R628+T628)/(K628+R628+T628+U628))</f>
        <v>0.390396659707724</v>
      </c>
      <c r="AA628" s="14" t="n">
        <f aca="false">IF(K628=0,0,X628/K628)</f>
        <v>0.539240506329114</v>
      </c>
      <c r="AB628" s="14" t="n">
        <f aca="false">Z628+AA628</f>
        <v>0.929637166036838</v>
      </c>
      <c r="AC628" s="14" t="n">
        <f aca="false">AA628-Y628</f>
        <v>0.268354430379747</v>
      </c>
      <c r="AD628" s="14" t="n">
        <f aca="false">IF(K628-S628-P628+U628=0,0,(M628-P628)/(K628-S628-P628+U628))</f>
        <v>0.398104265402844</v>
      </c>
      <c r="AE628" s="15" t="n">
        <f aca="false">IF(J628=0,0,R628/J628)</f>
        <v>0.162839248434238</v>
      </c>
      <c r="AF628" s="15" t="n">
        <f aca="false">IF(J628=0,0,S628/J628)</f>
        <v>0.34446764091858</v>
      </c>
      <c r="AG628" s="11" t="n">
        <f aca="false">IF(J628&gt;=INDEX(球季參數!$E$2:$E$4,MATCH($A628,球季參數!$A$2:$A$4,0)),1,0)</f>
        <v>0</v>
      </c>
    </row>
    <row r="629" customFormat="false" ht="15" hidden="false" customHeight="false" outlineLevel="0" collapsed="false">
      <c r="A629" s="5" t="n">
        <v>2026</v>
      </c>
      <c r="B629" s="7" t="s">
        <v>571</v>
      </c>
      <c r="C629" s="10" t="str">
        <f aca="false">INDEX(球員主檔!$B$2:$B$749,MATCH($B629,球員主檔!$A$2:$A$749,0))</f>
        <v>Thiago Nordstrom</v>
      </c>
      <c r="D629" s="7" t="s">
        <v>350</v>
      </c>
      <c r="E629" s="10" t="str">
        <f aca="false">INDEX(球隊主檔!$C$2:$C$31,MATCH($D629,球隊主檔!$A$2:$A$31,0))</f>
        <v>紐約洋基</v>
      </c>
      <c r="F629" s="10" t="str">
        <f aca="false">INDEX(球隊主檔!$D$2:$D$31,MATCH($D629,球隊主檔!$A$2:$A$31,0))</f>
        <v>美聯</v>
      </c>
      <c r="G629" s="7" t="s">
        <v>473</v>
      </c>
      <c r="H629" s="11" t="n">
        <f aca="false">INT((DATE($A629,7,1)-INDEX(球員主檔!$G$2:$G$749,MATCH($B629,球員主檔!$A$2:$A$749,0)))/365.25)</f>
        <v>31</v>
      </c>
      <c r="I629" s="12" t="n">
        <v>119</v>
      </c>
      <c r="J629" s="12" t="n">
        <v>519</v>
      </c>
      <c r="K629" s="12" t="n">
        <v>462</v>
      </c>
      <c r="L629" s="12" t="n">
        <v>59</v>
      </c>
      <c r="M629" s="12" t="n">
        <v>106</v>
      </c>
      <c r="N629" s="12" t="n">
        <v>30</v>
      </c>
      <c r="O629" s="12" t="n">
        <v>2</v>
      </c>
      <c r="P629" s="12" t="n">
        <v>19</v>
      </c>
      <c r="Q629" s="12" t="n">
        <v>62</v>
      </c>
      <c r="R629" s="12" t="n">
        <v>42</v>
      </c>
      <c r="S629" s="12" t="n">
        <v>121</v>
      </c>
      <c r="T629" s="12" t="n">
        <v>8</v>
      </c>
      <c r="U629" s="12" t="n">
        <v>7</v>
      </c>
      <c r="V629" s="12" t="n">
        <v>6</v>
      </c>
      <c r="W629" s="12" t="n">
        <v>2</v>
      </c>
      <c r="X629" s="13" t="n">
        <f aca="false">M629+N629+2*O629+3*P629</f>
        <v>197</v>
      </c>
      <c r="Y629" s="14" t="n">
        <f aca="false">IF(K629=0,0,M629/K629)</f>
        <v>0.229437229437229</v>
      </c>
      <c r="Z629" s="14" t="n">
        <f aca="false">IF(K629+R629+T629+U629=0,0,(M629+R629+T629)/(K629+R629+T629+U629))</f>
        <v>0.300578034682081</v>
      </c>
      <c r="AA629" s="14" t="n">
        <f aca="false">IF(K629=0,0,X629/K629)</f>
        <v>0.426406926406926</v>
      </c>
      <c r="AB629" s="14" t="n">
        <f aca="false">Z629+AA629</f>
        <v>0.726984961089007</v>
      </c>
      <c r="AC629" s="14" t="n">
        <f aca="false">AA629-Y629</f>
        <v>0.196969696969697</v>
      </c>
      <c r="AD629" s="14" t="n">
        <f aca="false">IF(K629-S629-P629+U629=0,0,(M629-P629)/(K629-S629-P629+U629))</f>
        <v>0.264437689969605</v>
      </c>
      <c r="AE629" s="15" t="n">
        <f aca="false">IF(J629=0,0,R629/J629)</f>
        <v>0.0809248554913295</v>
      </c>
      <c r="AF629" s="15" t="n">
        <f aca="false">IF(J629=0,0,S629/J629)</f>
        <v>0.233140655105973</v>
      </c>
      <c r="AG629" s="11" t="n">
        <f aca="false">IF(J629&gt;=INDEX(球季參數!$E$2:$E$4,MATCH($A629,球季參數!$A$2:$A$4,0)),1,0)</f>
        <v>1</v>
      </c>
    </row>
    <row r="630" customFormat="false" ht="15" hidden="false" customHeight="false" outlineLevel="0" collapsed="false">
      <c r="A630" s="5" t="n">
        <v>2026</v>
      </c>
      <c r="B630" s="7" t="s">
        <v>573</v>
      </c>
      <c r="C630" s="10" t="str">
        <f aca="false">INDEX(球員主檔!$B$2:$B$749,MATCH($B630,球員主檔!$A$2:$A$749,0))</f>
        <v>Dorian Blackwood</v>
      </c>
      <c r="D630" s="7" t="s">
        <v>350</v>
      </c>
      <c r="E630" s="10" t="str">
        <f aca="false">INDEX(球隊主檔!$C$2:$C$31,MATCH($D630,球隊主檔!$A$2:$A$31,0))</f>
        <v>紐約洋基</v>
      </c>
      <c r="F630" s="10" t="str">
        <f aca="false">INDEX(球隊主檔!$D$2:$D$31,MATCH($D630,球隊主檔!$A$2:$A$31,0))</f>
        <v>美聯</v>
      </c>
      <c r="G630" s="7" t="s">
        <v>473</v>
      </c>
      <c r="H630" s="11" t="n">
        <f aca="false">INT((DATE($A630,7,1)-INDEX(球員主檔!$G$2:$G$749,MATCH($B630,球員主檔!$A$2:$A$749,0)))/365.25)</f>
        <v>27</v>
      </c>
      <c r="I630" s="12" t="n">
        <v>84</v>
      </c>
      <c r="J630" s="12" t="n">
        <v>357</v>
      </c>
      <c r="K630" s="12" t="n">
        <v>323</v>
      </c>
      <c r="L630" s="12" t="n">
        <v>48</v>
      </c>
      <c r="M630" s="12" t="n">
        <v>94</v>
      </c>
      <c r="N630" s="12" t="n">
        <v>16</v>
      </c>
      <c r="O630" s="12" t="n">
        <v>2</v>
      </c>
      <c r="P630" s="12" t="n">
        <v>9</v>
      </c>
      <c r="Q630" s="12" t="n">
        <v>41</v>
      </c>
      <c r="R630" s="12" t="n">
        <v>28</v>
      </c>
      <c r="S630" s="12" t="n">
        <v>54</v>
      </c>
      <c r="T630" s="12" t="n">
        <v>3</v>
      </c>
      <c r="U630" s="12" t="n">
        <v>3</v>
      </c>
      <c r="V630" s="12" t="n">
        <v>5</v>
      </c>
      <c r="W630" s="12" t="n">
        <v>2</v>
      </c>
      <c r="X630" s="13" t="n">
        <f aca="false">M630+N630+2*O630+3*P630</f>
        <v>141</v>
      </c>
      <c r="Y630" s="14" t="n">
        <f aca="false">IF(K630=0,0,M630/K630)</f>
        <v>0.291021671826625</v>
      </c>
      <c r="Z630" s="14" t="n">
        <f aca="false">IF(K630+R630+T630+U630=0,0,(M630+R630+T630)/(K630+R630+T630+U630))</f>
        <v>0.350140056022409</v>
      </c>
      <c r="AA630" s="14" t="n">
        <f aca="false">IF(K630=0,0,X630/K630)</f>
        <v>0.436532507739938</v>
      </c>
      <c r="AB630" s="14" t="n">
        <f aca="false">Z630+AA630</f>
        <v>0.786672563762347</v>
      </c>
      <c r="AC630" s="14" t="n">
        <f aca="false">AA630-Y630</f>
        <v>0.145510835913313</v>
      </c>
      <c r="AD630" s="14" t="n">
        <f aca="false">IF(K630-S630-P630+U630=0,0,(M630-P630)/(K630-S630-P630+U630))</f>
        <v>0.32319391634981</v>
      </c>
      <c r="AE630" s="15" t="n">
        <f aca="false">IF(J630=0,0,R630/J630)</f>
        <v>0.0784313725490196</v>
      </c>
      <c r="AF630" s="15" t="n">
        <f aca="false">IF(J630=0,0,S630/J630)</f>
        <v>0.151260504201681</v>
      </c>
      <c r="AG630" s="11" t="n">
        <f aca="false">IF(J630&gt;=INDEX(球季參數!$E$2:$E$4,MATCH($A630,球季參數!$A$2:$A$4,0)),1,0)</f>
        <v>0</v>
      </c>
    </row>
    <row r="631" customFormat="false" ht="15" hidden="false" customHeight="false" outlineLevel="0" collapsed="false">
      <c r="A631" s="5" t="n">
        <v>2026</v>
      </c>
      <c r="B631" s="7" t="s">
        <v>575</v>
      </c>
      <c r="C631" s="10" t="str">
        <f aca="false">INDEX(球員主檔!$B$2:$B$749,MATCH($B631,球員主檔!$A$2:$A$749,0))</f>
        <v>Dashiell Nakagawa</v>
      </c>
      <c r="D631" s="7" t="s">
        <v>350</v>
      </c>
      <c r="E631" s="10" t="str">
        <f aca="false">INDEX(球隊主檔!$C$2:$C$31,MATCH($D631,球隊主檔!$A$2:$A$31,0))</f>
        <v>紐約洋基</v>
      </c>
      <c r="F631" s="10" t="str">
        <f aca="false">INDEX(球隊主檔!$D$2:$D$31,MATCH($D631,球隊主檔!$A$2:$A$31,0))</f>
        <v>美聯</v>
      </c>
      <c r="G631" s="7" t="s">
        <v>478</v>
      </c>
      <c r="H631" s="11" t="n">
        <f aca="false">INT((DATE($A631,7,1)-INDEX(球員主檔!$G$2:$G$749,MATCH($B631,球員主檔!$A$2:$A$749,0)))/365.25)</f>
        <v>32</v>
      </c>
      <c r="I631" s="12" t="n">
        <v>77</v>
      </c>
      <c r="J631" s="12" t="n">
        <v>321</v>
      </c>
      <c r="K631" s="12" t="n">
        <v>277</v>
      </c>
      <c r="L631" s="12" t="n">
        <v>40</v>
      </c>
      <c r="M631" s="12" t="n">
        <v>73</v>
      </c>
      <c r="N631" s="12" t="n">
        <v>26</v>
      </c>
      <c r="O631" s="12" t="n">
        <v>5</v>
      </c>
      <c r="P631" s="12" t="n">
        <v>13</v>
      </c>
      <c r="Q631" s="12" t="n">
        <v>48</v>
      </c>
      <c r="R631" s="12" t="n">
        <v>38</v>
      </c>
      <c r="S631" s="12" t="n">
        <v>59</v>
      </c>
      <c r="T631" s="12" t="n">
        <v>4</v>
      </c>
      <c r="U631" s="12" t="n">
        <v>2</v>
      </c>
      <c r="V631" s="12" t="n">
        <v>8</v>
      </c>
      <c r="W631" s="12" t="n">
        <v>1</v>
      </c>
      <c r="X631" s="13" t="n">
        <f aca="false">M631+N631+2*O631+3*P631</f>
        <v>148</v>
      </c>
      <c r="Y631" s="14" t="n">
        <f aca="false">IF(K631=0,0,M631/K631)</f>
        <v>0.263537906137184</v>
      </c>
      <c r="Z631" s="14" t="n">
        <f aca="false">IF(K631+R631+T631+U631=0,0,(M631+R631+T631)/(K631+R631+T631+U631))</f>
        <v>0.358255451713396</v>
      </c>
      <c r="AA631" s="14" t="n">
        <f aca="false">IF(K631=0,0,X631/K631)</f>
        <v>0.534296028880867</v>
      </c>
      <c r="AB631" s="14" t="n">
        <f aca="false">Z631+AA631</f>
        <v>0.892551480594262</v>
      </c>
      <c r="AC631" s="14" t="n">
        <f aca="false">AA631-Y631</f>
        <v>0.270758122743682</v>
      </c>
      <c r="AD631" s="14" t="n">
        <f aca="false">IF(K631-S631-P631+U631=0,0,(M631-P631)/(K631-S631-P631+U631))</f>
        <v>0.289855072463768</v>
      </c>
      <c r="AE631" s="15" t="n">
        <f aca="false">IF(J631=0,0,R631/J631)</f>
        <v>0.118380062305296</v>
      </c>
      <c r="AF631" s="15" t="n">
        <f aca="false">IF(J631=0,0,S631/J631)</f>
        <v>0.18380062305296</v>
      </c>
      <c r="AG631" s="11" t="n">
        <f aca="false">IF(J631&gt;=INDEX(球季參數!$E$2:$E$4,MATCH($A631,球季參數!$A$2:$A$4,0)),1,0)</f>
        <v>0</v>
      </c>
    </row>
    <row r="632" customFormat="false" ht="15" hidden="false" customHeight="false" outlineLevel="0" collapsed="false">
      <c r="A632" s="5" t="n">
        <v>2026</v>
      </c>
      <c r="B632" s="7" t="s">
        <v>685</v>
      </c>
      <c r="C632" s="10" t="str">
        <f aca="false">INDEX(球員主檔!$B$2:$B$749,MATCH($B632,球員主檔!$A$2:$A$749,0))</f>
        <v>Fletcher Dubois</v>
      </c>
      <c r="D632" s="7" t="s">
        <v>354</v>
      </c>
      <c r="E632" s="10" t="str">
        <f aca="false">INDEX(球隊主檔!$C$2:$C$31,MATCH($D632,球隊主檔!$A$2:$A$31,0))</f>
        <v>坦帕灣光芒</v>
      </c>
      <c r="F632" s="10" t="str">
        <f aca="false">INDEX(球隊主檔!$D$2:$D$31,MATCH($D632,球隊主檔!$A$2:$A$31,0))</f>
        <v>美聯</v>
      </c>
      <c r="G632" s="7" t="s">
        <v>63</v>
      </c>
      <c r="H632" s="11" t="n">
        <f aca="false">INT((DATE($A632,7,1)-INDEX(球員主檔!$G$2:$G$749,MATCH($B632,球員主檔!$A$2:$A$749,0)))/365.25)</f>
        <v>36</v>
      </c>
      <c r="I632" s="12" t="n">
        <v>162</v>
      </c>
      <c r="J632" s="12" t="n">
        <v>657</v>
      </c>
      <c r="K632" s="12" t="n">
        <v>560</v>
      </c>
      <c r="L632" s="12" t="n">
        <v>61</v>
      </c>
      <c r="M632" s="12" t="n">
        <v>136</v>
      </c>
      <c r="N632" s="12" t="n">
        <v>34</v>
      </c>
      <c r="O632" s="12" t="n">
        <v>6</v>
      </c>
      <c r="P632" s="12" t="n">
        <v>10</v>
      </c>
      <c r="Q632" s="12" t="n">
        <v>56</v>
      </c>
      <c r="R632" s="12" t="n">
        <v>83</v>
      </c>
      <c r="S632" s="12" t="n">
        <v>228</v>
      </c>
      <c r="T632" s="12" t="n">
        <v>9</v>
      </c>
      <c r="U632" s="12" t="n">
        <v>5</v>
      </c>
      <c r="V632" s="12" t="n">
        <v>9</v>
      </c>
      <c r="W632" s="12" t="n">
        <v>1</v>
      </c>
      <c r="X632" s="13" t="n">
        <f aca="false">M632+N632+2*O632+3*P632</f>
        <v>212</v>
      </c>
      <c r="Y632" s="14" t="n">
        <f aca="false">IF(K632=0,0,M632/K632)</f>
        <v>0.242857142857143</v>
      </c>
      <c r="Z632" s="14" t="n">
        <f aca="false">IF(K632+R632+T632+U632=0,0,(M632+R632+T632)/(K632+R632+T632+U632))</f>
        <v>0.34703196347032</v>
      </c>
      <c r="AA632" s="14" t="n">
        <f aca="false">IF(K632=0,0,X632/K632)</f>
        <v>0.378571428571429</v>
      </c>
      <c r="AB632" s="14" t="n">
        <f aca="false">Z632+AA632</f>
        <v>0.725603392041748</v>
      </c>
      <c r="AC632" s="14" t="n">
        <f aca="false">AA632-Y632</f>
        <v>0.135714285714286</v>
      </c>
      <c r="AD632" s="14" t="n">
        <f aca="false">IF(K632-S632-P632+U632=0,0,(M632-P632)/(K632-S632-P632+U632))</f>
        <v>0.385321100917431</v>
      </c>
      <c r="AE632" s="15" t="n">
        <f aca="false">IF(J632=0,0,R632/J632)</f>
        <v>0.126331811263318</v>
      </c>
      <c r="AF632" s="15" t="n">
        <f aca="false">IF(J632=0,0,S632/J632)</f>
        <v>0.34703196347032</v>
      </c>
      <c r="AG632" s="11" t="n">
        <f aca="false">IF(J632&gt;=INDEX(球季參數!$E$2:$E$4,MATCH($A632,球季參數!$A$2:$A$4,0)),1,0)</f>
        <v>1</v>
      </c>
    </row>
    <row r="633" customFormat="false" ht="15" hidden="false" customHeight="false" outlineLevel="0" collapsed="false">
      <c r="A633" s="5" t="n">
        <v>2026</v>
      </c>
      <c r="B633" s="7" t="s">
        <v>603</v>
      </c>
      <c r="C633" s="10" t="str">
        <f aca="false">INDEX(球員主檔!$B$2:$B$749,MATCH($B633,球員主檔!$A$2:$A$749,0))</f>
        <v>Vicente Yamazaki</v>
      </c>
      <c r="D633" s="7" t="s">
        <v>354</v>
      </c>
      <c r="E633" s="10" t="str">
        <f aca="false">INDEX(球隊主檔!$C$2:$C$31,MATCH($D633,球隊主檔!$A$2:$A$31,0))</f>
        <v>坦帕灣光芒</v>
      </c>
      <c r="F633" s="10" t="str">
        <f aca="false">INDEX(球隊主檔!$D$2:$D$31,MATCH($D633,球隊主檔!$A$2:$A$31,0))</f>
        <v>美聯</v>
      </c>
      <c r="G633" s="7" t="s">
        <v>158</v>
      </c>
      <c r="H633" s="11" t="n">
        <f aca="false">INT((DATE($A633,7,1)-INDEX(球員主檔!$G$2:$G$749,MATCH($B633,球員主檔!$A$2:$A$749,0)))/365.25)</f>
        <v>37</v>
      </c>
      <c r="I633" s="12" t="n">
        <v>128</v>
      </c>
      <c r="J633" s="12" t="n">
        <v>565</v>
      </c>
      <c r="K633" s="12" t="n">
        <v>537</v>
      </c>
      <c r="L633" s="12" t="n">
        <v>57</v>
      </c>
      <c r="M633" s="12" t="n">
        <v>123</v>
      </c>
      <c r="N633" s="12" t="n">
        <v>23</v>
      </c>
      <c r="O633" s="12" t="n">
        <v>5</v>
      </c>
      <c r="P633" s="12" t="n">
        <v>21</v>
      </c>
      <c r="Q633" s="12" t="n">
        <v>75</v>
      </c>
      <c r="R633" s="12" t="n">
        <v>23</v>
      </c>
      <c r="S633" s="12" t="n">
        <v>177</v>
      </c>
      <c r="T633" s="12" t="n">
        <v>4</v>
      </c>
      <c r="U633" s="12" t="n">
        <v>1</v>
      </c>
      <c r="V633" s="12" t="n">
        <v>34</v>
      </c>
      <c r="W633" s="12" t="n">
        <v>5</v>
      </c>
      <c r="X633" s="13" t="n">
        <f aca="false">M633+N633+2*O633+3*P633</f>
        <v>219</v>
      </c>
      <c r="Y633" s="14" t="n">
        <f aca="false">IF(K633=0,0,M633/K633)</f>
        <v>0.229050279329609</v>
      </c>
      <c r="Z633" s="14" t="n">
        <f aca="false">IF(K633+R633+T633+U633=0,0,(M633+R633+T633)/(K633+R633+T633+U633))</f>
        <v>0.265486725663717</v>
      </c>
      <c r="AA633" s="14" t="n">
        <f aca="false">IF(K633=0,0,X633/K633)</f>
        <v>0.407821229050279</v>
      </c>
      <c r="AB633" s="14" t="n">
        <f aca="false">Z633+AA633</f>
        <v>0.673307954713996</v>
      </c>
      <c r="AC633" s="14" t="n">
        <f aca="false">AA633-Y633</f>
        <v>0.17877094972067</v>
      </c>
      <c r="AD633" s="14" t="n">
        <f aca="false">IF(K633-S633-P633+U633=0,0,(M633-P633)/(K633-S633-P633+U633))</f>
        <v>0.3</v>
      </c>
      <c r="AE633" s="15" t="n">
        <f aca="false">IF(J633=0,0,R633/J633)</f>
        <v>0.0407079646017699</v>
      </c>
      <c r="AF633" s="15" t="n">
        <f aca="false">IF(J633=0,0,S633/J633)</f>
        <v>0.313274336283186</v>
      </c>
      <c r="AG633" s="11" t="n">
        <f aca="false">IF(J633&gt;=INDEX(球季參數!$E$2:$E$4,MATCH($A633,球季參數!$A$2:$A$4,0)),1,0)</f>
        <v>1</v>
      </c>
    </row>
    <row r="634" customFormat="false" ht="15" hidden="false" customHeight="false" outlineLevel="0" collapsed="false">
      <c r="A634" s="5" t="n">
        <v>2026</v>
      </c>
      <c r="B634" s="7" t="s">
        <v>1827</v>
      </c>
      <c r="C634" s="10" t="str">
        <f aca="false">INDEX(球員主檔!$B$2:$B$749,MATCH($B634,球員主檔!$A$2:$A$749,0))</f>
        <v>Landon Jovanović</v>
      </c>
      <c r="D634" s="7" t="s">
        <v>354</v>
      </c>
      <c r="E634" s="10" t="str">
        <f aca="false">INDEX(球隊主檔!$C$2:$C$31,MATCH($D634,球隊主檔!$A$2:$A$31,0))</f>
        <v>坦帕灣光芒</v>
      </c>
      <c r="F634" s="10" t="str">
        <f aca="false">INDEX(球隊主檔!$D$2:$D$31,MATCH($D634,球隊主檔!$A$2:$A$31,0))</f>
        <v>美聯</v>
      </c>
      <c r="G634" s="7" t="s">
        <v>483</v>
      </c>
      <c r="H634" s="11" t="n">
        <f aca="false">INT((DATE($A634,7,1)-INDEX(球員主檔!$G$2:$G$749,MATCH($B634,球員主檔!$A$2:$A$749,0)))/365.25)</f>
        <v>24</v>
      </c>
      <c r="I634" s="12" t="n">
        <v>162</v>
      </c>
      <c r="J634" s="12" t="n">
        <v>698</v>
      </c>
      <c r="K634" s="12" t="n">
        <v>621</v>
      </c>
      <c r="L634" s="12" t="n">
        <v>75</v>
      </c>
      <c r="M634" s="12" t="n">
        <v>177</v>
      </c>
      <c r="N634" s="12" t="n">
        <v>42</v>
      </c>
      <c r="O634" s="12" t="n">
        <v>4</v>
      </c>
      <c r="P634" s="12" t="n">
        <v>17</v>
      </c>
      <c r="Q634" s="12" t="n">
        <v>68</v>
      </c>
      <c r="R634" s="12" t="n">
        <v>70</v>
      </c>
      <c r="S634" s="12" t="n">
        <v>108</v>
      </c>
      <c r="T634" s="12" t="n">
        <v>4</v>
      </c>
      <c r="U634" s="12" t="n">
        <v>3</v>
      </c>
      <c r="V634" s="12" t="n">
        <v>23</v>
      </c>
      <c r="W634" s="12" t="n">
        <v>6</v>
      </c>
      <c r="X634" s="13" t="n">
        <f aca="false">M634+N634+2*O634+3*P634</f>
        <v>278</v>
      </c>
      <c r="Y634" s="14" t="n">
        <f aca="false">IF(K634=0,0,M634/K634)</f>
        <v>0.285024154589372</v>
      </c>
      <c r="Z634" s="14" t="n">
        <f aca="false">IF(K634+R634+T634+U634=0,0,(M634+R634+T634)/(K634+R634+T634+U634))</f>
        <v>0.359598853868195</v>
      </c>
      <c r="AA634" s="14" t="n">
        <f aca="false">IF(K634=0,0,X634/K634)</f>
        <v>0.447665056360709</v>
      </c>
      <c r="AB634" s="14" t="n">
        <f aca="false">Z634+AA634</f>
        <v>0.807263910228903</v>
      </c>
      <c r="AC634" s="14" t="n">
        <f aca="false">AA634-Y634</f>
        <v>0.162640901771337</v>
      </c>
      <c r="AD634" s="14" t="n">
        <f aca="false">IF(K634-S634-P634+U634=0,0,(M634-P634)/(K634-S634-P634+U634))</f>
        <v>0.32064128256513</v>
      </c>
      <c r="AE634" s="15" t="n">
        <f aca="false">IF(J634=0,0,R634/J634)</f>
        <v>0.100286532951289</v>
      </c>
      <c r="AF634" s="15" t="n">
        <f aca="false">IF(J634=0,0,S634/J634)</f>
        <v>0.154727793696275</v>
      </c>
      <c r="AG634" s="11" t="n">
        <f aca="false">IF(J634&gt;=INDEX(球季參數!$E$2:$E$4,MATCH($A634,球季參數!$A$2:$A$4,0)),1,0)</f>
        <v>1</v>
      </c>
    </row>
    <row r="635" customFormat="false" ht="15" hidden="false" customHeight="false" outlineLevel="0" collapsed="false">
      <c r="A635" s="5" t="n">
        <v>2026</v>
      </c>
      <c r="B635" s="7" t="s">
        <v>717</v>
      </c>
      <c r="C635" s="10" t="str">
        <f aca="false">INDEX(球員主檔!$B$2:$B$749,MATCH($B635,球員主檔!$A$2:$A$749,0))</f>
        <v>Tobias Esquivel</v>
      </c>
      <c r="D635" s="7" t="s">
        <v>354</v>
      </c>
      <c r="E635" s="10" t="str">
        <f aca="false">INDEX(球隊主檔!$C$2:$C$31,MATCH($D635,球隊主檔!$A$2:$A$31,0))</f>
        <v>坦帕灣光芒</v>
      </c>
      <c r="F635" s="10" t="str">
        <f aca="false">INDEX(球隊主檔!$D$2:$D$31,MATCH($D635,球隊主檔!$A$2:$A$31,0))</f>
        <v>美聯</v>
      </c>
      <c r="G635" s="7" t="s">
        <v>470</v>
      </c>
      <c r="H635" s="11" t="n">
        <f aca="false">INT((DATE($A635,7,1)-INDEX(球員主檔!$G$2:$G$749,MATCH($B635,球員主檔!$A$2:$A$749,0)))/365.25)</f>
        <v>26</v>
      </c>
      <c r="I635" s="12" t="n">
        <v>150</v>
      </c>
      <c r="J635" s="12" t="n">
        <v>613</v>
      </c>
      <c r="K635" s="12" t="n">
        <v>550</v>
      </c>
      <c r="L635" s="12" t="n">
        <v>72</v>
      </c>
      <c r="M635" s="12" t="n">
        <v>145</v>
      </c>
      <c r="N635" s="12" t="n">
        <v>21</v>
      </c>
      <c r="O635" s="12" t="n">
        <v>9</v>
      </c>
      <c r="P635" s="12" t="n">
        <v>22</v>
      </c>
      <c r="Q635" s="12" t="n">
        <v>70</v>
      </c>
      <c r="R635" s="12" t="n">
        <v>49</v>
      </c>
      <c r="S635" s="12" t="n">
        <v>147</v>
      </c>
      <c r="T635" s="12" t="n">
        <v>10</v>
      </c>
      <c r="U635" s="12" t="n">
        <v>4</v>
      </c>
      <c r="V635" s="12" t="n">
        <v>5</v>
      </c>
      <c r="W635" s="12" t="n">
        <v>2</v>
      </c>
      <c r="X635" s="13" t="n">
        <f aca="false">M635+N635+2*O635+3*P635</f>
        <v>250</v>
      </c>
      <c r="Y635" s="14" t="n">
        <f aca="false">IF(K635=0,0,M635/K635)</f>
        <v>0.263636363636364</v>
      </c>
      <c r="Z635" s="14" t="n">
        <f aca="false">IF(K635+R635+T635+U635=0,0,(M635+R635+T635)/(K635+R635+T635+U635))</f>
        <v>0.33278955954323</v>
      </c>
      <c r="AA635" s="14" t="n">
        <f aca="false">IF(K635=0,0,X635/K635)</f>
        <v>0.454545454545455</v>
      </c>
      <c r="AB635" s="14" t="n">
        <f aca="false">Z635+AA635</f>
        <v>0.787335014088685</v>
      </c>
      <c r="AC635" s="14" t="n">
        <f aca="false">AA635-Y635</f>
        <v>0.190909090909091</v>
      </c>
      <c r="AD635" s="14" t="n">
        <f aca="false">IF(K635-S635-P635+U635=0,0,(M635-P635)/(K635-S635-P635+U635))</f>
        <v>0.31948051948052</v>
      </c>
      <c r="AE635" s="15" t="n">
        <f aca="false">IF(J635=0,0,R635/J635)</f>
        <v>0.0799347471451876</v>
      </c>
      <c r="AF635" s="15" t="n">
        <f aca="false">IF(J635=0,0,S635/J635)</f>
        <v>0.239804241435563</v>
      </c>
      <c r="AG635" s="11" t="n">
        <f aca="false">IF(J635&gt;=INDEX(球季參數!$E$2:$E$4,MATCH($A635,球季參數!$A$2:$A$4,0)),1,0)</f>
        <v>1</v>
      </c>
    </row>
    <row r="636" customFormat="false" ht="15" hidden="false" customHeight="false" outlineLevel="0" collapsed="false">
      <c r="A636" s="5" t="n">
        <v>2026</v>
      </c>
      <c r="B636" s="7" t="s">
        <v>1829</v>
      </c>
      <c r="C636" s="10" t="str">
        <f aca="false">INDEX(球員主檔!$B$2:$B$749,MATCH($B636,球員主檔!$A$2:$A$749,0))</f>
        <v>Tristan Zielinski</v>
      </c>
      <c r="D636" s="7" t="s">
        <v>354</v>
      </c>
      <c r="E636" s="10" t="str">
        <f aca="false">INDEX(球隊主檔!$C$2:$C$31,MATCH($D636,球隊主檔!$A$2:$A$31,0))</f>
        <v>坦帕灣光芒</v>
      </c>
      <c r="F636" s="10" t="str">
        <f aca="false">INDEX(球隊主檔!$D$2:$D$31,MATCH($D636,球隊主檔!$A$2:$A$31,0))</f>
        <v>美聯</v>
      </c>
      <c r="G636" s="7" t="s">
        <v>522</v>
      </c>
      <c r="H636" s="11" t="n">
        <f aca="false">INT((DATE($A636,7,1)-INDEX(球員主檔!$G$2:$G$749,MATCH($B636,球員主檔!$A$2:$A$749,0)))/365.25)</f>
        <v>21</v>
      </c>
      <c r="I636" s="12" t="n">
        <v>150</v>
      </c>
      <c r="J636" s="12" t="n">
        <v>630</v>
      </c>
      <c r="K636" s="12" t="n">
        <v>572</v>
      </c>
      <c r="L636" s="12" t="n">
        <v>61</v>
      </c>
      <c r="M636" s="12" t="n">
        <v>142</v>
      </c>
      <c r="N636" s="12" t="n">
        <v>46</v>
      </c>
      <c r="O636" s="12" t="n">
        <v>4</v>
      </c>
      <c r="P636" s="12" t="n">
        <v>12</v>
      </c>
      <c r="Q636" s="12" t="n">
        <v>60</v>
      </c>
      <c r="R636" s="12" t="n">
        <v>47</v>
      </c>
      <c r="S636" s="12" t="n">
        <v>162</v>
      </c>
      <c r="T636" s="12" t="n">
        <v>5</v>
      </c>
      <c r="U636" s="12" t="n">
        <v>6</v>
      </c>
      <c r="V636" s="12" t="n">
        <v>20</v>
      </c>
      <c r="W636" s="12" t="n">
        <v>4</v>
      </c>
      <c r="X636" s="13" t="n">
        <f aca="false">M636+N636+2*O636+3*P636</f>
        <v>232</v>
      </c>
      <c r="Y636" s="14" t="n">
        <f aca="false">IF(K636=0,0,M636/K636)</f>
        <v>0.248251748251748</v>
      </c>
      <c r="Z636" s="14" t="n">
        <f aca="false">IF(K636+R636+T636+U636=0,0,(M636+R636+T636)/(K636+R636+T636+U636))</f>
        <v>0.307936507936508</v>
      </c>
      <c r="AA636" s="14" t="n">
        <f aca="false">IF(K636=0,0,X636/K636)</f>
        <v>0.405594405594406</v>
      </c>
      <c r="AB636" s="14" t="n">
        <f aca="false">Z636+AA636</f>
        <v>0.713530913530914</v>
      </c>
      <c r="AC636" s="14" t="n">
        <f aca="false">AA636-Y636</f>
        <v>0.157342657342657</v>
      </c>
      <c r="AD636" s="14" t="n">
        <f aca="false">IF(K636-S636-P636+U636=0,0,(M636-P636)/(K636-S636-P636+U636))</f>
        <v>0.321782178217822</v>
      </c>
      <c r="AE636" s="15" t="n">
        <f aca="false">IF(J636=0,0,R636/J636)</f>
        <v>0.0746031746031746</v>
      </c>
      <c r="AF636" s="15" t="n">
        <f aca="false">IF(J636=0,0,S636/J636)</f>
        <v>0.257142857142857</v>
      </c>
      <c r="AG636" s="11" t="n">
        <f aca="false">IF(J636&gt;=INDEX(球季參數!$E$2:$E$4,MATCH($A636,球季參數!$A$2:$A$4,0)),1,0)</f>
        <v>1</v>
      </c>
    </row>
    <row r="637" customFormat="false" ht="15" hidden="false" customHeight="false" outlineLevel="0" collapsed="false">
      <c r="A637" s="5" t="n">
        <v>2026</v>
      </c>
      <c r="B637" s="7" t="s">
        <v>607</v>
      </c>
      <c r="C637" s="10" t="str">
        <f aca="false">INDEX(球員主檔!$B$2:$B$749,MATCH($B637,球員主檔!$A$2:$A$749,0))</f>
        <v>Cassius Ulloa</v>
      </c>
      <c r="D637" s="7" t="s">
        <v>354</v>
      </c>
      <c r="E637" s="10" t="str">
        <f aca="false">INDEX(球隊主檔!$C$2:$C$31,MATCH($D637,球隊主檔!$A$2:$A$31,0))</f>
        <v>坦帕灣光芒</v>
      </c>
      <c r="F637" s="10" t="str">
        <f aca="false">INDEX(球隊主檔!$D$2:$D$31,MATCH($D637,球隊主檔!$A$2:$A$31,0))</f>
        <v>美聯</v>
      </c>
      <c r="G637" s="7" t="s">
        <v>162</v>
      </c>
      <c r="H637" s="11" t="n">
        <f aca="false">INT((DATE($A637,7,1)-INDEX(球員主檔!$G$2:$G$749,MATCH($B637,球員主檔!$A$2:$A$749,0)))/365.25)</f>
        <v>26</v>
      </c>
      <c r="I637" s="12" t="n">
        <v>83</v>
      </c>
      <c r="J637" s="12" t="n">
        <v>366</v>
      </c>
      <c r="K637" s="12" t="n">
        <v>338</v>
      </c>
      <c r="L637" s="12" t="n">
        <v>33</v>
      </c>
      <c r="M637" s="12" t="n">
        <v>87</v>
      </c>
      <c r="N637" s="12" t="n">
        <v>29</v>
      </c>
      <c r="O637" s="12" t="n">
        <v>3</v>
      </c>
      <c r="P637" s="12" t="n">
        <v>7</v>
      </c>
      <c r="Q637" s="12" t="n">
        <v>32</v>
      </c>
      <c r="R637" s="12" t="n">
        <v>19</v>
      </c>
      <c r="S637" s="12" t="n">
        <v>73</v>
      </c>
      <c r="T637" s="12" t="n">
        <v>6</v>
      </c>
      <c r="U637" s="12" t="n">
        <v>3</v>
      </c>
      <c r="V637" s="12" t="n">
        <v>6</v>
      </c>
      <c r="W637" s="12" t="n">
        <v>2</v>
      </c>
      <c r="X637" s="13" t="n">
        <f aca="false">M637+N637+2*O637+3*P637</f>
        <v>143</v>
      </c>
      <c r="Y637" s="14" t="n">
        <f aca="false">IF(K637=0,0,M637/K637)</f>
        <v>0.257396449704142</v>
      </c>
      <c r="Z637" s="14" t="n">
        <f aca="false">IF(K637+R637+T637+U637=0,0,(M637+R637+T637)/(K637+R637+T637+U637))</f>
        <v>0.306010928961749</v>
      </c>
      <c r="AA637" s="14" t="n">
        <f aca="false">IF(K637=0,0,X637/K637)</f>
        <v>0.423076923076923</v>
      </c>
      <c r="AB637" s="14" t="n">
        <f aca="false">Z637+AA637</f>
        <v>0.729087852038672</v>
      </c>
      <c r="AC637" s="14" t="n">
        <f aca="false">AA637-Y637</f>
        <v>0.165680473372781</v>
      </c>
      <c r="AD637" s="14" t="n">
        <f aca="false">IF(K637-S637-P637+U637=0,0,(M637-P637)/(K637-S637-P637+U637))</f>
        <v>0.306513409961686</v>
      </c>
      <c r="AE637" s="15" t="n">
        <f aca="false">IF(J637=0,0,R637/J637)</f>
        <v>0.0519125683060109</v>
      </c>
      <c r="AF637" s="15" t="n">
        <f aca="false">IF(J637=0,0,S637/J637)</f>
        <v>0.199453551912568</v>
      </c>
      <c r="AG637" s="11" t="n">
        <f aca="false">IF(J637&gt;=INDEX(球季參數!$E$2:$E$4,MATCH($A637,球季參數!$A$2:$A$4,0)),1,0)</f>
        <v>0</v>
      </c>
    </row>
    <row r="638" customFormat="false" ht="15" hidden="false" customHeight="false" outlineLevel="0" collapsed="false">
      <c r="A638" s="5" t="n">
        <v>2026</v>
      </c>
      <c r="B638" s="7" t="s">
        <v>1361</v>
      </c>
      <c r="C638" s="10" t="str">
        <f aca="false">INDEX(球員主檔!$B$2:$B$749,MATCH($B638,球員主檔!$A$2:$A$749,0))</f>
        <v>Lorenzo Brightwell</v>
      </c>
      <c r="D638" s="7" t="s">
        <v>354</v>
      </c>
      <c r="E638" s="10" t="str">
        <f aca="false">INDEX(球隊主檔!$C$2:$C$31,MATCH($D638,球隊主檔!$A$2:$A$31,0))</f>
        <v>坦帕灣光芒</v>
      </c>
      <c r="F638" s="10" t="str">
        <f aca="false">INDEX(球隊主檔!$D$2:$D$31,MATCH($D638,球隊主檔!$A$2:$A$31,0))</f>
        <v>美聯</v>
      </c>
      <c r="G638" s="7" t="s">
        <v>158</v>
      </c>
      <c r="H638" s="11" t="n">
        <f aca="false">INT((DATE($A638,7,1)-INDEX(球員主檔!$G$2:$G$749,MATCH($B638,球員主檔!$A$2:$A$749,0)))/365.25)</f>
        <v>34</v>
      </c>
      <c r="I638" s="12" t="n">
        <v>123</v>
      </c>
      <c r="J638" s="12" t="n">
        <v>521</v>
      </c>
      <c r="K638" s="12" t="n">
        <v>427</v>
      </c>
      <c r="L638" s="12" t="n">
        <v>71</v>
      </c>
      <c r="M638" s="12" t="n">
        <v>112</v>
      </c>
      <c r="N638" s="12" t="n">
        <v>27</v>
      </c>
      <c r="O638" s="12" t="n">
        <v>1</v>
      </c>
      <c r="P638" s="12" t="n">
        <v>23</v>
      </c>
      <c r="Q638" s="12" t="n">
        <v>68</v>
      </c>
      <c r="R638" s="12" t="n">
        <v>83</v>
      </c>
      <c r="S638" s="12" t="n">
        <v>84</v>
      </c>
      <c r="T638" s="12" t="n">
        <v>9</v>
      </c>
      <c r="U638" s="12" t="n">
        <v>2</v>
      </c>
      <c r="V638" s="12" t="n">
        <v>7</v>
      </c>
      <c r="W638" s="12" t="n">
        <v>2</v>
      </c>
      <c r="X638" s="13" t="n">
        <f aca="false">M638+N638+2*O638+3*P638</f>
        <v>210</v>
      </c>
      <c r="Y638" s="14" t="n">
        <f aca="false">IF(K638=0,0,M638/K638)</f>
        <v>0.262295081967213</v>
      </c>
      <c r="Z638" s="14" t="n">
        <f aca="false">IF(K638+R638+T638+U638=0,0,(M638+R638+T638)/(K638+R638+T638+U638))</f>
        <v>0.391554702495202</v>
      </c>
      <c r="AA638" s="14" t="n">
        <f aca="false">IF(K638=0,0,X638/K638)</f>
        <v>0.491803278688525</v>
      </c>
      <c r="AB638" s="14" t="n">
        <f aca="false">Z638+AA638</f>
        <v>0.883357981183726</v>
      </c>
      <c r="AC638" s="14" t="n">
        <f aca="false">AA638-Y638</f>
        <v>0.229508196721311</v>
      </c>
      <c r="AD638" s="14" t="n">
        <f aca="false">IF(K638-S638-P638+U638=0,0,(M638-P638)/(K638-S638-P638+U638))</f>
        <v>0.27639751552795</v>
      </c>
      <c r="AE638" s="15" t="n">
        <f aca="false">IF(J638=0,0,R638/J638)</f>
        <v>0.159309021113244</v>
      </c>
      <c r="AF638" s="15" t="n">
        <f aca="false">IF(J638=0,0,S638/J638)</f>
        <v>0.161228406909789</v>
      </c>
      <c r="AG638" s="11" t="n">
        <f aca="false">IF(J638&gt;=INDEX(球季參數!$E$2:$E$4,MATCH($A638,球季參數!$A$2:$A$4,0)),1,0)</f>
        <v>1</v>
      </c>
    </row>
    <row r="639" customFormat="false" ht="15" hidden="false" customHeight="false" outlineLevel="0" collapsed="false">
      <c r="A639" s="5" t="n">
        <v>2026</v>
      </c>
      <c r="B639" s="7" t="s">
        <v>1283</v>
      </c>
      <c r="C639" s="10" t="str">
        <f aca="false">INDEX(球員主檔!$B$2:$B$749,MATCH($B639,球員主檔!$A$2:$A$749,0))</f>
        <v>Esteban Paszkiewicz</v>
      </c>
      <c r="D639" s="7" t="s">
        <v>354</v>
      </c>
      <c r="E639" s="10" t="str">
        <f aca="false">INDEX(球隊主檔!$C$2:$C$31,MATCH($D639,球隊主檔!$A$2:$A$31,0))</f>
        <v>坦帕灣光芒</v>
      </c>
      <c r="F639" s="10" t="str">
        <f aca="false">INDEX(球隊主檔!$D$2:$D$31,MATCH($D639,球隊主檔!$A$2:$A$31,0))</f>
        <v>美聯</v>
      </c>
      <c r="G639" s="7" t="s">
        <v>522</v>
      </c>
      <c r="H639" s="11" t="n">
        <f aca="false">INT((DATE($A639,7,1)-INDEX(球員主檔!$G$2:$G$749,MATCH($B639,球員主檔!$A$2:$A$749,0)))/365.25)</f>
        <v>27</v>
      </c>
      <c r="I639" s="12" t="n">
        <v>121</v>
      </c>
      <c r="J639" s="12" t="n">
        <v>545</v>
      </c>
      <c r="K639" s="12" t="n">
        <v>498</v>
      </c>
      <c r="L639" s="12" t="n">
        <v>49</v>
      </c>
      <c r="M639" s="12" t="n">
        <v>109</v>
      </c>
      <c r="N639" s="12" t="n">
        <v>11</v>
      </c>
      <c r="O639" s="12" t="n">
        <v>5</v>
      </c>
      <c r="P639" s="12" t="n">
        <v>8</v>
      </c>
      <c r="Q639" s="12" t="n">
        <v>37</v>
      </c>
      <c r="R639" s="12" t="n">
        <v>40</v>
      </c>
      <c r="S639" s="12" t="n">
        <v>126</v>
      </c>
      <c r="T639" s="12" t="n">
        <v>6</v>
      </c>
      <c r="U639" s="12" t="n">
        <v>1</v>
      </c>
      <c r="V639" s="12" t="n">
        <v>16</v>
      </c>
      <c r="W639" s="12" t="n">
        <v>2</v>
      </c>
      <c r="X639" s="13" t="n">
        <f aca="false">M639+N639+2*O639+3*P639</f>
        <v>154</v>
      </c>
      <c r="Y639" s="14" t="n">
        <f aca="false">IF(K639=0,0,M639/K639)</f>
        <v>0.218875502008032</v>
      </c>
      <c r="Z639" s="14" t="n">
        <f aca="false">IF(K639+R639+T639+U639=0,0,(M639+R639+T639)/(K639+R639+T639+U639))</f>
        <v>0.284403669724771</v>
      </c>
      <c r="AA639" s="14" t="n">
        <f aca="false">IF(K639=0,0,X639/K639)</f>
        <v>0.309236947791165</v>
      </c>
      <c r="AB639" s="14" t="n">
        <f aca="false">Z639+AA639</f>
        <v>0.593640617515935</v>
      </c>
      <c r="AC639" s="14" t="n">
        <f aca="false">AA639-Y639</f>
        <v>0.0903614457831325</v>
      </c>
      <c r="AD639" s="14" t="n">
        <f aca="false">IF(K639-S639-P639+U639=0,0,(M639-P639)/(K639-S639-P639+U639))</f>
        <v>0.276712328767123</v>
      </c>
      <c r="AE639" s="15" t="n">
        <f aca="false">IF(J639=0,0,R639/J639)</f>
        <v>0.073394495412844</v>
      </c>
      <c r="AF639" s="15" t="n">
        <f aca="false">IF(J639=0,0,S639/J639)</f>
        <v>0.231192660550459</v>
      </c>
      <c r="AG639" s="11" t="n">
        <f aca="false">IF(J639&gt;=INDEX(球季參數!$E$2:$E$4,MATCH($A639,球季參數!$A$2:$A$4,0)),1,0)</f>
        <v>1</v>
      </c>
    </row>
    <row r="640" customFormat="false" ht="15" hidden="false" customHeight="false" outlineLevel="0" collapsed="false">
      <c r="A640" s="5" t="n">
        <v>2026</v>
      </c>
      <c r="B640" s="7" t="s">
        <v>1831</v>
      </c>
      <c r="C640" s="10" t="str">
        <f aca="false">INDEX(球員主檔!$B$2:$B$749,MATCH($B640,球員主檔!$A$2:$A$749,0))</f>
        <v>Matthias Paszkiewicz</v>
      </c>
      <c r="D640" s="7" t="s">
        <v>354</v>
      </c>
      <c r="E640" s="10" t="str">
        <f aca="false">INDEX(球隊主檔!$C$2:$C$31,MATCH($D640,球隊主檔!$A$2:$A$31,0))</f>
        <v>坦帕灣光芒</v>
      </c>
      <c r="F640" s="10" t="str">
        <f aca="false">INDEX(球隊主檔!$D$2:$D$31,MATCH($D640,球隊主檔!$A$2:$A$31,0))</f>
        <v>美聯</v>
      </c>
      <c r="G640" s="7" t="s">
        <v>478</v>
      </c>
      <c r="H640" s="11" t="n">
        <f aca="false">INT((DATE($A640,7,1)-INDEX(球員主檔!$G$2:$G$749,MATCH($B640,球員主檔!$A$2:$A$749,0)))/365.25)</f>
        <v>20</v>
      </c>
      <c r="I640" s="12" t="n">
        <v>56</v>
      </c>
      <c r="J640" s="12" t="n">
        <v>230</v>
      </c>
      <c r="K640" s="12" t="n">
        <v>198</v>
      </c>
      <c r="L640" s="12" t="n">
        <v>27</v>
      </c>
      <c r="M640" s="12" t="n">
        <v>53</v>
      </c>
      <c r="N640" s="12" t="n">
        <v>26</v>
      </c>
      <c r="O640" s="12" t="n">
        <v>2</v>
      </c>
      <c r="P640" s="12" t="n">
        <v>3</v>
      </c>
      <c r="Q640" s="12" t="n">
        <v>16</v>
      </c>
      <c r="R640" s="12" t="n">
        <v>26</v>
      </c>
      <c r="S640" s="12" t="n">
        <v>27</v>
      </c>
      <c r="T640" s="12" t="n">
        <v>4</v>
      </c>
      <c r="U640" s="12" t="n">
        <v>2</v>
      </c>
      <c r="V640" s="12" t="n">
        <v>8</v>
      </c>
      <c r="W640" s="12" t="n">
        <v>2</v>
      </c>
      <c r="X640" s="13" t="n">
        <f aca="false">M640+N640+2*O640+3*P640</f>
        <v>92</v>
      </c>
      <c r="Y640" s="14" t="n">
        <f aca="false">IF(K640=0,0,M640/K640)</f>
        <v>0.267676767676768</v>
      </c>
      <c r="Z640" s="14" t="n">
        <f aca="false">IF(K640+R640+T640+U640=0,0,(M640+R640+T640)/(K640+R640+T640+U640))</f>
        <v>0.360869565217391</v>
      </c>
      <c r="AA640" s="14" t="n">
        <f aca="false">IF(K640=0,0,X640/K640)</f>
        <v>0.464646464646465</v>
      </c>
      <c r="AB640" s="14" t="n">
        <f aca="false">Z640+AA640</f>
        <v>0.825516029863856</v>
      </c>
      <c r="AC640" s="14" t="n">
        <f aca="false">AA640-Y640</f>
        <v>0.196969696969697</v>
      </c>
      <c r="AD640" s="14" t="n">
        <f aca="false">IF(K640-S640-P640+U640=0,0,(M640-P640)/(K640-S640-P640+U640))</f>
        <v>0.294117647058824</v>
      </c>
      <c r="AE640" s="15" t="n">
        <f aca="false">IF(J640=0,0,R640/J640)</f>
        <v>0.11304347826087</v>
      </c>
      <c r="AF640" s="15" t="n">
        <f aca="false">IF(J640=0,0,S640/J640)</f>
        <v>0.117391304347826</v>
      </c>
      <c r="AG640" s="11" t="n">
        <f aca="false">IF(J640&gt;=INDEX(球季參數!$E$2:$E$4,MATCH($A640,球季參數!$A$2:$A$4,0)),1,0)</f>
        <v>0</v>
      </c>
    </row>
    <row r="641" customFormat="false" ht="15" hidden="false" customHeight="false" outlineLevel="0" collapsed="false">
      <c r="A641" s="5" t="n">
        <v>2026</v>
      </c>
      <c r="B641" s="7" t="s">
        <v>615</v>
      </c>
      <c r="C641" s="10" t="str">
        <f aca="false">INDEX(球員主檔!$B$2:$B$749,MATCH($B641,球員主檔!$A$2:$A$749,0))</f>
        <v>Esteban Yamazaki</v>
      </c>
      <c r="D641" s="7" t="s">
        <v>354</v>
      </c>
      <c r="E641" s="10" t="str">
        <f aca="false">INDEX(球隊主檔!$C$2:$C$31,MATCH($D641,球隊主檔!$A$2:$A$31,0))</f>
        <v>坦帕灣光芒</v>
      </c>
      <c r="F641" s="10" t="str">
        <f aca="false">INDEX(球隊主檔!$D$2:$D$31,MATCH($D641,球隊主檔!$A$2:$A$31,0))</f>
        <v>美聯</v>
      </c>
      <c r="G641" s="7" t="s">
        <v>486</v>
      </c>
      <c r="H641" s="11" t="n">
        <f aca="false">INT((DATE($A641,7,1)-INDEX(球員主檔!$G$2:$G$749,MATCH($B641,球員主檔!$A$2:$A$749,0)))/365.25)</f>
        <v>31</v>
      </c>
      <c r="I641" s="12" t="n">
        <v>66</v>
      </c>
      <c r="J641" s="12" t="n">
        <v>290</v>
      </c>
      <c r="K641" s="12" t="n">
        <v>257</v>
      </c>
      <c r="L641" s="12" t="n">
        <v>31</v>
      </c>
      <c r="M641" s="12" t="n">
        <v>57</v>
      </c>
      <c r="N641" s="12" t="n">
        <v>17</v>
      </c>
      <c r="O641" s="12" t="n">
        <v>5</v>
      </c>
      <c r="P641" s="12" t="n">
        <v>6</v>
      </c>
      <c r="Q641" s="12" t="n">
        <v>29</v>
      </c>
      <c r="R641" s="12" t="n">
        <v>27</v>
      </c>
      <c r="S641" s="12" t="n">
        <v>59</v>
      </c>
      <c r="T641" s="12" t="n">
        <v>5</v>
      </c>
      <c r="U641" s="12" t="n">
        <v>1</v>
      </c>
      <c r="V641" s="12" t="n">
        <v>11</v>
      </c>
      <c r="W641" s="12" t="n">
        <v>3</v>
      </c>
      <c r="X641" s="13" t="n">
        <f aca="false">M641+N641+2*O641+3*P641</f>
        <v>102</v>
      </c>
      <c r="Y641" s="14" t="n">
        <f aca="false">IF(K641=0,0,M641/K641)</f>
        <v>0.221789883268482</v>
      </c>
      <c r="Z641" s="14" t="n">
        <f aca="false">IF(K641+R641+T641+U641=0,0,(M641+R641+T641)/(K641+R641+T641+U641))</f>
        <v>0.306896551724138</v>
      </c>
      <c r="AA641" s="14" t="n">
        <f aca="false">IF(K641=0,0,X641/K641)</f>
        <v>0.396887159533074</v>
      </c>
      <c r="AB641" s="14" t="n">
        <f aca="false">Z641+AA641</f>
        <v>0.703783711257212</v>
      </c>
      <c r="AC641" s="14" t="n">
        <f aca="false">AA641-Y641</f>
        <v>0.175097276264591</v>
      </c>
      <c r="AD641" s="14" t="n">
        <f aca="false">IF(K641-S641-P641+U641=0,0,(M641-P641)/(K641-S641-P641+U641))</f>
        <v>0.264248704663212</v>
      </c>
      <c r="AE641" s="15" t="n">
        <f aca="false">IF(J641=0,0,R641/J641)</f>
        <v>0.0931034482758621</v>
      </c>
      <c r="AF641" s="15" t="n">
        <f aca="false">IF(J641=0,0,S641/J641)</f>
        <v>0.203448275862069</v>
      </c>
      <c r="AG641" s="11" t="n">
        <f aca="false">IF(J641&gt;=INDEX(球季參數!$E$2:$E$4,MATCH($A641,球季參數!$A$2:$A$4,0)),1,0)</f>
        <v>0</v>
      </c>
    </row>
    <row r="642" customFormat="false" ht="15" hidden="false" customHeight="false" outlineLevel="0" collapsed="false">
      <c r="A642" s="5" t="n">
        <v>2026</v>
      </c>
      <c r="B642" s="7" t="s">
        <v>637</v>
      </c>
      <c r="C642" s="10" t="str">
        <f aca="false">INDEX(球員主檔!$B$2:$B$749,MATCH($B642,球員主檔!$A$2:$A$749,0))</f>
        <v>Cedric Tremblay</v>
      </c>
      <c r="D642" s="7" t="s">
        <v>358</v>
      </c>
      <c r="E642" s="10" t="str">
        <f aca="false">INDEX(球隊主檔!$C$2:$C$31,MATCH($D642,球隊主檔!$A$2:$A$31,0))</f>
        <v>多倫多藍鳥</v>
      </c>
      <c r="F642" s="10" t="str">
        <f aca="false">INDEX(球隊主檔!$D$2:$D$31,MATCH($D642,球隊主檔!$A$2:$A$31,0))</f>
        <v>美聯</v>
      </c>
      <c r="G642" s="7" t="s">
        <v>470</v>
      </c>
      <c r="H642" s="11" t="n">
        <f aca="false">INT((DATE($A642,7,1)-INDEX(球員主檔!$G$2:$G$749,MATCH($B642,球員主檔!$A$2:$A$749,0)))/365.25)</f>
        <v>30</v>
      </c>
      <c r="I642" s="12" t="n">
        <v>129</v>
      </c>
      <c r="J642" s="12" t="n">
        <v>565</v>
      </c>
      <c r="K642" s="12" t="n">
        <v>506</v>
      </c>
      <c r="L642" s="12" t="n">
        <v>61</v>
      </c>
      <c r="M642" s="12" t="n">
        <v>120</v>
      </c>
      <c r="N642" s="12" t="n">
        <v>23</v>
      </c>
      <c r="O642" s="12" t="n">
        <v>4</v>
      </c>
      <c r="P642" s="12" t="n">
        <v>18</v>
      </c>
      <c r="Q642" s="12" t="n">
        <v>61</v>
      </c>
      <c r="R642" s="12" t="n">
        <v>49</v>
      </c>
      <c r="S642" s="12" t="n">
        <v>101</v>
      </c>
      <c r="T642" s="12" t="n">
        <v>7</v>
      </c>
      <c r="U642" s="12" t="n">
        <v>3</v>
      </c>
      <c r="V642" s="12" t="n">
        <v>9</v>
      </c>
      <c r="W642" s="12" t="n">
        <v>2</v>
      </c>
      <c r="X642" s="13" t="n">
        <f aca="false">M642+N642+2*O642+3*P642</f>
        <v>205</v>
      </c>
      <c r="Y642" s="14" t="n">
        <f aca="false">IF(K642=0,0,M642/K642)</f>
        <v>0.237154150197628</v>
      </c>
      <c r="Z642" s="14" t="n">
        <f aca="false">IF(K642+R642+T642+U642=0,0,(M642+R642+T642)/(K642+R642+T642+U642))</f>
        <v>0.311504424778761</v>
      </c>
      <c r="AA642" s="14" t="n">
        <f aca="false">IF(K642=0,0,X642/K642)</f>
        <v>0.405138339920949</v>
      </c>
      <c r="AB642" s="14" t="n">
        <f aca="false">Z642+AA642</f>
        <v>0.71664276469971</v>
      </c>
      <c r="AC642" s="14" t="n">
        <f aca="false">AA642-Y642</f>
        <v>0.16798418972332</v>
      </c>
      <c r="AD642" s="14" t="n">
        <f aca="false">IF(K642-S642-P642+U642=0,0,(M642-P642)/(K642-S642-P642+U642))</f>
        <v>0.261538461538462</v>
      </c>
      <c r="AE642" s="15" t="n">
        <f aca="false">IF(J642=0,0,R642/J642)</f>
        <v>0.0867256637168142</v>
      </c>
      <c r="AF642" s="15" t="n">
        <f aca="false">IF(J642=0,0,S642/J642)</f>
        <v>0.178761061946903</v>
      </c>
      <c r="AG642" s="11" t="n">
        <f aca="false">IF(J642&gt;=INDEX(球季參數!$E$2:$E$4,MATCH($A642,球季參數!$A$2:$A$4,0)),1,0)</f>
        <v>1</v>
      </c>
    </row>
    <row r="643" customFormat="false" ht="15" hidden="false" customHeight="false" outlineLevel="0" collapsed="false">
      <c r="A643" s="5" t="n">
        <v>2026</v>
      </c>
      <c r="B643" s="7" t="s">
        <v>1087</v>
      </c>
      <c r="C643" s="10" t="str">
        <f aca="false">INDEX(球員主檔!$B$2:$B$749,MATCH($B643,球員主檔!$A$2:$A$749,0))</f>
        <v>Hugo Esquivel</v>
      </c>
      <c r="D643" s="7" t="s">
        <v>358</v>
      </c>
      <c r="E643" s="10" t="str">
        <f aca="false">INDEX(球隊主檔!$C$2:$C$31,MATCH($D643,球隊主檔!$A$2:$A$31,0))</f>
        <v>多倫多藍鳥</v>
      </c>
      <c r="F643" s="10" t="str">
        <f aca="false">INDEX(球隊主檔!$D$2:$D$31,MATCH($D643,球隊主檔!$A$2:$A$31,0))</f>
        <v>美聯</v>
      </c>
      <c r="G643" s="7" t="s">
        <v>162</v>
      </c>
      <c r="H643" s="11" t="n">
        <f aca="false">INT((DATE($A643,7,1)-INDEX(球員主檔!$G$2:$G$749,MATCH($B643,球員主檔!$A$2:$A$749,0)))/365.25)</f>
        <v>27</v>
      </c>
      <c r="I643" s="12" t="n">
        <v>93</v>
      </c>
      <c r="J643" s="12" t="n">
        <v>401</v>
      </c>
      <c r="K643" s="12" t="n">
        <v>364</v>
      </c>
      <c r="L643" s="12" t="n">
        <v>38</v>
      </c>
      <c r="M643" s="12" t="n">
        <v>96</v>
      </c>
      <c r="N643" s="12" t="n">
        <v>14</v>
      </c>
      <c r="O643" s="12" t="n">
        <v>3</v>
      </c>
      <c r="P643" s="12" t="n">
        <v>10</v>
      </c>
      <c r="Q643" s="12" t="n">
        <v>41</v>
      </c>
      <c r="R643" s="12" t="n">
        <v>25</v>
      </c>
      <c r="S643" s="12" t="n">
        <v>75</v>
      </c>
      <c r="T643" s="12" t="n">
        <v>7</v>
      </c>
      <c r="U643" s="12" t="n">
        <v>5</v>
      </c>
      <c r="V643" s="12" t="n">
        <v>10</v>
      </c>
      <c r="W643" s="12" t="n">
        <v>1</v>
      </c>
      <c r="X643" s="13" t="n">
        <f aca="false">M643+N643+2*O643+3*P643</f>
        <v>146</v>
      </c>
      <c r="Y643" s="14" t="n">
        <f aca="false">IF(K643=0,0,M643/K643)</f>
        <v>0.263736263736264</v>
      </c>
      <c r="Z643" s="14" t="n">
        <f aca="false">IF(K643+R643+T643+U643=0,0,(M643+R643+T643)/(K643+R643+T643+U643))</f>
        <v>0.319201995012469</v>
      </c>
      <c r="AA643" s="14" t="n">
        <f aca="false">IF(K643=0,0,X643/K643)</f>
        <v>0.401098901098901</v>
      </c>
      <c r="AB643" s="14" t="n">
        <f aca="false">Z643+AA643</f>
        <v>0.72030089611137</v>
      </c>
      <c r="AC643" s="14" t="n">
        <f aca="false">AA643-Y643</f>
        <v>0.137362637362637</v>
      </c>
      <c r="AD643" s="14" t="n">
        <f aca="false">IF(K643-S643-P643+U643=0,0,(M643-P643)/(K643-S643-P643+U643))</f>
        <v>0.302816901408451</v>
      </c>
      <c r="AE643" s="15" t="n">
        <f aca="false">IF(J643=0,0,R643/J643)</f>
        <v>0.0623441396508728</v>
      </c>
      <c r="AF643" s="15" t="n">
        <f aca="false">IF(J643=0,0,S643/J643)</f>
        <v>0.187032418952618</v>
      </c>
      <c r="AG643" s="11" t="n">
        <f aca="false">IF(J643&gt;=INDEX(球季參數!$E$2:$E$4,MATCH($A643,球季參數!$A$2:$A$4,0)),1,0)</f>
        <v>0</v>
      </c>
    </row>
    <row r="644" customFormat="false" ht="15" hidden="false" customHeight="false" outlineLevel="0" collapsed="false">
      <c r="A644" s="5" t="n">
        <v>2026</v>
      </c>
      <c r="B644" s="7" t="s">
        <v>1835</v>
      </c>
      <c r="C644" s="10" t="str">
        <f aca="false">INDEX(球員主檔!$B$2:$B$749,MATCH($B644,球員主檔!$A$2:$A$749,0))</f>
        <v>Percival Sorrentino</v>
      </c>
      <c r="D644" s="7" t="s">
        <v>358</v>
      </c>
      <c r="E644" s="10" t="str">
        <f aca="false">INDEX(球隊主檔!$C$2:$C$31,MATCH($D644,球隊主檔!$A$2:$A$31,0))</f>
        <v>多倫多藍鳥</v>
      </c>
      <c r="F644" s="10" t="str">
        <f aca="false">INDEX(球隊主檔!$D$2:$D$31,MATCH($D644,球隊主檔!$A$2:$A$31,0))</f>
        <v>美聯</v>
      </c>
      <c r="G644" s="7" t="s">
        <v>162</v>
      </c>
      <c r="H644" s="11" t="n">
        <f aca="false">INT((DATE($A644,7,1)-INDEX(球員主檔!$G$2:$G$749,MATCH($B644,球員主檔!$A$2:$A$749,0)))/365.25)</f>
        <v>21</v>
      </c>
      <c r="I644" s="12" t="n">
        <v>149</v>
      </c>
      <c r="J644" s="12" t="n">
        <v>612</v>
      </c>
      <c r="K644" s="12" t="n">
        <v>544</v>
      </c>
      <c r="L644" s="12" t="n">
        <v>62</v>
      </c>
      <c r="M644" s="12" t="n">
        <v>142</v>
      </c>
      <c r="N644" s="12" t="n">
        <v>40</v>
      </c>
      <c r="O644" s="12" t="n">
        <v>9</v>
      </c>
      <c r="P644" s="12" t="n">
        <v>12</v>
      </c>
      <c r="Q644" s="12" t="n">
        <v>54</v>
      </c>
      <c r="R644" s="12" t="n">
        <v>57</v>
      </c>
      <c r="S644" s="12" t="n">
        <v>110</v>
      </c>
      <c r="T644" s="12" t="n">
        <v>8</v>
      </c>
      <c r="U644" s="12" t="n">
        <v>3</v>
      </c>
      <c r="V644" s="12" t="n">
        <v>18</v>
      </c>
      <c r="W644" s="12" t="n">
        <v>2</v>
      </c>
      <c r="X644" s="13" t="n">
        <f aca="false">M644+N644+2*O644+3*P644</f>
        <v>236</v>
      </c>
      <c r="Y644" s="14" t="n">
        <f aca="false">IF(K644=0,0,M644/K644)</f>
        <v>0.261029411764706</v>
      </c>
      <c r="Z644" s="14" t="n">
        <f aca="false">IF(K644+R644+T644+U644=0,0,(M644+R644+T644)/(K644+R644+T644+U644))</f>
        <v>0.338235294117647</v>
      </c>
      <c r="AA644" s="14" t="n">
        <f aca="false">IF(K644=0,0,X644/K644)</f>
        <v>0.433823529411765</v>
      </c>
      <c r="AB644" s="14" t="n">
        <f aca="false">Z644+AA644</f>
        <v>0.772058823529412</v>
      </c>
      <c r="AC644" s="14" t="n">
        <f aca="false">AA644-Y644</f>
        <v>0.172794117647059</v>
      </c>
      <c r="AD644" s="14" t="n">
        <f aca="false">IF(K644-S644-P644+U644=0,0,(M644-P644)/(K644-S644-P644+U644))</f>
        <v>0.305882352941177</v>
      </c>
      <c r="AE644" s="15" t="n">
        <f aca="false">IF(J644=0,0,R644/J644)</f>
        <v>0.0931372549019608</v>
      </c>
      <c r="AF644" s="15" t="n">
        <f aca="false">IF(J644=0,0,S644/J644)</f>
        <v>0.179738562091503</v>
      </c>
      <c r="AG644" s="11" t="n">
        <f aca="false">IF(J644&gt;=INDEX(球季參數!$E$2:$E$4,MATCH($A644,球季參數!$A$2:$A$4,0)),1,0)</f>
        <v>1</v>
      </c>
    </row>
    <row r="645" customFormat="false" ht="15" hidden="false" customHeight="false" outlineLevel="0" collapsed="false">
      <c r="A645" s="5" t="n">
        <v>2026</v>
      </c>
      <c r="B645" s="7" t="s">
        <v>1691</v>
      </c>
      <c r="C645" s="10" t="str">
        <f aca="false">INDEX(球員主檔!$B$2:$B$749,MATCH($B645,球員主檔!$A$2:$A$749,0))</f>
        <v>Tristan Kiriakis</v>
      </c>
      <c r="D645" s="7" t="s">
        <v>358</v>
      </c>
      <c r="E645" s="10" t="str">
        <f aca="false">INDEX(球隊主檔!$C$2:$C$31,MATCH($D645,球隊主檔!$A$2:$A$31,0))</f>
        <v>多倫多藍鳥</v>
      </c>
      <c r="F645" s="10" t="str">
        <f aca="false">INDEX(球隊主檔!$D$2:$D$31,MATCH($D645,球隊主檔!$A$2:$A$31,0))</f>
        <v>美聯</v>
      </c>
      <c r="G645" s="7" t="s">
        <v>483</v>
      </c>
      <c r="H645" s="11" t="n">
        <f aca="false">INT((DATE($A645,7,1)-INDEX(球員主檔!$G$2:$G$749,MATCH($B645,球員主檔!$A$2:$A$749,0)))/365.25)</f>
        <v>23</v>
      </c>
      <c r="I645" s="12" t="n">
        <v>150</v>
      </c>
      <c r="J645" s="12" t="n">
        <v>648</v>
      </c>
      <c r="K645" s="12" t="n">
        <v>564</v>
      </c>
      <c r="L645" s="12" t="n">
        <v>73</v>
      </c>
      <c r="M645" s="12" t="n">
        <v>119</v>
      </c>
      <c r="N645" s="12" t="n">
        <v>24</v>
      </c>
      <c r="O645" s="12" t="n">
        <v>3</v>
      </c>
      <c r="P645" s="12" t="n">
        <v>17</v>
      </c>
      <c r="Q645" s="12" t="n">
        <v>68</v>
      </c>
      <c r="R645" s="12" t="n">
        <v>69</v>
      </c>
      <c r="S645" s="12" t="n">
        <v>144</v>
      </c>
      <c r="T645" s="12" t="n">
        <v>13</v>
      </c>
      <c r="U645" s="12" t="n">
        <v>2</v>
      </c>
      <c r="V645" s="12" t="n">
        <v>38</v>
      </c>
      <c r="W645" s="12" t="n">
        <v>11</v>
      </c>
      <c r="X645" s="13" t="n">
        <f aca="false">M645+N645+2*O645+3*P645</f>
        <v>200</v>
      </c>
      <c r="Y645" s="14" t="n">
        <f aca="false">IF(K645=0,0,M645/K645)</f>
        <v>0.210992907801418</v>
      </c>
      <c r="Z645" s="14" t="n">
        <f aca="false">IF(K645+R645+T645+U645=0,0,(M645+R645+T645)/(K645+R645+T645+U645))</f>
        <v>0.310185185185185</v>
      </c>
      <c r="AA645" s="14" t="n">
        <f aca="false">IF(K645=0,0,X645/K645)</f>
        <v>0.354609929078014</v>
      </c>
      <c r="AB645" s="14" t="n">
        <f aca="false">Z645+AA645</f>
        <v>0.664795114263199</v>
      </c>
      <c r="AC645" s="14" t="n">
        <f aca="false">AA645-Y645</f>
        <v>0.143617021276596</v>
      </c>
      <c r="AD645" s="14" t="n">
        <f aca="false">IF(K645-S645-P645+U645=0,0,(M645-P645)/(K645-S645-P645+U645))</f>
        <v>0.251851851851852</v>
      </c>
      <c r="AE645" s="15" t="n">
        <f aca="false">IF(J645=0,0,R645/J645)</f>
        <v>0.106481481481481</v>
      </c>
      <c r="AF645" s="15" t="n">
        <f aca="false">IF(J645=0,0,S645/J645)</f>
        <v>0.222222222222222</v>
      </c>
      <c r="AG645" s="11" t="n">
        <f aca="false">IF(J645&gt;=INDEX(球季參數!$E$2:$E$4,MATCH($A645,球季參數!$A$2:$A$4,0)),1,0)</f>
        <v>1</v>
      </c>
    </row>
    <row r="646" customFormat="false" ht="15" hidden="false" customHeight="false" outlineLevel="0" collapsed="false">
      <c r="A646" s="5" t="n">
        <v>2026</v>
      </c>
      <c r="B646" s="7" t="s">
        <v>1837</v>
      </c>
      <c r="C646" s="10" t="str">
        <f aca="false">INDEX(球員主檔!$B$2:$B$749,MATCH($B646,球員主檔!$A$2:$A$749,0))</f>
        <v>Sousuke Mbeki</v>
      </c>
      <c r="D646" s="7" t="s">
        <v>358</v>
      </c>
      <c r="E646" s="10" t="str">
        <f aca="false">INDEX(球隊主檔!$C$2:$C$31,MATCH($D646,球隊主檔!$A$2:$A$31,0))</f>
        <v>多倫多藍鳥</v>
      </c>
      <c r="F646" s="10" t="str">
        <f aca="false">INDEX(球隊主檔!$D$2:$D$31,MATCH($D646,球隊主檔!$A$2:$A$31,0))</f>
        <v>美聯</v>
      </c>
      <c r="G646" s="7" t="s">
        <v>486</v>
      </c>
      <c r="H646" s="11" t="n">
        <f aca="false">INT((DATE($A646,7,1)-INDEX(球員主檔!$G$2:$G$749,MATCH($B646,球員主檔!$A$2:$A$749,0)))/365.25)</f>
        <v>21</v>
      </c>
      <c r="I646" s="12" t="n">
        <v>151</v>
      </c>
      <c r="J646" s="12" t="n">
        <v>646</v>
      </c>
      <c r="K646" s="12" t="n">
        <v>576</v>
      </c>
      <c r="L646" s="12" t="n">
        <v>70</v>
      </c>
      <c r="M646" s="12" t="n">
        <v>133</v>
      </c>
      <c r="N646" s="12" t="n">
        <v>13</v>
      </c>
      <c r="O646" s="12" t="n">
        <v>5</v>
      </c>
      <c r="P646" s="12" t="n">
        <v>5</v>
      </c>
      <c r="Q646" s="12" t="n">
        <v>48</v>
      </c>
      <c r="R646" s="12" t="n">
        <v>55</v>
      </c>
      <c r="S646" s="12" t="n">
        <v>131</v>
      </c>
      <c r="T646" s="12" t="n">
        <v>9</v>
      </c>
      <c r="U646" s="12" t="n">
        <v>6</v>
      </c>
      <c r="V646" s="12" t="n">
        <v>6</v>
      </c>
      <c r="W646" s="12" t="n">
        <v>2</v>
      </c>
      <c r="X646" s="13" t="n">
        <f aca="false">M646+N646+2*O646+3*P646</f>
        <v>171</v>
      </c>
      <c r="Y646" s="14" t="n">
        <f aca="false">IF(K646=0,0,M646/K646)</f>
        <v>0.230902777777778</v>
      </c>
      <c r="Z646" s="14" t="n">
        <f aca="false">IF(K646+R646+T646+U646=0,0,(M646+R646+T646)/(K646+R646+T646+U646))</f>
        <v>0.304953560371517</v>
      </c>
      <c r="AA646" s="14" t="n">
        <f aca="false">IF(K646=0,0,X646/K646)</f>
        <v>0.296875</v>
      </c>
      <c r="AB646" s="14" t="n">
        <f aca="false">Z646+AA646</f>
        <v>0.601828560371517</v>
      </c>
      <c r="AC646" s="14" t="n">
        <f aca="false">AA646-Y646</f>
        <v>0.0659722222222222</v>
      </c>
      <c r="AD646" s="14" t="n">
        <f aca="false">IF(K646-S646-P646+U646=0,0,(M646-P646)/(K646-S646-P646+U646))</f>
        <v>0.286995515695067</v>
      </c>
      <c r="AE646" s="15" t="n">
        <f aca="false">IF(J646=0,0,R646/J646)</f>
        <v>0.0851393188854489</v>
      </c>
      <c r="AF646" s="15" t="n">
        <f aca="false">IF(J646=0,0,S646/J646)</f>
        <v>0.202786377708978</v>
      </c>
      <c r="AG646" s="11" t="n">
        <f aca="false">IF(J646&gt;=INDEX(球季參數!$E$2:$E$4,MATCH($A646,球季參數!$A$2:$A$4,0)),1,0)</f>
        <v>1</v>
      </c>
    </row>
    <row r="647" customFormat="false" ht="15" hidden="false" customHeight="false" outlineLevel="0" collapsed="false">
      <c r="A647" s="5" t="n">
        <v>2026</v>
      </c>
      <c r="B647" s="7" t="s">
        <v>647</v>
      </c>
      <c r="C647" s="10" t="str">
        <f aca="false">INDEX(球員主檔!$B$2:$B$749,MATCH($B647,球員主檔!$A$2:$A$749,0))</f>
        <v>Tristan Underhill</v>
      </c>
      <c r="D647" s="7" t="s">
        <v>358</v>
      </c>
      <c r="E647" s="10" t="str">
        <f aca="false">INDEX(球隊主檔!$C$2:$C$31,MATCH($D647,球隊主檔!$A$2:$A$31,0))</f>
        <v>多倫多藍鳥</v>
      </c>
      <c r="F647" s="10" t="str">
        <f aca="false">INDEX(球隊主檔!$D$2:$D$31,MATCH($D647,球隊主檔!$A$2:$A$31,0))</f>
        <v>美聯</v>
      </c>
      <c r="G647" s="7" t="s">
        <v>158</v>
      </c>
      <c r="H647" s="11" t="n">
        <f aca="false">INT((DATE($A647,7,1)-INDEX(球員主檔!$G$2:$G$749,MATCH($B647,球員主檔!$A$2:$A$749,0)))/365.25)</f>
        <v>30</v>
      </c>
      <c r="I647" s="12" t="n">
        <v>87</v>
      </c>
      <c r="J647" s="12" t="n">
        <v>370</v>
      </c>
      <c r="K647" s="12" t="n">
        <v>341</v>
      </c>
      <c r="L647" s="12" t="n">
        <v>38</v>
      </c>
      <c r="M647" s="12" t="n">
        <v>73</v>
      </c>
      <c r="N647" s="12" t="n">
        <v>23</v>
      </c>
      <c r="O647" s="12" t="n">
        <v>4</v>
      </c>
      <c r="P647" s="12" t="n">
        <v>16</v>
      </c>
      <c r="Q647" s="12" t="n">
        <v>46</v>
      </c>
      <c r="R647" s="12" t="n">
        <v>21</v>
      </c>
      <c r="S647" s="12" t="n">
        <v>110</v>
      </c>
      <c r="T647" s="12" t="n">
        <v>4</v>
      </c>
      <c r="U647" s="12" t="n">
        <v>4</v>
      </c>
      <c r="V647" s="12" t="n">
        <v>6</v>
      </c>
      <c r="W647" s="12" t="n">
        <v>2</v>
      </c>
      <c r="X647" s="13" t="n">
        <f aca="false">M647+N647+2*O647+3*P647</f>
        <v>152</v>
      </c>
      <c r="Y647" s="14" t="n">
        <f aca="false">IF(K647=0,0,M647/K647)</f>
        <v>0.214076246334311</v>
      </c>
      <c r="Z647" s="14" t="n">
        <f aca="false">IF(K647+R647+T647+U647=0,0,(M647+R647+T647)/(K647+R647+T647+U647))</f>
        <v>0.264864864864865</v>
      </c>
      <c r="AA647" s="14" t="n">
        <f aca="false">IF(K647=0,0,X647/K647)</f>
        <v>0.44574780058651</v>
      </c>
      <c r="AB647" s="14" t="n">
        <f aca="false">Z647+AA647</f>
        <v>0.710612665451375</v>
      </c>
      <c r="AC647" s="14" t="n">
        <f aca="false">AA647-Y647</f>
        <v>0.231671554252199</v>
      </c>
      <c r="AD647" s="14" t="n">
        <f aca="false">IF(K647-S647-P647+U647=0,0,(M647-P647)/(K647-S647-P647+U647))</f>
        <v>0.26027397260274</v>
      </c>
      <c r="AE647" s="15" t="n">
        <f aca="false">IF(J647=0,0,R647/J647)</f>
        <v>0.0567567567567568</v>
      </c>
      <c r="AF647" s="15" t="n">
        <f aca="false">IF(J647=0,0,S647/J647)</f>
        <v>0.297297297297297</v>
      </c>
      <c r="AG647" s="11" t="n">
        <f aca="false">IF(J647&gt;=INDEX(球季參數!$E$2:$E$4,MATCH($A647,球季參數!$A$2:$A$4,0)),1,0)</f>
        <v>0</v>
      </c>
    </row>
    <row r="648" customFormat="false" ht="15" hidden="false" customHeight="false" outlineLevel="0" collapsed="false">
      <c r="A648" s="5" t="n">
        <v>2026</v>
      </c>
      <c r="B648" s="7" t="s">
        <v>649</v>
      </c>
      <c r="C648" s="10" t="str">
        <f aca="false">INDEX(球員主檔!$B$2:$B$749,MATCH($B648,球員主檔!$A$2:$A$749,0))</f>
        <v>Ronin Kiriakis</v>
      </c>
      <c r="D648" s="7" t="s">
        <v>358</v>
      </c>
      <c r="E648" s="10" t="str">
        <f aca="false">INDEX(球隊主檔!$C$2:$C$31,MATCH($D648,球隊主檔!$A$2:$A$31,0))</f>
        <v>多倫多藍鳥</v>
      </c>
      <c r="F648" s="10" t="str">
        <f aca="false">INDEX(球隊主檔!$D$2:$D$31,MATCH($D648,球隊主檔!$A$2:$A$31,0))</f>
        <v>美聯</v>
      </c>
      <c r="G648" s="7" t="s">
        <v>483</v>
      </c>
      <c r="H648" s="11" t="n">
        <f aca="false">INT((DATE($A648,7,1)-INDEX(球員主檔!$G$2:$G$749,MATCH($B648,球員主檔!$A$2:$A$749,0)))/365.25)</f>
        <v>35</v>
      </c>
      <c r="I648" s="12" t="n">
        <v>134</v>
      </c>
      <c r="J648" s="12" t="n">
        <v>554</v>
      </c>
      <c r="K648" s="12" t="n">
        <v>487</v>
      </c>
      <c r="L648" s="12" t="n">
        <v>66</v>
      </c>
      <c r="M648" s="12" t="n">
        <v>111</v>
      </c>
      <c r="N648" s="12" t="n">
        <v>32</v>
      </c>
      <c r="O648" s="12" t="n">
        <v>5</v>
      </c>
      <c r="P648" s="12" t="n">
        <v>22</v>
      </c>
      <c r="Q648" s="12" t="n">
        <v>63</v>
      </c>
      <c r="R648" s="12" t="n">
        <v>56</v>
      </c>
      <c r="S648" s="12" t="n">
        <v>158</v>
      </c>
      <c r="T648" s="12" t="n">
        <v>7</v>
      </c>
      <c r="U648" s="12" t="n">
        <v>4</v>
      </c>
      <c r="V648" s="12" t="n">
        <v>25</v>
      </c>
      <c r="W648" s="12" t="n">
        <v>8</v>
      </c>
      <c r="X648" s="13" t="n">
        <f aca="false">M648+N648+2*O648+3*P648</f>
        <v>219</v>
      </c>
      <c r="Y648" s="14" t="n">
        <f aca="false">IF(K648=0,0,M648/K648)</f>
        <v>0.227926078028747</v>
      </c>
      <c r="Z648" s="14" t="n">
        <f aca="false">IF(K648+R648+T648+U648=0,0,(M648+R648+T648)/(K648+R648+T648+U648))</f>
        <v>0.314079422382672</v>
      </c>
      <c r="AA648" s="14" t="n">
        <f aca="false">IF(K648=0,0,X648/K648)</f>
        <v>0.449691991786448</v>
      </c>
      <c r="AB648" s="14" t="n">
        <f aca="false">Z648+AA648</f>
        <v>0.763771414169119</v>
      </c>
      <c r="AC648" s="14" t="n">
        <f aca="false">AA648-Y648</f>
        <v>0.2217659137577</v>
      </c>
      <c r="AD648" s="14" t="n">
        <f aca="false">IF(K648-S648-P648+U648=0,0,(M648-P648)/(K648-S648-P648+U648))</f>
        <v>0.286173633440515</v>
      </c>
      <c r="AE648" s="15" t="n">
        <f aca="false">IF(J648=0,0,R648/J648)</f>
        <v>0.101083032490975</v>
      </c>
      <c r="AF648" s="15" t="n">
        <f aca="false">IF(J648=0,0,S648/J648)</f>
        <v>0.285198555956679</v>
      </c>
      <c r="AG648" s="11" t="n">
        <f aca="false">IF(J648&gt;=INDEX(球季參數!$E$2:$E$4,MATCH($A648,球季參數!$A$2:$A$4,0)),1,0)</f>
        <v>1</v>
      </c>
    </row>
    <row r="649" customFormat="false" ht="15" hidden="false" customHeight="false" outlineLevel="0" collapsed="false">
      <c r="A649" s="5" t="n">
        <v>2026</v>
      </c>
      <c r="B649" s="7" t="s">
        <v>1693</v>
      </c>
      <c r="C649" s="10" t="str">
        <f aca="false">INDEX(球員主檔!$B$2:$B$749,MATCH($B649,球員主檔!$A$2:$A$749,0))</f>
        <v>Lucien Yarbrough</v>
      </c>
      <c r="D649" s="7" t="s">
        <v>358</v>
      </c>
      <c r="E649" s="10" t="str">
        <f aca="false">INDEX(球隊主檔!$C$2:$C$31,MATCH($D649,球隊主檔!$A$2:$A$31,0))</f>
        <v>多倫多藍鳥</v>
      </c>
      <c r="F649" s="10" t="str">
        <f aca="false">INDEX(球隊主檔!$D$2:$D$31,MATCH($D649,球隊主檔!$A$2:$A$31,0))</f>
        <v>美聯</v>
      </c>
      <c r="G649" s="7" t="s">
        <v>486</v>
      </c>
      <c r="H649" s="11" t="n">
        <f aca="false">INT((DATE($A649,7,1)-INDEX(球員主檔!$G$2:$G$749,MATCH($B649,球員主檔!$A$2:$A$749,0)))/365.25)</f>
        <v>25</v>
      </c>
      <c r="I649" s="12" t="n">
        <v>107</v>
      </c>
      <c r="J649" s="12" t="n">
        <v>418</v>
      </c>
      <c r="K649" s="12" t="n">
        <v>392</v>
      </c>
      <c r="L649" s="12" t="n">
        <v>47</v>
      </c>
      <c r="M649" s="12" t="n">
        <v>92</v>
      </c>
      <c r="N649" s="12" t="n">
        <v>15</v>
      </c>
      <c r="O649" s="12" t="n">
        <v>3</v>
      </c>
      <c r="P649" s="12" t="n">
        <v>11</v>
      </c>
      <c r="Q649" s="12" t="n">
        <v>40</v>
      </c>
      <c r="R649" s="12" t="n">
        <v>22</v>
      </c>
      <c r="S649" s="12" t="n">
        <v>78</v>
      </c>
      <c r="T649" s="12" t="n">
        <v>2</v>
      </c>
      <c r="U649" s="12" t="n">
        <v>2</v>
      </c>
      <c r="V649" s="12" t="n">
        <v>14</v>
      </c>
      <c r="W649" s="12" t="n">
        <v>4</v>
      </c>
      <c r="X649" s="13" t="n">
        <f aca="false">M649+N649+2*O649+3*P649</f>
        <v>146</v>
      </c>
      <c r="Y649" s="14" t="n">
        <f aca="false">IF(K649=0,0,M649/K649)</f>
        <v>0.23469387755102</v>
      </c>
      <c r="Z649" s="14" t="n">
        <f aca="false">IF(K649+R649+T649+U649=0,0,(M649+R649+T649)/(K649+R649+T649+U649))</f>
        <v>0.277511961722488</v>
      </c>
      <c r="AA649" s="14" t="n">
        <f aca="false">IF(K649=0,0,X649/K649)</f>
        <v>0.372448979591837</v>
      </c>
      <c r="AB649" s="14" t="n">
        <f aca="false">Z649+AA649</f>
        <v>0.649960941314325</v>
      </c>
      <c r="AC649" s="14" t="n">
        <f aca="false">AA649-Y649</f>
        <v>0.137755102040816</v>
      </c>
      <c r="AD649" s="14" t="n">
        <f aca="false">IF(K649-S649-P649+U649=0,0,(M649-P649)/(K649-S649-P649+U649))</f>
        <v>0.265573770491803</v>
      </c>
      <c r="AE649" s="15" t="n">
        <f aca="false">IF(J649=0,0,R649/J649)</f>
        <v>0.0526315789473684</v>
      </c>
      <c r="AF649" s="15" t="n">
        <f aca="false">IF(J649=0,0,S649/J649)</f>
        <v>0.186602870813397</v>
      </c>
      <c r="AG649" s="11" t="n">
        <f aca="false">IF(J649&gt;=INDEX(球季參數!$E$2:$E$4,MATCH($A649,球季參數!$A$2:$A$4,0)),1,0)</f>
        <v>0</v>
      </c>
    </row>
    <row r="650" customFormat="false" ht="15" hidden="false" customHeight="false" outlineLevel="0" collapsed="false">
      <c r="A650" s="5" t="n">
        <v>2026</v>
      </c>
      <c r="B650" s="7" t="s">
        <v>653</v>
      </c>
      <c r="C650" s="10" t="str">
        <f aca="false">INDEX(球員主檔!$B$2:$B$749,MATCH($B650,球員主檔!$A$2:$A$749,0))</f>
        <v>Rhett Halloway</v>
      </c>
      <c r="D650" s="7" t="s">
        <v>358</v>
      </c>
      <c r="E650" s="10" t="str">
        <f aca="false">INDEX(球隊主檔!$C$2:$C$31,MATCH($D650,球隊主檔!$A$2:$A$31,0))</f>
        <v>多倫多藍鳥</v>
      </c>
      <c r="F650" s="10" t="str">
        <f aca="false">INDEX(球隊主檔!$D$2:$D$31,MATCH($D650,球隊主檔!$A$2:$A$31,0))</f>
        <v>美聯</v>
      </c>
      <c r="G650" s="7" t="s">
        <v>158</v>
      </c>
      <c r="H650" s="11" t="n">
        <f aca="false">INT((DATE($A650,7,1)-INDEX(球員主檔!$G$2:$G$749,MATCH($B650,球員主檔!$A$2:$A$749,0)))/365.25)</f>
        <v>35</v>
      </c>
      <c r="I650" s="12" t="n">
        <v>74</v>
      </c>
      <c r="J650" s="12" t="n">
        <v>316</v>
      </c>
      <c r="K650" s="12" t="n">
        <v>295</v>
      </c>
      <c r="L650" s="12" t="n">
        <v>29</v>
      </c>
      <c r="M650" s="12" t="n">
        <v>63</v>
      </c>
      <c r="N650" s="12" t="n">
        <v>28</v>
      </c>
      <c r="O650" s="12" t="n">
        <v>3</v>
      </c>
      <c r="P650" s="12" t="n">
        <v>7</v>
      </c>
      <c r="Q650" s="12" t="n">
        <v>31</v>
      </c>
      <c r="R650" s="12" t="n">
        <v>14</v>
      </c>
      <c r="S650" s="12" t="n">
        <v>53</v>
      </c>
      <c r="T650" s="12" t="n">
        <v>5</v>
      </c>
      <c r="U650" s="12" t="n">
        <v>2</v>
      </c>
      <c r="V650" s="12" t="n">
        <v>9</v>
      </c>
      <c r="W650" s="12" t="n">
        <v>2</v>
      </c>
      <c r="X650" s="13" t="n">
        <f aca="false">M650+N650+2*O650+3*P650</f>
        <v>118</v>
      </c>
      <c r="Y650" s="14" t="n">
        <f aca="false">IF(K650=0,0,M650/K650)</f>
        <v>0.213559322033898</v>
      </c>
      <c r="Z650" s="14" t="n">
        <f aca="false">IF(K650+R650+T650+U650=0,0,(M650+R650+T650)/(K650+R650+T650+U650))</f>
        <v>0.259493670886076</v>
      </c>
      <c r="AA650" s="14" t="n">
        <f aca="false">IF(K650=0,0,X650/K650)</f>
        <v>0.4</v>
      </c>
      <c r="AB650" s="14" t="n">
        <f aca="false">Z650+AA650</f>
        <v>0.659493670886076</v>
      </c>
      <c r="AC650" s="14" t="n">
        <f aca="false">AA650-Y650</f>
        <v>0.186440677966102</v>
      </c>
      <c r="AD650" s="14" t="n">
        <f aca="false">IF(K650-S650-P650+U650=0,0,(M650-P650)/(K650-S650-P650+U650))</f>
        <v>0.236286919831224</v>
      </c>
      <c r="AE650" s="15" t="n">
        <f aca="false">IF(J650=0,0,R650/J650)</f>
        <v>0.0443037974683544</v>
      </c>
      <c r="AF650" s="15" t="n">
        <f aca="false">IF(J650=0,0,S650/J650)</f>
        <v>0.167721518987342</v>
      </c>
      <c r="AG650" s="11" t="n">
        <f aca="false">IF(J650&gt;=INDEX(球季參數!$E$2:$E$4,MATCH($A650,球季參數!$A$2:$A$4,0)),1,0)</f>
        <v>0</v>
      </c>
    </row>
    <row r="651" customFormat="false" ht="15" hidden="false" customHeight="false" outlineLevel="0" collapsed="false">
      <c r="A651" s="5" t="n">
        <v>2026</v>
      </c>
      <c r="B651" s="7" t="s">
        <v>655</v>
      </c>
      <c r="C651" s="10" t="str">
        <f aca="false">INDEX(球員主檔!$B$2:$B$749,MATCH($B651,球員主檔!$A$2:$A$749,0))</f>
        <v>Leandro Engelhardt</v>
      </c>
      <c r="D651" s="7" t="s">
        <v>358</v>
      </c>
      <c r="E651" s="10" t="str">
        <f aca="false">INDEX(球隊主檔!$C$2:$C$31,MATCH($D651,球隊主檔!$A$2:$A$31,0))</f>
        <v>多倫多藍鳥</v>
      </c>
      <c r="F651" s="10" t="str">
        <f aca="false">INDEX(球隊主檔!$D$2:$D$31,MATCH($D651,球隊主檔!$A$2:$A$31,0))</f>
        <v>美聯</v>
      </c>
      <c r="G651" s="7" t="s">
        <v>158</v>
      </c>
      <c r="H651" s="11" t="n">
        <f aca="false">INT((DATE($A651,7,1)-INDEX(球員主檔!$G$2:$G$749,MATCH($B651,球員主檔!$A$2:$A$749,0)))/365.25)</f>
        <v>34</v>
      </c>
      <c r="I651" s="12" t="n">
        <v>70</v>
      </c>
      <c r="J651" s="12" t="n">
        <v>305</v>
      </c>
      <c r="K651" s="12" t="n">
        <v>288</v>
      </c>
      <c r="L651" s="12" t="n">
        <v>32</v>
      </c>
      <c r="M651" s="12" t="n">
        <v>58</v>
      </c>
      <c r="N651" s="12" t="n">
        <v>20</v>
      </c>
      <c r="O651" s="12" t="n">
        <v>4</v>
      </c>
      <c r="P651" s="12" t="n">
        <v>11</v>
      </c>
      <c r="Q651" s="12" t="n">
        <v>35</v>
      </c>
      <c r="R651" s="12" t="n">
        <v>14</v>
      </c>
      <c r="S651" s="12" t="n">
        <v>47</v>
      </c>
      <c r="T651" s="12" t="n">
        <v>1</v>
      </c>
      <c r="U651" s="12" t="n">
        <v>2</v>
      </c>
      <c r="V651" s="12" t="n">
        <v>5</v>
      </c>
      <c r="W651" s="12" t="n">
        <v>2</v>
      </c>
      <c r="X651" s="13" t="n">
        <f aca="false">M651+N651+2*O651+3*P651</f>
        <v>119</v>
      </c>
      <c r="Y651" s="14" t="n">
        <f aca="false">IF(K651=0,0,M651/K651)</f>
        <v>0.201388888888889</v>
      </c>
      <c r="Z651" s="14" t="n">
        <f aca="false">IF(K651+R651+T651+U651=0,0,(M651+R651+T651)/(K651+R651+T651+U651))</f>
        <v>0.239344262295082</v>
      </c>
      <c r="AA651" s="14" t="n">
        <f aca="false">IF(K651=0,0,X651/K651)</f>
        <v>0.413194444444444</v>
      </c>
      <c r="AB651" s="14" t="n">
        <f aca="false">Z651+AA651</f>
        <v>0.652538706739526</v>
      </c>
      <c r="AC651" s="14" t="n">
        <f aca="false">AA651-Y651</f>
        <v>0.211805555555556</v>
      </c>
      <c r="AD651" s="14" t="n">
        <f aca="false">IF(K651-S651-P651+U651=0,0,(M651-P651)/(K651-S651-P651+U651))</f>
        <v>0.202586206896552</v>
      </c>
      <c r="AE651" s="15" t="n">
        <f aca="false">IF(J651=0,0,R651/J651)</f>
        <v>0.0459016393442623</v>
      </c>
      <c r="AF651" s="15" t="n">
        <f aca="false">IF(J651=0,0,S651/J651)</f>
        <v>0.154098360655738</v>
      </c>
      <c r="AG651" s="11" t="n">
        <f aca="false">IF(J651&gt;=INDEX(球季參數!$E$2:$E$4,MATCH($A651,球季參數!$A$2:$A$4,0)),1,0)</f>
        <v>0</v>
      </c>
    </row>
    <row r="652" customFormat="false" ht="15" hidden="false" customHeight="false" outlineLevel="0" collapsed="false">
      <c r="A652" s="5" t="n">
        <v>2026</v>
      </c>
      <c r="B652" s="7" t="s">
        <v>677</v>
      </c>
      <c r="C652" s="10" t="str">
        <f aca="false">INDEX(球員主檔!$B$2:$B$749,MATCH($B652,球員主檔!$A$2:$A$749,0))</f>
        <v>Thiago Fontaine</v>
      </c>
      <c r="D652" s="7" t="s">
        <v>362</v>
      </c>
      <c r="E652" s="10" t="str">
        <f aca="false">INDEX(球隊主檔!$C$2:$C$31,MATCH($D652,球隊主檔!$A$2:$A$31,0))</f>
        <v>芝加哥白襪</v>
      </c>
      <c r="F652" s="10" t="str">
        <f aca="false">INDEX(球隊主檔!$D$2:$D$31,MATCH($D652,球隊主檔!$A$2:$A$31,0))</f>
        <v>美聯</v>
      </c>
      <c r="G652" s="7" t="s">
        <v>478</v>
      </c>
      <c r="H652" s="11" t="n">
        <f aca="false">INT((DATE($A652,7,1)-INDEX(球員主檔!$G$2:$G$749,MATCH($B652,球員主檔!$A$2:$A$749,0)))/365.25)</f>
        <v>32</v>
      </c>
      <c r="I652" s="12" t="n">
        <v>153</v>
      </c>
      <c r="J652" s="12" t="n">
        <v>641</v>
      </c>
      <c r="K652" s="12" t="n">
        <v>531</v>
      </c>
      <c r="L652" s="12" t="n">
        <v>75</v>
      </c>
      <c r="M652" s="12" t="n">
        <v>121</v>
      </c>
      <c r="N652" s="12" t="n">
        <v>33</v>
      </c>
      <c r="O652" s="12" t="n">
        <v>4</v>
      </c>
      <c r="P652" s="12" t="n">
        <v>15</v>
      </c>
      <c r="Q652" s="12" t="n">
        <v>64</v>
      </c>
      <c r="R652" s="12" t="n">
        <v>103</v>
      </c>
      <c r="S652" s="12" t="n">
        <v>123</v>
      </c>
      <c r="T652" s="12" t="n">
        <v>1</v>
      </c>
      <c r="U652" s="12" t="n">
        <v>6</v>
      </c>
      <c r="V652" s="12" t="n">
        <v>3</v>
      </c>
      <c r="W652" s="12" t="n">
        <v>0</v>
      </c>
      <c r="X652" s="13" t="n">
        <f aca="false">M652+N652+2*O652+3*P652</f>
        <v>207</v>
      </c>
      <c r="Y652" s="14" t="n">
        <f aca="false">IF(K652=0,0,M652/K652)</f>
        <v>0.227871939736347</v>
      </c>
      <c r="Z652" s="14" t="n">
        <f aca="false">IF(K652+R652+T652+U652=0,0,(M652+R652+T652)/(K652+R652+T652+U652))</f>
        <v>0.351014040561622</v>
      </c>
      <c r="AA652" s="14" t="n">
        <f aca="false">IF(K652=0,0,X652/K652)</f>
        <v>0.389830508474576</v>
      </c>
      <c r="AB652" s="14" t="n">
        <f aca="false">Z652+AA652</f>
        <v>0.740844549036199</v>
      </c>
      <c r="AC652" s="14" t="n">
        <f aca="false">AA652-Y652</f>
        <v>0.16195856873823</v>
      </c>
      <c r="AD652" s="14" t="n">
        <f aca="false">IF(K652-S652-P652+U652=0,0,(M652-P652)/(K652-S652-P652+U652))</f>
        <v>0.265664160401003</v>
      </c>
      <c r="AE652" s="15" t="n">
        <f aca="false">IF(J652=0,0,R652/J652)</f>
        <v>0.160686427457098</v>
      </c>
      <c r="AF652" s="15" t="n">
        <f aca="false">IF(J652=0,0,S652/J652)</f>
        <v>0.19188767550702</v>
      </c>
      <c r="AG652" s="11" t="n">
        <f aca="false">IF(J652&gt;=INDEX(球季參數!$E$2:$E$4,MATCH($A652,球季參數!$A$2:$A$4,0)),1,0)</f>
        <v>1</v>
      </c>
    </row>
    <row r="653" customFormat="false" ht="15" hidden="false" customHeight="false" outlineLevel="0" collapsed="false">
      <c r="A653" s="5" t="n">
        <v>2026</v>
      </c>
      <c r="B653" s="7" t="s">
        <v>679</v>
      </c>
      <c r="C653" s="10" t="str">
        <f aca="false">INDEX(球員主檔!$B$2:$B$749,MATCH($B653,球員主檔!$A$2:$A$749,0))</f>
        <v>Landon Wainwright</v>
      </c>
      <c r="D653" s="7" t="s">
        <v>362</v>
      </c>
      <c r="E653" s="10" t="str">
        <f aca="false">INDEX(球隊主檔!$C$2:$C$31,MATCH($D653,球隊主檔!$A$2:$A$31,0))</f>
        <v>芝加哥白襪</v>
      </c>
      <c r="F653" s="10" t="str">
        <f aca="false">INDEX(球隊主檔!$D$2:$D$31,MATCH($D653,球隊主檔!$A$2:$A$31,0))</f>
        <v>美聯</v>
      </c>
      <c r="G653" s="7" t="s">
        <v>162</v>
      </c>
      <c r="H653" s="11" t="n">
        <f aca="false">INT((DATE($A653,7,1)-INDEX(球員主檔!$G$2:$G$749,MATCH($B653,球員主檔!$A$2:$A$749,0)))/365.25)</f>
        <v>32</v>
      </c>
      <c r="I653" s="12" t="n">
        <v>148</v>
      </c>
      <c r="J653" s="12" t="n">
        <v>639</v>
      </c>
      <c r="K653" s="12" t="n">
        <v>604</v>
      </c>
      <c r="L653" s="12" t="n">
        <v>65</v>
      </c>
      <c r="M653" s="12" t="n">
        <v>132</v>
      </c>
      <c r="N653" s="12" t="n">
        <v>30</v>
      </c>
      <c r="O653" s="12" t="n">
        <v>5</v>
      </c>
      <c r="P653" s="12" t="n">
        <v>18</v>
      </c>
      <c r="Q653" s="12" t="n">
        <v>67</v>
      </c>
      <c r="R653" s="12" t="n">
        <v>22</v>
      </c>
      <c r="S653" s="12" t="n">
        <v>114</v>
      </c>
      <c r="T653" s="12" t="n">
        <v>12</v>
      </c>
      <c r="U653" s="12" t="n">
        <v>1</v>
      </c>
      <c r="V653" s="12" t="n">
        <v>4</v>
      </c>
      <c r="W653" s="12" t="n">
        <v>1</v>
      </c>
      <c r="X653" s="13" t="n">
        <f aca="false">M653+N653+2*O653+3*P653</f>
        <v>226</v>
      </c>
      <c r="Y653" s="14" t="n">
        <f aca="false">IF(K653=0,0,M653/K653)</f>
        <v>0.218543046357616</v>
      </c>
      <c r="Z653" s="14" t="n">
        <f aca="false">IF(K653+R653+T653+U653=0,0,(M653+R653+T653)/(K653+R653+T653+U653))</f>
        <v>0.259780907668232</v>
      </c>
      <c r="AA653" s="14" t="n">
        <f aca="false">IF(K653=0,0,X653/K653)</f>
        <v>0.374172185430464</v>
      </c>
      <c r="AB653" s="14" t="n">
        <f aca="false">Z653+AA653</f>
        <v>0.633953093098695</v>
      </c>
      <c r="AC653" s="14" t="n">
        <f aca="false">AA653-Y653</f>
        <v>0.155629139072848</v>
      </c>
      <c r="AD653" s="14" t="n">
        <f aca="false">IF(K653-S653-P653+U653=0,0,(M653-P653)/(K653-S653-P653+U653))</f>
        <v>0.241014799154334</v>
      </c>
      <c r="AE653" s="15" t="n">
        <f aca="false">IF(J653=0,0,R653/J653)</f>
        <v>0.0344287949921753</v>
      </c>
      <c r="AF653" s="15" t="n">
        <f aca="false">IF(J653=0,0,S653/J653)</f>
        <v>0.178403755868545</v>
      </c>
      <c r="AG653" s="11" t="n">
        <f aca="false">IF(J653&gt;=INDEX(球季參數!$E$2:$E$4,MATCH($A653,球季參數!$A$2:$A$4,0)),1,0)</f>
        <v>1</v>
      </c>
    </row>
    <row r="654" customFormat="false" ht="15" hidden="false" customHeight="false" outlineLevel="0" collapsed="false">
      <c r="A654" s="5" t="n">
        <v>2026</v>
      </c>
      <c r="B654" s="7" t="s">
        <v>681</v>
      </c>
      <c r="C654" s="10" t="str">
        <f aca="false">INDEX(球員主檔!$B$2:$B$749,MATCH($B654,球員主檔!$A$2:$A$749,0))</f>
        <v>Cedric Ulloa</v>
      </c>
      <c r="D654" s="7" t="s">
        <v>362</v>
      </c>
      <c r="E654" s="10" t="str">
        <f aca="false">INDEX(球隊主檔!$C$2:$C$31,MATCH($D654,球隊主檔!$A$2:$A$31,0))</f>
        <v>芝加哥白襪</v>
      </c>
      <c r="F654" s="10" t="str">
        <f aca="false">INDEX(球隊主檔!$D$2:$D$31,MATCH($D654,球隊主檔!$A$2:$A$31,0))</f>
        <v>美聯</v>
      </c>
      <c r="G654" s="7" t="s">
        <v>63</v>
      </c>
      <c r="H654" s="11" t="n">
        <f aca="false">INT((DATE($A654,7,1)-INDEX(球員主檔!$G$2:$G$749,MATCH($B654,球員主檔!$A$2:$A$749,0)))/365.25)</f>
        <v>29</v>
      </c>
      <c r="I654" s="12" t="n">
        <v>148</v>
      </c>
      <c r="J654" s="12" t="n">
        <v>596</v>
      </c>
      <c r="K654" s="12" t="n">
        <v>561</v>
      </c>
      <c r="L654" s="12" t="n">
        <v>53</v>
      </c>
      <c r="M654" s="12" t="n">
        <v>123</v>
      </c>
      <c r="N654" s="12" t="n">
        <v>30</v>
      </c>
      <c r="O654" s="12" t="n">
        <v>2</v>
      </c>
      <c r="P654" s="12" t="n">
        <v>10</v>
      </c>
      <c r="Q654" s="12" t="n">
        <v>53</v>
      </c>
      <c r="R654" s="12" t="n">
        <v>32</v>
      </c>
      <c r="S654" s="12" t="n">
        <v>114</v>
      </c>
      <c r="T654" s="12" t="n">
        <v>1</v>
      </c>
      <c r="U654" s="12" t="n">
        <v>2</v>
      </c>
      <c r="V654" s="12" t="n">
        <v>6</v>
      </c>
      <c r="W654" s="12" t="n">
        <v>1</v>
      </c>
      <c r="X654" s="13" t="n">
        <f aca="false">M654+N654+2*O654+3*P654</f>
        <v>187</v>
      </c>
      <c r="Y654" s="14" t="n">
        <f aca="false">IF(K654=0,0,M654/K654)</f>
        <v>0.219251336898396</v>
      </c>
      <c r="Z654" s="14" t="n">
        <f aca="false">IF(K654+R654+T654+U654=0,0,(M654+R654+T654)/(K654+R654+T654+U654))</f>
        <v>0.261744966442953</v>
      </c>
      <c r="AA654" s="14" t="n">
        <f aca="false">IF(K654=0,0,X654/K654)</f>
        <v>0.333333333333333</v>
      </c>
      <c r="AB654" s="14" t="n">
        <f aca="false">Z654+AA654</f>
        <v>0.595078299776286</v>
      </c>
      <c r="AC654" s="14" t="n">
        <f aca="false">AA654-Y654</f>
        <v>0.114081996434938</v>
      </c>
      <c r="AD654" s="14" t="n">
        <f aca="false">IF(K654-S654-P654+U654=0,0,(M654-P654)/(K654-S654-P654+U654))</f>
        <v>0.257403189066059</v>
      </c>
      <c r="AE654" s="15" t="n">
        <f aca="false">IF(J654=0,0,R654/J654)</f>
        <v>0.0536912751677852</v>
      </c>
      <c r="AF654" s="15" t="n">
        <f aca="false">IF(J654=0,0,S654/J654)</f>
        <v>0.191275167785235</v>
      </c>
      <c r="AG654" s="11" t="n">
        <f aca="false">IF(J654&gt;=INDEX(球季參數!$E$2:$E$4,MATCH($A654,球季參數!$A$2:$A$4,0)),1,0)</f>
        <v>1</v>
      </c>
    </row>
    <row r="655" customFormat="false" ht="15" hidden="false" customHeight="false" outlineLevel="0" collapsed="false">
      <c r="A655" s="5" t="n">
        <v>2026</v>
      </c>
      <c r="B655" s="7" t="s">
        <v>1841</v>
      </c>
      <c r="C655" s="10" t="str">
        <f aca="false">INDEX(球員主檔!$B$2:$B$749,MATCH($B655,球員主檔!$A$2:$A$749,0))</f>
        <v>Kellan Vandermeer</v>
      </c>
      <c r="D655" s="7" t="s">
        <v>362</v>
      </c>
      <c r="E655" s="10" t="str">
        <f aca="false">INDEX(球隊主檔!$C$2:$C$31,MATCH($D655,球隊主檔!$A$2:$A$31,0))</f>
        <v>芝加哥白襪</v>
      </c>
      <c r="F655" s="10" t="str">
        <f aca="false">INDEX(球隊主檔!$D$2:$D$31,MATCH($D655,球隊主檔!$A$2:$A$31,0))</f>
        <v>美聯</v>
      </c>
      <c r="G655" s="7" t="s">
        <v>522</v>
      </c>
      <c r="H655" s="11" t="n">
        <f aca="false">INT((DATE($A655,7,1)-INDEX(球員主檔!$G$2:$G$749,MATCH($B655,球員主檔!$A$2:$A$749,0)))/365.25)</f>
        <v>25</v>
      </c>
      <c r="I655" s="12" t="n">
        <v>152</v>
      </c>
      <c r="J655" s="12" t="n">
        <v>676</v>
      </c>
      <c r="K655" s="12" t="n">
        <v>598</v>
      </c>
      <c r="L655" s="12" t="n">
        <v>78</v>
      </c>
      <c r="M655" s="12" t="n">
        <v>150</v>
      </c>
      <c r="N655" s="12" t="n">
        <v>34</v>
      </c>
      <c r="O655" s="12" t="n">
        <v>2</v>
      </c>
      <c r="P655" s="12" t="n">
        <v>21</v>
      </c>
      <c r="Q655" s="12" t="n">
        <v>80</v>
      </c>
      <c r="R655" s="12" t="n">
        <v>65</v>
      </c>
      <c r="S655" s="12" t="n">
        <v>175</v>
      </c>
      <c r="T655" s="12" t="n">
        <v>5</v>
      </c>
      <c r="U655" s="12" t="n">
        <v>8</v>
      </c>
      <c r="V655" s="12" t="n">
        <v>11</v>
      </c>
      <c r="W655" s="12" t="n">
        <v>3</v>
      </c>
      <c r="X655" s="13" t="n">
        <f aca="false">M655+N655+2*O655+3*P655</f>
        <v>251</v>
      </c>
      <c r="Y655" s="14" t="n">
        <f aca="false">IF(K655=0,0,M655/K655)</f>
        <v>0.250836120401338</v>
      </c>
      <c r="Z655" s="14" t="n">
        <f aca="false">IF(K655+R655+T655+U655=0,0,(M655+R655+T655)/(K655+R655+T655+U655))</f>
        <v>0.325443786982249</v>
      </c>
      <c r="AA655" s="14" t="n">
        <f aca="false">IF(K655=0,0,X655/K655)</f>
        <v>0.419732441471572</v>
      </c>
      <c r="AB655" s="14" t="n">
        <f aca="false">Z655+AA655</f>
        <v>0.74517622845382</v>
      </c>
      <c r="AC655" s="14" t="n">
        <f aca="false">AA655-Y655</f>
        <v>0.168896321070234</v>
      </c>
      <c r="AD655" s="14" t="n">
        <f aca="false">IF(K655-S655-P655+U655=0,0,(M655-P655)/(K655-S655-P655+U655))</f>
        <v>0.314634146341463</v>
      </c>
      <c r="AE655" s="15" t="n">
        <f aca="false">IF(J655=0,0,R655/J655)</f>
        <v>0.0961538461538462</v>
      </c>
      <c r="AF655" s="15" t="n">
        <f aca="false">IF(J655=0,0,S655/J655)</f>
        <v>0.25887573964497</v>
      </c>
      <c r="AG655" s="11" t="n">
        <f aca="false">IF(J655&gt;=INDEX(球季參數!$E$2:$E$4,MATCH($A655,球季參數!$A$2:$A$4,0)),1,0)</f>
        <v>1</v>
      </c>
    </row>
    <row r="656" customFormat="false" ht="15" hidden="false" customHeight="false" outlineLevel="0" collapsed="false">
      <c r="A656" s="5" t="n">
        <v>2026</v>
      </c>
      <c r="B656" s="7" t="s">
        <v>1201</v>
      </c>
      <c r="C656" s="10" t="str">
        <f aca="false">INDEX(球員主檔!$B$2:$B$749,MATCH($B656,球員主檔!$A$2:$A$749,0))</f>
        <v>Silas Ashworth</v>
      </c>
      <c r="D656" s="7" t="s">
        <v>362</v>
      </c>
      <c r="E656" s="10" t="str">
        <f aca="false">INDEX(球隊主檔!$C$2:$C$31,MATCH($D656,球隊主檔!$A$2:$A$31,0))</f>
        <v>芝加哥白襪</v>
      </c>
      <c r="F656" s="10" t="str">
        <f aca="false">INDEX(球隊主檔!$D$2:$D$31,MATCH($D656,球隊主檔!$A$2:$A$31,0))</f>
        <v>美聯</v>
      </c>
      <c r="G656" s="7" t="s">
        <v>63</v>
      </c>
      <c r="H656" s="11" t="n">
        <f aca="false">INT((DATE($A656,7,1)-INDEX(球員主檔!$G$2:$G$749,MATCH($B656,球員主檔!$A$2:$A$749,0)))/365.25)</f>
        <v>32</v>
      </c>
      <c r="I656" s="12" t="n">
        <v>110</v>
      </c>
      <c r="J656" s="12" t="n">
        <v>486</v>
      </c>
      <c r="K656" s="12" t="n">
        <v>434</v>
      </c>
      <c r="L656" s="12" t="n">
        <v>44</v>
      </c>
      <c r="M656" s="12" t="n">
        <v>109</v>
      </c>
      <c r="N656" s="12" t="n">
        <v>24</v>
      </c>
      <c r="O656" s="12" t="n">
        <v>10</v>
      </c>
      <c r="P656" s="12" t="n">
        <v>8</v>
      </c>
      <c r="Q656" s="12" t="n">
        <v>45</v>
      </c>
      <c r="R656" s="12" t="n">
        <v>44</v>
      </c>
      <c r="S656" s="12" t="n">
        <v>110</v>
      </c>
      <c r="T656" s="12" t="n">
        <v>7</v>
      </c>
      <c r="U656" s="12" t="n">
        <v>1</v>
      </c>
      <c r="V656" s="12" t="n">
        <v>7</v>
      </c>
      <c r="W656" s="12" t="n">
        <v>1</v>
      </c>
      <c r="X656" s="13" t="n">
        <f aca="false">M656+N656+2*O656+3*P656</f>
        <v>177</v>
      </c>
      <c r="Y656" s="14" t="n">
        <f aca="false">IF(K656=0,0,M656/K656)</f>
        <v>0.251152073732719</v>
      </c>
      <c r="Z656" s="14" t="n">
        <f aca="false">IF(K656+R656+T656+U656=0,0,(M656+R656+T656)/(K656+R656+T656+U656))</f>
        <v>0.329218106995885</v>
      </c>
      <c r="AA656" s="14" t="n">
        <f aca="false">IF(K656=0,0,X656/K656)</f>
        <v>0.407834101382489</v>
      </c>
      <c r="AB656" s="14" t="n">
        <f aca="false">Z656+AA656</f>
        <v>0.737052208378373</v>
      </c>
      <c r="AC656" s="14" t="n">
        <f aca="false">AA656-Y656</f>
        <v>0.15668202764977</v>
      </c>
      <c r="AD656" s="14" t="n">
        <f aca="false">IF(K656-S656-P656+U656=0,0,(M656-P656)/(K656-S656-P656+U656))</f>
        <v>0.318611987381704</v>
      </c>
      <c r="AE656" s="15" t="n">
        <f aca="false">IF(J656=0,0,R656/J656)</f>
        <v>0.0905349794238683</v>
      </c>
      <c r="AF656" s="15" t="n">
        <f aca="false">IF(J656=0,0,S656/J656)</f>
        <v>0.226337448559671</v>
      </c>
      <c r="AG656" s="11" t="n">
        <f aca="false">IF(J656&gt;=INDEX(球季參數!$E$2:$E$4,MATCH($A656,球季參數!$A$2:$A$4,0)),1,0)</f>
        <v>0</v>
      </c>
    </row>
    <row r="657" customFormat="false" ht="15" hidden="false" customHeight="false" outlineLevel="0" collapsed="false">
      <c r="A657" s="5" t="n">
        <v>2026</v>
      </c>
      <c r="B657" s="7" t="s">
        <v>687</v>
      </c>
      <c r="C657" s="10" t="str">
        <f aca="false">INDEX(球員主檔!$B$2:$B$749,MATCH($B657,球員主檔!$A$2:$A$749,0))</f>
        <v>Thaddeus Sorrentino</v>
      </c>
      <c r="D657" s="7" t="s">
        <v>362</v>
      </c>
      <c r="E657" s="10" t="str">
        <f aca="false">INDEX(球隊主檔!$C$2:$C$31,MATCH($D657,球隊主檔!$A$2:$A$31,0))</f>
        <v>芝加哥白襪</v>
      </c>
      <c r="F657" s="10" t="str">
        <f aca="false">INDEX(球隊主檔!$D$2:$D$31,MATCH($D657,球隊主檔!$A$2:$A$31,0))</f>
        <v>美聯</v>
      </c>
      <c r="G657" s="7" t="s">
        <v>486</v>
      </c>
      <c r="H657" s="11" t="n">
        <f aca="false">INT((DATE($A657,7,1)-INDEX(球員主檔!$G$2:$G$749,MATCH($B657,球員主檔!$A$2:$A$749,0)))/365.25)</f>
        <v>28</v>
      </c>
      <c r="I657" s="12" t="n">
        <v>103</v>
      </c>
      <c r="J657" s="12" t="n">
        <v>446</v>
      </c>
      <c r="K657" s="12" t="n">
        <v>405</v>
      </c>
      <c r="L657" s="12" t="n">
        <v>41</v>
      </c>
      <c r="M657" s="12" t="n">
        <v>89</v>
      </c>
      <c r="N657" s="12" t="n">
        <v>30</v>
      </c>
      <c r="O657" s="12" t="n">
        <v>7</v>
      </c>
      <c r="P657" s="12" t="n">
        <v>9</v>
      </c>
      <c r="Q657" s="12" t="n">
        <v>44</v>
      </c>
      <c r="R657" s="12" t="n">
        <v>31</v>
      </c>
      <c r="S657" s="12" t="n">
        <v>100</v>
      </c>
      <c r="T657" s="12" t="n">
        <v>8</v>
      </c>
      <c r="U657" s="12" t="n">
        <v>2</v>
      </c>
      <c r="V657" s="12" t="n">
        <v>9</v>
      </c>
      <c r="W657" s="12" t="n">
        <v>2</v>
      </c>
      <c r="X657" s="13" t="n">
        <f aca="false">M657+N657+2*O657+3*P657</f>
        <v>160</v>
      </c>
      <c r="Y657" s="14" t="n">
        <f aca="false">IF(K657=0,0,M657/K657)</f>
        <v>0.219753086419753</v>
      </c>
      <c r="Z657" s="14" t="n">
        <f aca="false">IF(K657+R657+T657+U657=0,0,(M657+R657+T657)/(K657+R657+T657+U657))</f>
        <v>0.286995515695067</v>
      </c>
      <c r="AA657" s="14" t="n">
        <f aca="false">IF(K657=0,0,X657/K657)</f>
        <v>0.395061728395062</v>
      </c>
      <c r="AB657" s="14" t="n">
        <f aca="false">Z657+AA657</f>
        <v>0.682057244090129</v>
      </c>
      <c r="AC657" s="14" t="n">
        <f aca="false">AA657-Y657</f>
        <v>0.175308641975309</v>
      </c>
      <c r="AD657" s="14" t="n">
        <f aca="false">IF(K657-S657-P657+U657=0,0,(M657-P657)/(K657-S657-P657+U657))</f>
        <v>0.268456375838926</v>
      </c>
      <c r="AE657" s="15" t="n">
        <f aca="false">IF(J657=0,0,R657/J657)</f>
        <v>0.0695067264573991</v>
      </c>
      <c r="AF657" s="15" t="n">
        <f aca="false">IF(J657=0,0,S657/J657)</f>
        <v>0.224215246636771</v>
      </c>
      <c r="AG657" s="11" t="n">
        <f aca="false">IF(J657&gt;=INDEX(球季參數!$E$2:$E$4,MATCH($A657,球季參數!$A$2:$A$4,0)),1,0)</f>
        <v>0</v>
      </c>
    </row>
    <row r="658" customFormat="false" ht="15" hidden="false" customHeight="false" outlineLevel="0" collapsed="false">
      <c r="A658" s="5" t="n">
        <v>2026</v>
      </c>
      <c r="B658" s="7" t="s">
        <v>689</v>
      </c>
      <c r="C658" s="10" t="str">
        <f aca="false">INDEX(球員主檔!$B$2:$B$749,MATCH($B658,球員主檔!$A$2:$A$749,0))</f>
        <v>Tobias Villalobos</v>
      </c>
      <c r="D658" s="7" t="s">
        <v>362</v>
      </c>
      <c r="E658" s="10" t="str">
        <f aca="false">INDEX(球隊主檔!$C$2:$C$31,MATCH($D658,球隊主檔!$A$2:$A$31,0))</f>
        <v>芝加哥白襪</v>
      </c>
      <c r="F658" s="10" t="str">
        <f aca="false">INDEX(球隊主檔!$D$2:$D$31,MATCH($D658,球隊主檔!$A$2:$A$31,0))</f>
        <v>美聯</v>
      </c>
      <c r="G658" s="7" t="s">
        <v>522</v>
      </c>
      <c r="H658" s="11" t="n">
        <f aca="false">INT((DATE($A658,7,1)-INDEX(球員主檔!$G$2:$G$749,MATCH($B658,球員主檔!$A$2:$A$749,0)))/365.25)</f>
        <v>29</v>
      </c>
      <c r="I658" s="12" t="n">
        <v>110</v>
      </c>
      <c r="J658" s="12" t="n">
        <v>484</v>
      </c>
      <c r="K658" s="12" t="n">
        <v>441</v>
      </c>
      <c r="L658" s="12" t="n">
        <v>66</v>
      </c>
      <c r="M658" s="12" t="n">
        <v>127</v>
      </c>
      <c r="N658" s="12" t="n">
        <v>9</v>
      </c>
      <c r="O658" s="12" t="n">
        <v>6</v>
      </c>
      <c r="P658" s="12" t="n">
        <v>23</v>
      </c>
      <c r="Q658" s="12" t="n">
        <v>82</v>
      </c>
      <c r="R658" s="12" t="n">
        <v>34</v>
      </c>
      <c r="S658" s="12" t="n">
        <v>98</v>
      </c>
      <c r="T658" s="12" t="n">
        <v>3</v>
      </c>
      <c r="U658" s="12" t="n">
        <v>6</v>
      </c>
      <c r="V658" s="12" t="n">
        <v>8</v>
      </c>
      <c r="W658" s="12" t="n">
        <v>2</v>
      </c>
      <c r="X658" s="13" t="n">
        <f aca="false">M658+N658+2*O658+3*P658</f>
        <v>217</v>
      </c>
      <c r="Y658" s="14" t="n">
        <f aca="false">IF(K658=0,0,M658/K658)</f>
        <v>0.287981859410431</v>
      </c>
      <c r="Z658" s="14" t="n">
        <f aca="false">IF(K658+R658+T658+U658=0,0,(M658+R658+T658)/(K658+R658+T658+U658))</f>
        <v>0.338842975206612</v>
      </c>
      <c r="AA658" s="14" t="n">
        <f aca="false">IF(K658=0,0,X658/K658)</f>
        <v>0.492063492063492</v>
      </c>
      <c r="AB658" s="14" t="n">
        <f aca="false">Z658+AA658</f>
        <v>0.830906467270104</v>
      </c>
      <c r="AC658" s="14" t="n">
        <f aca="false">AA658-Y658</f>
        <v>0.204081632653061</v>
      </c>
      <c r="AD658" s="14" t="n">
        <f aca="false">IF(K658-S658-P658+U658=0,0,(M658-P658)/(K658-S658-P658+U658))</f>
        <v>0.319018404907975</v>
      </c>
      <c r="AE658" s="15" t="n">
        <f aca="false">IF(J658=0,0,R658/J658)</f>
        <v>0.0702479338842975</v>
      </c>
      <c r="AF658" s="15" t="n">
        <f aca="false">IF(J658=0,0,S658/J658)</f>
        <v>0.202479338842975</v>
      </c>
      <c r="AG658" s="11" t="n">
        <f aca="false">IF(J658&gt;=INDEX(球季參數!$E$2:$E$4,MATCH($A658,球季參數!$A$2:$A$4,0)),1,0)</f>
        <v>0</v>
      </c>
    </row>
    <row r="659" customFormat="false" ht="15" hidden="false" customHeight="false" outlineLevel="0" collapsed="false">
      <c r="A659" s="5" t="n">
        <v>2026</v>
      </c>
      <c r="B659" s="7" t="s">
        <v>1329</v>
      </c>
      <c r="C659" s="10" t="str">
        <f aca="false">INDEX(球員主檔!$B$2:$B$749,MATCH($B659,球員主檔!$A$2:$A$749,0))</f>
        <v>Caspian Lemieux</v>
      </c>
      <c r="D659" s="7" t="s">
        <v>362</v>
      </c>
      <c r="E659" s="10" t="str">
        <f aca="false">INDEX(球隊主檔!$C$2:$C$31,MATCH($D659,球隊主檔!$A$2:$A$31,0))</f>
        <v>芝加哥白襪</v>
      </c>
      <c r="F659" s="10" t="str">
        <f aca="false">INDEX(球隊主檔!$D$2:$D$31,MATCH($D659,球隊主檔!$A$2:$A$31,0))</f>
        <v>美聯</v>
      </c>
      <c r="G659" s="7" t="s">
        <v>63</v>
      </c>
      <c r="H659" s="11" t="n">
        <f aca="false">INT((DATE($A659,7,1)-INDEX(球員主檔!$G$2:$G$749,MATCH($B659,球員主檔!$A$2:$A$749,0)))/365.25)</f>
        <v>35</v>
      </c>
      <c r="I659" s="12" t="n">
        <v>94</v>
      </c>
      <c r="J659" s="12" t="n">
        <v>376</v>
      </c>
      <c r="K659" s="12" t="n">
        <v>319</v>
      </c>
      <c r="L659" s="12" t="n">
        <v>34</v>
      </c>
      <c r="M659" s="12" t="n">
        <v>67</v>
      </c>
      <c r="N659" s="12" t="n">
        <v>23</v>
      </c>
      <c r="O659" s="12" t="n">
        <v>7</v>
      </c>
      <c r="P659" s="12" t="n">
        <v>4</v>
      </c>
      <c r="Q659" s="12" t="n">
        <v>20</v>
      </c>
      <c r="R659" s="12" t="n">
        <v>46</v>
      </c>
      <c r="S659" s="12" t="n">
        <v>66</v>
      </c>
      <c r="T659" s="12" t="n">
        <v>7</v>
      </c>
      <c r="U659" s="12" t="n">
        <v>4</v>
      </c>
      <c r="V659" s="12" t="n">
        <v>1</v>
      </c>
      <c r="W659" s="12" t="n">
        <v>0</v>
      </c>
      <c r="X659" s="13" t="n">
        <f aca="false">M659+N659+2*O659+3*P659</f>
        <v>116</v>
      </c>
      <c r="Y659" s="14" t="n">
        <f aca="false">IF(K659=0,0,M659/K659)</f>
        <v>0.210031347962382</v>
      </c>
      <c r="Z659" s="14" t="n">
        <f aca="false">IF(K659+R659+T659+U659=0,0,(M659+R659+T659)/(K659+R659+T659+U659))</f>
        <v>0.319148936170213</v>
      </c>
      <c r="AA659" s="14" t="n">
        <f aca="false">IF(K659=0,0,X659/K659)</f>
        <v>0.363636363636364</v>
      </c>
      <c r="AB659" s="14" t="n">
        <f aca="false">Z659+AA659</f>
        <v>0.682785299806576</v>
      </c>
      <c r="AC659" s="14" t="n">
        <f aca="false">AA659-Y659</f>
        <v>0.153605015673981</v>
      </c>
      <c r="AD659" s="14" t="n">
        <f aca="false">IF(K659-S659-P659+U659=0,0,(M659-P659)/(K659-S659-P659+U659))</f>
        <v>0.24901185770751</v>
      </c>
      <c r="AE659" s="15" t="n">
        <f aca="false">IF(J659=0,0,R659/J659)</f>
        <v>0.122340425531915</v>
      </c>
      <c r="AF659" s="15" t="n">
        <f aca="false">IF(J659=0,0,S659/J659)</f>
        <v>0.175531914893617</v>
      </c>
      <c r="AG659" s="11" t="n">
        <f aca="false">IF(J659&gt;=INDEX(球季參數!$E$2:$E$4,MATCH($A659,球季參數!$A$2:$A$4,0)),1,0)</f>
        <v>0</v>
      </c>
    </row>
    <row r="660" customFormat="false" ht="15" hidden="false" customHeight="false" outlineLevel="0" collapsed="false">
      <c r="A660" s="5" t="n">
        <v>2026</v>
      </c>
      <c r="B660" s="7" t="s">
        <v>693</v>
      </c>
      <c r="C660" s="10" t="str">
        <f aca="false">INDEX(球員主檔!$B$2:$B$749,MATCH($B660,球員主檔!$A$2:$A$749,0))</f>
        <v>Soren Gallimore</v>
      </c>
      <c r="D660" s="7" t="s">
        <v>362</v>
      </c>
      <c r="E660" s="10" t="str">
        <f aca="false">INDEX(球隊主檔!$C$2:$C$31,MATCH($D660,球隊主檔!$A$2:$A$31,0))</f>
        <v>芝加哥白襪</v>
      </c>
      <c r="F660" s="10" t="str">
        <f aca="false">INDEX(球隊主檔!$D$2:$D$31,MATCH($D660,球隊主檔!$A$2:$A$31,0))</f>
        <v>美聯</v>
      </c>
      <c r="G660" s="7" t="s">
        <v>162</v>
      </c>
      <c r="H660" s="11" t="n">
        <f aca="false">INT((DATE($A660,7,1)-INDEX(球員主檔!$G$2:$G$749,MATCH($B660,球員主檔!$A$2:$A$749,0)))/365.25)</f>
        <v>24</v>
      </c>
      <c r="I660" s="12" t="n">
        <v>41</v>
      </c>
      <c r="J660" s="12" t="n">
        <v>181</v>
      </c>
      <c r="K660" s="12" t="n">
        <v>172</v>
      </c>
      <c r="L660" s="12" t="n">
        <v>22</v>
      </c>
      <c r="M660" s="12" t="n">
        <v>47</v>
      </c>
      <c r="N660" s="12" t="n">
        <v>15</v>
      </c>
      <c r="O660" s="12" t="n">
        <v>3</v>
      </c>
      <c r="P660" s="12" t="n">
        <v>8</v>
      </c>
      <c r="Q660" s="12" t="n">
        <v>23</v>
      </c>
      <c r="R660" s="12" t="n">
        <v>4</v>
      </c>
      <c r="S660" s="12" t="n">
        <v>34</v>
      </c>
      <c r="T660" s="12" t="n">
        <v>3</v>
      </c>
      <c r="U660" s="12" t="n">
        <v>2</v>
      </c>
      <c r="V660" s="12" t="n">
        <v>5</v>
      </c>
      <c r="W660" s="12" t="n">
        <v>1</v>
      </c>
      <c r="X660" s="13" t="n">
        <f aca="false">M660+N660+2*O660+3*P660</f>
        <v>92</v>
      </c>
      <c r="Y660" s="14" t="n">
        <f aca="false">IF(K660=0,0,M660/K660)</f>
        <v>0.273255813953488</v>
      </c>
      <c r="Z660" s="14" t="n">
        <f aca="false">IF(K660+R660+T660+U660=0,0,(M660+R660+T660)/(K660+R660+T660+U660))</f>
        <v>0.298342541436464</v>
      </c>
      <c r="AA660" s="14" t="n">
        <f aca="false">IF(K660=0,0,X660/K660)</f>
        <v>0.534883720930233</v>
      </c>
      <c r="AB660" s="14" t="n">
        <f aca="false">Z660+AA660</f>
        <v>0.833226262366697</v>
      </c>
      <c r="AC660" s="14" t="n">
        <f aca="false">AA660-Y660</f>
        <v>0.261627906976744</v>
      </c>
      <c r="AD660" s="14" t="n">
        <f aca="false">IF(K660-S660-P660+U660=0,0,(M660-P660)/(K660-S660-P660+U660))</f>
        <v>0.295454545454545</v>
      </c>
      <c r="AE660" s="15" t="n">
        <f aca="false">IF(J660=0,0,R660/J660)</f>
        <v>0.0220994475138122</v>
      </c>
      <c r="AF660" s="15" t="n">
        <f aca="false">IF(J660=0,0,S660/J660)</f>
        <v>0.187845303867403</v>
      </c>
      <c r="AG660" s="11" t="n">
        <f aca="false">IF(J660&gt;=INDEX(球季參數!$E$2:$E$4,MATCH($A660,球季參數!$A$2:$A$4,0)),1,0)</f>
        <v>0</v>
      </c>
    </row>
    <row r="661" customFormat="false" ht="15" hidden="false" customHeight="false" outlineLevel="0" collapsed="false">
      <c r="A661" s="5" t="n">
        <v>2026</v>
      </c>
      <c r="B661" s="7" t="s">
        <v>695</v>
      </c>
      <c r="C661" s="10" t="str">
        <f aca="false">INDEX(球員主檔!$B$2:$B$749,MATCH($B661,球員主檔!$A$2:$A$749,0))</f>
        <v>Matthias Ferreira</v>
      </c>
      <c r="D661" s="7" t="s">
        <v>362</v>
      </c>
      <c r="E661" s="10" t="str">
        <f aca="false">INDEX(球隊主檔!$C$2:$C$31,MATCH($D661,球隊主檔!$A$2:$A$31,0))</f>
        <v>芝加哥白襪</v>
      </c>
      <c r="F661" s="10" t="str">
        <f aca="false">INDEX(球隊主檔!$D$2:$D$31,MATCH($D661,球隊主檔!$A$2:$A$31,0))</f>
        <v>美聯</v>
      </c>
      <c r="G661" s="7" t="s">
        <v>162</v>
      </c>
      <c r="H661" s="11" t="n">
        <f aca="false">INT((DATE($A661,7,1)-INDEX(球員主檔!$G$2:$G$749,MATCH($B661,球員主檔!$A$2:$A$749,0)))/365.25)</f>
        <v>29</v>
      </c>
      <c r="I661" s="12" t="n">
        <v>37</v>
      </c>
      <c r="J661" s="12" t="n">
        <v>162</v>
      </c>
      <c r="K661" s="12" t="n">
        <v>151</v>
      </c>
      <c r="L661" s="12" t="n">
        <v>20</v>
      </c>
      <c r="M661" s="12" t="n">
        <v>42</v>
      </c>
      <c r="N661" s="12" t="n">
        <v>13</v>
      </c>
      <c r="O661" s="12" t="n">
        <v>3</v>
      </c>
      <c r="P661" s="12" t="n">
        <v>8</v>
      </c>
      <c r="Q661" s="12" t="n">
        <v>24</v>
      </c>
      <c r="R661" s="12" t="n">
        <v>8</v>
      </c>
      <c r="S661" s="12" t="n">
        <v>47</v>
      </c>
      <c r="T661" s="12" t="n">
        <v>2</v>
      </c>
      <c r="U661" s="12" t="n">
        <v>1</v>
      </c>
      <c r="V661" s="12" t="n">
        <v>2</v>
      </c>
      <c r="W661" s="12" t="n">
        <v>0</v>
      </c>
      <c r="X661" s="13" t="n">
        <f aca="false">M661+N661+2*O661+3*P661</f>
        <v>85</v>
      </c>
      <c r="Y661" s="14" t="n">
        <f aca="false">IF(K661=0,0,M661/K661)</f>
        <v>0.278145695364238</v>
      </c>
      <c r="Z661" s="14" t="n">
        <f aca="false">IF(K661+R661+T661+U661=0,0,(M661+R661+T661)/(K661+R661+T661+U661))</f>
        <v>0.320987654320988</v>
      </c>
      <c r="AA661" s="14" t="n">
        <f aca="false">IF(K661=0,0,X661/K661)</f>
        <v>0.562913907284768</v>
      </c>
      <c r="AB661" s="14" t="n">
        <f aca="false">Z661+AA661</f>
        <v>0.883901561605756</v>
      </c>
      <c r="AC661" s="14" t="n">
        <f aca="false">AA661-Y661</f>
        <v>0.28476821192053</v>
      </c>
      <c r="AD661" s="14" t="n">
        <f aca="false">IF(K661-S661-P661+U661=0,0,(M661-P661)/(K661-S661-P661+U661))</f>
        <v>0.350515463917526</v>
      </c>
      <c r="AE661" s="15" t="n">
        <f aca="false">IF(J661=0,0,R661/J661)</f>
        <v>0.0493827160493827</v>
      </c>
      <c r="AF661" s="15" t="n">
        <f aca="false">IF(J661=0,0,S661/J661)</f>
        <v>0.290123456790123</v>
      </c>
      <c r="AG661" s="11" t="n">
        <f aca="false">IF(J661&gt;=INDEX(球季參數!$E$2:$E$4,MATCH($A661,球季參數!$A$2:$A$4,0)),1,0)</f>
        <v>0</v>
      </c>
    </row>
    <row r="662" customFormat="false" ht="15" hidden="false" customHeight="false" outlineLevel="0" collapsed="false">
      <c r="A662" s="5" t="n">
        <v>2026</v>
      </c>
      <c r="B662" s="7" t="s">
        <v>1699</v>
      </c>
      <c r="C662" s="10" t="str">
        <f aca="false">INDEX(球員主檔!$B$2:$B$749,MATCH($B662,球員主檔!$A$2:$A$749,0))</f>
        <v>Osvaldo Halloway</v>
      </c>
      <c r="D662" s="7" t="s">
        <v>367</v>
      </c>
      <c r="E662" s="10" t="str">
        <f aca="false">INDEX(球隊主檔!$C$2:$C$31,MATCH($D662,球隊主檔!$A$2:$A$31,0))</f>
        <v>克里夫蘭守護者</v>
      </c>
      <c r="F662" s="10" t="str">
        <f aca="false">INDEX(球隊主檔!$D$2:$D$31,MATCH($D662,球隊主檔!$A$2:$A$31,0))</f>
        <v>美聯</v>
      </c>
      <c r="G662" s="7" t="s">
        <v>486</v>
      </c>
      <c r="H662" s="11" t="n">
        <f aca="false">INT((DATE($A662,7,1)-INDEX(球員主檔!$G$2:$G$749,MATCH($B662,球員主檔!$A$2:$A$749,0)))/365.25)</f>
        <v>25</v>
      </c>
      <c r="I662" s="12" t="n">
        <v>141</v>
      </c>
      <c r="J662" s="12" t="n">
        <v>590</v>
      </c>
      <c r="K662" s="12" t="n">
        <v>539</v>
      </c>
      <c r="L662" s="12" t="n">
        <v>79</v>
      </c>
      <c r="M662" s="12" t="n">
        <v>136</v>
      </c>
      <c r="N662" s="12" t="n">
        <v>27</v>
      </c>
      <c r="O662" s="12" t="n">
        <v>1</v>
      </c>
      <c r="P662" s="12" t="n">
        <v>28</v>
      </c>
      <c r="Q662" s="12" t="n">
        <v>87</v>
      </c>
      <c r="R662" s="12" t="n">
        <v>34</v>
      </c>
      <c r="S662" s="12" t="n">
        <v>138</v>
      </c>
      <c r="T662" s="12" t="n">
        <v>10</v>
      </c>
      <c r="U662" s="12" t="n">
        <v>7</v>
      </c>
      <c r="V662" s="12" t="n">
        <v>4</v>
      </c>
      <c r="W662" s="12" t="n">
        <v>1</v>
      </c>
      <c r="X662" s="13" t="n">
        <f aca="false">M662+N662+2*O662+3*P662</f>
        <v>249</v>
      </c>
      <c r="Y662" s="14" t="n">
        <f aca="false">IF(K662=0,0,M662/K662)</f>
        <v>0.252319109461967</v>
      </c>
      <c r="Z662" s="14" t="n">
        <f aca="false">IF(K662+R662+T662+U662=0,0,(M662+R662+T662)/(K662+R662+T662+U662))</f>
        <v>0.305084745762712</v>
      </c>
      <c r="AA662" s="14" t="n">
        <f aca="false">IF(K662=0,0,X662/K662)</f>
        <v>0.461966604823748</v>
      </c>
      <c r="AB662" s="14" t="n">
        <f aca="false">Z662+AA662</f>
        <v>0.76705135058646</v>
      </c>
      <c r="AC662" s="14" t="n">
        <f aca="false">AA662-Y662</f>
        <v>0.209647495361781</v>
      </c>
      <c r="AD662" s="14" t="n">
        <f aca="false">IF(K662-S662-P662+U662=0,0,(M662-P662)/(K662-S662-P662+U662))</f>
        <v>0.284210526315789</v>
      </c>
      <c r="AE662" s="15" t="n">
        <f aca="false">IF(J662=0,0,R662/J662)</f>
        <v>0.0576271186440678</v>
      </c>
      <c r="AF662" s="15" t="n">
        <f aca="false">IF(J662=0,0,S662/J662)</f>
        <v>0.233898305084746</v>
      </c>
      <c r="AG662" s="11" t="n">
        <f aca="false">IF(J662&gt;=INDEX(球季參數!$E$2:$E$4,MATCH($A662,球季參數!$A$2:$A$4,0)),1,0)</f>
        <v>1</v>
      </c>
    </row>
    <row r="663" customFormat="false" ht="15" hidden="false" customHeight="false" outlineLevel="0" collapsed="false">
      <c r="A663" s="5" t="n">
        <v>2026</v>
      </c>
      <c r="B663" s="7" t="s">
        <v>599</v>
      </c>
      <c r="C663" s="10" t="str">
        <f aca="false">INDEX(球員主檔!$B$2:$B$749,MATCH($B663,球員主檔!$A$2:$A$749,0))</f>
        <v>Landon Gallimore</v>
      </c>
      <c r="D663" s="7" t="s">
        <v>367</v>
      </c>
      <c r="E663" s="10" t="str">
        <f aca="false">INDEX(球隊主檔!$C$2:$C$31,MATCH($D663,球隊主檔!$A$2:$A$31,0))</f>
        <v>克里夫蘭守護者</v>
      </c>
      <c r="F663" s="10" t="str">
        <f aca="false">INDEX(球隊主檔!$D$2:$D$31,MATCH($D663,球隊主檔!$A$2:$A$31,0))</f>
        <v>美聯</v>
      </c>
      <c r="G663" s="7" t="s">
        <v>63</v>
      </c>
      <c r="H663" s="11" t="n">
        <f aca="false">INT((DATE($A663,7,1)-INDEX(球員主檔!$G$2:$G$749,MATCH($B663,球員主檔!$A$2:$A$749,0)))/365.25)</f>
        <v>32</v>
      </c>
      <c r="I663" s="12" t="n">
        <v>142</v>
      </c>
      <c r="J663" s="12" t="n">
        <v>638</v>
      </c>
      <c r="K663" s="12" t="n">
        <v>577</v>
      </c>
      <c r="L663" s="12" t="n">
        <v>61</v>
      </c>
      <c r="M663" s="12" t="n">
        <v>136</v>
      </c>
      <c r="N663" s="12" t="n">
        <v>29</v>
      </c>
      <c r="O663" s="12" t="n">
        <v>2</v>
      </c>
      <c r="P663" s="12" t="n">
        <v>9</v>
      </c>
      <c r="Q663" s="12" t="n">
        <v>55</v>
      </c>
      <c r="R663" s="12" t="n">
        <v>51</v>
      </c>
      <c r="S663" s="12" t="n">
        <v>118</v>
      </c>
      <c r="T663" s="12" t="n">
        <v>7</v>
      </c>
      <c r="U663" s="12" t="n">
        <v>3</v>
      </c>
      <c r="V663" s="12" t="n">
        <v>12</v>
      </c>
      <c r="W663" s="12" t="n">
        <v>3</v>
      </c>
      <c r="X663" s="13" t="n">
        <f aca="false">M663+N663+2*O663+3*P663</f>
        <v>196</v>
      </c>
      <c r="Y663" s="14" t="n">
        <f aca="false">IF(K663=0,0,M663/K663)</f>
        <v>0.235701906412478</v>
      </c>
      <c r="Z663" s="14" t="n">
        <f aca="false">IF(K663+R663+T663+U663=0,0,(M663+R663+T663)/(K663+R663+T663+U663))</f>
        <v>0.304075235109718</v>
      </c>
      <c r="AA663" s="14" t="n">
        <f aca="false">IF(K663=0,0,X663/K663)</f>
        <v>0.339688041594454</v>
      </c>
      <c r="AB663" s="14" t="n">
        <f aca="false">Z663+AA663</f>
        <v>0.643763276704172</v>
      </c>
      <c r="AC663" s="14" t="n">
        <f aca="false">AA663-Y663</f>
        <v>0.103986135181976</v>
      </c>
      <c r="AD663" s="14" t="n">
        <f aca="false">IF(K663-S663-P663+U663=0,0,(M663-P663)/(K663-S663-P663+U663))</f>
        <v>0.280353200883002</v>
      </c>
      <c r="AE663" s="15" t="n">
        <f aca="false">IF(J663=0,0,R663/J663)</f>
        <v>0.0799373040752351</v>
      </c>
      <c r="AF663" s="15" t="n">
        <f aca="false">IF(J663=0,0,S663/J663)</f>
        <v>0.184952978056426</v>
      </c>
      <c r="AG663" s="11" t="n">
        <f aca="false">IF(J663&gt;=INDEX(球季參數!$E$2:$E$4,MATCH($A663,球季參數!$A$2:$A$4,0)),1,0)</f>
        <v>1</v>
      </c>
    </row>
    <row r="664" customFormat="false" ht="15" hidden="false" customHeight="false" outlineLevel="0" collapsed="false">
      <c r="A664" s="5" t="n">
        <v>2026</v>
      </c>
      <c r="B664" s="7" t="s">
        <v>721</v>
      </c>
      <c r="C664" s="10" t="str">
        <f aca="false">INDEX(球員主檔!$B$2:$B$749,MATCH($B664,球員主檔!$A$2:$A$749,0))</f>
        <v>Lorenzo Jovanović</v>
      </c>
      <c r="D664" s="7" t="s">
        <v>367</v>
      </c>
      <c r="E664" s="10" t="str">
        <f aca="false">INDEX(球隊主檔!$C$2:$C$31,MATCH($D664,球隊主檔!$A$2:$A$31,0))</f>
        <v>克里夫蘭守護者</v>
      </c>
      <c r="F664" s="10" t="str">
        <f aca="false">INDEX(球隊主檔!$D$2:$D$31,MATCH($D664,球隊主檔!$A$2:$A$31,0))</f>
        <v>美聯</v>
      </c>
      <c r="G664" s="7" t="s">
        <v>470</v>
      </c>
      <c r="H664" s="11" t="n">
        <f aca="false">INT((DATE($A664,7,1)-INDEX(球員主檔!$G$2:$G$749,MATCH($B664,球員主檔!$A$2:$A$749,0)))/365.25)</f>
        <v>24</v>
      </c>
      <c r="I664" s="12" t="n">
        <v>162</v>
      </c>
      <c r="J664" s="12" t="n">
        <v>659</v>
      </c>
      <c r="K664" s="12" t="n">
        <v>580</v>
      </c>
      <c r="L664" s="12" t="n">
        <v>85</v>
      </c>
      <c r="M664" s="12" t="n">
        <v>136</v>
      </c>
      <c r="N664" s="12" t="n">
        <v>41</v>
      </c>
      <c r="O664" s="12" t="n">
        <v>8</v>
      </c>
      <c r="P664" s="12" t="n">
        <v>28</v>
      </c>
      <c r="Q664" s="12" t="n">
        <v>84</v>
      </c>
      <c r="R664" s="12" t="n">
        <v>70</v>
      </c>
      <c r="S664" s="12" t="n">
        <v>138</v>
      </c>
      <c r="T664" s="12" t="n">
        <v>7</v>
      </c>
      <c r="U664" s="12" t="n">
        <v>2</v>
      </c>
      <c r="V664" s="12" t="n">
        <v>42</v>
      </c>
      <c r="W664" s="12" t="n">
        <v>14</v>
      </c>
      <c r="X664" s="13" t="n">
        <f aca="false">M664+N664+2*O664+3*P664</f>
        <v>277</v>
      </c>
      <c r="Y664" s="14" t="n">
        <f aca="false">IF(K664=0,0,M664/K664)</f>
        <v>0.23448275862069</v>
      </c>
      <c r="Z664" s="14" t="n">
        <f aca="false">IF(K664+R664+T664+U664=0,0,(M664+R664+T664)/(K664+R664+T664+U664))</f>
        <v>0.323216995447648</v>
      </c>
      <c r="AA664" s="14" t="n">
        <f aca="false">IF(K664=0,0,X664/K664)</f>
        <v>0.477586206896552</v>
      </c>
      <c r="AB664" s="14" t="n">
        <f aca="false">Z664+AA664</f>
        <v>0.8008032023442</v>
      </c>
      <c r="AC664" s="14" t="n">
        <f aca="false">AA664-Y664</f>
        <v>0.243103448275862</v>
      </c>
      <c r="AD664" s="14" t="n">
        <f aca="false">IF(K664-S664-P664+U664=0,0,(M664-P664)/(K664-S664-P664+U664))</f>
        <v>0.259615384615385</v>
      </c>
      <c r="AE664" s="15" t="n">
        <f aca="false">IF(J664=0,0,R664/J664)</f>
        <v>0.106221547799697</v>
      </c>
      <c r="AF664" s="15" t="n">
        <f aca="false">IF(J664=0,0,S664/J664)</f>
        <v>0.209408194233687</v>
      </c>
      <c r="AG664" s="11" t="n">
        <f aca="false">IF(J664&gt;=INDEX(球季參數!$E$2:$E$4,MATCH($A664,球季參數!$A$2:$A$4,0)),1,0)</f>
        <v>1</v>
      </c>
    </row>
    <row r="665" customFormat="false" ht="15" hidden="false" customHeight="false" outlineLevel="0" collapsed="false">
      <c r="A665" s="5" t="n">
        <v>2026</v>
      </c>
      <c r="B665" s="7" t="s">
        <v>837</v>
      </c>
      <c r="C665" s="10" t="str">
        <f aca="false">INDEX(球員主檔!$B$2:$B$749,MATCH($B665,球員主檔!$A$2:$A$749,0))</f>
        <v>Dashiell Uchendu</v>
      </c>
      <c r="D665" s="7" t="s">
        <v>367</v>
      </c>
      <c r="E665" s="10" t="str">
        <f aca="false">INDEX(球隊主檔!$C$2:$C$31,MATCH($D665,球隊主檔!$A$2:$A$31,0))</f>
        <v>克里夫蘭守護者</v>
      </c>
      <c r="F665" s="10" t="str">
        <f aca="false">INDEX(球隊主檔!$D$2:$D$31,MATCH($D665,球隊主檔!$A$2:$A$31,0))</f>
        <v>美聯</v>
      </c>
      <c r="G665" s="7" t="s">
        <v>522</v>
      </c>
      <c r="H665" s="11" t="n">
        <f aca="false">INT((DATE($A665,7,1)-INDEX(球員主檔!$G$2:$G$749,MATCH($B665,球員主檔!$A$2:$A$749,0)))/365.25)</f>
        <v>35</v>
      </c>
      <c r="I665" s="12" t="n">
        <v>162</v>
      </c>
      <c r="J665" s="12" t="n">
        <v>653</v>
      </c>
      <c r="K665" s="12" t="n">
        <v>561</v>
      </c>
      <c r="L665" s="12" t="n">
        <v>61</v>
      </c>
      <c r="M665" s="12" t="n">
        <v>110</v>
      </c>
      <c r="N665" s="12" t="n">
        <v>35</v>
      </c>
      <c r="O665" s="12" t="n">
        <v>6</v>
      </c>
      <c r="P665" s="12" t="n">
        <v>19</v>
      </c>
      <c r="Q665" s="12" t="n">
        <v>72</v>
      </c>
      <c r="R665" s="12" t="n">
        <v>82</v>
      </c>
      <c r="S665" s="12" t="n">
        <v>172</v>
      </c>
      <c r="T665" s="12" t="n">
        <v>8</v>
      </c>
      <c r="U665" s="12" t="n">
        <v>2</v>
      </c>
      <c r="V665" s="12" t="n">
        <v>14</v>
      </c>
      <c r="W665" s="12" t="n">
        <v>5</v>
      </c>
      <c r="X665" s="13" t="n">
        <f aca="false">M665+N665+2*O665+3*P665</f>
        <v>214</v>
      </c>
      <c r="Y665" s="14" t="n">
        <f aca="false">IF(K665=0,0,M665/K665)</f>
        <v>0.196078431372549</v>
      </c>
      <c r="Z665" s="14" t="n">
        <f aca="false">IF(K665+R665+T665+U665=0,0,(M665+R665+T665)/(K665+R665+T665+U665))</f>
        <v>0.306278713629403</v>
      </c>
      <c r="AA665" s="14" t="n">
        <f aca="false">IF(K665=0,0,X665/K665)</f>
        <v>0.381461675579323</v>
      </c>
      <c r="AB665" s="14" t="n">
        <f aca="false">Z665+AA665</f>
        <v>0.687740389208725</v>
      </c>
      <c r="AC665" s="14" t="n">
        <f aca="false">AA665-Y665</f>
        <v>0.185383244206774</v>
      </c>
      <c r="AD665" s="14" t="n">
        <f aca="false">IF(K665-S665-P665+U665=0,0,(M665-P665)/(K665-S665-P665+U665))</f>
        <v>0.244623655913979</v>
      </c>
      <c r="AE665" s="15" t="n">
        <f aca="false">IF(J665=0,0,R665/J665)</f>
        <v>0.125574272588055</v>
      </c>
      <c r="AF665" s="15" t="n">
        <f aca="false">IF(J665=0,0,S665/J665)</f>
        <v>0.263399693721286</v>
      </c>
      <c r="AG665" s="11" t="n">
        <f aca="false">IF(J665&gt;=INDEX(球季參數!$E$2:$E$4,MATCH($A665,球季參數!$A$2:$A$4,0)),1,0)</f>
        <v>1</v>
      </c>
    </row>
    <row r="666" customFormat="false" ht="15" hidden="false" customHeight="false" outlineLevel="0" collapsed="false">
      <c r="A666" s="5" t="n">
        <v>2026</v>
      </c>
      <c r="B666" s="7" t="s">
        <v>725</v>
      </c>
      <c r="C666" s="10" t="str">
        <f aca="false">INDEX(球員主檔!$B$2:$B$749,MATCH($B666,球員主檔!$A$2:$A$749,0))</f>
        <v>Quentin Vasquez</v>
      </c>
      <c r="D666" s="7" t="s">
        <v>367</v>
      </c>
      <c r="E666" s="10" t="str">
        <f aca="false">INDEX(球隊主檔!$C$2:$C$31,MATCH($D666,球隊主檔!$A$2:$A$31,0))</f>
        <v>克里夫蘭守護者</v>
      </c>
      <c r="F666" s="10" t="str">
        <f aca="false">INDEX(球隊主檔!$D$2:$D$31,MATCH($D666,球隊主檔!$A$2:$A$31,0))</f>
        <v>美聯</v>
      </c>
      <c r="G666" s="7" t="s">
        <v>158</v>
      </c>
      <c r="H666" s="11" t="n">
        <f aca="false">INT((DATE($A666,7,1)-INDEX(球員主檔!$G$2:$G$749,MATCH($B666,球員主檔!$A$2:$A$749,0)))/365.25)</f>
        <v>33</v>
      </c>
      <c r="I666" s="12" t="n">
        <v>140</v>
      </c>
      <c r="J666" s="12" t="n">
        <v>632</v>
      </c>
      <c r="K666" s="12" t="n">
        <v>603</v>
      </c>
      <c r="L666" s="12" t="n">
        <v>81</v>
      </c>
      <c r="M666" s="12" t="n">
        <v>144</v>
      </c>
      <c r="N666" s="12" t="n">
        <v>18</v>
      </c>
      <c r="O666" s="12" t="n">
        <v>9</v>
      </c>
      <c r="P666" s="12" t="n">
        <v>36</v>
      </c>
      <c r="Q666" s="12" t="n">
        <v>123</v>
      </c>
      <c r="R666" s="12" t="n">
        <v>22</v>
      </c>
      <c r="S666" s="12" t="n">
        <v>163</v>
      </c>
      <c r="T666" s="12" t="n">
        <v>1</v>
      </c>
      <c r="U666" s="12" t="n">
        <v>6</v>
      </c>
      <c r="V666" s="12" t="n">
        <v>15</v>
      </c>
      <c r="W666" s="12" t="n">
        <v>5</v>
      </c>
      <c r="X666" s="13" t="n">
        <f aca="false">M666+N666+2*O666+3*P666</f>
        <v>288</v>
      </c>
      <c r="Y666" s="14" t="n">
        <f aca="false">IF(K666=0,0,M666/K666)</f>
        <v>0.238805970149254</v>
      </c>
      <c r="Z666" s="14" t="n">
        <f aca="false">IF(K666+R666+T666+U666=0,0,(M666+R666+T666)/(K666+R666+T666+U666))</f>
        <v>0.264240506329114</v>
      </c>
      <c r="AA666" s="14" t="n">
        <f aca="false">IF(K666=0,0,X666/K666)</f>
        <v>0.477611940298507</v>
      </c>
      <c r="AB666" s="14" t="n">
        <f aca="false">Z666+AA666</f>
        <v>0.741852446627621</v>
      </c>
      <c r="AC666" s="14" t="n">
        <f aca="false">AA666-Y666</f>
        <v>0.238805970149254</v>
      </c>
      <c r="AD666" s="14" t="n">
        <f aca="false">IF(K666-S666-P666+U666=0,0,(M666-P666)/(K666-S666-P666+U666))</f>
        <v>0.263414634146342</v>
      </c>
      <c r="AE666" s="15" t="n">
        <f aca="false">IF(J666=0,0,R666/J666)</f>
        <v>0.0348101265822785</v>
      </c>
      <c r="AF666" s="15" t="n">
        <f aca="false">IF(J666=0,0,S666/J666)</f>
        <v>0.257911392405063</v>
      </c>
      <c r="AG666" s="11" t="n">
        <f aca="false">IF(J666&gt;=INDEX(球季參數!$E$2:$E$4,MATCH($A666,球季參數!$A$2:$A$4,0)),1,0)</f>
        <v>1</v>
      </c>
    </row>
    <row r="667" customFormat="false" ht="15" hidden="false" customHeight="false" outlineLevel="0" collapsed="false">
      <c r="A667" s="5" t="n">
        <v>2026</v>
      </c>
      <c r="B667" s="7" t="s">
        <v>557</v>
      </c>
      <c r="C667" s="10" t="str">
        <f aca="false">INDEX(球員主檔!$B$2:$B$749,MATCH($B667,球員主檔!$A$2:$A$749,0))</f>
        <v>Vicente Ferreira</v>
      </c>
      <c r="D667" s="7" t="s">
        <v>367</v>
      </c>
      <c r="E667" s="10" t="str">
        <f aca="false">INDEX(球隊主檔!$C$2:$C$31,MATCH($D667,球隊主檔!$A$2:$A$31,0))</f>
        <v>克里夫蘭守護者</v>
      </c>
      <c r="F667" s="10" t="str">
        <f aca="false">INDEX(球隊主檔!$D$2:$D$31,MATCH($D667,球隊主檔!$A$2:$A$31,0))</f>
        <v>美聯</v>
      </c>
      <c r="G667" s="7" t="s">
        <v>483</v>
      </c>
      <c r="H667" s="11" t="n">
        <f aca="false">INT((DATE($A667,7,1)-INDEX(球員主檔!$G$2:$G$749,MATCH($B667,球員主檔!$A$2:$A$749,0)))/365.25)</f>
        <v>35</v>
      </c>
      <c r="I667" s="12" t="n">
        <v>99</v>
      </c>
      <c r="J667" s="12" t="n">
        <v>439</v>
      </c>
      <c r="K667" s="12" t="n">
        <v>401</v>
      </c>
      <c r="L667" s="12" t="n">
        <v>48</v>
      </c>
      <c r="M667" s="12" t="n">
        <v>110</v>
      </c>
      <c r="N667" s="12" t="n">
        <v>21</v>
      </c>
      <c r="O667" s="12" t="n">
        <v>6</v>
      </c>
      <c r="P667" s="12" t="n">
        <v>7</v>
      </c>
      <c r="Q667" s="12" t="n">
        <v>40</v>
      </c>
      <c r="R667" s="12" t="n">
        <v>29</v>
      </c>
      <c r="S667" s="12" t="n">
        <v>109</v>
      </c>
      <c r="T667" s="12" t="n">
        <v>5</v>
      </c>
      <c r="U667" s="12" t="n">
        <v>4</v>
      </c>
      <c r="V667" s="12" t="n">
        <v>16</v>
      </c>
      <c r="W667" s="12" t="n">
        <v>3</v>
      </c>
      <c r="X667" s="13" t="n">
        <f aca="false">M667+N667+2*O667+3*P667</f>
        <v>164</v>
      </c>
      <c r="Y667" s="14" t="n">
        <f aca="false">IF(K667=0,0,M667/K667)</f>
        <v>0.27431421446384</v>
      </c>
      <c r="Z667" s="14" t="n">
        <f aca="false">IF(K667+R667+T667+U667=0,0,(M667+R667+T667)/(K667+R667+T667+U667))</f>
        <v>0.328018223234624</v>
      </c>
      <c r="AA667" s="14" t="n">
        <f aca="false">IF(K667=0,0,X667/K667)</f>
        <v>0.408977556109726</v>
      </c>
      <c r="AB667" s="14" t="n">
        <f aca="false">Z667+AA667</f>
        <v>0.73699577934435</v>
      </c>
      <c r="AC667" s="14" t="n">
        <f aca="false">AA667-Y667</f>
        <v>0.134663341645885</v>
      </c>
      <c r="AD667" s="14" t="n">
        <f aca="false">IF(K667-S667-P667+U667=0,0,(M667-P667)/(K667-S667-P667+U667))</f>
        <v>0.356401384083045</v>
      </c>
      <c r="AE667" s="15" t="n">
        <f aca="false">IF(J667=0,0,R667/J667)</f>
        <v>0.0660592255125285</v>
      </c>
      <c r="AF667" s="15" t="n">
        <f aca="false">IF(J667=0,0,S667/J667)</f>
        <v>0.248291571753986</v>
      </c>
      <c r="AG667" s="11" t="n">
        <f aca="false">IF(J667&gt;=INDEX(球季參數!$E$2:$E$4,MATCH($A667,球季參數!$A$2:$A$4,0)),1,0)</f>
        <v>0</v>
      </c>
    </row>
    <row r="668" customFormat="false" ht="15" hidden="false" customHeight="false" outlineLevel="0" collapsed="false">
      <c r="A668" s="5" t="n">
        <v>2026</v>
      </c>
      <c r="B668" s="7" t="s">
        <v>729</v>
      </c>
      <c r="C668" s="10" t="str">
        <f aca="false">INDEX(球員主檔!$B$2:$B$749,MATCH($B668,球員主檔!$A$2:$A$749,0))</f>
        <v>Yusuke Kowalczyk</v>
      </c>
      <c r="D668" s="7" t="s">
        <v>367</v>
      </c>
      <c r="E668" s="10" t="str">
        <f aca="false">INDEX(球隊主檔!$C$2:$C$31,MATCH($D668,球隊主檔!$A$2:$A$31,0))</f>
        <v>克里夫蘭守護者</v>
      </c>
      <c r="F668" s="10" t="str">
        <f aca="false">INDEX(球隊主檔!$D$2:$D$31,MATCH($D668,球隊主檔!$A$2:$A$31,0))</f>
        <v>美聯</v>
      </c>
      <c r="G668" s="7" t="s">
        <v>486</v>
      </c>
      <c r="H668" s="11" t="n">
        <f aca="false">INT((DATE($A668,7,1)-INDEX(球員主檔!$G$2:$G$749,MATCH($B668,球員主檔!$A$2:$A$749,0)))/365.25)</f>
        <v>30</v>
      </c>
      <c r="I668" s="12" t="n">
        <v>136</v>
      </c>
      <c r="J668" s="12" t="n">
        <v>533</v>
      </c>
      <c r="K668" s="12" t="n">
        <v>498</v>
      </c>
      <c r="L668" s="12" t="n">
        <v>60</v>
      </c>
      <c r="M668" s="12" t="n">
        <v>122</v>
      </c>
      <c r="N668" s="12" t="n">
        <v>21</v>
      </c>
      <c r="O668" s="12" t="n">
        <v>1</v>
      </c>
      <c r="P668" s="12" t="n">
        <v>19</v>
      </c>
      <c r="Q668" s="12" t="n">
        <v>63</v>
      </c>
      <c r="R668" s="12" t="n">
        <v>33</v>
      </c>
      <c r="S668" s="12" t="n">
        <v>64</v>
      </c>
      <c r="T668" s="12" t="n">
        <v>1</v>
      </c>
      <c r="U668" s="12" t="n">
        <v>1</v>
      </c>
      <c r="V668" s="12" t="n">
        <v>8</v>
      </c>
      <c r="W668" s="12" t="n">
        <v>2</v>
      </c>
      <c r="X668" s="13" t="n">
        <f aca="false">M668+N668+2*O668+3*P668</f>
        <v>202</v>
      </c>
      <c r="Y668" s="14" t="n">
        <f aca="false">IF(K668=0,0,M668/K668)</f>
        <v>0.244979919678715</v>
      </c>
      <c r="Z668" s="14" t="n">
        <f aca="false">IF(K668+R668+T668+U668=0,0,(M668+R668+T668)/(K668+R668+T668+U668))</f>
        <v>0.292682926829268</v>
      </c>
      <c r="AA668" s="14" t="n">
        <f aca="false">IF(K668=0,0,X668/K668)</f>
        <v>0.405622489959839</v>
      </c>
      <c r="AB668" s="14" t="n">
        <f aca="false">Z668+AA668</f>
        <v>0.698305416789108</v>
      </c>
      <c r="AC668" s="14" t="n">
        <f aca="false">AA668-Y668</f>
        <v>0.160642570281125</v>
      </c>
      <c r="AD668" s="14" t="n">
        <f aca="false">IF(K668-S668-P668+U668=0,0,(M668-P668)/(K668-S668-P668+U668))</f>
        <v>0.247596153846154</v>
      </c>
      <c r="AE668" s="15" t="n">
        <f aca="false">IF(J668=0,0,R668/J668)</f>
        <v>0.0619136960600375</v>
      </c>
      <c r="AF668" s="15" t="n">
        <f aca="false">IF(J668=0,0,S668/J668)</f>
        <v>0.120075046904315</v>
      </c>
      <c r="AG668" s="11" t="n">
        <f aca="false">IF(J668&gt;=INDEX(球季參數!$E$2:$E$4,MATCH($A668,球季參數!$A$2:$A$4,0)),1,0)</f>
        <v>1</v>
      </c>
    </row>
    <row r="669" customFormat="false" ht="15" hidden="false" customHeight="false" outlineLevel="0" collapsed="false">
      <c r="A669" s="5" t="n">
        <v>2026</v>
      </c>
      <c r="B669" s="7" t="s">
        <v>731</v>
      </c>
      <c r="C669" s="10" t="str">
        <f aca="false">INDEX(球員主檔!$B$2:$B$749,MATCH($B669,球員主檔!$A$2:$A$749,0))</f>
        <v>Rhett Oyelaran</v>
      </c>
      <c r="D669" s="7" t="s">
        <v>367</v>
      </c>
      <c r="E669" s="10" t="str">
        <f aca="false">INDEX(球隊主檔!$C$2:$C$31,MATCH($D669,球隊主檔!$A$2:$A$31,0))</f>
        <v>克里夫蘭守護者</v>
      </c>
      <c r="F669" s="10" t="str">
        <f aca="false">INDEX(球隊主檔!$D$2:$D$31,MATCH($D669,球隊主檔!$A$2:$A$31,0))</f>
        <v>美聯</v>
      </c>
      <c r="G669" s="7" t="s">
        <v>478</v>
      </c>
      <c r="H669" s="11" t="n">
        <f aca="false">INT((DATE($A669,7,1)-INDEX(球員主檔!$G$2:$G$749,MATCH($B669,球員主檔!$A$2:$A$749,0)))/365.25)</f>
        <v>23</v>
      </c>
      <c r="I669" s="12" t="n">
        <v>105</v>
      </c>
      <c r="J669" s="12" t="n">
        <v>461</v>
      </c>
      <c r="K669" s="12" t="n">
        <v>396</v>
      </c>
      <c r="L669" s="12" t="n">
        <v>57</v>
      </c>
      <c r="M669" s="12" t="n">
        <v>99</v>
      </c>
      <c r="N669" s="12" t="n">
        <v>21</v>
      </c>
      <c r="O669" s="12" t="n">
        <v>4</v>
      </c>
      <c r="P669" s="12" t="n">
        <v>18</v>
      </c>
      <c r="Q669" s="12" t="n">
        <v>60</v>
      </c>
      <c r="R669" s="12" t="n">
        <v>55</v>
      </c>
      <c r="S669" s="12" t="n">
        <v>108</v>
      </c>
      <c r="T669" s="12" t="n">
        <v>8</v>
      </c>
      <c r="U669" s="12" t="n">
        <v>2</v>
      </c>
      <c r="V669" s="12" t="n">
        <v>6</v>
      </c>
      <c r="W669" s="12" t="n">
        <v>1</v>
      </c>
      <c r="X669" s="13" t="n">
        <f aca="false">M669+N669+2*O669+3*P669</f>
        <v>182</v>
      </c>
      <c r="Y669" s="14" t="n">
        <f aca="false">IF(K669=0,0,M669/K669)</f>
        <v>0.25</v>
      </c>
      <c r="Z669" s="14" t="n">
        <f aca="false">IF(K669+R669+T669+U669=0,0,(M669+R669+T669)/(K669+R669+T669+U669))</f>
        <v>0.351409978308026</v>
      </c>
      <c r="AA669" s="14" t="n">
        <f aca="false">IF(K669=0,0,X669/K669)</f>
        <v>0.45959595959596</v>
      </c>
      <c r="AB669" s="14" t="n">
        <f aca="false">Z669+AA669</f>
        <v>0.811005937903986</v>
      </c>
      <c r="AC669" s="14" t="n">
        <f aca="false">AA669-Y669</f>
        <v>0.20959595959596</v>
      </c>
      <c r="AD669" s="14" t="n">
        <f aca="false">IF(K669-S669-P669+U669=0,0,(M669-P669)/(K669-S669-P669+U669))</f>
        <v>0.297794117647059</v>
      </c>
      <c r="AE669" s="15" t="n">
        <f aca="false">IF(J669=0,0,R669/J669)</f>
        <v>0.119305856832972</v>
      </c>
      <c r="AF669" s="15" t="n">
        <f aca="false">IF(J669=0,0,S669/J669)</f>
        <v>0.234273318872017</v>
      </c>
      <c r="AG669" s="11" t="n">
        <f aca="false">IF(J669&gt;=INDEX(球季參數!$E$2:$E$4,MATCH($A669,球季參數!$A$2:$A$4,0)),1,0)</f>
        <v>0</v>
      </c>
    </row>
    <row r="670" customFormat="false" ht="15" hidden="false" customHeight="false" outlineLevel="0" collapsed="false">
      <c r="A670" s="5" t="n">
        <v>2026</v>
      </c>
      <c r="B670" s="7" t="s">
        <v>733</v>
      </c>
      <c r="C670" s="10" t="str">
        <f aca="false">INDEX(球員主檔!$B$2:$B$749,MATCH($B670,球員主檔!$A$2:$A$749,0))</f>
        <v>Quentin Rasmussen</v>
      </c>
      <c r="D670" s="7" t="s">
        <v>367</v>
      </c>
      <c r="E670" s="10" t="str">
        <f aca="false">INDEX(球隊主檔!$C$2:$C$31,MATCH($D670,球隊主檔!$A$2:$A$31,0))</f>
        <v>克里夫蘭守護者</v>
      </c>
      <c r="F670" s="10" t="str">
        <f aca="false">INDEX(球隊主檔!$D$2:$D$31,MATCH($D670,球隊主檔!$A$2:$A$31,0))</f>
        <v>美聯</v>
      </c>
      <c r="G670" s="7" t="s">
        <v>470</v>
      </c>
      <c r="H670" s="11" t="n">
        <f aca="false">INT((DATE($A670,7,1)-INDEX(球員主檔!$G$2:$G$749,MATCH($B670,球員主檔!$A$2:$A$749,0)))/365.25)</f>
        <v>35</v>
      </c>
      <c r="I670" s="12" t="n">
        <v>38</v>
      </c>
      <c r="J670" s="12" t="n">
        <v>155</v>
      </c>
      <c r="K670" s="12" t="n">
        <v>139</v>
      </c>
      <c r="L670" s="12" t="n">
        <v>13</v>
      </c>
      <c r="M670" s="12" t="n">
        <v>33</v>
      </c>
      <c r="N670" s="12" t="n">
        <v>17</v>
      </c>
      <c r="O670" s="12" t="n">
        <v>0</v>
      </c>
      <c r="P670" s="12" t="n">
        <v>2</v>
      </c>
      <c r="Q670" s="12" t="n">
        <v>12</v>
      </c>
      <c r="R670" s="12" t="n">
        <v>14</v>
      </c>
      <c r="S670" s="12" t="n">
        <v>34</v>
      </c>
      <c r="T670" s="12" t="n">
        <v>0</v>
      </c>
      <c r="U670" s="12" t="n">
        <v>2</v>
      </c>
      <c r="V670" s="12" t="n">
        <v>1</v>
      </c>
      <c r="W670" s="12" t="n">
        <v>0</v>
      </c>
      <c r="X670" s="13" t="n">
        <f aca="false">M670+N670+2*O670+3*P670</f>
        <v>56</v>
      </c>
      <c r="Y670" s="14" t="n">
        <f aca="false">IF(K670=0,0,M670/K670)</f>
        <v>0.237410071942446</v>
      </c>
      <c r="Z670" s="14" t="n">
        <f aca="false">IF(K670+R670+T670+U670=0,0,(M670+R670+T670)/(K670+R670+T670+U670))</f>
        <v>0.303225806451613</v>
      </c>
      <c r="AA670" s="14" t="n">
        <f aca="false">IF(K670=0,0,X670/K670)</f>
        <v>0.402877697841727</v>
      </c>
      <c r="AB670" s="14" t="n">
        <f aca="false">Z670+AA670</f>
        <v>0.70610350429334</v>
      </c>
      <c r="AC670" s="14" t="n">
        <f aca="false">AA670-Y670</f>
        <v>0.165467625899281</v>
      </c>
      <c r="AD670" s="14" t="n">
        <f aca="false">IF(K670-S670-P670+U670=0,0,(M670-P670)/(K670-S670-P670+U670))</f>
        <v>0.295238095238095</v>
      </c>
      <c r="AE670" s="15" t="n">
        <f aca="false">IF(J670=0,0,R670/J670)</f>
        <v>0.0903225806451613</v>
      </c>
      <c r="AF670" s="15" t="n">
        <f aca="false">IF(J670=0,0,S670/J670)</f>
        <v>0.219354838709677</v>
      </c>
      <c r="AG670" s="11" t="n">
        <f aca="false">IF(J670&gt;=INDEX(球季參數!$E$2:$E$4,MATCH($A670,球季參數!$A$2:$A$4,0)),1,0)</f>
        <v>0</v>
      </c>
    </row>
    <row r="671" customFormat="false" ht="15" hidden="false" customHeight="false" outlineLevel="0" collapsed="false">
      <c r="A671" s="5" t="n">
        <v>2026</v>
      </c>
      <c r="B671" s="7" t="s">
        <v>735</v>
      </c>
      <c r="C671" s="10" t="str">
        <f aca="false">INDEX(球員主檔!$B$2:$B$749,MATCH($B671,球員主檔!$A$2:$A$749,0))</f>
        <v>Wendell Oyelaran</v>
      </c>
      <c r="D671" s="7" t="s">
        <v>367</v>
      </c>
      <c r="E671" s="10" t="str">
        <f aca="false">INDEX(球隊主檔!$C$2:$C$31,MATCH($D671,球隊主檔!$A$2:$A$31,0))</f>
        <v>克里夫蘭守護者</v>
      </c>
      <c r="F671" s="10" t="str">
        <f aca="false">INDEX(球隊主檔!$D$2:$D$31,MATCH($D671,球隊主檔!$A$2:$A$31,0))</f>
        <v>美聯</v>
      </c>
      <c r="G671" s="7" t="s">
        <v>483</v>
      </c>
      <c r="H671" s="11" t="n">
        <f aca="false">INT((DATE($A671,7,1)-INDEX(球員主檔!$G$2:$G$749,MATCH($B671,球員主檔!$A$2:$A$749,0)))/365.25)</f>
        <v>28</v>
      </c>
      <c r="I671" s="12" t="n">
        <v>53</v>
      </c>
      <c r="J671" s="12" t="n">
        <v>225</v>
      </c>
      <c r="K671" s="12" t="n">
        <v>198</v>
      </c>
      <c r="L671" s="12" t="n">
        <v>30</v>
      </c>
      <c r="M671" s="12" t="n">
        <v>54</v>
      </c>
      <c r="N671" s="12" t="n">
        <v>24</v>
      </c>
      <c r="O671" s="12" t="n">
        <v>1</v>
      </c>
      <c r="P671" s="12" t="n">
        <v>7</v>
      </c>
      <c r="Q671" s="12" t="n">
        <v>32</v>
      </c>
      <c r="R671" s="12" t="n">
        <v>22</v>
      </c>
      <c r="S671" s="12" t="n">
        <v>71</v>
      </c>
      <c r="T671" s="12" t="n">
        <v>3</v>
      </c>
      <c r="U671" s="12" t="n">
        <v>2</v>
      </c>
      <c r="V671" s="12" t="n">
        <v>9</v>
      </c>
      <c r="W671" s="12" t="n">
        <v>1</v>
      </c>
      <c r="X671" s="13" t="n">
        <f aca="false">M671+N671+2*O671+3*P671</f>
        <v>101</v>
      </c>
      <c r="Y671" s="14" t="n">
        <f aca="false">IF(K671=0,0,M671/K671)</f>
        <v>0.272727272727273</v>
      </c>
      <c r="Z671" s="14" t="n">
        <f aca="false">IF(K671+R671+T671+U671=0,0,(M671+R671+T671)/(K671+R671+T671+U671))</f>
        <v>0.351111111111111</v>
      </c>
      <c r="AA671" s="14" t="n">
        <f aca="false">IF(K671=0,0,X671/K671)</f>
        <v>0.51010101010101</v>
      </c>
      <c r="AB671" s="14" t="n">
        <f aca="false">Z671+AA671</f>
        <v>0.861212121212121</v>
      </c>
      <c r="AC671" s="14" t="n">
        <f aca="false">AA671-Y671</f>
        <v>0.237373737373737</v>
      </c>
      <c r="AD671" s="14" t="n">
        <f aca="false">IF(K671-S671-P671+U671=0,0,(M671-P671)/(K671-S671-P671+U671))</f>
        <v>0.385245901639344</v>
      </c>
      <c r="AE671" s="15" t="n">
        <f aca="false">IF(J671=0,0,R671/J671)</f>
        <v>0.0977777777777778</v>
      </c>
      <c r="AF671" s="15" t="n">
        <f aca="false">IF(J671=0,0,S671/J671)</f>
        <v>0.315555555555556</v>
      </c>
      <c r="AG671" s="11" t="n">
        <f aca="false">IF(J671&gt;=INDEX(球季參數!$E$2:$E$4,MATCH($A671,球季參數!$A$2:$A$4,0)),1,0)</f>
        <v>0</v>
      </c>
    </row>
    <row r="672" customFormat="false" ht="15" hidden="false" customHeight="false" outlineLevel="0" collapsed="false">
      <c r="A672" s="5" t="n">
        <v>2026</v>
      </c>
      <c r="B672" s="7" t="s">
        <v>757</v>
      </c>
      <c r="C672" s="10" t="str">
        <f aca="false">INDEX(球員主檔!$B$2:$B$749,MATCH($B672,球員主檔!$A$2:$A$749,0))</f>
        <v>Quentin Lemieux</v>
      </c>
      <c r="D672" s="7" t="s">
        <v>371</v>
      </c>
      <c r="E672" s="10" t="str">
        <f aca="false">INDEX(球隊主檔!$C$2:$C$31,MATCH($D672,球隊主檔!$A$2:$A$31,0))</f>
        <v>底特律老虎</v>
      </c>
      <c r="F672" s="10" t="str">
        <f aca="false">INDEX(球隊主檔!$D$2:$D$31,MATCH($D672,球隊主檔!$A$2:$A$31,0))</f>
        <v>美聯</v>
      </c>
      <c r="G672" s="7" t="s">
        <v>486</v>
      </c>
      <c r="H672" s="11" t="n">
        <f aca="false">INT((DATE($A672,7,1)-INDEX(球員主檔!$G$2:$G$749,MATCH($B672,球員主檔!$A$2:$A$749,0)))/365.25)</f>
        <v>27</v>
      </c>
      <c r="I672" s="12" t="n">
        <v>162</v>
      </c>
      <c r="J672" s="12" t="n">
        <v>670</v>
      </c>
      <c r="K672" s="12" t="n">
        <v>622</v>
      </c>
      <c r="L672" s="12" t="n">
        <v>96</v>
      </c>
      <c r="M672" s="12" t="n">
        <v>159</v>
      </c>
      <c r="N672" s="12" t="n">
        <v>31</v>
      </c>
      <c r="O672" s="12" t="n">
        <v>1</v>
      </c>
      <c r="P672" s="12" t="n">
        <v>35</v>
      </c>
      <c r="Q672" s="12" t="n">
        <v>93</v>
      </c>
      <c r="R672" s="12" t="n">
        <v>41</v>
      </c>
      <c r="S672" s="12" t="n">
        <v>152</v>
      </c>
      <c r="T672" s="12" t="n">
        <v>3</v>
      </c>
      <c r="U672" s="12" t="n">
        <v>4</v>
      </c>
      <c r="V672" s="12" t="n">
        <v>12</v>
      </c>
      <c r="W672" s="12" t="n">
        <v>4</v>
      </c>
      <c r="X672" s="13" t="n">
        <f aca="false">M672+N672+2*O672+3*P672</f>
        <v>297</v>
      </c>
      <c r="Y672" s="14" t="n">
        <f aca="false">IF(K672=0,0,M672/K672)</f>
        <v>0.255627009646302</v>
      </c>
      <c r="Z672" s="14" t="n">
        <f aca="false">IF(K672+R672+T672+U672=0,0,(M672+R672+T672)/(K672+R672+T672+U672))</f>
        <v>0.302985074626866</v>
      </c>
      <c r="AA672" s="14" t="n">
        <f aca="false">IF(K672=0,0,X672/K672)</f>
        <v>0.477491961414791</v>
      </c>
      <c r="AB672" s="14" t="n">
        <f aca="false">Z672+AA672</f>
        <v>0.780477036041657</v>
      </c>
      <c r="AC672" s="14" t="n">
        <f aca="false">AA672-Y672</f>
        <v>0.221864951768489</v>
      </c>
      <c r="AD672" s="14" t="n">
        <f aca="false">IF(K672-S672-P672+U672=0,0,(M672-P672)/(K672-S672-P672+U672))</f>
        <v>0.28246013667426</v>
      </c>
      <c r="AE672" s="15" t="n">
        <f aca="false">IF(J672=0,0,R672/J672)</f>
        <v>0.0611940298507463</v>
      </c>
      <c r="AF672" s="15" t="n">
        <f aca="false">IF(J672=0,0,S672/J672)</f>
        <v>0.226865671641791</v>
      </c>
      <c r="AG672" s="11" t="n">
        <f aca="false">IF(J672&gt;=INDEX(球季參數!$E$2:$E$4,MATCH($A672,球季參數!$A$2:$A$4,0)),1,0)</f>
        <v>1</v>
      </c>
    </row>
    <row r="673" customFormat="false" ht="15" hidden="false" customHeight="false" outlineLevel="0" collapsed="false">
      <c r="A673" s="5" t="n">
        <v>2026</v>
      </c>
      <c r="B673" s="7" t="s">
        <v>1175</v>
      </c>
      <c r="C673" s="10" t="str">
        <f aca="false">INDEX(球員主檔!$B$2:$B$749,MATCH($B673,球員主檔!$A$2:$A$749,0))</f>
        <v>Oakley Tremblay</v>
      </c>
      <c r="D673" s="7" t="s">
        <v>371</v>
      </c>
      <c r="E673" s="10" t="str">
        <f aca="false">INDEX(球隊主檔!$C$2:$C$31,MATCH($D673,球隊主檔!$A$2:$A$31,0))</f>
        <v>底特律老虎</v>
      </c>
      <c r="F673" s="10" t="str">
        <f aca="false">INDEX(球隊主檔!$D$2:$D$31,MATCH($D673,球隊主檔!$A$2:$A$31,0))</f>
        <v>美聯</v>
      </c>
      <c r="G673" s="7" t="s">
        <v>486</v>
      </c>
      <c r="H673" s="11" t="n">
        <f aca="false">INT((DATE($A673,7,1)-INDEX(球員主檔!$G$2:$G$749,MATCH($B673,球員主檔!$A$2:$A$749,0)))/365.25)</f>
        <v>26</v>
      </c>
      <c r="I673" s="12" t="n">
        <v>81</v>
      </c>
      <c r="J673" s="12" t="n">
        <v>338</v>
      </c>
      <c r="K673" s="12" t="n">
        <v>303</v>
      </c>
      <c r="L673" s="12" t="n">
        <v>38</v>
      </c>
      <c r="M673" s="12" t="n">
        <v>76</v>
      </c>
      <c r="N673" s="12" t="n">
        <v>18</v>
      </c>
      <c r="O673" s="12" t="n">
        <v>4</v>
      </c>
      <c r="P673" s="12" t="n">
        <v>11</v>
      </c>
      <c r="Q673" s="12" t="n">
        <v>39</v>
      </c>
      <c r="R673" s="12" t="n">
        <v>27</v>
      </c>
      <c r="S673" s="12" t="n">
        <v>75</v>
      </c>
      <c r="T673" s="12" t="n">
        <v>6</v>
      </c>
      <c r="U673" s="12" t="n">
        <v>2</v>
      </c>
      <c r="V673" s="12" t="n">
        <v>3</v>
      </c>
      <c r="W673" s="12" t="n">
        <v>1</v>
      </c>
      <c r="X673" s="13" t="n">
        <f aca="false">M673+N673+2*O673+3*P673</f>
        <v>135</v>
      </c>
      <c r="Y673" s="14" t="n">
        <f aca="false">IF(K673=0,0,M673/K673)</f>
        <v>0.250825082508251</v>
      </c>
      <c r="Z673" s="14" t="n">
        <f aca="false">IF(K673+R673+T673+U673=0,0,(M673+R673+T673)/(K673+R673+T673+U673))</f>
        <v>0.322485207100592</v>
      </c>
      <c r="AA673" s="14" t="n">
        <f aca="false">IF(K673=0,0,X673/K673)</f>
        <v>0.445544554455446</v>
      </c>
      <c r="AB673" s="14" t="n">
        <f aca="false">Z673+AA673</f>
        <v>0.768029761556037</v>
      </c>
      <c r="AC673" s="14" t="n">
        <f aca="false">AA673-Y673</f>
        <v>0.194719471947195</v>
      </c>
      <c r="AD673" s="14" t="n">
        <f aca="false">IF(K673-S673-P673+U673=0,0,(M673-P673)/(K673-S673-P673+U673))</f>
        <v>0.296803652968037</v>
      </c>
      <c r="AE673" s="15" t="n">
        <f aca="false">IF(J673=0,0,R673/J673)</f>
        <v>0.0798816568047337</v>
      </c>
      <c r="AF673" s="15" t="n">
        <f aca="false">IF(J673=0,0,S673/J673)</f>
        <v>0.22189349112426</v>
      </c>
      <c r="AG673" s="11" t="n">
        <f aca="false">IF(J673&gt;=INDEX(球季參數!$E$2:$E$4,MATCH($A673,球季參數!$A$2:$A$4,0)),1,0)</f>
        <v>0</v>
      </c>
    </row>
    <row r="674" customFormat="false" ht="15" hidden="false" customHeight="false" outlineLevel="0" collapsed="false">
      <c r="A674" s="5" t="n">
        <v>2026</v>
      </c>
      <c r="B674" s="7" t="s">
        <v>761</v>
      </c>
      <c r="C674" s="10" t="str">
        <f aca="false">INDEX(球員主檔!$B$2:$B$749,MATCH($B674,球員主檔!$A$2:$A$749,0))</f>
        <v>Desmond Caldera</v>
      </c>
      <c r="D674" s="7" t="s">
        <v>371</v>
      </c>
      <c r="E674" s="10" t="str">
        <f aca="false">INDEX(球隊主檔!$C$2:$C$31,MATCH($D674,球隊主檔!$A$2:$A$31,0))</f>
        <v>底特律老虎</v>
      </c>
      <c r="F674" s="10" t="str">
        <f aca="false">INDEX(球隊主檔!$D$2:$D$31,MATCH($D674,球隊主檔!$A$2:$A$31,0))</f>
        <v>美聯</v>
      </c>
      <c r="G674" s="7" t="s">
        <v>473</v>
      </c>
      <c r="H674" s="11" t="n">
        <f aca="false">INT((DATE($A674,7,1)-INDEX(球員主檔!$G$2:$G$749,MATCH($B674,球員主檔!$A$2:$A$749,0)))/365.25)</f>
        <v>32</v>
      </c>
      <c r="I674" s="12" t="n">
        <v>143</v>
      </c>
      <c r="J674" s="12" t="n">
        <v>613</v>
      </c>
      <c r="K674" s="12" t="n">
        <v>549</v>
      </c>
      <c r="L674" s="12" t="n">
        <v>74</v>
      </c>
      <c r="M674" s="12" t="n">
        <v>145</v>
      </c>
      <c r="N674" s="12" t="n">
        <v>35</v>
      </c>
      <c r="O674" s="12" t="n">
        <v>11</v>
      </c>
      <c r="P674" s="12" t="n">
        <v>17</v>
      </c>
      <c r="Q674" s="12" t="n">
        <v>70</v>
      </c>
      <c r="R674" s="12" t="n">
        <v>54</v>
      </c>
      <c r="S674" s="12" t="n">
        <v>168</v>
      </c>
      <c r="T674" s="12" t="n">
        <v>6</v>
      </c>
      <c r="U674" s="12" t="n">
        <v>4</v>
      </c>
      <c r="V674" s="12" t="n">
        <v>15</v>
      </c>
      <c r="W674" s="12" t="n">
        <v>5</v>
      </c>
      <c r="X674" s="13" t="n">
        <f aca="false">M674+N674+2*O674+3*P674</f>
        <v>253</v>
      </c>
      <c r="Y674" s="14" t="n">
        <f aca="false">IF(K674=0,0,M674/K674)</f>
        <v>0.264116575591985</v>
      </c>
      <c r="Z674" s="14" t="n">
        <f aca="false">IF(K674+R674+T674+U674=0,0,(M674+R674+T674)/(K674+R674+T674+U674))</f>
        <v>0.33442088091354</v>
      </c>
      <c r="AA674" s="14" t="n">
        <f aca="false">IF(K674=0,0,X674/K674)</f>
        <v>0.460837887067395</v>
      </c>
      <c r="AB674" s="14" t="n">
        <f aca="false">Z674+AA674</f>
        <v>0.795258767980935</v>
      </c>
      <c r="AC674" s="14" t="n">
        <f aca="false">AA674-Y674</f>
        <v>0.19672131147541</v>
      </c>
      <c r="AD674" s="14" t="n">
        <f aca="false">IF(K674-S674-P674+U674=0,0,(M674-P674)/(K674-S674-P674+U674))</f>
        <v>0.347826086956522</v>
      </c>
      <c r="AE674" s="15" t="n">
        <f aca="false">IF(J674=0,0,R674/J674)</f>
        <v>0.0880913539967374</v>
      </c>
      <c r="AF674" s="15" t="n">
        <f aca="false">IF(J674=0,0,S674/J674)</f>
        <v>0.274061990212072</v>
      </c>
      <c r="AG674" s="11" t="n">
        <f aca="false">IF(J674&gt;=INDEX(球季參數!$E$2:$E$4,MATCH($A674,球季參數!$A$2:$A$4,0)),1,0)</f>
        <v>1</v>
      </c>
    </row>
    <row r="675" customFormat="false" ht="15" hidden="false" customHeight="false" outlineLevel="0" collapsed="false">
      <c r="A675" s="5" t="n">
        <v>2026</v>
      </c>
      <c r="B675" s="7" t="s">
        <v>605</v>
      </c>
      <c r="C675" s="10" t="str">
        <f aca="false">INDEX(球員主檔!$B$2:$B$749,MATCH($B675,球員主檔!$A$2:$A$749,0))</f>
        <v>Bernardo Uchendu</v>
      </c>
      <c r="D675" s="7" t="s">
        <v>371</v>
      </c>
      <c r="E675" s="10" t="str">
        <f aca="false">INDEX(球隊主檔!$C$2:$C$31,MATCH($D675,球隊主檔!$A$2:$A$31,0))</f>
        <v>底特律老虎</v>
      </c>
      <c r="F675" s="10" t="str">
        <f aca="false">INDEX(球隊主檔!$D$2:$D$31,MATCH($D675,球隊主檔!$A$2:$A$31,0))</f>
        <v>美聯</v>
      </c>
      <c r="G675" s="7" t="s">
        <v>486</v>
      </c>
      <c r="H675" s="11" t="n">
        <f aca="false">INT((DATE($A675,7,1)-INDEX(球員主檔!$G$2:$G$749,MATCH($B675,球員主檔!$A$2:$A$749,0)))/365.25)</f>
        <v>30</v>
      </c>
      <c r="I675" s="12" t="n">
        <v>154</v>
      </c>
      <c r="J675" s="12" t="n">
        <v>618</v>
      </c>
      <c r="K675" s="12" t="n">
        <v>535</v>
      </c>
      <c r="L675" s="12" t="n">
        <v>62</v>
      </c>
      <c r="M675" s="12" t="n">
        <v>95</v>
      </c>
      <c r="N675" s="12" t="n">
        <v>19</v>
      </c>
      <c r="O675" s="12" t="n">
        <v>1</v>
      </c>
      <c r="P675" s="12" t="n">
        <v>19</v>
      </c>
      <c r="Q675" s="12" t="n">
        <v>56</v>
      </c>
      <c r="R675" s="12" t="n">
        <v>74</v>
      </c>
      <c r="S675" s="12" t="n">
        <v>184</v>
      </c>
      <c r="T675" s="12" t="n">
        <v>6</v>
      </c>
      <c r="U675" s="12" t="n">
        <v>3</v>
      </c>
      <c r="V675" s="12" t="n">
        <v>8</v>
      </c>
      <c r="W675" s="12" t="n">
        <v>2</v>
      </c>
      <c r="X675" s="13" t="n">
        <f aca="false">M675+N675+2*O675+3*P675</f>
        <v>173</v>
      </c>
      <c r="Y675" s="14" t="n">
        <f aca="false">IF(K675=0,0,M675/K675)</f>
        <v>0.177570093457944</v>
      </c>
      <c r="Z675" s="14" t="n">
        <f aca="false">IF(K675+R675+T675+U675=0,0,(M675+R675+T675)/(K675+R675+T675+U675))</f>
        <v>0.283171521035599</v>
      </c>
      <c r="AA675" s="14" t="n">
        <f aca="false">IF(K675=0,0,X675/K675)</f>
        <v>0.323364485981308</v>
      </c>
      <c r="AB675" s="14" t="n">
        <f aca="false">Z675+AA675</f>
        <v>0.606536007016907</v>
      </c>
      <c r="AC675" s="14" t="n">
        <f aca="false">AA675-Y675</f>
        <v>0.145794392523364</v>
      </c>
      <c r="AD675" s="14" t="n">
        <f aca="false">IF(K675-S675-P675+U675=0,0,(M675-P675)/(K675-S675-P675+U675))</f>
        <v>0.226865671641791</v>
      </c>
      <c r="AE675" s="15" t="n">
        <f aca="false">IF(J675=0,0,R675/J675)</f>
        <v>0.119741100323625</v>
      </c>
      <c r="AF675" s="15" t="n">
        <f aca="false">IF(J675=0,0,S675/J675)</f>
        <v>0.297734627831715</v>
      </c>
      <c r="AG675" s="11" t="n">
        <f aca="false">IF(J675&gt;=INDEX(球季參數!$E$2:$E$4,MATCH($A675,球季參數!$A$2:$A$4,0)),1,0)</f>
        <v>1</v>
      </c>
    </row>
    <row r="676" customFormat="false" ht="15" hidden="false" customHeight="false" outlineLevel="0" collapsed="false">
      <c r="A676" s="5" t="n">
        <v>2026</v>
      </c>
      <c r="B676" s="7" t="s">
        <v>765</v>
      </c>
      <c r="C676" s="10" t="str">
        <f aca="false">INDEX(球員主檔!$B$2:$B$749,MATCH($B676,球員主檔!$A$2:$A$749,0))</f>
        <v>Oakley Cavanaugh</v>
      </c>
      <c r="D676" s="7" t="s">
        <v>371</v>
      </c>
      <c r="E676" s="10" t="str">
        <f aca="false">INDEX(球隊主檔!$C$2:$C$31,MATCH($D676,球隊主檔!$A$2:$A$31,0))</f>
        <v>底特律老虎</v>
      </c>
      <c r="F676" s="10" t="str">
        <f aca="false">INDEX(球隊主檔!$D$2:$D$31,MATCH($D676,球隊主檔!$A$2:$A$31,0))</f>
        <v>美聯</v>
      </c>
      <c r="G676" s="7" t="s">
        <v>63</v>
      </c>
      <c r="H676" s="11" t="n">
        <f aca="false">INT((DATE($A676,7,1)-INDEX(球員主檔!$G$2:$G$749,MATCH($B676,球員主檔!$A$2:$A$749,0)))/365.25)</f>
        <v>27</v>
      </c>
      <c r="I676" s="12" t="n">
        <v>148</v>
      </c>
      <c r="J676" s="12" t="n">
        <v>614</v>
      </c>
      <c r="K676" s="12" t="n">
        <v>537</v>
      </c>
      <c r="L676" s="12" t="n">
        <v>96</v>
      </c>
      <c r="M676" s="12" t="n">
        <v>151</v>
      </c>
      <c r="N676" s="12" t="n">
        <v>17</v>
      </c>
      <c r="O676" s="12" t="n">
        <v>3</v>
      </c>
      <c r="P676" s="12" t="n">
        <v>32</v>
      </c>
      <c r="Q676" s="12" t="n">
        <v>95</v>
      </c>
      <c r="R676" s="12" t="n">
        <v>60</v>
      </c>
      <c r="S676" s="12" t="n">
        <v>161</v>
      </c>
      <c r="T676" s="12" t="n">
        <v>13</v>
      </c>
      <c r="U676" s="12" t="n">
        <v>4</v>
      </c>
      <c r="V676" s="12" t="n">
        <v>1</v>
      </c>
      <c r="W676" s="12" t="n">
        <v>0</v>
      </c>
      <c r="X676" s="13" t="n">
        <f aca="false">M676+N676+2*O676+3*P676</f>
        <v>270</v>
      </c>
      <c r="Y676" s="14" t="n">
        <f aca="false">IF(K676=0,0,M676/K676)</f>
        <v>0.281191806331471</v>
      </c>
      <c r="Z676" s="14" t="n">
        <f aca="false">IF(K676+R676+T676+U676=0,0,(M676+R676+T676)/(K676+R676+T676+U676))</f>
        <v>0.364820846905537</v>
      </c>
      <c r="AA676" s="14" t="n">
        <f aca="false">IF(K676=0,0,X676/K676)</f>
        <v>0.502793296089386</v>
      </c>
      <c r="AB676" s="14" t="n">
        <f aca="false">Z676+AA676</f>
        <v>0.867614142994923</v>
      </c>
      <c r="AC676" s="14" t="n">
        <f aca="false">AA676-Y676</f>
        <v>0.221601489757914</v>
      </c>
      <c r="AD676" s="14" t="n">
        <f aca="false">IF(K676-S676-P676+U676=0,0,(M676-P676)/(K676-S676-P676+U676))</f>
        <v>0.341954022988506</v>
      </c>
      <c r="AE676" s="15" t="n">
        <f aca="false">IF(J676=0,0,R676/J676)</f>
        <v>0.0977198697068404</v>
      </c>
      <c r="AF676" s="15" t="n">
        <f aca="false">IF(J676=0,0,S676/J676)</f>
        <v>0.262214983713355</v>
      </c>
      <c r="AG676" s="11" t="n">
        <f aca="false">IF(J676&gt;=INDEX(球季參數!$E$2:$E$4,MATCH($A676,球季參數!$A$2:$A$4,0)),1,0)</f>
        <v>1</v>
      </c>
    </row>
    <row r="677" customFormat="false" ht="15" hidden="false" customHeight="false" outlineLevel="0" collapsed="false">
      <c r="A677" s="5" t="n">
        <v>2026</v>
      </c>
      <c r="B677" s="7" t="s">
        <v>767</v>
      </c>
      <c r="C677" s="10" t="str">
        <f aca="false">INDEX(球員主檔!$B$2:$B$749,MATCH($B677,球員主檔!$A$2:$A$749,0))</f>
        <v>Garrison Oyelaran</v>
      </c>
      <c r="D677" s="7" t="s">
        <v>371</v>
      </c>
      <c r="E677" s="10" t="str">
        <f aca="false">INDEX(球隊主檔!$C$2:$C$31,MATCH($D677,球隊主檔!$A$2:$A$31,0))</f>
        <v>底特律老虎</v>
      </c>
      <c r="F677" s="10" t="str">
        <f aca="false">INDEX(球隊主檔!$D$2:$D$31,MATCH($D677,球隊主檔!$A$2:$A$31,0))</f>
        <v>美聯</v>
      </c>
      <c r="G677" s="7" t="s">
        <v>483</v>
      </c>
      <c r="H677" s="11" t="n">
        <f aca="false">INT((DATE($A677,7,1)-INDEX(球員主檔!$G$2:$G$749,MATCH($B677,球員主檔!$A$2:$A$749,0)))/365.25)</f>
        <v>28</v>
      </c>
      <c r="I677" s="12" t="n">
        <v>114</v>
      </c>
      <c r="J677" s="12" t="n">
        <v>441</v>
      </c>
      <c r="K677" s="12" t="n">
        <v>394</v>
      </c>
      <c r="L677" s="12" t="n">
        <v>49</v>
      </c>
      <c r="M677" s="12" t="n">
        <v>72</v>
      </c>
      <c r="N677" s="12" t="n">
        <v>25</v>
      </c>
      <c r="O677" s="12" t="n">
        <v>1</v>
      </c>
      <c r="P677" s="12" t="n">
        <v>17</v>
      </c>
      <c r="Q677" s="12" t="n">
        <v>53</v>
      </c>
      <c r="R677" s="12" t="n">
        <v>44</v>
      </c>
      <c r="S677" s="12" t="n">
        <v>56</v>
      </c>
      <c r="T677" s="12" t="n">
        <v>2</v>
      </c>
      <c r="U677" s="12" t="n">
        <v>1</v>
      </c>
      <c r="V677" s="12" t="n">
        <v>15</v>
      </c>
      <c r="W677" s="12" t="n">
        <v>3</v>
      </c>
      <c r="X677" s="13" t="n">
        <f aca="false">M677+N677+2*O677+3*P677</f>
        <v>150</v>
      </c>
      <c r="Y677" s="14" t="n">
        <f aca="false">IF(K677=0,0,M677/K677)</f>
        <v>0.182741116751269</v>
      </c>
      <c r="Z677" s="14" t="n">
        <f aca="false">IF(K677+R677+T677+U677=0,0,(M677+R677+T677)/(K677+R677+T677+U677))</f>
        <v>0.267573696145125</v>
      </c>
      <c r="AA677" s="14" t="n">
        <f aca="false">IF(K677=0,0,X677/K677)</f>
        <v>0.380710659898477</v>
      </c>
      <c r="AB677" s="14" t="n">
        <f aca="false">Z677+AA677</f>
        <v>0.648284356043602</v>
      </c>
      <c r="AC677" s="14" t="n">
        <f aca="false">AA677-Y677</f>
        <v>0.197969543147208</v>
      </c>
      <c r="AD677" s="14" t="n">
        <f aca="false">IF(K677-S677-P677+U677=0,0,(M677-P677)/(K677-S677-P677+U677))</f>
        <v>0.170807453416149</v>
      </c>
      <c r="AE677" s="15" t="n">
        <f aca="false">IF(J677=0,0,R677/J677)</f>
        <v>0.0997732426303855</v>
      </c>
      <c r="AF677" s="15" t="n">
        <f aca="false">IF(J677=0,0,S677/J677)</f>
        <v>0.126984126984127</v>
      </c>
      <c r="AG677" s="11" t="n">
        <f aca="false">IF(J677&gt;=INDEX(球季參數!$E$2:$E$4,MATCH($A677,球季參數!$A$2:$A$4,0)),1,0)</f>
        <v>0</v>
      </c>
    </row>
    <row r="678" customFormat="false" ht="15" hidden="false" customHeight="false" outlineLevel="0" collapsed="false">
      <c r="A678" s="5" t="n">
        <v>2026</v>
      </c>
      <c r="B678" s="7" t="s">
        <v>1289</v>
      </c>
      <c r="C678" s="10" t="str">
        <f aca="false">INDEX(球員主檔!$B$2:$B$749,MATCH($B678,球員主檔!$A$2:$A$749,0))</f>
        <v>Niklas Arceneaux</v>
      </c>
      <c r="D678" s="7" t="s">
        <v>371</v>
      </c>
      <c r="E678" s="10" t="str">
        <f aca="false">INDEX(球隊主檔!$C$2:$C$31,MATCH($D678,球隊主檔!$A$2:$A$31,0))</f>
        <v>底特律老虎</v>
      </c>
      <c r="F678" s="10" t="str">
        <f aca="false">INDEX(球隊主檔!$D$2:$D$31,MATCH($D678,球隊主檔!$A$2:$A$31,0))</f>
        <v>美聯</v>
      </c>
      <c r="G678" s="7" t="s">
        <v>63</v>
      </c>
      <c r="H678" s="11" t="n">
        <f aca="false">INT((DATE($A678,7,1)-INDEX(球員主檔!$G$2:$G$749,MATCH($B678,球員主檔!$A$2:$A$749,0)))/365.25)</f>
        <v>26</v>
      </c>
      <c r="I678" s="12" t="n">
        <v>85</v>
      </c>
      <c r="J678" s="12" t="n">
        <v>360</v>
      </c>
      <c r="K678" s="12" t="n">
        <v>333</v>
      </c>
      <c r="L678" s="12" t="n">
        <v>34</v>
      </c>
      <c r="M678" s="12" t="n">
        <v>66</v>
      </c>
      <c r="N678" s="12" t="n">
        <v>21</v>
      </c>
      <c r="O678" s="12" t="n">
        <v>3</v>
      </c>
      <c r="P678" s="12" t="n">
        <v>6</v>
      </c>
      <c r="Q678" s="12" t="n">
        <v>27</v>
      </c>
      <c r="R678" s="12" t="n">
        <v>25</v>
      </c>
      <c r="S678" s="12" t="n">
        <v>84</v>
      </c>
      <c r="T678" s="12" t="n">
        <v>1</v>
      </c>
      <c r="U678" s="12" t="n">
        <v>1</v>
      </c>
      <c r="V678" s="12" t="n">
        <v>13</v>
      </c>
      <c r="W678" s="12" t="n">
        <v>2</v>
      </c>
      <c r="X678" s="13" t="n">
        <f aca="false">M678+N678+2*O678+3*P678</f>
        <v>111</v>
      </c>
      <c r="Y678" s="14" t="n">
        <f aca="false">IF(K678=0,0,M678/K678)</f>
        <v>0.198198198198198</v>
      </c>
      <c r="Z678" s="14" t="n">
        <f aca="false">IF(K678+R678+T678+U678=0,0,(M678+R678+T678)/(K678+R678+T678+U678))</f>
        <v>0.255555555555556</v>
      </c>
      <c r="AA678" s="14" t="n">
        <f aca="false">IF(K678=0,0,X678/K678)</f>
        <v>0.333333333333333</v>
      </c>
      <c r="AB678" s="14" t="n">
        <f aca="false">Z678+AA678</f>
        <v>0.588888888888889</v>
      </c>
      <c r="AC678" s="14" t="n">
        <f aca="false">AA678-Y678</f>
        <v>0.135135135135135</v>
      </c>
      <c r="AD678" s="14" t="n">
        <f aca="false">IF(K678-S678-P678+U678=0,0,(M678-P678)/(K678-S678-P678+U678))</f>
        <v>0.245901639344262</v>
      </c>
      <c r="AE678" s="15" t="n">
        <f aca="false">IF(J678=0,0,R678/J678)</f>
        <v>0.0694444444444445</v>
      </c>
      <c r="AF678" s="15" t="n">
        <f aca="false">IF(J678=0,0,S678/J678)</f>
        <v>0.233333333333333</v>
      </c>
      <c r="AG678" s="11" t="n">
        <f aca="false">IF(J678&gt;=INDEX(球季參數!$E$2:$E$4,MATCH($A678,球季參數!$A$2:$A$4,0)),1,0)</f>
        <v>0</v>
      </c>
    </row>
    <row r="679" customFormat="false" ht="15" hidden="false" customHeight="false" outlineLevel="0" collapsed="false">
      <c r="A679" s="5" t="n">
        <v>2026</v>
      </c>
      <c r="B679" s="7" t="s">
        <v>1095</v>
      </c>
      <c r="C679" s="10" t="str">
        <f aca="false">INDEX(球員主檔!$B$2:$B$749,MATCH($B679,球員主檔!$A$2:$A$749,0))</f>
        <v>Quentin Beckwith</v>
      </c>
      <c r="D679" s="7" t="s">
        <v>371</v>
      </c>
      <c r="E679" s="10" t="str">
        <f aca="false">INDEX(球隊主檔!$C$2:$C$31,MATCH($D679,球隊主檔!$A$2:$A$31,0))</f>
        <v>底特律老虎</v>
      </c>
      <c r="F679" s="10" t="str">
        <f aca="false">INDEX(球隊主檔!$D$2:$D$31,MATCH($D679,球隊主檔!$A$2:$A$31,0))</f>
        <v>美聯</v>
      </c>
      <c r="G679" s="7" t="s">
        <v>162</v>
      </c>
      <c r="H679" s="11" t="n">
        <f aca="false">INT((DATE($A679,7,1)-INDEX(球員主檔!$G$2:$G$749,MATCH($B679,球員主檔!$A$2:$A$749,0)))/365.25)</f>
        <v>28</v>
      </c>
      <c r="I679" s="12" t="n">
        <v>94</v>
      </c>
      <c r="J679" s="12" t="n">
        <v>393</v>
      </c>
      <c r="K679" s="12" t="n">
        <v>353</v>
      </c>
      <c r="L679" s="12" t="n">
        <v>42</v>
      </c>
      <c r="M679" s="12" t="n">
        <v>79</v>
      </c>
      <c r="N679" s="12" t="n">
        <v>13</v>
      </c>
      <c r="O679" s="12" t="n">
        <v>7</v>
      </c>
      <c r="P679" s="12" t="n">
        <v>11</v>
      </c>
      <c r="Q679" s="12" t="n">
        <v>44</v>
      </c>
      <c r="R679" s="12" t="n">
        <v>31</v>
      </c>
      <c r="S679" s="12" t="n">
        <v>83</v>
      </c>
      <c r="T679" s="12" t="n">
        <v>4</v>
      </c>
      <c r="U679" s="12" t="n">
        <v>5</v>
      </c>
      <c r="V679" s="12" t="n">
        <v>26</v>
      </c>
      <c r="W679" s="12" t="n">
        <v>4</v>
      </c>
      <c r="X679" s="13" t="n">
        <f aca="false">M679+N679+2*O679+3*P679</f>
        <v>139</v>
      </c>
      <c r="Y679" s="14" t="n">
        <f aca="false">IF(K679=0,0,M679/K679)</f>
        <v>0.223796033994334</v>
      </c>
      <c r="Z679" s="14" t="n">
        <f aca="false">IF(K679+R679+T679+U679=0,0,(M679+R679+T679)/(K679+R679+T679+U679))</f>
        <v>0.290076335877863</v>
      </c>
      <c r="AA679" s="14" t="n">
        <f aca="false">IF(K679=0,0,X679/K679)</f>
        <v>0.393767705382436</v>
      </c>
      <c r="AB679" s="14" t="n">
        <f aca="false">Z679+AA679</f>
        <v>0.683844041260299</v>
      </c>
      <c r="AC679" s="14" t="n">
        <f aca="false">AA679-Y679</f>
        <v>0.169971671388102</v>
      </c>
      <c r="AD679" s="14" t="n">
        <f aca="false">IF(K679-S679-P679+U679=0,0,(M679-P679)/(K679-S679-P679+U679))</f>
        <v>0.257575757575758</v>
      </c>
      <c r="AE679" s="15" t="n">
        <f aca="false">IF(J679=0,0,R679/J679)</f>
        <v>0.0788804071246819</v>
      </c>
      <c r="AF679" s="15" t="n">
        <f aca="false">IF(J679=0,0,S679/J679)</f>
        <v>0.211195928753181</v>
      </c>
      <c r="AG679" s="11" t="n">
        <f aca="false">IF(J679&gt;=INDEX(球季參數!$E$2:$E$4,MATCH($A679,球季參數!$A$2:$A$4,0)),1,0)</f>
        <v>0</v>
      </c>
    </row>
    <row r="680" customFormat="false" ht="15" hidden="false" customHeight="false" outlineLevel="0" collapsed="false">
      <c r="A680" s="5" t="n">
        <v>2026</v>
      </c>
      <c r="B680" s="7" t="s">
        <v>1853</v>
      </c>
      <c r="C680" s="10" t="str">
        <f aca="false">INDEX(球員主檔!$B$2:$B$749,MATCH($B680,球員主檔!$A$2:$A$749,0))</f>
        <v>Dorian Fontaine</v>
      </c>
      <c r="D680" s="7" t="s">
        <v>371</v>
      </c>
      <c r="E680" s="10" t="str">
        <f aca="false">INDEX(球隊主檔!$C$2:$C$31,MATCH($D680,球隊主檔!$A$2:$A$31,0))</f>
        <v>底特律老虎</v>
      </c>
      <c r="F680" s="10" t="str">
        <f aca="false">INDEX(球隊主檔!$D$2:$D$31,MATCH($D680,球隊主檔!$A$2:$A$31,0))</f>
        <v>美聯</v>
      </c>
      <c r="G680" s="7" t="s">
        <v>522</v>
      </c>
      <c r="H680" s="11" t="n">
        <f aca="false">INT((DATE($A680,7,1)-INDEX(球員主檔!$G$2:$G$749,MATCH($B680,球員主檔!$A$2:$A$749,0)))/365.25)</f>
        <v>21</v>
      </c>
      <c r="I680" s="12" t="n">
        <v>71</v>
      </c>
      <c r="J680" s="12" t="n">
        <v>294</v>
      </c>
      <c r="K680" s="12" t="n">
        <v>275</v>
      </c>
      <c r="L680" s="12" t="n">
        <v>30</v>
      </c>
      <c r="M680" s="12" t="n">
        <v>55</v>
      </c>
      <c r="N680" s="12" t="n">
        <v>25</v>
      </c>
      <c r="O680" s="12" t="n">
        <v>0</v>
      </c>
      <c r="P680" s="12" t="n">
        <v>8</v>
      </c>
      <c r="Q680" s="12" t="n">
        <v>27</v>
      </c>
      <c r="R680" s="12" t="n">
        <v>11</v>
      </c>
      <c r="S680" s="12" t="n">
        <v>73</v>
      </c>
      <c r="T680" s="12" t="n">
        <v>4</v>
      </c>
      <c r="U680" s="12" t="n">
        <v>4</v>
      </c>
      <c r="V680" s="12" t="n">
        <v>2</v>
      </c>
      <c r="W680" s="12" t="n">
        <v>0</v>
      </c>
      <c r="X680" s="13" t="n">
        <f aca="false">M680+N680+2*O680+3*P680</f>
        <v>104</v>
      </c>
      <c r="Y680" s="14" t="n">
        <f aca="false">IF(K680=0,0,M680/K680)</f>
        <v>0.2</v>
      </c>
      <c r="Z680" s="14" t="n">
        <f aca="false">IF(K680+R680+T680+U680=0,0,(M680+R680+T680)/(K680+R680+T680+U680))</f>
        <v>0.238095238095238</v>
      </c>
      <c r="AA680" s="14" t="n">
        <f aca="false">IF(K680=0,0,X680/K680)</f>
        <v>0.378181818181818</v>
      </c>
      <c r="AB680" s="14" t="n">
        <f aca="false">Z680+AA680</f>
        <v>0.616277056277056</v>
      </c>
      <c r="AC680" s="14" t="n">
        <f aca="false">AA680-Y680</f>
        <v>0.178181818181818</v>
      </c>
      <c r="AD680" s="14" t="n">
        <f aca="false">IF(K680-S680-P680+U680=0,0,(M680-P680)/(K680-S680-P680+U680))</f>
        <v>0.237373737373737</v>
      </c>
      <c r="AE680" s="15" t="n">
        <f aca="false">IF(J680=0,0,R680/J680)</f>
        <v>0.0374149659863946</v>
      </c>
      <c r="AF680" s="15" t="n">
        <f aca="false">IF(J680=0,0,S680/J680)</f>
        <v>0.248299319727891</v>
      </c>
      <c r="AG680" s="11" t="n">
        <f aca="false">IF(J680&gt;=INDEX(球季參數!$E$2:$E$4,MATCH($A680,球季參數!$A$2:$A$4,0)),1,0)</f>
        <v>0</v>
      </c>
    </row>
    <row r="681" customFormat="false" ht="15" hidden="false" customHeight="false" outlineLevel="0" collapsed="false">
      <c r="A681" s="5" t="n">
        <v>2026</v>
      </c>
      <c r="B681" s="7" t="s">
        <v>775</v>
      </c>
      <c r="C681" s="10" t="str">
        <f aca="false">INDEX(球員主檔!$B$2:$B$749,MATCH($B681,球員主檔!$A$2:$A$749,0))</f>
        <v>Silas Ibarra</v>
      </c>
      <c r="D681" s="7" t="s">
        <v>371</v>
      </c>
      <c r="E681" s="10" t="str">
        <f aca="false">INDEX(球隊主檔!$C$2:$C$31,MATCH($D681,球隊主檔!$A$2:$A$31,0))</f>
        <v>底特律老虎</v>
      </c>
      <c r="F681" s="10" t="str">
        <f aca="false">INDEX(球隊主檔!$D$2:$D$31,MATCH($D681,球隊主檔!$A$2:$A$31,0))</f>
        <v>美聯</v>
      </c>
      <c r="G681" s="7" t="s">
        <v>473</v>
      </c>
      <c r="H681" s="11" t="n">
        <f aca="false">INT((DATE($A681,7,1)-INDEX(球員主檔!$G$2:$G$749,MATCH($B681,球員主檔!$A$2:$A$749,0)))/365.25)</f>
        <v>29</v>
      </c>
      <c r="I681" s="12" t="n">
        <v>62</v>
      </c>
      <c r="J681" s="12" t="n">
        <v>265</v>
      </c>
      <c r="K681" s="12" t="n">
        <v>236</v>
      </c>
      <c r="L681" s="12" t="n">
        <v>33</v>
      </c>
      <c r="M681" s="12" t="n">
        <v>59</v>
      </c>
      <c r="N681" s="12" t="n">
        <v>24</v>
      </c>
      <c r="O681" s="12" t="n">
        <v>4</v>
      </c>
      <c r="P681" s="12" t="n">
        <v>7</v>
      </c>
      <c r="Q681" s="12" t="n">
        <v>29</v>
      </c>
      <c r="R681" s="12" t="n">
        <v>26</v>
      </c>
      <c r="S681" s="12" t="n">
        <v>43</v>
      </c>
      <c r="T681" s="12" t="n">
        <v>1</v>
      </c>
      <c r="U681" s="12" t="n">
        <v>2</v>
      </c>
      <c r="V681" s="12" t="n">
        <v>3</v>
      </c>
      <c r="W681" s="12" t="n">
        <v>1</v>
      </c>
      <c r="X681" s="13" t="n">
        <f aca="false">M681+N681+2*O681+3*P681</f>
        <v>112</v>
      </c>
      <c r="Y681" s="14" t="n">
        <f aca="false">IF(K681=0,0,M681/K681)</f>
        <v>0.25</v>
      </c>
      <c r="Z681" s="14" t="n">
        <f aca="false">IF(K681+R681+T681+U681=0,0,(M681+R681+T681)/(K681+R681+T681+U681))</f>
        <v>0.324528301886792</v>
      </c>
      <c r="AA681" s="14" t="n">
        <f aca="false">IF(K681=0,0,X681/K681)</f>
        <v>0.474576271186441</v>
      </c>
      <c r="AB681" s="14" t="n">
        <f aca="false">Z681+AA681</f>
        <v>0.799104573073233</v>
      </c>
      <c r="AC681" s="14" t="n">
        <f aca="false">AA681-Y681</f>
        <v>0.224576271186441</v>
      </c>
      <c r="AD681" s="14" t="n">
        <f aca="false">IF(K681-S681-P681+U681=0,0,(M681-P681)/(K681-S681-P681+U681))</f>
        <v>0.276595744680851</v>
      </c>
      <c r="AE681" s="15" t="n">
        <f aca="false">IF(J681=0,0,R681/J681)</f>
        <v>0.0981132075471698</v>
      </c>
      <c r="AF681" s="15" t="n">
        <f aca="false">IF(J681=0,0,S681/J681)</f>
        <v>0.162264150943396</v>
      </c>
      <c r="AG681" s="11" t="n">
        <f aca="false">IF(J681&gt;=INDEX(球季參數!$E$2:$E$4,MATCH($A681,球季參數!$A$2:$A$4,0)),1,0)</f>
        <v>0</v>
      </c>
    </row>
    <row r="682" customFormat="false" ht="15" hidden="false" customHeight="false" outlineLevel="0" collapsed="false">
      <c r="A682" s="5" t="n">
        <v>2026</v>
      </c>
      <c r="B682" s="7" t="s">
        <v>1857</v>
      </c>
      <c r="C682" s="10" t="str">
        <f aca="false">INDEX(球員主檔!$B$2:$B$749,MATCH($B682,球員主檔!$A$2:$A$749,0))</f>
        <v>Griffin Redmayne</v>
      </c>
      <c r="D682" s="7" t="s">
        <v>375</v>
      </c>
      <c r="E682" s="10" t="str">
        <f aca="false">INDEX(球隊主檔!$C$2:$C$31,MATCH($D682,球隊主檔!$A$2:$A$31,0))</f>
        <v>堪薩斯市皇家</v>
      </c>
      <c r="F682" s="10" t="str">
        <f aca="false">INDEX(球隊主檔!$D$2:$D$31,MATCH($D682,球隊主檔!$A$2:$A$31,0))</f>
        <v>美聯</v>
      </c>
      <c r="G682" s="7" t="s">
        <v>473</v>
      </c>
      <c r="H682" s="11" t="n">
        <f aca="false">INT((DATE($A682,7,1)-INDEX(球員主檔!$G$2:$G$749,MATCH($B682,球員主檔!$A$2:$A$749,0)))/365.25)</f>
        <v>25</v>
      </c>
      <c r="I682" s="12" t="n">
        <v>153</v>
      </c>
      <c r="J682" s="12" t="n">
        <v>679</v>
      </c>
      <c r="K682" s="12" t="n">
        <v>567</v>
      </c>
      <c r="L682" s="12" t="n">
        <v>83</v>
      </c>
      <c r="M682" s="12" t="n">
        <v>152</v>
      </c>
      <c r="N682" s="12" t="n">
        <v>41</v>
      </c>
      <c r="O682" s="12" t="n">
        <v>4</v>
      </c>
      <c r="P682" s="12" t="n">
        <v>22</v>
      </c>
      <c r="Q682" s="12" t="n">
        <v>89</v>
      </c>
      <c r="R682" s="12" t="n">
        <v>101</v>
      </c>
      <c r="S682" s="12" t="n">
        <v>195</v>
      </c>
      <c r="T682" s="12" t="n">
        <v>5</v>
      </c>
      <c r="U682" s="12" t="n">
        <v>6</v>
      </c>
      <c r="V682" s="12" t="n">
        <v>12</v>
      </c>
      <c r="W682" s="12" t="n">
        <v>4</v>
      </c>
      <c r="X682" s="13" t="n">
        <f aca="false">M682+N682+2*O682+3*P682</f>
        <v>267</v>
      </c>
      <c r="Y682" s="14" t="n">
        <f aca="false">IF(K682=0,0,M682/K682)</f>
        <v>0.268077601410935</v>
      </c>
      <c r="Z682" s="14" t="n">
        <f aca="false">IF(K682+R682+T682+U682=0,0,(M682+R682+T682)/(K682+R682+T682+U682))</f>
        <v>0.379970544918999</v>
      </c>
      <c r="AA682" s="14" t="n">
        <f aca="false">IF(K682=0,0,X682/K682)</f>
        <v>0.470899470899471</v>
      </c>
      <c r="AB682" s="14" t="n">
        <f aca="false">Z682+AA682</f>
        <v>0.850870015818469</v>
      </c>
      <c r="AC682" s="14" t="n">
        <f aca="false">AA682-Y682</f>
        <v>0.202821869488536</v>
      </c>
      <c r="AD682" s="14" t="n">
        <f aca="false">IF(K682-S682-P682+U682=0,0,(M682-P682)/(K682-S682-P682+U682))</f>
        <v>0.365168539325843</v>
      </c>
      <c r="AE682" s="15" t="n">
        <f aca="false">IF(J682=0,0,R682/J682)</f>
        <v>0.148748159057437</v>
      </c>
      <c r="AF682" s="15" t="n">
        <f aca="false">IF(J682=0,0,S682/J682)</f>
        <v>0.287187039764359</v>
      </c>
      <c r="AG682" s="11" t="n">
        <f aca="false">IF(J682&gt;=INDEX(球季參數!$E$2:$E$4,MATCH($A682,球季參數!$A$2:$A$4,0)),1,0)</f>
        <v>1</v>
      </c>
    </row>
    <row r="683" customFormat="false" ht="15" hidden="false" customHeight="false" outlineLevel="0" collapsed="false">
      <c r="A683" s="5" t="n">
        <v>2026</v>
      </c>
      <c r="B683" s="7" t="s">
        <v>799</v>
      </c>
      <c r="C683" s="10" t="str">
        <f aca="false">INDEX(球員主檔!$B$2:$B$749,MATCH($B683,球員主檔!$A$2:$A$749,0))</f>
        <v>Cedric Garrity</v>
      </c>
      <c r="D683" s="7" t="s">
        <v>375</v>
      </c>
      <c r="E683" s="10" t="str">
        <f aca="false">INDEX(球隊主檔!$C$2:$C$31,MATCH($D683,球隊主檔!$A$2:$A$31,0))</f>
        <v>堪薩斯市皇家</v>
      </c>
      <c r="F683" s="10" t="str">
        <f aca="false">INDEX(球隊主檔!$D$2:$D$31,MATCH($D683,球隊主檔!$A$2:$A$31,0))</f>
        <v>美聯</v>
      </c>
      <c r="G683" s="7" t="s">
        <v>483</v>
      </c>
      <c r="H683" s="11" t="n">
        <f aca="false">INT((DATE($A683,7,1)-INDEX(球員主檔!$G$2:$G$749,MATCH($B683,球員主檔!$A$2:$A$749,0)))/365.25)</f>
        <v>29</v>
      </c>
      <c r="I683" s="12" t="n">
        <v>85</v>
      </c>
      <c r="J683" s="12" t="n">
        <v>363</v>
      </c>
      <c r="K683" s="12" t="n">
        <v>341</v>
      </c>
      <c r="L683" s="12" t="n">
        <v>42</v>
      </c>
      <c r="M683" s="12" t="n">
        <v>94</v>
      </c>
      <c r="N683" s="12" t="n">
        <v>8</v>
      </c>
      <c r="O683" s="12" t="n">
        <v>2</v>
      </c>
      <c r="P683" s="12" t="n">
        <v>14</v>
      </c>
      <c r="Q683" s="12" t="n">
        <v>55</v>
      </c>
      <c r="R683" s="12" t="n">
        <v>12</v>
      </c>
      <c r="S683" s="12" t="n">
        <v>67</v>
      </c>
      <c r="T683" s="12" t="n">
        <v>7</v>
      </c>
      <c r="U683" s="12" t="n">
        <v>3</v>
      </c>
      <c r="V683" s="12" t="n">
        <v>5</v>
      </c>
      <c r="W683" s="12" t="n">
        <v>2</v>
      </c>
      <c r="X683" s="13" t="n">
        <f aca="false">M683+N683+2*O683+3*P683</f>
        <v>148</v>
      </c>
      <c r="Y683" s="14" t="n">
        <f aca="false">IF(K683=0,0,M683/K683)</f>
        <v>0.275659824046921</v>
      </c>
      <c r="Z683" s="14" t="n">
        <f aca="false">IF(K683+R683+T683+U683=0,0,(M683+R683+T683)/(K683+R683+T683+U683))</f>
        <v>0.31129476584022</v>
      </c>
      <c r="AA683" s="14" t="n">
        <f aca="false">IF(K683=0,0,X683/K683)</f>
        <v>0.434017595307918</v>
      </c>
      <c r="AB683" s="14" t="n">
        <f aca="false">Z683+AA683</f>
        <v>0.745312361148138</v>
      </c>
      <c r="AC683" s="14" t="n">
        <f aca="false">AA683-Y683</f>
        <v>0.158357771260997</v>
      </c>
      <c r="AD683" s="14" t="n">
        <f aca="false">IF(K683-S683-P683+U683=0,0,(M683-P683)/(K683-S683-P683+U683))</f>
        <v>0.304182509505703</v>
      </c>
      <c r="AE683" s="15" t="n">
        <f aca="false">IF(J683=0,0,R683/J683)</f>
        <v>0.0330578512396694</v>
      </c>
      <c r="AF683" s="15" t="n">
        <f aca="false">IF(J683=0,0,S683/J683)</f>
        <v>0.184573002754821</v>
      </c>
      <c r="AG683" s="11" t="n">
        <f aca="false">IF(J683&gt;=INDEX(球季參數!$E$2:$E$4,MATCH($A683,球季參數!$A$2:$A$4,0)),1,0)</f>
        <v>0</v>
      </c>
    </row>
    <row r="684" customFormat="false" ht="15" hidden="false" customHeight="false" outlineLevel="0" collapsed="false">
      <c r="A684" s="5" t="n">
        <v>2026</v>
      </c>
      <c r="B684" s="7" t="s">
        <v>1437</v>
      </c>
      <c r="C684" s="10" t="str">
        <f aca="false">INDEX(球員主檔!$B$2:$B$749,MATCH($B684,球員主檔!$A$2:$A$749,0))</f>
        <v>Zane Montalvo</v>
      </c>
      <c r="D684" s="7" t="s">
        <v>375</v>
      </c>
      <c r="E684" s="10" t="str">
        <f aca="false">INDEX(球隊主檔!$C$2:$C$31,MATCH($D684,球隊主檔!$A$2:$A$31,0))</f>
        <v>堪薩斯市皇家</v>
      </c>
      <c r="F684" s="10" t="str">
        <f aca="false">INDEX(球隊主檔!$D$2:$D$31,MATCH($D684,球隊主檔!$A$2:$A$31,0))</f>
        <v>美聯</v>
      </c>
      <c r="G684" s="7" t="s">
        <v>162</v>
      </c>
      <c r="H684" s="11" t="n">
        <f aca="false">INT((DATE($A684,7,1)-INDEX(球員主檔!$G$2:$G$749,MATCH($B684,球員主檔!$A$2:$A$749,0)))/365.25)</f>
        <v>26</v>
      </c>
      <c r="I684" s="12" t="n">
        <v>152</v>
      </c>
      <c r="J684" s="12" t="n">
        <v>654</v>
      </c>
      <c r="K684" s="12" t="n">
        <v>552</v>
      </c>
      <c r="L684" s="12" t="n">
        <v>85</v>
      </c>
      <c r="M684" s="12" t="n">
        <v>155</v>
      </c>
      <c r="N684" s="12" t="n">
        <v>27</v>
      </c>
      <c r="O684" s="12" t="n">
        <v>7</v>
      </c>
      <c r="P684" s="12" t="n">
        <v>15</v>
      </c>
      <c r="Q684" s="12" t="n">
        <v>64</v>
      </c>
      <c r="R684" s="12" t="n">
        <v>86</v>
      </c>
      <c r="S684" s="12" t="n">
        <v>152</v>
      </c>
      <c r="T684" s="12" t="n">
        <v>11</v>
      </c>
      <c r="U684" s="12" t="n">
        <v>5</v>
      </c>
      <c r="V684" s="12" t="n">
        <v>9</v>
      </c>
      <c r="W684" s="12" t="n">
        <v>3</v>
      </c>
      <c r="X684" s="13" t="n">
        <f aca="false">M684+N684+2*O684+3*P684</f>
        <v>241</v>
      </c>
      <c r="Y684" s="14" t="n">
        <f aca="false">IF(K684=0,0,M684/K684)</f>
        <v>0.280797101449275</v>
      </c>
      <c r="Z684" s="14" t="n">
        <f aca="false">IF(K684+R684+T684+U684=0,0,(M684+R684+T684)/(K684+R684+T684+U684))</f>
        <v>0.385321100917431</v>
      </c>
      <c r="AA684" s="14" t="n">
        <f aca="false">IF(K684=0,0,X684/K684)</f>
        <v>0.436594202898551</v>
      </c>
      <c r="AB684" s="14" t="n">
        <f aca="false">Z684+AA684</f>
        <v>0.821915303815982</v>
      </c>
      <c r="AC684" s="14" t="n">
        <f aca="false">AA684-Y684</f>
        <v>0.155797101449275</v>
      </c>
      <c r="AD684" s="14" t="n">
        <f aca="false">IF(K684-S684-P684+U684=0,0,(M684-P684)/(K684-S684-P684+U684))</f>
        <v>0.358974358974359</v>
      </c>
      <c r="AE684" s="15" t="n">
        <f aca="false">IF(J684=0,0,R684/J684)</f>
        <v>0.131498470948012</v>
      </c>
      <c r="AF684" s="15" t="n">
        <f aca="false">IF(J684=0,0,S684/J684)</f>
        <v>0.232415902140673</v>
      </c>
      <c r="AG684" s="11" t="n">
        <f aca="false">IF(J684&gt;=INDEX(球季參數!$E$2:$E$4,MATCH($A684,球季參數!$A$2:$A$4,0)),1,0)</f>
        <v>1</v>
      </c>
    </row>
    <row r="685" customFormat="false" ht="15" hidden="false" customHeight="false" outlineLevel="0" collapsed="false">
      <c r="A685" s="5" t="n">
        <v>2026</v>
      </c>
      <c r="B685" s="7" t="s">
        <v>803</v>
      </c>
      <c r="C685" s="10" t="str">
        <f aca="false">INDEX(球員主檔!$B$2:$B$749,MATCH($B685,球員主檔!$A$2:$A$749,0))</f>
        <v>Percival Esquivel</v>
      </c>
      <c r="D685" s="7" t="s">
        <v>375</v>
      </c>
      <c r="E685" s="10" t="str">
        <f aca="false">INDEX(球隊主檔!$C$2:$C$31,MATCH($D685,球隊主檔!$A$2:$A$31,0))</f>
        <v>堪薩斯市皇家</v>
      </c>
      <c r="F685" s="10" t="str">
        <f aca="false">INDEX(球隊主檔!$D$2:$D$31,MATCH($D685,球隊主檔!$A$2:$A$31,0))</f>
        <v>美聯</v>
      </c>
      <c r="G685" s="7" t="s">
        <v>483</v>
      </c>
      <c r="H685" s="11" t="n">
        <f aca="false">INT((DATE($A685,7,1)-INDEX(球員主檔!$G$2:$G$749,MATCH($B685,球員主檔!$A$2:$A$749,0)))/365.25)</f>
        <v>27</v>
      </c>
      <c r="I685" s="12" t="n">
        <v>161</v>
      </c>
      <c r="J685" s="12" t="n">
        <v>673</v>
      </c>
      <c r="K685" s="12" t="n">
        <v>637</v>
      </c>
      <c r="L685" s="12" t="n">
        <v>89</v>
      </c>
      <c r="M685" s="12" t="n">
        <v>165</v>
      </c>
      <c r="N685" s="12" t="n">
        <v>33</v>
      </c>
      <c r="O685" s="12" t="n">
        <v>3</v>
      </c>
      <c r="P685" s="12" t="n">
        <v>36</v>
      </c>
      <c r="Q685" s="12" t="n">
        <v>115</v>
      </c>
      <c r="R685" s="12" t="n">
        <v>32</v>
      </c>
      <c r="S685" s="12" t="n">
        <v>145</v>
      </c>
      <c r="T685" s="12" t="n">
        <v>3</v>
      </c>
      <c r="U685" s="12" t="n">
        <v>1</v>
      </c>
      <c r="V685" s="12" t="n">
        <v>22</v>
      </c>
      <c r="W685" s="12" t="n">
        <v>7</v>
      </c>
      <c r="X685" s="13" t="n">
        <f aca="false">M685+N685+2*O685+3*P685</f>
        <v>312</v>
      </c>
      <c r="Y685" s="14" t="n">
        <f aca="false">IF(K685=0,0,M685/K685)</f>
        <v>0.259026687598116</v>
      </c>
      <c r="Z685" s="14" t="n">
        <f aca="false">IF(K685+R685+T685+U685=0,0,(M685+R685+T685)/(K685+R685+T685+U685))</f>
        <v>0.297176820208024</v>
      </c>
      <c r="AA685" s="14" t="n">
        <f aca="false">IF(K685=0,0,X685/K685)</f>
        <v>0.489795918367347</v>
      </c>
      <c r="AB685" s="14" t="n">
        <f aca="false">Z685+AA685</f>
        <v>0.786972738575371</v>
      </c>
      <c r="AC685" s="14" t="n">
        <f aca="false">AA685-Y685</f>
        <v>0.230769230769231</v>
      </c>
      <c r="AD685" s="14" t="n">
        <f aca="false">IF(K685-S685-P685+U685=0,0,(M685-P685)/(K685-S685-P685+U685))</f>
        <v>0.282275711159737</v>
      </c>
      <c r="AE685" s="15" t="n">
        <f aca="false">IF(J685=0,0,R685/J685)</f>
        <v>0.0475482912332838</v>
      </c>
      <c r="AF685" s="15" t="n">
        <f aca="false">IF(J685=0,0,S685/J685)</f>
        <v>0.215453194650817</v>
      </c>
      <c r="AG685" s="11" t="n">
        <f aca="false">IF(J685&gt;=INDEX(球季參數!$E$2:$E$4,MATCH($A685,球季參數!$A$2:$A$4,0)),1,0)</f>
        <v>1</v>
      </c>
    </row>
    <row r="686" customFormat="false" ht="15" hidden="false" customHeight="false" outlineLevel="0" collapsed="false">
      <c r="A686" s="5" t="n">
        <v>2026</v>
      </c>
      <c r="B686" s="7" t="s">
        <v>805</v>
      </c>
      <c r="C686" s="10" t="str">
        <f aca="false">INDEX(球員主檔!$B$2:$B$749,MATCH($B686,球員主檔!$A$2:$A$749,0))</f>
        <v>Seonwoo Beckwith</v>
      </c>
      <c r="D686" s="7" t="s">
        <v>375</v>
      </c>
      <c r="E686" s="10" t="str">
        <f aca="false">INDEX(球隊主檔!$C$2:$C$31,MATCH($D686,球隊主檔!$A$2:$A$31,0))</f>
        <v>堪薩斯市皇家</v>
      </c>
      <c r="F686" s="10" t="str">
        <f aca="false">INDEX(球隊主檔!$D$2:$D$31,MATCH($D686,球隊主檔!$A$2:$A$31,0))</f>
        <v>美聯</v>
      </c>
      <c r="G686" s="7" t="s">
        <v>473</v>
      </c>
      <c r="H686" s="11" t="n">
        <f aca="false">INT((DATE($A686,7,1)-INDEX(球員主檔!$G$2:$G$749,MATCH($B686,球員主檔!$A$2:$A$749,0)))/365.25)</f>
        <v>27</v>
      </c>
      <c r="I686" s="12" t="n">
        <v>143</v>
      </c>
      <c r="J686" s="12" t="n">
        <v>592</v>
      </c>
      <c r="K686" s="12" t="n">
        <v>522</v>
      </c>
      <c r="L686" s="12" t="n">
        <v>79</v>
      </c>
      <c r="M686" s="12" t="n">
        <v>137</v>
      </c>
      <c r="N686" s="12" t="n">
        <v>16</v>
      </c>
      <c r="O686" s="12" t="n">
        <v>6</v>
      </c>
      <c r="P686" s="12" t="n">
        <v>17</v>
      </c>
      <c r="Q686" s="12" t="n">
        <v>59</v>
      </c>
      <c r="R686" s="12" t="n">
        <v>60</v>
      </c>
      <c r="S686" s="12" t="n">
        <v>159</v>
      </c>
      <c r="T686" s="12" t="n">
        <v>7</v>
      </c>
      <c r="U686" s="12" t="n">
        <v>3</v>
      </c>
      <c r="V686" s="12" t="n">
        <v>19</v>
      </c>
      <c r="W686" s="12" t="n">
        <v>4</v>
      </c>
      <c r="X686" s="13" t="n">
        <f aca="false">M686+N686+2*O686+3*P686</f>
        <v>216</v>
      </c>
      <c r="Y686" s="14" t="n">
        <f aca="false">IF(K686=0,0,M686/K686)</f>
        <v>0.262452107279694</v>
      </c>
      <c r="Z686" s="14" t="n">
        <f aca="false">IF(K686+R686+T686+U686=0,0,(M686+R686+T686)/(K686+R686+T686+U686))</f>
        <v>0.344594594594595</v>
      </c>
      <c r="AA686" s="14" t="n">
        <f aca="false">IF(K686=0,0,X686/K686)</f>
        <v>0.413793103448276</v>
      </c>
      <c r="AB686" s="14" t="n">
        <f aca="false">Z686+AA686</f>
        <v>0.75838769804287</v>
      </c>
      <c r="AC686" s="14" t="n">
        <f aca="false">AA686-Y686</f>
        <v>0.151340996168582</v>
      </c>
      <c r="AD686" s="14" t="n">
        <f aca="false">IF(K686-S686-P686+U686=0,0,(M686-P686)/(K686-S686-P686+U686))</f>
        <v>0.343839541547278</v>
      </c>
      <c r="AE686" s="15" t="n">
        <f aca="false">IF(J686=0,0,R686/J686)</f>
        <v>0.101351351351351</v>
      </c>
      <c r="AF686" s="15" t="n">
        <f aca="false">IF(J686=0,0,S686/J686)</f>
        <v>0.268581081081081</v>
      </c>
      <c r="AG686" s="11" t="n">
        <f aca="false">IF(J686&gt;=INDEX(球季參數!$E$2:$E$4,MATCH($A686,球季參數!$A$2:$A$4,0)),1,0)</f>
        <v>1</v>
      </c>
    </row>
    <row r="687" customFormat="false" ht="15" hidden="false" customHeight="false" outlineLevel="0" collapsed="false">
      <c r="A687" s="5" t="n">
        <v>2026</v>
      </c>
      <c r="B687" s="7" t="s">
        <v>807</v>
      </c>
      <c r="C687" s="10" t="str">
        <f aca="false">INDEX(球員主檔!$B$2:$B$749,MATCH($B687,球員主檔!$A$2:$A$749,0))</f>
        <v>Quentin Eberhardt</v>
      </c>
      <c r="D687" s="7" t="s">
        <v>375</v>
      </c>
      <c r="E687" s="10" t="str">
        <f aca="false">INDEX(球隊主檔!$C$2:$C$31,MATCH($D687,球隊主檔!$A$2:$A$31,0))</f>
        <v>堪薩斯市皇家</v>
      </c>
      <c r="F687" s="10" t="str">
        <f aca="false">INDEX(球隊主檔!$D$2:$D$31,MATCH($D687,球隊主檔!$A$2:$A$31,0))</f>
        <v>美聯</v>
      </c>
      <c r="G687" s="7" t="s">
        <v>470</v>
      </c>
      <c r="H687" s="11" t="n">
        <f aca="false">INT((DATE($A687,7,1)-INDEX(球員主檔!$G$2:$G$749,MATCH($B687,球員主檔!$A$2:$A$749,0)))/365.25)</f>
        <v>29</v>
      </c>
      <c r="I687" s="12" t="n">
        <v>137</v>
      </c>
      <c r="J687" s="12" t="n">
        <v>536</v>
      </c>
      <c r="K687" s="12" t="n">
        <v>471</v>
      </c>
      <c r="L687" s="12" t="n">
        <v>69</v>
      </c>
      <c r="M687" s="12" t="n">
        <v>134</v>
      </c>
      <c r="N687" s="12" t="n">
        <v>25</v>
      </c>
      <c r="O687" s="12" t="n">
        <v>9</v>
      </c>
      <c r="P687" s="12" t="n">
        <v>12</v>
      </c>
      <c r="Q687" s="12" t="n">
        <v>60</v>
      </c>
      <c r="R687" s="12" t="n">
        <v>51</v>
      </c>
      <c r="S687" s="12" t="n">
        <v>148</v>
      </c>
      <c r="T687" s="12" t="n">
        <v>8</v>
      </c>
      <c r="U687" s="12" t="n">
        <v>6</v>
      </c>
      <c r="V687" s="12" t="n">
        <v>14</v>
      </c>
      <c r="W687" s="12" t="n">
        <v>3</v>
      </c>
      <c r="X687" s="13" t="n">
        <f aca="false">M687+N687+2*O687+3*P687</f>
        <v>213</v>
      </c>
      <c r="Y687" s="14" t="n">
        <f aca="false">IF(K687=0,0,M687/K687)</f>
        <v>0.284501061571125</v>
      </c>
      <c r="Z687" s="14" t="n">
        <f aca="false">IF(K687+R687+T687+U687=0,0,(M687+R687+T687)/(K687+R687+T687+U687))</f>
        <v>0.360074626865672</v>
      </c>
      <c r="AA687" s="14" t="n">
        <f aca="false">IF(K687=0,0,X687/K687)</f>
        <v>0.452229299363057</v>
      </c>
      <c r="AB687" s="14" t="n">
        <f aca="false">Z687+AA687</f>
        <v>0.812303926228729</v>
      </c>
      <c r="AC687" s="14" t="n">
        <f aca="false">AA687-Y687</f>
        <v>0.167728237791932</v>
      </c>
      <c r="AD687" s="14" t="n">
        <f aca="false">IF(K687-S687-P687+U687=0,0,(M687-P687)/(K687-S687-P687+U687))</f>
        <v>0.384858044164038</v>
      </c>
      <c r="AE687" s="15" t="n">
        <f aca="false">IF(J687=0,0,R687/J687)</f>
        <v>0.0951492537313433</v>
      </c>
      <c r="AF687" s="15" t="n">
        <f aca="false">IF(J687=0,0,S687/J687)</f>
        <v>0.276119402985075</v>
      </c>
      <c r="AG687" s="11" t="n">
        <f aca="false">IF(J687&gt;=INDEX(球季參數!$E$2:$E$4,MATCH($A687,球季參數!$A$2:$A$4,0)),1,0)</f>
        <v>1</v>
      </c>
    </row>
    <row r="688" customFormat="false" ht="15" hidden="false" customHeight="false" outlineLevel="0" collapsed="false">
      <c r="A688" s="5" t="n">
        <v>2026</v>
      </c>
      <c r="B688" s="7" t="s">
        <v>809</v>
      </c>
      <c r="C688" s="10" t="str">
        <f aca="false">INDEX(球員主檔!$B$2:$B$749,MATCH($B688,球員主檔!$A$2:$A$749,0))</f>
        <v>Cassius Mbeki</v>
      </c>
      <c r="D688" s="7" t="s">
        <v>375</v>
      </c>
      <c r="E688" s="10" t="str">
        <f aca="false">INDEX(球隊主檔!$C$2:$C$31,MATCH($D688,球隊主檔!$A$2:$A$31,0))</f>
        <v>堪薩斯市皇家</v>
      </c>
      <c r="F688" s="10" t="str">
        <f aca="false">INDEX(球隊主檔!$D$2:$D$31,MATCH($D688,球隊主檔!$A$2:$A$31,0))</f>
        <v>美聯</v>
      </c>
      <c r="G688" s="7" t="s">
        <v>162</v>
      </c>
      <c r="H688" s="11" t="n">
        <f aca="false">INT((DATE($A688,7,1)-INDEX(球員主檔!$G$2:$G$749,MATCH($B688,球員主檔!$A$2:$A$749,0)))/365.25)</f>
        <v>32</v>
      </c>
      <c r="I688" s="12" t="n">
        <v>127</v>
      </c>
      <c r="J688" s="12" t="n">
        <v>517</v>
      </c>
      <c r="K688" s="12" t="n">
        <v>466</v>
      </c>
      <c r="L688" s="12" t="n">
        <v>61</v>
      </c>
      <c r="M688" s="12" t="n">
        <v>113</v>
      </c>
      <c r="N688" s="12" t="n">
        <v>30</v>
      </c>
      <c r="O688" s="12" t="n">
        <v>6</v>
      </c>
      <c r="P688" s="12" t="n">
        <v>13</v>
      </c>
      <c r="Q688" s="12" t="n">
        <v>52</v>
      </c>
      <c r="R688" s="12" t="n">
        <v>38</v>
      </c>
      <c r="S688" s="12" t="n">
        <v>94</v>
      </c>
      <c r="T688" s="12" t="n">
        <v>7</v>
      </c>
      <c r="U688" s="12" t="n">
        <v>6</v>
      </c>
      <c r="V688" s="12" t="n">
        <v>6</v>
      </c>
      <c r="W688" s="12" t="n">
        <v>1</v>
      </c>
      <c r="X688" s="13" t="n">
        <f aca="false">M688+N688+2*O688+3*P688</f>
        <v>194</v>
      </c>
      <c r="Y688" s="14" t="n">
        <f aca="false">IF(K688=0,0,M688/K688)</f>
        <v>0.242489270386266</v>
      </c>
      <c r="Z688" s="14" t="n">
        <f aca="false">IF(K688+R688+T688+U688=0,0,(M688+R688+T688)/(K688+R688+T688+U688))</f>
        <v>0.305609284332689</v>
      </c>
      <c r="AA688" s="14" t="n">
        <f aca="false">IF(K688=0,0,X688/K688)</f>
        <v>0.416309012875536</v>
      </c>
      <c r="AB688" s="14" t="n">
        <f aca="false">Z688+AA688</f>
        <v>0.721918297208225</v>
      </c>
      <c r="AC688" s="14" t="n">
        <f aca="false">AA688-Y688</f>
        <v>0.17381974248927</v>
      </c>
      <c r="AD688" s="14" t="n">
        <f aca="false">IF(K688-S688-P688+U688=0,0,(M688-P688)/(K688-S688-P688+U688))</f>
        <v>0.273972602739726</v>
      </c>
      <c r="AE688" s="15" t="n">
        <f aca="false">IF(J688=0,0,R688/J688)</f>
        <v>0.0735009671179884</v>
      </c>
      <c r="AF688" s="15" t="n">
        <f aca="false">IF(J688=0,0,S688/J688)</f>
        <v>0.181818181818182</v>
      </c>
      <c r="AG688" s="11" t="n">
        <f aca="false">IF(J688&gt;=INDEX(球季參數!$E$2:$E$4,MATCH($A688,球季參數!$A$2:$A$4,0)),1,0)</f>
        <v>1</v>
      </c>
    </row>
    <row r="689" customFormat="false" ht="15" hidden="false" customHeight="false" outlineLevel="0" collapsed="false">
      <c r="A689" s="5" t="n">
        <v>2026</v>
      </c>
      <c r="B689" s="7" t="s">
        <v>811</v>
      </c>
      <c r="C689" s="10" t="str">
        <f aca="false">INDEX(球員主檔!$B$2:$B$749,MATCH($B689,球員主檔!$A$2:$A$749,0))</f>
        <v>Dorian Ashworth</v>
      </c>
      <c r="D689" s="7" t="s">
        <v>375</v>
      </c>
      <c r="E689" s="10" t="str">
        <f aca="false">INDEX(球隊主檔!$C$2:$C$31,MATCH($D689,球隊主檔!$A$2:$A$31,0))</f>
        <v>堪薩斯市皇家</v>
      </c>
      <c r="F689" s="10" t="str">
        <f aca="false">INDEX(球隊主檔!$D$2:$D$31,MATCH($D689,球隊主檔!$A$2:$A$31,0))</f>
        <v>美聯</v>
      </c>
      <c r="G689" s="7" t="s">
        <v>162</v>
      </c>
      <c r="H689" s="11" t="n">
        <f aca="false">INT((DATE($A689,7,1)-INDEX(球員主檔!$G$2:$G$749,MATCH($B689,球員主檔!$A$2:$A$749,0)))/365.25)</f>
        <v>33</v>
      </c>
      <c r="I689" s="12" t="n">
        <v>62</v>
      </c>
      <c r="J689" s="12" t="n">
        <v>257</v>
      </c>
      <c r="K689" s="12" t="n">
        <v>230</v>
      </c>
      <c r="L689" s="12" t="n">
        <v>36</v>
      </c>
      <c r="M689" s="12" t="n">
        <v>58</v>
      </c>
      <c r="N689" s="12" t="n">
        <v>18</v>
      </c>
      <c r="O689" s="12" t="n">
        <v>2</v>
      </c>
      <c r="P689" s="12" t="n">
        <v>11</v>
      </c>
      <c r="Q689" s="12" t="n">
        <v>34</v>
      </c>
      <c r="R689" s="12" t="n">
        <v>23</v>
      </c>
      <c r="S689" s="12" t="n">
        <v>65</v>
      </c>
      <c r="T689" s="12" t="n">
        <v>4</v>
      </c>
      <c r="U689" s="12" t="n">
        <v>0</v>
      </c>
      <c r="V689" s="12" t="n">
        <v>2</v>
      </c>
      <c r="W689" s="12" t="n">
        <v>0</v>
      </c>
      <c r="X689" s="13" t="n">
        <f aca="false">M689+N689+2*O689+3*P689</f>
        <v>113</v>
      </c>
      <c r="Y689" s="14" t="n">
        <f aca="false">IF(K689=0,0,M689/K689)</f>
        <v>0.252173913043478</v>
      </c>
      <c r="Z689" s="14" t="n">
        <f aca="false">IF(K689+R689+T689+U689=0,0,(M689+R689+T689)/(K689+R689+T689+U689))</f>
        <v>0.330739299610895</v>
      </c>
      <c r="AA689" s="14" t="n">
        <f aca="false">IF(K689=0,0,X689/K689)</f>
        <v>0.491304347826087</v>
      </c>
      <c r="AB689" s="14" t="n">
        <f aca="false">Z689+AA689</f>
        <v>0.822043647436982</v>
      </c>
      <c r="AC689" s="14" t="n">
        <f aca="false">AA689-Y689</f>
        <v>0.239130434782609</v>
      </c>
      <c r="AD689" s="14" t="n">
        <f aca="false">IF(K689-S689-P689+U689=0,0,(M689-P689)/(K689-S689-P689+U689))</f>
        <v>0.305194805194805</v>
      </c>
      <c r="AE689" s="15" t="n">
        <f aca="false">IF(J689=0,0,R689/J689)</f>
        <v>0.0894941634241245</v>
      </c>
      <c r="AF689" s="15" t="n">
        <f aca="false">IF(J689=0,0,S689/J689)</f>
        <v>0.252918287937743</v>
      </c>
      <c r="AG689" s="11" t="n">
        <f aca="false">IF(J689&gt;=INDEX(球季參數!$E$2:$E$4,MATCH($A689,球季參數!$A$2:$A$4,0)),1,0)</f>
        <v>0</v>
      </c>
    </row>
    <row r="690" customFormat="false" ht="15" hidden="false" customHeight="false" outlineLevel="0" collapsed="false">
      <c r="A690" s="5" t="n">
        <v>2026</v>
      </c>
      <c r="B690" s="7" t="s">
        <v>1707</v>
      </c>
      <c r="C690" s="10" t="str">
        <f aca="false">INDEX(球員主檔!$B$2:$B$749,MATCH($B690,球員主檔!$A$2:$A$749,0))</f>
        <v>Rowan Quiroga</v>
      </c>
      <c r="D690" s="7" t="s">
        <v>375</v>
      </c>
      <c r="E690" s="10" t="str">
        <f aca="false">INDEX(球隊主檔!$C$2:$C$31,MATCH($D690,球隊主檔!$A$2:$A$31,0))</f>
        <v>堪薩斯市皇家</v>
      </c>
      <c r="F690" s="10" t="str">
        <f aca="false">INDEX(球隊主檔!$D$2:$D$31,MATCH($D690,球隊主檔!$A$2:$A$31,0))</f>
        <v>美聯</v>
      </c>
      <c r="G690" s="7" t="s">
        <v>158</v>
      </c>
      <c r="H690" s="11" t="n">
        <f aca="false">INT((DATE($A690,7,1)-INDEX(球員主檔!$G$2:$G$749,MATCH($B690,球員主檔!$A$2:$A$749,0)))/365.25)</f>
        <v>22</v>
      </c>
      <c r="I690" s="12" t="n">
        <v>36</v>
      </c>
      <c r="J690" s="12" t="n">
        <v>152</v>
      </c>
      <c r="K690" s="12" t="n">
        <v>135</v>
      </c>
      <c r="L690" s="12" t="n">
        <v>21</v>
      </c>
      <c r="M690" s="12" t="n">
        <v>37</v>
      </c>
      <c r="N690" s="12" t="n">
        <v>15</v>
      </c>
      <c r="O690" s="12" t="n">
        <v>1</v>
      </c>
      <c r="P690" s="12" t="n">
        <v>4</v>
      </c>
      <c r="Q690" s="12" t="n">
        <v>16</v>
      </c>
      <c r="R690" s="12" t="n">
        <v>14</v>
      </c>
      <c r="S690" s="12" t="n">
        <v>30</v>
      </c>
      <c r="T690" s="12" t="n">
        <v>1</v>
      </c>
      <c r="U690" s="12" t="n">
        <v>2</v>
      </c>
      <c r="V690" s="12" t="n">
        <v>11</v>
      </c>
      <c r="W690" s="12" t="n">
        <v>3</v>
      </c>
      <c r="X690" s="13" t="n">
        <f aca="false">M690+N690+2*O690+3*P690</f>
        <v>66</v>
      </c>
      <c r="Y690" s="14" t="n">
        <f aca="false">IF(K690=0,0,M690/K690)</f>
        <v>0.274074074074074</v>
      </c>
      <c r="Z690" s="14" t="n">
        <f aca="false">IF(K690+R690+T690+U690=0,0,(M690+R690+T690)/(K690+R690+T690+U690))</f>
        <v>0.342105263157895</v>
      </c>
      <c r="AA690" s="14" t="n">
        <f aca="false">IF(K690=0,0,X690/K690)</f>
        <v>0.488888888888889</v>
      </c>
      <c r="AB690" s="14" t="n">
        <f aca="false">Z690+AA690</f>
        <v>0.830994152046784</v>
      </c>
      <c r="AC690" s="14" t="n">
        <f aca="false">AA690-Y690</f>
        <v>0.214814814814815</v>
      </c>
      <c r="AD690" s="14" t="n">
        <f aca="false">IF(K690-S690-P690+U690=0,0,(M690-P690)/(K690-S690-P690+U690))</f>
        <v>0.320388349514563</v>
      </c>
      <c r="AE690" s="15" t="n">
        <f aca="false">IF(J690=0,0,R690/J690)</f>
        <v>0.0921052631578947</v>
      </c>
      <c r="AF690" s="15" t="n">
        <f aca="false">IF(J690=0,0,S690/J690)</f>
        <v>0.197368421052632</v>
      </c>
      <c r="AG690" s="11" t="n">
        <f aca="false">IF(J690&gt;=INDEX(球季參數!$E$2:$E$4,MATCH($A690,球季參數!$A$2:$A$4,0)),1,0)</f>
        <v>0</v>
      </c>
    </row>
    <row r="691" customFormat="false" ht="15" hidden="false" customHeight="false" outlineLevel="0" collapsed="false">
      <c r="A691" s="5" t="n">
        <v>2026</v>
      </c>
      <c r="B691" s="7" t="s">
        <v>815</v>
      </c>
      <c r="C691" s="10" t="str">
        <f aca="false">INDEX(球員主檔!$B$2:$B$749,MATCH($B691,球員主檔!$A$2:$A$749,0))</f>
        <v>Griffin Ravenscroft</v>
      </c>
      <c r="D691" s="7" t="s">
        <v>375</v>
      </c>
      <c r="E691" s="10" t="str">
        <f aca="false">INDEX(球隊主檔!$C$2:$C$31,MATCH($D691,球隊主檔!$A$2:$A$31,0))</f>
        <v>堪薩斯市皇家</v>
      </c>
      <c r="F691" s="10" t="str">
        <f aca="false">INDEX(球隊主檔!$D$2:$D$31,MATCH($D691,球隊主檔!$A$2:$A$31,0))</f>
        <v>美聯</v>
      </c>
      <c r="G691" s="7" t="s">
        <v>486</v>
      </c>
      <c r="H691" s="11" t="n">
        <f aca="false">INT((DATE($A691,7,1)-INDEX(球員主檔!$G$2:$G$749,MATCH($B691,球員主檔!$A$2:$A$749,0)))/365.25)</f>
        <v>29</v>
      </c>
      <c r="I691" s="12" t="n">
        <v>59</v>
      </c>
      <c r="J691" s="12" t="n">
        <v>260</v>
      </c>
      <c r="K691" s="12" t="n">
        <v>236</v>
      </c>
      <c r="L691" s="12" t="n">
        <v>29</v>
      </c>
      <c r="M691" s="12" t="n">
        <v>54</v>
      </c>
      <c r="N691" s="12" t="n">
        <v>21</v>
      </c>
      <c r="O691" s="12" t="n">
        <v>4</v>
      </c>
      <c r="P691" s="12" t="n">
        <v>7</v>
      </c>
      <c r="Q691" s="12" t="n">
        <v>26</v>
      </c>
      <c r="R691" s="12" t="n">
        <v>17</v>
      </c>
      <c r="S691" s="12" t="n">
        <v>73</v>
      </c>
      <c r="T691" s="12" t="n">
        <v>4</v>
      </c>
      <c r="U691" s="12" t="n">
        <v>3</v>
      </c>
      <c r="V691" s="12" t="n">
        <v>10</v>
      </c>
      <c r="W691" s="12" t="n">
        <v>3</v>
      </c>
      <c r="X691" s="13" t="n">
        <f aca="false">M691+N691+2*O691+3*P691</f>
        <v>104</v>
      </c>
      <c r="Y691" s="14" t="n">
        <f aca="false">IF(K691=0,0,M691/K691)</f>
        <v>0.228813559322034</v>
      </c>
      <c r="Z691" s="14" t="n">
        <f aca="false">IF(K691+R691+T691+U691=0,0,(M691+R691+T691)/(K691+R691+T691+U691))</f>
        <v>0.288461538461538</v>
      </c>
      <c r="AA691" s="14" t="n">
        <f aca="false">IF(K691=0,0,X691/K691)</f>
        <v>0.440677966101695</v>
      </c>
      <c r="AB691" s="14" t="n">
        <f aca="false">Z691+AA691</f>
        <v>0.729139504563233</v>
      </c>
      <c r="AC691" s="14" t="n">
        <f aca="false">AA691-Y691</f>
        <v>0.211864406779661</v>
      </c>
      <c r="AD691" s="14" t="n">
        <f aca="false">IF(K691-S691-P691+U691=0,0,(M691-P691)/(K691-S691-P691+U691))</f>
        <v>0.29559748427673</v>
      </c>
      <c r="AE691" s="15" t="n">
        <f aca="false">IF(J691=0,0,R691/J691)</f>
        <v>0.0653846153846154</v>
      </c>
      <c r="AF691" s="15" t="n">
        <f aca="false">IF(J691=0,0,S691/J691)</f>
        <v>0.280769230769231</v>
      </c>
      <c r="AG691" s="11" t="n">
        <f aca="false">IF(J691&gt;=INDEX(球季參數!$E$2:$E$4,MATCH($A691,球季參數!$A$2:$A$4,0)),1,0)</f>
        <v>0</v>
      </c>
    </row>
    <row r="692" customFormat="false" ht="15" hidden="false" customHeight="false" outlineLevel="0" collapsed="false">
      <c r="A692" s="5" t="n">
        <v>2026</v>
      </c>
      <c r="B692" s="7" t="s">
        <v>925</v>
      </c>
      <c r="C692" s="10" t="str">
        <f aca="false">INDEX(球員主檔!$B$2:$B$749,MATCH($B692,球員主檔!$A$2:$A$749,0))</f>
        <v>Joaquín Okafor</v>
      </c>
      <c r="D692" s="7" t="s">
        <v>379</v>
      </c>
      <c r="E692" s="10" t="str">
        <f aca="false">INDEX(球隊主檔!$C$2:$C$31,MATCH($D692,球隊主檔!$A$2:$A$31,0))</f>
        <v>明尼蘇達雙城</v>
      </c>
      <c r="F692" s="10" t="str">
        <f aca="false">INDEX(球隊主檔!$D$2:$D$31,MATCH($D692,球隊主檔!$A$2:$A$31,0))</f>
        <v>美聯</v>
      </c>
      <c r="G692" s="7" t="s">
        <v>162</v>
      </c>
      <c r="H692" s="11" t="n">
        <f aca="false">INT((DATE($A692,7,1)-INDEX(球員主檔!$G$2:$G$749,MATCH($B692,球員主檔!$A$2:$A$749,0)))/365.25)</f>
        <v>29</v>
      </c>
      <c r="I692" s="12" t="n">
        <v>160</v>
      </c>
      <c r="J692" s="12" t="n">
        <v>671</v>
      </c>
      <c r="K692" s="12" t="n">
        <v>634</v>
      </c>
      <c r="L692" s="12" t="n">
        <v>68</v>
      </c>
      <c r="M692" s="12" t="n">
        <v>139</v>
      </c>
      <c r="N692" s="12" t="n">
        <v>27</v>
      </c>
      <c r="O692" s="12" t="n">
        <v>3</v>
      </c>
      <c r="P692" s="12" t="n">
        <v>28</v>
      </c>
      <c r="Q692" s="12" t="n">
        <v>81</v>
      </c>
      <c r="R692" s="12" t="n">
        <v>18</v>
      </c>
      <c r="S692" s="12" t="n">
        <v>86</v>
      </c>
      <c r="T692" s="12" t="n">
        <v>14</v>
      </c>
      <c r="U692" s="12" t="n">
        <v>5</v>
      </c>
      <c r="V692" s="12" t="n">
        <v>6</v>
      </c>
      <c r="W692" s="12" t="n">
        <v>1</v>
      </c>
      <c r="X692" s="13" t="n">
        <f aca="false">M692+N692+2*O692+3*P692</f>
        <v>256</v>
      </c>
      <c r="Y692" s="14" t="n">
        <f aca="false">IF(K692=0,0,M692/K692)</f>
        <v>0.219242902208202</v>
      </c>
      <c r="Z692" s="14" t="n">
        <f aca="false">IF(K692+R692+T692+U692=0,0,(M692+R692+T692)/(K692+R692+T692+U692))</f>
        <v>0.254843517138599</v>
      </c>
      <c r="AA692" s="14" t="n">
        <f aca="false">IF(K692=0,0,X692/K692)</f>
        <v>0.403785488958991</v>
      </c>
      <c r="AB692" s="14" t="n">
        <f aca="false">Z692+AA692</f>
        <v>0.65862900609759</v>
      </c>
      <c r="AC692" s="14" t="n">
        <f aca="false">AA692-Y692</f>
        <v>0.184542586750789</v>
      </c>
      <c r="AD692" s="14" t="n">
        <f aca="false">IF(K692-S692-P692+U692=0,0,(M692-P692)/(K692-S692-P692+U692))</f>
        <v>0.211428571428571</v>
      </c>
      <c r="AE692" s="15" t="n">
        <f aca="false">IF(J692=0,0,R692/J692)</f>
        <v>0.0268256333830104</v>
      </c>
      <c r="AF692" s="15" t="n">
        <f aca="false">IF(J692=0,0,S692/J692)</f>
        <v>0.128166915052161</v>
      </c>
      <c r="AG692" s="11" t="n">
        <f aca="false">IF(J692&gt;=INDEX(球季參數!$E$2:$E$4,MATCH($A692,球季參數!$A$2:$A$4,0)),1,0)</f>
        <v>1</v>
      </c>
    </row>
    <row r="693" customFormat="false" ht="15" hidden="false" customHeight="false" outlineLevel="0" collapsed="false">
      <c r="A693" s="5" t="n">
        <v>2026</v>
      </c>
      <c r="B693" s="7" t="s">
        <v>839</v>
      </c>
      <c r="C693" s="10" t="str">
        <f aca="false">INDEX(球員主檔!$B$2:$B$749,MATCH($B693,球員主檔!$A$2:$A$749,0))</f>
        <v>Barrett Yarbrough</v>
      </c>
      <c r="D693" s="7" t="s">
        <v>379</v>
      </c>
      <c r="E693" s="10" t="str">
        <f aca="false">INDEX(球隊主檔!$C$2:$C$31,MATCH($D693,球隊主檔!$A$2:$A$31,0))</f>
        <v>明尼蘇達雙城</v>
      </c>
      <c r="F693" s="10" t="str">
        <f aca="false">INDEX(球隊主檔!$D$2:$D$31,MATCH($D693,球隊主檔!$A$2:$A$31,0))</f>
        <v>美聯</v>
      </c>
      <c r="G693" s="7" t="s">
        <v>158</v>
      </c>
      <c r="H693" s="11" t="n">
        <f aca="false">INT((DATE($A693,7,1)-INDEX(球員主檔!$G$2:$G$749,MATCH($B693,球員主檔!$A$2:$A$749,0)))/365.25)</f>
        <v>30</v>
      </c>
      <c r="I693" s="12" t="n">
        <v>153</v>
      </c>
      <c r="J693" s="12" t="n">
        <v>601</v>
      </c>
      <c r="K693" s="12" t="n">
        <v>514</v>
      </c>
      <c r="L693" s="12" t="n">
        <v>68</v>
      </c>
      <c r="M693" s="12" t="n">
        <v>116</v>
      </c>
      <c r="N693" s="12" t="n">
        <v>36</v>
      </c>
      <c r="O693" s="12" t="n">
        <v>7</v>
      </c>
      <c r="P693" s="12" t="n">
        <v>6</v>
      </c>
      <c r="Q693" s="12" t="n">
        <v>43</v>
      </c>
      <c r="R693" s="12" t="n">
        <v>79</v>
      </c>
      <c r="S693" s="12" t="n">
        <v>138</v>
      </c>
      <c r="T693" s="12" t="n">
        <v>1</v>
      </c>
      <c r="U693" s="12" t="n">
        <v>7</v>
      </c>
      <c r="V693" s="12" t="n">
        <v>4</v>
      </c>
      <c r="W693" s="12" t="n">
        <v>1</v>
      </c>
      <c r="X693" s="13" t="n">
        <f aca="false">M693+N693+2*O693+3*P693</f>
        <v>184</v>
      </c>
      <c r="Y693" s="14" t="n">
        <f aca="false">IF(K693=0,0,M693/K693)</f>
        <v>0.22568093385214</v>
      </c>
      <c r="Z693" s="14" t="n">
        <f aca="false">IF(K693+R693+T693+U693=0,0,(M693+R693+T693)/(K693+R693+T693+U693))</f>
        <v>0.3261231281198</v>
      </c>
      <c r="AA693" s="14" t="n">
        <f aca="false">IF(K693=0,0,X693/K693)</f>
        <v>0.357976653696498</v>
      </c>
      <c r="AB693" s="14" t="n">
        <f aca="false">Z693+AA693</f>
        <v>0.684099781816298</v>
      </c>
      <c r="AC693" s="14" t="n">
        <f aca="false">AA693-Y693</f>
        <v>0.132295719844358</v>
      </c>
      <c r="AD693" s="14" t="n">
        <f aca="false">IF(K693-S693-P693+U693=0,0,(M693-P693)/(K693-S693-P693+U693))</f>
        <v>0.291777188328913</v>
      </c>
      <c r="AE693" s="15" t="n">
        <f aca="false">IF(J693=0,0,R693/J693)</f>
        <v>0.131447587354409</v>
      </c>
      <c r="AF693" s="15" t="n">
        <f aca="false">IF(J693=0,0,S693/J693)</f>
        <v>0.229617304492512</v>
      </c>
      <c r="AG693" s="11" t="n">
        <f aca="false">IF(J693&gt;=INDEX(球季參數!$E$2:$E$4,MATCH($A693,球季參數!$A$2:$A$4,0)),1,0)</f>
        <v>1</v>
      </c>
    </row>
    <row r="694" customFormat="false" ht="15" hidden="false" customHeight="false" outlineLevel="0" collapsed="false">
      <c r="A694" s="5" t="n">
        <v>2026</v>
      </c>
      <c r="B694" s="7" t="s">
        <v>1865</v>
      </c>
      <c r="C694" s="10" t="str">
        <f aca="false">INDEX(球員主檔!$B$2:$B$749,MATCH($B694,球員主檔!$A$2:$A$749,0))</f>
        <v>Zane Halloway</v>
      </c>
      <c r="D694" s="7" t="s">
        <v>379</v>
      </c>
      <c r="E694" s="10" t="str">
        <f aca="false">INDEX(球隊主檔!$C$2:$C$31,MATCH($D694,球隊主檔!$A$2:$A$31,0))</f>
        <v>明尼蘇達雙城</v>
      </c>
      <c r="F694" s="10" t="str">
        <f aca="false">INDEX(球隊主檔!$D$2:$D$31,MATCH($D694,球隊主檔!$A$2:$A$31,0))</f>
        <v>美聯</v>
      </c>
      <c r="G694" s="7" t="s">
        <v>158</v>
      </c>
      <c r="H694" s="11" t="n">
        <f aca="false">INT((DATE($A694,7,1)-INDEX(球員主檔!$G$2:$G$749,MATCH($B694,球員主檔!$A$2:$A$749,0)))/365.25)</f>
        <v>22</v>
      </c>
      <c r="I694" s="12" t="n">
        <v>154</v>
      </c>
      <c r="J694" s="12" t="n">
        <v>614</v>
      </c>
      <c r="K694" s="12" t="n">
        <v>580</v>
      </c>
      <c r="L694" s="12" t="n">
        <v>58</v>
      </c>
      <c r="M694" s="12" t="n">
        <v>148</v>
      </c>
      <c r="N694" s="12" t="n">
        <v>27</v>
      </c>
      <c r="O694" s="12" t="n">
        <v>6</v>
      </c>
      <c r="P694" s="12" t="n">
        <v>14</v>
      </c>
      <c r="Q694" s="12" t="n">
        <v>59</v>
      </c>
      <c r="R694" s="12" t="n">
        <v>23</v>
      </c>
      <c r="S694" s="12" t="n">
        <v>209</v>
      </c>
      <c r="T694" s="12" t="n">
        <v>6</v>
      </c>
      <c r="U694" s="12" t="n">
        <v>5</v>
      </c>
      <c r="V694" s="12" t="n">
        <v>16</v>
      </c>
      <c r="W694" s="12" t="n">
        <v>3</v>
      </c>
      <c r="X694" s="13" t="n">
        <f aca="false">M694+N694+2*O694+3*P694</f>
        <v>229</v>
      </c>
      <c r="Y694" s="14" t="n">
        <f aca="false">IF(K694=0,0,M694/K694)</f>
        <v>0.255172413793103</v>
      </c>
      <c r="Z694" s="14" t="n">
        <f aca="false">IF(K694+R694+T694+U694=0,0,(M694+R694+T694)/(K694+R694+T694+U694))</f>
        <v>0.288273615635179</v>
      </c>
      <c r="AA694" s="14" t="n">
        <f aca="false">IF(K694=0,0,X694/K694)</f>
        <v>0.394827586206897</v>
      </c>
      <c r="AB694" s="14" t="n">
        <f aca="false">Z694+AA694</f>
        <v>0.683101201842076</v>
      </c>
      <c r="AC694" s="14" t="n">
        <f aca="false">AA694-Y694</f>
        <v>0.139655172413793</v>
      </c>
      <c r="AD694" s="14" t="n">
        <f aca="false">IF(K694-S694-P694+U694=0,0,(M694-P694)/(K694-S694-P694+U694))</f>
        <v>0.370165745856354</v>
      </c>
      <c r="AE694" s="15" t="n">
        <f aca="false">IF(J694=0,0,R694/J694)</f>
        <v>0.0374592833876222</v>
      </c>
      <c r="AF694" s="15" t="n">
        <f aca="false">IF(J694=0,0,S694/J694)</f>
        <v>0.340390879478827</v>
      </c>
      <c r="AG694" s="11" t="n">
        <f aca="false">IF(J694&gt;=INDEX(球季參數!$E$2:$E$4,MATCH($A694,球季參數!$A$2:$A$4,0)),1,0)</f>
        <v>1</v>
      </c>
    </row>
    <row r="695" customFormat="false" ht="15" hidden="false" customHeight="false" outlineLevel="0" collapsed="false">
      <c r="A695" s="5" t="n">
        <v>2026</v>
      </c>
      <c r="B695" s="7" t="s">
        <v>843</v>
      </c>
      <c r="C695" s="10" t="str">
        <f aca="false">INDEX(球員主檔!$B$2:$B$749,MATCH($B695,球員主檔!$A$2:$A$749,0))</f>
        <v>Hugo Ravenscroft</v>
      </c>
      <c r="D695" s="7" t="s">
        <v>379</v>
      </c>
      <c r="E695" s="10" t="str">
        <f aca="false">INDEX(球隊主檔!$C$2:$C$31,MATCH($D695,球隊主檔!$A$2:$A$31,0))</f>
        <v>明尼蘇達雙城</v>
      </c>
      <c r="F695" s="10" t="str">
        <f aca="false">INDEX(球隊主檔!$D$2:$D$31,MATCH($D695,球隊主檔!$A$2:$A$31,0))</f>
        <v>美聯</v>
      </c>
      <c r="G695" s="7" t="s">
        <v>162</v>
      </c>
      <c r="H695" s="11" t="n">
        <f aca="false">INT((DATE($A695,7,1)-INDEX(球員主檔!$G$2:$G$749,MATCH($B695,球員主檔!$A$2:$A$749,0)))/365.25)</f>
        <v>30</v>
      </c>
      <c r="I695" s="12" t="n">
        <v>153</v>
      </c>
      <c r="J695" s="12" t="n">
        <v>645</v>
      </c>
      <c r="K695" s="12" t="n">
        <v>588</v>
      </c>
      <c r="L695" s="12" t="n">
        <v>91</v>
      </c>
      <c r="M695" s="12" t="n">
        <v>188</v>
      </c>
      <c r="N695" s="12" t="n">
        <v>33</v>
      </c>
      <c r="O695" s="12" t="n">
        <v>3</v>
      </c>
      <c r="P695" s="12" t="n">
        <v>5</v>
      </c>
      <c r="Q695" s="12" t="n">
        <v>58</v>
      </c>
      <c r="R695" s="12" t="n">
        <v>52</v>
      </c>
      <c r="S695" s="12" t="n">
        <v>136</v>
      </c>
      <c r="T695" s="12" t="n">
        <v>4</v>
      </c>
      <c r="U695" s="12" t="n">
        <v>1</v>
      </c>
      <c r="V695" s="12" t="n">
        <v>26</v>
      </c>
      <c r="W695" s="12" t="n">
        <v>8</v>
      </c>
      <c r="X695" s="13" t="n">
        <f aca="false">M695+N695+2*O695+3*P695</f>
        <v>242</v>
      </c>
      <c r="Y695" s="14" t="n">
        <f aca="false">IF(K695=0,0,M695/K695)</f>
        <v>0.319727891156463</v>
      </c>
      <c r="Z695" s="14" t="n">
        <f aca="false">IF(K695+R695+T695+U695=0,0,(M695+R695+T695)/(K695+R695+T695+U695))</f>
        <v>0.378294573643411</v>
      </c>
      <c r="AA695" s="14" t="n">
        <f aca="false">IF(K695=0,0,X695/K695)</f>
        <v>0.41156462585034</v>
      </c>
      <c r="AB695" s="14" t="n">
        <f aca="false">Z695+AA695</f>
        <v>0.789859199493751</v>
      </c>
      <c r="AC695" s="14" t="n">
        <f aca="false">AA695-Y695</f>
        <v>0.0918367346938775</v>
      </c>
      <c r="AD695" s="14" t="n">
        <f aca="false">IF(K695-S695-P695+U695=0,0,(M695-P695)/(K695-S695-P695+U695))</f>
        <v>0.408482142857143</v>
      </c>
      <c r="AE695" s="15" t="n">
        <f aca="false">IF(J695=0,0,R695/J695)</f>
        <v>0.0806201550387597</v>
      </c>
      <c r="AF695" s="15" t="n">
        <f aca="false">IF(J695=0,0,S695/J695)</f>
        <v>0.210852713178295</v>
      </c>
      <c r="AG695" s="11" t="n">
        <f aca="false">IF(J695&gt;=INDEX(球季參數!$E$2:$E$4,MATCH($A695,球季參數!$A$2:$A$4,0)),1,0)</f>
        <v>1</v>
      </c>
    </row>
    <row r="696" customFormat="false" ht="15" hidden="false" customHeight="false" outlineLevel="0" collapsed="false">
      <c r="A696" s="5" t="n">
        <v>2026</v>
      </c>
      <c r="B696" s="7" t="s">
        <v>845</v>
      </c>
      <c r="C696" s="10" t="str">
        <f aca="false">INDEX(球員主檔!$B$2:$B$749,MATCH($B696,球員主檔!$A$2:$A$749,0))</f>
        <v>Niklas Zbornak</v>
      </c>
      <c r="D696" s="7" t="s">
        <v>379</v>
      </c>
      <c r="E696" s="10" t="str">
        <f aca="false">INDEX(球隊主檔!$C$2:$C$31,MATCH($D696,球隊主檔!$A$2:$A$31,0))</f>
        <v>明尼蘇達雙城</v>
      </c>
      <c r="F696" s="10" t="str">
        <f aca="false">INDEX(球隊主檔!$D$2:$D$31,MATCH($D696,球隊主檔!$A$2:$A$31,0))</f>
        <v>美聯</v>
      </c>
      <c r="G696" s="7" t="s">
        <v>483</v>
      </c>
      <c r="H696" s="11" t="n">
        <f aca="false">INT((DATE($A696,7,1)-INDEX(球員主檔!$G$2:$G$749,MATCH($B696,球員主檔!$A$2:$A$749,0)))/365.25)</f>
        <v>27</v>
      </c>
      <c r="I696" s="12" t="n">
        <v>100</v>
      </c>
      <c r="J696" s="12" t="n">
        <v>407</v>
      </c>
      <c r="K696" s="12" t="n">
        <v>379</v>
      </c>
      <c r="L696" s="12" t="n">
        <v>41</v>
      </c>
      <c r="M696" s="12" t="n">
        <v>75</v>
      </c>
      <c r="N696" s="12" t="n">
        <v>8</v>
      </c>
      <c r="O696" s="12" t="n">
        <v>9</v>
      </c>
      <c r="P696" s="12" t="n">
        <v>20</v>
      </c>
      <c r="Q696" s="12" t="n">
        <v>56</v>
      </c>
      <c r="R696" s="12" t="n">
        <v>21</v>
      </c>
      <c r="S696" s="12" t="n">
        <v>112</v>
      </c>
      <c r="T696" s="12" t="n">
        <v>2</v>
      </c>
      <c r="U696" s="12" t="n">
        <v>5</v>
      </c>
      <c r="V696" s="12" t="n">
        <v>9</v>
      </c>
      <c r="W696" s="12" t="n">
        <v>1</v>
      </c>
      <c r="X696" s="13" t="n">
        <f aca="false">M696+N696+2*O696+3*P696</f>
        <v>161</v>
      </c>
      <c r="Y696" s="14" t="n">
        <f aca="false">IF(K696=0,0,M696/K696)</f>
        <v>0.197889182058047</v>
      </c>
      <c r="Z696" s="14" t="n">
        <f aca="false">IF(K696+R696+T696+U696=0,0,(M696+R696+T696)/(K696+R696+T696+U696))</f>
        <v>0.240786240786241</v>
      </c>
      <c r="AA696" s="14" t="n">
        <f aca="false">IF(K696=0,0,X696/K696)</f>
        <v>0.424802110817942</v>
      </c>
      <c r="AB696" s="14" t="n">
        <f aca="false">Z696+AA696</f>
        <v>0.665588351604183</v>
      </c>
      <c r="AC696" s="14" t="n">
        <f aca="false">AA696-Y696</f>
        <v>0.226912928759894</v>
      </c>
      <c r="AD696" s="14" t="n">
        <f aca="false">IF(K696-S696-P696+U696=0,0,(M696-P696)/(K696-S696-P696+U696))</f>
        <v>0.218253968253968</v>
      </c>
      <c r="AE696" s="15" t="n">
        <f aca="false">IF(J696=0,0,R696/J696)</f>
        <v>0.0515970515970516</v>
      </c>
      <c r="AF696" s="15" t="n">
        <f aca="false">IF(J696=0,0,S696/J696)</f>
        <v>0.275184275184275</v>
      </c>
      <c r="AG696" s="11" t="n">
        <f aca="false">IF(J696&gt;=INDEX(球季參數!$E$2:$E$4,MATCH($A696,球季參數!$A$2:$A$4,0)),1,0)</f>
        <v>0</v>
      </c>
    </row>
    <row r="697" customFormat="false" ht="15" hidden="false" customHeight="false" outlineLevel="0" collapsed="false">
      <c r="A697" s="5" t="n">
        <v>2026</v>
      </c>
      <c r="B697" s="7" t="s">
        <v>847</v>
      </c>
      <c r="C697" s="10" t="str">
        <f aca="false">INDEX(球員主檔!$B$2:$B$749,MATCH($B697,球員主檔!$A$2:$A$749,0))</f>
        <v>Alonso Eberhardt</v>
      </c>
      <c r="D697" s="7" t="s">
        <v>379</v>
      </c>
      <c r="E697" s="10" t="str">
        <f aca="false">INDEX(球隊主檔!$C$2:$C$31,MATCH($D697,球隊主檔!$A$2:$A$31,0))</f>
        <v>明尼蘇達雙城</v>
      </c>
      <c r="F697" s="10" t="str">
        <f aca="false">INDEX(球隊主檔!$D$2:$D$31,MATCH($D697,球隊主檔!$A$2:$A$31,0))</f>
        <v>美聯</v>
      </c>
      <c r="G697" s="7" t="s">
        <v>483</v>
      </c>
      <c r="H697" s="11" t="n">
        <f aca="false">INT((DATE($A697,7,1)-INDEX(球員主檔!$G$2:$G$749,MATCH($B697,球員主檔!$A$2:$A$749,0)))/365.25)</f>
        <v>29</v>
      </c>
      <c r="I697" s="12" t="n">
        <v>116</v>
      </c>
      <c r="J697" s="12" t="n">
        <v>472</v>
      </c>
      <c r="K697" s="12" t="n">
        <v>396</v>
      </c>
      <c r="L697" s="12" t="n">
        <v>70</v>
      </c>
      <c r="M697" s="12" t="n">
        <v>97</v>
      </c>
      <c r="N697" s="12" t="n">
        <v>30</v>
      </c>
      <c r="O697" s="12" t="n">
        <v>2</v>
      </c>
      <c r="P697" s="12" t="n">
        <v>22</v>
      </c>
      <c r="Q697" s="12" t="n">
        <v>57</v>
      </c>
      <c r="R697" s="12" t="n">
        <v>73</v>
      </c>
      <c r="S697" s="12" t="n">
        <v>80</v>
      </c>
      <c r="T697" s="12" t="n">
        <v>1</v>
      </c>
      <c r="U697" s="12" t="n">
        <v>2</v>
      </c>
      <c r="V697" s="12" t="n">
        <v>5</v>
      </c>
      <c r="W697" s="12" t="n">
        <v>2</v>
      </c>
      <c r="X697" s="13" t="n">
        <f aca="false">M697+N697+2*O697+3*P697</f>
        <v>197</v>
      </c>
      <c r="Y697" s="14" t="n">
        <f aca="false">IF(K697=0,0,M697/K697)</f>
        <v>0.244949494949495</v>
      </c>
      <c r="Z697" s="14" t="n">
        <f aca="false">IF(K697+R697+T697+U697=0,0,(M697+R697+T697)/(K697+R697+T697+U697))</f>
        <v>0.36228813559322</v>
      </c>
      <c r="AA697" s="14" t="n">
        <f aca="false">IF(K697=0,0,X697/K697)</f>
        <v>0.497474747474747</v>
      </c>
      <c r="AB697" s="14" t="n">
        <f aca="false">Z697+AA697</f>
        <v>0.859762883067968</v>
      </c>
      <c r="AC697" s="14" t="n">
        <f aca="false">AA697-Y697</f>
        <v>0.252525252525253</v>
      </c>
      <c r="AD697" s="14" t="n">
        <f aca="false">IF(K697-S697-P697+U697=0,0,(M697-P697)/(K697-S697-P697+U697))</f>
        <v>0.253378378378378</v>
      </c>
      <c r="AE697" s="15" t="n">
        <f aca="false">IF(J697=0,0,R697/J697)</f>
        <v>0.154661016949153</v>
      </c>
      <c r="AF697" s="15" t="n">
        <f aca="false">IF(J697=0,0,S697/J697)</f>
        <v>0.169491525423729</v>
      </c>
      <c r="AG697" s="11" t="n">
        <f aca="false">IF(J697&gt;=INDEX(球季參數!$E$2:$E$4,MATCH($A697,球季參數!$A$2:$A$4,0)),1,0)</f>
        <v>0</v>
      </c>
    </row>
    <row r="698" customFormat="false" ht="15" hidden="false" customHeight="false" outlineLevel="0" collapsed="false">
      <c r="A698" s="5" t="n">
        <v>2026</v>
      </c>
      <c r="B698" s="7" t="s">
        <v>1867</v>
      </c>
      <c r="C698" s="10" t="str">
        <f aca="false">INDEX(球員主檔!$B$2:$B$749,MATCH($B698,球員主檔!$A$2:$A$749,0))</f>
        <v>Percival Jaramillo</v>
      </c>
      <c r="D698" s="7" t="s">
        <v>379</v>
      </c>
      <c r="E698" s="10" t="str">
        <f aca="false">INDEX(球隊主檔!$C$2:$C$31,MATCH($D698,球隊主檔!$A$2:$A$31,0))</f>
        <v>明尼蘇達雙城</v>
      </c>
      <c r="F698" s="10" t="str">
        <f aca="false">INDEX(球隊主檔!$D$2:$D$31,MATCH($D698,球隊主檔!$A$2:$A$31,0))</f>
        <v>美聯</v>
      </c>
      <c r="G698" s="7" t="s">
        <v>470</v>
      </c>
      <c r="H698" s="11" t="n">
        <f aca="false">INT((DATE($A698,7,1)-INDEX(球員主檔!$G$2:$G$749,MATCH($B698,球員主檔!$A$2:$A$749,0)))/365.25)</f>
        <v>22</v>
      </c>
      <c r="I698" s="12" t="n">
        <v>139</v>
      </c>
      <c r="J698" s="12" t="n">
        <v>551</v>
      </c>
      <c r="K698" s="12" t="n">
        <v>513</v>
      </c>
      <c r="L698" s="12" t="n">
        <v>54</v>
      </c>
      <c r="M698" s="12" t="n">
        <v>142</v>
      </c>
      <c r="N698" s="12" t="n">
        <v>27</v>
      </c>
      <c r="O698" s="12" t="n">
        <v>7</v>
      </c>
      <c r="P698" s="12" t="n">
        <v>6</v>
      </c>
      <c r="Q698" s="12" t="n">
        <v>54</v>
      </c>
      <c r="R698" s="12" t="n">
        <v>25</v>
      </c>
      <c r="S698" s="12" t="n">
        <v>70</v>
      </c>
      <c r="T698" s="12" t="n">
        <v>10</v>
      </c>
      <c r="U698" s="12" t="n">
        <v>3</v>
      </c>
      <c r="V698" s="12" t="n">
        <v>3</v>
      </c>
      <c r="W698" s="12" t="n">
        <v>1</v>
      </c>
      <c r="X698" s="13" t="n">
        <f aca="false">M698+N698+2*O698+3*P698</f>
        <v>201</v>
      </c>
      <c r="Y698" s="14" t="n">
        <f aca="false">IF(K698=0,0,M698/K698)</f>
        <v>0.276803118908382</v>
      </c>
      <c r="Z698" s="14" t="n">
        <f aca="false">IF(K698+R698+T698+U698=0,0,(M698+R698+T698)/(K698+R698+T698+U698))</f>
        <v>0.321234119782214</v>
      </c>
      <c r="AA698" s="14" t="n">
        <f aca="false">IF(K698=0,0,X698/K698)</f>
        <v>0.391812865497076</v>
      </c>
      <c r="AB698" s="14" t="n">
        <f aca="false">Z698+AA698</f>
        <v>0.71304698527929</v>
      </c>
      <c r="AC698" s="14" t="n">
        <f aca="false">AA698-Y698</f>
        <v>0.115009746588694</v>
      </c>
      <c r="AD698" s="14" t="n">
        <f aca="false">IF(K698-S698-P698+U698=0,0,(M698-P698)/(K698-S698-P698+U698))</f>
        <v>0.309090909090909</v>
      </c>
      <c r="AE698" s="15" t="n">
        <f aca="false">IF(J698=0,0,R698/J698)</f>
        <v>0.0453720508166969</v>
      </c>
      <c r="AF698" s="15" t="n">
        <f aca="false">IF(J698=0,0,S698/J698)</f>
        <v>0.127041742286751</v>
      </c>
      <c r="AG698" s="11" t="n">
        <f aca="false">IF(J698&gt;=INDEX(球季參數!$E$2:$E$4,MATCH($A698,球季參數!$A$2:$A$4,0)),1,0)</f>
        <v>1</v>
      </c>
    </row>
    <row r="699" customFormat="false" ht="15" hidden="false" customHeight="false" outlineLevel="0" collapsed="false">
      <c r="A699" s="5" t="n">
        <v>2026</v>
      </c>
      <c r="B699" s="7" t="s">
        <v>851</v>
      </c>
      <c r="C699" s="10" t="str">
        <f aca="false">INDEX(球員主檔!$B$2:$B$749,MATCH($B699,球員主檔!$A$2:$A$749,0))</f>
        <v>Marcus Rasmussen</v>
      </c>
      <c r="D699" s="7" t="s">
        <v>379</v>
      </c>
      <c r="E699" s="10" t="str">
        <f aca="false">INDEX(球隊主檔!$C$2:$C$31,MATCH($D699,球隊主檔!$A$2:$A$31,0))</f>
        <v>明尼蘇達雙城</v>
      </c>
      <c r="F699" s="10" t="str">
        <f aca="false">INDEX(球隊主檔!$D$2:$D$31,MATCH($D699,球隊主檔!$A$2:$A$31,0))</f>
        <v>美聯</v>
      </c>
      <c r="G699" s="7" t="s">
        <v>473</v>
      </c>
      <c r="H699" s="11" t="n">
        <f aca="false">INT((DATE($A699,7,1)-INDEX(球員主檔!$G$2:$G$749,MATCH($B699,球員主檔!$A$2:$A$749,0)))/365.25)</f>
        <v>24</v>
      </c>
      <c r="I699" s="12" t="n">
        <v>123</v>
      </c>
      <c r="J699" s="12" t="n">
        <v>518</v>
      </c>
      <c r="K699" s="12" t="n">
        <v>476</v>
      </c>
      <c r="L699" s="12" t="n">
        <v>68</v>
      </c>
      <c r="M699" s="12" t="n">
        <v>119</v>
      </c>
      <c r="N699" s="12" t="n">
        <v>29</v>
      </c>
      <c r="O699" s="12" t="n">
        <v>3</v>
      </c>
      <c r="P699" s="12" t="n">
        <v>33</v>
      </c>
      <c r="Q699" s="12" t="n">
        <v>98</v>
      </c>
      <c r="R699" s="12" t="n">
        <v>32</v>
      </c>
      <c r="S699" s="12" t="n">
        <v>73</v>
      </c>
      <c r="T699" s="12" t="n">
        <v>4</v>
      </c>
      <c r="U699" s="12" t="n">
        <v>6</v>
      </c>
      <c r="V699" s="12" t="n">
        <v>9</v>
      </c>
      <c r="W699" s="12" t="n">
        <v>2</v>
      </c>
      <c r="X699" s="13" t="n">
        <f aca="false">M699+N699+2*O699+3*P699</f>
        <v>253</v>
      </c>
      <c r="Y699" s="14" t="n">
        <f aca="false">IF(K699=0,0,M699/K699)</f>
        <v>0.25</v>
      </c>
      <c r="Z699" s="14" t="n">
        <f aca="false">IF(K699+R699+T699+U699=0,0,(M699+R699+T699)/(K699+R699+T699+U699))</f>
        <v>0.299227799227799</v>
      </c>
      <c r="AA699" s="14" t="n">
        <f aca="false">IF(K699=0,0,X699/K699)</f>
        <v>0.531512605042017</v>
      </c>
      <c r="AB699" s="14" t="n">
        <f aca="false">Z699+AA699</f>
        <v>0.830740404269816</v>
      </c>
      <c r="AC699" s="14" t="n">
        <f aca="false">AA699-Y699</f>
        <v>0.281512605042017</v>
      </c>
      <c r="AD699" s="14" t="n">
        <f aca="false">IF(K699-S699-P699+U699=0,0,(M699-P699)/(K699-S699-P699+U699))</f>
        <v>0.228723404255319</v>
      </c>
      <c r="AE699" s="15" t="n">
        <f aca="false">IF(J699=0,0,R699/J699)</f>
        <v>0.0617760617760618</v>
      </c>
      <c r="AF699" s="15" t="n">
        <f aca="false">IF(J699=0,0,S699/J699)</f>
        <v>0.140926640926641</v>
      </c>
      <c r="AG699" s="11" t="n">
        <f aca="false">IF(J699&gt;=INDEX(球季參數!$E$2:$E$4,MATCH($A699,球季參數!$A$2:$A$4,0)),1,0)</f>
        <v>1</v>
      </c>
    </row>
    <row r="700" customFormat="false" ht="15" hidden="false" customHeight="false" outlineLevel="0" collapsed="false">
      <c r="A700" s="5" t="n">
        <v>2026</v>
      </c>
      <c r="B700" s="7" t="s">
        <v>853</v>
      </c>
      <c r="C700" s="10" t="str">
        <f aca="false">INDEX(球員主檔!$B$2:$B$749,MATCH($B700,球員主檔!$A$2:$A$749,0))</f>
        <v>Tobias Dunmore</v>
      </c>
      <c r="D700" s="7" t="s">
        <v>379</v>
      </c>
      <c r="E700" s="10" t="str">
        <f aca="false">INDEX(球隊主檔!$C$2:$C$31,MATCH($D700,球隊主檔!$A$2:$A$31,0))</f>
        <v>明尼蘇達雙城</v>
      </c>
      <c r="F700" s="10" t="str">
        <f aca="false">INDEX(球隊主檔!$D$2:$D$31,MATCH($D700,球隊主檔!$A$2:$A$31,0))</f>
        <v>美聯</v>
      </c>
      <c r="G700" s="7" t="s">
        <v>478</v>
      </c>
      <c r="H700" s="11" t="n">
        <f aca="false">INT((DATE($A700,7,1)-INDEX(球員主檔!$G$2:$G$749,MATCH($B700,球員主檔!$A$2:$A$749,0)))/365.25)</f>
        <v>27</v>
      </c>
      <c r="I700" s="12" t="n">
        <v>83</v>
      </c>
      <c r="J700" s="12" t="n">
        <v>359</v>
      </c>
      <c r="K700" s="12" t="n">
        <v>326</v>
      </c>
      <c r="L700" s="12" t="n">
        <v>37</v>
      </c>
      <c r="M700" s="12" t="n">
        <v>71</v>
      </c>
      <c r="N700" s="12" t="n">
        <v>33</v>
      </c>
      <c r="O700" s="12" t="n">
        <v>1</v>
      </c>
      <c r="P700" s="12" t="n">
        <v>8</v>
      </c>
      <c r="Q700" s="12" t="n">
        <v>37</v>
      </c>
      <c r="R700" s="12" t="n">
        <v>27</v>
      </c>
      <c r="S700" s="12" t="n">
        <v>85</v>
      </c>
      <c r="T700" s="12" t="n">
        <v>6</v>
      </c>
      <c r="U700" s="12" t="n">
        <v>0</v>
      </c>
      <c r="V700" s="12" t="n">
        <v>6</v>
      </c>
      <c r="W700" s="12" t="n">
        <v>2</v>
      </c>
      <c r="X700" s="13" t="n">
        <f aca="false">M700+N700+2*O700+3*P700</f>
        <v>130</v>
      </c>
      <c r="Y700" s="14" t="n">
        <f aca="false">IF(K700=0,0,M700/K700)</f>
        <v>0.217791411042945</v>
      </c>
      <c r="Z700" s="14" t="n">
        <f aca="false">IF(K700+R700+T700+U700=0,0,(M700+R700+T700)/(K700+R700+T700+U700))</f>
        <v>0.289693593314763</v>
      </c>
      <c r="AA700" s="14" t="n">
        <f aca="false">IF(K700=0,0,X700/K700)</f>
        <v>0.398773006134969</v>
      </c>
      <c r="AB700" s="14" t="n">
        <f aca="false">Z700+AA700</f>
        <v>0.688466599449733</v>
      </c>
      <c r="AC700" s="14" t="n">
        <f aca="false">AA700-Y700</f>
        <v>0.180981595092025</v>
      </c>
      <c r="AD700" s="14" t="n">
        <f aca="false">IF(K700-S700-P700+U700=0,0,(M700-P700)/(K700-S700-P700+U700))</f>
        <v>0.270386266094421</v>
      </c>
      <c r="AE700" s="15" t="n">
        <f aca="false">IF(J700=0,0,R700/J700)</f>
        <v>0.0752089136490251</v>
      </c>
      <c r="AF700" s="15" t="n">
        <f aca="false">IF(J700=0,0,S700/J700)</f>
        <v>0.236768802228412</v>
      </c>
      <c r="AG700" s="11" t="n">
        <f aca="false">IF(J700&gt;=INDEX(球季參數!$E$2:$E$4,MATCH($A700,球季參數!$A$2:$A$4,0)),1,0)</f>
        <v>0</v>
      </c>
    </row>
    <row r="701" customFormat="false" ht="15" hidden="false" customHeight="false" outlineLevel="0" collapsed="false">
      <c r="A701" s="5" t="n">
        <v>2026</v>
      </c>
      <c r="B701" s="7" t="s">
        <v>855</v>
      </c>
      <c r="C701" s="10" t="str">
        <f aca="false">INDEX(球員主檔!$B$2:$B$749,MATCH($B701,球員主檔!$A$2:$A$749,0))</f>
        <v>Sawyer Oyelaran</v>
      </c>
      <c r="D701" s="7" t="s">
        <v>379</v>
      </c>
      <c r="E701" s="10" t="str">
        <f aca="false">INDEX(球隊主檔!$C$2:$C$31,MATCH($D701,球隊主檔!$A$2:$A$31,0))</f>
        <v>明尼蘇達雙城</v>
      </c>
      <c r="F701" s="10" t="str">
        <f aca="false">INDEX(球隊主檔!$D$2:$D$31,MATCH($D701,球隊主檔!$A$2:$A$31,0))</f>
        <v>美聯</v>
      </c>
      <c r="G701" s="7" t="s">
        <v>522</v>
      </c>
      <c r="H701" s="11" t="n">
        <f aca="false">INT((DATE($A701,7,1)-INDEX(球員主檔!$G$2:$G$749,MATCH($B701,球員主檔!$A$2:$A$749,0)))/365.25)</f>
        <v>28</v>
      </c>
      <c r="I701" s="12" t="n">
        <v>54</v>
      </c>
      <c r="J701" s="12" t="n">
        <v>243</v>
      </c>
      <c r="K701" s="12" t="n">
        <v>233</v>
      </c>
      <c r="L701" s="12" t="n">
        <v>28</v>
      </c>
      <c r="M701" s="12" t="n">
        <v>65</v>
      </c>
      <c r="N701" s="12" t="n">
        <v>25</v>
      </c>
      <c r="O701" s="12" t="n">
        <v>3</v>
      </c>
      <c r="P701" s="12" t="n">
        <v>11</v>
      </c>
      <c r="Q701" s="12" t="n">
        <v>33</v>
      </c>
      <c r="R701" s="12" t="n">
        <v>9</v>
      </c>
      <c r="S701" s="12" t="n">
        <v>73</v>
      </c>
      <c r="T701" s="12" t="n">
        <v>1</v>
      </c>
      <c r="U701" s="12" t="n">
        <v>0</v>
      </c>
      <c r="V701" s="12" t="n">
        <v>3</v>
      </c>
      <c r="W701" s="12" t="n">
        <v>1</v>
      </c>
      <c r="X701" s="13" t="n">
        <f aca="false">M701+N701+2*O701+3*P701</f>
        <v>129</v>
      </c>
      <c r="Y701" s="14" t="n">
        <f aca="false">IF(K701=0,0,M701/K701)</f>
        <v>0.278969957081545</v>
      </c>
      <c r="Z701" s="14" t="n">
        <f aca="false">IF(K701+R701+T701+U701=0,0,(M701+R701+T701)/(K701+R701+T701+U701))</f>
        <v>0.308641975308642</v>
      </c>
      <c r="AA701" s="14" t="n">
        <f aca="false">IF(K701=0,0,X701/K701)</f>
        <v>0.553648068669528</v>
      </c>
      <c r="AB701" s="14" t="n">
        <f aca="false">Z701+AA701</f>
        <v>0.86229004397817</v>
      </c>
      <c r="AC701" s="14" t="n">
        <f aca="false">AA701-Y701</f>
        <v>0.274678111587983</v>
      </c>
      <c r="AD701" s="14" t="n">
        <f aca="false">IF(K701-S701-P701+U701=0,0,(M701-P701)/(K701-S701-P701+U701))</f>
        <v>0.36241610738255</v>
      </c>
      <c r="AE701" s="15" t="n">
        <f aca="false">IF(J701=0,0,R701/J701)</f>
        <v>0.037037037037037</v>
      </c>
      <c r="AF701" s="15" t="n">
        <f aca="false">IF(J701=0,0,S701/J701)</f>
        <v>0.300411522633745</v>
      </c>
      <c r="AG701" s="11" t="n">
        <f aca="false">IF(J701&gt;=INDEX(球季參數!$E$2:$E$4,MATCH($A701,球季參數!$A$2:$A$4,0)),1,0)</f>
        <v>0</v>
      </c>
    </row>
    <row r="702" customFormat="false" ht="15" hidden="false" customHeight="false" outlineLevel="0" collapsed="false">
      <c r="A702" s="5" t="n">
        <v>2026</v>
      </c>
      <c r="B702" s="7" t="s">
        <v>877</v>
      </c>
      <c r="C702" s="10" t="str">
        <f aca="false">INDEX(球員主檔!$B$2:$B$749,MATCH($B702,球員主檔!$A$2:$A$749,0))</f>
        <v>Jedidiah Ferreira</v>
      </c>
      <c r="D702" s="7" t="s">
        <v>383</v>
      </c>
      <c r="E702" s="10" t="str">
        <f aca="false">INDEX(球隊主檔!$C$2:$C$31,MATCH($D702,球隊主檔!$A$2:$A$31,0))</f>
        <v>運動家</v>
      </c>
      <c r="F702" s="10" t="str">
        <f aca="false">INDEX(球隊主檔!$D$2:$D$31,MATCH($D702,球隊主檔!$A$2:$A$31,0))</f>
        <v>美聯</v>
      </c>
      <c r="G702" s="7" t="s">
        <v>162</v>
      </c>
      <c r="H702" s="11" t="n">
        <f aca="false">INT((DATE($A702,7,1)-INDEX(球員主檔!$G$2:$G$749,MATCH($B702,球員主檔!$A$2:$A$749,0)))/365.25)</f>
        <v>29</v>
      </c>
      <c r="I702" s="12" t="n">
        <v>134</v>
      </c>
      <c r="J702" s="12" t="n">
        <v>568</v>
      </c>
      <c r="K702" s="12" t="n">
        <v>519</v>
      </c>
      <c r="L702" s="12" t="n">
        <v>72</v>
      </c>
      <c r="M702" s="12" t="n">
        <v>122</v>
      </c>
      <c r="N702" s="12" t="n">
        <v>27</v>
      </c>
      <c r="O702" s="12" t="n">
        <v>6</v>
      </c>
      <c r="P702" s="12" t="n">
        <v>41</v>
      </c>
      <c r="Q702" s="12" t="n">
        <v>105</v>
      </c>
      <c r="R702" s="12" t="n">
        <v>38</v>
      </c>
      <c r="S702" s="12" t="n">
        <v>173</v>
      </c>
      <c r="T702" s="12" t="n">
        <v>5</v>
      </c>
      <c r="U702" s="12" t="n">
        <v>6</v>
      </c>
      <c r="V702" s="12" t="n">
        <v>19</v>
      </c>
      <c r="W702" s="12" t="n">
        <v>3</v>
      </c>
      <c r="X702" s="13" t="n">
        <f aca="false">M702+N702+2*O702+3*P702</f>
        <v>284</v>
      </c>
      <c r="Y702" s="14" t="n">
        <f aca="false">IF(K702=0,0,M702/K702)</f>
        <v>0.235067437379576</v>
      </c>
      <c r="Z702" s="14" t="n">
        <f aca="false">IF(K702+R702+T702+U702=0,0,(M702+R702+T702)/(K702+R702+T702+U702))</f>
        <v>0.290492957746479</v>
      </c>
      <c r="AA702" s="14" t="n">
        <f aca="false">IF(K702=0,0,X702/K702)</f>
        <v>0.547206165703276</v>
      </c>
      <c r="AB702" s="14" t="n">
        <f aca="false">Z702+AA702</f>
        <v>0.837699123449754</v>
      </c>
      <c r="AC702" s="14" t="n">
        <f aca="false">AA702-Y702</f>
        <v>0.312138728323699</v>
      </c>
      <c r="AD702" s="14" t="n">
        <f aca="false">IF(K702-S702-P702+U702=0,0,(M702-P702)/(K702-S702-P702+U702))</f>
        <v>0.260450160771704</v>
      </c>
      <c r="AE702" s="15" t="n">
        <f aca="false">IF(J702=0,0,R702/J702)</f>
        <v>0.0669014084507042</v>
      </c>
      <c r="AF702" s="15" t="n">
        <f aca="false">IF(J702=0,0,S702/J702)</f>
        <v>0.304577464788732</v>
      </c>
      <c r="AG702" s="11" t="n">
        <f aca="false">IF(J702&gt;=INDEX(球季參數!$E$2:$E$4,MATCH($A702,球季參數!$A$2:$A$4,0)),1,0)</f>
        <v>1</v>
      </c>
    </row>
    <row r="703" customFormat="false" ht="15" hidden="false" customHeight="false" outlineLevel="0" collapsed="false">
      <c r="A703" s="5" t="n">
        <v>2026</v>
      </c>
      <c r="B703" s="7" t="s">
        <v>1873</v>
      </c>
      <c r="C703" s="10" t="str">
        <f aca="false">INDEX(球員主檔!$B$2:$B$749,MATCH($B703,球員主檔!$A$2:$A$749,0))</f>
        <v>Holden Wainwright</v>
      </c>
      <c r="D703" s="7" t="s">
        <v>383</v>
      </c>
      <c r="E703" s="10" t="str">
        <f aca="false">INDEX(球隊主檔!$C$2:$C$31,MATCH($D703,球隊主檔!$A$2:$A$31,0))</f>
        <v>運動家</v>
      </c>
      <c r="F703" s="10" t="str">
        <f aca="false">INDEX(球隊主檔!$D$2:$D$31,MATCH($D703,球隊主檔!$A$2:$A$31,0))</f>
        <v>美聯</v>
      </c>
      <c r="G703" s="7" t="s">
        <v>470</v>
      </c>
      <c r="H703" s="11" t="n">
        <f aca="false">INT((DATE($A703,7,1)-INDEX(球員主檔!$G$2:$G$749,MATCH($B703,球員主檔!$A$2:$A$749,0)))/365.25)</f>
        <v>21</v>
      </c>
      <c r="I703" s="12" t="n">
        <v>162</v>
      </c>
      <c r="J703" s="12" t="n">
        <v>689</v>
      </c>
      <c r="K703" s="12" t="n">
        <v>604</v>
      </c>
      <c r="L703" s="12" t="n">
        <v>77</v>
      </c>
      <c r="M703" s="12" t="n">
        <v>125</v>
      </c>
      <c r="N703" s="12" t="n">
        <v>38</v>
      </c>
      <c r="O703" s="12" t="n">
        <v>9</v>
      </c>
      <c r="P703" s="12" t="n">
        <v>21</v>
      </c>
      <c r="Q703" s="12" t="n">
        <v>77</v>
      </c>
      <c r="R703" s="12" t="n">
        <v>71</v>
      </c>
      <c r="S703" s="12" t="n">
        <v>107</v>
      </c>
      <c r="T703" s="12" t="n">
        <v>10</v>
      </c>
      <c r="U703" s="12" t="n">
        <v>4</v>
      </c>
      <c r="V703" s="12" t="n">
        <v>24</v>
      </c>
      <c r="W703" s="12" t="n">
        <v>7</v>
      </c>
      <c r="X703" s="13" t="n">
        <f aca="false">M703+N703+2*O703+3*P703</f>
        <v>244</v>
      </c>
      <c r="Y703" s="14" t="n">
        <f aca="false">IF(K703=0,0,M703/K703)</f>
        <v>0.206953642384106</v>
      </c>
      <c r="Z703" s="14" t="n">
        <f aca="false">IF(K703+R703+T703+U703=0,0,(M703+R703+T703)/(K703+R703+T703+U703))</f>
        <v>0.298984034833091</v>
      </c>
      <c r="AA703" s="14" t="n">
        <f aca="false">IF(K703=0,0,X703/K703)</f>
        <v>0.403973509933775</v>
      </c>
      <c r="AB703" s="14" t="n">
        <f aca="false">Z703+AA703</f>
        <v>0.702957544766866</v>
      </c>
      <c r="AC703" s="14" t="n">
        <f aca="false">AA703-Y703</f>
        <v>0.197019867549669</v>
      </c>
      <c r="AD703" s="14" t="n">
        <f aca="false">IF(K703-S703-P703+U703=0,0,(M703-P703)/(K703-S703-P703+U703))</f>
        <v>0.216666666666667</v>
      </c>
      <c r="AE703" s="15" t="n">
        <f aca="false">IF(J703=0,0,R703/J703)</f>
        <v>0.103047895500726</v>
      </c>
      <c r="AF703" s="15" t="n">
        <f aca="false">IF(J703=0,0,S703/J703)</f>
        <v>0.155297532656023</v>
      </c>
      <c r="AG703" s="11" t="n">
        <f aca="false">IF(J703&gt;=INDEX(球季參數!$E$2:$E$4,MATCH($A703,球季參數!$A$2:$A$4,0)),1,0)</f>
        <v>1</v>
      </c>
    </row>
    <row r="704" customFormat="false" ht="15" hidden="false" customHeight="false" outlineLevel="0" collapsed="false">
      <c r="A704" s="5" t="n">
        <v>2026</v>
      </c>
      <c r="B704" s="7" t="s">
        <v>881</v>
      </c>
      <c r="C704" s="10" t="str">
        <f aca="false">INDEX(球員主檔!$B$2:$B$749,MATCH($B704,球員主檔!$A$2:$A$749,0))</f>
        <v>Emilio Ostrowski</v>
      </c>
      <c r="D704" s="7" t="s">
        <v>383</v>
      </c>
      <c r="E704" s="10" t="str">
        <f aca="false">INDEX(球隊主檔!$C$2:$C$31,MATCH($D704,球隊主檔!$A$2:$A$31,0))</f>
        <v>運動家</v>
      </c>
      <c r="F704" s="10" t="str">
        <f aca="false">INDEX(球隊主檔!$D$2:$D$31,MATCH($D704,球隊主檔!$A$2:$A$31,0))</f>
        <v>美聯</v>
      </c>
      <c r="G704" s="7" t="s">
        <v>473</v>
      </c>
      <c r="H704" s="11" t="n">
        <f aca="false">INT((DATE($A704,7,1)-INDEX(球員主檔!$G$2:$G$749,MATCH($B704,球員主檔!$A$2:$A$749,0)))/365.25)</f>
        <v>29</v>
      </c>
      <c r="I704" s="12" t="n">
        <v>128</v>
      </c>
      <c r="J704" s="12" t="n">
        <v>577</v>
      </c>
      <c r="K704" s="12" t="n">
        <v>516</v>
      </c>
      <c r="L704" s="12" t="n">
        <v>62</v>
      </c>
      <c r="M704" s="12" t="n">
        <v>112</v>
      </c>
      <c r="N704" s="12" t="n">
        <v>38</v>
      </c>
      <c r="O704" s="12" t="n">
        <v>10</v>
      </c>
      <c r="P704" s="12" t="n">
        <v>20</v>
      </c>
      <c r="Q704" s="12" t="n">
        <v>61</v>
      </c>
      <c r="R704" s="12" t="n">
        <v>50</v>
      </c>
      <c r="S704" s="12" t="n">
        <v>147</v>
      </c>
      <c r="T704" s="12" t="n">
        <v>4</v>
      </c>
      <c r="U704" s="12" t="n">
        <v>7</v>
      </c>
      <c r="V704" s="12" t="n">
        <v>45</v>
      </c>
      <c r="W704" s="12" t="n">
        <v>9</v>
      </c>
      <c r="X704" s="13" t="n">
        <f aca="false">M704+N704+2*O704+3*P704</f>
        <v>230</v>
      </c>
      <c r="Y704" s="14" t="n">
        <f aca="false">IF(K704=0,0,M704/K704)</f>
        <v>0.217054263565891</v>
      </c>
      <c r="Z704" s="14" t="n">
        <f aca="false">IF(K704+R704+T704+U704=0,0,(M704+R704+T704)/(K704+R704+T704+U704))</f>
        <v>0.287694974003466</v>
      </c>
      <c r="AA704" s="14" t="n">
        <f aca="false">IF(K704=0,0,X704/K704)</f>
        <v>0.445736434108527</v>
      </c>
      <c r="AB704" s="14" t="n">
        <f aca="false">Z704+AA704</f>
        <v>0.733431408111993</v>
      </c>
      <c r="AC704" s="14" t="n">
        <f aca="false">AA704-Y704</f>
        <v>0.228682170542636</v>
      </c>
      <c r="AD704" s="14" t="n">
        <f aca="false">IF(K704-S704-P704+U704=0,0,(M704-P704)/(K704-S704-P704+U704))</f>
        <v>0.258426966292135</v>
      </c>
      <c r="AE704" s="15" t="n">
        <f aca="false">IF(J704=0,0,R704/J704)</f>
        <v>0.0866551126516465</v>
      </c>
      <c r="AF704" s="15" t="n">
        <f aca="false">IF(J704=0,0,S704/J704)</f>
        <v>0.254766031195841</v>
      </c>
      <c r="AG704" s="11" t="n">
        <f aca="false">IF(J704&gt;=INDEX(球季參數!$E$2:$E$4,MATCH($A704,球季參數!$A$2:$A$4,0)),1,0)</f>
        <v>1</v>
      </c>
    </row>
    <row r="705" customFormat="false" ht="15" hidden="false" customHeight="false" outlineLevel="0" collapsed="false">
      <c r="A705" s="5" t="n">
        <v>2026</v>
      </c>
      <c r="B705" s="7" t="s">
        <v>1717</v>
      </c>
      <c r="C705" s="10" t="str">
        <f aca="false">INDEX(球員主檔!$B$2:$B$749,MATCH($B705,球員主檔!$A$2:$A$749,0))</f>
        <v>Lucien Ferreira</v>
      </c>
      <c r="D705" s="7" t="s">
        <v>383</v>
      </c>
      <c r="E705" s="10" t="str">
        <f aca="false">INDEX(球隊主檔!$C$2:$C$31,MATCH($D705,球隊主檔!$A$2:$A$31,0))</f>
        <v>運動家</v>
      </c>
      <c r="F705" s="10" t="str">
        <f aca="false">INDEX(球隊主檔!$D$2:$D$31,MATCH($D705,球隊主檔!$A$2:$A$31,0))</f>
        <v>美聯</v>
      </c>
      <c r="G705" s="7" t="s">
        <v>478</v>
      </c>
      <c r="H705" s="11" t="n">
        <f aca="false">INT((DATE($A705,7,1)-INDEX(球員主檔!$G$2:$G$749,MATCH($B705,球員主檔!$A$2:$A$749,0)))/365.25)</f>
        <v>22</v>
      </c>
      <c r="I705" s="12" t="n">
        <v>162</v>
      </c>
      <c r="J705" s="12" t="n">
        <v>677</v>
      </c>
      <c r="K705" s="12" t="n">
        <v>620</v>
      </c>
      <c r="L705" s="12" t="n">
        <v>70</v>
      </c>
      <c r="M705" s="12" t="n">
        <v>150</v>
      </c>
      <c r="N705" s="12" t="n">
        <v>15</v>
      </c>
      <c r="O705" s="12" t="n">
        <v>12</v>
      </c>
      <c r="P705" s="12" t="n">
        <v>11</v>
      </c>
      <c r="Q705" s="12" t="n">
        <v>60</v>
      </c>
      <c r="R705" s="12" t="n">
        <v>40</v>
      </c>
      <c r="S705" s="12" t="n">
        <v>129</v>
      </c>
      <c r="T705" s="12" t="n">
        <v>10</v>
      </c>
      <c r="U705" s="12" t="n">
        <v>7</v>
      </c>
      <c r="V705" s="12" t="n">
        <v>14</v>
      </c>
      <c r="W705" s="12" t="n">
        <v>3</v>
      </c>
      <c r="X705" s="13" t="n">
        <f aca="false">M705+N705+2*O705+3*P705</f>
        <v>222</v>
      </c>
      <c r="Y705" s="14" t="n">
        <f aca="false">IF(K705=0,0,M705/K705)</f>
        <v>0.241935483870968</v>
      </c>
      <c r="Z705" s="14" t="n">
        <f aca="false">IF(K705+R705+T705+U705=0,0,(M705+R705+T705)/(K705+R705+T705+U705))</f>
        <v>0.295420974889217</v>
      </c>
      <c r="AA705" s="14" t="n">
        <f aca="false">IF(K705=0,0,X705/K705)</f>
        <v>0.358064516129032</v>
      </c>
      <c r="AB705" s="14" t="n">
        <f aca="false">Z705+AA705</f>
        <v>0.65348549101825</v>
      </c>
      <c r="AC705" s="14" t="n">
        <f aca="false">AA705-Y705</f>
        <v>0.116129032258065</v>
      </c>
      <c r="AD705" s="14" t="n">
        <f aca="false">IF(K705-S705-P705+U705=0,0,(M705-P705)/(K705-S705-P705+U705))</f>
        <v>0.285420944558522</v>
      </c>
      <c r="AE705" s="15" t="n">
        <f aca="false">IF(J705=0,0,R705/J705)</f>
        <v>0.0590841949778434</v>
      </c>
      <c r="AF705" s="15" t="n">
        <f aca="false">IF(J705=0,0,S705/J705)</f>
        <v>0.190546528803545</v>
      </c>
      <c r="AG705" s="11" t="n">
        <f aca="false">IF(J705&gt;=INDEX(球季參數!$E$2:$E$4,MATCH($A705,球季參數!$A$2:$A$4,0)),1,0)</f>
        <v>1</v>
      </c>
    </row>
    <row r="706" customFormat="false" ht="15" hidden="false" customHeight="false" outlineLevel="0" collapsed="false">
      <c r="A706" s="5" t="n">
        <v>2026</v>
      </c>
      <c r="B706" s="7" t="s">
        <v>885</v>
      </c>
      <c r="C706" s="10" t="str">
        <f aca="false">INDEX(球員主檔!$B$2:$B$749,MATCH($B706,球員主檔!$A$2:$A$749,0))</f>
        <v>Esteban Beckwith</v>
      </c>
      <c r="D706" s="7" t="s">
        <v>383</v>
      </c>
      <c r="E706" s="10" t="str">
        <f aca="false">INDEX(球隊主檔!$C$2:$C$31,MATCH($D706,球隊主檔!$A$2:$A$31,0))</f>
        <v>運動家</v>
      </c>
      <c r="F706" s="10" t="str">
        <f aca="false">INDEX(球隊主檔!$D$2:$D$31,MATCH($D706,球隊主檔!$A$2:$A$31,0))</f>
        <v>美聯</v>
      </c>
      <c r="G706" s="7" t="s">
        <v>478</v>
      </c>
      <c r="H706" s="11" t="n">
        <f aca="false">INT((DATE($A706,7,1)-INDEX(球員主檔!$G$2:$G$749,MATCH($B706,球員主檔!$A$2:$A$749,0)))/365.25)</f>
        <v>24</v>
      </c>
      <c r="I706" s="12" t="n">
        <v>102</v>
      </c>
      <c r="J706" s="12" t="n">
        <v>411</v>
      </c>
      <c r="K706" s="12" t="n">
        <v>370</v>
      </c>
      <c r="L706" s="12" t="n">
        <v>42</v>
      </c>
      <c r="M706" s="12" t="n">
        <v>97</v>
      </c>
      <c r="N706" s="12" t="n">
        <v>32</v>
      </c>
      <c r="O706" s="12" t="n">
        <v>5</v>
      </c>
      <c r="P706" s="12" t="n">
        <v>6</v>
      </c>
      <c r="Q706" s="12" t="n">
        <v>32</v>
      </c>
      <c r="R706" s="12" t="n">
        <v>30</v>
      </c>
      <c r="S706" s="12" t="n">
        <v>111</v>
      </c>
      <c r="T706" s="12" t="n">
        <v>7</v>
      </c>
      <c r="U706" s="12" t="n">
        <v>4</v>
      </c>
      <c r="V706" s="12" t="n">
        <v>3</v>
      </c>
      <c r="W706" s="12" t="n">
        <v>1</v>
      </c>
      <c r="X706" s="13" t="n">
        <f aca="false">M706+N706+2*O706+3*P706</f>
        <v>157</v>
      </c>
      <c r="Y706" s="14" t="n">
        <f aca="false">IF(K706=0,0,M706/K706)</f>
        <v>0.262162162162162</v>
      </c>
      <c r="Z706" s="14" t="n">
        <f aca="false">IF(K706+R706+T706+U706=0,0,(M706+R706+T706)/(K706+R706+T706+U706))</f>
        <v>0.326034063260341</v>
      </c>
      <c r="AA706" s="14" t="n">
        <f aca="false">IF(K706=0,0,X706/K706)</f>
        <v>0.424324324324324</v>
      </c>
      <c r="AB706" s="14" t="n">
        <f aca="false">Z706+AA706</f>
        <v>0.750358387584665</v>
      </c>
      <c r="AC706" s="14" t="n">
        <f aca="false">AA706-Y706</f>
        <v>0.162162162162162</v>
      </c>
      <c r="AD706" s="14" t="n">
        <f aca="false">IF(K706-S706-P706+U706=0,0,(M706-P706)/(K706-S706-P706+U706))</f>
        <v>0.354085603112841</v>
      </c>
      <c r="AE706" s="15" t="n">
        <f aca="false">IF(J706=0,0,R706/J706)</f>
        <v>0.072992700729927</v>
      </c>
      <c r="AF706" s="15" t="n">
        <f aca="false">IF(J706=0,0,S706/J706)</f>
        <v>0.27007299270073</v>
      </c>
      <c r="AG706" s="11" t="n">
        <f aca="false">IF(J706&gt;=INDEX(球季參數!$E$2:$E$4,MATCH($A706,球季參數!$A$2:$A$4,0)),1,0)</f>
        <v>0</v>
      </c>
    </row>
    <row r="707" customFormat="false" ht="15" hidden="false" customHeight="false" outlineLevel="0" collapsed="false">
      <c r="A707" s="5" t="n">
        <v>2026</v>
      </c>
      <c r="B707" s="7" t="s">
        <v>887</v>
      </c>
      <c r="C707" s="10" t="str">
        <f aca="false">INDEX(球員主檔!$B$2:$B$749,MATCH($B707,球員主檔!$A$2:$A$749,0))</f>
        <v>Porter Fontaine</v>
      </c>
      <c r="D707" s="7" t="s">
        <v>383</v>
      </c>
      <c r="E707" s="10" t="str">
        <f aca="false">INDEX(球隊主檔!$C$2:$C$31,MATCH($D707,球隊主檔!$A$2:$A$31,0))</f>
        <v>運動家</v>
      </c>
      <c r="F707" s="10" t="str">
        <f aca="false">INDEX(球隊主檔!$D$2:$D$31,MATCH($D707,球隊主檔!$A$2:$A$31,0))</f>
        <v>美聯</v>
      </c>
      <c r="G707" s="7" t="s">
        <v>478</v>
      </c>
      <c r="H707" s="11" t="n">
        <f aca="false">INT((DATE($A707,7,1)-INDEX(球員主檔!$G$2:$G$749,MATCH($B707,球員主檔!$A$2:$A$749,0)))/365.25)</f>
        <v>28</v>
      </c>
      <c r="I707" s="12" t="n">
        <v>142</v>
      </c>
      <c r="J707" s="12" t="n">
        <v>560</v>
      </c>
      <c r="K707" s="12" t="n">
        <v>513</v>
      </c>
      <c r="L707" s="12" t="n">
        <v>74</v>
      </c>
      <c r="M707" s="12" t="n">
        <v>120</v>
      </c>
      <c r="N707" s="12" t="n">
        <v>27</v>
      </c>
      <c r="O707" s="12" t="n">
        <v>7</v>
      </c>
      <c r="P707" s="12" t="n">
        <v>25</v>
      </c>
      <c r="Q707" s="12" t="n">
        <v>74</v>
      </c>
      <c r="R707" s="12" t="n">
        <v>36</v>
      </c>
      <c r="S707" s="12" t="n">
        <v>111</v>
      </c>
      <c r="T707" s="12" t="n">
        <v>6</v>
      </c>
      <c r="U707" s="12" t="n">
        <v>5</v>
      </c>
      <c r="V707" s="12" t="n">
        <v>5</v>
      </c>
      <c r="W707" s="12" t="n">
        <v>1</v>
      </c>
      <c r="X707" s="13" t="n">
        <f aca="false">M707+N707+2*O707+3*P707</f>
        <v>236</v>
      </c>
      <c r="Y707" s="14" t="n">
        <f aca="false">IF(K707=0,0,M707/K707)</f>
        <v>0.233918128654971</v>
      </c>
      <c r="Z707" s="14" t="n">
        <f aca="false">IF(K707+R707+T707+U707=0,0,(M707+R707+T707)/(K707+R707+T707+U707))</f>
        <v>0.289285714285714</v>
      </c>
      <c r="AA707" s="14" t="n">
        <f aca="false">IF(K707=0,0,X707/K707)</f>
        <v>0.460038986354776</v>
      </c>
      <c r="AB707" s="14" t="n">
        <f aca="false">Z707+AA707</f>
        <v>0.74932470064049</v>
      </c>
      <c r="AC707" s="14" t="n">
        <f aca="false">AA707-Y707</f>
        <v>0.226120857699805</v>
      </c>
      <c r="AD707" s="14" t="n">
        <f aca="false">IF(K707-S707-P707+U707=0,0,(M707-P707)/(K707-S707-P707+U707))</f>
        <v>0.24869109947644</v>
      </c>
      <c r="AE707" s="15" t="n">
        <f aca="false">IF(J707=0,0,R707/J707)</f>
        <v>0.0642857142857143</v>
      </c>
      <c r="AF707" s="15" t="n">
        <f aca="false">IF(J707=0,0,S707/J707)</f>
        <v>0.198214285714286</v>
      </c>
      <c r="AG707" s="11" t="n">
        <f aca="false">IF(J707&gt;=INDEX(球季參數!$E$2:$E$4,MATCH($A707,球季參數!$A$2:$A$4,0)),1,0)</f>
        <v>1</v>
      </c>
    </row>
    <row r="708" customFormat="false" ht="15" hidden="false" customHeight="false" outlineLevel="0" collapsed="false">
      <c r="A708" s="5" t="n">
        <v>2026</v>
      </c>
      <c r="B708" s="7" t="s">
        <v>1875</v>
      </c>
      <c r="C708" s="10" t="str">
        <f aca="false">INDEX(球員主檔!$B$2:$B$749,MATCH($B708,球員主檔!$A$2:$A$749,0))</f>
        <v>Benedikt Novotný</v>
      </c>
      <c r="D708" s="7" t="s">
        <v>383</v>
      </c>
      <c r="E708" s="10" t="str">
        <f aca="false">INDEX(球隊主檔!$C$2:$C$31,MATCH($D708,球隊主檔!$A$2:$A$31,0))</f>
        <v>運動家</v>
      </c>
      <c r="F708" s="10" t="str">
        <f aca="false">INDEX(球隊主檔!$D$2:$D$31,MATCH($D708,球隊主檔!$A$2:$A$31,0))</f>
        <v>美聯</v>
      </c>
      <c r="G708" s="7" t="s">
        <v>162</v>
      </c>
      <c r="H708" s="11" t="n">
        <f aca="false">INT((DATE($A708,7,1)-INDEX(球員主檔!$G$2:$G$749,MATCH($B708,球員主檔!$A$2:$A$749,0)))/365.25)</f>
        <v>22</v>
      </c>
      <c r="I708" s="12" t="n">
        <v>129</v>
      </c>
      <c r="J708" s="12" t="n">
        <v>551</v>
      </c>
      <c r="K708" s="12" t="n">
        <v>493</v>
      </c>
      <c r="L708" s="12" t="n">
        <v>75</v>
      </c>
      <c r="M708" s="12" t="n">
        <v>120</v>
      </c>
      <c r="N708" s="12" t="n">
        <v>31</v>
      </c>
      <c r="O708" s="12" t="n">
        <v>6</v>
      </c>
      <c r="P708" s="12" t="n">
        <v>22</v>
      </c>
      <c r="Q708" s="12" t="n">
        <v>75</v>
      </c>
      <c r="R708" s="12" t="n">
        <v>44</v>
      </c>
      <c r="S708" s="12" t="n">
        <v>87</v>
      </c>
      <c r="T708" s="12" t="n">
        <v>7</v>
      </c>
      <c r="U708" s="12" t="n">
        <v>7</v>
      </c>
      <c r="V708" s="12" t="n">
        <v>4</v>
      </c>
      <c r="W708" s="12" t="n">
        <v>1</v>
      </c>
      <c r="X708" s="13" t="n">
        <f aca="false">M708+N708+2*O708+3*P708</f>
        <v>229</v>
      </c>
      <c r="Y708" s="14" t="n">
        <f aca="false">IF(K708=0,0,M708/K708)</f>
        <v>0.243407707910751</v>
      </c>
      <c r="Z708" s="14" t="n">
        <f aca="false">IF(K708+R708+T708+U708=0,0,(M708+R708+T708)/(K708+R708+T708+U708))</f>
        <v>0.310344827586207</v>
      </c>
      <c r="AA708" s="14" t="n">
        <f aca="false">IF(K708=0,0,X708/K708)</f>
        <v>0.464503042596349</v>
      </c>
      <c r="AB708" s="14" t="n">
        <f aca="false">Z708+AA708</f>
        <v>0.774847870182556</v>
      </c>
      <c r="AC708" s="14" t="n">
        <f aca="false">AA708-Y708</f>
        <v>0.221095334685598</v>
      </c>
      <c r="AD708" s="14" t="n">
        <f aca="false">IF(K708-S708-P708+U708=0,0,(M708-P708)/(K708-S708-P708+U708))</f>
        <v>0.250639386189258</v>
      </c>
      <c r="AE708" s="15" t="n">
        <f aca="false">IF(J708=0,0,R708/J708)</f>
        <v>0.0798548094373866</v>
      </c>
      <c r="AF708" s="15" t="n">
        <f aca="false">IF(J708=0,0,S708/J708)</f>
        <v>0.157894736842105</v>
      </c>
      <c r="AG708" s="11" t="n">
        <f aca="false">IF(J708&gt;=INDEX(球季參數!$E$2:$E$4,MATCH($A708,球季參數!$A$2:$A$4,0)),1,0)</f>
        <v>1</v>
      </c>
    </row>
    <row r="709" customFormat="false" ht="15" hidden="false" customHeight="false" outlineLevel="0" collapsed="false">
      <c r="A709" s="5" t="n">
        <v>2026</v>
      </c>
      <c r="B709" s="7" t="s">
        <v>1703</v>
      </c>
      <c r="C709" s="10" t="str">
        <f aca="false">INDEX(球員主檔!$B$2:$B$749,MATCH($B709,球員主檔!$A$2:$A$749,0))</f>
        <v>Dashiell Vasquez</v>
      </c>
      <c r="D709" s="7" t="s">
        <v>383</v>
      </c>
      <c r="E709" s="10" t="str">
        <f aca="false">INDEX(球隊主檔!$C$2:$C$31,MATCH($D709,球隊主檔!$A$2:$A$31,0))</f>
        <v>運動家</v>
      </c>
      <c r="F709" s="10" t="str">
        <f aca="false">INDEX(球隊主檔!$D$2:$D$31,MATCH($D709,球隊主檔!$A$2:$A$31,0))</f>
        <v>美聯</v>
      </c>
      <c r="G709" s="7" t="s">
        <v>483</v>
      </c>
      <c r="H709" s="11" t="n">
        <f aca="false">INT((DATE($A709,7,1)-INDEX(球員主檔!$G$2:$G$749,MATCH($B709,球員主檔!$A$2:$A$749,0)))/365.25)</f>
        <v>24</v>
      </c>
      <c r="I709" s="12" t="n">
        <v>48</v>
      </c>
      <c r="J709" s="12" t="n">
        <v>205</v>
      </c>
      <c r="K709" s="12" t="n">
        <v>181</v>
      </c>
      <c r="L709" s="12" t="n">
        <v>25</v>
      </c>
      <c r="M709" s="12" t="n">
        <v>44</v>
      </c>
      <c r="N709" s="12" t="n">
        <v>15</v>
      </c>
      <c r="O709" s="12" t="n">
        <v>1</v>
      </c>
      <c r="P709" s="12" t="n">
        <v>9</v>
      </c>
      <c r="Q709" s="12" t="n">
        <v>29</v>
      </c>
      <c r="R709" s="12" t="n">
        <v>21</v>
      </c>
      <c r="S709" s="12" t="n">
        <v>52</v>
      </c>
      <c r="T709" s="12" t="n">
        <v>2</v>
      </c>
      <c r="U709" s="12" t="n">
        <v>1</v>
      </c>
      <c r="V709" s="12" t="n">
        <v>6</v>
      </c>
      <c r="W709" s="12" t="n">
        <v>1</v>
      </c>
      <c r="X709" s="13" t="n">
        <f aca="false">M709+N709+2*O709+3*P709</f>
        <v>88</v>
      </c>
      <c r="Y709" s="14" t="n">
        <f aca="false">IF(K709=0,0,M709/K709)</f>
        <v>0.243093922651934</v>
      </c>
      <c r="Z709" s="14" t="n">
        <f aca="false">IF(K709+R709+T709+U709=0,0,(M709+R709+T709)/(K709+R709+T709+U709))</f>
        <v>0.326829268292683</v>
      </c>
      <c r="AA709" s="14" t="n">
        <f aca="false">IF(K709=0,0,X709/K709)</f>
        <v>0.486187845303867</v>
      </c>
      <c r="AB709" s="14" t="n">
        <f aca="false">Z709+AA709</f>
        <v>0.81301711359655</v>
      </c>
      <c r="AC709" s="14" t="n">
        <f aca="false">AA709-Y709</f>
        <v>0.243093922651934</v>
      </c>
      <c r="AD709" s="14" t="n">
        <f aca="false">IF(K709-S709-P709+U709=0,0,(M709-P709)/(K709-S709-P709+U709))</f>
        <v>0.289256198347107</v>
      </c>
      <c r="AE709" s="15" t="n">
        <f aca="false">IF(J709=0,0,R709/J709)</f>
        <v>0.102439024390244</v>
      </c>
      <c r="AF709" s="15" t="n">
        <f aca="false">IF(J709=0,0,S709/J709)</f>
        <v>0.253658536585366</v>
      </c>
      <c r="AG709" s="11" t="n">
        <f aca="false">IF(J709&gt;=INDEX(球季參數!$E$2:$E$4,MATCH($A709,球季參數!$A$2:$A$4,0)),1,0)</f>
        <v>0</v>
      </c>
    </row>
    <row r="710" customFormat="false" ht="15" hidden="false" customHeight="false" outlineLevel="0" collapsed="false">
      <c r="A710" s="5" t="n">
        <v>2026</v>
      </c>
      <c r="B710" s="7" t="s">
        <v>893</v>
      </c>
      <c r="C710" s="10" t="str">
        <f aca="false">INDEX(球員主檔!$B$2:$B$749,MATCH($B710,球員主檔!$A$2:$A$749,0))</f>
        <v>Thiago Arceneaux</v>
      </c>
      <c r="D710" s="7" t="s">
        <v>383</v>
      </c>
      <c r="E710" s="10" t="str">
        <f aca="false">INDEX(球隊主檔!$C$2:$C$31,MATCH($D710,球隊主檔!$A$2:$A$31,0))</f>
        <v>運動家</v>
      </c>
      <c r="F710" s="10" t="str">
        <f aca="false">INDEX(球隊主檔!$D$2:$D$31,MATCH($D710,球隊主檔!$A$2:$A$31,0))</f>
        <v>美聯</v>
      </c>
      <c r="G710" s="7" t="s">
        <v>478</v>
      </c>
      <c r="H710" s="11" t="n">
        <f aca="false">INT((DATE($A710,7,1)-INDEX(球員主檔!$G$2:$G$749,MATCH($B710,球員主檔!$A$2:$A$749,0)))/365.25)</f>
        <v>32</v>
      </c>
      <c r="I710" s="12" t="n">
        <v>58</v>
      </c>
      <c r="J710" s="12" t="n">
        <v>233</v>
      </c>
      <c r="K710" s="12" t="n">
        <v>208</v>
      </c>
      <c r="L710" s="12" t="n">
        <v>24</v>
      </c>
      <c r="M710" s="12" t="n">
        <v>48</v>
      </c>
      <c r="N710" s="12" t="n">
        <v>18</v>
      </c>
      <c r="O710" s="12" t="n">
        <v>5</v>
      </c>
      <c r="P710" s="12" t="n">
        <v>6</v>
      </c>
      <c r="Q710" s="12" t="n">
        <v>26</v>
      </c>
      <c r="R710" s="12" t="n">
        <v>17</v>
      </c>
      <c r="S710" s="12" t="n">
        <v>47</v>
      </c>
      <c r="T710" s="12" t="n">
        <v>5</v>
      </c>
      <c r="U710" s="12" t="n">
        <v>3</v>
      </c>
      <c r="V710" s="12" t="n">
        <v>1</v>
      </c>
      <c r="W710" s="12" t="n">
        <v>0</v>
      </c>
      <c r="X710" s="13" t="n">
        <f aca="false">M710+N710+2*O710+3*P710</f>
        <v>94</v>
      </c>
      <c r="Y710" s="14" t="n">
        <f aca="false">IF(K710=0,0,M710/K710)</f>
        <v>0.230769230769231</v>
      </c>
      <c r="Z710" s="14" t="n">
        <f aca="false">IF(K710+R710+T710+U710=0,0,(M710+R710+T710)/(K710+R710+T710+U710))</f>
        <v>0.300429184549356</v>
      </c>
      <c r="AA710" s="14" t="n">
        <f aca="false">IF(K710=0,0,X710/K710)</f>
        <v>0.451923076923077</v>
      </c>
      <c r="AB710" s="14" t="n">
        <f aca="false">Z710+AA710</f>
        <v>0.752352261472433</v>
      </c>
      <c r="AC710" s="14" t="n">
        <f aca="false">AA710-Y710</f>
        <v>0.221153846153846</v>
      </c>
      <c r="AD710" s="14" t="n">
        <f aca="false">IF(K710-S710-P710+U710=0,0,(M710-P710)/(K710-S710-P710+U710))</f>
        <v>0.265822784810127</v>
      </c>
      <c r="AE710" s="15" t="n">
        <f aca="false">IF(J710=0,0,R710/J710)</f>
        <v>0.0729613733905579</v>
      </c>
      <c r="AF710" s="15" t="n">
        <f aca="false">IF(J710=0,0,S710/J710)</f>
        <v>0.201716738197425</v>
      </c>
      <c r="AG710" s="11" t="n">
        <f aca="false">IF(J710&gt;=INDEX(球季參數!$E$2:$E$4,MATCH($A710,球季參數!$A$2:$A$4,0)),1,0)</f>
        <v>0</v>
      </c>
    </row>
    <row r="711" customFormat="false" ht="15" hidden="false" customHeight="false" outlineLevel="0" collapsed="false">
      <c r="A711" s="5" t="n">
        <v>2026</v>
      </c>
      <c r="B711" s="7" t="s">
        <v>1719</v>
      </c>
      <c r="C711" s="10" t="str">
        <f aca="false">INDEX(球員主檔!$B$2:$B$749,MATCH($B711,球員主檔!$A$2:$A$749,0))</f>
        <v>Wendell Nakagawa</v>
      </c>
      <c r="D711" s="7" t="s">
        <v>383</v>
      </c>
      <c r="E711" s="10" t="str">
        <f aca="false">INDEX(球隊主檔!$C$2:$C$31,MATCH($D711,球隊主檔!$A$2:$A$31,0))</f>
        <v>運動家</v>
      </c>
      <c r="F711" s="10" t="str">
        <f aca="false">INDEX(球隊主檔!$D$2:$D$31,MATCH($D711,球隊主檔!$A$2:$A$31,0))</f>
        <v>美聯</v>
      </c>
      <c r="G711" s="7" t="s">
        <v>162</v>
      </c>
      <c r="H711" s="11" t="n">
        <f aca="false">INT((DATE($A711,7,1)-INDEX(球員主檔!$G$2:$G$749,MATCH($B711,球員主檔!$A$2:$A$749,0)))/365.25)</f>
        <v>24</v>
      </c>
      <c r="I711" s="12" t="n">
        <v>69</v>
      </c>
      <c r="J711" s="12" t="n">
        <v>293</v>
      </c>
      <c r="K711" s="12" t="n">
        <v>262</v>
      </c>
      <c r="L711" s="12" t="n">
        <v>39</v>
      </c>
      <c r="M711" s="12" t="n">
        <v>68</v>
      </c>
      <c r="N711" s="12" t="n">
        <v>30</v>
      </c>
      <c r="O711" s="12" t="n">
        <v>1</v>
      </c>
      <c r="P711" s="12" t="n">
        <v>10</v>
      </c>
      <c r="Q711" s="12" t="n">
        <v>37</v>
      </c>
      <c r="R711" s="12" t="n">
        <v>25</v>
      </c>
      <c r="S711" s="12" t="n">
        <v>71</v>
      </c>
      <c r="T711" s="12" t="n">
        <v>5</v>
      </c>
      <c r="U711" s="12" t="n">
        <v>1</v>
      </c>
      <c r="V711" s="12" t="n">
        <v>12</v>
      </c>
      <c r="W711" s="12" t="n">
        <v>2</v>
      </c>
      <c r="X711" s="13" t="n">
        <f aca="false">M711+N711+2*O711+3*P711</f>
        <v>130</v>
      </c>
      <c r="Y711" s="14" t="n">
        <f aca="false">IF(K711=0,0,M711/K711)</f>
        <v>0.259541984732824</v>
      </c>
      <c r="Z711" s="14" t="n">
        <f aca="false">IF(K711+R711+T711+U711=0,0,(M711+R711+T711)/(K711+R711+T711+U711))</f>
        <v>0.334470989761092</v>
      </c>
      <c r="AA711" s="14" t="n">
        <f aca="false">IF(K711=0,0,X711/K711)</f>
        <v>0.49618320610687</v>
      </c>
      <c r="AB711" s="14" t="n">
        <f aca="false">Z711+AA711</f>
        <v>0.830654195867962</v>
      </c>
      <c r="AC711" s="14" t="n">
        <f aca="false">AA711-Y711</f>
        <v>0.236641221374046</v>
      </c>
      <c r="AD711" s="14" t="n">
        <f aca="false">IF(K711-S711-P711+U711=0,0,(M711-P711)/(K711-S711-P711+U711))</f>
        <v>0.318681318681319</v>
      </c>
      <c r="AE711" s="15" t="n">
        <f aca="false">IF(J711=0,0,R711/J711)</f>
        <v>0.0853242320819113</v>
      </c>
      <c r="AF711" s="15" t="n">
        <f aca="false">IF(J711=0,0,S711/J711)</f>
        <v>0.242320819112628</v>
      </c>
      <c r="AG711" s="11" t="n">
        <f aca="false">IF(J711&gt;=INDEX(球季參數!$E$2:$E$4,MATCH($A711,球季參數!$A$2:$A$4,0)),1,0)</f>
        <v>0</v>
      </c>
    </row>
    <row r="712" customFormat="false" ht="15" hidden="false" customHeight="false" outlineLevel="0" collapsed="false">
      <c r="A712" s="5" t="n">
        <v>2026</v>
      </c>
      <c r="B712" s="7" t="s">
        <v>531</v>
      </c>
      <c r="C712" s="10" t="str">
        <f aca="false">INDEX(球員主檔!$B$2:$B$749,MATCH($B712,球員主檔!$A$2:$A$749,0))</f>
        <v>Jasper Cavanaugh</v>
      </c>
      <c r="D712" s="7" t="s">
        <v>388</v>
      </c>
      <c r="E712" s="10" t="str">
        <f aca="false">INDEX(球隊主檔!$C$2:$C$31,MATCH($D712,球隊主檔!$A$2:$A$31,0))</f>
        <v>休士頓太空人</v>
      </c>
      <c r="F712" s="10" t="str">
        <f aca="false">INDEX(球隊主檔!$D$2:$D$31,MATCH($D712,球隊主檔!$A$2:$A$31,0))</f>
        <v>美聯</v>
      </c>
      <c r="G712" s="7" t="s">
        <v>483</v>
      </c>
      <c r="H712" s="11" t="n">
        <f aca="false">INT((DATE($A712,7,1)-INDEX(球員主檔!$G$2:$G$749,MATCH($B712,球員主檔!$A$2:$A$749,0)))/365.25)</f>
        <v>26</v>
      </c>
      <c r="I712" s="12" t="n">
        <v>158</v>
      </c>
      <c r="J712" s="12" t="n">
        <v>612</v>
      </c>
      <c r="K712" s="12" t="n">
        <v>542</v>
      </c>
      <c r="L712" s="12" t="n">
        <v>71</v>
      </c>
      <c r="M712" s="12" t="n">
        <v>132</v>
      </c>
      <c r="N712" s="12" t="n">
        <v>41</v>
      </c>
      <c r="O712" s="12" t="n">
        <v>4</v>
      </c>
      <c r="P712" s="12" t="n">
        <v>16</v>
      </c>
      <c r="Q712" s="12" t="n">
        <v>67</v>
      </c>
      <c r="R712" s="12" t="n">
        <v>54</v>
      </c>
      <c r="S712" s="12" t="n">
        <v>153</v>
      </c>
      <c r="T712" s="12" t="n">
        <v>8</v>
      </c>
      <c r="U712" s="12" t="n">
        <v>8</v>
      </c>
      <c r="V712" s="12" t="n">
        <v>18</v>
      </c>
      <c r="W712" s="12" t="n">
        <v>5</v>
      </c>
      <c r="X712" s="13" t="n">
        <f aca="false">M712+N712+2*O712+3*P712</f>
        <v>229</v>
      </c>
      <c r="Y712" s="14" t="n">
        <f aca="false">IF(K712=0,0,M712/K712)</f>
        <v>0.243542435424354</v>
      </c>
      <c r="Z712" s="14" t="n">
        <f aca="false">IF(K712+R712+T712+U712=0,0,(M712+R712+T712)/(K712+R712+T712+U712))</f>
        <v>0.316993464052288</v>
      </c>
      <c r="AA712" s="14" t="n">
        <f aca="false">IF(K712=0,0,X712/K712)</f>
        <v>0.422509225092251</v>
      </c>
      <c r="AB712" s="14" t="n">
        <f aca="false">Z712+AA712</f>
        <v>0.739502689144538</v>
      </c>
      <c r="AC712" s="14" t="n">
        <f aca="false">AA712-Y712</f>
        <v>0.178966789667897</v>
      </c>
      <c r="AD712" s="14" t="n">
        <f aca="false">IF(K712-S712-P712+U712=0,0,(M712-P712)/(K712-S712-P712+U712))</f>
        <v>0.304461942257218</v>
      </c>
      <c r="AE712" s="15" t="n">
        <f aca="false">IF(J712=0,0,R712/J712)</f>
        <v>0.0882352941176471</v>
      </c>
      <c r="AF712" s="15" t="n">
        <f aca="false">IF(J712=0,0,S712/J712)</f>
        <v>0.25</v>
      </c>
      <c r="AG712" s="11" t="n">
        <f aca="false">IF(J712&gt;=INDEX(球季參數!$E$2:$E$4,MATCH($A712,球季參數!$A$2:$A$4,0)),1,0)</f>
        <v>1</v>
      </c>
    </row>
    <row r="713" customFormat="false" ht="15" hidden="false" customHeight="false" outlineLevel="0" collapsed="false">
      <c r="A713" s="5" t="n">
        <v>2026</v>
      </c>
      <c r="B713" s="7" t="s">
        <v>1879</v>
      </c>
      <c r="C713" s="10" t="str">
        <f aca="false">INDEX(球員主檔!$B$2:$B$749,MATCH($B713,球員主檔!$A$2:$A$749,0))</f>
        <v>Mateo Hargreaves</v>
      </c>
      <c r="D713" s="7" t="s">
        <v>388</v>
      </c>
      <c r="E713" s="10" t="str">
        <f aca="false">INDEX(球隊主檔!$C$2:$C$31,MATCH($D713,球隊主檔!$A$2:$A$31,0))</f>
        <v>休士頓太空人</v>
      </c>
      <c r="F713" s="10" t="str">
        <f aca="false">INDEX(球隊主檔!$D$2:$D$31,MATCH($D713,球隊主檔!$A$2:$A$31,0))</f>
        <v>美聯</v>
      </c>
      <c r="G713" s="7" t="s">
        <v>470</v>
      </c>
      <c r="H713" s="11" t="n">
        <f aca="false">INT((DATE($A713,7,1)-INDEX(球員主檔!$G$2:$G$749,MATCH($B713,球員主檔!$A$2:$A$749,0)))/365.25)</f>
        <v>20</v>
      </c>
      <c r="I713" s="12" t="n">
        <v>155</v>
      </c>
      <c r="J713" s="12" t="n">
        <v>688</v>
      </c>
      <c r="K713" s="12" t="n">
        <v>638</v>
      </c>
      <c r="L713" s="12" t="n">
        <v>84</v>
      </c>
      <c r="M713" s="12" t="n">
        <v>178</v>
      </c>
      <c r="N713" s="12" t="n">
        <v>7</v>
      </c>
      <c r="O713" s="12" t="n">
        <v>1</v>
      </c>
      <c r="P713" s="12" t="n">
        <v>12</v>
      </c>
      <c r="Q713" s="12" t="n">
        <v>66</v>
      </c>
      <c r="R713" s="12" t="n">
        <v>43</v>
      </c>
      <c r="S713" s="12" t="n">
        <v>72</v>
      </c>
      <c r="T713" s="12" t="n">
        <v>6</v>
      </c>
      <c r="U713" s="12" t="n">
        <v>1</v>
      </c>
      <c r="V713" s="12" t="n">
        <v>15</v>
      </c>
      <c r="W713" s="12" t="n">
        <v>3</v>
      </c>
      <c r="X713" s="13" t="n">
        <f aca="false">M713+N713+2*O713+3*P713</f>
        <v>223</v>
      </c>
      <c r="Y713" s="14" t="n">
        <f aca="false">IF(K713=0,0,M713/K713)</f>
        <v>0.278996865203762</v>
      </c>
      <c r="Z713" s="14" t="n">
        <f aca="false">IF(K713+R713+T713+U713=0,0,(M713+R713+T713)/(K713+R713+T713+U713))</f>
        <v>0.329941860465116</v>
      </c>
      <c r="AA713" s="14" t="n">
        <f aca="false">IF(K713=0,0,X713/K713)</f>
        <v>0.349529780564263</v>
      </c>
      <c r="AB713" s="14" t="n">
        <f aca="false">Z713+AA713</f>
        <v>0.67947164102938</v>
      </c>
      <c r="AC713" s="14" t="n">
        <f aca="false">AA713-Y713</f>
        <v>0.0705329153605016</v>
      </c>
      <c r="AD713" s="14" t="n">
        <f aca="false">IF(K713-S713-P713+U713=0,0,(M713-P713)/(K713-S713-P713+U713))</f>
        <v>0.299099099099099</v>
      </c>
      <c r="AE713" s="15" t="n">
        <f aca="false">IF(J713=0,0,R713/J713)</f>
        <v>0.0625</v>
      </c>
      <c r="AF713" s="15" t="n">
        <f aca="false">IF(J713=0,0,S713/J713)</f>
        <v>0.104651162790698</v>
      </c>
      <c r="AG713" s="11" t="n">
        <f aca="false">IF(J713&gt;=INDEX(球季參數!$E$2:$E$4,MATCH($A713,球季參數!$A$2:$A$4,0)),1,0)</f>
        <v>1</v>
      </c>
    </row>
    <row r="714" customFormat="false" ht="15" hidden="false" customHeight="false" outlineLevel="0" collapsed="false">
      <c r="A714" s="5" t="n">
        <v>2026</v>
      </c>
      <c r="B714" s="7" t="s">
        <v>921</v>
      </c>
      <c r="C714" s="10" t="str">
        <f aca="false">INDEX(球員主檔!$B$2:$B$749,MATCH($B714,球員主檔!$A$2:$A$749,0))</f>
        <v>Alonso Yoshinaga</v>
      </c>
      <c r="D714" s="7" t="s">
        <v>388</v>
      </c>
      <c r="E714" s="10" t="str">
        <f aca="false">INDEX(球隊主檔!$C$2:$C$31,MATCH($D714,球隊主檔!$A$2:$A$31,0))</f>
        <v>休士頓太空人</v>
      </c>
      <c r="F714" s="10" t="str">
        <f aca="false">INDEX(球隊主檔!$D$2:$D$31,MATCH($D714,球隊主檔!$A$2:$A$31,0))</f>
        <v>美聯</v>
      </c>
      <c r="G714" s="7" t="s">
        <v>158</v>
      </c>
      <c r="H714" s="11" t="n">
        <f aca="false">INT((DATE($A714,7,1)-INDEX(球員主檔!$G$2:$G$749,MATCH($B714,球員主檔!$A$2:$A$749,0)))/365.25)</f>
        <v>30</v>
      </c>
      <c r="I714" s="12" t="n">
        <v>154</v>
      </c>
      <c r="J714" s="12" t="n">
        <v>599</v>
      </c>
      <c r="K714" s="12" t="n">
        <v>565</v>
      </c>
      <c r="L714" s="12" t="n">
        <v>87</v>
      </c>
      <c r="M714" s="12" t="n">
        <v>153</v>
      </c>
      <c r="N714" s="12" t="n">
        <v>40</v>
      </c>
      <c r="O714" s="12" t="n">
        <v>4</v>
      </c>
      <c r="P714" s="12" t="n">
        <v>32</v>
      </c>
      <c r="Q714" s="12" t="n">
        <v>87</v>
      </c>
      <c r="R714" s="12" t="n">
        <v>19</v>
      </c>
      <c r="S714" s="12" t="n">
        <v>129</v>
      </c>
      <c r="T714" s="12" t="n">
        <v>8</v>
      </c>
      <c r="U714" s="12" t="n">
        <v>7</v>
      </c>
      <c r="V714" s="12" t="n">
        <v>2</v>
      </c>
      <c r="W714" s="12" t="n">
        <v>1</v>
      </c>
      <c r="X714" s="13" t="n">
        <f aca="false">M714+N714+2*O714+3*P714</f>
        <v>297</v>
      </c>
      <c r="Y714" s="14" t="n">
        <f aca="false">IF(K714=0,0,M714/K714)</f>
        <v>0.270796460176991</v>
      </c>
      <c r="Z714" s="14" t="n">
        <f aca="false">IF(K714+R714+T714+U714=0,0,(M714+R714+T714)/(K714+R714+T714+U714))</f>
        <v>0.300500834724541</v>
      </c>
      <c r="AA714" s="14" t="n">
        <f aca="false">IF(K714=0,0,X714/K714)</f>
        <v>0.525663716814159</v>
      </c>
      <c r="AB714" s="14" t="n">
        <f aca="false">Z714+AA714</f>
        <v>0.8261645515387</v>
      </c>
      <c r="AC714" s="14" t="n">
        <f aca="false">AA714-Y714</f>
        <v>0.254867256637168</v>
      </c>
      <c r="AD714" s="14" t="n">
        <f aca="false">IF(K714-S714-P714+U714=0,0,(M714-P714)/(K714-S714-P714+U714))</f>
        <v>0.294403892944039</v>
      </c>
      <c r="AE714" s="15" t="n">
        <f aca="false">IF(J714=0,0,R714/J714)</f>
        <v>0.0317195325542571</v>
      </c>
      <c r="AF714" s="15" t="n">
        <f aca="false">IF(J714=0,0,S714/J714)</f>
        <v>0.215358931552588</v>
      </c>
      <c r="AG714" s="11" t="n">
        <f aca="false">IF(J714&gt;=INDEX(球季參數!$E$2:$E$4,MATCH($A714,球季參數!$A$2:$A$4,0)),1,0)</f>
        <v>1</v>
      </c>
    </row>
    <row r="715" customFormat="false" ht="15" hidden="false" customHeight="false" outlineLevel="0" collapsed="false">
      <c r="A715" s="5" t="n">
        <v>2026</v>
      </c>
      <c r="B715" s="7" t="s">
        <v>759</v>
      </c>
      <c r="C715" s="10" t="str">
        <f aca="false">INDEX(球員主檔!$B$2:$B$749,MATCH($B715,球員主檔!$A$2:$A$749,0))</f>
        <v>Joaquín Tremblay</v>
      </c>
      <c r="D715" s="7" t="s">
        <v>388</v>
      </c>
      <c r="E715" s="10" t="str">
        <f aca="false">INDEX(球隊主檔!$C$2:$C$31,MATCH($D715,球隊主檔!$A$2:$A$31,0))</f>
        <v>休士頓太空人</v>
      </c>
      <c r="F715" s="10" t="str">
        <f aca="false">INDEX(球隊主檔!$D$2:$D$31,MATCH($D715,球隊主檔!$A$2:$A$31,0))</f>
        <v>美聯</v>
      </c>
      <c r="G715" s="7" t="s">
        <v>158</v>
      </c>
      <c r="H715" s="11" t="n">
        <f aca="false">INT((DATE($A715,7,1)-INDEX(球員主檔!$G$2:$G$749,MATCH($B715,球員主檔!$A$2:$A$749,0)))/365.25)</f>
        <v>36</v>
      </c>
      <c r="I715" s="12" t="n">
        <v>97</v>
      </c>
      <c r="J715" s="12" t="n">
        <v>436</v>
      </c>
      <c r="K715" s="12" t="n">
        <v>411</v>
      </c>
      <c r="L715" s="12" t="n">
        <v>49</v>
      </c>
      <c r="M715" s="12" t="n">
        <v>100</v>
      </c>
      <c r="N715" s="12" t="n">
        <v>30</v>
      </c>
      <c r="O715" s="12" t="n">
        <v>9</v>
      </c>
      <c r="P715" s="12" t="n">
        <v>16</v>
      </c>
      <c r="Q715" s="12" t="n">
        <v>56</v>
      </c>
      <c r="R715" s="12" t="n">
        <v>16</v>
      </c>
      <c r="S715" s="12" t="n">
        <v>83</v>
      </c>
      <c r="T715" s="12" t="n">
        <v>4</v>
      </c>
      <c r="U715" s="12" t="n">
        <v>5</v>
      </c>
      <c r="V715" s="12" t="n">
        <v>19</v>
      </c>
      <c r="W715" s="12" t="n">
        <v>5</v>
      </c>
      <c r="X715" s="13" t="n">
        <f aca="false">M715+N715+2*O715+3*P715</f>
        <v>196</v>
      </c>
      <c r="Y715" s="14" t="n">
        <f aca="false">IF(K715=0,0,M715/K715)</f>
        <v>0.24330900243309</v>
      </c>
      <c r="Z715" s="14" t="n">
        <f aca="false">IF(K715+R715+T715+U715=0,0,(M715+R715+T715)/(K715+R715+T715+U715))</f>
        <v>0.275229357798165</v>
      </c>
      <c r="AA715" s="14" t="n">
        <f aca="false">IF(K715=0,0,X715/K715)</f>
        <v>0.476885644768856</v>
      </c>
      <c r="AB715" s="14" t="n">
        <f aca="false">Z715+AA715</f>
        <v>0.752115002567022</v>
      </c>
      <c r="AC715" s="14" t="n">
        <f aca="false">AA715-Y715</f>
        <v>0.233576642335766</v>
      </c>
      <c r="AD715" s="14" t="n">
        <f aca="false">IF(K715-S715-P715+U715=0,0,(M715-P715)/(K715-S715-P715+U715))</f>
        <v>0.264984227129338</v>
      </c>
      <c r="AE715" s="15" t="n">
        <f aca="false">IF(J715=0,0,R715/J715)</f>
        <v>0.036697247706422</v>
      </c>
      <c r="AF715" s="15" t="n">
        <f aca="false">IF(J715=0,0,S715/J715)</f>
        <v>0.190366972477064</v>
      </c>
      <c r="AG715" s="11" t="n">
        <f aca="false">IF(J715&gt;=INDEX(球季參數!$E$2:$E$4,MATCH($A715,球季參數!$A$2:$A$4,0)),1,0)</f>
        <v>0</v>
      </c>
    </row>
    <row r="716" customFormat="false" ht="15" hidden="false" customHeight="false" outlineLevel="0" collapsed="false">
      <c r="A716" s="5" t="n">
        <v>2026</v>
      </c>
      <c r="B716" s="7" t="s">
        <v>1881</v>
      </c>
      <c r="C716" s="10" t="str">
        <f aca="false">INDEX(球員主檔!$B$2:$B$749,MATCH($B716,球員主檔!$A$2:$A$749,0))</f>
        <v>Landon Tremblay</v>
      </c>
      <c r="D716" s="7" t="s">
        <v>388</v>
      </c>
      <c r="E716" s="10" t="str">
        <f aca="false">INDEX(球隊主檔!$C$2:$C$31,MATCH($D716,球隊主檔!$A$2:$A$31,0))</f>
        <v>休士頓太空人</v>
      </c>
      <c r="F716" s="10" t="str">
        <f aca="false">INDEX(球隊主檔!$D$2:$D$31,MATCH($D716,球隊主檔!$A$2:$A$31,0))</f>
        <v>美聯</v>
      </c>
      <c r="G716" s="7" t="s">
        <v>63</v>
      </c>
      <c r="H716" s="11" t="n">
        <f aca="false">INT((DATE($A716,7,1)-INDEX(球員主檔!$G$2:$G$749,MATCH($B716,球員主檔!$A$2:$A$749,0)))/365.25)</f>
        <v>23</v>
      </c>
      <c r="I716" s="12" t="n">
        <v>76</v>
      </c>
      <c r="J716" s="12" t="n">
        <v>298</v>
      </c>
      <c r="K716" s="12" t="n">
        <v>257</v>
      </c>
      <c r="L716" s="12" t="n">
        <v>31</v>
      </c>
      <c r="M716" s="12" t="n">
        <v>69</v>
      </c>
      <c r="N716" s="12" t="n">
        <v>29</v>
      </c>
      <c r="O716" s="12" t="n">
        <v>4</v>
      </c>
      <c r="P716" s="12" t="n">
        <v>4</v>
      </c>
      <c r="Q716" s="12" t="n">
        <v>24</v>
      </c>
      <c r="R716" s="12" t="n">
        <v>36</v>
      </c>
      <c r="S716" s="12" t="n">
        <v>68</v>
      </c>
      <c r="T716" s="12" t="n">
        <v>4</v>
      </c>
      <c r="U716" s="12" t="n">
        <v>1</v>
      </c>
      <c r="V716" s="12" t="n">
        <v>4</v>
      </c>
      <c r="W716" s="12" t="n">
        <v>1</v>
      </c>
      <c r="X716" s="13" t="n">
        <f aca="false">M716+N716+2*O716+3*P716</f>
        <v>118</v>
      </c>
      <c r="Y716" s="14" t="n">
        <f aca="false">IF(K716=0,0,M716/K716)</f>
        <v>0.268482490272374</v>
      </c>
      <c r="Z716" s="14" t="n">
        <f aca="false">IF(K716+R716+T716+U716=0,0,(M716+R716+T716)/(K716+R716+T716+U716))</f>
        <v>0.365771812080537</v>
      </c>
      <c r="AA716" s="14" t="n">
        <f aca="false">IF(K716=0,0,X716/K716)</f>
        <v>0.459143968871595</v>
      </c>
      <c r="AB716" s="14" t="n">
        <f aca="false">Z716+AA716</f>
        <v>0.824915780952132</v>
      </c>
      <c r="AC716" s="14" t="n">
        <f aca="false">AA716-Y716</f>
        <v>0.190661478599222</v>
      </c>
      <c r="AD716" s="14" t="n">
        <f aca="false">IF(K716-S716-P716+U716=0,0,(M716-P716)/(K716-S716-P716+U716))</f>
        <v>0.349462365591398</v>
      </c>
      <c r="AE716" s="15" t="n">
        <f aca="false">IF(J716=0,0,R716/J716)</f>
        <v>0.120805369127517</v>
      </c>
      <c r="AF716" s="15" t="n">
        <f aca="false">IF(J716=0,0,S716/J716)</f>
        <v>0.228187919463087</v>
      </c>
      <c r="AG716" s="11" t="n">
        <f aca="false">IF(J716&gt;=INDEX(球季參數!$E$2:$E$4,MATCH($A716,球季參數!$A$2:$A$4,0)),1,0)</f>
        <v>0</v>
      </c>
    </row>
    <row r="717" customFormat="false" ht="15" hidden="false" customHeight="false" outlineLevel="0" collapsed="false">
      <c r="A717" s="5" t="n">
        <v>2026</v>
      </c>
      <c r="B717" s="7" t="s">
        <v>927</v>
      </c>
      <c r="C717" s="10" t="str">
        <f aca="false">INDEX(球員主檔!$B$2:$B$749,MATCH($B717,球員主檔!$A$2:$A$749,0))</f>
        <v>Alonso Zielinski</v>
      </c>
      <c r="D717" s="7" t="s">
        <v>388</v>
      </c>
      <c r="E717" s="10" t="str">
        <f aca="false">INDEX(球隊主檔!$C$2:$C$31,MATCH($D717,球隊主檔!$A$2:$A$31,0))</f>
        <v>休士頓太空人</v>
      </c>
      <c r="F717" s="10" t="str">
        <f aca="false">INDEX(球隊主檔!$D$2:$D$31,MATCH($D717,球隊主檔!$A$2:$A$31,0))</f>
        <v>美聯</v>
      </c>
      <c r="G717" s="7" t="s">
        <v>63</v>
      </c>
      <c r="H717" s="11" t="n">
        <f aca="false">INT((DATE($A717,7,1)-INDEX(球員主檔!$G$2:$G$749,MATCH($B717,球員主檔!$A$2:$A$749,0)))/365.25)</f>
        <v>29</v>
      </c>
      <c r="I717" s="12" t="n">
        <v>130</v>
      </c>
      <c r="J717" s="12" t="n">
        <v>541</v>
      </c>
      <c r="K717" s="12" t="n">
        <v>495</v>
      </c>
      <c r="L717" s="12" t="n">
        <v>48</v>
      </c>
      <c r="M717" s="12" t="n">
        <v>133</v>
      </c>
      <c r="N717" s="12" t="n">
        <v>39</v>
      </c>
      <c r="O717" s="12" t="n">
        <v>2</v>
      </c>
      <c r="P717" s="12" t="n">
        <v>6</v>
      </c>
      <c r="Q717" s="12" t="n">
        <v>43</v>
      </c>
      <c r="R717" s="12" t="n">
        <v>38</v>
      </c>
      <c r="S717" s="12" t="n">
        <v>122</v>
      </c>
      <c r="T717" s="12" t="n">
        <v>7</v>
      </c>
      <c r="U717" s="12" t="n">
        <v>1</v>
      </c>
      <c r="V717" s="12" t="n">
        <v>4</v>
      </c>
      <c r="W717" s="12" t="n">
        <v>1</v>
      </c>
      <c r="X717" s="13" t="n">
        <f aca="false">M717+N717+2*O717+3*P717</f>
        <v>194</v>
      </c>
      <c r="Y717" s="14" t="n">
        <f aca="false">IF(K717=0,0,M717/K717)</f>
        <v>0.268686868686869</v>
      </c>
      <c r="Z717" s="14" t="n">
        <f aca="false">IF(K717+R717+T717+U717=0,0,(M717+R717+T717)/(K717+R717+T717+U717))</f>
        <v>0.32902033271719</v>
      </c>
      <c r="AA717" s="14" t="n">
        <f aca="false">IF(K717=0,0,X717/K717)</f>
        <v>0.391919191919192</v>
      </c>
      <c r="AB717" s="14" t="n">
        <f aca="false">Z717+AA717</f>
        <v>0.720939524636382</v>
      </c>
      <c r="AC717" s="14" t="n">
        <f aca="false">AA717-Y717</f>
        <v>0.123232323232323</v>
      </c>
      <c r="AD717" s="14" t="n">
        <f aca="false">IF(K717-S717-P717+U717=0,0,(M717-P717)/(K717-S717-P717+U717))</f>
        <v>0.345108695652174</v>
      </c>
      <c r="AE717" s="15" t="n">
        <f aca="false">IF(J717=0,0,R717/J717)</f>
        <v>0.0702402957486137</v>
      </c>
      <c r="AF717" s="15" t="n">
        <f aca="false">IF(J717=0,0,S717/J717)</f>
        <v>0.22550831792976</v>
      </c>
      <c r="AG717" s="11" t="n">
        <f aca="false">IF(J717&gt;=INDEX(球季參數!$E$2:$E$4,MATCH($A717,球季參數!$A$2:$A$4,0)),1,0)</f>
        <v>1</v>
      </c>
    </row>
    <row r="718" customFormat="false" ht="15" hidden="false" customHeight="false" outlineLevel="0" collapsed="false">
      <c r="A718" s="5" t="n">
        <v>2026</v>
      </c>
      <c r="B718" s="7" t="s">
        <v>929</v>
      </c>
      <c r="C718" s="10" t="str">
        <f aca="false">INDEX(球員主檔!$B$2:$B$749,MATCH($B718,球員主檔!$A$2:$A$749,0))</f>
        <v>Cassius Pellerin</v>
      </c>
      <c r="D718" s="7" t="s">
        <v>388</v>
      </c>
      <c r="E718" s="10" t="str">
        <f aca="false">INDEX(球隊主檔!$C$2:$C$31,MATCH($D718,球隊主檔!$A$2:$A$31,0))</f>
        <v>休士頓太空人</v>
      </c>
      <c r="F718" s="10" t="str">
        <f aca="false">INDEX(球隊主檔!$D$2:$D$31,MATCH($D718,球隊主檔!$A$2:$A$31,0))</f>
        <v>美聯</v>
      </c>
      <c r="G718" s="7" t="s">
        <v>486</v>
      </c>
      <c r="H718" s="11" t="n">
        <f aca="false">INT((DATE($A718,7,1)-INDEX(球員主檔!$G$2:$G$749,MATCH($B718,球員主檔!$A$2:$A$749,0)))/365.25)</f>
        <v>28</v>
      </c>
      <c r="I718" s="12" t="n">
        <v>115</v>
      </c>
      <c r="J718" s="12" t="n">
        <v>466</v>
      </c>
      <c r="K718" s="12" t="n">
        <v>409</v>
      </c>
      <c r="L718" s="12" t="n">
        <v>56</v>
      </c>
      <c r="M718" s="12" t="n">
        <v>124</v>
      </c>
      <c r="N718" s="12" t="n">
        <v>30</v>
      </c>
      <c r="O718" s="12" t="n">
        <v>5</v>
      </c>
      <c r="P718" s="12" t="n">
        <v>10</v>
      </c>
      <c r="Q718" s="12" t="n">
        <v>43</v>
      </c>
      <c r="R718" s="12" t="n">
        <v>48</v>
      </c>
      <c r="S718" s="12" t="n">
        <v>114</v>
      </c>
      <c r="T718" s="12" t="n">
        <v>3</v>
      </c>
      <c r="U718" s="12" t="n">
        <v>6</v>
      </c>
      <c r="V718" s="12" t="n">
        <v>9</v>
      </c>
      <c r="W718" s="12" t="n">
        <v>2</v>
      </c>
      <c r="X718" s="13" t="n">
        <f aca="false">M718+N718+2*O718+3*P718</f>
        <v>194</v>
      </c>
      <c r="Y718" s="14" t="n">
        <f aca="false">IF(K718=0,0,M718/K718)</f>
        <v>0.303178484107579</v>
      </c>
      <c r="Z718" s="14" t="n">
        <f aca="false">IF(K718+R718+T718+U718=0,0,(M718+R718+T718)/(K718+R718+T718+U718))</f>
        <v>0.375536480686695</v>
      </c>
      <c r="AA718" s="14" t="n">
        <f aca="false">IF(K718=0,0,X718/K718)</f>
        <v>0.474327628361858</v>
      </c>
      <c r="AB718" s="14" t="n">
        <f aca="false">Z718+AA718</f>
        <v>0.849864109048554</v>
      </c>
      <c r="AC718" s="14" t="n">
        <f aca="false">AA718-Y718</f>
        <v>0.171149144254279</v>
      </c>
      <c r="AD718" s="14" t="n">
        <f aca="false">IF(K718-S718-P718+U718=0,0,(M718-P718)/(K718-S718-P718+U718))</f>
        <v>0.391752577319588</v>
      </c>
      <c r="AE718" s="15" t="n">
        <f aca="false">IF(J718=0,0,R718/J718)</f>
        <v>0.103004291845494</v>
      </c>
      <c r="AF718" s="15" t="n">
        <f aca="false">IF(J718=0,0,S718/J718)</f>
        <v>0.244635193133047</v>
      </c>
      <c r="AG718" s="11" t="n">
        <f aca="false">IF(J718&gt;=INDEX(球季參數!$E$2:$E$4,MATCH($A718,球季參數!$A$2:$A$4,0)),1,0)</f>
        <v>0</v>
      </c>
    </row>
    <row r="719" customFormat="false" ht="15" hidden="false" customHeight="false" outlineLevel="0" collapsed="false">
      <c r="A719" s="5" t="n">
        <v>2026</v>
      </c>
      <c r="B719" s="7" t="s">
        <v>1883</v>
      </c>
      <c r="C719" s="10" t="str">
        <f aca="false">INDEX(球員主檔!$B$2:$B$749,MATCH($B719,球員主檔!$A$2:$A$749,0))</f>
        <v>Ignacio Vasquez</v>
      </c>
      <c r="D719" s="7" t="s">
        <v>388</v>
      </c>
      <c r="E719" s="10" t="str">
        <f aca="false">INDEX(球隊主檔!$C$2:$C$31,MATCH($D719,球隊主檔!$A$2:$A$31,0))</f>
        <v>休士頓太空人</v>
      </c>
      <c r="F719" s="10" t="str">
        <f aca="false">INDEX(球隊主檔!$D$2:$D$31,MATCH($D719,球隊主檔!$A$2:$A$31,0))</f>
        <v>美聯</v>
      </c>
      <c r="G719" s="7" t="s">
        <v>162</v>
      </c>
      <c r="H719" s="11" t="n">
        <f aca="false">INT((DATE($A719,7,1)-INDEX(球員主檔!$G$2:$G$749,MATCH($B719,球員主檔!$A$2:$A$749,0)))/365.25)</f>
        <v>20</v>
      </c>
      <c r="I719" s="12" t="n">
        <v>112</v>
      </c>
      <c r="J719" s="12" t="n">
        <v>476</v>
      </c>
      <c r="K719" s="12" t="n">
        <v>423</v>
      </c>
      <c r="L719" s="12" t="n">
        <v>59</v>
      </c>
      <c r="M719" s="12" t="n">
        <v>104</v>
      </c>
      <c r="N719" s="12" t="n">
        <v>37</v>
      </c>
      <c r="O719" s="12" t="n">
        <v>12</v>
      </c>
      <c r="P719" s="12" t="n">
        <v>13</v>
      </c>
      <c r="Q719" s="12" t="n">
        <v>45</v>
      </c>
      <c r="R719" s="12" t="n">
        <v>45</v>
      </c>
      <c r="S719" s="12" t="n">
        <v>136</v>
      </c>
      <c r="T719" s="12" t="n">
        <v>6</v>
      </c>
      <c r="U719" s="12" t="n">
        <v>2</v>
      </c>
      <c r="V719" s="12" t="n">
        <v>13</v>
      </c>
      <c r="W719" s="12" t="n">
        <v>3</v>
      </c>
      <c r="X719" s="13" t="n">
        <f aca="false">M719+N719+2*O719+3*P719</f>
        <v>204</v>
      </c>
      <c r="Y719" s="14" t="n">
        <f aca="false">IF(K719=0,0,M719/K719)</f>
        <v>0.245862884160757</v>
      </c>
      <c r="Z719" s="14" t="n">
        <f aca="false">IF(K719+R719+T719+U719=0,0,(M719+R719+T719)/(K719+R719+T719+U719))</f>
        <v>0.32563025210084</v>
      </c>
      <c r="AA719" s="14" t="n">
        <f aca="false">IF(K719=0,0,X719/K719)</f>
        <v>0.482269503546099</v>
      </c>
      <c r="AB719" s="14" t="n">
        <f aca="false">Z719+AA719</f>
        <v>0.80789975564694</v>
      </c>
      <c r="AC719" s="14" t="n">
        <f aca="false">AA719-Y719</f>
        <v>0.236406619385343</v>
      </c>
      <c r="AD719" s="14" t="n">
        <f aca="false">IF(K719-S719-P719+U719=0,0,(M719-P719)/(K719-S719-P719+U719))</f>
        <v>0.329710144927536</v>
      </c>
      <c r="AE719" s="15" t="n">
        <f aca="false">IF(J719=0,0,R719/J719)</f>
        <v>0.0945378151260504</v>
      </c>
      <c r="AF719" s="15" t="n">
        <f aca="false">IF(J719=0,0,S719/J719)</f>
        <v>0.285714285714286</v>
      </c>
      <c r="AG719" s="11" t="n">
        <f aca="false">IF(J719&gt;=INDEX(球季參數!$E$2:$E$4,MATCH($A719,球季參數!$A$2:$A$4,0)),1,0)</f>
        <v>0</v>
      </c>
    </row>
    <row r="720" customFormat="false" ht="15" hidden="false" customHeight="false" outlineLevel="0" collapsed="false">
      <c r="A720" s="5" t="n">
        <v>2026</v>
      </c>
      <c r="B720" s="7" t="s">
        <v>1277</v>
      </c>
      <c r="C720" s="10" t="str">
        <f aca="false">INDEX(球員主檔!$B$2:$B$749,MATCH($B720,球員主檔!$A$2:$A$749,0))</f>
        <v>Alonso Jernigan</v>
      </c>
      <c r="D720" s="7" t="s">
        <v>388</v>
      </c>
      <c r="E720" s="10" t="str">
        <f aca="false">INDEX(球隊主檔!$C$2:$C$31,MATCH($D720,球隊主檔!$A$2:$A$31,0))</f>
        <v>休士頓太空人</v>
      </c>
      <c r="F720" s="10" t="str">
        <f aca="false">INDEX(球隊主檔!$D$2:$D$31,MATCH($D720,球隊主檔!$A$2:$A$31,0))</f>
        <v>美聯</v>
      </c>
      <c r="G720" s="7" t="s">
        <v>522</v>
      </c>
      <c r="H720" s="11" t="n">
        <f aca="false">INT((DATE($A720,7,1)-INDEX(球員主檔!$G$2:$G$749,MATCH($B720,球員主檔!$A$2:$A$749,0)))/365.25)</f>
        <v>28</v>
      </c>
      <c r="I720" s="12" t="n">
        <v>43</v>
      </c>
      <c r="J720" s="12" t="n">
        <v>182</v>
      </c>
      <c r="K720" s="12" t="n">
        <v>159</v>
      </c>
      <c r="L720" s="12" t="n">
        <v>23</v>
      </c>
      <c r="M720" s="12" t="n">
        <v>42</v>
      </c>
      <c r="N720" s="12" t="n">
        <v>20</v>
      </c>
      <c r="O720" s="12" t="n">
        <v>3</v>
      </c>
      <c r="P720" s="12" t="n">
        <v>2</v>
      </c>
      <c r="Q720" s="12" t="n">
        <v>15</v>
      </c>
      <c r="R720" s="12" t="n">
        <v>19</v>
      </c>
      <c r="S720" s="12" t="n">
        <v>32</v>
      </c>
      <c r="T720" s="12" t="n">
        <v>3</v>
      </c>
      <c r="U720" s="12" t="n">
        <v>1</v>
      </c>
      <c r="V720" s="12" t="n">
        <v>2</v>
      </c>
      <c r="W720" s="12" t="n">
        <v>0</v>
      </c>
      <c r="X720" s="13" t="n">
        <f aca="false">M720+N720+2*O720+3*P720</f>
        <v>74</v>
      </c>
      <c r="Y720" s="14" t="n">
        <f aca="false">IF(K720=0,0,M720/K720)</f>
        <v>0.264150943396226</v>
      </c>
      <c r="Z720" s="14" t="n">
        <f aca="false">IF(K720+R720+T720+U720=0,0,(M720+R720+T720)/(K720+R720+T720+U720))</f>
        <v>0.351648351648352</v>
      </c>
      <c r="AA720" s="14" t="n">
        <f aca="false">IF(K720=0,0,X720/K720)</f>
        <v>0.465408805031447</v>
      </c>
      <c r="AB720" s="14" t="n">
        <f aca="false">Z720+AA720</f>
        <v>0.817057156679798</v>
      </c>
      <c r="AC720" s="14" t="n">
        <f aca="false">AA720-Y720</f>
        <v>0.20125786163522</v>
      </c>
      <c r="AD720" s="14" t="n">
        <f aca="false">IF(K720-S720-P720+U720=0,0,(M720-P720)/(K720-S720-P720+U720))</f>
        <v>0.317460317460317</v>
      </c>
      <c r="AE720" s="15" t="n">
        <f aca="false">IF(J720=0,0,R720/J720)</f>
        <v>0.104395604395604</v>
      </c>
      <c r="AF720" s="15" t="n">
        <f aca="false">IF(J720=0,0,S720/J720)</f>
        <v>0.175824175824176</v>
      </c>
      <c r="AG720" s="11" t="n">
        <f aca="false">IF(J720&gt;=INDEX(球季參數!$E$2:$E$4,MATCH($A720,球季參數!$A$2:$A$4,0)),1,0)</f>
        <v>0</v>
      </c>
    </row>
    <row r="721" customFormat="false" ht="15" hidden="false" customHeight="false" outlineLevel="0" collapsed="false">
      <c r="A721" s="5" t="n">
        <v>2026</v>
      </c>
      <c r="B721" s="7" t="s">
        <v>935</v>
      </c>
      <c r="C721" s="10" t="str">
        <f aca="false">INDEX(球員主檔!$B$2:$B$749,MATCH($B721,球員主檔!$A$2:$A$749,0))</f>
        <v>Ulises Wexford</v>
      </c>
      <c r="D721" s="7" t="s">
        <v>388</v>
      </c>
      <c r="E721" s="10" t="str">
        <f aca="false">INDEX(球隊主檔!$C$2:$C$31,MATCH($D721,球隊主檔!$A$2:$A$31,0))</f>
        <v>休士頓太空人</v>
      </c>
      <c r="F721" s="10" t="str">
        <f aca="false">INDEX(球隊主檔!$D$2:$D$31,MATCH($D721,球隊主檔!$A$2:$A$31,0))</f>
        <v>美聯</v>
      </c>
      <c r="G721" s="7" t="s">
        <v>486</v>
      </c>
      <c r="H721" s="11" t="n">
        <f aca="false">INT((DATE($A721,7,1)-INDEX(球員主檔!$G$2:$G$749,MATCH($B721,球員主檔!$A$2:$A$749,0)))/365.25)</f>
        <v>34</v>
      </c>
      <c r="I721" s="12" t="n">
        <v>78</v>
      </c>
      <c r="J721" s="12" t="n">
        <v>329</v>
      </c>
      <c r="K721" s="12" t="n">
        <v>299</v>
      </c>
      <c r="L721" s="12" t="n">
        <v>28</v>
      </c>
      <c r="M721" s="12" t="n">
        <v>62</v>
      </c>
      <c r="N721" s="12" t="n">
        <v>11</v>
      </c>
      <c r="O721" s="12" t="n">
        <v>10</v>
      </c>
      <c r="P721" s="12" t="n">
        <v>5</v>
      </c>
      <c r="Q721" s="12" t="n">
        <v>26</v>
      </c>
      <c r="R721" s="12" t="n">
        <v>25</v>
      </c>
      <c r="S721" s="12" t="n">
        <v>85</v>
      </c>
      <c r="T721" s="12" t="n">
        <v>3</v>
      </c>
      <c r="U721" s="12" t="n">
        <v>2</v>
      </c>
      <c r="V721" s="12" t="n">
        <v>8</v>
      </c>
      <c r="W721" s="12" t="n">
        <v>3</v>
      </c>
      <c r="X721" s="13" t="n">
        <f aca="false">M721+N721+2*O721+3*P721</f>
        <v>108</v>
      </c>
      <c r="Y721" s="14" t="n">
        <f aca="false">IF(K721=0,0,M721/K721)</f>
        <v>0.207357859531773</v>
      </c>
      <c r="Z721" s="14" t="n">
        <f aca="false">IF(K721+R721+T721+U721=0,0,(M721+R721+T721)/(K721+R721+T721+U721))</f>
        <v>0.27355623100304</v>
      </c>
      <c r="AA721" s="14" t="n">
        <f aca="false">IF(K721=0,0,X721/K721)</f>
        <v>0.361204013377926</v>
      </c>
      <c r="AB721" s="14" t="n">
        <f aca="false">Z721+AA721</f>
        <v>0.634760244380966</v>
      </c>
      <c r="AC721" s="14" t="n">
        <f aca="false">AA721-Y721</f>
        <v>0.153846153846154</v>
      </c>
      <c r="AD721" s="14" t="n">
        <f aca="false">IF(K721-S721-P721+U721=0,0,(M721-P721)/(K721-S721-P721+U721))</f>
        <v>0.270142180094787</v>
      </c>
      <c r="AE721" s="15" t="n">
        <f aca="false">IF(J721=0,0,R721/J721)</f>
        <v>0.0759878419452888</v>
      </c>
      <c r="AF721" s="15" t="n">
        <f aca="false">IF(J721=0,0,S721/J721)</f>
        <v>0.258358662613982</v>
      </c>
      <c r="AG721" s="11" t="n">
        <f aca="false">IF(J721&gt;=INDEX(球季參數!$E$2:$E$4,MATCH($A721,球季參數!$A$2:$A$4,0)),1,0)</f>
        <v>0</v>
      </c>
    </row>
    <row r="722" customFormat="false" ht="15" hidden="false" customHeight="false" outlineLevel="0" collapsed="false">
      <c r="A722" s="5" t="n">
        <v>2026</v>
      </c>
      <c r="B722" s="7" t="s">
        <v>1725</v>
      </c>
      <c r="C722" s="10" t="str">
        <f aca="false">INDEX(球員主檔!$B$2:$B$749,MATCH($B722,球員主檔!$A$2:$A$749,0))</f>
        <v>Sousuke Jernigan</v>
      </c>
      <c r="D722" s="7" t="s">
        <v>392</v>
      </c>
      <c r="E722" s="10" t="str">
        <f aca="false">INDEX(球隊主檔!$C$2:$C$31,MATCH($D722,球隊主檔!$A$2:$A$31,0))</f>
        <v>洛杉磯天使</v>
      </c>
      <c r="F722" s="10" t="str">
        <f aca="false">INDEX(球隊主檔!$D$2:$D$31,MATCH($D722,球隊主檔!$A$2:$A$31,0))</f>
        <v>美聯</v>
      </c>
      <c r="G722" s="7" t="s">
        <v>478</v>
      </c>
      <c r="H722" s="11" t="n">
        <f aca="false">INT((DATE($A722,7,1)-INDEX(球員主檔!$G$2:$G$749,MATCH($B722,球員主檔!$A$2:$A$749,0)))/365.25)</f>
        <v>26</v>
      </c>
      <c r="I722" s="12" t="n">
        <v>160</v>
      </c>
      <c r="J722" s="12" t="n">
        <v>684</v>
      </c>
      <c r="K722" s="12" t="n">
        <v>598</v>
      </c>
      <c r="L722" s="12" t="n">
        <v>94</v>
      </c>
      <c r="M722" s="12" t="n">
        <v>139</v>
      </c>
      <c r="N722" s="12" t="n">
        <v>24</v>
      </c>
      <c r="O722" s="12" t="n">
        <v>4</v>
      </c>
      <c r="P722" s="12" t="n">
        <v>42</v>
      </c>
      <c r="Q722" s="12" t="n">
        <v>108</v>
      </c>
      <c r="R722" s="12" t="n">
        <v>79</v>
      </c>
      <c r="S722" s="12" t="n">
        <v>159</v>
      </c>
      <c r="T722" s="12" t="n">
        <v>3</v>
      </c>
      <c r="U722" s="12" t="n">
        <v>4</v>
      </c>
      <c r="V722" s="12" t="n">
        <v>21</v>
      </c>
      <c r="W722" s="12" t="n">
        <v>7</v>
      </c>
      <c r="X722" s="13" t="n">
        <f aca="false">M722+N722+2*O722+3*P722</f>
        <v>297</v>
      </c>
      <c r="Y722" s="14" t="n">
        <f aca="false">IF(K722=0,0,M722/K722)</f>
        <v>0.232441471571906</v>
      </c>
      <c r="Z722" s="14" t="n">
        <f aca="false">IF(K722+R722+T722+U722=0,0,(M722+R722+T722)/(K722+R722+T722+U722))</f>
        <v>0.323099415204678</v>
      </c>
      <c r="AA722" s="14" t="n">
        <f aca="false">IF(K722=0,0,X722/K722)</f>
        <v>0.496655518394649</v>
      </c>
      <c r="AB722" s="14" t="n">
        <f aca="false">Z722+AA722</f>
        <v>0.819754933599327</v>
      </c>
      <c r="AC722" s="14" t="n">
        <f aca="false">AA722-Y722</f>
        <v>0.264214046822742</v>
      </c>
      <c r="AD722" s="14" t="n">
        <f aca="false">IF(K722-S722-P722+U722=0,0,(M722-P722)/(K722-S722-P722+U722))</f>
        <v>0.241895261845387</v>
      </c>
      <c r="AE722" s="15" t="n">
        <f aca="false">IF(J722=0,0,R722/J722)</f>
        <v>0.115497076023392</v>
      </c>
      <c r="AF722" s="15" t="n">
        <f aca="false">IF(J722=0,0,S722/J722)</f>
        <v>0.232456140350877</v>
      </c>
      <c r="AG722" s="11" t="n">
        <f aca="false">IF(J722&gt;=INDEX(球季參數!$E$2:$E$4,MATCH($A722,球季參數!$A$2:$A$4,0)),1,0)</f>
        <v>1</v>
      </c>
    </row>
    <row r="723" customFormat="false" ht="15" hidden="false" customHeight="false" outlineLevel="0" collapsed="false">
      <c r="A723" s="5" t="n">
        <v>2026</v>
      </c>
      <c r="B723" s="7" t="s">
        <v>1727</v>
      </c>
      <c r="C723" s="10" t="str">
        <f aca="false">INDEX(球員主檔!$B$2:$B$749,MATCH($B723,球員主檔!$A$2:$A$749,0))</f>
        <v>Matthias Castellón</v>
      </c>
      <c r="D723" s="7" t="s">
        <v>392</v>
      </c>
      <c r="E723" s="10" t="str">
        <f aca="false">INDEX(球隊主檔!$C$2:$C$31,MATCH($D723,球隊主檔!$A$2:$A$31,0))</f>
        <v>洛杉磯天使</v>
      </c>
      <c r="F723" s="10" t="str">
        <f aca="false">INDEX(球隊主檔!$D$2:$D$31,MATCH($D723,球隊主檔!$A$2:$A$31,0))</f>
        <v>美聯</v>
      </c>
      <c r="G723" s="7" t="s">
        <v>470</v>
      </c>
      <c r="H723" s="11" t="n">
        <f aca="false">INT((DATE($A723,7,1)-INDEX(球員主檔!$G$2:$G$749,MATCH($B723,球員主檔!$A$2:$A$749,0)))/365.25)</f>
        <v>26</v>
      </c>
      <c r="I723" s="12" t="n">
        <v>148</v>
      </c>
      <c r="J723" s="12" t="n">
        <v>605</v>
      </c>
      <c r="K723" s="12" t="n">
        <v>576</v>
      </c>
      <c r="L723" s="12" t="n">
        <v>63</v>
      </c>
      <c r="M723" s="12" t="n">
        <v>162</v>
      </c>
      <c r="N723" s="12" t="n">
        <v>42</v>
      </c>
      <c r="O723" s="12" t="n">
        <v>11</v>
      </c>
      <c r="P723" s="12" t="n">
        <v>12</v>
      </c>
      <c r="Q723" s="12" t="n">
        <v>66</v>
      </c>
      <c r="R723" s="12" t="n">
        <v>23</v>
      </c>
      <c r="S723" s="12" t="n">
        <v>172</v>
      </c>
      <c r="T723" s="12" t="n">
        <v>2</v>
      </c>
      <c r="U723" s="12" t="n">
        <v>4</v>
      </c>
      <c r="V723" s="12" t="n">
        <v>18</v>
      </c>
      <c r="W723" s="12" t="n">
        <v>2</v>
      </c>
      <c r="X723" s="13" t="n">
        <f aca="false">M723+N723+2*O723+3*P723</f>
        <v>262</v>
      </c>
      <c r="Y723" s="14" t="n">
        <f aca="false">IF(K723=0,0,M723/K723)</f>
        <v>0.28125</v>
      </c>
      <c r="Z723" s="14" t="n">
        <f aca="false">IF(K723+R723+T723+U723=0,0,(M723+R723+T723)/(K723+R723+T723+U723))</f>
        <v>0.309090909090909</v>
      </c>
      <c r="AA723" s="14" t="n">
        <f aca="false">IF(K723=0,0,X723/K723)</f>
        <v>0.454861111111111</v>
      </c>
      <c r="AB723" s="14" t="n">
        <f aca="false">Z723+AA723</f>
        <v>0.76395202020202</v>
      </c>
      <c r="AC723" s="14" t="n">
        <f aca="false">AA723-Y723</f>
        <v>0.173611111111111</v>
      </c>
      <c r="AD723" s="14" t="n">
        <f aca="false">IF(K723-S723-P723+U723=0,0,(M723-P723)/(K723-S723-P723+U723))</f>
        <v>0.378787878787879</v>
      </c>
      <c r="AE723" s="15" t="n">
        <f aca="false">IF(J723=0,0,R723/J723)</f>
        <v>0.0380165289256198</v>
      </c>
      <c r="AF723" s="15" t="n">
        <f aca="false">IF(J723=0,0,S723/J723)</f>
        <v>0.284297520661157</v>
      </c>
      <c r="AG723" s="11" t="n">
        <f aca="false">IF(J723&gt;=INDEX(球季參數!$E$2:$E$4,MATCH($A723,球季參數!$A$2:$A$4,0)),1,0)</f>
        <v>1</v>
      </c>
    </row>
    <row r="724" customFormat="false" ht="15" hidden="false" customHeight="false" outlineLevel="0" collapsed="false">
      <c r="A724" s="5" t="n">
        <v>2026</v>
      </c>
      <c r="B724" s="7" t="s">
        <v>961</v>
      </c>
      <c r="C724" s="10" t="str">
        <f aca="false">INDEX(球員主檔!$B$2:$B$749,MATCH($B724,球員主檔!$A$2:$A$749,0))</f>
        <v>Dorian Montalvo</v>
      </c>
      <c r="D724" s="7" t="s">
        <v>392</v>
      </c>
      <c r="E724" s="10" t="str">
        <f aca="false">INDEX(球隊主檔!$C$2:$C$31,MATCH($D724,球隊主檔!$A$2:$A$31,0))</f>
        <v>洛杉磯天使</v>
      </c>
      <c r="F724" s="10" t="str">
        <f aca="false">INDEX(球隊主檔!$D$2:$D$31,MATCH($D724,球隊主檔!$A$2:$A$31,0))</f>
        <v>美聯</v>
      </c>
      <c r="G724" s="7" t="s">
        <v>522</v>
      </c>
      <c r="H724" s="11" t="n">
        <f aca="false">INT((DATE($A724,7,1)-INDEX(球員主檔!$G$2:$G$749,MATCH($B724,球員主檔!$A$2:$A$749,0)))/365.25)</f>
        <v>31</v>
      </c>
      <c r="I724" s="12" t="n">
        <v>161</v>
      </c>
      <c r="J724" s="12" t="n">
        <v>645</v>
      </c>
      <c r="K724" s="12" t="n">
        <v>592</v>
      </c>
      <c r="L724" s="12" t="n">
        <v>72</v>
      </c>
      <c r="M724" s="12" t="n">
        <v>179</v>
      </c>
      <c r="N724" s="12" t="n">
        <v>15</v>
      </c>
      <c r="O724" s="12" t="n">
        <v>3</v>
      </c>
      <c r="P724" s="12" t="n">
        <v>7</v>
      </c>
      <c r="Q724" s="12" t="n">
        <v>43</v>
      </c>
      <c r="R724" s="12" t="n">
        <v>44</v>
      </c>
      <c r="S724" s="12" t="n">
        <v>177</v>
      </c>
      <c r="T724" s="12" t="n">
        <v>6</v>
      </c>
      <c r="U724" s="12" t="n">
        <v>3</v>
      </c>
      <c r="V724" s="12" t="n">
        <v>11</v>
      </c>
      <c r="W724" s="12" t="n">
        <v>2</v>
      </c>
      <c r="X724" s="13" t="n">
        <f aca="false">M724+N724+2*O724+3*P724</f>
        <v>221</v>
      </c>
      <c r="Y724" s="14" t="n">
        <f aca="false">IF(K724=0,0,M724/K724)</f>
        <v>0.302364864864865</v>
      </c>
      <c r="Z724" s="14" t="n">
        <f aca="false">IF(K724+R724+T724+U724=0,0,(M724+R724+T724)/(K724+R724+T724+U724))</f>
        <v>0.355038759689923</v>
      </c>
      <c r="AA724" s="14" t="n">
        <f aca="false">IF(K724=0,0,X724/K724)</f>
        <v>0.373310810810811</v>
      </c>
      <c r="AB724" s="14" t="n">
        <f aca="false">Z724+AA724</f>
        <v>0.728349570500733</v>
      </c>
      <c r="AC724" s="14" t="n">
        <f aca="false">AA724-Y724</f>
        <v>0.0709459459459459</v>
      </c>
      <c r="AD724" s="14" t="n">
        <f aca="false">IF(K724-S724-P724+U724=0,0,(M724-P724)/(K724-S724-P724+U724))</f>
        <v>0.418491484184915</v>
      </c>
      <c r="AE724" s="15" t="n">
        <f aca="false">IF(J724=0,0,R724/J724)</f>
        <v>0.0682170542635659</v>
      </c>
      <c r="AF724" s="15" t="n">
        <f aca="false">IF(J724=0,0,S724/J724)</f>
        <v>0.274418604651163</v>
      </c>
      <c r="AG724" s="11" t="n">
        <f aca="false">IF(J724&gt;=INDEX(球季參數!$E$2:$E$4,MATCH($A724,球季參數!$A$2:$A$4,0)),1,0)</f>
        <v>1</v>
      </c>
    </row>
    <row r="725" customFormat="false" ht="15" hidden="false" customHeight="false" outlineLevel="0" collapsed="false">
      <c r="A725" s="5" t="n">
        <v>2026</v>
      </c>
      <c r="B725" s="7" t="s">
        <v>957</v>
      </c>
      <c r="C725" s="10" t="str">
        <f aca="false">INDEX(球員主檔!$B$2:$B$749,MATCH($B725,球員主檔!$A$2:$A$749,0))</f>
        <v>Ulises Pellerin</v>
      </c>
      <c r="D725" s="7" t="s">
        <v>392</v>
      </c>
      <c r="E725" s="10" t="str">
        <f aca="false">INDEX(球隊主檔!$C$2:$C$31,MATCH($D725,球隊主檔!$A$2:$A$31,0))</f>
        <v>洛杉磯天使</v>
      </c>
      <c r="F725" s="10" t="str">
        <f aca="false">INDEX(球隊主檔!$D$2:$D$31,MATCH($D725,球隊主檔!$A$2:$A$31,0))</f>
        <v>美聯</v>
      </c>
      <c r="G725" s="7" t="s">
        <v>473</v>
      </c>
      <c r="H725" s="11" t="n">
        <f aca="false">INT((DATE($A725,7,1)-INDEX(球員主檔!$G$2:$G$749,MATCH($B725,球員主檔!$A$2:$A$749,0)))/365.25)</f>
        <v>30</v>
      </c>
      <c r="I725" s="12" t="n">
        <v>144</v>
      </c>
      <c r="J725" s="12" t="n">
        <v>596</v>
      </c>
      <c r="K725" s="12" t="n">
        <v>535</v>
      </c>
      <c r="L725" s="12" t="n">
        <v>63</v>
      </c>
      <c r="M725" s="12" t="n">
        <v>124</v>
      </c>
      <c r="N725" s="12" t="n">
        <v>33</v>
      </c>
      <c r="O725" s="12" t="n">
        <v>7</v>
      </c>
      <c r="P725" s="12" t="n">
        <v>5</v>
      </c>
      <c r="Q725" s="12" t="n">
        <v>46</v>
      </c>
      <c r="R725" s="12" t="n">
        <v>46</v>
      </c>
      <c r="S725" s="12" t="n">
        <v>134</v>
      </c>
      <c r="T725" s="12" t="n">
        <v>8</v>
      </c>
      <c r="U725" s="12" t="n">
        <v>7</v>
      </c>
      <c r="V725" s="12" t="n">
        <v>42</v>
      </c>
      <c r="W725" s="12" t="n">
        <v>12</v>
      </c>
      <c r="X725" s="13" t="n">
        <f aca="false">M725+N725+2*O725+3*P725</f>
        <v>186</v>
      </c>
      <c r="Y725" s="14" t="n">
        <f aca="false">IF(K725=0,0,M725/K725)</f>
        <v>0.231775700934579</v>
      </c>
      <c r="Z725" s="14" t="n">
        <f aca="false">IF(K725+R725+T725+U725=0,0,(M725+R725+T725)/(K725+R725+T725+U725))</f>
        <v>0.298657718120805</v>
      </c>
      <c r="AA725" s="14" t="n">
        <f aca="false">IF(K725=0,0,X725/K725)</f>
        <v>0.347663551401869</v>
      </c>
      <c r="AB725" s="14" t="n">
        <f aca="false">Z725+AA725</f>
        <v>0.646321269522675</v>
      </c>
      <c r="AC725" s="14" t="n">
        <f aca="false">AA725-Y725</f>
        <v>0.11588785046729</v>
      </c>
      <c r="AD725" s="14" t="n">
        <f aca="false">IF(K725-S725-P725+U725=0,0,(M725-P725)/(K725-S725-P725+U725))</f>
        <v>0.295285359801489</v>
      </c>
      <c r="AE725" s="15" t="n">
        <f aca="false">IF(J725=0,0,R725/J725)</f>
        <v>0.0771812080536913</v>
      </c>
      <c r="AF725" s="15" t="n">
        <f aca="false">IF(J725=0,0,S725/J725)</f>
        <v>0.224832214765101</v>
      </c>
      <c r="AG725" s="11" t="n">
        <f aca="false">IF(J725&gt;=INDEX(球季參數!$E$2:$E$4,MATCH($A725,球季參數!$A$2:$A$4,0)),1,0)</f>
        <v>1</v>
      </c>
    </row>
    <row r="726" customFormat="false" ht="15" hidden="false" customHeight="false" outlineLevel="0" collapsed="false">
      <c r="A726" s="5" t="n">
        <v>2026</v>
      </c>
      <c r="B726" s="7" t="s">
        <v>1729</v>
      </c>
      <c r="C726" s="10" t="str">
        <f aca="false">INDEX(球員主檔!$B$2:$B$749,MATCH($B726,球員主檔!$A$2:$A$749,0))</f>
        <v>Minjae Garrity</v>
      </c>
      <c r="D726" s="7" t="s">
        <v>392</v>
      </c>
      <c r="E726" s="10" t="str">
        <f aca="false">INDEX(球隊主檔!$C$2:$C$31,MATCH($D726,球隊主檔!$A$2:$A$31,0))</f>
        <v>洛杉磯天使</v>
      </c>
      <c r="F726" s="10" t="str">
        <f aca="false">INDEX(球隊主檔!$D$2:$D$31,MATCH($D726,球隊主檔!$A$2:$A$31,0))</f>
        <v>美聯</v>
      </c>
      <c r="G726" s="7" t="s">
        <v>63</v>
      </c>
      <c r="H726" s="11" t="n">
        <f aca="false">INT((DATE($A726,7,1)-INDEX(球員主檔!$G$2:$G$749,MATCH($B726,球員主檔!$A$2:$A$749,0)))/365.25)</f>
        <v>22</v>
      </c>
      <c r="I726" s="12" t="n">
        <v>151</v>
      </c>
      <c r="J726" s="12" t="n">
        <v>676</v>
      </c>
      <c r="K726" s="12" t="n">
        <v>585</v>
      </c>
      <c r="L726" s="12" t="n">
        <v>75</v>
      </c>
      <c r="M726" s="12" t="n">
        <v>162</v>
      </c>
      <c r="N726" s="12" t="n">
        <v>31</v>
      </c>
      <c r="O726" s="12" t="n">
        <v>5</v>
      </c>
      <c r="P726" s="12" t="n">
        <v>12</v>
      </c>
      <c r="Q726" s="12" t="n">
        <v>70</v>
      </c>
      <c r="R726" s="12" t="n">
        <v>81</v>
      </c>
      <c r="S726" s="12" t="n">
        <v>201</v>
      </c>
      <c r="T726" s="12" t="n">
        <v>4</v>
      </c>
      <c r="U726" s="12" t="n">
        <v>6</v>
      </c>
      <c r="V726" s="12" t="n">
        <v>17</v>
      </c>
      <c r="W726" s="12" t="n">
        <v>3</v>
      </c>
      <c r="X726" s="13" t="n">
        <f aca="false">M726+N726+2*O726+3*P726</f>
        <v>239</v>
      </c>
      <c r="Y726" s="14" t="n">
        <f aca="false">IF(K726=0,0,M726/K726)</f>
        <v>0.276923076923077</v>
      </c>
      <c r="Z726" s="14" t="n">
        <f aca="false">IF(K726+R726+T726+U726=0,0,(M726+R726+T726)/(K726+R726+T726+U726))</f>
        <v>0.365384615384615</v>
      </c>
      <c r="AA726" s="14" t="n">
        <f aca="false">IF(K726=0,0,X726/K726)</f>
        <v>0.408547008547009</v>
      </c>
      <c r="AB726" s="14" t="n">
        <f aca="false">Z726+AA726</f>
        <v>0.773931623931624</v>
      </c>
      <c r="AC726" s="14" t="n">
        <f aca="false">AA726-Y726</f>
        <v>0.131623931623932</v>
      </c>
      <c r="AD726" s="14" t="n">
        <f aca="false">IF(K726-S726-P726+U726=0,0,(M726-P726)/(K726-S726-P726+U726))</f>
        <v>0.396825396825397</v>
      </c>
      <c r="AE726" s="15" t="n">
        <f aca="false">IF(J726=0,0,R726/J726)</f>
        <v>0.119822485207101</v>
      </c>
      <c r="AF726" s="15" t="n">
        <f aca="false">IF(J726=0,0,S726/J726)</f>
        <v>0.297337278106509</v>
      </c>
      <c r="AG726" s="11" t="n">
        <f aca="false">IF(J726&gt;=INDEX(球季參數!$E$2:$E$4,MATCH($A726,球季參數!$A$2:$A$4,0)),1,0)</f>
        <v>1</v>
      </c>
    </row>
    <row r="727" customFormat="false" ht="15" hidden="false" customHeight="false" outlineLevel="0" collapsed="false">
      <c r="A727" s="5" t="n">
        <v>2026</v>
      </c>
      <c r="B727" s="7" t="s">
        <v>467</v>
      </c>
      <c r="C727" s="10" t="str">
        <f aca="false">INDEX(球員主檔!$B$2:$B$749,MATCH($B727,球員主檔!$A$2:$A$749,0))</f>
        <v>Leandro Yarbrough</v>
      </c>
      <c r="D727" s="7" t="s">
        <v>392</v>
      </c>
      <c r="E727" s="10" t="str">
        <f aca="false">INDEX(球隊主檔!$C$2:$C$31,MATCH($D727,球隊主檔!$A$2:$A$31,0))</f>
        <v>洛杉磯天使</v>
      </c>
      <c r="F727" s="10" t="str">
        <f aca="false">INDEX(球隊主檔!$D$2:$D$31,MATCH($D727,球隊主檔!$A$2:$A$31,0))</f>
        <v>美聯</v>
      </c>
      <c r="G727" s="7" t="s">
        <v>470</v>
      </c>
      <c r="H727" s="11" t="n">
        <f aca="false">INT((DATE($A727,7,1)-INDEX(球員主檔!$G$2:$G$749,MATCH($B727,球員主檔!$A$2:$A$749,0)))/365.25)</f>
        <v>29</v>
      </c>
      <c r="I727" s="12" t="n">
        <v>95</v>
      </c>
      <c r="J727" s="12" t="n">
        <v>393</v>
      </c>
      <c r="K727" s="12" t="n">
        <v>358</v>
      </c>
      <c r="L727" s="12" t="n">
        <v>48</v>
      </c>
      <c r="M727" s="12" t="n">
        <v>94</v>
      </c>
      <c r="N727" s="12" t="n">
        <v>14</v>
      </c>
      <c r="O727" s="12" t="n">
        <v>7</v>
      </c>
      <c r="P727" s="12" t="n">
        <v>22</v>
      </c>
      <c r="Q727" s="12" t="n">
        <v>76</v>
      </c>
      <c r="R727" s="12" t="n">
        <v>25</v>
      </c>
      <c r="S727" s="12" t="n">
        <v>117</v>
      </c>
      <c r="T727" s="12" t="n">
        <v>5</v>
      </c>
      <c r="U727" s="12" t="n">
        <v>5</v>
      </c>
      <c r="V727" s="12" t="n">
        <v>15</v>
      </c>
      <c r="W727" s="12" t="n">
        <v>2</v>
      </c>
      <c r="X727" s="13" t="n">
        <f aca="false">M727+N727+2*O727+3*P727</f>
        <v>188</v>
      </c>
      <c r="Y727" s="14" t="n">
        <f aca="false">IF(K727=0,0,M727/K727)</f>
        <v>0.262569832402235</v>
      </c>
      <c r="Z727" s="14" t="n">
        <f aca="false">IF(K727+R727+T727+U727=0,0,(M727+R727+T727)/(K727+R727+T727+U727))</f>
        <v>0.315521628498728</v>
      </c>
      <c r="AA727" s="14" t="n">
        <f aca="false">IF(K727=0,0,X727/K727)</f>
        <v>0.525139664804469</v>
      </c>
      <c r="AB727" s="14" t="n">
        <f aca="false">Z727+AA727</f>
        <v>0.840661293303197</v>
      </c>
      <c r="AC727" s="14" t="n">
        <f aca="false">AA727-Y727</f>
        <v>0.262569832402235</v>
      </c>
      <c r="AD727" s="14" t="n">
        <f aca="false">IF(K727-S727-P727+U727=0,0,(M727-P727)/(K727-S727-P727+U727))</f>
        <v>0.321428571428571</v>
      </c>
      <c r="AE727" s="15" t="n">
        <f aca="false">IF(J727=0,0,R727/J727)</f>
        <v>0.0636132315521629</v>
      </c>
      <c r="AF727" s="15" t="n">
        <f aca="false">IF(J727=0,0,S727/J727)</f>
        <v>0.297709923664122</v>
      </c>
      <c r="AG727" s="11" t="n">
        <f aca="false">IF(J727&gt;=INDEX(球季參數!$E$2:$E$4,MATCH($A727,球季參數!$A$2:$A$4,0)),1,0)</f>
        <v>0</v>
      </c>
    </row>
    <row r="728" customFormat="false" ht="15" hidden="false" customHeight="false" outlineLevel="0" collapsed="false">
      <c r="A728" s="5" t="n">
        <v>2026</v>
      </c>
      <c r="B728" s="7" t="s">
        <v>969</v>
      </c>
      <c r="C728" s="10" t="str">
        <f aca="false">INDEX(球員主檔!$B$2:$B$749,MATCH($B728,球員主檔!$A$2:$A$749,0))</f>
        <v>Holden Kiriakis</v>
      </c>
      <c r="D728" s="7" t="s">
        <v>392</v>
      </c>
      <c r="E728" s="10" t="str">
        <f aca="false">INDEX(球隊主檔!$C$2:$C$31,MATCH($D728,球隊主檔!$A$2:$A$31,0))</f>
        <v>洛杉磯天使</v>
      </c>
      <c r="F728" s="10" t="str">
        <f aca="false">INDEX(球隊主檔!$D$2:$D$31,MATCH($D728,球隊主檔!$A$2:$A$31,0))</f>
        <v>美聯</v>
      </c>
      <c r="G728" s="7" t="s">
        <v>63</v>
      </c>
      <c r="H728" s="11" t="n">
        <f aca="false">INT((DATE($A728,7,1)-INDEX(球員主檔!$G$2:$G$749,MATCH($B728,球員主檔!$A$2:$A$749,0)))/365.25)</f>
        <v>25</v>
      </c>
      <c r="I728" s="12" t="n">
        <v>129</v>
      </c>
      <c r="J728" s="12" t="n">
        <v>501</v>
      </c>
      <c r="K728" s="12" t="n">
        <v>458</v>
      </c>
      <c r="L728" s="12" t="n">
        <v>51</v>
      </c>
      <c r="M728" s="12" t="n">
        <v>102</v>
      </c>
      <c r="N728" s="12" t="n">
        <v>15</v>
      </c>
      <c r="O728" s="12" t="n">
        <v>5</v>
      </c>
      <c r="P728" s="12" t="n">
        <v>14</v>
      </c>
      <c r="Q728" s="12" t="n">
        <v>50</v>
      </c>
      <c r="R728" s="12" t="n">
        <v>33</v>
      </c>
      <c r="S728" s="12" t="n">
        <v>89</v>
      </c>
      <c r="T728" s="12" t="n">
        <v>9</v>
      </c>
      <c r="U728" s="12" t="n">
        <v>1</v>
      </c>
      <c r="V728" s="12" t="n">
        <v>5</v>
      </c>
      <c r="W728" s="12" t="n">
        <v>1</v>
      </c>
      <c r="X728" s="13" t="n">
        <f aca="false">M728+N728+2*O728+3*P728</f>
        <v>169</v>
      </c>
      <c r="Y728" s="14" t="n">
        <f aca="false">IF(K728=0,0,M728/K728)</f>
        <v>0.222707423580786</v>
      </c>
      <c r="Z728" s="14" t="n">
        <f aca="false">IF(K728+R728+T728+U728=0,0,(M728+R728+T728)/(K728+R728+T728+U728))</f>
        <v>0.287425149700599</v>
      </c>
      <c r="AA728" s="14" t="n">
        <f aca="false">IF(K728=0,0,X728/K728)</f>
        <v>0.368995633187773</v>
      </c>
      <c r="AB728" s="14" t="n">
        <f aca="false">Z728+AA728</f>
        <v>0.656420782888372</v>
      </c>
      <c r="AC728" s="14" t="n">
        <f aca="false">AA728-Y728</f>
        <v>0.146288209606987</v>
      </c>
      <c r="AD728" s="14" t="n">
        <f aca="false">IF(K728-S728-P728+U728=0,0,(M728-P728)/(K728-S728-P728+U728))</f>
        <v>0.247191011235955</v>
      </c>
      <c r="AE728" s="15" t="n">
        <f aca="false">IF(J728=0,0,R728/J728)</f>
        <v>0.0658682634730539</v>
      </c>
      <c r="AF728" s="15" t="n">
        <f aca="false">IF(J728=0,0,S728/J728)</f>
        <v>0.177644710578842</v>
      </c>
      <c r="AG728" s="11" t="n">
        <f aca="false">IF(J728&gt;=INDEX(球季參數!$E$2:$E$4,MATCH($A728,球季參數!$A$2:$A$4,0)),1,0)</f>
        <v>0</v>
      </c>
    </row>
    <row r="729" customFormat="false" ht="15" hidden="false" customHeight="false" outlineLevel="0" collapsed="false">
      <c r="A729" s="5" t="n">
        <v>2026</v>
      </c>
      <c r="B729" s="7" t="s">
        <v>971</v>
      </c>
      <c r="C729" s="10" t="str">
        <f aca="false">INDEX(球員主檔!$B$2:$B$749,MATCH($B729,球員主檔!$A$2:$A$749,0))</f>
        <v>Yusuke Kestrel</v>
      </c>
      <c r="D729" s="7" t="s">
        <v>392</v>
      </c>
      <c r="E729" s="10" t="str">
        <f aca="false">INDEX(球隊主檔!$C$2:$C$31,MATCH($D729,球隊主檔!$A$2:$A$31,0))</f>
        <v>洛杉磯天使</v>
      </c>
      <c r="F729" s="10" t="str">
        <f aca="false">INDEX(球隊主檔!$D$2:$D$31,MATCH($D729,球隊主檔!$A$2:$A$31,0))</f>
        <v>美聯</v>
      </c>
      <c r="G729" s="7" t="s">
        <v>486</v>
      </c>
      <c r="H729" s="11" t="n">
        <f aca="false">INT((DATE($A729,7,1)-INDEX(球員主檔!$G$2:$G$749,MATCH($B729,球員主檔!$A$2:$A$749,0)))/365.25)</f>
        <v>30</v>
      </c>
      <c r="I729" s="12" t="n">
        <v>110</v>
      </c>
      <c r="J729" s="12" t="n">
        <v>439</v>
      </c>
      <c r="K729" s="12" t="n">
        <v>381</v>
      </c>
      <c r="L729" s="12" t="n">
        <v>50</v>
      </c>
      <c r="M729" s="12" t="n">
        <v>100</v>
      </c>
      <c r="N729" s="12" t="n">
        <v>24</v>
      </c>
      <c r="O729" s="12" t="n">
        <v>3</v>
      </c>
      <c r="P729" s="12" t="n">
        <v>8</v>
      </c>
      <c r="Q729" s="12" t="n">
        <v>41</v>
      </c>
      <c r="R729" s="12" t="n">
        <v>48</v>
      </c>
      <c r="S729" s="12" t="n">
        <v>84</v>
      </c>
      <c r="T729" s="12" t="n">
        <v>8</v>
      </c>
      <c r="U729" s="12" t="n">
        <v>2</v>
      </c>
      <c r="V729" s="12" t="n">
        <v>7</v>
      </c>
      <c r="W729" s="12" t="n">
        <v>2</v>
      </c>
      <c r="X729" s="13" t="n">
        <f aca="false">M729+N729+2*O729+3*P729</f>
        <v>154</v>
      </c>
      <c r="Y729" s="14" t="n">
        <f aca="false">IF(K729=0,0,M729/K729)</f>
        <v>0.26246719160105</v>
      </c>
      <c r="Z729" s="14" t="n">
        <f aca="false">IF(K729+R729+T729+U729=0,0,(M729+R729+T729)/(K729+R729+T729+U729))</f>
        <v>0.355353075170843</v>
      </c>
      <c r="AA729" s="14" t="n">
        <f aca="false">IF(K729=0,0,X729/K729)</f>
        <v>0.404199475065617</v>
      </c>
      <c r="AB729" s="14" t="n">
        <f aca="false">Z729+AA729</f>
        <v>0.75955255023646</v>
      </c>
      <c r="AC729" s="14" t="n">
        <f aca="false">AA729-Y729</f>
        <v>0.141732283464567</v>
      </c>
      <c r="AD729" s="14" t="n">
        <f aca="false">IF(K729-S729-P729+U729=0,0,(M729-P729)/(K729-S729-P729+U729))</f>
        <v>0.316151202749141</v>
      </c>
      <c r="AE729" s="15" t="n">
        <f aca="false">IF(J729=0,0,R729/J729)</f>
        <v>0.109339407744875</v>
      </c>
      <c r="AF729" s="15" t="n">
        <f aca="false">IF(J729=0,0,S729/J729)</f>
        <v>0.191343963553531</v>
      </c>
      <c r="AG729" s="11" t="n">
        <f aca="false">IF(J729&gt;=INDEX(球季參數!$E$2:$E$4,MATCH($A729,球季參數!$A$2:$A$4,0)),1,0)</f>
        <v>0</v>
      </c>
    </row>
    <row r="730" customFormat="false" ht="15" hidden="false" customHeight="false" outlineLevel="0" collapsed="false">
      <c r="A730" s="5" t="n">
        <v>2026</v>
      </c>
      <c r="B730" s="7" t="s">
        <v>973</v>
      </c>
      <c r="C730" s="10" t="str">
        <f aca="false">INDEX(球員主檔!$B$2:$B$749,MATCH($B730,球員主檔!$A$2:$A$749,0))</f>
        <v>Landon Prendergast</v>
      </c>
      <c r="D730" s="7" t="s">
        <v>392</v>
      </c>
      <c r="E730" s="10" t="str">
        <f aca="false">INDEX(球隊主檔!$C$2:$C$31,MATCH($D730,球隊主檔!$A$2:$A$31,0))</f>
        <v>洛杉磯天使</v>
      </c>
      <c r="F730" s="10" t="str">
        <f aca="false">INDEX(球隊主檔!$D$2:$D$31,MATCH($D730,球隊主檔!$A$2:$A$31,0))</f>
        <v>美聯</v>
      </c>
      <c r="G730" s="7" t="s">
        <v>470</v>
      </c>
      <c r="H730" s="11" t="n">
        <f aca="false">INT((DATE($A730,7,1)-INDEX(球員主檔!$G$2:$G$749,MATCH($B730,球員主檔!$A$2:$A$749,0)))/365.25)</f>
        <v>27</v>
      </c>
      <c r="I730" s="12" t="n">
        <v>45</v>
      </c>
      <c r="J730" s="12" t="n">
        <v>198</v>
      </c>
      <c r="K730" s="12" t="n">
        <v>184</v>
      </c>
      <c r="L730" s="12" t="n">
        <v>20</v>
      </c>
      <c r="M730" s="12" t="n">
        <v>42</v>
      </c>
      <c r="N730" s="12" t="n">
        <v>17</v>
      </c>
      <c r="O730" s="12" t="n">
        <v>1</v>
      </c>
      <c r="P730" s="12" t="n">
        <v>6</v>
      </c>
      <c r="Q730" s="12" t="n">
        <v>25</v>
      </c>
      <c r="R730" s="12" t="n">
        <v>12</v>
      </c>
      <c r="S730" s="12" t="n">
        <v>60</v>
      </c>
      <c r="T730" s="12" t="n">
        <v>0</v>
      </c>
      <c r="U730" s="12" t="n">
        <v>2</v>
      </c>
      <c r="V730" s="12" t="n">
        <v>6</v>
      </c>
      <c r="W730" s="12" t="n">
        <v>2</v>
      </c>
      <c r="X730" s="13" t="n">
        <f aca="false">M730+N730+2*O730+3*P730</f>
        <v>79</v>
      </c>
      <c r="Y730" s="14" t="n">
        <f aca="false">IF(K730=0,0,M730/K730)</f>
        <v>0.228260869565217</v>
      </c>
      <c r="Z730" s="14" t="n">
        <f aca="false">IF(K730+R730+T730+U730=0,0,(M730+R730+T730)/(K730+R730+T730+U730))</f>
        <v>0.272727272727273</v>
      </c>
      <c r="AA730" s="14" t="n">
        <f aca="false">IF(K730=0,0,X730/K730)</f>
        <v>0.429347826086957</v>
      </c>
      <c r="AB730" s="14" t="n">
        <f aca="false">Z730+AA730</f>
        <v>0.702075098814229</v>
      </c>
      <c r="AC730" s="14" t="n">
        <f aca="false">AA730-Y730</f>
        <v>0.201086956521739</v>
      </c>
      <c r="AD730" s="14" t="n">
        <f aca="false">IF(K730-S730-P730+U730=0,0,(M730-P730)/(K730-S730-P730+U730))</f>
        <v>0.3</v>
      </c>
      <c r="AE730" s="15" t="n">
        <f aca="false">IF(J730=0,0,R730/J730)</f>
        <v>0.0606060606060606</v>
      </c>
      <c r="AF730" s="15" t="n">
        <f aca="false">IF(J730=0,0,S730/J730)</f>
        <v>0.303030303030303</v>
      </c>
      <c r="AG730" s="11" t="n">
        <f aca="false">IF(J730&gt;=INDEX(球季參數!$E$2:$E$4,MATCH($A730,球季參數!$A$2:$A$4,0)),1,0)</f>
        <v>0</v>
      </c>
    </row>
    <row r="731" customFormat="false" ht="15" hidden="false" customHeight="false" outlineLevel="0" collapsed="false">
      <c r="A731" s="5" t="n">
        <v>2026</v>
      </c>
      <c r="B731" s="7" t="s">
        <v>975</v>
      </c>
      <c r="C731" s="10" t="str">
        <f aca="false">INDEX(球員主檔!$B$2:$B$749,MATCH($B731,球員主檔!$A$2:$A$749,0))</f>
        <v>Dorian Novotný</v>
      </c>
      <c r="D731" s="7" t="s">
        <v>392</v>
      </c>
      <c r="E731" s="10" t="str">
        <f aca="false">INDEX(球隊主檔!$C$2:$C$31,MATCH($D731,球隊主檔!$A$2:$A$31,0))</f>
        <v>洛杉磯天使</v>
      </c>
      <c r="F731" s="10" t="str">
        <f aca="false">INDEX(球隊主檔!$D$2:$D$31,MATCH($D731,球隊主檔!$A$2:$A$31,0))</f>
        <v>美聯</v>
      </c>
      <c r="G731" s="7" t="s">
        <v>478</v>
      </c>
      <c r="H731" s="11" t="n">
        <f aca="false">INT((DATE($A731,7,1)-INDEX(球員主檔!$G$2:$G$749,MATCH($B731,球員主檔!$A$2:$A$749,0)))/365.25)</f>
        <v>27</v>
      </c>
      <c r="I731" s="12" t="n">
        <v>41</v>
      </c>
      <c r="J731" s="12" t="n">
        <v>184</v>
      </c>
      <c r="K731" s="12" t="n">
        <v>162</v>
      </c>
      <c r="L731" s="12" t="n">
        <v>24</v>
      </c>
      <c r="M731" s="12" t="n">
        <v>43</v>
      </c>
      <c r="N731" s="12" t="n">
        <v>12</v>
      </c>
      <c r="O731" s="12" t="n">
        <v>7</v>
      </c>
      <c r="P731" s="12" t="n">
        <v>5</v>
      </c>
      <c r="Q731" s="12" t="n">
        <v>20</v>
      </c>
      <c r="R731" s="12" t="n">
        <v>20</v>
      </c>
      <c r="S731" s="12" t="n">
        <v>25</v>
      </c>
      <c r="T731" s="12" t="n">
        <v>1</v>
      </c>
      <c r="U731" s="12" t="n">
        <v>1</v>
      </c>
      <c r="V731" s="12" t="n">
        <v>7</v>
      </c>
      <c r="W731" s="12" t="n">
        <v>1</v>
      </c>
      <c r="X731" s="13" t="n">
        <f aca="false">M731+N731+2*O731+3*P731</f>
        <v>84</v>
      </c>
      <c r="Y731" s="14" t="n">
        <f aca="false">IF(K731=0,0,M731/K731)</f>
        <v>0.265432098765432</v>
      </c>
      <c r="Z731" s="14" t="n">
        <f aca="false">IF(K731+R731+T731+U731=0,0,(M731+R731+T731)/(K731+R731+T731+U731))</f>
        <v>0.347826086956522</v>
      </c>
      <c r="AA731" s="14" t="n">
        <f aca="false">IF(K731=0,0,X731/K731)</f>
        <v>0.518518518518519</v>
      </c>
      <c r="AB731" s="14" t="n">
        <f aca="false">Z731+AA731</f>
        <v>0.86634460547504</v>
      </c>
      <c r="AC731" s="14" t="n">
        <f aca="false">AA731-Y731</f>
        <v>0.253086419753086</v>
      </c>
      <c r="AD731" s="14" t="n">
        <f aca="false">IF(K731-S731-P731+U731=0,0,(M731-P731)/(K731-S731-P731+U731))</f>
        <v>0.285714285714286</v>
      </c>
      <c r="AE731" s="15" t="n">
        <f aca="false">IF(J731=0,0,R731/J731)</f>
        <v>0.108695652173913</v>
      </c>
      <c r="AF731" s="15" t="n">
        <f aca="false">IF(J731=0,0,S731/J731)</f>
        <v>0.135869565217391</v>
      </c>
      <c r="AG731" s="11" t="n">
        <f aca="false">IF(J731&gt;=INDEX(球季參數!$E$2:$E$4,MATCH($A731,球季參數!$A$2:$A$4,0)),1,0)</f>
        <v>0</v>
      </c>
    </row>
    <row r="732" customFormat="false" ht="15" hidden="false" customHeight="false" outlineLevel="0" collapsed="false">
      <c r="A732" s="5" t="n">
        <v>2026</v>
      </c>
      <c r="B732" s="7" t="s">
        <v>997</v>
      </c>
      <c r="C732" s="10" t="str">
        <f aca="false">INDEX(球員主檔!$B$2:$B$749,MATCH($B732,球員主檔!$A$2:$A$749,0))</f>
        <v>Ulises Zamarripa</v>
      </c>
      <c r="D732" s="7" t="s">
        <v>396</v>
      </c>
      <c r="E732" s="10" t="str">
        <f aca="false">INDEX(球隊主檔!$C$2:$C$31,MATCH($D732,球隊主檔!$A$2:$A$31,0))</f>
        <v>西雅圖水手</v>
      </c>
      <c r="F732" s="10" t="str">
        <f aca="false">INDEX(球隊主檔!$D$2:$D$31,MATCH($D732,球隊主檔!$A$2:$A$31,0))</f>
        <v>美聯</v>
      </c>
      <c r="G732" s="7" t="s">
        <v>522</v>
      </c>
      <c r="H732" s="11" t="n">
        <f aca="false">INT((DATE($A732,7,1)-INDEX(球員主檔!$G$2:$G$749,MATCH($B732,球員主檔!$A$2:$A$749,0)))/365.25)</f>
        <v>28</v>
      </c>
      <c r="I732" s="12" t="n">
        <v>138</v>
      </c>
      <c r="J732" s="12" t="n">
        <v>591</v>
      </c>
      <c r="K732" s="12" t="n">
        <v>524</v>
      </c>
      <c r="L732" s="12" t="n">
        <v>69</v>
      </c>
      <c r="M732" s="12" t="n">
        <v>142</v>
      </c>
      <c r="N732" s="12" t="n">
        <v>38</v>
      </c>
      <c r="O732" s="12" t="n">
        <v>7</v>
      </c>
      <c r="P732" s="12" t="n">
        <v>24</v>
      </c>
      <c r="Q732" s="12" t="n">
        <v>82</v>
      </c>
      <c r="R732" s="12" t="n">
        <v>53</v>
      </c>
      <c r="S732" s="12" t="n">
        <v>147</v>
      </c>
      <c r="T732" s="12" t="n">
        <v>8</v>
      </c>
      <c r="U732" s="12" t="n">
        <v>6</v>
      </c>
      <c r="V732" s="12" t="n">
        <v>18</v>
      </c>
      <c r="W732" s="12" t="n">
        <v>3</v>
      </c>
      <c r="X732" s="13" t="n">
        <f aca="false">M732+N732+2*O732+3*P732</f>
        <v>266</v>
      </c>
      <c r="Y732" s="14" t="n">
        <f aca="false">IF(K732=0,0,M732/K732)</f>
        <v>0.270992366412214</v>
      </c>
      <c r="Z732" s="14" t="n">
        <f aca="false">IF(K732+R732+T732+U732=0,0,(M732+R732+T732)/(K732+R732+T732+U732))</f>
        <v>0.343485617597293</v>
      </c>
      <c r="AA732" s="14" t="n">
        <f aca="false">IF(K732=0,0,X732/K732)</f>
        <v>0.50763358778626</v>
      </c>
      <c r="AB732" s="14" t="n">
        <f aca="false">Z732+AA732</f>
        <v>0.851119205383552</v>
      </c>
      <c r="AC732" s="14" t="n">
        <f aca="false">AA732-Y732</f>
        <v>0.236641221374046</v>
      </c>
      <c r="AD732" s="14" t="n">
        <f aca="false">IF(K732-S732-P732+U732=0,0,(M732-P732)/(K732-S732-P732+U732))</f>
        <v>0.328690807799443</v>
      </c>
      <c r="AE732" s="15" t="n">
        <f aca="false">IF(J732=0,0,R732/J732)</f>
        <v>0.089678510998308</v>
      </c>
      <c r="AF732" s="15" t="n">
        <f aca="false">IF(J732=0,0,S732/J732)</f>
        <v>0.248730964467005</v>
      </c>
      <c r="AG732" s="11" t="n">
        <f aca="false">IF(J732&gt;=INDEX(球季參數!$E$2:$E$4,MATCH($A732,球季參數!$A$2:$A$4,0)),1,0)</f>
        <v>1</v>
      </c>
    </row>
    <row r="733" customFormat="false" ht="15" hidden="false" customHeight="false" outlineLevel="0" collapsed="false">
      <c r="A733" s="5" t="n">
        <v>2026</v>
      </c>
      <c r="B733" s="7" t="s">
        <v>999</v>
      </c>
      <c r="C733" s="10" t="str">
        <f aca="false">INDEX(球員主檔!$B$2:$B$749,MATCH($B733,球員主檔!$A$2:$A$749,0))</f>
        <v>Dashiell Ferreira</v>
      </c>
      <c r="D733" s="7" t="s">
        <v>396</v>
      </c>
      <c r="E733" s="10" t="str">
        <f aca="false">INDEX(球隊主檔!$C$2:$C$31,MATCH($D733,球隊主檔!$A$2:$A$31,0))</f>
        <v>西雅圖水手</v>
      </c>
      <c r="F733" s="10" t="str">
        <f aca="false">INDEX(球隊主檔!$D$2:$D$31,MATCH($D733,球隊主檔!$A$2:$A$31,0))</f>
        <v>美聯</v>
      </c>
      <c r="G733" s="7" t="s">
        <v>158</v>
      </c>
      <c r="H733" s="11" t="n">
        <f aca="false">INT((DATE($A733,7,1)-INDEX(球員主檔!$G$2:$G$749,MATCH($B733,球員主檔!$A$2:$A$749,0)))/365.25)</f>
        <v>29</v>
      </c>
      <c r="I733" s="12" t="n">
        <v>154</v>
      </c>
      <c r="J733" s="12" t="n">
        <v>659</v>
      </c>
      <c r="K733" s="12" t="n">
        <v>633</v>
      </c>
      <c r="L733" s="12" t="n">
        <v>75</v>
      </c>
      <c r="M733" s="12" t="n">
        <v>169</v>
      </c>
      <c r="N733" s="12" t="n">
        <v>36</v>
      </c>
      <c r="O733" s="12" t="n">
        <v>2</v>
      </c>
      <c r="P733" s="12" t="n">
        <v>19</v>
      </c>
      <c r="Q733" s="12" t="n">
        <v>67</v>
      </c>
      <c r="R733" s="12" t="n">
        <v>21</v>
      </c>
      <c r="S733" s="12" t="n">
        <v>151</v>
      </c>
      <c r="T733" s="12" t="n">
        <v>3</v>
      </c>
      <c r="U733" s="12" t="n">
        <v>2</v>
      </c>
      <c r="V733" s="12" t="n">
        <v>35</v>
      </c>
      <c r="W733" s="12" t="n">
        <v>4</v>
      </c>
      <c r="X733" s="13" t="n">
        <f aca="false">M733+N733+2*O733+3*P733</f>
        <v>266</v>
      </c>
      <c r="Y733" s="14" t="n">
        <f aca="false">IF(K733=0,0,M733/K733)</f>
        <v>0.266982622432859</v>
      </c>
      <c r="Z733" s="14" t="n">
        <f aca="false">IF(K733+R733+T733+U733=0,0,(M733+R733+T733)/(K733+R733+T733+U733))</f>
        <v>0.292867981790592</v>
      </c>
      <c r="AA733" s="14" t="n">
        <f aca="false">IF(K733=0,0,X733/K733)</f>
        <v>0.420221169036335</v>
      </c>
      <c r="AB733" s="14" t="n">
        <f aca="false">Z733+AA733</f>
        <v>0.713089150826927</v>
      </c>
      <c r="AC733" s="14" t="n">
        <f aca="false">AA733-Y733</f>
        <v>0.153238546603476</v>
      </c>
      <c r="AD733" s="14" t="n">
        <f aca="false">IF(K733-S733-P733+U733=0,0,(M733-P733)/(K733-S733-P733+U733))</f>
        <v>0.32258064516129</v>
      </c>
      <c r="AE733" s="15" t="n">
        <f aca="false">IF(J733=0,0,R733/J733)</f>
        <v>0.031866464339909</v>
      </c>
      <c r="AF733" s="15" t="n">
        <f aca="false">IF(J733=0,0,S733/J733)</f>
        <v>0.229135053110774</v>
      </c>
      <c r="AG733" s="11" t="n">
        <f aca="false">IF(J733&gt;=INDEX(球季參數!$E$2:$E$4,MATCH($A733,球季參數!$A$2:$A$4,0)),1,0)</f>
        <v>1</v>
      </c>
    </row>
    <row r="734" customFormat="false" ht="15" hidden="false" customHeight="false" outlineLevel="0" collapsed="false">
      <c r="A734" s="5" t="n">
        <v>2026</v>
      </c>
      <c r="B734" s="7" t="s">
        <v>1893</v>
      </c>
      <c r="C734" s="10" t="str">
        <f aca="false">INDEX(球員主檔!$B$2:$B$749,MATCH($B734,球員主檔!$A$2:$A$749,0))</f>
        <v>Rhett Delacroix</v>
      </c>
      <c r="D734" s="7" t="s">
        <v>396</v>
      </c>
      <c r="E734" s="10" t="str">
        <f aca="false">INDEX(球隊主檔!$C$2:$C$31,MATCH($D734,球隊主檔!$A$2:$A$31,0))</f>
        <v>西雅圖水手</v>
      </c>
      <c r="F734" s="10" t="str">
        <f aca="false">INDEX(球隊主檔!$D$2:$D$31,MATCH($D734,球隊主檔!$A$2:$A$31,0))</f>
        <v>美聯</v>
      </c>
      <c r="G734" s="7" t="s">
        <v>522</v>
      </c>
      <c r="H734" s="11" t="n">
        <f aca="false">INT((DATE($A734,7,1)-INDEX(球員主檔!$G$2:$G$749,MATCH($B734,球員主檔!$A$2:$A$749,0)))/365.25)</f>
        <v>24</v>
      </c>
      <c r="I734" s="12" t="n">
        <v>142</v>
      </c>
      <c r="J734" s="12" t="n">
        <v>571</v>
      </c>
      <c r="K734" s="12" t="n">
        <v>519</v>
      </c>
      <c r="L734" s="12" t="n">
        <v>53</v>
      </c>
      <c r="M734" s="12" t="n">
        <v>118</v>
      </c>
      <c r="N734" s="12" t="n">
        <v>15</v>
      </c>
      <c r="O734" s="12" t="n">
        <v>5</v>
      </c>
      <c r="P734" s="12" t="n">
        <v>8</v>
      </c>
      <c r="Q734" s="12" t="n">
        <v>43</v>
      </c>
      <c r="R734" s="12" t="n">
        <v>42</v>
      </c>
      <c r="S734" s="12" t="n">
        <v>133</v>
      </c>
      <c r="T734" s="12" t="n">
        <v>5</v>
      </c>
      <c r="U734" s="12" t="n">
        <v>5</v>
      </c>
      <c r="V734" s="12" t="n">
        <v>16</v>
      </c>
      <c r="W734" s="12" t="n">
        <v>2</v>
      </c>
      <c r="X734" s="13" t="n">
        <f aca="false">M734+N734+2*O734+3*P734</f>
        <v>167</v>
      </c>
      <c r="Y734" s="14" t="n">
        <f aca="false">IF(K734=0,0,M734/K734)</f>
        <v>0.227360308285164</v>
      </c>
      <c r="Z734" s="14" t="n">
        <f aca="false">IF(K734+R734+T734+U734=0,0,(M734+R734+T734)/(K734+R734+T734+U734))</f>
        <v>0.288966725043783</v>
      </c>
      <c r="AA734" s="14" t="n">
        <f aca="false">IF(K734=0,0,X734/K734)</f>
        <v>0.321772639691715</v>
      </c>
      <c r="AB734" s="14" t="n">
        <f aca="false">Z734+AA734</f>
        <v>0.610739364735498</v>
      </c>
      <c r="AC734" s="14" t="n">
        <f aca="false">AA734-Y734</f>
        <v>0.0944123314065511</v>
      </c>
      <c r="AD734" s="14" t="n">
        <f aca="false">IF(K734-S734-P734+U734=0,0,(M734-P734)/(K734-S734-P734+U734))</f>
        <v>0.287206266318538</v>
      </c>
      <c r="AE734" s="15" t="n">
        <f aca="false">IF(J734=0,0,R734/J734)</f>
        <v>0.0735551663747811</v>
      </c>
      <c r="AF734" s="15" t="n">
        <f aca="false">IF(J734=0,0,S734/J734)</f>
        <v>0.23292469352014</v>
      </c>
      <c r="AG734" s="11" t="n">
        <f aca="false">IF(J734&gt;=INDEX(球季參數!$E$2:$E$4,MATCH($A734,球季參數!$A$2:$A$4,0)),1,0)</f>
        <v>1</v>
      </c>
    </row>
    <row r="735" customFormat="false" ht="15" hidden="false" customHeight="false" outlineLevel="0" collapsed="false">
      <c r="A735" s="5" t="n">
        <v>2026</v>
      </c>
      <c r="B735" s="7" t="s">
        <v>1003</v>
      </c>
      <c r="C735" s="10" t="str">
        <f aca="false">INDEX(球員主檔!$B$2:$B$749,MATCH($B735,球員主檔!$A$2:$A$749,0))</f>
        <v>Desmond Wexford</v>
      </c>
      <c r="D735" s="7" t="s">
        <v>396</v>
      </c>
      <c r="E735" s="10" t="str">
        <f aca="false">INDEX(球隊主檔!$C$2:$C$31,MATCH($D735,球隊主檔!$A$2:$A$31,0))</f>
        <v>西雅圖水手</v>
      </c>
      <c r="F735" s="10" t="str">
        <f aca="false">INDEX(球隊主檔!$D$2:$D$31,MATCH($D735,球隊主檔!$A$2:$A$31,0))</f>
        <v>美聯</v>
      </c>
      <c r="G735" s="7" t="s">
        <v>470</v>
      </c>
      <c r="H735" s="11" t="n">
        <f aca="false">INT((DATE($A735,7,1)-INDEX(球員主檔!$G$2:$G$749,MATCH($B735,球員主檔!$A$2:$A$749,0)))/365.25)</f>
        <v>29</v>
      </c>
      <c r="I735" s="12" t="n">
        <v>69</v>
      </c>
      <c r="J735" s="12" t="n">
        <v>280</v>
      </c>
      <c r="K735" s="12" t="n">
        <v>254</v>
      </c>
      <c r="L735" s="12" t="n">
        <v>30</v>
      </c>
      <c r="M735" s="12" t="n">
        <v>59</v>
      </c>
      <c r="N735" s="12" t="n">
        <v>17</v>
      </c>
      <c r="O735" s="12" t="n">
        <v>5</v>
      </c>
      <c r="P735" s="12" t="n">
        <v>10</v>
      </c>
      <c r="Q735" s="12" t="n">
        <v>29</v>
      </c>
      <c r="R735" s="12" t="n">
        <v>23</v>
      </c>
      <c r="S735" s="12" t="n">
        <v>85</v>
      </c>
      <c r="T735" s="12" t="n">
        <v>2</v>
      </c>
      <c r="U735" s="12" t="n">
        <v>1</v>
      </c>
      <c r="V735" s="12" t="n">
        <v>12</v>
      </c>
      <c r="W735" s="12" t="n">
        <v>2</v>
      </c>
      <c r="X735" s="13" t="n">
        <f aca="false">M735+N735+2*O735+3*P735</f>
        <v>116</v>
      </c>
      <c r="Y735" s="14" t="n">
        <f aca="false">IF(K735=0,0,M735/K735)</f>
        <v>0.232283464566929</v>
      </c>
      <c r="Z735" s="14" t="n">
        <f aca="false">IF(K735+R735+T735+U735=0,0,(M735+R735+T735)/(K735+R735+T735+U735))</f>
        <v>0.3</v>
      </c>
      <c r="AA735" s="14" t="n">
        <f aca="false">IF(K735=0,0,X735/K735)</f>
        <v>0.456692913385827</v>
      </c>
      <c r="AB735" s="14" t="n">
        <f aca="false">Z735+AA735</f>
        <v>0.756692913385827</v>
      </c>
      <c r="AC735" s="14" t="n">
        <f aca="false">AA735-Y735</f>
        <v>0.224409448818898</v>
      </c>
      <c r="AD735" s="14" t="n">
        <f aca="false">IF(K735-S735-P735+U735=0,0,(M735-P735)/(K735-S735-P735+U735))</f>
        <v>0.30625</v>
      </c>
      <c r="AE735" s="15" t="n">
        <f aca="false">IF(J735=0,0,R735/J735)</f>
        <v>0.0821428571428571</v>
      </c>
      <c r="AF735" s="15" t="n">
        <f aca="false">IF(J735=0,0,S735/J735)</f>
        <v>0.303571428571429</v>
      </c>
      <c r="AG735" s="11" t="n">
        <f aca="false">IF(J735&gt;=INDEX(球季參數!$E$2:$E$4,MATCH($A735,球季參數!$A$2:$A$4,0)),1,0)</f>
        <v>0</v>
      </c>
    </row>
    <row r="736" customFormat="false" ht="15" hidden="false" customHeight="false" outlineLevel="0" collapsed="false">
      <c r="A736" s="5" t="n">
        <v>2026</v>
      </c>
      <c r="B736" s="7" t="s">
        <v>883</v>
      </c>
      <c r="C736" s="10" t="str">
        <f aca="false">INDEX(球員主檔!$B$2:$B$749,MATCH($B736,球員主檔!$A$2:$A$749,0))</f>
        <v>Cassius Ibarra</v>
      </c>
      <c r="D736" s="7" t="s">
        <v>396</v>
      </c>
      <c r="E736" s="10" t="str">
        <f aca="false">INDEX(球隊主檔!$C$2:$C$31,MATCH($D736,球隊主檔!$A$2:$A$31,0))</f>
        <v>西雅圖水手</v>
      </c>
      <c r="F736" s="10" t="str">
        <f aca="false">INDEX(球隊主檔!$D$2:$D$31,MATCH($D736,球隊主檔!$A$2:$A$31,0))</f>
        <v>美聯</v>
      </c>
      <c r="G736" s="7" t="s">
        <v>470</v>
      </c>
      <c r="H736" s="11" t="n">
        <f aca="false">INT((DATE($A736,7,1)-INDEX(球員主檔!$G$2:$G$749,MATCH($B736,球員主檔!$A$2:$A$749,0)))/365.25)</f>
        <v>28</v>
      </c>
      <c r="I736" s="12" t="n">
        <v>150</v>
      </c>
      <c r="J736" s="12" t="n">
        <v>633</v>
      </c>
      <c r="K736" s="12" t="n">
        <v>542</v>
      </c>
      <c r="L736" s="12" t="n">
        <v>85</v>
      </c>
      <c r="M736" s="12" t="n">
        <v>120</v>
      </c>
      <c r="N736" s="12" t="n">
        <v>19</v>
      </c>
      <c r="O736" s="12" t="n">
        <v>5</v>
      </c>
      <c r="P736" s="12" t="n">
        <v>35</v>
      </c>
      <c r="Q736" s="12" t="n">
        <v>96</v>
      </c>
      <c r="R736" s="12" t="n">
        <v>80</v>
      </c>
      <c r="S736" s="12" t="n">
        <v>167</v>
      </c>
      <c r="T736" s="12" t="n">
        <v>4</v>
      </c>
      <c r="U736" s="12" t="n">
        <v>7</v>
      </c>
      <c r="V736" s="12" t="n">
        <v>14</v>
      </c>
      <c r="W736" s="12" t="n">
        <v>3</v>
      </c>
      <c r="X736" s="13" t="n">
        <f aca="false">M736+N736+2*O736+3*P736</f>
        <v>254</v>
      </c>
      <c r="Y736" s="14" t="n">
        <f aca="false">IF(K736=0,0,M736/K736)</f>
        <v>0.22140221402214</v>
      </c>
      <c r="Z736" s="14" t="n">
        <f aca="false">IF(K736+R736+T736+U736=0,0,(M736+R736+T736)/(K736+R736+T736+U736))</f>
        <v>0.322274881516588</v>
      </c>
      <c r="AA736" s="14" t="n">
        <f aca="false">IF(K736=0,0,X736/K736)</f>
        <v>0.468634686346863</v>
      </c>
      <c r="AB736" s="14" t="n">
        <f aca="false">Z736+AA736</f>
        <v>0.790909567863451</v>
      </c>
      <c r="AC736" s="14" t="n">
        <f aca="false">AA736-Y736</f>
        <v>0.247232472324723</v>
      </c>
      <c r="AD736" s="14" t="n">
        <f aca="false">IF(K736-S736-P736+U736=0,0,(M736-P736)/(K736-S736-P736+U736))</f>
        <v>0.244956772334294</v>
      </c>
      <c r="AE736" s="15" t="n">
        <f aca="false">IF(J736=0,0,R736/J736)</f>
        <v>0.126382306477093</v>
      </c>
      <c r="AF736" s="15" t="n">
        <f aca="false">IF(J736=0,0,S736/J736)</f>
        <v>0.263823064770932</v>
      </c>
      <c r="AG736" s="11" t="n">
        <f aca="false">IF(J736&gt;=INDEX(球季參數!$E$2:$E$4,MATCH($A736,球季參數!$A$2:$A$4,0)),1,0)</f>
        <v>1</v>
      </c>
    </row>
    <row r="737" customFormat="false" ht="15" hidden="false" customHeight="false" outlineLevel="0" collapsed="false">
      <c r="A737" s="5" t="n">
        <v>2026</v>
      </c>
      <c r="B737" s="7" t="s">
        <v>1007</v>
      </c>
      <c r="C737" s="10" t="str">
        <f aca="false">INDEX(球員主檔!$B$2:$B$749,MATCH($B737,球員主檔!$A$2:$A$749,0))</f>
        <v>Marcus Tanabe</v>
      </c>
      <c r="D737" s="7" t="s">
        <v>396</v>
      </c>
      <c r="E737" s="10" t="str">
        <f aca="false">INDEX(球隊主檔!$C$2:$C$31,MATCH($D737,球隊主檔!$A$2:$A$31,0))</f>
        <v>西雅圖水手</v>
      </c>
      <c r="F737" s="10" t="str">
        <f aca="false">INDEX(球隊主檔!$D$2:$D$31,MATCH($D737,球隊主檔!$A$2:$A$31,0))</f>
        <v>美聯</v>
      </c>
      <c r="G737" s="7" t="s">
        <v>63</v>
      </c>
      <c r="H737" s="11" t="n">
        <f aca="false">INT((DATE($A737,7,1)-INDEX(球員主檔!$G$2:$G$749,MATCH($B737,球員主檔!$A$2:$A$749,0)))/365.25)</f>
        <v>28</v>
      </c>
      <c r="I737" s="12" t="n">
        <v>126</v>
      </c>
      <c r="J737" s="12" t="n">
        <v>503</v>
      </c>
      <c r="K737" s="12" t="n">
        <v>450</v>
      </c>
      <c r="L737" s="12" t="n">
        <v>60</v>
      </c>
      <c r="M737" s="12" t="n">
        <v>121</v>
      </c>
      <c r="N737" s="12" t="n">
        <v>25</v>
      </c>
      <c r="O737" s="12" t="n">
        <v>3</v>
      </c>
      <c r="P737" s="12" t="n">
        <v>19</v>
      </c>
      <c r="Q737" s="12" t="n">
        <v>68</v>
      </c>
      <c r="R737" s="12" t="n">
        <v>40</v>
      </c>
      <c r="S737" s="12" t="n">
        <v>154</v>
      </c>
      <c r="T737" s="12" t="n">
        <v>9</v>
      </c>
      <c r="U737" s="12" t="n">
        <v>4</v>
      </c>
      <c r="V737" s="12" t="n">
        <v>5</v>
      </c>
      <c r="W737" s="12" t="n">
        <v>2</v>
      </c>
      <c r="X737" s="13" t="n">
        <f aca="false">M737+N737+2*O737+3*P737</f>
        <v>209</v>
      </c>
      <c r="Y737" s="14" t="n">
        <f aca="false">IF(K737=0,0,M737/K737)</f>
        <v>0.268888888888889</v>
      </c>
      <c r="Z737" s="14" t="n">
        <f aca="false">IF(K737+R737+T737+U737=0,0,(M737+R737+T737)/(K737+R737+T737+U737))</f>
        <v>0.337972166998012</v>
      </c>
      <c r="AA737" s="14" t="n">
        <f aca="false">IF(K737=0,0,X737/K737)</f>
        <v>0.464444444444444</v>
      </c>
      <c r="AB737" s="14" t="n">
        <f aca="false">Z737+AA737</f>
        <v>0.802416611442456</v>
      </c>
      <c r="AC737" s="14" t="n">
        <f aca="false">AA737-Y737</f>
        <v>0.195555555555556</v>
      </c>
      <c r="AD737" s="14" t="n">
        <f aca="false">IF(K737-S737-P737+U737=0,0,(M737-P737)/(K737-S737-P737+U737))</f>
        <v>0.362989323843416</v>
      </c>
      <c r="AE737" s="15" t="n">
        <f aca="false">IF(J737=0,0,R737/J737)</f>
        <v>0.0795228628230616</v>
      </c>
      <c r="AF737" s="15" t="n">
        <f aca="false">IF(J737=0,0,S737/J737)</f>
        <v>0.306163021868787</v>
      </c>
      <c r="AG737" s="11" t="n">
        <f aca="false">IF(J737&gt;=INDEX(球季參數!$E$2:$E$4,MATCH($A737,球季參數!$A$2:$A$4,0)),1,0)</f>
        <v>1</v>
      </c>
    </row>
    <row r="738" customFormat="false" ht="15" hidden="false" customHeight="false" outlineLevel="0" collapsed="false">
      <c r="A738" s="5" t="n">
        <v>2026</v>
      </c>
      <c r="B738" s="7" t="s">
        <v>1009</v>
      </c>
      <c r="C738" s="10" t="str">
        <f aca="false">INDEX(球員主檔!$B$2:$B$749,MATCH($B738,球員主檔!$A$2:$A$749,0))</f>
        <v>Mateo Eberhardt</v>
      </c>
      <c r="D738" s="7" t="s">
        <v>396</v>
      </c>
      <c r="E738" s="10" t="str">
        <f aca="false">INDEX(球隊主檔!$C$2:$C$31,MATCH($D738,球隊主檔!$A$2:$A$31,0))</f>
        <v>西雅圖水手</v>
      </c>
      <c r="F738" s="10" t="str">
        <f aca="false">INDEX(球隊主檔!$D$2:$D$31,MATCH($D738,球隊主檔!$A$2:$A$31,0))</f>
        <v>美聯</v>
      </c>
      <c r="G738" s="7" t="s">
        <v>483</v>
      </c>
      <c r="H738" s="11" t="n">
        <f aca="false">INT((DATE($A738,7,1)-INDEX(球員主檔!$G$2:$G$749,MATCH($B738,球員主檔!$A$2:$A$749,0)))/365.25)</f>
        <v>27</v>
      </c>
      <c r="I738" s="12" t="n">
        <v>84</v>
      </c>
      <c r="J738" s="12" t="n">
        <v>367</v>
      </c>
      <c r="K738" s="12" t="n">
        <v>341</v>
      </c>
      <c r="L738" s="12" t="n">
        <v>48</v>
      </c>
      <c r="M738" s="12" t="n">
        <v>97</v>
      </c>
      <c r="N738" s="12" t="n">
        <v>38</v>
      </c>
      <c r="O738" s="12" t="n">
        <v>1</v>
      </c>
      <c r="P738" s="12" t="n">
        <v>12</v>
      </c>
      <c r="Q738" s="12" t="n">
        <v>49</v>
      </c>
      <c r="R738" s="12" t="n">
        <v>17</v>
      </c>
      <c r="S738" s="12" t="n">
        <v>62</v>
      </c>
      <c r="T738" s="12" t="n">
        <v>5</v>
      </c>
      <c r="U738" s="12" t="n">
        <v>4</v>
      </c>
      <c r="V738" s="12" t="n">
        <v>27</v>
      </c>
      <c r="W738" s="12" t="n">
        <v>5</v>
      </c>
      <c r="X738" s="13" t="n">
        <f aca="false">M738+N738+2*O738+3*P738</f>
        <v>173</v>
      </c>
      <c r="Y738" s="14" t="n">
        <f aca="false">IF(K738=0,0,M738/K738)</f>
        <v>0.284457478005865</v>
      </c>
      <c r="Z738" s="14" t="n">
        <f aca="false">IF(K738+R738+T738+U738=0,0,(M738+R738+T738)/(K738+R738+T738+U738))</f>
        <v>0.32425068119891</v>
      </c>
      <c r="AA738" s="14" t="n">
        <f aca="false">IF(K738=0,0,X738/K738)</f>
        <v>0.50733137829912</v>
      </c>
      <c r="AB738" s="14" t="n">
        <f aca="false">Z738+AA738</f>
        <v>0.83158205949803</v>
      </c>
      <c r="AC738" s="14" t="n">
        <f aca="false">AA738-Y738</f>
        <v>0.222873900293255</v>
      </c>
      <c r="AD738" s="14" t="n">
        <f aca="false">IF(K738-S738-P738+U738=0,0,(M738-P738)/(K738-S738-P738+U738))</f>
        <v>0.313653136531365</v>
      </c>
      <c r="AE738" s="15" t="n">
        <f aca="false">IF(J738=0,0,R738/J738)</f>
        <v>0.0463215258855586</v>
      </c>
      <c r="AF738" s="15" t="n">
        <f aca="false">IF(J738=0,0,S738/J738)</f>
        <v>0.168937329700272</v>
      </c>
      <c r="AG738" s="11" t="n">
        <f aca="false">IF(J738&gt;=INDEX(球季參數!$E$2:$E$4,MATCH($A738,球季參數!$A$2:$A$4,0)),1,0)</f>
        <v>0</v>
      </c>
    </row>
    <row r="739" customFormat="false" ht="15" hidden="false" customHeight="false" outlineLevel="0" collapsed="false">
      <c r="A739" s="5" t="n">
        <v>2026</v>
      </c>
      <c r="B739" s="7" t="s">
        <v>1211</v>
      </c>
      <c r="C739" s="10" t="str">
        <f aca="false">INDEX(球員主檔!$B$2:$B$749,MATCH($B739,球員主檔!$A$2:$A$749,0))</f>
        <v>Osvaldo Brightwell</v>
      </c>
      <c r="D739" s="7" t="s">
        <v>396</v>
      </c>
      <c r="E739" s="10" t="str">
        <f aca="false">INDEX(球隊主檔!$C$2:$C$31,MATCH($D739,球隊主檔!$A$2:$A$31,0))</f>
        <v>西雅圖水手</v>
      </c>
      <c r="F739" s="10" t="str">
        <f aca="false">INDEX(球隊主檔!$D$2:$D$31,MATCH($D739,球隊主檔!$A$2:$A$31,0))</f>
        <v>美聯</v>
      </c>
      <c r="G739" s="7" t="s">
        <v>473</v>
      </c>
      <c r="H739" s="11" t="n">
        <f aca="false">INT((DATE($A739,7,1)-INDEX(球員主檔!$G$2:$G$749,MATCH($B739,球員主檔!$A$2:$A$749,0)))/365.25)</f>
        <v>30</v>
      </c>
      <c r="I739" s="12" t="n">
        <v>125</v>
      </c>
      <c r="J739" s="12" t="n">
        <v>545</v>
      </c>
      <c r="K739" s="12" t="n">
        <v>510</v>
      </c>
      <c r="L739" s="12" t="n">
        <v>50</v>
      </c>
      <c r="M739" s="12" t="n">
        <v>122</v>
      </c>
      <c r="N739" s="12" t="n">
        <v>20</v>
      </c>
      <c r="O739" s="12" t="n">
        <v>7</v>
      </c>
      <c r="P739" s="12" t="n">
        <v>9</v>
      </c>
      <c r="Q739" s="12" t="n">
        <v>41</v>
      </c>
      <c r="R739" s="12" t="n">
        <v>21</v>
      </c>
      <c r="S739" s="12" t="n">
        <v>135</v>
      </c>
      <c r="T739" s="12" t="n">
        <v>9</v>
      </c>
      <c r="U739" s="12" t="n">
        <v>5</v>
      </c>
      <c r="V739" s="12" t="n">
        <v>19</v>
      </c>
      <c r="W739" s="12" t="n">
        <v>3</v>
      </c>
      <c r="X739" s="13" t="n">
        <f aca="false">M739+N739+2*O739+3*P739</f>
        <v>183</v>
      </c>
      <c r="Y739" s="14" t="n">
        <f aca="false">IF(K739=0,0,M739/K739)</f>
        <v>0.23921568627451</v>
      </c>
      <c r="Z739" s="14" t="n">
        <f aca="false">IF(K739+R739+T739+U739=0,0,(M739+R739+T739)/(K739+R739+T739+U739))</f>
        <v>0.278899082568807</v>
      </c>
      <c r="AA739" s="14" t="n">
        <f aca="false">IF(K739=0,0,X739/K739)</f>
        <v>0.358823529411765</v>
      </c>
      <c r="AB739" s="14" t="n">
        <f aca="false">Z739+AA739</f>
        <v>0.637722611980572</v>
      </c>
      <c r="AC739" s="14" t="n">
        <f aca="false">AA739-Y739</f>
        <v>0.119607843137255</v>
      </c>
      <c r="AD739" s="14" t="n">
        <f aca="false">IF(K739-S739-P739+U739=0,0,(M739-P739)/(K739-S739-P739+U739))</f>
        <v>0.304582210242588</v>
      </c>
      <c r="AE739" s="15" t="n">
        <f aca="false">IF(J739=0,0,R739/J739)</f>
        <v>0.0385321100917431</v>
      </c>
      <c r="AF739" s="15" t="n">
        <f aca="false">IF(J739=0,0,S739/J739)</f>
        <v>0.247706422018349</v>
      </c>
      <c r="AG739" s="11" t="n">
        <f aca="false">IF(J739&gt;=INDEX(球季參數!$E$2:$E$4,MATCH($A739,球季參數!$A$2:$A$4,0)),1,0)</f>
        <v>1</v>
      </c>
    </row>
    <row r="740" customFormat="false" ht="15" hidden="false" customHeight="false" outlineLevel="0" collapsed="false">
      <c r="A740" s="5" t="n">
        <v>2026</v>
      </c>
      <c r="B740" s="7" t="s">
        <v>1013</v>
      </c>
      <c r="C740" s="10" t="str">
        <f aca="false">INDEX(球員主檔!$B$2:$B$749,MATCH($B740,球員主檔!$A$2:$A$749,0))</f>
        <v>Everett Novotný</v>
      </c>
      <c r="D740" s="7" t="s">
        <v>396</v>
      </c>
      <c r="E740" s="10" t="str">
        <f aca="false">INDEX(球隊主檔!$C$2:$C$31,MATCH($D740,球隊主檔!$A$2:$A$31,0))</f>
        <v>西雅圖水手</v>
      </c>
      <c r="F740" s="10" t="str">
        <f aca="false">INDEX(球隊主檔!$D$2:$D$31,MATCH($D740,球隊主檔!$A$2:$A$31,0))</f>
        <v>美聯</v>
      </c>
      <c r="G740" s="7" t="s">
        <v>522</v>
      </c>
      <c r="H740" s="11" t="n">
        <f aca="false">INT((DATE($A740,7,1)-INDEX(球員主檔!$G$2:$G$749,MATCH($B740,球員主檔!$A$2:$A$749,0)))/365.25)</f>
        <v>30</v>
      </c>
      <c r="I740" s="12" t="n">
        <v>38</v>
      </c>
      <c r="J740" s="12" t="n">
        <v>169</v>
      </c>
      <c r="K740" s="12" t="n">
        <v>149</v>
      </c>
      <c r="L740" s="12" t="n">
        <v>19</v>
      </c>
      <c r="M740" s="12" t="n">
        <v>37</v>
      </c>
      <c r="N740" s="12" t="n">
        <v>18</v>
      </c>
      <c r="O740" s="12" t="n">
        <v>0</v>
      </c>
      <c r="P740" s="12" t="n">
        <v>3</v>
      </c>
      <c r="Q740" s="12" t="n">
        <v>17</v>
      </c>
      <c r="R740" s="12" t="n">
        <v>18</v>
      </c>
      <c r="S740" s="12" t="n">
        <v>32</v>
      </c>
      <c r="T740" s="12" t="n">
        <v>0</v>
      </c>
      <c r="U740" s="12" t="n">
        <v>2</v>
      </c>
      <c r="V740" s="12" t="n">
        <v>1</v>
      </c>
      <c r="W740" s="12" t="n">
        <v>0</v>
      </c>
      <c r="X740" s="13" t="n">
        <f aca="false">M740+N740+2*O740+3*P740</f>
        <v>64</v>
      </c>
      <c r="Y740" s="14" t="n">
        <f aca="false">IF(K740=0,0,M740/K740)</f>
        <v>0.248322147651007</v>
      </c>
      <c r="Z740" s="14" t="n">
        <f aca="false">IF(K740+R740+T740+U740=0,0,(M740+R740+T740)/(K740+R740+T740+U740))</f>
        <v>0.325443786982249</v>
      </c>
      <c r="AA740" s="14" t="n">
        <f aca="false">IF(K740=0,0,X740/K740)</f>
        <v>0.429530201342282</v>
      </c>
      <c r="AB740" s="14" t="n">
        <f aca="false">Z740+AA740</f>
        <v>0.75497398832453</v>
      </c>
      <c r="AC740" s="14" t="n">
        <f aca="false">AA740-Y740</f>
        <v>0.181208053691275</v>
      </c>
      <c r="AD740" s="14" t="n">
        <f aca="false">IF(K740-S740-P740+U740=0,0,(M740-P740)/(K740-S740-P740+U740))</f>
        <v>0.293103448275862</v>
      </c>
      <c r="AE740" s="15" t="n">
        <f aca="false">IF(J740=0,0,R740/J740)</f>
        <v>0.106508875739645</v>
      </c>
      <c r="AF740" s="15" t="n">
        <f aca="false">IF(J740=0,0,S740/J740)</f>
        <v>0.189349112426036</v>
      </c>
      <c r="AG740" s="11" t="n">
        <f aca="false">IF(J740&gt;=INDEX(球季參數!$E$2:$E$4,MATCH($A740,球季參數!$A$2:$A$4,0)),1,0)</f>
        <v>0</v>
      </c>
    </row>
    <row r="741" customFormat="false" ht="15" hidden="false" customHeight="false" outlineLevel="0" collapsed="false">
      <c r="A741" s="5" t="n">
        <v>2026</v>
      </c>
      <c r="B741" s="7" t="s">
        <v>1895</v>
      </c>
      <c r="C741" s="10" t="str">
        <f aca="false">INDEX(球員主檔!$B$2:$B$749,MATCH($B741,球員主檔!$A$2:$A$749,0))</f>
        <v>Augustin Fairbanks</v>
      </c>
      <c r="D741" s="7" t="s">
        <v>396</v>
      </c>
      <c r="E741" s="10" t="str">
        <f aca="false">INDEX(球隊主檔!$C$2:$C$31,MATCH($D741,球隊主檔!$A$2:$A$31,0))</f>
        <v>西雅圖水手</v>
      </c>
      <c r="F741" s="10" t="str">
        <f aca="false">INDEX(球隊主檔!$D$2:$D$31,MATCH($D741,球隊主檔!$A$2:$A$31,0))</f>
        <v>美聯</v>
      </c>
      <c r="G741" s="7" t="s">
        <v>473</v>
      </c>
      <c r="H741" s="11" t="n">
        <f aca="false">INT((DATE($A741,7,1)-INDEX(球員主檔!$G$2:$G$749,MATCH($B741,球員主檔!$A$2:$A$749,0)))/365.25)</f>
        <v>23</v>
      </c>
      <c r="I741" s="12" t="n">
        <v>54</v>
      </c>
      <c r="J741" s="12" t="n">
        <v>245</v>
      </c>
      <c r="K741" s="12" t="n">
        <v>229</v>
      </c>
      <c r="L741" s="12" t="n">
        <v>24</v>
      </c>
      <c r="M741" s="12" t="n">
        <v>60</v>
      </c>
      <c r="N741" s="12" t="n">
        <v>13</v>
      </c>
      <c r="O741" s="12" t="n">
        <v>6</v>
      </c>
      <c r="P741" s="12" t="n">
        <v>5</v>
      </c>
      <c r="Q741" s="12" t="n">
        <v>25</v>
      </c>
      <c r="R741" s="12" t="n">
        <v>11</v>
      </c>
      <c r="S741" s="12" t="n">
        <v>52</v>
      </c>
      <c r="T741" s="12" t="n">
        <v>4</v>
      </c>
      <c r="U741" s="12" t="n">
        <v>1</v>
      </c>
      <c r="V741" s="12" t="n">
        <v>3</v>
      </c>
      <c r="W741" s="12" t="n">
        <v>0</v>
      </c>
      <c r="X741" s="13" t="n">
        <f aca="false">M741+N741+2*O741+3*P741</f>
        <v>100</v>
      </c>
      <c r="Y741" s="14" t="n">
        <f aca="false">IF(K741=0,0,M741/K741)</f>
        <v>0.262008733624454</v>
      </c>
      <c r="Z741" s="14" t="n">
        <f aca="false">IF(K741+R741+T741+U741=0,0,(M741+R741+T741)/(K741+R741+T741+U741))</f>
        <v>0.306122448979592</v>
      </c>
      <c r="AA741" s="14" t="n">
        <f aca="false">IF(K741=0,0,X741/K741)</f>
        <v>0.436681222707424</v>
      </c>
      <c r="AB741" s="14" t="n">
        <f aca="false">Z741+AA741</f>
        <v>0.742803671687015</v>
      </c>
      <c r="AC741" s="14" t="n">
        <f aca="false">AA741-Y741</f>
        <v>0.174672489082969</v>
      </c>
      <c r="AD741" s="14" t="n">
        <f aca="false">IF(K741-S741-P741+U741=0,0,(M741-P741)/(K741-S741-P741+U741))</f>
        <v>0.317919075144509</v>
      </c>
      <c r="AE741" s="15" t="n">
        <f aca="false">IF(J741=0,0,R741/J741)</f>
        <v>0.0448979591836735</v>
      </c>
      <c r="AF741" s="15" t="n">
        <f aca="false">IF(J741=0,0,S741/J741)</f>
        <v>0.212244897959184</v>
      </c>
      <c r="AG741" s="11" t="n">
        <f aca="false">IF(J741&gt;=INDEX(球季參數!$E$2:$E$4,MATCH($A741,球季參數!$A$2:$A$4,0)),1,0)</f>
        <v>0</v>
      </c>
    </row>
    <row r="742" customFormat="false" ht="15" hidden="false" customHeight="false" outlineLevel="0" collapsed="false">
      <c r="A742" s="5" t="n">
        <v>2026</v>
      </c>
      <c r="B742" s="7" t="s">
        <v>1037</v>
      </c>
      <c r="C742" s="10" t="str">
        <f aca="false">INDEX(球員主檔!$B$2:$B$749,MATCH($B742,球員主檔!$A$2:$A$749,0))</f>
        <v>Haruto Haverford</v>
      </c>
      <c r="D742" s="7" t="s">
        <v>400</v>
      </c>
      <c r="E742" s="10" t="str">
        <f aca="false">INDEX(球隊主檔!$C$2:$C$31,MATCH($D742,球隊主檔!$A$2:$A$31,0))</f>
        <v>德州遊騎兵</v>
      </c>
      <c r="F742" s="10" t="str">
        <f aca="false">INDEX(球隊主檔!$D$2:$D$31,MATCH($D742,球隊主檔!$A$2:$A$31,0))</f>
        <v>美聯</v>
      </c>
      <c r="G742" s="7" t="s">
        <v>162</v>
      </c>
      <c r="H742" s="11" t="n">
        <f aca="false">INT((DATE($A742,7,1)-INDEX(球員主檔!$G$2:$G$749,MATCH($B742,球員主檔!$A$2:$A$749,0)))/365.25)</f>
        <v>27</v>
      </c>
      <c r="I742" s="12" t="n">
        <v>162</v>
      </c>
      <c r="J742" s="12" t="n">
        <v>678</v>
      </c>
      <c r="K742" s="12" t="n">
        <v>589</v>
      </c>
      <c r="L742" s="12" t="n">
        <v>90</v>
      </c>
      <c r="M742" s="12" t="n">
        <v>148</v>
      </c>
      <c r="N742" s="12" t="n">
        <v>21</v>
      </c>
      <c r="O742" s="12" t="n">
        <v>8</v>
      </c>
      <c r="P742" s="12" t="n">
        <v>33</v>
      </c>
      <c r="Q742" s="12" t="n">
        <v>98</v>
      </c>
      <c r="R742" s="12" t="n">
        <v>72</v>
      </c>
      <c r="S742" s="12" t="n">
        <v>64</v>
      </c>
      <c r="T742" s="12" t="n">
        <v>9</v>
      </c>
      <c r="U742" s="12" t="n">
        <v>8</v>
      </c>
      <c r="V742" s="12" t="n">
        <v>16</v>
      </c>
      <c r="W742" s="12" t="n">
        <v>4</v>
      </c>
      <c r="X742" s="13" t="n">
        <f aca="false">M742+N742+2*O742+3*P742</f>
        <v>284</v>
      </c>
      <c r="Y742" s="14" t="n">
        <f aca="false">IF(K742=0,0,M742/K742)</f>
        <v>0.251273344651952</v>
      </c>
      <c r="Z742" s="14" t="n">
        <f aca="false">IF(K742+R742+T742+U742=0,0,(M742+R742+T742)/(K742+R742+T742+U742))</f>
        <v>0.337758112094395</v>
      </c>
      <c r="AA742" s="14" t="n">
        <f aca="false">IF(K742=0,0,X742/K742)</f>
        <v>0.482173174872666</v>
      </c>
      <c r="AB742" s="14" t="n">
        <f aca="false">Z742+AA742</f>
        <v>0.819931286967061</v>
      </c>
      <c r="AC742" s="14" t="n">
        <f aca="false">AA742-Y742</f>
        <v>0.230899830220713</v>
      </c>
      <c r="AD742" s="14" t="n">
        <f aca="false">IF(K742-S742-P742+U742=0,0,(M742-P742)/(K742-S742-P742+U742))</f>
        <v>0.23</v>
      </c>
      <c r="AE742" s="15" t="n">
        <f aca="false">IF(J742=0,0,R742/J742)</f>
        <v>0.106194690265487</v>
      </c>
      <c r="AF742" s="15" t="n">
        <f aca="false">IF(J742=0,0,S742/J742)</f>
        <v>0.0943952802359882</v>
      </c>
      <c r="AG742" s="11" t="n">
        <f aca="false">IF(J742&gt;=INDEX(球季參數!$E$2:$E$4,MATCH($A742,球季參數!$A$2:$A$4,0)),1,0)</f>
        <v>1</v>
      </c>
    </row>
    <row r="743" customFormat="false" ht="15" hidden="false" customHeight="false" outlineLevel="0" collapsed="false">
      <c r="A743" s="5" t="n">
        <v>2026</v>
      </c>
      <c r="B743" s="7" t="s">
        <v>1039</v>
      </c>
      <c r="C743" s="10" t="str">
        <f aca="false">INDEX(球員主檔!$B$2:$B$749,MATCH($B743,球員主檔!$A$2:$A$749,0))</f>
        <v>Bernardo Nordstrom</v>
      </c>
      <c r="D743" s="7" t="s">
        <v>400</v>
      </c>
      <c r="E743" s="10" t="str">
        <f aca="false">INDEX(球隊主檔!$C$2:$C$31,MATCH($D743,球隊主檔!$A$2:$A$31,0))</f>
        <v>德州遊騎兵</v>
      </c>
      <c r="F743" s="10" t="str">
        <f aca="false">INDEX(球隊主檔!$D$2:$D$31,MATCH($D743,球隊主檔!$A$2:$A$31,0))</f>
        <v>美聯</v>
      </c>
      <c r="G743" s="7" t="s">
        <v>63</v>
      </c>
      <c r="H743" s="11" t="n">
        <f aca="false">INT((DATE($A743,7,1)-INDEX(球員主檔!$G$2:$G$749,MATCH($B743,球員主檔!$A$2:$A$749,0)))/365.25)</f>
        <v>30</v>
      </c>
      <c r="I743" s="12" t="n">
        <v>162</v>
      </c>
      <c r="J743" s="12" t="n">
        <v>681</v>
      </c>
      <c r="K743" s="12" t="n">
        <v>607</v>
      </c>
      <c r="L743" s="12" t="n">
        <v>87</v>
      </c>
      <c r="M743" s="12" t="n">
        <v>174</v>
      </c>
      <c r="N743" s="12" t="n">
        <v>24</v>
      </c>
      <c r="O743" s="12" t="n">
        <v>0</v>
      </c>
      <c r="P743" s="12" t="n">
        <v>25</v>
      </c>
      <c r="Q743" s="12" t="n">
        <v>83</v>
      </c>
      <c r="R743" s="12" t="n">
        <v>59</v>
      </c>
      <c r="S743" s="12" t="n">
        <v>144</v>
      </c>
      <c r="T743" s="12" t="n">
        <v>11</v>
      </c>
      <c r="U743" s="12" t="n">
        <v>4</v>
      </c>
      <c r="V743" s="12" t="n">
        <v>12</v>
      </c>
      <c r="W743" s="12" t="n">
        <v>2</v>
      </c>
      <c r="X743" s="13" t="n">
        <f aca="false">M743+N743+2*O743+3*P743</f>
        <v>273</v>
      </c>
      <c r="Y743" s="14" t="n">
        <f aca="false">IF(K743=0,0,M743/K743)</f>
        <v>0.28665568369028</v>
      </c>
      <c r="Z743" s="14" t="n">
        <f aca="false">IF(K743+R743+T743+U743=0,0,(M743+R743+T743)/(K743+R743+T743+U743))</f>
        <v>0.358296622613803</v>
      </c>
      <c r="AA743" s="14" t="n">
        <f aca="false">IF(K743=0,0,X743/K743)</f>
        <v>0.449752883031302</v>
      </c>
      <c r="AB743" s="14" t="n">
        <f aca="false">Z743+AA743</f>
        <v>0.808049505645105</v>
      </c>
      <c r="AC743" s="14" t="n">
        <f aca="false">AA743-Y743</f>
        <v>0.163097199341021</v>
      </c>
      <c r="AD743" s="14" t="n">
        <f aca="false">IF(K743-S743-P743+U743=0,0,(M743-P743)/(K743-S743-P743+U743))</f>
        <v>0.33710407239819</v>
      </c>
      <c r="AE743" s="15" t="n">
        <f aca="false">IF(J743=0,0,R743/J743)</f>
        <v>0.0866372980910426</v>
      </c>
      <c r="AF743" s="15" t="n">
        <f aca="false">IF(J743=0,0,S743/J743)</f>
        <v>0.211453744493392</v>
      </c>
      <c r="AG743" s="11" t="n">
        <f aca="false">IF(J743&gt;=INDEX(球季參數!$E$2:$E$4,MATCH($A743,球季參數!$A$2:$A$4,0)),1,0)</f>
        <v>1</v>
      </c>
    </row>
    <row r="744" customFormat="false" ht="15" hidden="false" customHeight="false" outlineLevel="0" collapsed="false">
      <c r="A744" s="5" t="n">
        <v>2026</v>
      </c>
      <c r="B744" s="7" t="s">
        <v>1041</v>
      </c>
      <c r="C744" s="10" t="str">
        <f aca="false">INDEX(球員主檔!$B$2:$B$749,MATCH($B744,球員主檔!$A$2:$A$749,0))</f>
        <v>Osvaldo Zamarripa</v>
      </c>
      <c r="D744" s="7" t="s">
        <v>400</v>
      </c>
      <c r="E744" s="10" t="str">
        <f aca="false">INDEX(球隊主檔!$C$2:$C$31,MATCH($D744,球隊主檔!$A$2:$A$31,0))</f>
        <v>德州遊騎兵</v>
      </c>
      <c r="F744" s="10" t="str">
        <f aca="false">INDEX(球隊主檔!$D$2:$D$31,MATCH($D744,球隊主檔!$A$2:$A$31,0))</f>
        <v>美聯</v>
      </c>
      <c r="G744" s="7" t="s">
        <v>162</v>
      </c>
      <c r="H744" s="11" t="n">
        <f aca="false">INT((DATE($A744,7,1)-INDEX(球員主檔!$G$2:$G$749,MATCH($B744,球員主檔!$A$2:$A$749,0)))/365.25)</f>
        <v>32</v>
      </c>
      <c r="I744" s="12" t="n">
        <v>155</v>
      </c>
      <c r="J744" s="12" t="n">
        <v>684</v>
      </c>
      <c r="K744" s="12" t="n">
        <v>593</v>
      </c>
      <c r="L744" s="12" t="n">
        <v>78</v>
      </c>
      <c r="M744" s="12" t="n">
        <v>161</v>
      </c>
      <c r="N744" s="12" t="n">
        <v>24</v>
      </c>
      <c r="O744" s="12" t="n">
        <v>2</v>
      </c>
      <c r="P744" s="12" t="n">
        <v>14</v>
      </c>
      <c r="Q744" s="12" t="n">
        <v>70</v>
      </c>
      <c r="R744" s="12" t="n">
        <v>78</v>
      </c>
      <c r="S744" s="12" t="n">
        <v>175</v>
      </c>
      <c r="T744" s="12" t="n">
        <v>6</v>
      </c>
      <c r="U744" s="12" t="n">
        <v>7</v>
      </c>
      <c r="V744" s="12" t="n">
        <v>14</v>
      </c>
      <c r="W744" s="12" t="n">
        <v>5</v>
      </c>
      <c r="X744" s="13" t="n">
        <f aca="false">M744+N744+2*O744+3*P744</f>
        <v>231</v>
      </c>
      <c r="Y744" s="14" t="n">
        <f aca="false">IF(K744=0,0,M744/K744)</f>
        <v>0.27150084317032</v>
      </c>
      <c r="Z744" s="14" t="n">
        <f aca="false">IF(K744+R744+T744+U744=0,0,(M744+R744+T744)/(K744+R744+T744+U744))</f>
        <v>0.358187134502924</v>
      </c>
      <c r="AA744" s="14" t="n">
        <f aca="false">IF(K744=0,0,X744/K744)</f>
        <v>0.389544688026981</v>
      </c>
      <c r="AB744" s="14" t="n">
        <f aca="false">Z744+AA744</f>
        <v>0.747731822529905</v>
      </c>
      <c r="AC744" s="14" t="n">
        <f aca="false">AA744-Y744</f>
        <v>0.118043844856661</v>
      </c>
      <c r="AD744" s="14" t="n">
        <f aca="false">IF(K744-S744-P744+U744=0,0,(M744-P744)/(K744-S744-P744+U744))</f>
        <v>0.357664233576642</v>
      </c>
      <c r="AE744" s="15" t="n">
        <f aca="false">IF(J744=0,0,R744/J744)</f>
        <v>0.114035087719298</v>
      </c>
      <c r="AF744" s="15" t="n">
        <f aca="false">IF(J744=0,0,S744/J744)</f>
        <v>0.255847953216374</v>
      </c>
      <c r="AG744" s="11" t="n">
        <f aca="false">IF(J744&gt;=INDEX(球季參數!$E$2:$E$4,MATCH($A744,球季參數!$A$2:$A$4,0)),1,0)</f>
        <v>1</v>
      </c>
    </row>
    <row r="745" customFormat="false" ht="15" hidden="false" customHeight="false" outlineLevel="0" collapsed="false">
      <c r="A745" s="5" t="n">
        <v>2026</v>
      </c>
      <c r="B745" s="7" t="s">
        <v>1317</v>
      </c>
      <c r="C745" s="10" t="str">
        <f aca="false">INDEX(球員主檔!$B$2:$B$749,MATCH($B745,球員主檔!$A$2:$A$749,0))</f>
        <v>Ulises Castellón</v>
      </c>
      <c r="D745" s="7" t="s">
        <v>400</v>
      </c>
      <c r="E745" s="10" t="str">
        <f aca="false">INDEX(球隊主檔!$C$2:$C$31,MATCH($D745,球隊主檔!$A$2:$A$31,0))</f>
        <v>德州遊騎兵</v>
      </c>
      <c r="F745" s="10" t="str">
        <f aca="false">INDEX(球隊主檔!$D$2:$D$31,MATCH($D745,球隊主檔!$A$2:$A$31,0))</f>
        <v>美聯</v>
      </c>
      <c r="G745" s="7" t="s">
        <v>486</v>
      </c>
      <c r="H745" s="11" t="n">
        <f aca="false">INT((DATE($A745,7,1)-INDEX(球員主檔!$G$2:$G$749,MATCH($B745,球員主檔!$A$2:$A$749,0)))/365.25)</f>
        <v>29</v>
      </c>
      <c r="I745" s="12" t="n">
        <v>129</v>
      </c>
      <c r="J745" s="12" t="n">
        <v>563</v>
      </c>
      <c r="K745" s="12" t="n">
        <v>503</v>
      </c>
      <c r="L745" s="12" t="n">
        <v>58</v>
      </c>
      <c r="M745" s="12" t="n">
        <v>118</v>
      </c>
      <c r="N745" s="12" t="n">
        <v>39</v>
      </c>
      <c r="O745" s="12" t="n">
        <v>8</v>
      </c>
      <c r="P745" s="12" t="n">
        <v>18</v>
      </c>
      <c r="Q745" s="12" t="n">
        <v>65</v>
      </c>
      <c r="R745" s="12" t="n">
        <v>50</v>
      </c>
      <c r="S745" s="12" t="n">
        <v>139</v>
      </c>
      <c r="T745" s="12" t="n">
        <v>8</v>
      </c>
      <c r="U745" s="12" t="n">
        <v>2</v>
      </c>
      <c r="V745" s="12" t="n">
        <v>5</v>
      </c>
      <c r="W745" s="12" t="n">
        <v>1</v>
      </c>
      <c r="X745" s="13" t="n">
        <f aca="false">M745+N745+2*O745+3*P745</f>
        <v>227</v>
      </c>
      <c r="Y745" s="14" t="n">
        <f aca="false">IF(K745=0,0,M745/K745)</f>
        <v>0.234592445328032</v>
      </c>
      <c r="Z745" s="14" t="n">
        <f aca="false">IF(K745+R745+T745+U745=0,0,(M745+R745+T745)/(K745+R745+T745+U745))</f>
        <v>0.312611012433393</v>
      </c>
      <c r="AA745" s="14" t="n">
        <f aca="false">IF(K745=0,0,X745/K745)</f>
        <v>0.451292246520875</v>
      </c>
      <c r="AB745" s="14" t="n">
        <f aca="false">Z745+AA745</f>
        <v>0.763903258954267</v>
      </c>
      <c r="AC745" s="14" t="n">
        <f aca="false">AA745-Y745</f>
        <v>0.216699801192843</v>
      </c>
      <c r="AD745" s="14" t="n">
        <f aca="false">IF(K745-S745-P745+U745=0,0,(M745-P745)/(K745-S745-P745+U745))</f>
        <v>0.28735632183908</v>
      </c>
      <c r="AE745" s="15" t="n">
        <f aca="false">IF(J745=0,0,R745/J745)</f>
        <v>0.088809946714032</v>
      </c>
      <c r="AF745" s="15" t="n">
        <f aca="false">IF(J745=0,0,S745/J745)</f>
        <v>0.246891651865009</v>
      </c>
      <c r="AG745" s="11" t="n">
        <f aca="false">IF(J745&gt;=INDEX(球季參數!$E$2:$E$4,MATCH($A745,球季參數!$A$2:$A$4,0)),1,0)</f>
        <v>1</v>
      </c>
    </row>
    <row r="746" customFormat="false" ht="15" hidden="false" customHeight="false" outlineLevel="0" collapsed="false">
      <c r="A746" s="5" t="n">
        <v>2026</v>
      </c>
      <c r="B746" s="7" t="s">
        <v>1045</v>
      </c>
      <c r="C746" s="10" t="str">
        <f aca="false">INDEX(球員主檔!$B$2:$B$749,MATCH($B746,球員主檔!$A$2:$A$749,0))</f>
        <v>Vicente Jernigan</v>
      </c>
      <c r="D746" s="7" t="s">
        <v>400</v>
      </c>
      <c r="E746" s="10" t="str">
        <f aca="false">INDEX(球隊主檔!$C$2:$C$31,MATCH($D746,球隊主檔!$A$2:$A$31,0))</f>
        <v>德州遊騎兵</v>
      </c>
      <c r="F746" s="10" t="str">
        <f aca="false">INDEX(球隊主檔!$D$2:$D$31,MATCH($D746,球隊主檔!$A$2:$A$31,0))</f>
        <v>美聯</v>
      </c>
      <c r="G746" s="7" t="s">
        <v>158</v>
      </c>
      <c r="H746" s="11" t="n">
        <f aca="false">INT((DATE($A746,7,1)-INDEX(球員主檔!$G$2:$G$749,MATCH($B746,球員主檔!$A$2:$A$749,0)))/365.25)</f>
        <v>27</v>
      </c>
      <c r="I746" s="12" t="n">
        <v>155</v>
      </c>
      <c r="J746" s="12" t="n">
        <v>600</v>
      </c>
      <c r="K746" s="12" t="n">
        <v>530</v>
      </c>
      <c r="L746" s="12" t="n">
        <v>86</v>
      </c>
      <c r="M746" s="12" t="n">
        <v>146</v>
      </c>
      <c r="N746" s="12" t="n">
        <v>35</v>
      </c>
      <c r="O746" s="12" t="n">
        <v>12</v>
      </c>
      <c r="P746" s="12" t="n">
        <v>37</v>
      </c>
      <c r="Q746" s="12" t="n">
        <v>96</v>
      </c>
      <c r="R746" s="12" t="n">
        <v>54</v>
      </c>
      <c r="S746" s="12" t="n">
        <v>146</v>
      </c>
      <c r="T746" s="12" t="n">
        <v>11</v>
      </c>
      <c r="U746" s="12" t="n">
        <v>5</v>
      </c>
      <c r="V746" s="12" t="n">
        <v>33</v>
      </c>
      <c r="W746" s="12" t="n">
        <v>6</v>
      </c>
      <c r="X746" s="13" t="n">
        <f aca="false">M746+N746+2*O746+3*P746</f>
        <v>316</v>
      </c>
      <c r="Y746" s="14" t="n">
        <f aca="false">IF(K746=0,0,M746/K746)</f>
        <v>0.275471698113208</v>
      </c>
      <c r="Z746" s="14" t="n">
        <f aca="false">IF(K746+R746+T746+U746=0,0,(M746+R746+T746)/(K746+R746+T746+U746))</f>
        <v>0.351666666666667</v>
      </c>
      <c r="AA746" s="14" t="n">
        <f aca="false">IF(K746=0,0,X746/K746)</f>
        <v>0.59622641509434</v>
      </c>
      <c r="AB746" s="14" t="n">
        <f aca="false">Z746+AA746</f>
        <v>0.947893081761006</v>
      </c>
      <c r="AC746" s="14" t="n">
        <f aca="false">AA746-Y746</f>
        <v>0.320754716981132</v>
      </c>
      <c r="AD746" s="14" t="n">
        <f aca="false">IF(K746-S746-P746+U746=0,0,(M746-P746)/(K746-S746-P746+U746))</f>
        <v>0.309659090909091</v>
      </c>
      <c r="AE746" s="15" t="n">
        <f aca="false">IF(J746=0,0,R746/J746)</f>
        <v>0.09</v>
      </c>
      <c r="AF746" s="15" t="n">
        <f aca="false">IF(J746=0,0,S746/J746)</f>
        <v>0.243333333333333</v>
      </c>
      <c r="AG746" s="11" t="n">
        <f aca="false">IF(J746&gt;=INDEX(球季參數!$E$2:$E$4,MATCH($A746,球季參數!$A$2:$A$4,0)),1,0)</f>
        <v>1</v>
      </c>
    </row>
    <row r="747" customFormat="false" ht="15" hidden="false" customHeight="false" outlineLevel="0" collapsed="false">
      <c r="A747" s="5" t="n">
        <v>2026</v>
      </c>
      <c r="B747" s="7" t="s">
        <v>1739</v>
      </c>
      <c r="C747" s="10" t="str">
        <f aca="false">INDEX(球員主檔!$B$2:$B$749,MATCH($B747,球員主檔!$A$2:$A$749,0))</f>
        <v>Tobias Goddard</v>
      </c>
      <c r="D747" s="7" t="s">
        <v>400</v>
      </c>
      <c r="E747" s="10" t="str">
        <f aca="false">INDEX(球隊主檔!$C$2:$C$31,MATCH($D747,球隊主檔!$A$2:$A$31,0))</f>
        <v>德州遊騎兵</v>
      </c>
      <c r="F747" s="10" t="str">
        <f aca="false">INDEX(球隊主檔!$D$2:$D$31,MATCH($D747,球隊主檔!$A$2:$A$31,0))</f>
        <v>美聯</v>
      </c>
      <c r="G747" s="7" t="s">
        <v>473</v>
      </c>
      <c r="H747" s="11" t="n">
        <f aca="false">INT((DATE($A747,7,1)-INDEX(球員主檔!$G$2:$G$749,MATCH($B747,球員主檔!$A$2:$A$749,0)))/365.25)</f>
        <v>21</v>
      </c>
      <c r="I747" s="12" t="n">
        <v>41</v>
      </c>
      <c r="J747" s="12" t="n">
        <v>164</v>
      </c>
      <c r="K747" s="12" t="n">
        <v>150</v>
      </c>
      <c r="L747" s="12" t="n">
        <v>20</v>
      </c>
      <c r="M747" s="12" t="n">
        <v>38</v>
      </c>
      <c r="N747" s="12" t="n">
        <v>16</v>
      </c>
      <c r="O747" s="12" t="n">
        <v>3</v>
      </c>
      <c r="P747" s="12" t="n">
        <v>3</v>
      </c>
      <c r="Q747" s="12" t="n">
        <v>16</v>
      </c>
      <c r="R747" s="12" t="n">
        <v>12</v>
      </c>
      <c r="S747" s="12" t="n">
        <v>45</v>
      </c>
      <c r="T747" s="12" t="n">
        <v>1</v>
      </c>
      <c r="U747" s="12" t="n">
        <v>1</v>
      </c>
      <c r="V747" s="12" t="n">
        <v>6</v>
      </c>
      <c r="W747" s="12" t="n">
        <v>1</v>
      </c>
      <c r="X747" s="13" t="n">
        <f aca="false">M747+N747+2*O747+3*P747</f>
        <v>69</v>
      </c>
      <c r="Y747" s="14" t="n">
        <f aca="false">IF(K747=0,0,M747/K747)</f>
        <v>0.253333333333333</v>
      </c>
      <c r="Z747" s="14" t="n">
        <f aca="false">IF(K747+R747+T747+U747=0,0,(M747+R747+T747)/(K747+R747+T747+U747))</f>
        <v>0.310975609756098</v>
      </c>
      <c r="AA747" s="14" t="n">
        <f aca="false">IF(K747=0,0,X747/K747)</f>
        <v>0.46</v>
      </c>
      <c r="AB747" s="14" t="n">
        <f aca="false">Z747+AA747</f>
        <v>0.770975609756098</v>
      </c>
      <c r="AC747" s="14" t="n">
        <f aca="false">AA747-Y747</f>
        <v>0.206666666666667</v>
      </c>
      <c r="AD747" s="14" t="n">
        <f aca="false">IF(K747-S747-P747+U747=0,0,(M747-P747)/(K747-S747-P747+U747))</f>
        <v>0.339805825242718</v>
      </c>
      <c r="AE747" s="15" t="n">
        <f aca="false">IF(J747=0,0,R747/J747)</f>
        <v>0.0731707317073171</v>
      </c>
      <c r="AF747" s="15" t="n">
        <f aca="false">IF(J747=0,0,S747/J747)</f>
        <v>0.274390243902439</v>
      </c>
      <c r="AG747" s="11" t="n">
        <f aca="false">IF(J747&gt;=INDEX(球季參數!$E$2:$E$4,MATCH($A747,球季參數!$A$2:$A$4,0)),1,0)</f>
        <v>0</v>
      </c>
    </row>
    <row r="748" customFormat="false" ht="15" hidden="false" customHeight="false" outlineLevel="0" collapsed="false">
      <c r="A748" s="5" t="n">
        <v>2026</v>
      </c>
      <c r="B748" s="7" t="s">
        <v>1049</v>
      </c>
      <c r="C748" s="10" t="str">
        <f aca="false">INDEX(球員主檔!$B$2:$B$749,MATCH($B748,球員主檔!$A$2:$A$749,0))</f>
        <v>Wyatt Yoshinaga</v>
      </c>
      <c r="D748" s="7" t="s">
        <v>400</v>
      </c>
      <c r="E748" s="10" t="str">
        <f aca="false">INDEX(球隊主檔!$C$2:$C$31,MATCH($D748,球隊主檔!$A$2:$A$31,0))</f>
        <v>德州遊騎兵</v>
      </c>
      <c r="F748" s="10" t="str">
        <f aca="false">INDEX(球隊主檔!$D$2:$D$31,MATCH($D748,球隊主檔!$A$2:$A$31,0))</f>
        <v>美聯</v>
      </c>
      <c r="G748" s="7" t="s">
        <v>63</v>
      </c>
      <c r="H748" s="11" t="n">
        <f aca="false">INT((DATE($A748,7,1)-INDEX(球員主檔!$G$2:$G$749,MATCH($B748,球員主檔!$A$2:$A$749,0)))/365.25)</f>
        <v>33</v>
      </c>
      <c r="I748" s="12" t="n">
        <v>60</v>
      </c>
      <c r="J748" s="12" t="n">
        <v>264</v>
      </c>
      <c r="K748" s="12" t="n">
        <v>237</v>
      </c>
      <c r="L748" s="12" t="n">
        <v>29</v>
      </c>
      <c r="M748" s="12" t="n">
        <v>57</v>
      </c>
      <c r="N748" s="12" t="n">
        <v>7</v>
      </c>
      <c r="O748" s="12" t="n">
        <v>4</v>
      </c>
      <c r="P748" s="12" t="n">
        <v>9</v>
      </c>
      <c r="Q748" s="12" t="n">
        <v>31</v>
      </c>
      <c r="R748" s="12" t="n">
        <v>23</v>
      </c>
      <c r="S748" s="12" t="n">
        <v>46</v>
      </c>
      <c r="T748" s="12" t="n">
        <v>3</v>
      </c>
      <c r="U748" s="12" t="n">
        <v>1</v>
      </c>
      <c r="V748" s="12" t="n">
        <v>13</v>
      </c>
      <c r="W748" s="12" t="n">
        <v>4</v>
      </c>
      <c r="X748" s="13" t="n">
        <f aca="false">M748+N748+2*O748+3*P748</f>
        <v>99</v>
      </c>
      <c r="Y748" s="14" t="n">
        <f aca="false">IF(K748=0,0,M748/K748)</f>
        <v>0.240506329113924</v>
      </c>
      <c r="Z748" s="14" t="n">
        <f aca="false">IF(K748+R748+T748+U748=0,0,(M748+R748+T748)/(K748+R748+T748+U748))</f>
        <v>0.314393939393939</v>
      </c>
      <c r="AA748" s="14" t="n">
        <f aca="false">IF(K748=0,0,X748/K748)</f>
        <v>0.417721518987342</v>
      </c>
      <c r="AB748" s="14" t="n">
        <f aca="false">Z748+AA748</f>
        <v>0.732115458381281</v>
      </c>
      <c r="AC748" s="14" t="n">
        <f aca="false">AA748-Y748</f>
        <v>0.177215189873418</v>
      </c>
      <c r="AD748" s="14" t="n">
        <f aca="false">IF(K748-S748-P748+U748=0,0,(M748-P748)/(K748-S748-P748+U748))</f>
        <v>0.262295081967213</v>
      </c>
      <c r="AE748" s="15" t="n">
        <f aca="false">IF(J748=0,0,R748/J748)</f>
        <v>0.0871212121212121</v>
      </c>
      <c r="AF748" s="15" t="n">
        <f aca="false">IF(J748=0,0,S748/J748)</f>
        <v>0.174242424242424</v>
      </c>
      <c r="AG748" s="11" t="n">
        <f aca="false">IF(J748&gt;=INDEX(球季參數!$E$2:$E$4,MATCH($A748,球季參數!$A$2:$A$4,0)),1,0)</f>
        <v>0</v>
      </c>
    </row>
    <row r="749" customFormat="false" ht="15" hidden="false" customHeight="false" outlineLevel="0" collapsed="false">
      <c r="A749" s="5" t="n">
        <v>2026</v>
      </c>
      <c r="B749" s="7" t="s">
        <v>1759</v>
      </c>
      <c r="C749" s="10" t="str">
        <f aca="false">INDEX(球員主檔!$B$2:$B$749,MATCH($B749,球員主檔!$A$2:$A$749,0))</f>
        <v>Osvaldo Goddard</v>
      </c>
      <c r="D749" s="7" t="s">
        <v>400</v>
      </c>
      <c r="E749" s="10" t="str">
        <f aca="false">INDEX(球隊主檔!$C$2:$C$31,MATCH($D749,球隊主檔!$A$2:$A$31,0))</f>
        <v>德州遊騎兵</v>
      </c>
      <c r="F749" s="10" t="str">
        <f aca="false">INDEX(球隊主檔!$D$2:$D$31,MATCH($D749,球隊主檔!$A$2:$A$31,0))</f>
        <v>美聯</v>
      </c>
      <c r="G749" s="7" t="s">
        <v>478</v>
      </c>
      <c r="H749" s="11" t="n">
        <f aca="false">INT((DATE($A749,7,1)-INDEX(球員主檔!$G$2:$G$749,MATCH($B749,球員主檔!$A$2:$A$749,0)))/365.25)</f>
        <v>26</v>
      </c>
      <c r="I749" s="12" t="n">
        <v>98</v>
      </c>
      <c r="J749" s="12" t="n">
        <v>428</v>
      </c>
      <c r="K749" s="12" t="n">
        <v>396</v>
      </c>
      <c r="L749" s="12" t="n">
        <v>36</v>
      </c>
      <c r="M749" s="12" t="n">
        <v>82</v>
      </c>
      <c r="N749" s="12" t="n">
        <v>20</v>
      </c>
      <c r="O749" s="12" t="n">
        <v>9</v>
      </c>
      <c r="P749" s="12" t="n">
        <v>6</v>
      </c>
      <c r="Q749" s="12" t="n">
        <v>34</v>
      </c>
      <c r="R749" s="12" t="n">
        <v>22</v>
      </c>
      <c r="S749" s="12" t="n">
        <v>94</v>
      </c>
      <c r="T749" s="12" t="n">
        <v>7</v>
      </c>
      <c r="U749" s="12" t="n">
        <v>3</v>
      </c>
      <c r="V749" s="12" t="n">
        <v>12</v>
      </c>
      <c r="W749" s="12" t="n">
        <v>4</v>
      </c>
      <c r="X749" s="13" t="n">
        <f aca="false">M749+N749+2*O749+3*P749</f>
        <v>138</v>
      </c>
      <c r="Y749" s="14" t="n">
        <f aca="false">IF(K749=0,0,M749/K749)</f>
        <v>0.207070707070707</v>
      </c>
      <c r="Z749" s="14" t="n">
        <f aca="false">IF(K749+R749+T749+U749=0,0,(M749+R749+T749)/(K749+R749+T749+U749))</f>
        <v>0.259345794392523</v>
      </c>
      <c r="AA749" s="14" t="n">
        <f aca="false">IF(K749=0,0,X749/K749)</f>
        <v>0.348484848484849</v>
      </c>
      <c r="AB749" s="14" t="n">
        <f aca="false">Z749+AA749</f>
        <v>0.607830642877372</v>
      </c>
      <c r="AC749" s="14" t="n">
        <f aca="false">AA749-Y749</f>
        <v>0.141414141414141</v>
      </c>
      <c r="AD749" s="14" t="n">
        <f aca="false">IF(K749-S749-P749+U749=0,0,(M749-P749)/(K749-S749-P749+U749))</f>
        <v>0.254180602006689</v>
      </c>
      <c r="AE749" s="15" t="n">
        <f aca="false">IF(J749=0,0,R749/J749)</f>
        <v>0.0514018691588785</v>
      </c>
      <c r="AF749" s="15" t="n">
        <f aca="false">IF(J749=0,0,S749/J749)</f>
        <v>0.219626168224299</v>
      </c>
      <c r="AG749" s="11" t="n">
        <f aca="false">IF(J749&gt;=INDEX(球季參數!$E$2:$E$4,MATCH($A749,球季參數!$A$2:$A$4,0)),1,0)</f>
        <v>0</v>
      </c>
    </row>
    <row r="750" customFormat="false" ht="15" hidden="false" customHeight="false" outlineLevel="0" collapsed="false">
      <c r="A750" s="5" t="n">
        <v>2026</v>
      </c>
      <c r="B750" s="7" t="s">
        <v>1899</v>
      </c>
      <c r="C750" s="10" t="str">
        <f aca="false">INDEX(球員主檔!$B$2:$B$749,MATCH($B750,球員主檔!$A$2:$A$749,0))</f>
        <v>Silas Tremblay</v>
      </c>
      <c r="D750" s="7" t="s">
        <v>400</v>
      </c>
      <c r="E750" s="10" t="str">
        <f aca="false">INDEX(球隊主檔!$C$2:$C$31,MATCH($D750,球隊主檔!$A$2:$A$31,0))</f>
        <v>德州遊騎兵</v>
      </c>
      <c r="F750" s="10" t="str">
        <f aca="false">INDEX(球隊主檔!$D$2:$D$31,MATCH($D750,球隊主檔!$A$2:$A$31,0))</f>
        <v>美聯</v>
      </c>
      <c r="G750" s="7" t="s">
        <v>473</v>
      </c>
      <c r="H750" s="11" t="n">
        <f aca="false">INT((DATE($A750,7,1)-INDEX(球員主檔!$G$2:$G$749,MATCH($B750,球員主檔!$A$2:$A$749,0)))/365.25)</f>
        <v>23</v>
      </c>
      <c r="I750" s="12" t="n">
        <v>59</v>
      </c>
      <c r="J750" s="12" t="n">
        <v>231</v>
      </c>
      <c r="K750" s="12" t="n">
        <v>212</v>
      </c>
      <c r="L750" s="12" t="n">
        <v>21</v>
      </c>
      <c r="M750" s="12" t="n">
        <v>43</v>
      </c>
      <c r="N750" s="12" t="n">
        <v>18</v>
      </c>
      <c r="O750" s="12" t="n">
        <v>3</v>
      </c>
      <c r="P750" s="12" t="n">
        <v>4</v>
      </c>
      <c r="Q750" s="12" t="n">
        <v>17</v>
      </c>
      <c r="R750" s="12" t="n">
        <v>13</v>
      </c>
      <c r="S750" s="12" t="n">
        <v>45</v>
      </c>
      <c r="T750" s="12" t="n">
        <v>5</v>
      </c>
      <c r="U750" s="12" t="n">
        <v>1</v>
      </c>
      <c r="V750" s="12" t="n">
        <v>14</v>
      </c>
      <c r="W750" s="12" t="n">
        <v>1</v>
      </c>
      <c r="X750" s="13" t="n">
        <f aca="false">M750+N750+2*O750+3*P750</f>
        <v>79</v>
      </c>
      <c r="Y750" s="14" t="n">
        <f aca="false">IF(K750=0,0,M750/K750)</f>
        <v>0.202830188679245</v>
      </c>
      <c r="Z750" s="14" t="n">
        <f aca="false">IF(K750+R750+T750+U750=0,0,(M750+R750+T750)/(K750+R750+T750+U750))</f>
        <v>0.264069264069264</v>
      </c>
      <c r="AA750" s="14" t="n">
        <f aca="false">IF(K750=0,0,X750/K750)</f>
        <v>0.372641509433962</v>
      </c>
      <c r="AB750" s="14" t="n">
        <f aca="false">Z750+AA750</f>
        <v>0.636710773503226</v>
      </c>
      <c r="AC750" s="14" t="n">
        <f aca="false">AA750-Y750</f>
        <v>0.169811320754717</v>
      </c>
      <c r="AD750" s="14" t="n">
        <f aca="false">IF(K750-S750-P750+U750=0,0,(M750-P750)/(K750-S750-P750+U750))</f>
        <v>0.23780487804878</v>
      </c>
      <c r="AE750" s="15" t="n">
        <f aca="false">IF(J750=0,0,R750/J750)</f>
        <v>0.0562770562770563</v>
      </c>
      <c r="AF750" s="15" t="n">
        <f aca="false">IF(J750=0,0,S750/J750)</f>
        <v>0.194805194805195</v>
      </c>
      <c r="AG750" s="11" t="n">
        <f aca="false">IF(J750&gt;=INDEX(球季參數!$E$2:$E$4,MATCH($A750,球季參數!$A$2:$A$4,0)),1,0)</f>
        <v>0</v>
      </c>
    </row>
    <row r="751" customFormat="false" ht="15" hidden="false" customHeight="false" outlineLevel="0" collapsed="false">
      <c r="A751" s="5" t="n">
        <v>2026</v>
      </c>
      <c r="B751" s="7" t="s">
        <v>1901</v>
      </c>
      <c r="C751" s="10" t="str">
        <f aca="false">INDEX(球員主檔!$B$2:$B$749,MATCH($B751,球員主檔!$A$2:$A$749,0))</f>
        <v>Konrad Tanabe</v>
      </c>
      <c r="D751" s="7" t="s">
        <v>400</v>
      </c>
      <c r="E751" s="10" t="str">
        <f aca="false">INDEX(球隊主檔!$C$2:$C$31,MATCH($D751,球隊主檔!$A$2:$A$31,0))</f>
        <v>德州遊騎兵</v>
      </c>
      <c r="F751" s="10" t="str">
        <f aca="false">INDEX(球隊主檔!$D$2:$D$31,MATCH($D751,球隊主檔!$A$2:$A$31,0))</f>
        <v>美聯</v>
      </c>
      <c r="G751" s="7" t="s">
        <v>478</v>
      </c>
      <c r="H751" s="11" t="n">
        <f aca="false">INT((DATE($A751,7,1)-INDEX(球員主檔!$G$2:$G$749,MATCH($B751,球員主檔!$A$2:$A$749,0)))/365.25)</f>
        <v>23</v>
      </c>
      <c r="I751" s="12" t="n">
        <v>44</v>
      </c>
      <c r="J751" s="12" t="n">
        <v>194</v>
      </c>
      <c r="K751" s="12" t="n">
        <v>171</v>
      </c>
      <c r="L751" s="12" t="n">
        <v>23</v>
      </c>
      <c r="M751" s="12" t="n">
        <v>40</v>
      </c>
      <c r="N751" s="12" t="n">
        <v>18</v>
      </c>
      <c r="O751" s="12" t="n">
        <v>1</v>
      </c>
      <c r="P751" s="12" t="n">
        <v>4</v>
      </c>
      <c r="Q751" s="12" t="n">
        <v>20</v>
      </c>
      <c r="R751" s="12" t="n">
        <v>17</v>
      </c>
      <c r="S751" s="12" t="n">
        <v>39</v>
      </c>
      <c r="T751" s="12" t="n">
        <v>4</v>
      </c>
      <c r="U751" s="12" t="n">
        <v>2</v>
      </c>
      <c r="V751" s="12" t="n">
        <v>3</v>
      </c>
      <c r="W751" s="12" t="n">
        <v>1</v>
      </c>
      <c r="X751" s="13" t="n">
        <f aca="false">M751+N751+2*O751+3*P751</f>
        <v>72</v>
      </c>
      <c r="Y751" s="14" t="n">
        <f aca="false">IF(K751=0,0,M751/K751)</f>
        <v>0.233918128654971</v>
      </c>
      <c r="Z751" s="14" t="n">
        <f aca="false">IF(K751+R751+T751+U751=0,0,(M751+R751+T751)/(K751+R751+T751+U751))</f>
        <v>0.314432989690722</v>
      </c>
      <c r="AA751" s="14" t="n">
        <f aca="false">IF(K751=0,0,X751/K751)</f>
        <v>0.421052631578947</v>
      </c>
      <c r="AB751" s="14" t="n">
        <f aca="false">Z751+AA751</f>
        <v>0.735485621269669</v>
      </c>
      <c r="AC751" s="14" t="n">
        <f aca="false">AA751-Y751</f>
        <v>0.187134502923977</v>
      </c>
      <c r="AD751" s="14" t="n">
        <f aca="false">IF(K751-S751-P751+U751=0,0,(M751-P751)/(K751-S751-P751+U751))</f>
        <v>0.276923076923077</v>
      </c>
      <c r="AE751" s="15" t="n">
        <f aca="false">IF(J751=0,0,R751/J751)</f>
        <v>0.0876288659793814</v>
      </c>
      <c r="AF751" s="15" t="n">
        <f aca="false">IF(J751=0,0,S751/J751)</f>
        <v>0.201030927835052</v>
      </c>
      <c r="AG751" s="11" t="n">
        <f aca="false">IF(J751&gt;=INDEX(球季參數!$E$2:$E$4,MATCH($A751,球季參數!$A$2:$A$4,0)),1,0)</f>
        <v>0</v>
      </c>
    </row>
    <row r="752" customFormat="false" ht="15" hidden="false" customHeight="false" outlineLevel="0" collapsed="false">
      <c r="A752" s="5" t="n">
        <v>2026</v>
      </c>
      <c r="B752" s="7" t="s">
        <v>1077</v>
      </c>
      <c r="C752" s="10" t="str">
        <f aca="false">INDEX(球員主檔!$B$2:$B$749,MATCH($B752,球員主檔!$A$2:$A$749,0))</f>
        <v>Emilio Cavanaugh</v>
      </c>
      <c r="D752" s="7" t="s">
        <v>404</v>
      </c>
      <c r="E752" s="10" t="str">
        <f aca="false">INDEX(球隊主檔!$C$2:$C$31,MATCH($D752,球隊主檔!$A$2:$A$31,0))</f>
        <v>亞特蘭大勇士</v>
      </c>
      <c r="F752" s="10" t="str">
        <f aca="false">INDEX(球隊主檔!$D$2:$D$31,MATCH($D752,球隊主檔!$A$2:$A$31,0))</f>
        <v>國聯</v>
      </c>
      <c r="G752" s="7" t="s">
        <v>470</v>
      </c>
      <c r="H752" s="11" t="n">
        <f aca="false">INT((DATE($A752,7,1)-INDEX(球員主檔!$G$2:$G$749,MATCH($B752,球員主檔!$A$2:$A$749,0)))/365.25)</f>
        <v>26</v>
      </c>
      <c r="I752" s="12" t="n">
        <v>138</v>
      </c>
      <c r="J752" s="12" t="n">
        <v>575</v>
      </c>
      <c r="K752" s="12" t="n">
        <v>507</v>
      </c>
      <c r="L752" s="12" t="n">
        <v>84</v>
      </c>
      <c r="M752" s="12" t="n">
        <v>138</v>
      </c>
      <c r="N752" s="12" t="n">
        <v>26</v>
      </c>
      <c r="O752" s="12" t="n">
        <v>7</v>
      </c>
      <c r="P752" s="12" t="n">
        <v>25</v>
      </c>
      <c r="Q752" s="12" t="n">
        <v>84</v>
      </c>
      <c r="R752" s="12" t="n">
        <v>52</v>
      </c>
      <c r="S752" s="12" t="n">
        <v>153</v>
      </c>
      <c r="T752" s="12" t="n">
        <v>11</v>
      </c>
      <c r="U752" s="12" t="n">
        <v>5</v>
      </c>
      <c r="V752" s="12" t="n">
        <v>23</v>
      </c>
      <c r="W752" s="12" t="n">
        <v>2</v>
      </c>
      <c r="X752" s="13" t="n">
        <f aca="false">M752+N752+2*O752+3*P752</f>
        <v>253</v>
      </c>
      <c r="Y752" s="14" t="n">
        <f aca="false">IF(K752=0,0,M752/K752)</f>
        <v>0.272189349112426</v>
      </c>
      <c r="Z752" s="14" t="n">
        <f aca="false">IF(K752+R752+T752+U752=0,0,(M752+R752+T752)/(K752+R752+T752+U752))</f>
        <v>0.349565217391304</v>
      </c>
      <c r="AA752" s="14" t="n">
        <f aca="false">IF(K752=0,0,X752/K752)</f>
        <v>0.499013806706114</v>
      </c>
      <c r="AB752" s="14" t="n">
        <f aca="false">Z752+AA752</f>
        <v>0.848579024097419</v>
      </c>
      <c r="AC752" s="14" t="n">
        <f aca="false">AA752-Y752</f>
        <v>0.226824457593688</v>
      </c>
      <c r="AD752" s="14" t="n">
        <f aca="false">IF(K752-S752-P752+U752=0,0,(M752-P752)/(K752-S752-P752+U752))</f>
        <v>0.338323353293413</v>
      </c>
      <c r="AE752" s="15" t="n">
        <f aca="false">IF(J752=0,0,R752/J752)</f>
        <v>0.0904347826086957</v>
      </c>
      <c r="AF752" s="15" t="n">
        <f aca="false">IF(J752=0,0,S752/J752)</f>
        <v>0.266086956521739</v>
      </c>
      <c r="AG752" s="11" t="n">
        <f aca="false">IF(J752&gt;=INDEX(球季參數!$E$2:$E$4,MATCH($A752,球季參數!$A$2:$A$4,0)),1,0)</f>
        <v>1</v>
      </c>
    </row>
    <row r="753" customFormat="false" ht="15" hidden="false" customHeight="false" outlineLevel="0" collapsed="false">
      <c r="A753" s="5" t="n">
        <v>2026</v>
      </c>
      <c r="B753" s="7" t="s">
        <v>1079</v>
      </c>
      <c r="C753" s="10" t="str">
        <f aca="false">INDEX(球員主檔!$B$2:$B$749,MATCH($B753,球員主檔!$A$2:$A$749,0))</f>
        <v>Augustin Vandermeer</v>
      </c>
      <c r="D753" s="7" t="s">
        <v>404</v>
      </c>
      <c r="E753" s="10" t="str">
        <f aca="false">INDEX(球隊主檔!$C$2:$C$31,MATCH($D753,球隊主檔!$A$2:$A$31,0))</f>
        <v>亞特蘭大勇士</v>
      </c>
      <c r="F753" s="10" t="str">
        <f aca="false">INDEX(球隊主檔!$D$2:$D$31,MATCH($D753,球隊主檔!$A$2:$A$31,0))</f>
        <v>國聯</v>
      </c>
      <c r="G753" s="7" t="s">
        <v>483</v>
      </c>
      <c r="H753" s="11" t="n">
        <f aca="false">INT((DATE($A753,7,1)-INDEX(球員主檔!$G$2:$G$749,MATCH($B753,球員主檔!$A$2:$A$749,0)))/365.25)</f>
        <v>29</v>
      </c>
      <c r="I753" s="12" t="n">
        <v>133</v>
      </c>
      <c r="J753" s="12" t="n">
        <v>599</v>
      </c>
      <c r="K753" s="12" t="n">
        <v>521</v>
      </c>
      <c r="L753" s="12" t="n">
        <v>76</v>
      </c>
      <c r="M753" s="12" t="n">
        <v>131</v>
      </c>
      <c r="N753" s="12" t="n">
        <v>27</v>
      </c>
      <c r="O753" s="12" t="n">
        <v>3</v>
      </c>
      <c r="P753" s="12" t="n">
        <v>31</v>
      </c>
      <c r="Q753" s="12" t="n">
        <v>88</v>
      </c>
      <c r="R753" s="12" t="n">
        <v>62</v>
      </c>
      <c r="S753" s="12" t="n">
        <v>169</v>
      </c>
      <c r="T753" s="12" t="n">
        <v>9</v>
      </c>
      <c r="U753" s="12" t="n">
        <v>7</v>
      </c>
      <c r="V753" s="12" t="n">
        <v>5</v>
      </c>
      <c r="W753" s="12" t="n">
        <v>1</v>
      </c>
      <c r="X753" s="13" t="n">
        <f aca="false">M753+N753+2*O753+3*P753</f>
        <v>257</v>
      </c>
      <c r="Y753" s="14" t="n">
        <f aca="false">IF(K753=0,0,M753/K753)</f>
        <v>0.251439539347409</v>
      </c>
      <c r="Z753" s="14" t="n">
        <f aca="false">IF(K753+R753+T753+U753=0,0,(M753+R753+T753)/(K753+R753+T753+U753))</f>
        <v>0.337228714524207</v>
      </c>
      <c r="AA753" s="14" t="n">
        <f aca="false">IF(K753=0,0,X753/K753)</f>
        <v>0.493282149712092</v>
      </c>
      <c r="AB753" s="14" t="n">
        <f aca="false">Z753+AA753</f>
        <v>0.830510864236299</v>
      </c>
      <c r="AC753" s="14" t="n">
        <f aca="false">AA753-Y753</f>
        <v>0.241842610364683</v>
      </c>
      <c r="AD753" s="14" t="n">
        <f aca="false">IF(K753-S753-P753+U753=0,0,(M753-P753)/(K753-S753-P753+U753))</f>
        <v>0.304878048780488</v>
      </c>
      <c r="AE753" s="15" t="n">
        <f aca="false">IF(J753=0,0,R753/J753)</f>
        <v>0.103505843071786</v>
      </c>
      <c r="AF753" s="15" t="n">
        <f aca="false">IF(J753=0,0,S753/J753)</f>
        <v>0.282136894824708</v>
      </c>
      <c r="AG753" s="11" t="n">
        <f aca="false">IF(J753&gt;=INDEX(球季參數!$E$2:$E$4,MATCH($A753,球季參數!$A$2:$A$4,0)),1,0)</f>
        <v>1</v>
      </c>
    </row>
    <row r="754" customFormat="false" ht="15" hidden="false" customHeight="false" outlineLevel="0" collapsed="false">
      <c r="A754" s="5" t="n">
        <v>2026</v>
      </c>
      <c r="B754" s="7" t="s">
        <v>1081</v>
      </c>
      <c r="C754" s="10" t="str">
        <f aca="false">INDEX(球員主檔!$B$2:$B$749,MATCH($B754,球員主檔!$A$2:$A$749,0))</f>
        <v>Minjae Quiroga</v>
      </c>
      <c r="D754" s="7" t="s">
        <v>404</v>
      </c>
      <c r="E754" s="10" t="str">
        <f aca="false">INDEX(球隊主檔!$C$2:$C$31,MATCH($D754,球隊主檔!$A$2:$A$31,0))</f>
        <v>亞特蘭大勇士</v>
      </c>
      <c r="F754" s="10" t="str">
        <f aca="false">INDEX(球隊主檔!$D$2:$D$31,MATCH($D754,球隊主檔!$A$2:$A$31,0))</f>
        <v>國聯</v>
      </c>
      <c r="G754" s="7" t="s">
        <v>522</v>
      </c>
      <c r="H754" s="11" t="n">
        <f aca="false">INT((DATE($A754,7,1)-INDEX(球員主檔!$G$2:$G$749,MATCH($B754,球員主檔!$A$2:$A$749,0)))/365.25)</f>
        <v>26</v>
      </c>
      <c r="I754" s="12" t="n">
        <v>156</v>
      </c>
      <c r="J754" s="12" t="n">
        <v>656</v>
      </c>
      <c r="K754" s="12" t="n">
        <v>573</v>
      </c>
      <c r="L754" s="12" t="n">
        <v>87</v>
      </c>
      <c r="M754" s="12" t="n">
        <v>146</v>
      </c>
      <c r="N754" s="12" t="n">
        <v>11</v>
      </c>
      <c r="O754" s="12" t="n">
        <v>8</v>
      </c>
      <c r="P754" s="12" t="n">
        <v>11</v>
      </c>
      <c r="Q754" s="12" t="n">
        <v>49</v>
      </c>
      <c r="R754" s="12" t="n">
        <v>79</v>
      </c>
      <c r="S754" s="12" t="n">
        <v>153</v>
      </c>
      <c r="T754" s="12" t="n">
        <v>2</v>
      </c>
      <c r="U754" s="12" t="n">
        <v>2</v>
      </c>
      <c r="V754" s="12" t="n">
        <v>29</v>
      </c>
      <c r="W754" s="12" t="n">
        <v>10</v>
      </c>
      <c r="X754" s="13" t="n">
        <f aca="false">M754+N754+2*O754+3*P754</f>
        <v>206</v>
      </c>
      <c r="Y754" s="14" t="n">
        <f aca="false">IF(K754=0,0,M754/K754)</f>
        <v>0.254799301919721</v>
      </c>
      <c r="Z754" s="14" t="n">
        <f aca="false">IF(K754+R754+T754+U754=0,0,(M754+R754+T754)/(K754+R754+T754+U754))</f>
        <v>0.346036585365854</v>
      </c>
      <c r="AA754" s="14" t="n">
        <f aca="false">IF(K754=0,0,X754/K754)</f>
        <v>0.359511343804538</v>
      </c>
      <c r="AB754" s="14" t="n">
        <f aca="false">Z754+AA754</f>
        <v>0.705547929170391</v>
      </c>
      <c r="AC754" s="14" t="n">
        <f aca="false">AA754-Y754</f>
        <v>0.104712041884817</v>
      </c>
      <c r="AD754" s="14" t="n">
        <f aca="false">IF(K754-S754-P754+U754=0,0,(M754-P754)/(K754-S754-P754+U754))</f>
        <v>0.328467153284672</v>
      </c>
      <c r="AE754" s="15" t="n">
        <f aca="false">IF(J754=0,0,R754/J754)</f>
        <v>0.120426829268293</v>
      </c>
      <c r="AF754" s="15" t="n">
        <f aca="false">IF(J754=0,0,S754/J754)</f>
        <v>0.233231707317073</v>
      </c>
      <c r="AG754" s="11" t="n">
        <f aca="false">IF(J754&gt;=INDEX(球季參數!$E$2:$E$4,MATCH($A754,球季參數!$A$2:$A$4,0)),1,0)</f>
        <v>1</v>
      </c>
    </row>
    <row r="755" customFormat="false" ht="15" hidden="false" customHeight="false" outlineLevel="0" collapsed="false">
      <c r="A755" s="5" t="n">
        <v>2026</v>
      </c>
      <c r="B755" s="7" t="s">
        <v>1083</v>
      </c>
      <c r="C755" s="10" t="str">
        <f aca="false">INDEX(球員主檔!$B$2:$B$749,MATCH($B755,球員主檔!$A$2:$A$749,0))</f>
        <v>Zane Dunmore</v>
      </c>
      <c r="D755" s="7" t="s">
        <v>404</v>
      </c>
      <c r="E755" s="10" t="str">
        <f aca="false">INDEX(球隊主檔!$C$2:$C$31,MATCH($D755,球隊主檔!$A$2:$A$31,0))</f>
        <v>亞特蘭大勇士</v>
      </c>
      <c r="F755" s="10" t="str">
        <f aca="false">INDEX(球隊主檔!$D$2:$D$31,MATCH($D755,球隊主檔!$A$2:$A$31,0))</f>
        <v>國聯</v>
      </c>
      <c r="G755" s="7" t="s">
        <v>473</v>
      </c>
      <c r="H755" s="11" t="n">
        <f aca="false">INT((DATE($A755,7,1)-INDEX(球員主檔!$G$2:$G$749,MATCH($B755,球員主檔!$A$2:$A$749,0)))/365.25)</f>
        <v>28</v>
      </c>
      <c r="I755" s="12" t="n">
        <v>156</v>
      </c>
      <c r="J755" s="12" t="n">
        <v>632</v>
      </c>
      <c r="K755" s="12" t="n">
        <v>531</v>
      </c>
      <c r="L755" s="12" t="n">
        <v>73</v>
      </c>
      <c r="M755" s="12" t="n">
        <v>104</v>
      </c>
      <c r="N755" s="12" t="n">
        <v>31</v>
      </c>
      <c r="O755" s="12" t="n">
        <v>2</v>
      </c>
      <c r="P755" s="12" t="n">
        <v>26</v>
      </c>
      <c r="Q755" s="12" t="n">
        <v>78</v>
      </c>
      <c r="R755" s="12" t="n">
        <v>84</v>
      </c>
      <c r="S755" s="12" t="n">
        <v>153</v>
      </c>
      <c r="T755" s="12" t="n">
        <v>11</v>
      </c>
      <c r="U755" s="12" t="n">
        <v>6</v>
      </c>
      <c r="V755" s="12" t="n">
        <v>6</v>
      </c>
      <c r="W755" s="12" t="n">
        <v>2</v>
      </c>
      <c r="X755" s="13" t="n">
        <f aca="false">M755+N755+2*O755+3*P755</f>
        <v>217</v>
      </c>
      <c r="Y755" s="14" t="n">
        <f aca="false">IF(K755=0,0,M755/K755)</f>
        <v>0.195856873822976</v>
      </c>
      <c r="Z755" s="14" t="n">
        <f aca="false">IF(K755+R755+T755+U755=0,0,(M755+R755+T755)/(K755+R755+T755+U755))</f>
        <v>0.314873417721519</v>
      </c>
      <c r="AA755" s="14" t="n">
        <f aca="false">IF(K755=0,0,X755/K755)</f>
        <v>0.408662900188324</v>
      </c>
      <c r="AB755" s="14" t="n">
        <f aca="false">Z755+AA755</f>
        <v>0.723536317909843</v>
      </c>
      <c r="AC755" s="14" t="n">
        <f aca="false">AA755-Y755</f>
        <v>0.212806026365348</v>
      </c>
      <c r="AD755" s="14" t="n">
        <f aca="false">IF(K755-S755-P755+U755=0,0,(M755-P755)/(K755-S755-P755+U755))</f>
        <v>0.217877094972067</v>
      </c>
      <c r="AE755" s="15" t="n">
        <f aca="false">IF(J755=0,0,R755/J755)</f>
        <v>0.132911392405063</v>
      </c>
      <c r="AF755" s="15" t="n">
        <f aca="false">IF(J755=0,0,S755/J755)</f>
        <v>0.242088607594937</v>
      </c>
      <c r="AG755" s="11" t="n">
        <f aca="false">IF(J755&gt;=INDEX(球季參數!$E$2:$E$4,MATCH($A755,球季參數!$A$2:$A$4,0)),1,0)</f>
        <v>1</v>
      </c>
    </row>
    <row r="756" customFormat="false" ht="15" hidden="false" customHeight="false" outlineLevel="0" collapsed="false">
      <c r="A756" s="5" t="n">
        <v>2026</v>
      </c>
      <c r="B756" s="7" t="s">
        <v>849</v>
      </c>
      <c r="C756" s="10" t="str">
        <f aca="false">INDEX(球員主檔!$B$2:$B$749,MATCH($B756,球員主檔!$A$2:$A$749,0))</f>
        <v>Yusuke Yamazaki</v>
      </c>
      <c r="D756" s="7" t="s">
        <v>404</v>
      </c>
      <c r="E756" s="10" t="str">
        <f aca="false">INDEX(球隊主檔!$C$2:$C$31,MATCH($D756,球隊主檔!$A$2:$A$31,0))</f>
        <v>亞特蘭大勇士</v>
      </c>
      <c r="F756" s="10" t="str">
        <f aca="false">INDEX(球隊主檔!$D$2:$D$31,MATCH($D756,球隊主檔!$A$2:$A$31,0))</f>
        <v>國聯</v>
      </c>
      <c r="G756" s="7" t="s">
        <v>486</v>
      </c>
      <c r="H756" s="11" t="n">
        <f aca="false">INT((DATE($A756,7,1)-INDEX(球員主檔!$G$2:$G$749,MATCH($B756,球員主檔!$A$2:$A$749,0)))/365.25)</f>
        <v>30</v>
      </c>
      <c r="I756" s="12" t="n">
        <v>155</v>
      </c>
      <c r="J756" s="12" t="n">
        <v>629</v>
      </c>
      <c r="K756" s="12" t="n">
        <v>554</v>
      </c>
      <c r="L756" s="12" t="n">
        <v>59</v>
      </c>
      <c r="M756" s="12" t="n">
        <v>120</v>
      </c>
      <c r="N756" s="12" t="n">
        <v>31</v>
      </c>
      <c r="O756" s="12" t="n">
        <v>2</v>
      </c>
      <c r="P756" s="12" t="n">
        <v>19</v>
      </c>
      <c r="Q756" s="12" t="n">
        <v>69</v>
      </c>
      <c r="R756" s="12" t="n">
        <v>62</v>
      </c>
      <c r="S756" s="12" t="n">
        <v>151</v>
      </c>
      <c r="T756" s="12" t="n">
        <v>12</v>
      </c>
      <c r="U756" s="12" t="n">
        <v>1</v>
      </c>
      <c r="V756" s="12" t="n">
        <v>15</v>
      </c>
      <c r="W756" s="12" t="n">
        <v>3</v>
      </c>
      <c r="X756" s="13" t="n">
        <f aca="false">M756+N756+2*O756+3*P756</f>
        <v>212</v>
      </c>
      <c r="Y756" s="14" t="n">
        <f aca="false">IF(K756=0,0,M756/K756)</f>
        <v>0.216606498194946</v>
      </c>
      <c r="Z756" s="14" t="n">
        <f aca="false">IF(K756+R756+T756+U756=0,0,(M756+R756+T756)/(K756+R756+T756+U756))</f>
        <v>0.308426073131955</v>
      </c>
      <c r="AA756" s="14" t="n">
        <f aca="false">IF(K756=0,0,X756/K756)</f>
        <v>0.382671480144404</v>
      </c>
      <c r="AB756" s="14" t="n">
        <f aca="false">Z756+AA756</f>
        <v>0.69109755327636</v>
      </c>
      <c r="AC756" s="14" t="n">
        <f aca="false">AA756-Y756</f>
        <v>0.166064981949458</v>
      </c>
      <c r="AD756" s="14" t="n">
        <f aca="false">IF(K756-S756-P756+U756=0,0,(M756-P756)/(K756-S756-P756+U756))</f>
        <v>0.262337662337662</v>
      </c>
      <c r="AE756" s="15" t="n">
        <f aca="false">IF(J756=0,0,R756/J756)</f>
        <v>0.0985691573926868</v>
      </c>
      <c r="AF756" s="15" t="n">
        <f aca="false">IF(J756=0,0,S756/J756)</f>
        <v>0.240063593004769</v>
      </c>
      <c r="AG756" s="11" t="n">
        <f aca="false">IF(J756&gt;=INDEX(球季參數!$E$2:$E$4,MATCH($A756,球季參數!$A$2:$A$4,0)),1,0)</f>
        <v>1</v>
      </c>
    </row>
    <row r="757" customFormat="false" ht="15" hidden="false" customHeight="false" outlineLevel="0" collapsed="false">
      <c r="A757" s="5" t="n">
        <v>2026</v>
      </c>
      <c r="B757" s="7" t="s">
        <v>1905</v>
      </c>
      <c r="C757" s="10" t="str">
        <f aca="false">INDEX(球員主檔!$B$2:$B$749,MATCH($B757,球員主檔!$A$2:$A$749,0))</f>
        <v>Fletcher Marchetti</v>
      </c>
      <c r="D757" s="7" t="s">
        <v>404</v>
      </c>
      <c r="E757" s="10" t="str">
        <f aca="false">INDEX(球隊主檔!$C$2:$C$31,MATCH($D757,球隊主檔!$A$2:$A$31,0))</f>
        <v>亞特蘭大勇士</v>
      </c>
      <c r="F757" s="10" t="str">
        <f aca="false">INDEX(球隊主檔!$D$2:$D$31,MATCH($D757,球隊主檔!$A$2:$A$31,0))</f>
        <v>國聯</v>
      </c>
      <c r="G757" s="7" t="s">
        <v>158</v>
      </c>
      <c r="H757" s="11" t="n">
        <f aca="false">INT((DATE($A757,7,1)-INDEX(球員主檔!$G$2:$G$749,MATCH($B757,球員主檔!$A$2:$A$749,0)))/365.25)</f>
        <v>22</v>
      </c>
      <c r="I757" s="12" t="n">
        <v>110</v>
      </c>
      <c r="J757" s="12" t="n">
        <v>472</v>
      </c>
      <c r="K757" s="12" t="n">
        <v>429</v>
      </c>
      <c r="L757" s="12" t="n">
        <v>45</v>
      </c>
      <c r="M757" s="12" t="n">
        <v>91</v>
      </c>
      <c r="N757" s="12" t="n">
        <v>15</v>
      </c>
      <c r="O757" s="12" t="n">
        <v>1</v>
      </c>
      <c r="P757" s="12" t="n">
        <v>12</v>
      </c>
      <c r="Q757" s="12" t="n">
        <v>51</v>
      </c>
      <c r="R757" s="12" t="n">
        <v>34</v>
      </c>
      <c r="S757" s="12" t="n">
        <v>95</v>
      </c>
      <c r="T757" s="12" t="n">
        <v>4</v>
      </c>
      <c r="U757" s="12" t="n">
        <v>5</v>
      </c>
      <c r="V757" s="12" t="n">
        <v>4</v>
      </c>
      <c r="W757" s="12" t="n">
        <v>1</v>
      </c>
      <c r="X757" s="13" t="n">
        <f aca="false">M757+N757+2*O757+3*P757</f>
        <v>144</v>
      </c>
      <c r="Y757" s="14" t="n">
        <f aca="false">IF(K757=0,0,M757/K757)</f>
        <v>0.212121212121212</v>
      </c>
      <c r="Z757" s="14" t="n">
        <f aca="false">IF(K757+R757+T757+U757=0,0,(M757+R757+T757)/(K757+R757+T757+U757))</f>
        <v>0.273305084745763</v>
      </c>
      <c r="AA757" s="14" t="n">
        <f aca="false">IF(K757=0,0,X757/K757)</f>
        <v>0.335664335664336</v>
      </c>
      <c r="AB757" s="14" t="n">
        <f aca="false">Z757+AA757</f>
        <v>0.608969420410098</v>
      </c>
      <c r="AC757" s="14" t="n">
        <f aca="false">AA757-Y757</f>
        <v>0.123543123543124</v>
      </c>
      <c r="AD757" s="14" t="n">
        <f aca="false">IF(K757-S757-P757+U757=0,0,(M757-P757)/(K757-S757-P757+U757))</f>
        <v>0.241590214067278</v>
      </c>
      <c r="AE757" s="15" t="n">
        <f aca="false">IF(J757=0,0,R757/J757)</f>
        <v>0.0720338983050848</v>
      </c>
      <c r="AF757" s="15" t="n">
        <f aca="false">IF(J757=0,0,S757/J757)</f>
        <v>0.201271186440678</v>
      </c>
      <c r="AG757" s="11" t="n">
        <f aca="false">IF(J757&gt;=INDEX(球季參數!$E$2:$E$4,MATCH($A757,球季參數!$A$2:$A$4,0)),1,0)</f>
        <v>0</v>
      </c>
    </row>
    <row r="758" customFormat="false" ht="15" hidden="false" customHeight="false" outlineLevel="0" collapsed="false">
      <c r="A758" s="5" t="n">
        <v>2026</v>
      </c>
      <c r="B758" s="7" t="s">
        <v>1089</v>
      </c>
      <c r="C758" s="10" t="str">
        <f aca="false">INDEX(球員主檔!$B$2:$B$749,MATCH($B758,球員主檔!$A$2:$A$749,0))</f>
        <v>Rhett Ulloa</v>
      </c>
      <c r="D758" s="7" t="s">
        <v>404</v>
      </c>
      <c r="E758" s="10" t="str">
        <f aca="false">INDEX(球隊主檔!$C$2:$C$31,MATCH($D758,球隊主檔!$A$2:$A$31,0))</f>
        <v>亞特蘭大勇士</v>
      </c>
      <c r="F758" s="10" t="str">
        <f aca="false">INDEX(球隊主檔!$D$2:$D$31,MATCH($D758,球隊主檔!$A$2:$A$31,0))</f>
        <v>國聯</v>
      </c>
      <c r="G758" s="7" t="s">
        <v>63</v>
      </c>
      <c r="H758" s="11" t="n">
        <f aca="false">INT((DATE($A758,7,1)-INDEX(球員主檔!$G$2:$G$749,MATCH($B758,球員主檔!$A$2:$A$749,0)))/365.25)</f>
        <v>29</v>
      </c>
      <c r="I758" s="12" t="n">
        <v>94</v>
      </c>
      <c r="J758" s="12" t="n">
        <v>367</v>
      </c>
      <c r="K758" s="12" t="n">
        <v>350</v>
      </c>
      <c r="L758" s="12" t="n">
        <v>41</v>
      </c>
      <c r="M758" s="12" t="n">
        <v>87</v>
      </c>
      <c r="N758" s="12" t="n">
        <v>32</v>
      </c>
      <c r="O758" s="12" t="n">
        <v>8</v>
      </c>
      <c r="P758" s="12" t="n">
        <v>13</v>
      </c>
      <c r="Q758" s="12" t="n">
        <v>50</v>
      </c>
      <c r="R758" s="12" t="n">
        <v>10</v>
      </c>
      <c r="S758" s="12" t="n">
        <v>61</v>
      </c>
      <c r="T758" s="12" t="n">
        <v>4</v>
      </c>
      <c r="U758" s="12" t="n">
        <v>3</v>
      </c>
      <c r="V758" s="12" t="n">
        <v>2</v>
      </c>
      <c r="W758" s="12" t="n">
        <v>0</v>
      </c>
      <c r="X758" s="13" t="n">
        <f aca="false">M758+N758+2*O758+3*P758</f>
        <v>174</v>
      </c>
      <c r="Y758" s="14" t="n">
        <f aca="false">IF(K758=0,0,M758/K758)</f>
        <v>0.248571428571429</v>
      </c>
      <c r="Z758" s="14" t="n">
        <f aca="false">IF(K758+R758+T758+U758=0,0,(M758+R758+T758)/(K758+R758+T758+U758))</f>
        <v>0.275204359673025</v>
      </c>
      <c r="AA758" s="14" t="n">
        <f aca="false">IF(K758=0,0,X758/K758)</f>
        <v>0.497142857142857</v>
      </c>
      <c r="AB758" s="14" t="n">
        <f aca="false">Z758+AA758</f>
        <v>0.772347216815882</v>
      </c>
      <c r="AC758" s="14" t="n">
        <f aca="false">AA758-Y758</f>
        <v>0.248571428571429</v>
      </c>
      <c r="AD758" s="14" t="n">
        <f aca="false">IF(K758-S758-P758+U758=0,0,(M758-P758)/(K758-S758-P758+U758))</f>
        <v>0.265232974910394</v>
      </c>
      <c r="AE758" s="15" t="n">
        <f aca="false">IF(J758=0,0,R758/J758)</f>
        <v>0.0272479564032698</v>
      </c>
      <c r="AF758" s="15" t="n">
        <f aca="false">IF(J758=0,0,S758/J758)</f>
        <v>0.166212534059946</v>
      </c>
      <c r="AG758" s="11" t="n">
        <f aca="false">IF(J758&gt;=INDEX(球季參數!$E$2:$E$4,MATCH($A758,球季參數!$A$2:$A$4,0)),1,0)</f>
        <v>0</v>
      </c>
    </row>
    <row r="759" customFormat="false" ht="15" hidden="false" customHeight="false" outlineLevel="0" collapsed="false">
      <c r="A759" s="5" t="n">
        <v>2026</v>
      </c>
      <c r="B759" s="7" t="s">
        <v>1091</v>
      </c>
      <c r="C759" s="10" t="str">
        <f aca="false">INDEX(球員主檔!$B$2:$B$749,MATCH($B759,球員主檔!$A$2:$A$749,0))</f>
        <v>Alonso Nakagawa</v>
      </c>
      <c r="D759" s="7" t="s">
        <v>404</v>
      </c>
      <c r="E759" s="10" t="str">
        <f aca="false">INDEX(球隊主檔!$C$2:$C$31,MATCH($D759,球隊主檔!$A$2:$A$31,0))</f>
        <v>亞特蘭大勇士</v>
      </c>
      <c r="F759" s="10" t="str">
        <f aca="false">INDEX(球隊主檔!$D$2:$D$31,MATCH($D759,球隊主檔!$A$2:$A$31,0))</f>
        <v>國聯</v>
      </c>
      <c r="G759" s="7" t="s">
        <v>470</v>
      </c>
      <c r="H759" s="11" t="n">
        <f aca="false">INT((DATE($A759,7,1)-INDEX(球員主檔!$G$2:$G$749,MATCH($B759,球員主檔!$A$2:$A$749,0)))/365.25)</f>
        <v>30</v>
      </c>
      <c r="I759" s="12" t="n">
        <v>118</v>
      </c>
      <c r="J759" s="12" t="n">
        <v>493</v>
      </c>
      <c r="K759" s="12" t="n">
        <v>441</v>
      </c>
      <c r="L759" s="12" t="n">
        <v>41</v>
      </c>
      <c r="M759" s="12" t="n">
        <v>82</v>
      </c>
      <c r="N759" s="12" t="n">
        <v>31</v>
      </c>
      <c r="O759" s="12" t="n">
        <v>7</v>
      </c>
      <c r="P759" s="12" t="n">
        <v>12</v>
      </c>
      <c r="Q759" s="12" t="n">
        <v>45</v>
      </c>
      <c r="R759" s="12" t="n">
        <v>43</v>
      </c>
      <c r="S759" s="12" t="n">
        <v>128</v>
      </c>
      <c r="T759" s="12" t="n">
        <v>6</v>
      </c>
      <c r="U759" s="12" t="n">
        <v>3</v>
      </c>
      <c r="V759" s="12" t="n">
        <v>4</v>
      </c>
      <c r="W759" s="12" t="n">
        <v>1</v>
      </c>
      <c r="X759" s="13" t="n">
        <f aca="false">M759+N759+2*O759+3*P759</f>
        <v>163</v>
      </c>
      <c r="Y759" s="14" t="n">
        <f aca="false">IF(K759=0,0,M759/K759)</f>
        <v>0.1859410430839</v>
      </c>
      <c r="Z759" s="14" t="n">
        <f aca="false">IF(K759+R759+T759+U759=0,0,(M759+R759+T759)/(K759+R759+T759+U759))</f>
        <v>0.265720081135903</v>
      </c>
      <c r="AA759" s="14" t="n">
        <f aca="false">IF(K759=0,0,X759/K759)</f>
        <v>0.369614512471655</v>
      </c>
      <c r="AB759" s="14" t="n">
        <f aca="false">Z759+AA759</f>
        <v>0.635334593607558</v>
      </c>
      <c r="AC759" s="14" t="n">
        <f aca="false">AA759-Y759</f>
        <v>0.183673469387755</v>
      </c>
      <c r="AD759" s="14" t="n">
        <f aca="false">IF(K759-S759-P759+U759=0,0,(M759-P759)/(K759-S759-P759+U759))</f>
        <v>0.230263157894737</v>
      </c>
      <c r="AE759" s="15" t="n">
        <f aca="false">IF(J759=0,0,R759/J759)</f>
        <v>0.0872210953346856</v>
      </c>
      <c r="AF759" s="15" t="n">
        <f aca="false">IF(J759=0,0,S759/J759)</f>
        <v>0.259634888438134</v>
      </c>
      <c r="AG759" s="11" t="n">
        <f aca="false">IF(J759&gt;=INDEX(球季參數!$E$2:$E$4,MATCH($A759,球季參數!$A$2:$A$4,0)),1,0)</f>
        <v>0</v>
      </c>
    </row>
    <row r="760" customFormat="false" ht="15" hidden="false" customHeight="false" outlineLevel="0" collapsed="false">
      <c r="A760" s="5" t="n">
        <v>2026</v>
      </c>
      <c r="B760" s="7" t="s">
        <v>1093</v>
      </c>
      <c r="C760" s="10" t="str">
        <f aca="false">INDEX(球員主檔!$B$2:$B$749,MATCH($B760,球員主檔!$A$2:$A$749,0))</f>
        <v>Benedikt Lindquist</v>
      </c>
      <c r="D760" s="7" t="s">
        <v>404</v>
      </c>
      <c r="E760" s="10" t="str">
        <f aca="false">INDEX(球隊主檔!$C$2:$C$31,MATCH($D760,球隊主檔!$A$2:$A$31,0))</f>
        <v>亞特蘭大勇士</v>
      </c>
      <c r="F760" s="10" t="str">
        <f aca="false">INDEX(球隊主檔!$D$2:$D$31,MATCH($D760,球隊主檔!$A$2:$A$31,0))</f>
        <v>國聯</v>
      </c>
      <c r="G760" s="7" t="s">
        <v>470</v>
      </c>
      <c r="H760" s="11" t="n">
        <f aca="false">INT((DATE($A760,7,1)-INDEX(球員主檔!$G$2:$G$749,MATCH($B760,球員主檔!$A$2:$A$749,0)))/365.25)</f>
        <v>28</v>
      </c>
      <c r="I760" s="12" t="n">
        <v>73</v>
      </c>
      <c r="J760" s="12" t="n">
        <v>323</v>
      </c>
      <c r="K760" s="12" t="n">
        <v>296</v>
      </c>
      <c r="L760" s="12" t="n">
        <v>40</v>
      </c>
      <c r="M760" s="12" t="n">
        <v>69</v>
      </c>
      <c r="N760" s="12" t="n">
        <v>27</v>
      </c>
      <c r="O760" s="12" t="n">
        <v>0</v>
      </c>
      <c r="P760" s="12" t="n">
        <v>13</v>
      </c>
      <c r="Q760" s="12" t="n">
        <v>46</v>
      </c>
      <c r="R760" s="12" t="n">
        <v>23</v>
      </c>
      <c r="S760" s="12" t="n">
        <v>112</v>
      </c>
      <c r="T760" s="12" t="n">
        <v>2</v>
      </c>
      <c r="U760" s="12" t="n">
        <v>2</v>
      </c>
      <c r="V760" s="12" t="n">
        <v>7</v>
      </c>
      <c r="W760" s="12" t="n">
        <v>1</v>
      </c>
      <c r="X760" s="13" t="n">
        <f aca="false">M760+N760+2*O760+3*P760</f>
        <v>135</v>
      </c>
      <c r="Y760" s="14" t="n">
        <f aca="false">IF(K760=0,0,M760/K760)</f>
        <v>0.233108108108108</v>
      </c>
      <c r="Z760" s="14" t="n">
        <f aca="false">IF(K760+R760+T760+U760=0,0,(M760+R760+T760)/(K760+R760+T760+U760))</f>
        <v>0.291021671826625</v>
      </c>
      <c r="AA760" s="14" t="n">
        <f aca="false">IF(K760=0,0,X760/K760)</f>
        <v>0.456081081081081</v>
      </c>
      <c r="AB760" s="14" t="n">
        <f aca="false">Z760+AA760</f>
        <v>0.747102752907706</v>
      </c>
      <c r="AC760" s="14" t="n">
        <f aca="false">AA760-Y760</f>
        <v>0.222972972972973</v>
      </c>
      <c r="AD760" s="14" t="n">
        <f aca="false">IF(K760-S760-P760+U760=0,0,(M760-P760)/(K760-S760-P760+U760))</f>
        <v>0.323699421965318</v>
      </c>
      <c r="AE760" s="15" t="n">
        <f aca="false">IF(J760=0,0,R760/J760)</f>
        <v>0.0712074303405573</v>
      </c>
      <c r="AF760" s="15" t="n">
        <f aca="false">IF(J760=0,0,S760/J760)</f>
        <v>0.346749226006192</v>
      </c>
      <c r="AG760" s="11" t="n">
        <f aca="false">IF(J760&gt;=INDEX(球季參數!$E$2:$E$4,MATCH($A760,球季參數!$A$2:$A$4,0)),1,0)</f>
        <v>0</v>
      </c>
    </row>
    <row r="761" customFormat="false" ht="15" hidden="false" customHeight="false" outlineLevel="0" collapsed="false">
      <c r="A761" s="5" t="n">
        <v>2026</v>
      </c>
      <c r="B761" s="7" t="s">
        <v>1321</v>
      </c>
      <c r="C761" s="10" t="str">
        <f aca="false">INDEX(球員主檔!$B$2:$B$749,MATCH($B761,球員主檔!$A$2:$A$749,0))</f>
        <v>Emilio Yoshinaga</v>
      </c>
      <c r="D761" s="7" t="s">
        <v>404</v>
      </c>
      <c r="E761" s="10" t="str">
        <f aca="false">INDEX(球隊主檔!$C$2:$C$31,MATCH($D761,球隊主檔!$A$2:$A$31,0))</f>
        <v>亞特蘭大勇士</v>
      </c>
      <c r="F761" s="10" t="str">
        <f aca="false">INDEX(球隊主檔!$D$2:$D$31,MATCH($D761,球隊主檔!$A$2:$A$31,0))</f>
        <v>國聯</v>
      </c>
      <c r="G761" s="7" t="s">
        <v>478</v>
      </c>
      <c r="H761" s="11" t="n">
        <f aca="false">INT((DATE($A761,7,1)-INDEX(球員主檔!$G$2:$G$749,MATCH($B761,球員主檔!$A$2:$A$749,0)))/365.25)</f>
        <v>32</v>
      </c>
      <c r="I761" s="12" t="n">
        <v>60</v>
      </c>
      <c r="J761" s="12" t="n">
        <v>252</v>
      </c>
      <c r="K761" s="12" t="n">
        <v>237</v>
      </c>
      <c r="L761" s="12" t="n">
        <v>28</v>
      </c>
      <c r="M761" s="12" t="n">
        <v>50</v>
      </c>
      <c r="N761" s="12" t="n">
        <v>20</v>
      </c>
      <c r="O761" s="12" t="n">
        <v>1</v>
      </c>
      <c r="P761" s="12" t="n">
        <v>8</v>
      </c>
      <c r="Q761" s="12" t="n">
        <v>26</v>
      </c>
      <c r="R761" s="12" t="n">
        <v>13</v>
      </c>
      <c r="S761" s="12" t="n">
        <v>59</v>
      </c>
      <c r="T761" s="12" t="n">
        <v>1</v>
      </c>
      <c r="U761" s="12" t="n">
        <v>1</v>
      </c>
      <c r="V761" s="12" t="n">
        <v>8</v>
      </c>
      <c r="W761" s="12" t="n">
        <v>2</v>
      </c>
      <c r="X761" s="13" t="n">
        <f aca="false">M761+N761+2*O761+3*P761</f>
        <v>96</v>
      </c>
      <c r="Y761" s="14" t="n">
        <f aca="false">IF(K761=0,0,M761/K761)</f>
        <v>0.210970464135021</v>
      </c>
      <c r="Z761" s="14" t="n">
        <f aca="false">IF(K761+R761+T761+U761=0,0,(M761+R761+T761)/(K761+R761+T761+U761))</f>
        <v>0.253968253968254</v>
      </c>
      <c r="AA761" s="14" t="n">
        <f aca="false">IF(K761=0,0,X761/K761)</f>
        <v>0.405063291139241</v>
      </c>
      <c r="AB761" s="14" t="n">
        <f aca="false">Z761+AA761</f>
        <v>0.659031545107494</v>
      </c>
      <c r="AC761" s="14" t="n">
        <f aca="false">AA761-Y761</f>
        <v>0.194092827004219</v>
      </c>
      <c r="AD761" s="14" t="n">
        <f aca="false">IF(K761-S761-P761+U761=0,0,(M761-P761)/(K761-S761-P761+U761))</f>
        <v>0.245614035087719</v>
      </c>
      <c r="AE761" s="15" t="n">
        <f aca="false">IF(J761=0,0,R761/J761)</f>
        <v>0.0515873015873016</v>
      </c>
      <c r="AF761" s="15" t="n">
        <f aca="false">IF(J761=0,0,S761/J761)</f>
        <v>0.234126984126984</v>
      </c>
      <c r="AG761" s="11" t="n">
        <f aca="false">IF(J761&gt;=INDEX(球季參數!$E$2:$E$4,MATCH($A761,球季參數!$A$2:$A$4,0)),1,0)</f>
        <v>0</v>
      </c>
    </row>
    <row r="762" customFormat="false" ht="15" hidden="false" customHeight="false" outlineLevel="0" collapsed="false">
      <c r="A762" s="5" t="n">
        <v>2026</v>
      </c>
      <c r="B762" s="7" t="s">
        <v>963</v>
      </c>
      <c r="C762" s="10" t="str">
        <f aca="false">INDEX(球員主檔!$B$2:$B$749,MATCH($B762,球員主檔!$A$2:$A$749,0))</f>
        <v>Cassius Rasmussen</v>
      </c>
      <c r="D762" s="7" t="s">
        <v>410</v>
      </c>
      <c r="E762" s="10" t="str">
        <f aca="false">INDEX(球隊主檔!$C$2:$C$31,MATCH($D762,球隊主檔!$A$2:$A$31,0))</f>
        <v>邁阿密馬林魚</v>
      </c>
      <c r="F762" s="10" t="str">
        <f aca="false">INDEX(球隊主檔!$D$2:$D$31,MATCH($D762,球隊主檔!$A$2:$A$31,0))</f>
        <v>國聯</v>
      </c>
      <c r="G762" s="7" t="s">
        <v>478</v>
      </c>
      <c r="H762" s="11" t="n">
        <f aca="false">INT((DATE($A762,7,1)-INDEX(球員主檔!$G$2:$G$749,MATCH($B762,球員主檔!$A$2:$A$749,0)))/365.25)</f>
        <v>26</v>
      </c>
      <c r="I762" s="12" t="n">
        <v>157</v>
      </c>
      <c r="J762" s="12" t="n">
        <v>693</v>
      </c>
      <c r="K762" s="12" t="n">
        <v>621</v>
      </c>
      <c r="L762" s="12" t="n">
        <v>90</v>
      </c>
      <c r="M762" s="12" t="n">
        <v>169</v>
      </c>
      <c r="N762" s="12" t="n">
        <v>20</v>
      </c>
      <c r="O762" s="12" t="n">
        <v>4</v>
      </c>
      <c r="P762" s="12" t="n">
        <v>14</v>
      </c>
      <c r="Q762" s="12" t="n">
        <v>57</v>
      </c>
      <c r="R762" s="12" t="n">
        <v>62</v>
      </c>
      <c r="S762" s="12" t="n">
        <v>194</v>
      </c>
      <c r="T762" s="12" t="n">
        <v>4</v>
      </c>
      <c r="U762" s="12" t="n">
        <v>6</v>
      </c>
      <c r="V762" s="12" t="n">
        <v>15</v>
      </c>
      <c r="W762" s="12" t="n">
        <v>4</v>
      </c>
      <c r="X762" s="13" t="n">
        <f aca="false">M762+N762+2*O762+3*P762</f>
        <v>239</v>
      </c>
      <c r="Y762" s="14" t="n">
        <f aca="false">IF(K762=0,0,M762/K762)</f>
        <v>0.272141706924316</v>
      </c>
      <c r="Z762" s="14" t="n">
        <f aca="false">IF(K762+R762+T762+U762=0,0,(M762+R762+T762)/(K762+R762+T762+U762))</f>
        <v>0.339105339105339</v>
      </c>
      <c r="AA762" s="14" t="n">
        <f aca="false">IF(K762=0,0,X762/K762)</f>
        <v>0.384863123993559</v>
      </c>
      <c r="AB762" s="14" t="n">
        <f aca="false">Z762+AA762</f>
        <v>0.723968463098898</v>
      </c>
      <c r="AC762" s="14" t="n">
        <f aca="false">AA762-Y762</f>
        <v>0.112721417069243</v>
      </c>
      <c r="AD762" s="14" t="n">
        <f aca="false">IF(K762-S762-P762+U762=0,0,(M762-P762)/(K762-S762-P762+U762))</f>
        <v>0.369928400954654</v>
      </c>
      <c r="AE762" s="15" t="n">
        <f aca="false">IF(J762=0,0,R762/J762)</f>
        <v>0.0894660894660895</v>
      </c>
      <c r="AF762" s="15" t="n">
        <f aca="false">IF(J762=0,0,S762/J762)</f>
        <v>0.27994227994228</v>
      </c>
      <c r="AG762" s="11" t="n">
        <f aca="false">IF(J762&gt;=INDEX(球季參數!$E$2:$E$4,MATCH($A762,球季參數!$A$2:$A$4,0)),1,0)</f>
        <v>1</v>
      </c>
    </row>
    <row r="763" customFormat="false" ht="15" hidden="false" customHeight="false" outlineLevel="0" collapsed="false">
      <c r="A763" s="5" t="n">
        <v>2026</v>
      </c>
      <c r="B763" s="7" t="s">
        <v>1157</v>
      </c>
      <c r="C763" s="10" t="str">
        <f aca="false">INDEX(球員主檔!$B$2:$B$749,MATCH($B763,球員主檔!$A$2:$A$749,0))</f>
        <v>Tobias Garrity</v>
      </c>
      <c r="D763" s="7" t="s">
        <v>410</v>
      </c>
      <c r="E763" s="10" t="str">
        <f aca="false">INDEX(球隊主檔!$C$2:$C$31,MATCH($D763,球隊主檔!$A$2:$A$31,0))</f>
        <v>邁阿密馬林魚</v>
      </c>
      <c r="F763" s="10" t="str">
        <f aca="false">INDEX(球隊主檔!$D$2:$D$31,MATCH($D763,球隊主檔!$A$2:$A$31,0))</f>
        <v>國聯</v>
      </c>
      <c r="G763" s="7" t="s">
        <v>483</v>
      </c>
      <c r="H763" s="11" t="n">
        <f aca="false">INT((DATE($A763,7,1)-INDEX(球員主檔!$G$2:$G$749,MATCH($B763,球員主檔!$A$2:$A$749,0)))/365.25)</f>
        <v>35</v>
      </c>
      <c r="I763" s="12" t="n">
        <v>144</v>
      </c>
      <c r="J763" s="12" t="n">
        <v>586</v>
      </c>
      <c r="K763" s="12" t="n">
        <v>553</v>
      </c>
      <c r="L763" s="12" t="n">
        <v>60</v>
      </c>
      <c r="M763" s="12" t="n">
        <v>136</v>
      </c>
      <c r="N763" s="12" t="n">
        <v>30</v>
      </c>
      <c r="O763" s="12" t="n">
        <v>2</v>
      </c>
      <c r="P763" s="12" t="n">
        <v>17</v>
      </c>
      <c r="Q763" s="12" t="n">
        <v>69</v>
      </c>
      <c r="R763" s="12" t="n">
        <v>24</v>
      </c>
      <c r="S763" s="12" t="n">
        <v>172</v>
      </c>
      <c r="T763" s="12" t="n">
        <v>2</v>
      </c>
      <c r="U763" s="12" t="n">
        <v>7</v>
      </c>
      <c r="V763" s="12" t="n">
        <v>7</v>
      </c>
      <c r="W763" s="12" t="n">
        <v>1</v>
      </c>
      <c r="X763" s="13" t="n">
        <f aca="false">M763+N763+2*O763+3*P763</f>
        <v>221</v>
      </c>
      <c r="Y763" s="14" t="n">
        <f aca="false">IF(K763=0,0,M763/K763)</f>
        <v>0.245931283905967</v>
      </c>
      <c r="Z763" s="14" t="n">
        <f aca="false">IF(K763+R763+T763+U763=0,0,(M763+R763+T763)/(K763+R763+T763+U763))</f>
        <v>0.276450511945393</v>
      </c>
      <c r="AA763" s="14" t="n">
        <f aca="false">IF(K763=0,0,X763/K763)</f>
        <v>0.399638336347197</v>
      </c>
      <c r="AB763" s="14" t="n">
        <f aca="false">Z763+AA763</f>
        <v>0.67608884829259</v>
      </c>
      <c r="AC763" s="14" t="n">
        <f aca="false">AA763-Y763</f>
        <v>0.15370705244123</v>
      </c>
      <c r="AD763" s="14" t="n">
        <f aca="false">IF(K763-S763-P763+U763=0,0,(M763-P763)/(K763-S763-P763+U763))</f>
        <v>0.320754716981132</v>
      </c>
      <c r="AE763" s="15" t="n">
        <f aca="false">IF(J763=0,0,R763/J763)</f>
        <v>0.0409556313993174</v>
      </c>
      <c r="AF763" s="15" t="n">
        <f aca="false">IF(J763=0,0,S763/J763)</f>
        <v>0.293515358361775</v>
      </c>
      <c r="AG763" s="11" t="n">
        <f aca="false">IF(J763&gt;=INDEX(球季參數!$E$2:$E$4,MATCH($A763,球季參數!$A$2:$A$4,0)),1,0)</f>
        <v>1</v>
      </c>
    </row>
    <row r="764" customFormat="false" ht="15" hidden="false" customHeight="false" outlineLevel="0" collapsed="false">
      <c r="A764" s="5" t="n">
        <v>2026</v>
      </c>
      <c r="B764" s="7" t="s">
        <v>1745</v>
      </c>
      <c r="C764" s="10" t="str">
        <f aca="false">INDEX(球員主檔!$B$2:$B$749,MATCH($B764,球員主檔!$A$2:$A$749,0))</f>
        <v>Hugo Uchendu</v>
      </c>
      <c r="D764" s="7" t="s">
        <v>410</v>
      </c>
      <c r="E764" s="10" t="str">
        <f aca="false">INDEX(球隊主檔!$C$2:$C$31,MATCH($D764,球隊主檔!$A$2:$A$31,0))</f>
        <v>邁阿密馬林魚</v>
      </c>
      <c r="F764" s="10" t="str">
        <f aca="false">INDEX(球隊主檔!$D$2:$D$31,MATCH($D764,球隊主檔!$A$2:$A$31,0))</f>
        <v>國聯</v>
      </c>
      <c r="G764" s="7" t="s">
        <v>473</v>
      </c>
      <c r="H764" s="11" t="n">
        <f aca="false">INT((DATE($A764,7,1)-INDEX(球員主檔!$G$2:$G$749,MATCH($B764,球員主檔!$A$2:$A$749,0)))/365.25)</f>
        <v>23</v>
      </c>
      <c r="I764" s="12" t="n">
        <v>155</v>
      </c>
      <c r="J764" s="12" t="n">
        <v>618</v>
      </c>
      <c r="K764" s="12" t="n">
        <v>550</v>
      </c>
      <c r="L764" s="12" t="n">
        <v>72</v>
      </c>
      <c r="M764" s="12" t="n">
        <v>155</v>
      </c>
      <c r="N764" s="12" t="n">
        <v>38</v>
      </c>
      <c r="O764" s="12" t="n">
        <v>5</v>
      </c>
      <c r="P764" s="12" t="n">
        <v>13</v>
      </c>
      <c r="Q764" s="12" t="n">
        <v>67</v>
      </c>
      <c r="R764" s="12" t="n">
        <v>55</v>
      </c>
      <c r="S764" s="12" t="n">
        <v>127</v>
      </c>
      <c r="T764" s="12" t="n">
        <v>12</v>
      </c>
      <c r="U764" s="12" t="n">
        <v>1</v>
      </c>
      <c r="V764" s="12" t="n">
        <v>23</v>
      </c>
      <c r="W764" s="12" t="n">
        <v>6</v>
      </c>
      <c r="X764" s="13" t="n">
        <f aca="false">M764+N764+2*O764+3*P764</f>
        <v>242</v>
      </c>
      <c r="Y764" s="14" t="n">
        <f aca="false">IF(K764=0,0,M764/K764)</f>
        <v>0.281818181818182</v>
      </c>
      <c r="Z764" s="14" t="n">
        <f aca="false">IF(K764+R764+T764+U764=0,0,(M764+R764+T764)/(K764+R764+T764+U764))</f>
        <v>0.359223300970874</v>
      </c>
      <c r="AA764" s="14" t="n">
        <f aca="false">IF(K764=0,0,X764/K764)</f>
        <v>0.44</v>
      </c>
      <c r="AB764" s="14" t="n">
        <f aca="false">Z764+AA764</f>
        <v>0.799223300970874</v>
      </c>
      <c r="AC764" s="14" t="n">
        <f aca="false">AA764-Y764</f>
        <v>0.158181818181818</v>
      </c>
      <c r="AD764" s="14" t="n">
        <f aca="false">IF(K764-S764-P764+U764=0,0,(M764-P764)/(K764-S764-P764+U764))</f>
        <v>0.345498783454988</v>
      </c>
      <c r="AE764" s="15" t="n">
        <f aca="false">IF(J764=0,0,R764/J764)</f>
        <v>0.0889967637540453</v>
      </c>
      <c r="AF764" s="15" t="n">
        <f aca="false">IF(J764=0,0,S764/J764)</f>
        <v>0.205501618122977</v>
      </c>
      <c r="AG764" s="11" t="n">
        <f aca="false">IF(J764&gt;=INDEX(球季參數!$E$2:$E$4,MATCH($A764,球季參數!$A$2:$A$4,0)),1,0)</f>
        <v>1</v>
      </c>
    </row>
    <row r="765" customFormat="false" ht="15" hidden="false" customHeight="false" outlineLevel="0" collapsed="false">
      <c r="A765" s="5" t="n">
        <v>2026</v>
      </c>
      <c r="B765" s="7" t="s">
        <v>1747</v>
      </c>
      <c r="C765" s="10" t="str">
        <f aca="false">INDEX(球員主檔!$B$2:$B$749,MATCH($B765,球員主檔!$A$2:$A$749,0))</f>
        <v>Jedidiah Alcorn</v>
      </c>
      <c r="D765" s="7" t="s">
        <v>410</v>
      </c>
      <c r="E765" s="10" t="str">
        <f aca="false">INDEX(球隊主檔!$C$2:$C$31,MATCH($D765,球隊主檔!$A$2:$A$31,0))</f>
        <v>邁阿密馬林魚</v>
      </c>
      <c r="F765" s="10" t="str">
        <f aca="false">INDEX(球隊主檔!$D$2:$D$31,MATCH($D765,球隊主檔!$A$2:$A$31,0))</f>
        <v>國聯</v>
      </c>
      <c r="G765" s="7" t="s">
        <v>483</v>
      </c>
      <c r="H765" s="11" t="n">
        <f aca="false">INT((DATE($A765,7,1)-INDEX(球員主檔!$G$2:$G$749,MATCH($B765,球員主檔!$A$2:$A$749,0)))/365.25)</f>
        <v>27</v>
      </c>
      <c r="I765" s="12" t="n">
        <v>152</v>
      </c>
      <c r="J765" s="12" t="n">
        <v>605</v>
      </c>
      <c r="K765" s="12" t="n">
        <v>547</v>
      </c>
      <c r="L765" s="12" t="n">
        <v>67</v>
      </c>
      <c r="M765" s="12" t="n">
        <v>135</v>
      </c>
      <c r="N765" s="12" t="n">
        <v>23</v>
      </c>
      <c r="O765" s="12" t="n">
        <v>4</v>
      </c>
      <c r="P765" s="12" t="n">
        <v>5</v>
      </c>
      <c r="Q765" s="12" t="n">
        <v>38</v>
      </c>
      <c r="R765" s="12" t="n">
        <v>41</v>
      </c>
      <c r="S765" s="12" t="n">
        <v>134</v>
      </c>
      <c r="T765" s="12" t="n">
        <v>9</v>
      </c>
      <c r="U765" s="12" t="n">
        <v>8</v>
      </c>
      <c r="V765" s="12" t="n">
        <v>8</v>
      </c>
      <c r="W765" s="12" t="n">
        <v>1</v>
      </c>
      <c r="X765" s="13" t="n">
        <f aca="false">M765+N765+2*O765+3*P765</f>
        <v>181</v>
      </c>
      <c r="Y765" s="14" t="n">
        <f aca="false">IF(K765=0,0,M765/K765)</f>
        <v>0.246800731261426</v>
      </c>
      <c r="Z765" s="14" t="n">
        <f aca="false">IF(K765+R765+T765+U765=0,0,(M765+R765+T765)/(K765+R765+T765+U765))</f>
        <v>0.305785123966942</v>
      </c>
      <c r="AA765" s="14" t="n">
        <f aca="false">IF(K765=0,0,X765/K765)</f>
        <v>0.330895795246801</v>
      </c>
      <c r="AB765" s="14" t="n">
        <f aca="false">Z765+AA765</f>
        <v>0.636680919213743</v>
      </c>
      <c r="AC765" s="14" t="n">
        <f aca="false">AA765-Y765</f>
        <v>0.0840950639853748</v>
      </c>
      <c r="AD765" s="14" t="n">
        <f aca="false">IF(K765-S765-P765+U765=0,0,(M765-P765)/(K765-S765-P765+U765))</f>
        <v>0.3125</v>
      </c>
      <c r="AE765" s="15" t="n">
        <f aca="false">IF(J765=0,0,R765/J765)</f>
        <v>0.0677685950413223</v>
      </c>
      <c r="AF765" s="15" t="n">
        <f aca="false">IF(J765=0,0,S765/J765)</f>
        <v>0.221487603305785</v>
      </c>
      <c r="AG765" s="11" t="n">
        <f aca="false">IF(J765&gt;=INDEX(球季參數!$E$2:$E$4,MATCH($A765,球季參數!$A$2:$A$4,0)),1,0)</f>
        <v>1</v>
      </c>
    </row>
    <row r="766" customFormat="false" ht="15" hidden="false" customHeight="false" outlineLevel="0" collapsed="false">
      <c r="A766" s="5" t="n">
        <v>2026</v>
      </c>
      <c r="B766" s="7" t="s">
        <v>1125</v>
      </c>
      <c r="C766" s="10" t="str">
        <f aca="false">INDEX(球員主檔!$B$2:$B$749,MATCH($B766,球員主檔!$A$2:$A$749,0))</f>
        <v>Leandro Lemieux</v>
      </c>
      <c r="D766" s="7" t="s">
        <v>410</v>
      </c>
      <c r="E766" s="10" t="str">
        <f aca="false">INDEX(球隊主檔!$C$2:$C$31,MATCH($D766,球隊主檔!$A$2:$A$31,0))</f>
        <v>邁阿密馬林魚</v>
      </c>
      <c r="F766" s="10" t="str">
        <f aca="false">INDEX(球隊主檔!$D$2:$D$31,MATCH($D766,球隊主檔!$A$2:$A$31,0))</f>
        <v>國聯</v>
      </c>
      <c r="G766" s="7" t="s">
        <v>473</v>
      </c>
      <c r="H766" s="11" t="n">
        <f aca="false">INT((DATE($A766,7,1)-INDEX(球員主檔!$G$2:$G$749,MATCH($B766,球員主檔!$A$2:$A$749,0)))/365.25)</f>
        <v>28</v>
      </c>
      <c r="I766" s="12" t="n">
        <v>162</v>
      </c>
      <c r="J766" s="12" t="n">
        <v>695</v>
      </c>
      <c r="K766" s="12" t="n">
        <v>628</v>
      </c>
      <c r="L766" s="12" t="n">
        <v>92</v>
      </c>
      <c r="M766" s="12" t="n">
        <v>179</v>
      </c>
      <c r="N766" s="12" t="n">
        <v>21</v>
      </c>
      <c r="O766" s="12" t="n">
        <v>9</v>
      </c>
      <c r="P766" s="12" t="n">
        <v>17</v>
      </c>
      <c r="Q766" s="12" t="n">
        <v>71</v>
      </c>
      <c r="R766" s="12" t="n">
        <v>47</v>
      </c>
      <c r="S766" s="12" t="n">
        <v>173</v>
      </c>
      <c r="T766" s="12" t="n">
        <v>14</v>
      </c>
      <c r="U766" s="12" t="n">
        <v>6</v>
      </c>
      <c r="V766" s="12" t="n">
        <v>15</v>
      </c>
      <c r="W766" s="12" t="n">
        <v>5</v>
      </c>
      <c r="X766" s="13" t="n">
        <f aca="false">M766+N766+2*O766+3*P766</f>
        <v>269</v>
      </c>
      <c r="Y766" s="14" t="n">
        <f aca="false">IF(K766=0,0,M766/K766)</f>
        <v>0.285031847133758</v>
      </c>
      <c r="Z766" s="14" t="n">
        <f aca="false">IF(K766+R766+T766+U766=0,0,(M766+R766+T766)/(K766+R766+T766+U766))</f>
        <v>0.345323741007194</v>
      </c>
      <c r="AA766" s="14" t="n">
        <f aca="false">IF(K766=0,0,X766/K766)</f>
        <v>0.428343949044586</v>
      </c>
      <c r="AB766" s="14" t="n">
        <f aca="false">Z766+AA766</f>
        <v>0.77366769005178</v>
      </c>
      <c r="AC766" s="14" t="n">
        <f aca="false">AA766-Y766</f>
        <v>0.143312101910828</v>
      </c>
      <c r="AD766" s="14" t="n">
        <f aca="false">IF(K766-S766-P766+U766=0,0,(M766-P766)/(K766-S766-P766+U766))</f>
        <v>0.364864864864865</v>
      </c>
      <c r="AE766" s="15" t="n">
        <f aca="false">IF(J766=0,0,R766/J766)</f>
        <v>0.0676258992805755</v>
      </c>
      <c r="AF766" s="15" t="n">
        <f aca="false">IF(J766=0,0,S766/J766)</f>
        <v>0.248920863309353</v>
      </c>
      <c r="AG766" s="11" t="n">
        <f aca="false">IF(J766&gt;=INDEX(球季參數!$E$2:$E$4,MATCH($A766,球季參數!$A$2:$A$4,0)),1,0)</f>
        <v>1</v>
      </c>
    </row>
    <row r="767" customFormat="false" ht="15" hidden="false" customHeight="false" outlineLevel="0" collapsed="false">
      <c r="A767" s="5" t="n">
        <v>2026</v>
      </c>
      <c r="B767" s="7" t="s">
        <v>891</v>
      </c>
      <c r="C767" s="10" t="str">
        <f aca="false">INDEX(球員主檔!$B$2:$B$749,MATCH($B767,球員主檔!$A$2:$A$749,0))</f>
        <v>Ronin Nordstrom</v>
      </c>
      <c r="D767" s="7" t="s">
        <v>410</v>
      </c>
      <c r="E767" s="10" t="str">
        <f aca="false">INDEX(球隊主檔!$C$2:$C$31,MATCH($D767,球隊主檔!$A$2:$A$31,0))</f>
        <v>邁阿密馬林魚</v>
      </c>
      <c r="F767" s="10" t="str">
        <f aca="false">INDEX(球隊主檔!$D$2:$D$31,MATCH($D767,球隊主檔!$A$2:$A$31,0))</f>
        <v>國聯</v>
      </c>
      <c r="G767" s="7" t="s">
        <v>470</v>
      </c>
      <c r="H767" s="11" t="n">
        <f aca="false">INT((DATE($A767,7,1)-INDEX(球員主檔!$G$2:$G$749,MATCH($B767,球員主檔!$A$2:$A$749,0)))/365.25)</f>
        <v>26</v>
      </c>
      <c r="I767" s="12" t="n">
        <v>100</v>
      </c>
      <c r="J767" s="12" t="n">
        <v>447</v>
      </c>
      <c r="K767" s="12" t="n">
        <v>389</v>
      </c>
      <c r="L767" s="12" t="n">
        <v>52</v>
      </c>
      <c r="M767" s="12" t="n">
        <v>94</v>
      </c>
      <c r="N767" s="12" t="n">
        <v>27</v>
      </c>
      <c r="O767" s="12" t="n">
        <v>7</v>
      </c>
      <c r="P767" s="12" t="n">
        <v>10</v>
      </c>
      <c r="Q767" s="12" t="n">
        <v>45</v>
      </c>
      <c r="R767" s="12" t="n">
        <v>49</v>
      </c>
      <c r="S767" s="12" t="n">
        <v>44</v>
      </c>
      <c r="T767" s="12" t="n">
        <v>8</v>
      </c>
      <c r="U767" s="12" t="n">
        <v>1</v>
      </c>
      <c r="V767" s="12" t="n">
        <v>13</v>
      </c>
      <c r="W767" s="12" t="n">
        <v>3</v>
      </c>
      <c r="X767" s="13" t="n">
        <f aca="false">M767+N767+2*O767+3*P767</f>
        <v>165</v>
      </c>
      <c r="Y767" s="14" t="n">
        <f aca="false">IF(K767=0,0,M767/K767)</f>
        <v>0.241645244215938</v>
      </c>
      <c r="Z767" s="14" t="n">
        <f aca="false">IF(K767+R767+T767+U767=0,0,(M767+R767+T767)/(K767+R767+T767+U767))</f>
        <v>0.337807606263982</v>
      </c>
      <c r="AA767" s="14" t="n">
        <f aca="false">IF(K767=0,0,X767/K767)</f>
        <v>0.424164524421594</v>
      </c>
      <c r="AB767" s="14" t="n">
        <f aca="false">Z767+AA767</f>
        <v>0.761972130685576</v>
      </c>
      <c r="AC767" s="14" t="n">
        <f aca="false">AA767-Y767</f>
        <v>0.182519280205656</v>
      </c>
      <c r="AD767" s="14" t="n">
        <f aca="false">IF(K767-S767-P767+U767=0,0,(M767-P767)/(K767-S767-P767+U767))</f>
        <v>0.25</v>
      </c>
      <c r="AE767" s="15" t="n">
        <f aca="false">IF(J767=0,0,R767/J767)</f>
        <v>0.109619686800895</v>
      </c>
      <c r="AF767" s="15" t="n">
        <f aca="false">IF(J767=0,0,S767/J767)</f>
        <v>0.0984340044742729</v>
      </c>
      <c r="AG767" s="11" t="n">
        <f aca="false">IF(J767&gt;=INDEX(球季參數!$E$2:$E$4,MATCH($A767,球季參數!$A$2:$A$4,0)),1,0)</f>
        <v>0</v>
      </c>
    </row>
    <row r="768" customFormat="false" ht="15" hidden="false" customHeight="false" outlineLevel="0" collapsed="false">
      <c r="A768" s="5" t="n">
        <v>2026</v>
      </c>
      <c r="B768" s="7" t="s">
        <v>1129</v>
      </c>
      <c r="C768" s="10" t="str">
        <f aca="false">INDEX(球員主檔!$B$2:$B$749,MATCH($B768,球員主檔!$A$2:$A$749,0))</f>
        <v>Caspian Fontaine</v>
      </c>
      <c r="D768" s="7" t="s">
        <v>410</v>
      </c>
      <c r="E768" s="10" t="str">
        <f aca="false">INDEX(球隊主檔!$C$2:$C$31,MATCH($D768,球隊主檔!$A$2:$A$31,0))</f>
        <v>邁阿密馬林魚</v>
      </c>
      <c r="F768" s="10" t="str">
        <f aca="false">INDEX(球隊主檔!$D$2:$D$31,MATCH($D768,球隊主檔!$A$2:$A$31,0))</f>
        <v>國聯</v>
      </c>
      <c r="G768" s="7" t="s">
        <v>478</v>
      </c>
      <c r="H768" s="11" t="n">
        <f aca="false">INT((DATE($A768,7,1)-INDEX(球員主檔!$G$2:$G$749,MATCH($B768,球員主檔!$A$2:$A$749,0)))/365.25)</f>
        <v>30</v>
      </c>
      <c r="I768" s="12" t="n">
        <v>121</v>
      </c>
      <c r="J768" s="12" t="n">
        <v>515</v>
      </c>
      <c r="K768" s="12" t="n">
        <v>476</v>
      </c>
      <c r="L768" s="12" t="n">
        <v>49</v>
      </c>
      <c r="M768" s="12" t="n">
        <v>120</v>
      </c>
      <c r="N768" s="12" t="n">
        <v>29</v>
      </c>
      <c r="O768" s="12" t="n">
        <v>8</v>
      </c>
      <c r="P768" s="12" t="n">
        <v>9</v>
      </c>
      <c r="Q768" s="12" t="n">
        <v>48</v>
      </c>
      <c r="R768" s="12" t="n">
        <v>32</v>
      </c>
      <c r="S768" s="12" t="n">
        <v>90</v>
      </c>
      <c r="T768" s="12" t="n">
        <v>5</v>
      </c>
      <c r="U768" s="12" t="n">
        <v>2</v>
      </c>
      <c r="V768" s="12" t="n">
        <v>0</v>
      </c>
      <c r="W768" s="12" t="n">
        <v>0</v>
      </c>
      <c r="X768" s="13" t="n">
        <f aca="false">M768+N768+2*O768+3*P768</f>
        <v>192</v>
      </c>
      <c r="Y768" s="14" t="n">
        <f aca="false">IF(K768=0,0,M768/K768)</f>
        <v>0.252100840336134</v>
      </c>
      <c r="Z768" s="14" t="n">
        <f aca="false">IF(K768+R768+T768+U768=0,0,(M768+R768+T768)/(K768+R768+T768+U768))</f>
        <v>0.304854368932039</v>
      </c>
      <c r="AA768" s="14" t="n">
        <f aca="false">IF(K768=0,0,X768/K768)</f>
        <v>0.403361344537815</v>
      </c>
      <c r="AB768" s="14" t="n">
        <f aca="false">Z768+AA768</f>
        <v>0.708215713469854</v>
      </c>
      <c r="AC768" s="14" t="n">
        <f aca="false">AA768-Y768</f>
        <v>0.151260504201681</v>
      </c>
      <c r="AD768" s="14" t="n">
        <f aca="false">IF(K768-S768-P768+U768=0,0,(M768-P768)/(K768-S768-P768+U768))</f>
        <v>0.29287598944591</v>
      </c>
      <c r="AE768" s="15" t="n">
        <f aca="false">IF(J768=0,0,R768/J768)</f>
        <v>0.0621359223300971</v>
      </c>
      <c r="AF768" s="15" t="n">
        <f aca="false">IF(J768=0,0,S768/J768)</f>
        <v>0.174757281553398</v>
      </c>
      <c r="AG768" s="11" t="n">
        <f aca="false">IF(J768&gt;=INDEX(球季參數!$E$2:$E$4,MATCH($A768,球季參數!$A$2:$A$4,0)),1,0)</f>
        <v>1</v>
      </c>
    </row>
    <row r="769" customFormat="false" ht="15" hidden="false" customHeight="false" outlineLevel="0" collapsed="false">
      <c r="A769" s="5" t="n">
        <v>2026</v>
      </c>
      <c r="B769" s="7" t="s">
        <v>1749</v>
      </c>
      <c r="C769" s="10" t="str">
        <f aca="false">INDEX(球員主檔!$B$2:$B$749,MATCH($B769,球員主檔!$A$2:$A$749,0))</f>
        <v>Porter Prendergast</v>
      </c>
      <c r="D769" s="7" t="s">
        <v>410</v>
      </c>
      <c r="E769" s="10" t="str">
        <f aca="false">INDEX(球隊主檔!$C$2:$C$31,MATCH($D769,球隊主檔!$A$2:$A$31,0))</f>
        <v>邁阿密馬林魚</v>
      </c>
      <c r="F769" s="10" t="str">
        <f aca="false">INDEX(球隊主檔!$D$2:$D$31,MATCH($D769,球隊主檔!$A$2:$A$31,0))</f>
        <v>國聯</v>
      </c>
      <c r="G769" s="7" t="s">
        <v>522</v>
      </c>
      <c r="H769" s="11" t="n">
        <f aca="false">INT((DATE($A769,7,1)-INDEX(球員主檔!$G$2:$G$749,MATCH($B769,球員主檔!$A$2:$A$749,0)))/365.25)</f>
        <v>25</v>
      </c>
      <c r="I769" s="12" t="n">
        <v>106</v>
      </c>
      <c r="J769" s="12" t="n">
        <v>409</v>
      </c>
      <c r="K769" s="12" t="n">
        <v>341</v>
      </c>
      <c r="L769" s="12" t="n">
        <v>59</v>
      </c>
      <c r="M769" s="12" t="n">
        <v>89</v>
      </c>
      <c r="N769" s="12" t="n">
        <v>31</v>
      </c>
      <c r="O769" s="12" t="n">
        <v>1</v>
      </c>
      <c r="P769" s="12" t="n">
        <v>21</v>
      </c>
      <c r="Q769" s="12" t="n">
        <v>63</v>
      </c>
      <c r="R769" s="12" t="n">
        <v>57</v>
      </c>
      <c r="S769" s="12" t="n">
        <v>86</v>
      </c>
      <c r="T769" s="12" t="n">
        <v>7</v>
      </c>
      <c r="U769" s="12" t="n">
        <v>4</v>
      </c>
      <c r="V769" s="12" t="n">
        <v>21</v>
      </c>
      <c r="W769" s="12" t="n">
        <v>7</v>
      </c>
      <c r="X769" s="13" t="n">
        <f aca="false">M769+N769+2*O769+3*P769</f>
        <v>185</v>
      </c>
      <c r="Y769" s="14" t="n">
        <f aca="false">IF(K769=0,0,M769/K769)</f>
        <v>0.26099706744868</v>
      </c>
      <c r="Z769" s="14" t="n">
        <f aca="false">IF(K769+R769+T769+U769=0,0,(M769+R769+T769)/(K769+R769+T769+U769))</f>
        <v>0.374083129584352</v>
      </c>
      <c r="AA769" s="14" t="n">
        <f aca="false">IF(K769=0,0,X769/K769)</f>
        <v>0.542521994134897</v>
      </c>
      <c r="AB769" s="14" t="n">
        <f aca="false">Z769+AA769</f>
        <v>0.916605123719249</v>
      </c>
      <c r="AC769" s="14" t="n">
        <f aca="false">AA769-Y769</f>
        <v>0.281524926686217</v>
      </c>
      <c r="AD769" s="14" t="n">
        <f aca="false">IF(K769-S769-P769+U769=0,0,(M769-P769)/(K769-S769-P769+U769))</f>
        <v>0.285714285714286</v>
      </c>
      <c r="AE769" s="15" t="n">
        <f aca="false">IF(J769=0,0,R769/J769)</f>
        <v>0.139364303178484</v>
      </c>
      <c r="AF769" s="15" t="n">
        <f aca="false">IF(J769=0,0,S769/J769)</f>
        <v>0.210268948655257</v>
      </c>
      <c r="AG769" s="11" t="n">
        <f aca="false">IF(J769&gt;=INDEX(球季參數!$E$2:$E$4,MATCH($A769,球季參數!$A$2:$A$4,0)),1,0)</f>
        <v>0</v>
      </c>
    </row>
    <row r="770" customFormat="false" ht="15" hidden="false" customHeight="false" outlineLevel="0" collapsed="false">
      <c r="A770" s="5" t="n">
        <v>2026</v>
      </c>
      <c r="B770" s="7" t="s">
        <v>1133</v>
      </c>
      <c r="C770" s="10" t="str">
        <f aca="false">INDEX(球員主檔!$B$2:$B$749,MATCH($B770,球員主檔!$A$2:$A$749,0))</f>
        <v>Camilo Arceneaux</v>
      </c>
      <c r="D770" s="7" t="s">
        <v>410</v>
      </c>
      <c r="E770" s="10" t="str">
        <f aca="false">INDEX(球隊主檔!$C$2:$C$31,MATCH($D770,球隊主檔!$A$2:$A$31,0))</f>
        <v>邁阿密馬林魚</v>
      </c>
      <c r="F770" s="10" t="str">
        <f aca="false">INDEX(球隊主檔!$D$2:$D$31,MATCH($D770,球隊主檔!$A$2:$A$31,0))</f>
        <v>國聯</v>
      </c>
      <c r="G770" s="7" t="s">
        <v>162</v>
      </c>
      <c r="H770" s="11" t="n">
        <f aca="false">INT((DATE($A770,7,1)-INDEX(球員主檔!$G$2:$G$749,MATCH($B770,球員主檔!$A$2:$A$749,0)))/365.25)</f>
        <v>25</v>
      </c>
      <c r="I770" s="12" t="n">
        <v>66</v>
      </c>
      <c r="J770" s="12" t="n">
        <v>259</v>
      </c>
      <c r="K770" s="12" t="n">
        <v>240</v>
      </c>
      <c r="L770" s="12" t="n">
        <v>37</v>
      </c>
      <c r="M770" s="12" t="n">
        <v>75</v>
      </c>
      <c r="N770" s="12" t="n">
        <v>16</v>
      </c>
      <c r="O770" s="12" t="n">
        <v>1</v>
      </c>
      <c r="P770" s="12" t="n">
        <v>5</v>
      </c>
      <c r="Q770" s="12" t="n">
        <v>30</v>
      </c>
      <c r="R770" s="12" t="n">
        <v>17</v>
      </c>
      <c r="S770" s="12" t="n">
        <v>65</v>
      </c>
      <c r="T770" s="12" t="n">
        <v>2</v>
      </c>
      <c r="U770" s="12" t="n">
        <v>0</v>
      </c>
      <c r="V770" s="12" t="n">
        <v>4</v>
      </c>
      <c r="W770" s="12" t="n">
        <v>1</v>
      </c>
      <c r="X770" s="13" t="n">
        <f aca="false">M770+N770+2*O770+3*P770</f>
        <v>108</v>
      </c>
      <c r="Y770" s="14" t="n">
        <f aca="false">IF(K770=0,0,M770/K770)</f>
        <v>0.3125</v>
      </c>
      <c r="Z770" s="14" t="n">
        <f aca="false">IF(K770+R770+T770+U770=0,0,(M770+R770+T770)/(K770+R770+T770+U770))</f>
        <v>0.362934362934363</v>
      </c>
      <c r="AA770" s="14" t="n">
        <f aca="false">IF(K770=0,0,X770/K770)</f>
        <v>0.45</v>
      </c>
      <c r="AB770" s="14" t="n">
        <f aca="false">Z770+AA770</f>
        <v>0.812934362934363</v>
      </c>
      <c r="AC770" s="14" t="n">
        <f aca="false">AA770-Y770</f>
        <v>0.1375</v>
      </c>
      <c r="AD770" s="14" t="n">
        <f aca="false">IF(K770-S770-P770+U770=0,0,(M770-P770)/(K770-S770-P770+U770))</f>
        <v>0.411764705882353</v>
      </c>
      <c r="AE770" s="15" t="n">
        <f aca="false">IF(J770=0,0,R770/J770)</f>
        <v>0.0656370656370656</v>
      </c>
      <c r="AF770" s="15" t="n">
        <f aca="false">IF(J770=0,0,S770/J770)</f>
        <v>0.250965250965251</v>
      </c>
      <c r="AG770" s="11" t="n">
        <f aca="false">IF(J770&gt;=INDEX(球季參數!$E$2:$E$4,MATCH($A770,球季參數!$A$2:$A$4,0)),1,0)</f>
        <v>0</v>
      </c>
    </row>
    <row r="771" customFormat="false" ht="15" hidden="false" customHeight="false" outlineLevel="0" collapsed="false">
      <c r="A771" s="5" t="n">
        <v>2026</v>
      </c>
      <c r="B771" s="7" t="s">
        <v>1751</v>
      </c>
      <c r="C771" s="10" t="str">
        <f aca="false">INDEX(球員主檔!$B$2:$B$749,MATCH($B771,球員主檔!$A$2:$A$749,0))</f>
        <v>Osvaldo Okafor</v>
      </c>
      <c r="D771" s="7" t="s">
        <v>410</v>
      </c>
      <c r="E771" s="10" t="str">
        <f aca="false">INDEX(球隊主檔!$C$2:$C$31,MATCH($D771,球隊主檔!$A$2:$A$31,0))</f>
        <v>邁阿密馬林魚</v>
      </c>
      <c r="F771" s="10" t="str">
        <f aca="false">INDEX(球隊主檔!$D$2:$D$31,MATCH($D771,球隊主檔!$A$2:$A$31,0))</f>
        <v>國聯</v>
      </c>
      <c r="G771" s="7" t="s">
        <v>522</v>
      </c>
      <c r="H771" s="11" t="n">
        <f aca="false">INT((DATE($A771,7,1)-INDEX(球員主檔!$G$2:$G$749,MATCH($B771,球員主檔!$A$2:$A$749,0)))/365.25)</f>
        <v>26</v>
      </c>
      <c r="I771" s="12" t="n">
        <v>75</v>
      </c>
      <c r="J771" s="12" t="n">
        <v>313</v>
      </c>
      <c r="K771" s="12" t="n">
        <v>288</v>
      </c>
      <c r="L771" s="12" t="n">
        <v>32</v>
      </c>
      <c r="M771" s="12" t="n">
        <v>61</v>
      </c>
      <c r="N771" s="12" t="n">
        <v>22</v>
      </c>
      <c r="O771" s="12" t="n">
        <v>5</v>
      </c>
      <c r="P771" s="12" t="n">
        <v>9</v>
      </c>
      <c r="Q771" s="12" t="n">
        <v>32</v>
      </c>
      <c r="R771" s="12" t="n">
        <v>21</v>
      </c>
      <c r="S771" s="12" t="n">
        <v>62</v>
      </c>
      <c r="T771" s="12" t="n">
        <v>2</v>
      </c>
      <c r="U771" s="12" t="n">
        <v>2</v>
      </c>
      <c r="V771" s="12" t="n">
        <v>5</v>
      </c>
      <c r="W771" s="12" t="n">
        <v>2</v>
      </c>
      <c r="X771" s="13" t="n">
        <f aca="false">M771+N771+2*O771+3*P771</f>
        <v>120</v>
      </c>
      <c r="Y771" s="14" t="n">
        <f aca="false">IF(K771=0,0,M771/K771)</f>
        <v>0.211805555555556</v>
      </c>
      <c r="Z771" s="14" t="n">
        <f aca="false">IF(K771+R771+T771+U771=0,0,(M771+R771+T771)/(K771+R771+T771+U771))</f>
        <v>0.268370607028754</v>
      </c>
      <c r="AA771" s="14" t="n">
        <f aca="false">IF(K771=0,0,X771/K771)</f>
        <v>0.416666666666667</v>
      </c>
      <c r="AB771" s="14" t="n">
        <f aca="false">Z771+AA771</f>
        <v>0.685037273695421</v>
      </c>
      <c r="AC771" s="14" t="n">
        <f aca="false">AA771-Y771</f>
        <v>0.204861111111111</v>
      </c>
      <c r="AD771" s="14" t="n">
        <f aca="false">IF(K771-S771-P771+U771=0,0,(M771-P771)/(K771-S771-P771+U771))</f>
        <v>0.237442922374429</v>
      </c>
      <c r="AE771" s="15" t="n">
        <f aca="false">IF(J771=0,0,R771/J771)</f>
        <v>0.0670926517571885</v>
      </c>
      <c r="AF771" s="15" t="n">
        <f aca="false">IF(J771=0,0,S771/J771)</f>
        <v>0.198083067092652</v>
      </c>
      <c r="AG771" s="11" t="n">
        <f aca="false">IF(J771&gt;=INDEX(球季參數!$E$2:$E$4,MATCH($A771,球季參數!$A$2:$A$4,0)),1,0)</f>
        <v>0</v>
      </c>
    </row>
    <row r="772" customFormat="false" ht="15" hidden="false" customHeight="false" outlineLevel="0" collapsed="false">
      <c r="A772" s="5" t="n">
        <v>2026</v>
      </c>
      <c r="B772" s="7" t="s">
        <v>1913</v>
      </c>
      <c r="C772" s="10" t="str">
        <f aca="false">INDEX(球員主檔!$B$2:$B$749,MATCH($B772,球員主檔!$A$2:$A$749,0))</f>
        <v>Kellan Wexford</v>
      </c>
      <c r="D772" s="7" t="s">
        <v>414</v>
      </c>
      <c r="E772" s="10" t="str">
        <f aca="false">INDEX(球隊主檔!$C$2:$C$31,MATCH($D772,球隊主檔!$A$2:$A$31,0))</f>
        <v>紐約大都會</v>
      </c>
      <c r="F772" s="10" t="str">
        <f aca="false">INDEX(球隊主檔!$D$2:$D$31,MATCH($D772,球隊主檔!$A$2:$A$31,0))</f>
        <v>國聯</v>
      </c>
      <c r="G772" s="7" t="s">
        <v>162</v>
      </c>
      <c r="H772" s="11" t="n">
        <f aca="false">INT((DATE($A772,7,1)-INDEX(球員主檔!$G$2:$G$749,MATCH($B772,球員主檔!$A$2:$A$749,0)))/365.25)</f>
        <v>26</v>
      </c>
      <c r="I772" s="12" t="n">
        <v>161</v>
      </c>
      <c r="J772" s="12" t="n">
        <v>668</v>
      </c>
      <c r="K772" s="12" t="n">
        <v>614</v>
      </c>
      <c r="L772" s="12" t="n">
        <v>94</v>
      </c>
      <c r="M772" s="12" t="n">
        <v>191</v>
      </c>
      <c r="N772" s="12" t="n">
        <v>39</v>
      </c>
      <c r="O772" s="12" t="n">
        <v>4</v>
      </c>
      <c r="P772" s="12" t="n">
        <v>25</v>
      </c>
      <c r="Q772" s="12" t="n">
        <v>80</v>
      </c>
      <c r="R772" s="12" t="n">
        <v>46</v>
      </c>
      <c r="S772" s="12" t="n">
        <v>107</v>
      </c>
      <c r="T772" s="12" t="n">
        <v>5</v>
      </c>
      <c r="U772" s="12" t="n">
        <v>3</v>
      </c>
      <c r="V772" s="12" t="n">
        <v>3</v>
      </c>
      <c r="W772" s="12" t="n">
        <v>1</v>
      </c>
      <c r="X772" s="13" t="n">
        <f aca="false">M772+N772+2*O772+3*P772</f>
        <v>313</v>
      </c>
      <c r="Y772" s="14" t="n">
        <f aca="false">IF(K772=0,0,M772/K772)</f>
        <v>0.311074918566775</v>
      </c>
      <c r="Z772" s="14" t="n">
        <f aca="false">IF(K772+R772+T772+U772=0,0,(M772+R772+T772)/(K772+R772+T772+U772))</f>
        <v>0.362275449101796</v>
      </c>
      <c r="AA772" s="14" t="n">
        <f aca="false">IF(K772=0,0,X772/K772)</f>
        <v>0.509771986970684</v>
      </c>
      <c r="AB772" s="14" t="n">
        <f aca="false">Z772+AA772</f>
        <v>0.872047436072481</v>
      </c>
      <c r="AC772" s="14" t="n">
        <f aca="false">AA772-Y772</f>
        <v>0.198697068403909</v>
      </c>
      <c r="AD772" s="14" t="n">
        <f aca="false">IF(K772-S772-P772+U772=0,0,(M772-P772)/(K772-S772-P772+U772))</f>
        <v>0.342268041237113</v>
      </c>
      <c r="AE772" s="15" t="n">
        <f aca="false">IF(J772=0,0,R772/J772)</f>
        <v>0.0688622754491018</v>
      </c>
      <c r="AF772" s="15" t="n">
        <f aca="false">IF(J772=0,0,S772/J772)</f>
        <v>0.160179640718563</v>
      </c>
      <c r="AG772" s="11" t="n">
        <f aca="false">IF(J772&gt;=INDEX(球季參數!$E$2:$E$4,MATCH($A772,球季參數!$A$2:$A$4,0)),1,0)</f>
        <v>1</v>
      </c>
    </row>
    <row r="773" customFormat="false" ht="15" hidden="false" customHeight="false" outlineLevel="0" collapsed="false">
      <c r="A773" s="5" t="n">
        <v>2026</v>
      </c>
      <c r="B773" s="7" t="s">
        <v>1131</v>
      </c>
      <c r="C773" s="10" t="str">
        <f aca="false">INDEX(球員主檔!$B$2:$B$749,MATCH($B773,球員主檔!$A$2:$A$749,0))</f>
        <v>Porter Wainwright</v>
      </c>
      <c r="D773" s="7" t="s">
        <v>414</v>
      </c>
      <c r="E773" s="10" t="str">
        <f aca="false">INDEX(球隊主檔!$C$2:$C$31,MATCH($D773,球隊主檔!$A$2:$A$31,0))</f>
        <v>紐約大都會</v>
      </c>
      <c r="F773" s="10" t="str">
        <f aca="false">INDEX(球隊主檔!$D$2:$D$31,MATCH($D773,球隊主檔!$A$2:$A$31,0))</f>
        <v>國聯</v>
      </c>
      <c r="G773" s="7" t="s">
        <v>478</v>
      </c>
      <c r="H773" s="11" t="n">
        <f aca="false">INT((DATE($A773,7,1)-INDEX(球員主檔!$G$2:$G$749,MATCH($B773,球員主檔!$A$2:$A$749,0)))/365.25)</f>
        <v>31</v>
      </c>
      <c r="I773" s="12" t="n">
        <v>162</v>
      </c>
      <c r="J773" s="12" t="n">
        <v>675</v>
      </c>
      <c r="K773" s="12" t="n">
        <v>596</v>
      </c>
      <c r="L773" s="12" t="n">
        <v>72</v>
      </c>
      <c r="M773" s="12" t="n">
        <v>112</v>
      </c>
      <c r="N773" s="12" t="n">
        <v>34</v>
      </c>
      <c r="O773" s="12" t="n">
        <v>8</v>
      </c>
      <c r="P773" s="12" t="n">
        <v>27</v>
      </c>
      <c r="Q773" s="12" t="n">
        <v>74</v>
      </c>
      <c r="R773" s="12" t="n">
        <v>71</v>
      </c>
      <c r="S773" s="12" t="n">
        <v>148</v>
      </c>
      <c r="T773" s="12" t="n">
        <v>4</v>
      </c>
      <c r="U773" s="12" t="n">
        <v>4</v>
      </c>
      <c r="V773" s="12" t="n">
        <v>9</v>
      </c>
      <c r="W773" s="12" t="n">
        <v>2</v>
      </c>
      <c r="X773" s="13" t="n">
        <f aca="false">M773+N773+2*O773+3*P773</f>
        <v>243</v>
      </c>
      <c r="Y773" s="14" t="n">
        <f aca="false">IF(K773=0,0,M773/K773)</f>
        <v>0.187919463087248</v>
      </c>
      <c r="Z773" s="14" t="n">
        <f aca="false">IF(K773+R773+T773+U773=0,0,(M773+R773+T773)/(K773+R773+T773+U773))</f>
        <v>0.277037037037037</v>
      </c>
      <c r="AA773" s="14" t="n">
        <f aca="false">IF(K773=0,0,X773/K773)</f>
        <v>0.407718120805369</v>
      </c>
      <c r="AB773" s="14" t="n">
        <f aca="false">Z773+AA773</f>
        <v>0.684755157842406</v>
      </c>
      <c r="AC773" s="14" t="n">
        <f aca="false">AA773-Y773</f>
        <v>0.219798657718121</v>
      </c>
      <c r="AD773" s="14" t="n">
        <f aca="false">IF(K773-S773-P773+U773=0,0,(M773-P773)/(K773-S773-P773+U773))</f>
        <v>0.2</v>
      </c>
      <c r="AE773" s="15" t="n">
        <f aca="false">IF(J773=0,0,R773/J773)</f>
        <v>0.105185185185185</v>
      </c>
      <c r="AF773" s="15" t="n">
        <f aca="false">IF(J773=0,0,S773/J773)</f>
        <v>0.219259259259259</v>
      </c>
      <c r="AG773" s="11" t="n">
        <f aca="false">IF(J773&gt;=INDEX(球季參數!$E$2:$E$4,MATCH($A773,球季參數!$A$2:$A$4,0)),1,0)</f>
        <v>1</v>
      </c>
    </row>
    <row r="774" customFormat="false" ht="15" hidden="false" customHeight="false" outlineLevel="0" collapsed="false">
      <c r="A774" s="5" t="n">
        <v>2026</v>
      </c>
      <c r="B774" s="7" t="s">
        <v>1161</v>
      </c>
      <c r="C774" s="10" t="str">
        <f aca="false">INDEX(球員主檔!$B$2:$B$749,MATCH($B774,球員主檔!$A$2:$A$749,0))</f>
        <v>Everett Montalvo</v>
      </c>
      <c r="D774" s="7" t="s">
        <v>414</v>
      </c>
      <c r="E774" s="10" t="str">
        <f aca="false">INDEX(球隊主檔!$C$2:$C$31,MATCH($D774,球隊主檔!$A$2:$A$31,0))</f>
        <v>紐約大都會</v>
      </c>
      <c r="F774" s="10" t="str">
        <f aca="false">INDEX(球隊主檔!$D$2:$D$31,MATCH($D774,球隊主檔!$A$2:$A$31,0))</f>
        <v>國聯</v>
      </c>
      <c r="G774" s="7" t="s">
        <v>483</v>
      </c>
      <c r="H774" s="11" t="n">
        <f aca="false">INT((DATE($A774,7,1)-INDEX(球員主檔!$G$2:$G$749,MATCH($B774,球員主檔!$A$2:$A$749,0)))/365.25)</f>
        <v>32</v>
      </c>
      <c r="I774" s="12" t="n">
        <v>150</v>
      </c>
      <c r="J774" s="12" t="n">
        <v>636</v>
      </c>
      <c r="K774" s="12" t="n">
        <v>572</v>
      </c>
      <c r="L774" s="12" t="n">
        <v>60</v>
      </c>
      <c r="M774" s="12" t="n">
        <v>115</v>
      </c>
      <c r="N774" s="12" t="n">
        <v>35</v>
      </c>
      <c r="O774" s="12" t="n">
        <v>7</v>
      </c>
      <c r="P774" s="12" t="n">
        <v>17</v>
      </c>
      <c r="Q774" s="12" t="n">
        <v>61</v>
      </c>
      <c r="R774" s="12" t="n">
        <v>59</v>
      </c>
      <c r="S774" s="12" t="n">
        <v>167</v>
      </c>
      <c r="T774" s="12" t="n">
        <v>2</v>
      </c>
      <c r="U774" s="12" t="n">
        <v>3</v>
      </c>
      <c r="V774" s="12" t="n">
        <v>18</v>
      </c>
      <c r="W774" s="12" t="n">
        <v>4</v>
      </c>
      <c r="X774" s="13" t="n">
        <f aca="false">M774+N774+2*O774+3*P774</f>
        <v>215</v>
      </c>
      <c r="Y774" s="14" t="n">
        <f aca="false">IF(K774=0,0,M774/K774)</f>
        <v>0.201048951048951</v>
      </c>
      <c r="Z774" s="14" t="n">
        <f aca="false">IF(K774+R774+T774+U774=0,0,(M774+R774+T774)/(K774+R774+T774+U774))</f>
        <v>0.276729559748428</v>
      </c>
      <c r="AA774" s="14" t="n">
        <f aca="false">IF(K774=0,0,X774/K774)</f>
        <v>0.375874125874126</v>
      </c>
      <c r="AB774" s="14" t="n">
        <f aca="false">Z774+AA774</f>
        <v>0.652603685622554</v>
      </c>
      <c r="AC774" s="14" t="n">
        <f aca="false">AA774-Y774</f>
        <v>0.174825174825175</v>
      </c>
      <c r="AD774" s="14" t="n">
        <f aca="false">IF(K774-S774-P774+U774=0,0,(M774-P774)/(K774-S774-P774+U774))</f>
        <v>0.250639386189258</v>
      </c>
      <c r="AE774" s="15" t="n">
        <f aca="false">IF(J774=0,0,R774/J774)</f>
        <v>0.0927672955974843</v>
      </c>
      <c r="AF774" s="15" t="n">
        <f aca="false">IF(J774=0,0,S774/J774)</f>
        <v>0.262578616352201</v>
      </c>
      <c r="AG774" s="11" t="n">
        <f aca="false">IF(J774&gt;=INDEX(球季參數!$E$2:$E$4,MATCH($A774,球季參數!$A$2:$A$4,0)),1,0)</f>
        <v>1</v>
      </c>
    </row>
    <row r="775" customFormat="false" ht="15" hidden="false" customHeight="false" outlineLevel="0" collapsed="false">
      <c r="A775" s="5" t="n">
        <v>2026</v>
      </c>
      <c r="B775" s="7" t="s">
        <v>1163</v>
      </c>
      <c r="C775" s="10" t="str">
        <f aca="false">INDEX(球員主檔!$B$2:$B$749,MATCH($B775,球員主檔!$A$2:$A$749,0))</f>
        <v>Esteban Cavanaugh</v>
      </c>
      <c r="D775" s="7" t="s">
        <v>414</v>
      </c>
      <c r="E775" s="10" t="str">
        <f aca="false">INDEX(球隊主檔!$C$2:$C$31,MATCH($D775,球隊主檔!$A$2:$A$31,0))</f>
        <v>紐約大都會</v>
      </c>
      <c r="F775" s="10" t="str">
        <f aca="false">INDEX(球隊主檔!$D$2:$D$31,MATCH($D775,球隊主檔!$A$2:$A$31,0))</f>
        <v>國聯</v>
      </c>
      <c r="G775" s="7" t="s">
        <v>63</v>
      </c>
      <c r="H775" s="11" t="n">
        <f aca="false">INT((DATE($A775,7,1)-INDEX(球員主檔!$G$2:$G$749,MATCH($B775,球員主檔!$A$2:$A$749,0)))/365.25)</f>
        <v>32</v>
      </c>
      <c r="I775" s="12" t="n">
        <v>159</v>
      </c>
      <c r="J775" s="12" t="n">
        <v>658</v>
      </c>
      <c r="K775" s="12" t="n">
        <v>587</v>
      </c>
      <c r="L775" s="12" t="n">
        <v>66</v>
      </c>
      <c r="M775" s="12" t="n">
        <v>144</v>
      </c>
      <c r="N775" s="12" t="n">
        <v>36</v>
      </c>
      <c r="O775" s="12" t="n">
        <v>8</v>
      </c>
      <c r="P775" s="12" t="n">
        <v>18</v>
      </c>
      <c r="Q775" s="12" t="n">
        <v>71</v>
      </c>
      <c r="R775" s="12" t="n">
        <v>52</v>
      </c>
      <c r="S775" s="12" t="n">
        <v>106</v>
      </c>
      <c r="T775" s="12" t="n">
        <v>11</v>
      </c>
      <c r="U775" s="12" t="n">
        <v>8</v>
      </c>
      <c r="V775" s="12" t="n">
        <v>29</v>
      </c>
      <c r="W775" s="12" t="n">
        <v>8</v>
      </c>
      <c r="X775" s="13" t="n">
        <f aca="false">M775+N775+2*O775+3*P775</f>
        <v>250</v>
      </c>
      <c r="Y775" s="14" t="n">
        <f aca="false">IF(K775=0,0,M775/K775)</f>
        <v>0.245315161839864</v>
      </c>
      <c r="Z775" s="14" t="n">
        <f aca="false">IF(K775+R775+T775+U775=0,0,(M775+R775+T775)/(K775+R775+T775+U775))</f>
        <v>0.314589665653495</v>
      </c>
      <c r="AA775" s="14" t="n">
        <f aca="false">IF(K775=0,0,X775/K775)</f>
        <v>0.425894378194208</v>
      </c>
      <c r="AB775" s="14" t="n">
        <f aca="false">Z775+AA775</f>
        <v>0.740484043847703</v>
      </c>
      <c r="AC775" s="14" t="n">
        <f aca="false">AA775-Y775</f>
        <v>0.180579216354344</v>
      </c>
      <c r="AD775" s="14" t="n">
        <f aca="false">IF(K775-S775-P775+U775=0,0,(M775-P775)/(K775-S775-P775+U775))</f>
        <v>0.267515923566879</v>
      </c>
      <c r="AE775" s="15" t="n">
        <f aca="false">IF(J775=0,0,R775/J775)</f>
        <v>0.0790273556231003</v>
      </c>
      <c r="AF775" s="15" t="n">
        <f aca="false">IF(J775=0,0,S775/J775)</f>
        <v>0.161094224924012</v>
      </c>
      <c r="AG775" s="11" t="n">
        <f aca="false">IF(J775&gt;=INDEX(球季參數!$E$2:$E$4,MATCH($A775,球季參數!$A$2:$A$4,0)),1,0)</f>
        <v>1</v>
      </c>
    </row>
    <row r="776" customFormat="false" ht="15" hidden="false" customHeight="false" outlineLevel="0" collapsed="false">
      <c r="A776" s="5" t="n">
        <v>2026</v>
      </c>
      <c r="B776" s="7" t="s">
        <v>1165</v>
      </c>
      <c r="C776" s="10" t="str">
        <f aca="false">INDEX(球員主檔!$B$2:$B$749,MATCH($B776,球員主檔!$A$2:$A$749,0))</f>
        <v>Porter Beckwith</v>
      </c>
      <c r="D776" s="7" t="s">
        <v>414</v>
      </c>
      <c r="E776" s="10" t="str">
        <f aca="false">INDEX(球隊主檔!$C$2:$C$31,MATCH($D776,球隊主檔!$A$2:$A$31,0))</f>
        <v>紐約大都會</v>
      </c>
      <c r="F776" s="10" t="str">
        <f aca="false">INDEX(球隊主檔!$D$2:$D$31,MATCH($D776,球隊主檔!$A$2:$A$31,0))</f>
        <v>國聯</v>
      </c>
      <c r="G776" s="7" t="s">
        <v>470</v>
      </c>
      <c r="H776" s="11" t="n">
        <f aca="false">INT((DATE($A776,7,1)-INDEX(球員主檔!$G$2:$G$749,MATCH($B776,球員主檔!$A$2:$A$749,0)))/365.25)</f>
        <v>29</v>
      </c>
      <c r="I776" s="12" t="n">
        <v>162</v>
      </c>
      <c r="J776" s="12" t="n">
        <v>685</v>
      </c>
      <c r="K776" s="12" t="n">
        <v>630</v>
      </c>
      <c r="L776" s="12" t="n">
        <v>82</v>
      </c>
      <c r="M776" s="12" t="n">
        <v>153</v>
      </c>
      <c r="N776" s="12" t="n">
        <v>35</v>
      </c>
      <c r="O776" s="12" t="n">
        <v>3</v>
      </c>
      <c r="P776" s="12" t="n">
        <v>11</v>
      </c>
      <c r="Q776" s="12" t="n">
        <v>57</v>
      </c>
      <c r="R776" s="12" t="n">
        <v>42</v>
      </c>
      <c r="S776" s="12" t="n">
        <v>159</v>
      </c>
      <c r="T776" s="12" t="n">
        <v>8</v>
      </c>
      <c r="U776" s="12" t="n">
        <v>5</v>
      </c>
      <c r="V776" s="12" t="n">
        <v>17</v>
      </c>
      <c r="W776" s="12" t="n">
        <v>2</v>
      </c>
      <c r="X776" s="13" t="n">
        <f aca="false">M776+N776+2*O776+3*P776</f>
        <v>227</v>
      </c>
      <c r="Y776" s="14" t="n">
        <f aca="false">IF(K776=0,0,M776/K776)</f>
        <v>0.242857142857143</v>
      </c>
      <c r="Z776" s="14" t="n">
        <f aca="false">IF(K776+R776+T776+U776=0,0,(M776+R776+T776)/(K776+R776+T776+U776))</f>
        <v>0.296350364963504</v>
      </c>
      <c r="AA776" s="14" t="n">
        <f aca="false">IF(K776=0,0,X776/K776)</f>
        <v>0.36031746031746</v>
      </c>
      <c r="AB776" s="14" t="n">
        <f aca="false">Z776+AA776</f>
        <v>0.656667825280964</v>
      </c>
      <c r="AC776" s="14" t="n">
        <f aca="false">AA776-Y776</f>
        <v>0.117460317460317</v>
      </c>
      <c r="AD776" s="14" t="n">
        <f aca="false">IF(K776-S776-P776+U776=0,0,(M776-P776)/(K776-S776-P776+U776))</f>
        <v>0.305376344086022</v>
      </c>
      <c r="AE776" s="15" t="n">
        <f aca="false">IF(J776=0,0,R776/J776)</f>
        <v>0.0613138686131387</v>
      </c>
      <c r="AF776" s="15" t="n">
        <f aca="false">IF(J776=0,0,S776/J776)</f>
        <v>0.232116788321168</v>
      </c>
      <c r="AG776" s="11" t="n">
        <f aca="false">IF(J776&gt;=INDEX(球季參數!$E$2:$E$4,MATCH($A776,球季參數!$A$2:$A$4,0)),1,0)</f>
        <v>1</v>
      </c>
    </row>
    <row r="777" customFormat="false" ht="15" hidden="false" customHeight="false" outlineLevel="0" collapsed="false">
      <c r="A777" s="5" t="n">
        <v>2026</v>
      </c>
      <c r="B777" s="7" t="s">
        <v>1167</v>
      </c>
      <c r="C777" s="10" t="str">
        <f aca="false">INDEX(球員主檔!$B$2:$B$749,MATCH($B777,球員主檔!$A$2:$A$749,0))</f>
        <v>Griffin Tremblay</v>
      </c>
      <c r="D777" s="7" t="s">
        <v>414</v>
      </c>
      <c r="E777" s="10" t="str">
        <f aca="false">INDEX(球隊主檔!$C$2:$C$31,MATCH($D777,球隊主檔!$A$2:$A$31,0))</f>
        <v>紐約大都會</v>
      </c>
      <c r="F777" s="10" t="str">
        <f aca="false">INDEX(球隊主檔!$D$2:$D$31,MATCH($D777,球隊主檔!$A$2:$A$31,0))</f>
        <v>國聯</v>
      </c>
      <c r="G777" s="7" t="s">
        <v>473</v>
      </c>
      <c r="H777" s="11" t="n">
        <f aca="false">INT((DATE($A777,7,1)-INDEX(球員主檔!$G$2:$G$749,MATCH($B777,球員主檔!$A$2:$A$749,0)))/365.25)</f>
        <v>28</v>
      </c>
      <c r="I777" s="12" t="n">
        <v>119</v>
      </c>
      <c r="J777" s="12" t="n">
        <v>509</v>
      </c>
      <c r="K777" s="12" t="n">
        <v>460</v>
      </c>
      <c r="L777" s="12" t="n">
        <v>68</v>
      </c>
      <c r="M777" s="12" t="n">
        <v>123</v>
      </c>
      <c r="N777" s="12" t="n">
        <v>29</v>
      </c>
      <c r="O777" s="12" t="n">
        <v>9</v>
      </c>
      <c r="P777" s="12" t="n">
        <v>15</v>
      </c>
      <c r="Q777" s="12" t="n">
        <v>62</v>
      </c>
      <c r="R777" s="12" t="n">
        <v>38</v>
      </c>
      <c r="S777" s="12" t="n">
        <v>111</v>
      </c>
      <c r="T777" s="12" t="n">
        <v>5</v>
      </c>
      <c r="U777" s="12" t="n">
        <v>6</v>
      </c>
      <c r="V777" s="12" t="n">
        <v>2</v>
      </c>
      <c r="W777" s="12" t="n">
        <v>1</v>
      </c>
      <c r="X777" s="13" t="n">
        <f aca="false">M777+N777+2*O777+3*P777</f>
        <v>215</v>
      </c>
      <c r="Y777" s="14" t="n">
        <f aca="false">IF(K777=0,0,M777/K777)</f>
        <v>0.267391304347826</v>
      </c>
      <c r="Z777" s="14" t="n">
        <f aca="false">IF(K777+R777+T777+U777=0,0,(M777+R777+T777)/(K777+R777+T777+U777))</f>
        <v>0.326129666011788</v>
      </c>
      <c r="AA777" s="14" t="n">
        <f aca="false">IF(K777=0,0,X777/K777)</f>
        <v>0.467391304347826</v>
      </c>
      <c r="AB777" s="14" t="n">
        <f aca="false">Z777+AA777</f>
        <v>0.793520970359614</v>
      </c>
      <c r="AC777" s="14" t="n">
        <f aca="false">AA777-Y777</f>
        <v>0.2</v>
      </c>
      <c r="AD777" s="14" t="n">
        <f aca="false">IF(K777-S777-P777+U777=0,0,(M777-P777)/(K777-S777-P777+U777))</f>
        <v>0.317647058823529</v>
      </c>
      <c r="AE777" s="15" t="n">
        <f aca="false">IF(J777=0,0,R777/J777)</f>
        <v>0.0746561886051081</v>
      </c>
      <c r="AF777" s="15" t="n">
        <f aca="false">IF(J777=0,0,S777/J777)</f>
        <v>0.218074656188605</v>
      </c>
      <c r="AG777" s="11" t="n">
        <f aca="false">IF(J777&gt;=INDEX(球季參數!$E$2:$E$4,MATCH($A777,球季參數!$A$2:$A$4,0)),1,0)</f>
        <v>1</v>
      </c>
    </row>
    <row r="778" customFormat="false" ht="15" hidden="false" customHeight="false" outlineLevel="0" collapsed="false">
      <c r="A778" s="5" t="n">
        <v>2026</v>
      </c>
      <c r="B778" s="7" t="s">
        <v>1135</v>
      </c>
      <c r="C778" s="10" t="str">
        <f aca="false">INDEX(球員主檔!$B$2:$B$749,MATCH($B778,球員主檔!$A$2:$A$749,0))</f>
        <v>Konrad Lemieux</v>
      </c>
      <c r="D778" s="7" t="s">
        <v>414</v>
      </c>
      <c r="E778" s="10" t="str">
        <f aca="false">INDEX(球隊主檔!$C$2:$C$31,MATCH($D778,球隊主檔!$A$2:$A$31,0))</f>
        <v>紐約大都會</v>
      </c>
      <c r="F778" s="10" t="str">
        <f aca="false">INDEX(球隊主檔!$D$2:$D$31,MATCH($D778,球隊主檔!$A$2:$A$31,0))</f>
        <v>國聯</v>
      </c>
      <c r="G778" s="7" t="s">
        <v>522</v>
      </c>
      <c r="H778" s="11" t="n">
        <f aca="false">INT((DATE($A778,7,1)-INDEX(球員主檔!$G$2:$G$749,MATCH($B778,球員主檔!$A$2:$A$749,0)))/365.25)</f>
        <v>36</v>
      </c>
      <c r="I778" s="12" t="n">
        <v>94</v>
      </c>
      <c r="J778" s="12" t="n">
        <v>386</v>
      </c>
      <c r="K778" s="12" t="n">
        <v>371</v>
      </c>
      <c r="L778" s="12" t="n">
        <v>31</v>
      </c>
      <c r="M778" s="12" t="n">
        <v>68</v>
      </c>
      <c r="N778" s="12" t="n">
        <v>25</v>
      </c>
      <c r="O778" s="12" t="n">
        <v>9</v>
      </c>
      <c r="P778" s="12" t="n">
        <v>6</v>
      </c>
      <c r="Q778" s="12" t="n">
        <v>27</v>
      </c>
      <c r="R778" s="12" t="n">
        <v>10</v>
      </c>
      <c r="S778" s="12" t="n">
        <v>102</v>
      </c>
      <c r="T778" s="12" t="n">
        <v>2</v>
      </c>
      <c r="U778" s="12" t="n">
        <v>3</v>
      </c>
      <c r="V778" s="12" t="n">
        <v>2</v>
      </c>
      <c r="W778" s="12" t="n">
        <v>1</v>
      </c>
      <c r="X778" s="13" t="n">
        <f aca="false">M778+N778+2*O778+3*P778</f>
        <v>129</v>
      </c>
      <c r="Y778" s="14" t="n">
        <f aca="false">IF(K778=0,0,M778/K778)</f>
        <v>0.183288409703504</v>
      </c>
      <c r="Z778" s="14" t="n">
        <f aca="false">IF(K778+R778+T778+U778=0,0,(M778+R778+T778)/(K778+R778+T778+U778))</f>
        <v>0.207253886010363</v>
      </c>
      <c r="AA778" s="14" t="n">
        <f aca="false">IF(K778=0,0,X778/K778)</f>
        <v>0.347708894878706</v>
      </c>
      <c r="AB778" s="14" t="n">
        <f aca="false">Z778+AA778</f>
        <v>0.554962780889069</v>
      </c>
      <c r="AC778" s="14" t="n">
        <f aca="false">AA778-Y778</f>
        <v>0.164420485175202</v>
      </c>
      <c r="AD778" s="14" t="n">
        <f aca="false">IF(K778-S778-P778+U778=0,0,(M778-P778)/(K778-S778-P778+U778))</f>
        <v>0.233082706766917</v>
      </c>
      <c r="AE778" s="15" t="n">
        <f aca="false">IF(J778=0,0,R778/J778)</f>
        <v>0.0259067357512953</v>
      </c>
      <c r="AF778" s="15" t="n">
        <f aca="false">IF(J778=0,0,S778/J778)</f>
        <v>0.264248704663212</v>
      </c>
      <c r="AG778" s="11" t="n">
        <f aca="false">IF(J778&gt;=INDEX(球季參數!$E$2:$E$4,MATCH($A778,球季參數!$A$2:$A$4,0)),1,0)</f>
        <v>0</v>
      </c>
    </row>
    <row r="779" customFormat="false" ht="15" hidden="false" customHeight="false" outlineLevel="0" collapsed="false">
      <c r="A779" s="5" t="n">
        <v>2026</v>
      </c>
      <c r="B779" s="7" t="s">
        <v>1757</v>
      </c>
      <c r="C779" s="10" t="str">
        <f aca="false">INDEX(球員主檔!$B$2:$B$749,MATCH($B779,球員主檔!$A$2:$A$749,0))</f>
        <v>Augustin Ingersoll</v>
      </c>
      <c r="D779" s="7" t="s">
        <v>414</v>
      </c>
      <c r="E779" s="10" t="str">
        <f aca="false">INDEX(球隊主檔!$C$2:$C$31,MATCH($D779,球隊主檔!$A$2:$A$31,0))</f>
        <v>紐約大都會</v>
      </c>
      <c r="F779" s="10" t="str">
        <f aca="false">INDEX(球隊主檔!$D$2:$D$31,MATCH($D779,球隊主檔!$A$2:$A$31,0))</f>
        <v>國聯</v>
      </c>
      <c r="G779" s="7" t="s">
        <v>478</v>
      </c>
      <c r="H779" s="11" t="n">
        <f aca="false">INT((DATE($A779,7,1)-INDEX(球員主檔!$G$2:$G$749,MATCH($B779,球員主檔!$A$2:$A$749,0)))/365.25)</f>
        <v>24</v>
      </c>
      <c r="I779" s="12" t="n">
        <v>40</v>
      </c>
      <c r="J779" s="12" t="n">
        <v>166</v>
      </c>
      <c r="K779" s="12" t="n">
        <v>156</v>
      </c>
      <c r="L779" s="12" t="n">
        <v>18</v>
      </c>
      <c r="M779" s="12" t="n">
        <v>46</v>
      </c>
      <c r="N779" s="12" t="n">
        <v>21</v>
      </c>
      <c r="O779" s="12" t="n">
        <v>3</v>
      </c>
      <c r="P779" s="12" t="n">
        <v>3</v>
      </c>
      <c r="Q779" s="12" t="n">
        <v>19</v>
      </c>
      <c r="R779" s="12" t="n">
        <v>7</v>
      </c>
      <c r="S779" s="12" t="n">
        <v>41</v>
      </c>
      <c r="T779" s="12" t="n">
        <v>2</v>
      </c>
      <c r="U779" s="12" t="n">
        <v>1</v>
      </c>
      <c r="V779" s="12" t="n">
        <v>1</v>
      </c>
      <c r="W779" s="12" t="n">
        <v>0</v>
      </c>
      <c r="X779" s="13" t="n">
        <f aca="false">M779+N779+2*O779+3*P779</f>
        <v>82</v>
      </c>
      <c r="Y779" s="14" t="n">
        <f aca="false">IF(K779=0,0,M779/K779)</f>
        <v>0.294871794871795</v>
      </c>
      <c r="Z779" s="14" t="n">
        <f aca="false">IF(K779+R779+T779+U779=0,0,(M779+R779+T779)/(K779+R779+T779+U779))</f>
        <v>0.331325301204819</v>
      </c>
      <c r="AA779" s="14" t="n">
        <f aca="false">IF(K779=0,0,X779/K779)</f>
        <v>0.525641025641026</v>
      </c>
      <c r="AB779" s="14" t="n">
        <f aca="false">Z779+AA779</f>
        <v>0.856966326845845</v>
      </c>
      <c r="AC779" s="14" t="n">
        <f aca="false">AA779-Y779</f>
        <v>0.230769230769231</v>
      </c>
      <c r="AD779" s="14" t="n">
        <f aca="false">IF(K779-S779-P779+U779=0,0,(M779-P779)/(K779-S779-P779+U779))</f>
        <v>0.380530973451327</v>
      </c>
      <c r="AE779" s="15" t="n">
        <f aca="false">IF(J779=0,0,R779/J779)</f>
        <v>0.0421686746987952</v>
      </c>
      <c r="AF779" s="15" t="n">
        <f aca="false">IF(J779=0,0,S779/J779)</f>
        <v>0.246987951807229</v>
      </c>
      <c r="AG779" s="11" t="n">
        <f aca="false">IF(J779&gt;=INDEX(球季參數!$E$2:$E$4,MATCH($A779,球季參數!$A$2:$A$4,0)),1,0)</f>
        <v>0</v>
      </c>
    </row>
    <row r="780" customFormat="false" ht="15" hidden="false" customHeight="false" outlineLevel="0" collapsed="false">
      <c r="A780" s="5" t="n">
        <v>2026</v>
      </c>
      <c r="B780" s="7" t="s">
        <v>1173</v>
      </c>
      <c r="C780" s="10" t="str">
        <f aca="false">INDEX(球員主檔!$B$2:$B$749,MATCH($B780,球員主檔!$A$2:$A$749,0))</f>
        <v>Desmond Paszkiewicz</v>
      </c>
      <c r="D780" s="7" t="s">
        <v>414</v>
      </c>
      <c r="E780" s="10" t="str">
        <f aca="false">INDEX(球隊主檔!$C$2:$C$31,MATCH($D780,球隊主檔!$A$2:$A$31,0))</f>
        <v>紐約大都會</v>
      </c>
      <c r="F780" s="10" t="str">
        <f aca="false">INDEX(球隊主檔!$D$2:$D$31,MATCH($D780,球隊主檔!$A$2:$A$31,0))</f>
        <v>國聯</v>
      </c>
      <c r="G780" s="7" t="s">
        <v>158</v>
      </c>
      <c r="H780" s="11" t="n">
        <f aca="false">INT((DATE($A780,7,1)-INDEX(球員主檔!$G$2:$G$749,MATCH($B780,球員主檔!$A$2:$A$749,0)))/365.25)</f>
        <v>30</v>
      </c>
      <c r="I780" s="12" t="n">
        <v>82</v>
      </c>
      <c r="J780" s="12" t="n">
        <v>331</v>
      </c>
      <c r="K780" s="12" t="n">
        <v>298</v>
      </c>
      <c r="L780" s="12" t="n">
        <v>36</v>
      </c>
      <c r="M780" s="12" t="n">
        <v>80</v>
      </c>
      <c r="N780" s="12" t="n">
        <v>40</v>
      </c>
      <c r="O780" s="12" t="n">
        <v>3</v>
      </c>
      <c r="P780" s="12" t="n">
        <v>5</v>
      </c>
      <c r="Q780" s="12" t="n">
        <v>32</v>
      </c>
      <c r="R780" s="12" t="n">
        <v>27</v>
      </c>
      <c r="S780" s="12" t="n">
        <v>78</v>
      </c>
      <c r="T780" s="12" t="n">
        <v>4</v>
      </c>
      <c r="U780" s="12" t="n">
        <v>2</v>
      </c>
      <c r="V780" s="12" t="n">
        <v>6</v>
      </c>
      <c r="W780" s="12" t="n">
        <v>1</v>
      </c>
      <c r="X780" s="13" t="n">
        <f aca="false">M780+N780+2*O780+3*P780</f>
        <v>141</v>
      </c>
      <c r="Y780" s="14" t="n">
        <f aca="false">IF(K780=0,0,M780/K780)</f>
        <v>0.268456375838926</v>
      </c>
      <c r="Z780" s="14" t="n">
        <f aca="false">IF(K780+R780+T780+U780=0,0,(M780+R780+T780)/(K780+R780+T780+U780))</f>
        <v>0.335347432024169</v>
      </c>
      <c r="AA780" s="14" t="n">
        <f aca="false">IF(K780=0,0,X780/K780)</f>
        <v>0.473154362416107</v>
      </c>
      <c r="AB780" s="14" t="n">
        <f aca="false">Z780+AA780</f>
        <v>0.808501794440277</v>
      </c>
      <c r="AC780" s="14" t="n">
        <f aca="false">AA780-Y780</f>
        <v>0.204697986577181</v>
      </c>
      <c r="AD780" s="14" t="n">
        <f aca="false">IF(K780-S780-P780+U780=0,0,(M780-P780)/(K780-S780-P780+U780))</f>
        <v>0.345622119815668</v>
      </c>
      <c r="AE780" s="15" t="n">
        <f aca="false">IF(J780=0,0,R780/J780)</f>
        <v>0.081570996978852</v>
      </c>
      <c r="AF780" s="15" t="n">
        <f aca="false">IF(J780=0,0,S780/J780)</f>
        <v>0.235649546827795</v>
      </c>
      <c r="AG780" s="11" t="n">
        <f aca="false">IF(J780&gt;=INDEX(球季參數!$E$2:$E$4,MATCH($A780,球季參數!$A$2:$A$4,0)),1,0)</f>
        <v>0</v>
      </c>
    </row>
    <row r="781" customFormat="false" ht="15" hidden="false" customHeight="false" outlineLevel="0" collapsed="false">
      <c r="A781" s="5" t="n">
        <v>2026</v>
      </c>
      <c r="B781" s="7" t="s">
        <v>1047</v>
      </c>
      <c r="C781" s="10" t="str">
        <f aca="false">INDEX(球員主檔!$B$2:$B$749,MATCH($B781,球員主檔!$A$2:$A$749,0))</f>
        <v>Camilo Kestrel</v>
      </c>
      <c r="D781" s="7" t="s">
        <v>414</v>
      </c>
      <c r="E781" s="10" t="str">
        <f aca="false">INDEX(球隊主檔!$C$2:$C$31,MATCH($D781,球隊主檔!$A$2:$A$31,0))</f>
        <v>紐約大都會</v>
      </c>
      <c r="F781" s="10" t="str">
        <f aca="false">INDEX(球隊主檔!$D$2:$D$31,MATCH($D781,球隊主檔!$A$2:$A$31,0))</f>
        <v>國聯</v>
      </c>
      <c r="G781" s="7" t="s">
        <v>63</v>
      </c>
      <c r="H781" s="11" t="n">
        <f aca="false">INT((DATE($A781,7,1)-INDEX(球員主檔!$G$2:$G$749,MATCH($B781,球員主檔!$A$2:$A$749,0)))/365.25)</f>
        <v>31</v>
      </c>
      <c r="I781" s="12" t="n">
        <v>57</v>
      </c>
      <c r="J781" s="12" t="n">
        <v>223</v>
      </c>
      <c r="K781" s="12" t="n">
        <v>196</v>
      </c>
      <c r="L781" s="12" t="n">
        <v>30</v>
      </c>
      <c r="M781" s="12" t="n">
        <v>51</v>
      </c>
      <c r="N781" s="12" t="n">
        <v>8</v>
      </c>
      <c r="O781" s="12" t="n">
        <v>8</v>
      </c>
      <c r="P781" s="12" t="n">
        <v>8</v>
      </c>
      <c r="Q781" s="12" t="n">
        <v>30</v>
      </c>
      <c r="R781" s="12" t="n">
        <v>20</v>
      </c>
      <c r="S781" s="12" t="n">
        <v>38</v>
      </c>
      <c r="T781" s="12" t="n">
        <v>4</v>
      </c>
      <c r="U781" s="12" t="n">
        <v>3</v>
      </c>
      <c r="V781" s="12" t="n">
        <v>5</v>
      </c>
      <c r="W781" s="12" t="n">
        <v>1</v>
      </c>
      <c r="X781" s="13" t="n">
        <f aca="false">M781+N781+2*O781+3*P781</f>
        <v>99</v>
      </c>
      <c r="Y781" s="14" t="n">
        <f aca="false">IF(K781=0,0,M781/K781)</f>
        <v>0.260204081632653</v>
      </c>
      <c r="Z781" s="14" t="n">
        <f aca="false">IF(K781+R781+T781+U781=0,0,(M781+R781+T781)/(K781+R781+T781+U781))</f>
        <v>0.336322869955157</v>
      </c>
      <c r="AA781" s="14" t="n">
        <f aca="false">IF(K781=0,0,X781/K781)</f>
        <v>0.505102040816327</v>
      </c>
      <c r="AB781" s="14" t="n">
        <f aca="false">Z781+AA781</f>
        <v>0.841424910771484</v>
      </c>
      <c r="AC781" s="14" t="n">
        <f aca="false">AA781-Y781</f>
        <v>0.244897959183673</v>
      </c>
      <c r="AD781" s="14" t="n">
        <f aca="false">IF(K781-S781-P781+U781=0,0,(M781-P781)/(K781-S781-P781+U781))</f>
        <v>0.281045751633987</v>
      </c>
      <c r="AE781" s="15" t="n">
        <f aca="false">IF(J781=0,0,R781/J781)</f>
        <v>0.0896860986547085</v>
      </c>
      <c r="AF781" s="15" t="n">
        <f aca="false">IF(J781=0,0,S781/J781)</f>
        <v>0.170403587443946</v>
      </c>
      <c r="AG781" s="11" t="n">
        <f aca="false">IF(J781&gt;=INDEX(球季參數!$E$2:$E$4,MATCH($A781,球季參數!$A$2:$A$4,0)),1,0)</f>
        <v>0</v>
      </c>
    </row>
    <row r="782" customFormat="false" ht="15" hidden="false" customHeight="false" outlineLevel="0" collapsed="false">
      <c r="A782" s="5" t="n">
        <v>2026</v>
      </c>
      <c r="B782" s="7" t="s">
        <v>651</v>
      </c>
      <c r="C782" s="10" t="str">
        <f aca="false">INDEX(球員主檔!$B$2:$B$749,MATCH($B782,球員主檔!$A$2:$A$749,0))</f>
        <v>Jasper Rasmussen</v>
      </c>
      <c r="D782" s="7" t="s">
        <v>418</v>
      </c>
      <c r="E782" s="10" t="str">
        <f aca="false">INDEX(球隊主檔!$C$2:$C$31,MATCH($D782,球隊主檔!$A$2:$A$31,0))</f>
        <v>費城費城人</v>
      </c>
      <c r="F782" s="10" t="str">
        <f aca="false">INDEX(球隊主檔!$D$2:$D$31,MATCH($D782,球隊主檔!$A$2:$A$31,0))</f>
        <v>國聯</v>
      </c>
      <c r="G782" s="7" t="s">
        <v>522</v>
      </c>
      <c r="H782" s="11" t="n">
        <f aca="false">INT((DATE($A782,7,1)-INDEX(球員主檔!$G$2:$G$749,MATCH($B782,球員主檔!$A$2:$A$749,0)))/365.25)</f>
        <v>27</v>
      </c>
      <c r="I782" s="12" t="n">
        <v>131</v>
      </c>
      <c r="J782" s="12" t="n">
        <v>588</v>
      </c>
      <c r="K782" s="12" t="n">
        <v>515</v>
      </c>
      <c r="L782" s="12" t="n">
        <v>65</v>
      </c>
      <c r="M782" s="12" t="n">
        <v>124</v>
      </c>
      <c r="N782" s="12" t="n">
        <v>35</v>
      </c>
      <c r="O782" s="12" t="n">
        <v>10</v>
      </c>
      <c r="P782" s="12" t="n">
        <v>20</v>
      </c>
      <c r="Q782" s="12" t="n">
        <v>72</v>
      </c>
      <c r="R782" s="12" t="n">
        <v>62</v>
      </c>
      <c r="S782" s="12" t="n">
        <v>95</v>
      </c>
      <c r="T782" s="12" t="n">
        <v>6</v>
      </c>
      <c r="U782" s="12" t="n">
        <v>5</v>
      </c>
      <c r="V782" s="12" t="n">
        <v>28</v>
      </c>
      <c r="W782" s="12" t="n">
        <v>4</v>
      </c>
      <c r="X782" s="13" t="n">
        <f aca="false">M782+N782+2*O782+3*P782</f>
        <v>239</v>
      </c>
      <c r="Y782" s="14" t="n">
        <f aca="false">IF(K782=0,0,M782/K782)</f>
        <v>0.240776699029126</v>
      </c>
      <c r="Z782" s="14" t="n">
        <f aca="false">IF(K782+R782+T782+U782=0,0,(M782+R782+T782)/(K782+R782+T782+U782))</f>
        <v>0.326530612244898</v>
      </c>
      <c r="AA782" s="14" t="n">
        <f aca="false">IF(K782=0,0,X782/K782)</f>
        <v>0.464077669902913</v>
      </c>
      <c r="AB782" s="14" t="n">
        <f aca="false">Z782+AA782</f>
        <v>0.790608282147811</v>
      </c>
      <c r="AC782" s="14" t="n">
        <f aca="false">AA782-Y782</f>
        <v>0.223300970873786</v>
      </c>
      <c r="AD782" s="14" t="n">
        <f aca="false">IF(K782-S782-P782+U782=0,0,(M782-P782)/(K782-S782-P782+U782))</f>
        <v>0.25679012345679</v>
      </c>
      <c r="AE782" s="15" t="n">
        <f aca="false">IF(J782=0,0,R782/J782)</f>
        <v>0.105442176870748</v>
      </c>
      <c r="AF782" s="15" t="n">
        <f aca="false">IF(J782=0,0,S782/J782)</f>
        <v>0.16156462585034</v>
      </c>
      <c r="AG782" s="11" t="n">
        <f aca="false">IF(J782&gt;=INDEX(球季參數!$E$2:$E$4,MATCH($A782,球季參數!$A$2:$A$4,0)),1,0)</f>
        <v>1</v>
      </c>
    </row>
    <row r="783" customFormat="false" ht="15" hidden="false" customHeight="false" outlineLevel="0" collapsed="false">
      <c r="A783" s="5" t="n">
        <v>2026</v>
      </c>
      <c r="B783" s="7" t="s">
        <v>919</v>
      </c>
      <c r="C783" s="10" t="str">
        <f aca="false">INDEX(球員主檔!$B$2:$B$749,MATCH($B783,球員主檔!$A$2:$A$749,0))</f>
        <v>Thaddeus Goddard</v>
      </c>
      <c r="D783" s="7" t="s">
        <v>418</v>
      </c>
      <c r="E783" s="10" t="str">
        <f aca="false">INDEX(球隊主檔!$C$2:$C$31,MATCH($D783,球隊主檔!$A$2:$A$31,0))</f>
        <v>費城費城人</v>
      </c>
      <c r="F783" s="10" t="str">
        <f aca="false">INDEX(球隊主檔!$D$2:$D$31,MATCH($D783,球隊主檔!$A$2:$A$31,0))</f>
        <v>國聯</v>
      </c>
      <c r="G783" s="7" t="s">
        <v>470</v>
      </c>
      <c r="H783" s="11" t="n">
        <f aca="false">INT((DATE($A783,7,1)-INDEX(球員主檔!$G$2:$G$749,MATCH($B783,球員主檔!$A$2:$A$749,0)))/365.25)</f>
        <v>29</v>
      </c>
      <c r="I783" s="12" t="n">
        <v>162</v>
      </c>
      <c r="J783" s="12" t="n">
        <v>697</v>
      </c>
      <c r="K783" s="12" t="n">
        <v>635</v>
      </c>
      <c r="L783" s="12" t="n">
        <v>72</v>
      </c>
      <c r="M783" s="12" t="n">
        <v>151</v>
      </c>
      <c r="N783" s="12" t="n">
        <v>39</v>
      </c>
      <c r="O783" s="12" t="n">
        <v>3</v>
      </c>
      <c r="P783" s="12" t="n">
        <v>17</v>
      </c>
      <c r="Q783" s="12" t="n">
        <v>58</v>
      </c>
      <c r="R783" s="12" t="n">
        <v>49</v>
      </c>
      <c r="S783" s="12" t="n">
        <v>168</v>
      </c>
      <c r="T783" s="12" t="n">
        <v>5</v>
      </c>
      <c r="U783" s="12" t="n">
        <v>8</v>
      </c>
      <c r="V783" s="12" t="n">
        <v>16</v>
      </c>
      <c r="W783" s="12" t="n">
        <v>4</v>
      </c>
      <c r="X783" s="13" t="n">
        <f aca="false">M783+N783+2*O783+3*P783</f>
        <v>247</v>
      </c>
      <c r="Y783" s="14" t="n">
        <f aca="false">IF(K783=0,0,M783/K783)</f>
        <v>0.237795275590551</v>
      </c>
      <c r="Z783" s="14" t="n">
        <f aca="false">IF(K783+R783+T783+U783=0,0,(M783+R783+T783)/(K783+R783+T783+U783))</f>
        <v>0.294117647058824</v>
      </c>
      <c r="AA783" s="14" t="n">
        <f aca="false">IF(K783=0,0,X783/K783)</f>
        <v>0.388976377952756</v>
      </c>
      <c r="AB783" s="14" t="n">
        <f aca="false">Z783+AA783</f>
        <v>0.68309402501158</v>
      </c>
      <c r="AC783" s="14" t="n">
        <f aca="false">AA783-Y783</f>
        <v>0.151181102362205</v>
      </c>
      <c r="AD783" s="14" t="n">
        <f aca="false">IF(K783-S783-P783+U783=0,0,(M783-P783)/(K783-S783-P783+U783))</f>
        <v>0.292576419213974</v>
      </c>
      <c r="AE783" s="15" t="n">
        <f aca="false">IF(J783=0,0,R783/J783)</f>
        <v>0.0703012912482066</v>
      </c>
      <c r="AF783" s="15" t="n">
        <f aca="false">IF(J783=0,0,S783/J783)</f>
        <v>0.24103299856528</v>
      </c>
      <c r="AG783" s="11" t="n">
        <f aca="false">IF(J783&gt;=INDEX(球季參數!$E$2:$E$4,MATCH($A783,球季參數!$A$2:$A$4,0)),1,0)</f>
        <v>1</v>
      </c>
    </row>
    <row r="784" customFormat="false" ht="15" hidden="false" customHeight="false" outlineLevel="0" collapsed="false">
      <c r="A784" s="5" t="n">
        <v>2026</v>
      </c>
      <c r="B784" s="7" t="s">
        <v>1915</v>
      </c>
      <c r="C784" s="10" t="str">
        <f aca="false">INDEX(球員主檔!$B$2:$B$749,MATCH($B784,球員主檔!$A$2:$A$749,0))</f>
        <v>Fletcher Novotný</v>
      </c>
      <c r="D784" s="7" t="s">
        <v>418</v>
      </c>
      <c r="E784" s="10" t="str">
        <f aca="false">INDEX(球隊主檔!$C$2:$C$31,MATCH($D784,球隊主檔!$A$2:$A$31,0))</f>
        <v>費城費城人</v>
      </c>
      <c r="F784" s="10" t="str">
        <f aca="false">INDEX(球隊主檔!$D$2:$D$31,MATCH($D784,球隊主檔!$A$2:$A$31,0))</f>
        <v>國聯</v>
      </c>
      <c r="G784" s="7" t="s">
        <v>158</v>
      </c>
      <c r="H784" s="11" t="n">
        <f aca="false">INT((DATE($A784,7,1)-INDEX(球員主檔!$G$2:$G$749,MATCH($B784,球員主檔!$A$2:$A$749,0)))/365.25)</f>
        <v>21</v>
      </c>
      <c r="I784" s="12" t="n">
        <v>112</v>
      </c>
      <c r="J784" s="12" t="n">
        <v>443</v>
      </c>
      <c r="K784" s="12" t="n">
        <v>395</v>
      </c>
      <c r="L784" s="12" t="n">
        <v>44</v>
      </c>
      <c r="M784" s="12" t="n">
        <v>86</v>
      </c>
      <c r="N784" s="12" t="n">
        <v>34</v>
      </c>
      <c r="O784" s="12" t="n">
        <v>2</v>
      </c>
      <c r="P784" s="12" t="n">
        <v>16</v>
      </c>
      <c r="Q784" s="12" t="n">
        <v>62</v>
      </c>
      <c r="R784" s="12" t="n">
        <v>37</v>
      </c>
      <c r="S784" s="12" t="n">
        <v>139</v>
      </c>
      <c r="T784" s="12" t="n">
        <v>7</v>
      </c>
      <c r="U784" s="12" t="n">
        <v>4</v>
      </c>
      <c r="V784" s="12" t="n">
        <v>3</v>
      </c>
      <c r="W784" s="12" t="n">
        <v>0</v>
      </c>
      <c r="X784" s="13" t="n">
        <f aca="false">M784+N784+2*O784+3*P784</f>
        <v>172</v>
      </c>
      <c r="Y784" s="14" t="n">
        <f aca="false">IF(K784=0,0,M784/K784)</f>
        <v>0.217721518987342</v>
      </c>
      <c r="Z784" s="14" t="n">
        <f aca="false">IF(K784+R784+T784+U784=0,0,(M784+R784+T784)/(K784+R784+T784+U784))</f>
        <v>0.293453724604966</v>
      </c>
      <c r="AA784" s="14" t="n">
        <f aca="false">IF(K784=0,0,X784/K784)</f>
        <v>0.435443037974684</v>
      </c>
      <c r="AB784" s="14" t="n">
        <f aca="false">Z784+AA784</f>
        <v>0.72889676257965</v>
      </c>
      <c r="AC784" s="14" t="n">
        <f aca="false">AA784-Y784</f>
        <v>0.217721518987342</v>
      </c>
      <c r="AD784" s="14" t="n">
        <f aca="false">IF(K784-S784-P784+U784=0,0,(M784-P784)/(K784-S784-P784+U784))</f>
        <v>0.286885245901639</v>
      </c>
      <c r="AE784" s="15" t="n">
        <f aca="false">IF(J784=0,0,R784/J784)</f>
        <v>0.0835214446952596</v>
      </c>
      <c r="AF784" s="15" t="n">
        <f aca="false">IF(J784=0,0,S784/J784)</f>
        <v>0.313769751693002</v>
      </c>
      <c r="AG784" s="11" t="n">
        <f aca="false">IF(J784&gt;=INDEX(球季參數!$E$2:$E$4,MATCH($A784,球季參數!$A$2:$A$4,0)),1,0)</f>
        <v>0</v>
      </c>
    </row>
    <row r="785" customFormat="false" ht="15" hidden="false" customHeight="false" outlineLevel="0" collapsed="false">
      <c r="A785" s="5" t="n">
        <v>2026</v>
      </c>
      <c r="B785" s="7" t="s">
        <v>1203</v>
      </c>
      <c r="C785" s="10" t="str">
        <f aca="false">INDEX(球員主檔!$B$2:$B$749,MATCH($B785,球員主檔!$A$2:$A$749,0))</f>
        <v>Zane Ashworth</v>
      </c>
      <c r="D785" s="7" t="s">
        <v>418</v>
      </c>
      <c r="E785" s="10" t="str">
        <f aca="false">INDEX(球隊主檔!$C$2:$C$31,MATCH($D785,球隊主檔!$A$2:$A$31,0))</f>
        <v>費城費城人</v>
      </c>
      <c r="F785" s="10" t="str">
        <f aca="false">INDEX(球隊主檔!$D$2:$D$31,MATCH($D785,球隊主檔!$A$2:$A$31,0))</f>
        <v>國聯</v>
      </c>
      <c r="G785" s="7" t="s">
        <v>483</v>
      </c>
      <c r="H785" s="11" t="n">
        <f aca="false">INT((DATE($A785,7,1)-INDEX(球員主檔!$G$2:$G$749,MATCH($B785,球員主檔!$A$2:$A$749,0)))/365.25)</f>
        <v>26</v>
      </c>
      <c r="I785" s="12" t="n">
        <v>151</v>
      </c>
      <c r="J785" s="12" t="n">
        <v>670</v>
      </c>
      <c r="K785" s="12" t="n">
        <v>571</v>
      </c>
      <c r="L785" s="12" t="n">
        <v>79</v>
      </c>
      <c r="M785" s="12" t="n">
        <v>156</v>
      </c>
      <c r="N785" s="12" t="n">
        <v>32</v>
      </c>
      <c r="O785" s="12" t="n">
        <v>6</v>
      </c>
      <c r="P785" s="12" t="n">
        <v>13</v>
      </c>
      <c r="Q785" s="12" t="n">
        <v>53</v>
      </c>
      <c r="R785" s="12" t="n">
        <v>83</v>
      </c>
      <c r="S785" s="12" t="n">
        <v>189</v>
      </c>
      <c r="T785" s="12" t="n">
        <v>11</v>
      </c>
      <c r="U785" s="12" t="n">
        <v>5</v>
      </c>
      <c r="V785" s="12" t="n">
        <v>34</v>
      </c>
      <c r="W785" s="12" t="n">
        <v>9</v>
      </c>
      <c r="X785" s="13" t="n">
        <f aca="false">M785+N785+2*O785+3*P785</f>
        <v>239</v>
      </c>
      <c r="Y785" s="14" t="n">
        <f aca="false">IF(K785=0,0,M785/K785)</f>
        <v>0.273204903677758</v>
      </c>
      <c r="Z785" s="14" t="n">
        <f aca="false">IF(K785+R785+T785+U785=0,0,(M785+R785+T785)/(K785+R785+T785+U785))</f>
        <v>0.373134328358209</v>
      </c>
      <c r="AA785" s="14" t="n">
        <f aca="false">IF(K785=0,0,X785/K785)</f>
        <v>0.418563922942207</v>
      </c>
      <c r="AB785" s="14" t="n">
        <f aca="false">Z785+AA785</f>
        <v>0.791698251300416</v>
      </c>
      <c r="AC785" s="14" t="n">
        <f aca="false">AA785-Y785</f>
        <v>0.145359019264448</v>
      </c>
      <c r="AD785" s="14" t="n">
        <f aca="false">IF(K785-S785-P785+U785=0,0,(M785-P785)/(K785-S785-P785+U785))</f>
        <v>0.382352941176471</v>
      </c>
      <c r="AE785" s="15" t="n">
        <f aca="false">IF(J785=0,0,R785/J785)</f>
        <v>0.123880597014925</v>
      </c>
      <c r="AF785" s="15" t="n">
        <f aca="false">IF(J785=0,0,S785/J785)</f>
        <v>0.282089552238806</v>
      </c>
      <c r="AG785" s="11" t="n">
        <f aca="false">IF(J785&gt;=INDEX(球季參數!$E$2:$E$4,MATCH($A785,球季參數!$A$2:$A$4,0)),1,0)</f>
        <v>1</v>
      </c>
    </row>
    <row r="786" customFormat="false" ht="15" hidden="false" customHeight="false" outlineLevel="0" collapsed="false">
      <c r="A786" s="5" t="n">
        <v>2026</v>
      </c>
      <c r="B786" s="7" t="s">
        <v>1765</v>
      </c>
      <c r="C786" s="10" t="str">
        <f aca="false">INDEX(球員主檔!$B$2:$B$749,MATCH($B786,球員主檔!$A$2:$A$749,0))</f>
        <v>Mateo Yarbrough</v>
      </c>
      <c r="D786" s="7" t="s">
        <v>418</v>
      </c>
      <c r="E786" s="10" t="str">
        <f aca="false">INDEX(球隊主檔!$C$2:$C$31,MATCH($D786,球隊主檔!$A$2:$A$31,0))</f>
        <v>費城費城人</v>
      </c>
      <c r="F786" s="10" t="str">
        <f aca="false">INDEX(球隊主檔!$D$2:$D$31,MATCH($D786,球隊主檔!$A$2:$A$31,0))</f>
        <v>國聯</v>
      </c>
      <c r="G786" s="7" t="s">
        <v>522</v>
      </c>
      <c r="H786" s="11" t="n">
        <f aca="false">INT((DATE($A786,7,1)-INDEX(球員主檔!$G$2:$G$749,MATCH($B786,球員主檔!$A$2:$A$749,0)))/365.25)</f>
        <v>25</v>
      </c>
      <c r="I786" s="12" t="n">
        <v>139</v>
      </c>
      <c r="J786" s="12" t="n">
        <v>600</v>
      </c>
      <c r="K786" s="12" t="n">
        <v>530</v>
      </c>
      <c r="L786" s="12" t="n">
        <v>44</v>
      </c>
      <c r="M786" s="12" t="n">
        <v>88</v>
      </c>
      <c r="N786" s="12" t="n">
        <v>22</v>
      </c>
      <c r="O786" s="12" t="n">
        <v>3</v>
      </c>
      <c r="P786" s="12" t="n">
        <v>8</v>
      </c>
      <c r="Q786" s="12" t="n">
        <v>41</v>
      </c>
      <c r="R786" s="12" t="n">
        <v>58</v>
      </c>
      <c r="S786" s="12" t="n">
        <v>110</v>
      </c>
      <c r="T786" s="12" t="n">
        <v>11</v>
      </c>
      <c r="U786" s="12" t="n">
        <v>1</v>
      </c>
      <c r="V786" s="12" t="n">
        <v>12</v>
      </c>
      <c r="W786" s="12" t="n">
        <v>3</v>
      </c>
      <c r="X786" s="13" t="n">
        <f aca="false">M786+N786+2*O786+3*P786</f>
        <v>140</v>
      </c>
      <c r="Y786" s="14" t="n">
        <f aca="false">IF(K786=0,0,M786/K786)</f>
        <v>0.166037735849057</v>
      </c>
      <c r="Z786" s="14" t="n">
        <f aca="false">IF(K786+R786+T786+U786=0,0,(M786+R786+T786)/(K786+R786+T786+U786))</f>
        <v>0.261666666666667</v>
      </c>
      <c r="AA786" s="14" t="n">
        <f aca="false">IF(K786=0,0,X786/K786)</f>
        <v>0.264150943396226</v>
      </c>
      <c r="AB786" s="14" t="n">
        <f aca="false">Z786+AA786</f>
        <v>0.525817610062893</v>
      </c>
      <c r="AC786" s="14" t="n">
        <f aca="false">AA786-Y786</f>
        <v>0.0981132075471698</v>
      </c>
      <c r="AD786" s="14" t="n">
        <f aca="false">IF(K786-S786-P786+U786=0,0,(M786-P786)/(K786-S786-P786+U786))</f>
        <v>0.193704600484262</v>
      </c>
      <c r="AE786" s="15" t="n">
        <f aca="false">IF(J786=0,0,R786/J786)</f>
        <v>0.0966666666666667</v>
      </c>
      <c r="AF786" s="15" t="n">
        <f aca="false">IF(J786=0,0,S786/J786)</f>
        <v>0.183333333333333</v>
      </c>
      <c r="AG786" s="11" t="n">
        <f aca="false">IF(J786&gt;=INDEX(球季參數!$E$2:$E$4,MATCH($A786,球季參數!$A$2:$A$4,0)),1,0)</f>
        <v>1</v>
      </c>
    </row>
    <row r="787" customFormat="false" ht="15" hidden="false" customHeight="false" outlineLevel="0" collapsed="false">
      <c r="A787" s="5" t="n">
        <v>2026</v>
      </c>
      <c r="B787" s="7" t="s">
        <v>1207</v>
      </c>
      <c r="C787" s="10" t="str">
        <f aca="false">INDEX(球員主檔!$B$2:$B$749,MATCH($B787,球員主檔!$A$2:$A$749,0))</f>
        <v>Holden Caldera</v>
      </c>
      <c r="D787" s="7" t="s">
        <v>418</v>
      </c>
      <c r="E787" s="10" t="str">
        <f aca="false">INDEX(球隊主檔!$C$2:$C$31,MATCH($D787,球隊主檔!$A$2:$A$31,0))</f>
        <v>費城費城人</v>
      </c>
      <c r="F787" s="10" t="str">
        <f aca="false">INDEX(球隊主檔!$D$2:$D$31,MATCH($D787,球隊主檔!$A$2:$A$31,0))</f>
        <v>國聯</v>
      </c>
      <c r="G787" s="7" t="s">
        <v>63</v>
      </c>
      <c r="H787" s="11" t="n">
        <f aca="false">INT((DATE($A787,7,1)-INDEX(球員主檔!$G$2:$G$749,MATCH($B787,球員主檔!$A$2:$A$749,0)))/365.25)</f>
        <v>27</v>
      </c>
      <c r="I787" s="12" t="n">
        <v>129</v>
      </c>
      <c r="J787" s="12" t="n">
        <v>517</v>
      </c>
      <c r="K787" s="12" t="n">
        <v>473</v>
      </c>
      <c r="L787" s="12" t="n">
        <v>63</v>
      </c>
      <c r="M787" s="12" t="n">
        <v>131</v>
      </c>
      <c r="N787" s="12" t="n">
        <v>24</v>
      </c>
      <c r="O787" s="12" t="n">
        <v>11</v>
      </c>
      <c r="P787" s="12" t="n">
        <v>7</v>
      </c>
      <c r="Q787" s="12" t="n">
        <v>42</v>
      </c>
      <c r="R787" s="12" t="n">
        <v>29</v>
      </c>
      <c r="S787" s="12" t="n">
        <v>149</v>
      </c>
      <c r="T787" s="12" t="n">
        <v>10</v>
      </c>
      <c r="U787" s="12" t="n">
        <v>5</v>
      </c>
      <c r="V787" s="12" t="n">
        <v>29</v>
      </c>
      <c r="W787" s="12" t="n">
        <v>3</v>
      </c>
      <c r="X787" s="13" t="n">
        <f aca="false">M787+N787+2*O787+3*P787</f>
        <v>198</v>
      </c>
      <c r="Y787" s="14" t="n">
        <f aca="false">IF(K787=0,0,M787/K787)</f>
        <v>0.276955602536998</v>
      </c>
      <c r="Z787" s="14" t="n">
        <f aca="false">IF(K787+R787+T787+U787=0,0,(M787+R787+T787)/(K787+R787+T787+U787))</f>
        <v>0.328820116054159</v>
      </c>
      <c r="AA787" s="14" t="n">
        <f aca="false">IF(K787=0,0,X787/K787)</f>
        <v>0.418604651162791</v>
      </c>
      <c r="AB787" s="14" t="n">
        <f aca="false">Z787+AA787</f>
        <v>0.747424767216949</v>
      </c>
      <c r="AC787" s="14" t="n">
        <f aca="false">AA787-Y787</f>
        <v>0.141649048625793</v>
      </c>
      <c r="AD787" s="14" t="n">
        <f aca="false">IF(K787-S787-P787+U787=0,0,(M787-P787)/(K787-S787-P787+U787))</f>
        <v>0.385093167701863</v>
      </c>
      <c r="AE787" s="15" t="n">
        <f aca="false">IF(J787=0,0,R787/J787)</f>
        <v>0.0560928433268859</v>
      </c>
      <c r="AF787" s="15" t="n">
        <f aca="false">IF(J787=0,0,S787/J787)</f>
        <v>0.288201160541586</v>
      </c>
      <c r="AG787" s="11" t="n">
        <f aca="false">IF(J787&gt;=INDEX(球季參數!$E$2:$E$4,MATCH($A787,球季參數!$A$2:$A$4,0)),1,0)</f>
        <v>1</v>
      </c>
    </row>
    <row r="788" customFormat="false" ht="15" hidden="false" customHeight="false" outlineLevel="0" collapsed="false">
      <c r="A788" s="5" t="n">
        <v>2026</v>
      </c>
      <c r="B788" s="7" t="s">
        <v>889</v>
      </c>
      <c r="C788" s="10" t="str">
        <f aca="false">INDEX(球員主檔!$B$2:$B$749,MATCH($B788,球員主檔!$A$2:$A$749,0))</f>
        <v>Landon Ulloa</v>
      </c>
      <c r="D788" s="7" t="s">
        <v>418</v>
      </c>
      <c r="E788" s="10" t="str">
        <f aca="false">INDEX(球隊主檔!$C$2:$C$31,MATCH($D788,球隊主檔!$A$2:$A$31,0))</f>
        <v>費城費城人</v>
      </c>
      <c r="F788" s="10" t="str">
        <f aca="false">INDEX(球隊主檔!$D$2:$D$31,MATCH($D788,球隊主檔!$A$2:$A$31,0))</f>
        <v>國聯</v>
      </c>
      <c r="G788" s="7" t="s">
        <v>158</v>
      </c>
      <c r="H788" s="11" t="n">
        <f aca="false">INT((DATE($A788,7,1)-INDEX(球員主檔!$G$2:$G$749,MATCH($B788,球員主檔!$A$2:$A$749,0)))/365.25)</f>
        <v>28</v>
      </c>
      <c r="I788" s="12" t="n">
        <v>139</v>
      </c>
      <c r="J788" s="12" t="n">
        <v>550</v>
      </c>
      <c r="K788" s="12" t="n">
        <v>491</v>
      </c>
      <c r="L788" s="12" t="n">
        <v>70</v>
      </c>
      <c r="M788" s="12" t="n">
        <v>129</v>
      </c>
      <c r="N788" s="12" t="n">
        <v>18</v>
      </c>
      <c r="O788" s="12" t="n">
        <v>3</v>
      </c>
      <c r="P788" s="12" t="n">
        <v>10</v>
      </c>
      <c r="Q788" s="12" t="n">
        <v>55</v>
      </c>
      <c r="R788" s="12" t="n">
        <v>53</v>
      </c>
      <c r="S788" s="12" t="n">
        <v>148</v>
      </c>
      <c r="T788" s="12" t="n">
        <v>2</v>
      </c>
      <c r="U788" s="12" t="n">
        <v>4</v>
      </c>
      <c r="V788" s="12" t="n">
        <v>24</v>
      </c>
      <c r="W788" s="12" t="n">
        <v>5</v>
      </c>
      <c r="X788" s="13" t="n">
        <f aca="false">M788+N788+2*O788+3*P788</f>
        <v>183</v>
      </c>
      <c r="Y788" s="14" t="n">
        <f aca="false">IF(K788=0,0,M788/K788)</f>
        <v>0.262729124236253</v>
      </c>
      <c r="Z788" s="14" t="n">
        <f aca="false">IF(K788+R788+T788+U788=0,0,(M788+R788+T788)/(K788+R788+T788+U788))</f>
        <v>0.334545454545455</v>
      </c>
      <c r="AA788" s="14" t="n">
        <f aca="false">IF(K788=0,0,X788/K788)</f>
        <v>0.372708757637475</v>
      </c>
      <c r="AB788" s="14" t="n">
        <f aca="false">Z788+AA788</f>
        <v>0.707254212182929</v>
      </c>
      <c r="AC788" s="14" t="n">
        <f aca="false">AA788-Y788</f>
        <v>0.109979633401222</v>
      </c>
      <c r="AD788" s="14" t="n">
        <f aca="false">IF(K788-S788-P788+U788=0,0,(M788-P788)/(K788-S788-P788+U788))</f>
        <v>0.353115727002967</v>
      </c>
      <c r="AE788" s="15" t="n">
        <f aca="false">IF(J788=0,0,R788/J788)</f>
        <v>0.0963636363636364</v>
      </c>
      <c r="AF788" s="15" t="n">
        <f aca="false">IF(J788=0,0,S788/J788)</f>
        <v>0.269090909090909</v>
      </c>
      <c r="AG788" s="11" t="n">
        <f aca="false">IF(J788&gt;=INDEX(球季參數!$E$2:$E$4,MATCH($A788,球季參數!$A$2:$A$4,0)),1,0)</f>
        <v>1</v>
      </c>
    </row>
    <row r="789" customFormat="false" ht="15" hidden="false" customHeight="false" outlineLevel="0" collapsed="false">
      <c r="A789" s="5" t="n">
        <v>2026</v>
      </c>
      <c r="B789" s="7" t="s">
        <v>1521</v>
      </c>
      <c r="C789" s="10" t="str">
        <f aca="false">INDEX(球員主檔!$B$2:$B$749,MATCH($B789,球員主檔!$A$2:$A$749,0))</f>
        <v>Bernardo Fairbanks</v>
      </c>
      <c r="D789" s="7" t="s">
        <v>418</v>
      </c>
      <c r="E789" s="10" t="str">
        <f aca="false">INDEX(球隊主檔!$C$2:$C$31,MATCH($D789,球隊主檔!$A$2:$A$31,0))</f>
        <v>費城費城人</v>
      </c>
      <c r="F789" s="10" t="str">
        <f aca="false">INDEX(球隊主檔!$D$2:$D$31,MATCH($D789,球隊主檔!$A$2:$A$31,0))</f>
        <v>國聯</v>
      </c>
      <c r="G789" s="7" t="s">
        <v>158</v>
      </c>
      <c r="H789" s="11" t="n">
        <f aca="false">INT((DATE($A789,7,1)-INDEX(球員主檔!$G$2:$G$749,MATCH($B789,球員主檔!$A$2:$A$749,0)))/365.25)</f>
        <v>34</v>
      </c>
      <c r="I789" s="12" t="n">
        <v>116</v>
      </c>
      <c r="J789" s="12" t="n">
        <v>492</v>
      </c>
      <c r="K789" s="12" t="n">
        <v>447</v>
      </c>
      <c r="L789" s="12" t="n">
        <v>64</v>
      </c>
      <c r="M789" s="12" t="n">
        <v>115</v>
      </c>
      <c r="N789" s="12" t="n">
        <v>19</v>
      </c>
      <c r="O789" s="12" t="n">
        <v>5</v>
      </c>
      <c r="P789" s="12" t="n">
        <v>25</v>
      </c>
      <c r="Q789" s="12" t="n">
        <v>76</v>
      </c>
      <c r="R789" s="12" t="n">
        <v>35</v>
      </c>
      <c r="S789" s="12" t="n">
        <v>64</v>
      </c>
      <c r="T789" s="12" t="n">
        <v>8</v>
      </c>
      <c r="U789" s="12" t="n">
        <v>2</v>
      </c>
      <c r="V789" s="12" t="n">
        <v>6</v>
      </c>
      <c r="W789" s="12" t="n">
        <v>2</v>
      </c>
      <c r="X789" s="13" t="n">
        <f aca="false">M789+N789+2*O789+3*P789</f>
        <v>219</v>
      </c>
      <c r="Y789" s="14" t="n">
        <f aca="false">IF(K789=0,0,M789/K789)</f>
        <v>0.257270693512304</v>
      </c>
      <c r="Z789" s="14" t="n">
        <f aca="false">IF(K789+R789+T789+U789=0,0,(M789+R789+T789)/(K789+R789+T789+U789))</f>
        <v>0.321138211382114</v>
      </c>
      <c r="AA789" s="14" t="n">
        <f aca="false">IF(K789=0,0,X789/K789)</f>
        <v>0.48993288590604</v>
      </c>
      <c r="AB789" s="14" t="n">
        <f aca="false">Z789+AA789</f>
        <v>0.811071097288154</v>
      </c>
      <c r="AC789" s="14" t="n">
        <f aca="false">AA789-Y789</f>
        <v>0.232662192393736</v>
      </c>
      <c r="AD789" s="14" t="n">
        <f aca="false">IF(K789-S789-P789+U789=0,0,(M789-P789)/(K789-S789-P789+U789))</f>
        <v>0.25</v>
      </c>
      <c r="AE789" s="15" t="n">
        <f aca="false">IF(J789=0,0,R789/J789)</f>
        <v>0.0711382113821138</v>
      </c>
      <c r="AF789" s="15" t="n">
        <f aca="false">IF(J789=0,0,S789/J789)</f>
        <v>0.130081300813008</v>
      </c>
      <c r="AG789" s="11" t="n">
        <f aca="false">IF(J789&gt;=INDEX(球季參數!$E$2:$E$4,MATCH($A789,球季參數!$A$2:$A$4,0)),1,0)</f>
        <v>0</v>
      </c>
    </row>
    <row r="790" customFormat="false" ht="15" hidden="false" customHeight="false" outlineLevel="0" collapsed="false">
      <c r="A790" s="5" t="n">
        <v>2026</v>
      </c>
      <c r="B790" s="7" t="s">
        <v>1213</v>
      </c>
      <c r="C790" s="10" t="str">
        <f aca="false">INDEX(球員主檔!$B$2:$B$749,MATCH($B790,球員主檔!$A$2:$A$749,0))</f>
        <v>Wendell Fairbanks</v>
      </c>
      <c r="D790" s="7" t="s">
        <v>418</v>
      </c>
      <c r="E790" s="10" t="str">
        <f aca="false">INDEX(球隊主檔!$C$2:$C$31,MATCH($D790,球隊主檔!$A$2:$A$31,0))</f>
        <v>費城費城人</v>
      </c>
      <c r="F790" s="10" t="str">
        <f aca="false">INDEX(球隊主檔!$D$2:$D$31,MATCH($D790,球隊主檔!$A$2:$A$31,0))</f>
        <v>國聯</v>
      </c>
      <c r="G790" s="7" t="s">
        <v>63</v>
      </c>
      <c r="H790" s="11" t="n">
        <f aca="false">INT((DATE($A790,7,1)-INDEX(球員主檔!$G$2:$G$749,MATCH($B790,球員主檔!$A$2:$A$749,0)))/365.25)</f>
        <v>29</v>
      </c>
      <c r="I790" s="12" t="n">
        <v>30</v>
      </c>
      <c r="J790" s="12" t="n">
        <v>122</v>
      </c>
      <c r="K790" s="12" t="n">
        <v>114</v>
      </c>
      <c r="L790" s="12" t="n">
        <v>13</v>
      </c>
      <c r="M790" s="12" t="n">
        <v>28</v>
      </c>
      <c r="N790" s="12" t="n">
        <v>12</v>
      </c>
      <c r="O790" s="12" t="n">
        <v>2</v>
      </c>
      <c r="P790" s="12" t="n">
        <v>2</v>
      </c>
      <c r="Q790" s="12" t="n">
        <v>11</v>
      </c>
      <c r="R790" s="12" t="n">
        <v>6</v>
      </c>
      <c r="S790" s="12" t="n">
        <v>18</v>
      </c>
      <c r="T790" s="12" t="n">
        <v>2</v>
      </c>
      <c r="U790" s="12" t="n">
        <v>0</v>
      </c>
      <c r="V790" s="12" t="n">
        <v>2</v>
      </c>
      <c r="W790" s="12" t="n">
        <v>1</v>
      </c>
      <c r="X790" s="13" t="n">
        <f aca="false">M790+N790+2*O790+3*P790</f>
        <v>50</v>
      </c>
      <c r="Y790" s="14" t="n">
        <f aca="false">IF(K790=0,0,M790/K790)</f>
        <v>0.245614035087719</v>
      </c>
      <c r="Z790" s="14" t="n">
        <f aca="false">IF(K790+R790+T790+U790=0,0,(M790+R790+T790)/(K790+R790+T790+U790))</f>
        <v>0.295081967213115</v>
      </c>
      <c r="AA790" s="14" t="n">
        <f aca="false">IF(K790=0,0,X790/K790)</f>
        <v>0.43859649122807</v>
      </c>
      <c r="AB790" s="14" t="n">
        <f aca="false">Z790+AA790</f>
        <v>0.733678458441185</v>
      </c>
      <c r="AC790" s="14" t="n">
        <f aca="false">AA790-Y790</f>
        <v>0.192982456140351</v>
      </c>
      <c r="AD790" s="14" t="n">
        <f aca="false">IF(K790-S790-P790+U790=0,0,(M790-P790)/(K790-S790-P790+U790))</f>
        <v>0.276595744680851</v>
      </c>
      <c r="AE790" s="15" t="n">
        <f aca="false">IF(J790=0,0,R790/J790)</f>
        <v>0.0491803278688525</v>
      </c>
      <c r="AF790" s="15" t="n">
        <f aca="false">IF(J790=0,0,S790/J790)</f>
        <v>0.147540983606557</v>
      </c>
      <c r="AG790" s="11" t="n">
        <f aca="false">IF(J790&gt;=INDEX(球季參數!$E$2:$E$4,MATCH($A790,球季參數!$A$2:$A$4,0)),1,0)</f>
        <v>0</v>
      </c>
    </row>
    <row r="791" customFormat="false" ht="15" hidden="false" customHeight="false" outlineLevel="0" collapsed="false">
      <c r="A791" s="5" t="n">
        <v>2026</v>
      </c>
      <c r="B791" s="7" t="s">
        <v>1917</v>
      </c>
      <c r="C791" s="10" t="str">
        <f aca="false">INDEX(球員主檔!$B$2:$B$749,MATCH($B791,球員主檔!$A$2:$A$749,0))</f>
        <v>Thiago Blackwood</v>
      </c>
      <c r="D791" s="7" t="s">
        <v>418</v>
      </c>
      <c r="E791" s="10" t="str">
        <f aca="false">INDEX(球隊主檔!$C$2:$C$31,MATCH($D791,球隊主檔!$A$2:$A$31,0))</f>
        <v>費城費城人</v>
      </c>
      <c r="F791" s="10" t="str">
        <f aca="false">INDEX(球隊主檔!$D$2:$D$31,MATCH($D791,球隊主檔!$A$2:$A$31,0))</f>
        <v>國聯</v>
      </c>
      <c r="G791" s="7" t="s">
        <v>473</v>
      </c>
      <c r="H791" s="11" t="n">
        <f aca="false">INT((DATE($A791,7,1)-INDEX(球員主檔!$G$2:$G$749,MATCH($B791,球員主檔!$A$2:$A$749,0)))/365.25)</f>
        <v>19</v>
      </c>
      <c r="I791" s="12" t="n">
        <v>46</v>
      </c>
      <c r="J791" s="12" t="n">
        <v>192</v>
      </c>
      <c r="K791" s="12" t="n">
        <v>166</v>
      </c>
      <c r="L791" s="12" t="n">
        <v>24</v>
      </c>
      <c r="M791" s="12" t="n">
        <v>38</v>
      </c>
      <c r="N791" s="12" t="n">
        <v>9</v>
      </c>
      <c r="O791" s="12" t="n">
        <v>7</v>
      </c>
      <c r="P791" s="12" t="n">
        <v>7</v>
      </c>
      <c r="Q791" s="12" t="n">
        <v>26</v>
      </c>
      <c r="R791" s="12" t="n">
        <v>22</v>
      </c>
      <c r="S791" s="12" t="n">
        <v>57</v>
      </c>
      <c r="T791" s="12" t="n">
        <v>3</v>
      </c>
      <c r="U791" s="12" t="n">
        <v>1</v>
      </c>
      <c r="V791" s="12" t="n">
        <v>4</v>
      </c>
      <c r="W791" s="12" t="n">
        <v>1</v>
      </c>
      <c r="X791" s="13" t="n">
        <f aca="false">M791+N791+2*O791+3*P791</f>
        <v>82</v>
      </c>
      <c r="Y791" s="14" t="n">
        <f aca="false">IF(K791=0,0,M791/K791)</f>
        <v>0.228915662650602</v>
      </c>
      <c r="Z791" s="14" t="n">
        <f aca="false">IF(K791+R791+T791+U791=0,0,(M791+R791+T791)/(K791+R791+T791+U791))</f>
        <v>0.328125</v>
      </c>
      <c r="AA791" s="14" t="n">
        <f aca="false">IF(K791=0,0,X791/K791)</f>
        <v>0.493975903614458</v>
      </c>
      <c r="AB791" s="14" t="n">
        <f aca="false">Z791+AA791</f>
        <v>0.822100903614458</v>
      </c>
      <c r="AC791" s="14" t="n">
        <f aca="false">AA791-Y791</f>
        <v>0.265060240963855</v>
      </c>
      <c r="AD791" s="14" t="n">
        <f aca="false">IF(K791-S791-P791+U791=0,0,(M791-P791)/(K791-S791-P791+U791))</f>
        <v>0.300970873786408</v>
      </c>
      <c r="AE791" s="15" t="n">
        <f aca="false">IF(J791=0,0,R791/J791)</f>
        <v>0.114583333333333</v>
      </c>
      <c r="AF791" s="15" t="n">
        <f aca="false">IF(J791=0,0,S791/J791)</f>
        <v>0.296875</v>
      </c>
      <c r="AG791" s="11" t="n">
        <f aca="false">IF(J791&gt;=INDEX(球季參數!$E$2:$E$4,MATCH($A791,球季參數!$A$2:$A$4,0)),1,0)</f>
        <v>0</v>
      </c>
    </row>
    <row r="792" customFormat="false" ht="15" hidden="false" customHeight="false" outlineLevel="0" collapsed="false">
      <c r="A792" s="5" t="n">
        <v>2026</v>
      </c>
      <c r="B792" s="7" t="s">
        <v>1237</v>
      </c>
      <c r="C792" s="10" t="str">
        <f aca="false">INDEX(球員主檔!$B$2:$B$749,MATCH($B792,球員主檔!$A$2:$A$749,0))</f>
        <v>Cedric Yarbrough</v>
      </c>
      <c r="D792" s="7" t="s">
        <v>422</v>
      </c>
      <c r="E792" s="10" t="str">
        <f aca="false">INDEX(球隊主檔!$C$2:$C$31,MATCH($D792,球隊主檔!$A$2:$A$31,0))</f>
        <v>華盛頓國民</v>
      </c>
      <c r="F792" s="10" t="str">
        <f aca="false">INDEX(球隊主檔!$D$2:$D$31,MATCH($D792,球隊主檔!$A$2:$A$31,0))</f>
        <v>國聯</v>
      </c>
      <c r="G792" s="7" t="s">
        <v>486</v>
      </c>
      <c r="H792" s="11" t="n">
        <f aca="false">INT((DATE($A792,7,1)-INDEX(球員主檔!$G$2:$G$749,MATCH($B792,球員主檔!$A$2:$A$749,0)))/365.25)</f>
        <v>31</v>
      </c>
      <c r="I792" s="12" t="n">
        <v>150</v>
      </c>
      <c r="J792" s="12" t="n">
        <v>619</v>
      </c>
      <c r="K792" s="12" t="n">
        <v>548</v>
      </c>
      <c r="L792" s="12" t="n">
        <v>68</v>
      </c>
      <c r="M792" s="12" t="n">
        <v>130</v>
      </c>
      <c r="N792" s="12" t="n">
        <v>22</v>
      </c>
      <c r="O792" s="12" t="n">
        <v>9</v>
      </c>
      <c r="P792" s="12" t="n">
        <v>24</v>
      </c>
      <c r="Q792" s="12" t="n">
        <v>73</v>
      </c>
      <c r="R792" s="12" t="n">
        <v>54</v>
      </c>
      <c r="S792" s="12" t="n">
        <v>137</v>
      </c>
      <c r="T792" s="12" t="n">
        <v>12</v>
      </c>
      <c r="U792" s="12" t="n">
        <v>5</v>
      </c>
      <c r="V792" s="12" t="n">
        <v>19</v>
      </c>
      <c r="W792" s="12" t="n">
        <v>3</v>
      </c>
      <c r="X792" s="13" t="n">
        <f aca="false">M792+N792+2*O792+3*P792</f>
        <v>242</v>
      </c>
      <c r="Y792" s="14" t="n">
        <f aca="false">IF(K792=0,0,M792/K792)</f>
        <v>0.237226277372263</v>
      </c>
      <c r="Z792" s="14" t="n">
        <f aca="false">IF(K792+R792+T792+U792=0,0,(M792+R792+T792)/(K792+R792+T792+U792))</f>
        <v>0.316639741518578</v>
      </c>
      <c r="AA792" s="14" t="n">
        <f aca="false">IF(K792=0,0,X792/K792)</f>
        <v>0.441605839416058</v>
      </c>
      <c r="AB792" s="14" t="n">
        <f aca="false">Z792+AA792</f>
        <v>0.758245580934637</v>
      </c>
      <c r="AC792" s="14" t="n">
        <f aca="false">AA792-Y792</f>
        <v>0.204379562043796</v>
      </c>
      <c r="AD792" s="14" t="n">
        <f aca="false">IF(K792-S792-P792+U792=0,0,(M792-P792)/(K792-S792-P792+U792))</f>
        <v>0.270408163265306</v>
      </c>
      <c r="AE792" s="15" t="n">
        <f aca="false">IF(J792=0,0,R792/J792)</f>
        <v>0.0872374798061389</v>
      </c>
      <c r="AF792" s="15" t="n">
        <f aca="false">IF(J792=0,0,S792/J792)</f>
        <v>0.221324717285945</v>
      </c>
      <c r="AG792" s="11" t="n">
        <f aca="false">IF(J792&gt;=INDEX(球季參數!$E$2:$E$4,MATCH($A792,球季參數!$A$2:$A$4,0)),1,0)</f>
        <v>1</v>
      </c>
    </row>
    <row r="793" customFormat="false" ht="15" hidden="false" customHeight="false" outlineLevel="0" collapsed="false">
      <c r="A793" s="5" t="n">
        <v>2026</v>
      </c>
      <c r="B793" s="7" t="s">
        <v>1771</v>
      </c>
      <c r="C793" s="10" t="str">
        <f aca="false">INDEX(球員主檔!$B$2:$B$749,MATCH($B793,球員主檔!$A$2:$A$749,0))</f>
        <v>Lucien Tremblay</v>
      </c>
      <c r="D793" s="7" t="s">
        <v>422</v>
      </c>
      <c r="E793" s="10" t="str">
        <f aca="false">INDEX(球隊主檔!$C$2:$C$31,MATCH($D793,球隊主檔!$A$2:$A$31,0))</f>
        <v>華盛頓國民</v>
      </c>
      <c r="F793" s="10" t="str">
        <f aca="false">INDEX(球隊主檔!$D$2:$D$31,MATCH($D793,球隊主檔!$A$2:$A$31,0))</f>
        <v>國聯</v>
      </c>
      <c r="G793" s="7" t="s">
        <v>522</v>
      </c>
      <c r="H793" s="11" t="n">
        <f aca="false">INT((DATE($A793,7,1)-INDEX(球員主檔!$G$2:$G$749,MATCH($B793,球員主檔!$A$2:$A$749,0)))/365.25)</f>
        <v>23</v>
      </c>
      <c r="I793" s="12" t="n">
        <v>75</v>
      </c>
      <c r="J793" s="12" t="n">
        <v>334</v>
      </c>
      <c r="K793" s="12" t="n">
        <v>298</v>
      </c>
      <c r="L793" s="12" t="n">
        <v>44</v>
      </c>
      <c r="M793" s="12" t="n">
        <v>84</v>
      </c>
      <c r="N793" s="12" t="n">
        <v>12</v>
      </c>
      <c r="O793" s="12" t="n">
        <v>5</v>
      </c>
      <c r="P793" s="12" t="n">
        <v>3</v>
      </c>
      <c r="Q793" s="12" t="n">
        <v>21</v>
      </c>
      <c r="R793" s="12" t="n">
        <v>32</v>
      </c>
      <c r="S793" s="12" t="n">
        <v>63</v>
      </c>
      <c r="T793" s="12" t="n">
        <v>1</v>
      </c>
      <c r="U793" s="12" t="n">
        <v>3</v>
      </c>
      <c r="V793" s="12" t="n">
        <v>12</v>
      </c>
      <c r="W793" s="12" t="n">
        <v>2</v>
      </c>
      <c r="X793" s="13" t="n">
        <f aca="false">M793+N793+2*O793+3*P793</f>
        <v>115</v>
      </c>
      <c r="Y793" s="14" t="n">
        <f aca="false">IF(K793=0,0,M793/K793)</f>
        <v>0.281879194630872</v>
      </c>
      <c r="Z793" s="14" t="n">
        <f aca="false">IF(K793+R793+T793+U793=0,0,(M793+R793+T793)/(K793+R793+T793+U793))</f>
        <v>0.350299401197605</v>
      </c>
      <c r="AA793" s="14" t="n">
        <f aca="false">IF(K793=0,0,X793/K793)</f>
        <v>0.385906040268456</v>
      </c>
      <c r="AB793" s="14" t="n">
        <f aca="false">Z793+AA793</f>
        <v>0.736205441466061</v>
      </c>
      <c r="AC793" s="14" t="n">
        <f aca="false">AA793-Y793</f>
        <v>0.104026845637584</v>
      </c>
      <c r="AD793" s="14" t="n">
        <f aca="false">IF(K793-S793-P793+U793=0,0,(M793-P793)/(K793-S793-P793+U793))</f>
        <v>0.34468085106383</v>
      </c>
      <c r="AE793" s="15" t="n">
        <f aca="false">IF(J793=0,0,R793/J793)</f>
        <v>0.0958083832335329</v>
      </c>
      <c r="AF793" s="15" t="n">
        <f aca="false">IF(J793=0,0,S793/J793)</f>
        <v>0.188622754491018</v>
      </c>
      <c r="AG793" s="11" t="n">
        <f aca="false">IF(J793&gt;=INDEX(球季參數!$E$2:$E$4,MATCH($A793,球季參數!$A$2:$A$4,0)),1,0)</f>
        <v>0</v>
      </c>
    </row>
    <row r="794" customFormat="false" ht="15" hidden="false" customHeight="false" outlineLevel="0" collapsed="false">
      <c r="A794" s="5" t="n">
        <v>2026</v>
      </c>
      <c r="B794" s="7" t="s">
        <v>1919</v>
      </c>
      <c r="C794" s="10" t="str">
        <f aca="false">INDEX(球員主檔!$B$2:$B$749,MATCH($B794,球員主檔!$A$2:$A$749,0))</f>
        <v>Dorian Villalobos</v>
      </c>
      <c r="D794" s="7" t="s">
        <v>422</v>
      </c>
      <c r="E794" s="10" t="str">
        <f aca="false">INDEX(球隊主檔!$C$2:$C$31,MATCH($D794,球隊主檔!$A$2:$A$31,0))</f>
        <v>華盛頓國民</v>
      </c>
      <c r="F794" s="10" t="str">
        <f aca="false">INDEX(球隊主檔!$D$2:$D$31,MATCH($D794,球隊主檔!$A$2:$A$31,0))</f>
        <v>國聯</v>
      </c>
      <c r="G794" s="7" t="s">
        <v>63</v>
      </c>
      <c r="H794" s="11" t="n">
        <f aca="false">INT((DATE($A794,7,1)-INDEX(球員主檔!$G$2:$G$749,MATCH($B794,球員主檔!$A$2:$A$749,0)))/365.25)</f>
        <v>20</v>
      </c>
      <c r="I794" s="12" t="n">
        <v>143</v>
      </c>
      <c r="J794" s="12" t="n">
        <v>561</v>
      </c>
      <c r="K794" s="12" t="n">
        <v>530</v>
      </c>
      <c r="L794" s="12" t="n">
        <v>91</v>
      </c>
      <c r="M794" s="12" t="n">
        <v>162</v>
      </c>
      <c r="N794" s="12" t="n">
        <v>11</v>
      </c>
      <c r="O794" s="12" t="n">
        <v>6</v>
      </c>
      <c r="P794" s="12" t="n">
        <v>31</v>
      </c>
      <c r="Q794" s="12" t="n">
        <v>106</v>
      </c>
      <c r="R794" s="12" t="n">
        <v>26</v>
      </c>
      <c r="S794" s="12" t="n">
        <v>150</v>
      </c>
      <c r="T794" s="12" t="n">
        <v>1</v>
      </c>
      <c r="U794" s="12" t="n">
        <v>4</v>
      </c>
      <c r="V794" s="12" t="n">
        <v>13</v>
      </c>
      <c r="W794" s="12" t="n">
        <v>4</v>
      </c>
      <c r="X794" s="13" t="n">
        <f aca="false">M794+N794+2*O794+3*P794</f>
        <v>278</v>
      </c>
      <c r="Y794" s="14" t="n">
        <f aca="false">IF(K794=0,0,M794/K794)</f>
        <v>0.305660377358491</v>
      </c>
      <c r="Z794" s="14" t="n">
        <f aca="false">IF(K794+R794+T794+U794=0,0,(M794+R794+T794)/(K794+R794+T794+U794))</f>
        <v>0.336898395721925</v>
      </c>
      <c r="AA794" s="14" t="n">
        <f aca="false">IF(K794=0,0,X794/K794)</f>
        <v>0.524528301886792</v>
      </c>
      <c r="AB794" s="14" t="n">
        <f aca="false">Z794+AA794</f>
        <v>0.861426697608718</v>
      </c>
      <c r="AC794" s="14" t="n">
        <f aca="false">AA794-Y794</f>
        <v>0.218867924528302</v>
      </c>
      <c r="AD794" s="14" t="n">
        <f aca="false">IF(K794-S794-P794+U794=0,0,(M794-P794)/(K794-S794-P794+U794))</f>
        <v>0.371104815864023</v>
      </c>
      <c r="AE794" s="15" t="n">
        <f aca="false">IF(J794=0,0,R794/J794)</f>
        <v>0.0463458110516934</v>
      </c>
      <c r="AF794" s="15" t="n">
        <f aca="false">IF(J794=0,0,S794/J794)</f>
        <v>0.267379679144385</v>
      </c>
      <c r="AG794" s="11" t="n">
        <f aca="false">IF(J794&gt;=INDEX(球季參數!$E$2:$E$4,MATCH($A794,球季參數!$A$2:$A$4,0)),1,0)</f>
        <v>1</v>
      </c>
    </row>
    <row r="795" customFormat="false" ht="15" hidden="false" customHeight="false" outlineLevel="0" collapsed="false">
      <c r="A795" s="5" t="n">
        <v>2026</v>
      </c>
      <c r="B795" s="7" t="s">
        <v>1243</v>
      </c>
      <c r="C795" s="10" t="str">
        <f aca="false">INDEX(球員主檔!$B$2:$B$749,MATCH($B795,球員主檔!$A$2:$A$749,0))</f>
        <v>Jedidiah Blackwood</v>
      </c>
      <c r="D795" s="7" t="s">
        <v>422</v>
      </c>
      <c r="E795" s="10" t="str">
        <f aca="false">INDEX(球隊主檔!$C$2:$C$31,MATCH($D795,球隊主檔!$A$2:$A$31,0))</f>
        <v>華盛頓國民</v>
      </c>
      <c r="F795" s="10" t="str">
        <f aca="false">INDEX(球隊主檔!$D$2:$D$31,MATCH($D795,球隊主檔!$A$2:$A$31,0))</f>
        <v>國聯</v>
      </c>
      <c r="G795" s="7" t="s">
        <v>483</v>
      </c>
      <c r="H795" s="11" t="n">
        <f aca="false">INT((DATE($A795,7,1)-INDEX(球員主檔!$G$2:$G$749,MATCH($B795,球員主檔!$A$2:$A$749,0)))/365.25)</f>
        <v>32</v>
      </c>
      <c r="I795" s="12" t="n">
        <v>133</v>
      </c>
      <c r="J795" s="12" t="n">
        <v>594</v>
      </c>
      <c r="K795" s="12" t="n">
        <v>532</v>
      </c>
      <c r="L795" s="12" t="n">
        <v>55</v>
      </c>
      <c r="M795" s="12" t="n">
        <v>109</v>
      </c>
      <c r="N795" s="12" t="n">
        <v>29</v>
      </c>
      <c r="O795" s="12" t="n">
        <v>9</v>
      </c>
      <c r="P795" s="12" t="n">
        <v>10</v>
      </c>
      <c r="Q795" s="12" t="n">
        <v>43</v>
      </c>
      <c r="R795" s="12" t="n">
        <v>48</v>
      </c>
      <c r="S795" s="12" t="n">
        <v>167</v>
      </c>
      <c r="T795" s="12" t="n">
        <v>9</v>
      </c>
      <c r="U795" s="12" t="n">
        <v>5</v>
      </c>
      <c r="V795" s="12" t="n">
        <v>5</v>
      </c>
      <c r="W795" s="12" t="n">
        <v>1</v>
      </c>
      <c r="X795" s="13" t="n">
        <f aca="false">M795+N795+2*O795+3*P795</f>
        <v>186</v>
      </c>
      <c r="Y795" s="14" t="n">
        <f aca="false">IF(K795=0,0,M795/K795)</f>
        <v>0.204887218045113</v>
      </c>
      <c r="Z795" s="14" t="n">
        <f aca="false">IF(K795+R795+T795+U795=0,0,(M795+R795+T795)/(K795+R795+T795+U795))</f>
        <v>0.279461279461279</v>
      </c>
      <c r="AA795" s="14" t="n">
        <f aca="false">IF(K795=0,0,X795/K795)</f>
        <v>0.349624060150376</v>
      </c>
      <c r="AB795" s="14" t="n">
        <f aca="false">Z795+AA795</f>
        <v>0.629085339611655</v>
      </c>
      <c r="AC795" s="14" t="n">
        <f aca="false">AA795-Y795</f>
        <v>0.144736842105263</v>
      </c>
      <c r="AD795" s="14" t="n">
        <f aca="false">IF(K795-S795-P795+U795=0,0,(M795-P795)/(K795-S795-P795+U795))</f>
        <v>0.275</v>
      </c>
      <c r="AE795" s="15" t="n">
        <f aca="false">IF(J795=0,0,R795/J795)</f>
        <v>0.0808080808080808</v>
      </c>
      <c r="AF795" s="15" t="n">
        <f aca="false">IF(J795=0,0,S795/J795)</f>
        <v>0.281144781144781</v>
      </c>
      <c r="AG795" s="11" t="n">
        <f aca="false">IF(J795&gt;=INDEX(球季參數!$E$2:$E$4,MATCH($A795,球季參數!$A$2:$A$4,0)),1,0)</f>
        <v>1</v>
      </c>
    </row>
    <row r="796" customFormat="false" ht="15" hidden="false" customHeight="false" outlineLevel="0" collapsed="false">
      <c r="A796" s="5" t="n">
        <v>2026</v>
      </c>
      <c r="B796" s="7" t="s">
        <v>1245</v>
      </c>
      <c r="C796" s="10" t="str">
        <f aca="false">INDEX(球員主檔!$B$2:$B$749,MATCH($B796,球員主檔!$A$2:$A$749,0))</f>
        <v>Jedidiah Zbornak</v>
      </c>
      <c r="D796" s="7" t="s">
        <v>422</v>
      </c>
      <c r="E796" s="10" t="str">
        <f aca="false">INDEX(球隊主檔!$C$2:$C$31,MATCH($D796,球隊主檔!$A$2:$A$31,0))</f>
        <v>華盛頓國民</v>
      </c>
      <c r="F796" s="10" t="str">
        <f aca="false">INDEX(球隊主檔!$D$2:$D$31,MATCH($D796,球隊主檔!$A$2:$A$31,0))</f>
        <v>國聯</v>
      </c>
      <c r="G796" s="7" t="s">
        <v>483</v>
      </c>
      <c r="H796" s="11" t="n">
        <f aca="false">INT((DATE($A796,7,1)-INDEX(球員主檔!$G$2:$G$749,MATCH($B796,球員主檔!$A$2:$A$749,0)))/365.25)</f>
        <v>31</v>
      </c>
      <c r="I796" s="12" t="n">
        <v>151</v>
      </c>
      <c r="J796" s="12" t="n">
        <v>659</v>
      </c>
      <c r="K796" s="12" t="n">
        <v>590</v>
      </c>
      <c r="L796" s="12" t="n">
        <v>75</v>
      </c>
      <c r="M796" s="12" t="n">
        <v>138</v>
      </c>
      <c r="N796" s="12" t="n">
        <v>27</v>
      </c>
      <c r="O796" s="12" t="n">
        <v>1</v>
      </c>
      <c r="P796" s="12" t="n">
        <v>20</v>
      </c>
      <c r="Q796" s="12" t="n">
        <v>79</v>
      </c>
      <c r="R796" s="12" t="n">
        <v>53</v>
      </c>
      <c r="S796" s="12" t="n">
        <v>188</v>
      </c>
      <c r="T796" s="12" t="n">
        <v>10</v>
      </c>
      <c r="U796" s="12" t="n">
        <v>6</v>
      </c>
      <c r="V796" s="12" t="n">
        <v>13</v>
      </c>
      <c r="W796" s="12" t="n">
        <v>1</v>
      </c>
      <c r="X796" s="13" t="n">
        <f aca="false">M796+N796+2*O796+3*P796</f>
        <v>227</v>
      </c>
      <c r="Y796" s="14" t="n">
        <f aca="false">IF(K796=0,0,M796/K796)</f>
        <v>0.233898305084746</v>
      </c>
      <c r="Z796" s="14" t="n">
        <f aca="false">IF(K796+R796+T796+U796=0,0,(M796+R796+T796)/(K796+R796+T796+U796))</f>
        <v>0.305007587253414</v>
      </c>
      <c r="AA796" s="14" t="n">
        <f aca="false">IF(K796=0,0,X796/K796)</f>
        <v>0.384745762711864</v>
      </c>
      <c r="AB796" s="14" t="n">
        <f aca="false">Z796+AA796</f>
        <v>0.689753349965279</v>
      </c>
      <c r="AC796" s="14" t="n">
        <f aca="false">AA796-Y796</f>
        <v>0.150847457627119</v>
      </c>
      <c r="AD796" s="14" t="n">
        <f aca="false">IF(K796-S796-P796+U796=0,0,(M796-P796)/(K796-S796-P796+U796))</f>
        <v>0.304123711340206</v>
      </c>
      <c r="AE796" s="15" t="n">
        <f aca="false">IF(J796=0,0,R796/J796)</f>
        <v>0.0804248861911988</v>
      </c>
      <c r="AF796" s="15" t="n">
        <f aca="false">IF(J796=0,0,S796/J796)</f>
        <v>0.285280728376328</v>
      </c>
      <c r="AG796" s="11" t="n">
        <f aca="false">IF(J796&gt;=INDEX(球季參數!$E$2:$E$4,MATCH($A796,球季參數!$A$2:$A$4,0)),1,0)</f>
        <v>1</v>
      </c>
    </row>
    <row r="797" customFormat="false" ht="15" hidden="false" customHeight="false" outlineLevel="0" collapsed="false">
      <c r="A797" s="5" t="n">
        <v>2026</v>
      </c>
      <c r="B797" s="7" t="s">
        <v>1247</v>
      </c>
      <c r="C797" s="10" t="str">
        <f aca="false">INDEX(球員主檔!$B$2:$B$749,MATCH($B797,球員主檔!$A$2:$A$749,0))</f>
        <v>Porter Underhill</v>
      </c>
      <c r="D797" s="7" t="s">
        <v>422</v>
      </c>
      <c r="E797" s="10" t="str">
        <f aca="false">INDEX(球隊主檔!$C$2:$C$31,MATCH($D797,球隊主檔!$A$2:$A$31,0))</f>
        <v>華盛頓國民</v>
      </c>
      <c r="F797" s="10" t="str">
        <f aca="false">INDEX(球隊主檔!$D$2:$D$31,MATCH($D797,球隊主檔!$A$2:$A$31,0))</f>
        <v>國聯</v>
      </c>
      <c r="G797" s="7" t="s">
        <v>483</v>
      </c>
      <c r="H797" s="11" t="n">
        <f aca="false">INT((DATE($A797,7,1)-INDEX(球員主檔!$G$2:$G$749,MATCH($B797,球員主檔!$A$2:$A$749,0)))/365.25)</f>
        <v>29</v>
      </c>
      <c r="I797" s="12" t="n">
        <v>107</v>
      </c>
      <c r="J797" s="12" t="n">
        <v>437</v>
      </c>
      <c r="K797" s="12" t="n">
        <v>413</v>
      </c>
      <c r="L797" s="12" t="n">
        <v>57</v>
      </c>
      <c r="M797" s="12" t="n">
        <v>121</v>
      </c>
      <c r="N797" s="12" t="n">
        <v>39</v>
      </c>
      <c r="O797" s="12" t="n">
        <v>4</v>
      </c>
      <c r="P797" s="12" t="n">
        <v>19</v>
      </c>
      <c r="Q797" s="12" t="n">
        <v>70</v>
      </c>
      <c r="R797" s="12" t="n">
        <v>14</v>
      </c>
      <c r="S797" s="12" t="n">
        <v>69</v>
      </c>
      <c r="T797" s="12" t="n">
        <v>8</v>
      </c>
      <c r="U797" s="12" t="n">
        <v>2</v>
      </c>
      <c r="V797" s="12" t="n">
        <v>13</v>
      </c>
      <c r="W797" s="12" t="n">
        <v>2</v>
      </c>
      <c r="X797" s="13" t="n">
        <f aca="false">M797+N797+2*O797+3*P797</f>
        <v>225</v>
      </c>
      <c r="Y797" s="14" t="n">
        <f aca="false">IF(K797=0,0,M797/K797)</f>
        <v>0.292978208232446</v>
      </c>
      <c r="Z797" s="14" t="n">
        <f aca="false">IF(K797+R797+T797+U797=0,0,(M797+R797+T797)/(K797+R797+T797+U797))</f>
        <v>0.327231121281465</v>
      </c>
      <c r="AA797" s="14" t="n">
        <f aca="false">IF(K797=0,0,X797/K797)</f>
        <v>0.544794188861986</v>
      </c>
      <c r="AB797" s="14" t="n">
        <f aca="false">Z797+AA797</f>
        <v>0.87202531014345</v>
      </c>
      <c r="AC797" s="14" t="n">
        <f aca="false">AA797-Y797</f>
        <v>0.25181598062954</v>
      </c>
      <c r="AD797" s="14" t="n">
        <f aca="false">IF(K797-S797-P797+U797=0,0,(M797-P797)/(K797-S797-P797+U797))</f>
        <v>0.311926605504587</v>
      </c>
      <c r="AE797" s="15" t="n">
        <f aca="false">IF(J797=0,0,R797/J797)</f>
        <v>0.0320366132723112</v>
      </c>
      <c r="AF797" s="15" t="n">
        <f aca="false">IF(J797=0,0,S797/J797)</f>
        <v>0.157894736842105</v>
      </c>
      <c r="AG797" s="11" t="n">
        <f aca="false">IF(J797&gt;=INDEX(球季參數!$E$2:$E$4,MATCH($A797,球季參數!$A$2:$A$4,0)),1,0)</f>
        <v>0</v>
      </c>
    </row>
    <row r="798" customFormat="false" ht="15" hidden="false" customHeight="false" outlineLevel="0" collapsed="false">
      <c r="A798" s="5" t="n">
        <v>2026</v>
      </c>
      <c r="B798" s="7" t="s">
        <v>1249</v>
      </c>
      <c r="C798" s="10" t="str">
        <f aca="false">INDEX(球員主檔!$B$2:$B$749,MATCH($B798,球員主檔!$A$2:$A$749,0))</f>
        <v>Desmond Delacroix</v>
      </c>
      <c r="D798" s="7" t="s">
        <v>422</v>
      </c>
      <c r="E798" s="10" t="str">
        <f aca="false">INDEX(球隊主檔!$C$2:$C$31,MATCH($D798,球隊主檔!$A$2:$A$31,0))</f>
        <v>華盛頓國民</v>
      </c>
      <c r="F798" s="10" t="str">
        <f aca="false">INDEX(球隊主檔!$D$2:$D$31,MATCH($D798,球隊主檔!$A$2:$A$31,0))</f>
        <v>國聯</v>
      </c>
      <c r="G798" s="7" t="s">
        <v>483</v>
      </c>
      <c r="H798" s="11" t="n">
        <f aca="false">INT((DATE($A798,7,1)-INDEX(球員主檔!$G$2:$G$749,MATCH($B798,球員主檔!$A$2:$A$749,0)))/365.25)</f>
        <v>29</v>
      </c>
      <c r="I798" s="12" t="n">
        <v>87</v>
      </c>
      <c r="J798" s="12" t="n">
        <v>373</v>
      </c>
      <c r="K798" s="12" t="n">
        <v>347</v>
      </c>
      <c r="L798" s="12" t="n">
        <v>45</v>
      </c>
      <c r="M798" s="12" t="n">
        <v>92</v>
      </c>
      <c r="N798" s="12" t="n">
        <v>15</v>
      </c>
      <c r="O798" s="12" t="n">
        <v>5</v>
      </c>
      <c r="P798" s="12" t="n">
        <v>8</v>
      </c>
      <c r="Q798" s="12" t="n">
        <v>38</v>
      </c>
      <c r="R798" s="12" t="n">
        <v>19</v>
      </c>
      <c r="S798" s="12" t="n">
        <v>94</v>
      </c>
      <c r="T798" s="12" t="n">
        <v>5</v>
      </c>
      <c r="U798" s="12" t="n">
        <v>2</v>
      </c>
      <c r="V798" s="12" t="n">
        <v>9</v>
      </c>
      <c r="W798" s="12" t="n">
        <v>3</v>
      </c>
      <c r="X798" s="13" t="n">
        <f aca="false">M798+N798+2*O798+3*P798</f>
        <v>141</v>
      </c>
      <c r="Y798" s="14" t="n">
        <f aca="false">IF(K798=0,0,M798/K798)</f>
        <v>0.265129682997118</v>
      </c>
      <c r="Z798" s="14" t="n">
        <f aca="false">IF(K798+R798+T798+U798=0,0,(M798+R798+T798)/(K798+R798+T798+U798))</f>
        <v>0.310991957104558</v>
      </c>
      <c r="AA798" s="14" t="n">
        <f aca="false">IF(K798=0,0,X798/K798)</f>
        <v>0.406340057636888</v>
      </c>
      <c r="AB798" s="14" t="n">
        <f aca="false">Z798+AA798</f>
        <v>0.717332014741445</v>
      </c>
      <c r="AC798" s="14" t="n">
        <f aca="false">AA798-Y798</f>
        <v>0.14121037463977</v>
      </c>
      <c r="AD798" s="14" t="n">
        <f aca="false">IF(K798-S798-P798+U798=0,0,(M798-P798)/(K798-S798-P798+U798))</f>
        <v>0.340080971659919</v>
      </c>
      <c r="AE798" s="15" t="n">
        <f aca="false">IF(J798=0,0,R798/J798)</f>
        <v>0.0509383378016086</v>
      </c>
      <c r="AF798" s="15" t="n">
        <f aca="false">IF(J798=0,0,S798/J798)</f>
        <v>0.25201072386059</v>
      </c>
      <c r="AG798" s="11" t="n">
        <f aca="false">IF(J798&gt;=INDEX(球季參數!$E$2:$E$4,MATCH($A798,球季參數!$A$2:$A$4,0)),1,0)</f>
        <v>0</v>
      </c>
    </row>
    <row r="799" customFormat="false" ht="15" hidden="false" customHeight="false" outlineLevel="0" collapsed="false">
      <c r="A799" s="5" t="n">
        <v>2026</v>
      </c>
      <c r="B799" s="7" t="s">
        <v>489</v>
      </c>
      <c r="C799" s="10" t="str">
        <f aca="false">INDEX(球員主檔!$B$2:$B$749,MATCH($B799,球員主檔!$A$2:$A$749,0))</f>
        <v>Haruto Dunmore</v>
      </c>
      <c r="D799" s="7" t="s">
        <v>422</v>
      </c>
      <c r="E799" s="10" t="str">
        <f aca="false">INDEX(球隊主檔!$C$2:$C$31,MATCH($D799,球隊主檔!$A$2:$A$31,0))</f>
        <v>華盛頓國民</v>
      </c>
      <c r="F799" s="10" t="str">
        <f aca="false">INDEX(球隊主檔!$D$2:$D$31,MATCH($D799,球隊主檔!$A$2:$A$31,0))</f>
        <v>國聯</v>
      </c>
      <c r="G799" s="7" t="s">
        <v>486</v>
      </c>
      <c r="H799" s="11" t="n">
        <f aca="false">INT((DATE($A799,7,1)-INDEX(球員主檔!$G$2:$G$749,MATCH($B799,球員主檔!$A$2:$A$749,0)))/365.25)</f>
        <v>30</v>
      </c>
      <c r="I799" s="12" t="n">
        <v>125</v>
      </c>
      <c r="J799" s="12" t="n">
        <v>523</v>
      </c>
      <c r="K799" s="12" t="n">
        <v>475</v>
      </c>
      <c r="L799" s="12" t="n">
        <v>54</v>
      </c>
      <c r="M799" s="12" t="n">
        <v>108</v>
      </c>
      <c r="N799" s="12" t="n">
        <v>24</v>
      </c>
      <c r="O799" s="12" t="n">
        <v>7</v>
      </c>
      <c r="P799" s="12" t="n">
        <v>7</v>
      </c>
      <c r="Q799" s="12" t="n">
        <v>35</v>
      </c>
      <c r="R799" s="12" t="n">
        <v>41</v>
      </c>
      <c r="S799" s="12" t="n">
        <v>119</v>
      </c>
      <c r="T799" s="12" t="n">
        <v>2</v>
      </c>
      <c r="U799" s="12" t="n">
        <v>5</v>
      </c>
      <c r="V799" s="12" t="n">
        <v>26</v>
      </c>
      <c r="W799" s="12" t="n">
        <v>8</v>
      </c>
      <c r="X799" s="13" t="n">
        <f aca="false">M799+N799+2*O799+3*P799</f>
        <v>167</v>
      </c>
      <c r="Y799" s="14" t="n">
        <f aca="false">IF(K799=0,0,M799/K799)</f>
        <v>0.227368421052632</v>
      </c>
      <c r="Z799" s="14" t="n">
        <f aca="false">IF(K799+R799+T799+U799=0,0,(M799+R799+T799)/(K799+R799+T799+U799))</f>
        <v>0.288718929254302</v>
      </c>
      <c r="AA799" s="14" t="n">
        <f aca="false">IF(K799=0,0,X799/K799)</f>
        <v>0.351578947368421</v>
      </c>
      <c r="AB799" s="14" t="n">
        <f aca="false">Z799+AA799</f>
        <v>0.640297876622723</v>
      </c>
      <c r="AC799" s="14" t="n">
        <f aca="false">AA799-Y799</f>
        <v>0.124210526315789</v>
      </c>
      <c r="AD799" s="14" t="n">
        <f aca="false">IF(K799-S799-P799+U799=0,0,(M799-P799)/(K799-S799-P799+U799))</f>
        <v>0.285310734463277</v>
      </c>
      <c r="AE799" s="15" t="n">
        <f aca="false">IF(J799=0,0,R799/J799)</f>
        <v>0.0783938814531549</v>
      </c>
      <c r="AF799" s="15" t="n">
        <f aca="false">IF(J799=0,0,S799/J799)</f>
        <v>0.227533460803059</v>
      </c>
      <c r="AG799" s="11" t="n">
        <f aca="false">IF(J799&gt;=INDEX(球季參數!$E$2:$E$4,MATCH($A799,球季參數!$A$2:$A$4,0)),1,0)</f>
        <v>1</v>
      </c>
    </row>
    <row r="800" customFormat="false" ht="15" hidden="false" customHeight="false" outlineLevel="0" collapsed="false">
      <c r="A800" s="5" t="n">
        <v>2026</v>
      </c>
      <c r="B800" s="7" t="s">
        <v>1775</v>
      </c>
      <c r="C800" s="10" t="str">
        <f aca="false">INDEX(球員主檔!$B$2:$B$749,MATCH($B800,球員主檔!$A$2:$A$749,0))</f>
        <v>Hugo Eberhardt</v>
      </c>
      <c r="D800" s="7" t="s">
        <v>422</v>
      </c>
      <c r="E800" s="10" t="str">
        <f aca="false">INDEX(球隊主檔!$C$2:$C$31,MATCH($D800,球隊主檔!$A$2:$A$31,0))</f>
        <v>華盛頓國民</v>
      </c>
      <c r="F800" s="10" t="str">
        <f aca="false">INDEX(球隊主檔!$D$2:$D$31,MATCH($D800,球隊主檔!$A$2:$A$31,0))</f>
        <v>國聯</v>
      </c>
      <c r="G800" s="7" t="s">
        <v>470</v>
      </c>
      <c r="H800" s="11" t="n">
        <f aca="false">INT((DATE($A800,7,1)-INDEX(球員主檔!$G$2:$G$749,MATCH($B800,球員主檔!$A$2:$A$749,0)))/365.25)</f>
        <v>23</v>
      </c>
      <c r="I800" s="12" t="n">
        <v>79</v>
      </c>
      <c r="J800" s="12" t="n">
        <v>311</v>
      </c>
      <c r="K800" s="12" t="n">
        <v>277</v>
      </c>
      <c r="L800" s="12" t="n">
        <v>30</v>
      </c>
      <c r="M800" s="12" t="n">
        <v>65</v>
      </c>
      <c r="N800" s="12" t="n">
        <v>27</v>
      </c>
      <c r="O800" s="12" t="n">
        <v>4</v>
      </c>
      <c r="P800" s="12" t="n">
        <v>7</v>
      </c>
      <c r="Q800" s="12" t="n">
        <v>33</v>
      </c>
      <c r="R800" s="12" t="n">
        <v>27</v>
      </c>
      <c r="S800" s="12" t="n">
        <v>65</v>
      </c>
      <c r="T800" s="12" t="n">
        <v>6</v>
      </c>
      <c r="U800" s="12" t="n">
        <v>1</v>
      </c>
      <c r="V800" s="12" t="n">
        <v>3</v>
      </c>
      <c r="W800" s="12" t="n">
        <v>1</v>
      </c>
      <c r="X800" s="13" t="n">
        <f aca="false">M800+N800+2*O800+3*P800</f>
        <v>121</v>
      </c>
      <c r="Y800" s="14" t="n">
        <f aca="false">IF(K800=0,0,M800/K800)</f>
        <v>0.234657039711191</v>
      </c>
      <c r="Z800" s="14" t="n">
        <f aca="false">IF(K800+R800+T800+U800=0,0,(M800+R800+T800)/(K800+R800+T800+U800))</f>
        <v>0.315112540192926</v>
      </c>
      <c r="AA800" s="14" t="n">
        <f aca="false">IF(K800=0,0,X800/K800)</f>
        <v>0.436823104693141</v>
      </c>
      <c r="AB800" s="14" t="n">
        <f aca="false">Z800+AA800</f>
        <v>0.751935644886067</v>
      </c>
      <c r="AC800" s="14" t="n">
        <f aca="false">AA800-Y800</f>
        <v>0.202166064981949</v>
      </c>
      <c r="AD800" s="14" t="n">
        <f aca="false">IF(K800-S800-P800+U800=0,0,(M800-P800)/(K800-S800-P800+U800))</f>
        <v>0.281553398058252</v>
      </c>
      <c r="AE800" s="15" t="n">
        <f aca="false">IF(J800=0,0,R800/J800)</f>
        <v>0.0868167202572347</v>
      </c>
      <c r="AF800" s="15" t="n">
        <f aca="false">IF(J800=0,0,S800/J800)</f>
        <v>0.209003215434084</v>
      </c>
      <c r="AG800" s="11" t="n">
        <f aca="false">IF(J800&gt;=INDEX(球季參數!$E$2:$E$4,MATCH($A800,球季參數!$A$2:$A$4,0)),1,0)</f>
        <v>0</v>
      </c>
    </row>
    <row r="801" customFormat="false" ht="15" hidden="false" customHeight="false" outlineLevel="0" collapsed="false">
      <c r="A801" s="5" t="n">
        <v>2026</v>
      </c>
      <c r="B801" s="7" t="s">
        <v>801</v>
      </c>
      <c r="C801" s="10" t="str">
        <f aca="false">INDEX(球員主檔!$B$2:$B$749,MATCH($B801,球員主檔!$A$2:$A$749,0))</f>
        <v>Desmond Zielinski</v>
      </c>
      <c r="D801" s="7" t="s">
        <v>422</v>
      </c>
      <c r="E801" s="10" t="str">
        <f aca="false">INDEX(球隊主檔!$C$2:$C$31,MATCH($D801,球隊主檔!$A$2:$A$31,0))</f>
        <v>華盛頓國民</v>
      </c>
      <c r="F801" s="10" t="str">
        <f aca="false">INDEX(球隊主檔!$D$2:$D$31,MATCH($D801,球隊主檔!$A$2:$A$31,0))</f>
        <v>國聯</v>
      </c>
      <c r="G801" s="7" t="s">
        <v>483</v>
      </c>
      <c r="H801" s="11" t="n">
        <f aca="false">INT((DATE($A801,7,1)-INDEX(球員主檔!$G$2:$G$749,MATCH($B801,球員主檔!$A$2:$A$749,0)))/365.25)</f>
        <v>31</v>
      </c>
      <c r="I801" s="12" t="n">
        <v>48</v>
      </c>
      <c r="J801" s="12" t="n">
        <v>205</v>
      </c>
      <c r="K801" s="12" t="n">
        <v>180</v>
      </c>
      <c r="L801" s="12" t="n">
        <v>22</v>
      </c>
      <c r="M801" s="12" t="n">
        <v>47</v>
      </c>
      <c r="N801" s="12" t="n">
        <v>23</v>
      </c>
      <c r="O801" s="12" t="n">
        <v>0</v>
      </c>
      <c r="P801" s="12" t="n">
        <v>4</v>
      </c>
      <c r="Q801" s="12" t="n">
        <v>19</v>
      </c>
      <c r="R801" s="12" t="n">
        <v>22</v>
      </c>
      <c r="S801" s="12" t="n">
        <v>72</v>
      </c>
      <c r="T801" s="12" t="n">
        <v>2</v>
      </c>
      <c r="U801" s="12" t="n">
        <v>1</v>
      </c>
      <c r="V801" s="12" t="n">
        <v>0</v>
      </c>
      <c r="W801" s="12" t="n">
        <v>0</v>
      </c>
      <c r="X801" s="13" t="n">
        <f aca="false">M801+N801+2*O801+3*P801</f>
        <v>82</v>
      </c>
      <c r="Y801" s="14" t="n">
        <f aca="false">IF(K801=0,0,M801/K801)</f>
        <v>0.261111111111111</v>
      </c>
      <c r="Z801" s="14" t="n">
        <f aca="false">IF(K801+R801+T801+U801=0,0,(M801+R801+T801)/(K801+R801+T801+U801))</f>
        <v>0.346341463414634</v>
      </c>
      <c r="AA801" s="14" t="n">
        <f aca="false">IF(K801=0,0,X801/K801)</f>
        <v>0.455555555555556</v>
      </c>
      <c r="AB801" s="14" t="n">
        <f aca="false">Z801+AA801</f>
        <v>0.80189701897019</v>
      </c>
      <c r="AC801" s="14" t="n">
        <f aca="false">AA801-Y801</f>
        <v>0.194444444444444</v>
      </c>
      <c r="AD801" s="14" t="n">
        <f aca="false">IF(K801-S801-P801+U801=0,0,(M801-P801)/(K801-S801-P801+U801))</f>
        <v>0.40952380952381</v>
      </c>
      <c r="AE801" s="15" t="n">
        <f aca="false">IF(J801=0,0,R801/J801)</f>
        <v>0.107317073170732</v>
      </c>
      <c r="AF801" s="15" t="n">
        <f aca="false">IF(J801=0,0,S801/J801)</f>
        <v>0.351219512195122</v>
      </c>
      <c r="AG801" s="11" t="n">
        <f aca="false">IF(J801&gt;=INDEX(球季參數!$E$2:$E$4,MATCH($A801,球季參數!$A$2:$A$4,0)),1,0)</f>
        <v>0</v>
      </c>
    </row>
    <row r="802" customFormat="false" ht="15" hidden="false" customHeight="false" outlineLevel="0" collapsed="false">
      <c r="A802" s="5" t="n">
        <v>2026</v>
      </c>
      <c r="B802" s="7" t="s">
        <v>1777</v>
      </c>
      <c r="C802" s="10" t="str">
        <f aca="false">INDEX(球員主檔!$B$2:$B$749,MATCH($B802,球員主檔!$A$2:$A$749,0))</f>
        <v>Jasper Redmayne</v>
      </c>
      <c r="D802" s="7" t="s">
        <v>426</v>
      </c>
      <c r="E802" s="10" t="str">
        <f aca="false">INDEX(球隊主檔!$C$2:$C$31,MATCH($D802,球隊主檔!$A$2:$A$31,0))</f>
        <v>芝加哥小熊</v>
      </c>
      <c r="F802" s="10" t="str">
        <f aca="false">INDEX(球隊主檔!$D$2:$D$31,MATCH($D802,球隊主檔!$A$2:$A$31,0))</f>
        <v>國聯</v>
      </c>
      <c r="G802" s="7" t="s">
        <v>470</v>
      </c>
      <c r="H802" s="11" t="n">
        <f aca="false">INT((DATE($A802,7,1)-INDEX(球員主檔!$G$2:$G$749,MATCH($B802,球員主檔!$A$2:$A$749,0)))/365.25)</f>
        <v>25</v>
      </c>
      <c r="I802" s="12" t="n">
        <v>149</v>
      </c>
      <c r="J802" s="12" t="n">
        <v>601</v>
      </c>
      <c r="K802" s="12" t="n">
        <v>539</v>
      </c>
      <c r="L802" s="12" t="n">
        <v>55</v>
      </c>
      <c r="M802" s="12" t="n">
        <v>111</v>
      </c>
      <c r="N802" s="12" t="n">
        <v>23</v>
      </c>
      <c r="O802" s="12" t="n">
        <v>12</v>
      </c>
      <c r="P802" s="12" t="n">
        <v>11</v>
      </c>
      <c r="Q802" s="12" t="n">
        <v>52</v>
      </c>
      <c r="R802" s="12" t="n">
        <v>43</v>
      </c>
      <c r="S802" s="12" t="n">
        <v>51</v>
      </c>
      <c r="T802" s="12" t="n">
        <v>11</v>
      </c>
      <c r="U802" s="12" t="n">
        <v>8</v>
      </c>
      <c r="V802" s="12" t="n">
        <v>7</v>
      </c>
      <c r="W802" s="12" t="n">
        <v>1</v>
      </c>
      <c r="X802" s="13" t="n">
        <f aca="false">M802+N802+2*O802+3*P802</f>
        <v>191</v>
      </c>
      <c r="Y802" s="14" t="n">
        <f aca="false">IF(K802=0,0,M802/K802)</f>
        <v>0.205936920222635</v>
      </c>
      <c r="Z802" s="14" t="n">
        <f aca="false">IF(K802+R802+T802+U802=0,0,(M802+R802+T802)/(K802+R802+T802+U802))</f>
        <v>0.274542429284526</v>
      </c>
      <c r="AA802" s="14" t="n">
        <f aca="false">IF(K802=0,0,X802/K802)</f>
        <v>0.354359925788497</v>
      </c>
      <c r="AB802" s="14" t="n">
        <f aca="false">Z802+AA802</f>
        <v>0.628902355073023</v>
      </c>
      <c r="AC802" s="14" t="n">
        <f aca="false">AA802-Y802</f>
        <v>0.148423005565863</v>
      </c>
      <c r="AD802" s="14" t="n">
        <f aca="false">IF(K802-S802-P802+U802=0,0,(M802-P802)/(K802-S802-P802+U802))</f>
        <v>0.206185567010309</v>
      </c>
      <c r="AE802" s="15" t="n">
        <f aca="false">IF(J802=0,0,R802/J802)</f>
        <v>0.0715474209650582</v>
      </c>
      <c r="AF802" s="15" t="n">
        <f aca="false">IF(J802=0,0,S802/J802)</f>
        <v>0.0848585690515807</v>
      </c>
      <c r="AG802" s="11" t="n">
        <f aca="false">IF(J802&gt;=INDEX(球季參數!$E$2:$E$4,MATCH($A802,球季參數!$A$2:$A$4,0)),1,0)</f>
        <v>1</v>
      </c>
    </row>
    <row r="803" customFormat="false" ht="15" hidden="false" customHeight="false" outlineLevel="0" collapsed="false">
      <c r="A803" s="5" t="n">
        <v>2026</v>
      </c>
      <c r="B803" s="7" t="s">
        <v>1279</v>
      </c>
      <c r="C803" s="10" t="str">
        <f aca="false">INDEX(球員主檔!$B$2:$B$749,MATCH($B803,球員主檔!$A$2:$A$749,0))</f>
        <v>Camilo Vasquez</v>
      </c>
      <c r="D803" s="7" t="s">
        <v>426</v>
      </c>
      <c r="E803" s="10" t="str">
        <f aca="false">INDEX(球隊主檔!$C$2:$C$31,MATCH($D803,球隊主檔!$A$2:$A$31,0))</f>
        <v>芝加哥小熊</v>
      </c>
      <c r="F803" s="10" t="str">
        <f aca="false">INDEX(球隊主檔!$D$2:$D$31,MATCH($D803,球隊主檔!$A$2:$A$31,0))</f>
        <v>國聯</v>
      </c>
      <c r="G803" s="7" t="s">
        <v>162</v>
      </c>
      <c r="H803" s="11" t="n">
        <f aca="false">INT((DATE($A803,7,1)-INDEX(球員主檔!$G$2:$G$749,MATCH($B803,球員主檔!$A$2:$A$749,0)))/365.25)</f>
        <v>29</v>
      </c>
      <c r="I803" s="12" t="n">
        <v>146</v>
      </c>
      <c r="J803" s="12" t="n">
        <v>594</v>
      </c>
      <c r="K803" s="12" t="n">
        <v>510</v>
      </c>
      <c r="L803" s="12" t="n">
        <v>81</v>
      </c>
      <c r="M803" s="12" t="n">
        <v>147</v>
      </c>
      <c r="N803" s="12" t="n">
        <v>36</v>
      </c>
      <c r="O803" s="12" t="n">
        <v>3</v>
      </c>
      <c r="P803" s="12" t="n">
        <v>22</v>
      </c>
      <c r="Q803" s="12" t="n">
        <v>81</v>
      </c>
      <c r="R803" s="12" t="n">
        <v>70</v>
      </c>
      <c r="S803" s="12" t="n">
        <v>115</v>
      </c>
      <c r="T803" s="12" t="n">
        <v>9</v>
      </c>
      <c r="U803" s="12" t="n">
        <v>5</v>
      </c>
      <c r="V803" s="12" t="n">
        <v>11</v>
      </c>
      <c r="W803" s="12" t="n">
        <v>2</v>
      </c>
      <c r="X803" s="13" t="n">
        <f aca="false">M803+N803+2*O803+3*P803</f>
        <v>255</v>
      </c>
      <c r="Y803" s="14" t="n">
        <f aca="false">IF(K803=0,0,M803/K803)</f>
        <v>0.288235294117647</v>
      </c>
      <c r="Z803" s="14" t="n">
        <f aca="false">IF(K803+R803+T803+U803=0,0,(M803+R803+T803)/(K803+R803+T803+U803))</f>
        <v>0.38047138047138</v>
      </c>
      <c r="AA803" s="14" t="n">
        <f aca="false">IF(K803=0,0,X803/K803)</f>
        <v>0.5</v>
      </c>
      <c r="AB803" s="14" t="n">
        <f aca="false">Z803+AA803</f>
        <v>0.88047138047138</v>
      </c>
      <c r="AC803" s="14" t="n">
        <f aca="false">AA803-Y803</f>
        <v>0.211764705882353</v>
      </c>
      <c r="AD803" s="14" t="n">
        <f aca="false">IF(K803-S803-P803+U803=0,0,(M803-P803)/(K803-S803-P803+U803))</f>
        <v>0.330687830687831</v>
      </c>
      <c r="AE803" s="15" t="n">
        <f aca="false">IF(J803=0,0,R803/J803)</f>
        <v>0.117845117845118</v>
      </c>
      <c r="AF803" s="15" t="n">
        <f aca="false">IF(J803=0,0,S803/J803)</f>
        <v>0.193602693602694</v>
      </c>
      <c r="AG803" s="11" t="n">
        <f aca="false">IF(J803&gt;=INDEX(球季參數!$E$2:$E$4,MATCH($A803,球季參數!$A$2:$A$4,0)),1,0)</f>
        <v>1</v>
      </c>
    </row>
    <row r="804" customFormat="false" ht="15" hidden="false" customHeight="false" outlineLevel="0" collapsed="false">
      <c r="A804" s="5" t="n">
        <v>2026</v>
      </c>
      <c r="B804" s="7" t="s">
        <v>1281</v>
      </c>
      <c r="C804" s="10" t="str">
        <f aca="false">INDEX(球員主檔!$B$2:$B$749,MATCH($B804,球員主檔!$A$2:$A$749,0))</f>
        <v>Jedidiah Caldera</v>
      </c>
      <c r="D804" s="7" t="s">
        <v>426</v>
      </c>
      <c r="E804" s="10" t="str">
        <f aca="false">INDEX(球隊主檔!$C$2:$C$31,MATCH($D804,球隊主檔!$A$2:$A$31,0))</f>
        <v>芝加哥小熊</v>
      </c>
      <c r="F804" s="10" t="str">
        <f aca="false">INDEX(球隊主檔!$D$2:$D$31,MATCH($D804,球隊主檔!$A$2:$A$31,0))</f>
        <v>國聯</v>
      </c>
      <c r="G804" s="7" t="s">
        <v>470</v>
      </c>
      <c r="H804" s="11" t="n">
        <f aca="false">INT((DATE($A804,7,1)-INDEX(球員主檔!$G$2:$G$749,MATCH($B804,球員主檔!$A$2:$A$749,0)))/365.25)</f>
        <v>32</v>
      </c>
      <c r="I804" s="12" t="n">
        <v>158</v>
      </c>
      <c r="J804" s="12" t="n">
        <v>655</v>
      </c>
      <c r="K804" s="12" t="n">
        <v>586</v>
      </c>
      <c r="L804" s="12" t="n">
        <v>69</v>
      </c>
      <c r="M804" s="12" t="n">
        <v>117</v>
      </c>
      <c r="N804" s="12" t="n">
        <v>38</v>
      </c>
      <c r="O804" s="12" t="n">
        <v>1</v>
      </c>
      <c r="P804" s="12" t="n">
        <v>26</v>
      </c>
      <c r="Q804" s="12" t="n">
        <v>71</v>
      </c>
      <c r="R804" s="12" t="n">
        <v>49</v>
      </c>
      <c r="S804" s="12" t="n">
        <v>163</v>
      </c>
      <c r="T804" s="12" t="n">
        <v>14</v>
      </c>
      <c r="U804" s="12" t="n">
        <v>6</v>
      </c>
      <c r="V804" s="12" t="n">
        <v>5</v>
      </c>
      <c r="W804" s="12" t="n">
        <v>1</v>
      </c>
      <c r="X804" s="13" t="n">
        <f aca="false">M804+N804+2*O804+3*P804</f>
        <v>235</v>
      </c>
      <c r="Y804" s="14" t="n">
        <f aca="false">IF(K804=0,0,M804/K804)</f>
        <v>0.199658703071672</v>
      </c>
      <c r="Z804" s="14" t="n">
        <f aca="false">IF(K804+R804+T804+U804=0,0,(M804+R804+T804)/(K804+R804+T804+U804))</f>
        <v>0.274809160305344</v>
      </c>
      <c r="AA804" s="14" t="n">
        <f aca="false">IF(K804=0,0,X804/K804)</f>
        <v>0.401023890784983</v>
      </c>
      <c r="AB804" s="14" t="n">
        <f aca="false">Z804+AA804</f>
        <v>0.675833051090327</v>
      </c>
      <c r="AC804" s="14" t="n">
        <f aca="false">AA804-Y804</f>
        <v>0.201365187713311</v>
      </c>
      <c r="AD804" s="14" t="n">
        <f aca="false">IF(K804-S804-P804+U804=0,0,(M804-P804)/(K804-S804-P804+U804))</f>
        <v>0.225806451612903</v>
      </c>
      <c r="AE804" s="15" t="n">
        <f aca="false">IF(J804=0,0,R804/J804)</f>
        <v>0.0748091603053435</v>
      </c>
      <c r="AF804" s="15" t="n">
        <f aca="false">IF(J804=0,0,S804/J804)</f>
        <v>0.248854961832061</v>
      </c>
      <c r="AG804" s="11" t="n">
        <f aca="false">IF(J804&gt;=INDEX(球季參數!$E$2:$E$4,MATCH($A804,球季參數!$A$2:$A$4,0)),1,0)</f>
        <v>1</v>
      </c>
    </row>
    <row r="805" customFormat="false" ht="15" hidden="false" customHeight="false" outlineLevel="0" collapsed="false">
      <c r="A805" s="5" t="n">
        <v>2026</v>
      </c>
      <c r="B805" s="7" t="s">
        <v>723</v>
      </c>
      <c r="C805" s="10" t="str">
        <f aca="false">INDEX(球員主檔!$B$2:$B$749,MATCH($B805,球員主檔!$A$2:$A$749,0))</f>
        <v>Cedric Thorsby</v>
      </c>
      <c r="D805" s="7" t="s">
        <v>426</v>
      </c>
      <c r="E805" s="10" t="str">
        <f aca="false">INDEX(球隊主檔!$C$2:$C$31,MATCH($D805,球隊主檔!$A$2:$A$31,0))</f>
        <v>芝加哥小熊</v>
      </c>
      <c r="F805" s="10" t="str">
        <f aca="false">INDEX(球隊主檔!$D$2:$D$31,MATCH($D805,球隊主檔!$A$2:$A$31,0))</f>
        <v>國聯</v>
      </c>
      <c r="G805" s="7" t="s">
        <v>478</v>
      </c>
      <c r="H805" s="11" t="n">
        <f aca="false">INT((DATE($A805,7,1)-INDEX(球員主檔!$G$2:$G$749,MATCH($B805,球員主檔!$A$2:$A$749,0)))/365.25)</f>
        <v>36</v>
      </c>
      <c r="I805" s="12" t="n">
        <v>150</v>
      </c>
      <c r="J805" s="12" t="n">
        <v>626</v>
      </c>
      <c r="K805" s="12" t="n">
        <v>562</v>
      </c>
      <c r="L805" s="12" t="n">
        <v>73</v>
      </c>
      <c r="M805" s="12" t="n">
        <v>129</v>
      </c>
      <c r="N805" s="12" t="n">
        <v>34</v>
      </c>
      <c r="O805" s="12" t="n">
        <v>2</v>
      </c>
      <c r="P805" s="12" t="n">
        <v>9</v>
      </c>
      <c r="Q805" s="12" t="n">
        <v>53</v>
      </c>
      <c r="R805" s="12" t="n">
        <v>56</v>
      </c>
      <c r="S805" s="12" t="n">
        <v>111</v>
      </c>
      <c r="T805" s="12" t="n">
        <v>3</v>
      </c>
      <c r="U805" s="12" t="n">
        <v>5</v>
      </c>
      <c r="V805" s="12" t="n">
        <v>15</v>
      </c>
      <c r="W805" s="12" t="n">
        <v>4</v>
      </c>
      <c r="X805" s="13" t="n">
        <f aca="false">M805+N805+2*O805+3*P805</f>
        <v>194</v>
      </c>
      <c r="Y805" s="14" t="n">
        <f aca="false">IF(K805=0,0,M805/K805)</f>
        <v>0.229537366548043</v>
      </c>
      <c r="Z805" s="14" t="n">
        <f aca="false">IF(K805+R805+T805+U805=0,0,(M805+R805+T805)/(K805+R805+T805+U805))</f>
        <v>0.300319488817891</v>
      </c>
      <c r="AA805" s="14" t="n">
        <f aca="false">IF(K805=0,0,X805/K805)</f>
        <v>0.345195729537367</v>
      </c>
      <c r="AB805" s="14" t="n">
        <f aca="false">Z805+AA805</f>
        <v>0.645515218355258</v>
      </c>
      <c r="AC805" s="14" t="n">
        <f aca="false">AA805-Y805</f>
        <v>0.115658362989324</v>
      </c>
      <c r="AD805" s="14" t="n">
        <f aca="false">IF(K805-S805-P805+U805=0,0,(M805-P805)/(K805-S805-P805+U805))</f>
        <v>0.268456375838926</v>
      </c>
      <c r="AE805" s="15" t="n">
        <f aca="false">IF(J805=0,0,R805/J805)</f>
        <v>0.0894568690095847</v>
      </c>
      <c r="AF805" s="15" t="n">
        <f aca="false">IF(J805=0,0,S805/J805)</f>
        <v>0.177316293929712</v>
      </c>
      <c r="AG805" s="11" t="n">
        <f aca="false">IF(J805&gt;=INDEX(球季參數!$E$2:$E$4,MATCH($A805,球季參數!$A$2:$A$4,0)),1,0)</f>
        <v>1</v>
      </c>
    </row>
    <row r="806" customFormat="false" ht="15" hidden="false" customHeight="false" outlineLevel="0" collapsed="false">
      <c r="A806" s="5" t="n">
        <v>2026</v>
      </c>
      <c r="B806" s="7" t="s">
        <v>1285</v>
      </c>
      <c r="C806" s="10" t="str">
        <f aca="false">INDEX(球員主檔!$B$2:$B$749,MATCH($B806,球員主檔!$A$2:$A$749,0))</f>
        <v>Cassius Okafor</v>
      </c>
      <c r="D806" s="7" t="s">
        <v>426</v>
      </c>
      <c r="E806" s="10" t="str">
        <f aca="false">INDEX(球隊主檔!$C$2:$C$31,MATCH($D806,球隊主檔!$A$2:$A$31,0))</f>
        <v>芝加哥小熊</v>
      </c>
      <c r="F806" s="10" t="str">
        <f aca="false">INDEX(球隊主檔!$D$2:$D$31,MATCH($D806,球隊主檔!$A$2:$A$31,0))</f>
        <v>國聯</v>
      </c>
      <c r="G806" s="7" t="s">
        <v>470</v>
      </c>
      <c r="H806" s="11" t="n">
        <f aca="false">INT((DATE($A806,7,1)-INDEX(球員主檔!$G$2:$G$749,MATCH($B806,球員主檔!$A$2:$A$749,0)))/365.25)</f>
        <v>30</v>
      </c>
      <c r="I806" s="12" t="n">
        <v>148</v>
      </c>
      <c r="J806" s="12" t="n">
        <v>589</v>
      </c>
      <c r="K806" s="12" t="n">
        <v>511</v>
      </c>
      <c r="L806" s="12" t="n">
        <v>80</v>
      </c>
      <c r="M806" s="12" t="n">
        <v>137</v>
      </c>
      <c r="N806" s="12" t="n">
        <v>26</v>
      </c>
      <c r="O806" s="12" t="n">
        <v>6</v>
      </c>
      <c r="P806" s="12" t="n">
        <v>25</v>
      </c>
      <c r="Q806" s="12" t="n">
        <v>78</v>
      </c>
      <c r="R806" s="12" t="n">
        <v>65</v>
      </c>
      <c r="S806" s="12" t="n">
        <v>147</v>
      </c>
      <c r="T806" s="12" t="n">
        <v>11</v>
      </c>
      <c r="U806" s="12" t="n">
        <v>2</v>
      </c>
      <c r="V806" s="12" t="n">
        <v>17</v>
      </c>
      <c r="W806" s="12" t="n">
        <v>5</v>
      </c>
      <c r="X806" s="13" t="n">
        <f aca="false">M806+N806+2*O806+3*P806</f>
        <v>250</v>
      </c>
      <c r="Y806" s="14" t="n">
        <f aca="false">IF(K806=0,0,M806/K806)</f>
        <v>0.268101761252446</v>
      </c>
      <c r="Z806" s="14" t="n">
        <f aca="false">IF(K806+R806+T806+U806=0,0,(M806+R806+T806)/(K806+R806+T806+U806))</f>
        <v>0.361629881154499</v>
      </c>
      <c r="AA806" s="14" t="n">
        <f aca="false">IF(K806=0,0,X806/K806)</f>
        <v>0.489236790606654</v>
      </c>
      <c r="AB806" s="14" t="n">
        <f aca="false">Z806+AA806</f>
        <v>0.850866671761153</v>
      </c>
      <c r="AC806" s="14" t="n">
        <f aca="false">AA806-Y806</f>
        <v>0.221135029354207</v>
      </c>
      <c r="AD806" s="14" t="n">
        <f aca="false">IF(K806-S806-P806+U806=0,0,(M806-P806)/(K806-S806-P806+U806))</f>
        <v>0.328445747800587</v>
      </c>
      <c r="AE806" s="15" t="n">
        <f aca="false">IF(J806=0,0,R806/J806)</f>
        <v>0.110356536502547</v>
      </c>
      <c r="AF806" s="15" t="n">
        <f aca="false">IF(J806=0,0,S806/J806)</f>
        <v>0.249575551782683</v>
      </c>
      <c r="AG806" s="11" t="n">
        <f aca="false">IF(J806&gt;=INDEX(球季參數!$E$2:$E$4,MATCH($A806,球季參數!$A$2:$A$4,0)),1,0)</f>
        <v>1</v>
      </c>
    </row>
    <row r="807" customFormat="false" ht="15" hidden="false" customHeight="false" outlineLevel="0" collapsed="false">
      <c r="A807" s="5" t="n">
        <v>2026</v>
      </c>
      <c r="B807" s="7" t="s">
        <v>1287</v>
      </c>
      <c r="C807" s="10" t="str">
        <f aca="false">INDEX(球員主檔!$B$2:$B$749,MATCH($B807,球員主檔!$A$2:$A$749,0))</f>
        <v>Camilo Ibarra</v>
      </c>
      <c r="D807" s="7" t="s">
        <v>426</v>
      </c>
      <c r="E807" s="10" t="str">
        <f aca="false">INDEX(球隊主檔!$C$2:$C$31,MATCH($D807,球隊主檔!$A$2:$A$31,0))</f>
        <v>芝加哥小熊</v>
      </c>
      <c r="F807" s="10" t="str">
        <f aca="false">INDEX(球隊主檔!$D$2:$D$31,MATCH($D807,球隊主檔!$A$2:$A$31,0))</f>
        <v>國聯</v>
      </c>
      <c r="G807" s="7" t="s">
        <v>473</v>
      </c>
      <c r="H807" s="11" t="n">
        <f aca="false">INT((DATE($A807,7,1)-INDEX(球員主檔!$G$2:$G$749,MATCH($B807,球員主檔!$A$2:$A$749,0)))/365.25)</f>
        <v>29</v>
      </c>
      <c r="I807" s="12" t="n">
        <v>127</v>
      </c>
      <c r="J807" s="12" t="n">
        <v>496</v>
      </c>
      <c r="K807" s="12" t="n">
        <v>423</v>
      </c>
      <c r="L807" s="12" t="n">
        <v>50</v>
      </c>
      <c r="M807" s="12" t="n">
        <v>108</v>
      </c>
      <c r="N807" s="12" t="n">
        <v>37</v>
      </c>
      <c r="O807" s="12" t="n">
        <v>3</v>
      </c>
      <c r="P807" s="12" t="n">
        <v>7</v>
      </c>
      <c r="Q807" s="12" t="n">
        <v>45</v>
      </c>
      <c r="R807" s="12" t="n">
        <v>60</v>
      </c>
      <c r="S807" s="12" t="n">
        <v>162</v>
      </c>
      <c r="T807" s="12" t="n">
        <v>9</v>
      </c>
      <c r="U807" s="12" t="n">
        <v>4</v>
      </c>
      <c r="V807" s="12" t="n">
        <v>14</v>
      </c>
      <c r="W807" s="12" t="n">
        <v>4</v>
      </c>
      <c r="X807" s="13" t="n">
        <f aca="false">M807+N807+2*O807+3*P807</f>
        <v>172</v>
      </c>
      <c r="Y807" s="14" t="n">
        <f aca="false">IF(K807=0,0,M807/K807)</f>
        <v>0.25531914893617</v>
      </c>
      <c r="Z807" s="14" t="n">
        <f aca="false">IF(K807+R807+T807+U807=0,0,(M807+R807+T807)/(K807+R807+T807+U807))</f>
        <v>0.356854838709677</v>
      </c>
      <c r="AA807" s="14" t="n">
        <f aca="false">IF(K807=0,0,X807/K807)</f>
        <v>0.40661938534279</v>
      </c>
      <c r="AB807" s="14" t="n">
        <f aca="false">Z807+AA807</f>
        <v>0.763474224052467</v>
      </c>
      <c r="AC807" s="14" t="n">
        <f aca="false">AA807-Y807</f>
        <v>0.151300236406619</v>
      </c>
      <c r="AD807" s="14" t="n">
        <f aca="false">IF(K807-S807-P807+U807=0,0,(M807-P807)/(K807-S807-P807+U807))</f>
        <v>0.391472868217054</v>
      </c>
      <c r="AE807" s="15" t="n">
        <f aca="false">IF(J807=0,0,R807/J807)</f>
        <v>0.120967741935484</v>
      </c>
      <c r="AF807" s="15" t="n">
        <f aca="false">IF(J807=0,0,S807/J807)</f>
        <v>0.326612903225806</v>
      </c>
      <c r="AG807" s="11" t="n">
        <f aca="false">IF(J807&gt;=INDEX(球季參數!$E$2:$E$4,MATCH($A807,球季參數!$A$2:$A$4,0)),1,0)</f>
        <v>0</v>
      </c>
    </row>
    <row r="808" customFormat="false" ht="15" hidden="false" customHeight="false" outlineLevel="0" collapsed="false">
      <c r="A808" s="5" t="n">
        <v>2026</v>
      </c>
      <c r="B808" s="7" t="s">
        <v>1295</v>
      </c>
      <c r="C808" s="10" t="str">
        <f aca="false">INDEX(球員主檔!$B$2:$B$749,MATCH($B808,球員主檔!$A$2:$A$749,0))</f>
        <v>Sawyer Kiriakis</v>
      </c>
      <c r="D808" s="7" t="s">
        <v>426</v>
      </c>
      <c r="E808" s="10" t="str">
        <f aca="false">INDEX(球隊主檔!$C$2:$C$31,MATCH($D808,球隊主檔!$A$2:$A$31,0))</f>
        <v>芝加哥小熊</v>
      </c>
      <c r="F808" s="10" t="str">
        <f aca="false">INDEX(球隊主檔!$D$2:$D$31,MATCH($D808,球隊主檔!$A$2:$A$31,0))</f>
        <v>國聯</v>
      </c>
      <c r="G808" s="7" t="s">
        <v>63</v>
      </c>
      <c r="H808" s="11" t="n">
        <f aca="false">INT((DATE($A808,7,1)-INDEX(球員主檔!$G$2:$G$749,MATCH($B808,球員主檔!$A$2:$A$749,0)))/365.25)</f>
        <v>34</v>
      </c>
      <c r="I808" s="12" t="n">
        <v>44</v>
      </c>
      <c r="J808" s="12" t="n">
        <v>197</v>
      </c>
      <c r="K808" s="12" t="n">
        <v>180</v>
      </c>
      <c r="L808" s="12" t="n">
        <v>17</v>
      </c>
      <c r="M808" s="12" t="n">
        <v>35</v>
      </c>
      <c r="N808" s="12" t="n">
        <v>11</v>
      </c>
      <c r="O808" s="12" t="n">
        <v>7</v>
      </c>
      <c r="P808" s="12" t="n">
        <v>1</v>
      </c>
      <c r="Q808" s="12" t="n">
        <v>12</v>
      </c>
      <c r="R808" s="12" t="n">
        <v>12</v>
      </c>
      <c r="S808" s="12" t="n">
        <v>45</v>
      </c>
      <c r="T808" s="12" t="n">
        <v>4</v>
      </c>
      <c r="U808" s="12" t="n">
        <v>1</v>
      </c>
      <c r="V808" s="12" t="n">
        <v>4</v>
      </c>
      <c r="W808" s="12" t="n">
        <v>1</v>
      </c>
      <c r="X808" s="13" t="n">
        <f aca="false">M808+N808+2*O808+3*P808</f>
        <v>63</v>
      </c>
      <c r="Y808" s="14" t="n">
        <f aca="false">IF(K808=0,0,M808/K808)</f>
        <v>0.194444444444444</v>
      </c>
      <c r="Z808" s="14" t="n">
        <f aca="false">IF(K808+R808+T808+U808=0,0,(M808+R808+T808)/(K808+R808+T808+U808))</f>
        <v>0.258883248730964</v>
      </c>
      <c r="AA808" s="14" t="n">
        <f aca="false">IF(K808=0,0,X808/K808)</f>
        <v>0.35</v>
      </c>
      <c r="AB808" s="14" t="n">
        <f aca="false">Z808+AA808</f>
        <v>0.608883248730964</v>
      </c>
      <c r="AC808" s="14" t="n">
        <f aca="false">AA808-Y808</f>
        <v>0.155555555555556</v>
      </c>
      <c r="AD808" s="14" t="n">
        <f aca="false">IF(K808-S808-P808+U808=0,0,(M808-P808)/(K808-S808-P808+U808))</f>
        <v>0.251851851851852</v>
      </c>
      <c r="AE808" s="15" t="n">
        <f aca="false">IF(J808=0,0,R808/J808)</f>
        <v>0.0609137055837564</v>
      </c>
      <c r="AF808" s="15" t="n">
        <f aca="false">IF(J808=0,0,S808/J808)</f>
        <v>0.228426395939086</v>
      </c>
      <c r="AG808" s="11" t="n">
        <f aca="false">IF(J808&gt;=INDEX(球季參數!$E$2:$E$4,MATCH($A808,球季參數!$A$2:$A$4,0)),1,0)</f>
        <v>0</v>
      </c>
    </row>
    <row r="809" customFormat="false" ht="15" hidden="false" customHeight="false" outlineLevel="0" collapsed="false">
      <c r="A809" s="5" t="n">
        <v>2026</v>
      </c>
      <c r="B809" s="7" t="s">
        <v>1291</v>
      </c>
      <c r="C809" s="10" t="str">
        <f aca="false">INDEX(球員主檔!$B$2:$B$749,MATCH($B809,球員主檔!$A$2:$A$749,0))</f>
        <v>Ignacio Nordstrom</v>
      </c>
      <c r="D809" s="7" t="s">
        <v>426</v>
      </c>
      <c r="E809" s="10" t="str">
        <f aca="false">INDEX(球隊主檔!$C$2:$C$31,MATCH($D809,球隊主檔!$A$2:$A$31,0))</f>
        <v>芝加哥小熊</v>
      </c>
      <c r="F809" s="10" t="str">
        <f aca="false">INDEX(球隊主檔!$D$2:$D$31,MATCH($D809,球隊主檔!$A$2:$A$31,0))</f>
        <v>國聯</v>
      </c>
      <c r="G809" s="7" t="s">
        <v>470</v>
      </c>
      <c r="H809" s="11" t="n">
        <f aca="false">INT((DATE($A809,7,1)-INDEX(球員主檔!$G$2:$G$749,MATCH($B809,球員主檔!$A$2:$A$749,0)))/365.25)</f>
        <v>33</v>
      </c>
      <c r="I809" s="12" t="n">
        <v>127</v>
      </c>
      <c r="J809" s="12" t="n">
        <v>520</v>
      </c>
      <c r="K809" s="12" t="n">
        <v>485</v>
      </c>
      <c r="L809" s="12" t="n">
        <v>57</v>
      </c>
      <c r="M809" s="12" t="n">
        <v>142</v>
      </c>
      <c r="N809" s="12" t="n">
        <v>13</v>
      </c>
      <c r="O809" s="12" t="n">
        <v>1</v>
      </c>
      <c r="P809" s="12" t="n">
        <v>14</v>
      </c>
      <c r="Q809" s="12" t="n">
        <v>62</v>
      </c>
      <c r="R809" s="12" t="n">
        <v>20</v>
      </c>
      <c r="S809" s="12" t="n">
        <v>154</v>
      </c>
      <c r="T809" s="12" t="n">
        <v>9</v>
      </c>
      <c r="U809" s="12" t="n">
        <v>6</v>
      </c>
      <c r="V809" s="12" t="n">
        <v>9</v>
      </c>
      <c r="W809" s="12" t="n">
        <v>1</v>
      </c>
      <c r="X809" s="13" t="n">
        <f aca="false">M809+N809+2*O809+3*P809</f>
        <v>199</v>
      </c>
      <c r="Y809" s="14" t="n">
        <f aca="false">IF(K809=0,0,M809/K809)</f>
        <v>0.292783505154639</v>
      </c>
      <c r="Z809" s="14" t="n">
        <f aca="false">IF(K809+R809+T809+U809=0,0,(M809+R809+T809)/(K809+R809+T809+U809))</f>
        <v>0.328846153846154</v>
      </c>
      <c r="AA809" s="14" t="n">
        <f aca="false">IF(K809=0,0,X809/K809)</f>
        <v>0.410309278350515</v>
      </c>
      <c r="AB809" s="14" t="n">
        <f aca="false">Z809+AA809</f>
        <v>0.739155432196669</v>
      </c>
      <c r="AC809" s="14" t="n">
        <f aca="false">AA809-Y809</f>
        <v>0.117525773195876</v>
      </c>
      <c r="AD809" s="14" t="n">
        <f aca="false">IF(K809-S809-P809+U809=0,0,(M809-P809)/(K809-S809-P809+U809))</f>
        <v>0.396284829721362</v>
      </c>
      <c r="AE809" s="15" t="n">
        <f aca="false">IF(J809=0,0,R809/J809)</f>
        <v>0.0384615384615385</v>
      </c>
      <c r="AF809" s="15" t="n">
        <f aca="false">IF(J809=0,0,S809/J809)</f>
        <v>0.296153846153846</v>
      </c>
      <c r="AG809" s="11" t="n">
        <f aca="false">IF(J809&gt;=INDEX(球季參數!$E$2:$E$4,MATCH($A809,球季參數!$A$2:$A$4,0)),1,0)</f>
        <v>1</v>
      </c>
    </row>
    <row r="810" customFormat="false" ht="15" hidden="false" customHeight="false" outlineLevel="0" collapsed="false">
      <c r="A810" s="5" t="n">
        <v>2026</v>
      </c>
      <c r="B810" s="7" t="s">
        <v>1293</v>
      </c>
      <c r="C810" s="10" t="str">
        <f aca="false">INDEX(球員主檔!$B$2:$B$749,MATCH($B810,球員主檔!$A$2:$A$749,0))</f>
        <v>Emilio Halloway</v>
      </c>
      <c r="D810" s="7" t="s">
        <v>426</v>
      </c>
      <c r="E810" s="10" t="str">
        <f aca="false">INDEX(球隊主檔!$C$2:$C$31,MATCH($D810,球隊主檔!$A$2:$A$31,0))</f>
        <v>芝加哥小熊</v>
      </c>
      <c r="F810" s="10" t="str">
        <f aca="false">INDEX(球隊主檔!$D$2:$D$31,MATCH($D810,球隊主檔!$A$2:$A$31,0))</f>
        <v>國聯</v>
      </c>
      <c r="G810" s="7" t="s">
        <v>63</v>
      </c>
      <c r="H810" s="11" t="n">
        <f aca="false">INT((DATE($A810,7,1)-INDEX(球員主檔!$G$2:$G$749,MATCH($B810,球員主檔!$A$2:$A$749,0)))/365.25)</f>
        <v>29</v>
      </c>
      <c r="I810" s="12" t="n">
        <v>74</v>
      </c>
      <c r="J810" s="12" t="n">
        <v>325</v>
      </c>
      <c r="K810" s="12" t="n">
        <v>291</v>
      </c>
      <c r="L810" s="12" t="n">
        <v>43</v>
      </c>
      <c r="M810" s="12" t="n">
        <v>81</v>
      </c>
      <c r="N810" s="12" t="n">
        <v>14</v>
      </c>
      <c r="O810" s="12" t="n">
        <v>4</v>
      </c>
      <c r="P810" s="12" t="n">
        <v>15</v>
      </c>
      <c r="Q810" s="12" t="n">
        <v>43</v>
      </c>
      <c r="R810" s="12" t="n">
        <v>28</v>
      </c>
      <c r="S810" s="12" t="n">
        <v>44</v>
      </c>
      <c r="T810" s="12" t="n">
        <v>4</v>
      </c>
      <c r="U810" s="12" t="n">
        <v>2</v>
      </c>
      <c r="V810" s="12" t="n">
        <v>19</v>
      </c>
      <c r="W810" s="12" t="n">
        <v>5</v>
      </c>
      <c r="X810" s="13" t="n">
        <f aca="false">M810+N810+2*O810+3*P810</f>
        <v>148</v>
      </c>
      <c r="Y810" s="14" t="n">
        <f aca="false">IF(K810=0,0,M810/K810)</f>
        <v>0.278350515463918</v>
      </c>
      <c r="Z810" s="14" t="n">
        <f aca="false">IF(K810+R810+T810+U810=0,0,(M810+R810+T810)/(K810+R810+T810+U810))</f>
        <v>0.347692307692308</v>
      </c>
      <c r="AA810" s="14" t="n">
        <f aca="false">IF(K810=0,0,X810/K810)</f>
        <v>0.508591065292096</v>
      </c>
      <c r="AB810" s="14" t="n">
        <f aca="false">Z810+AA810</f>
        <v>0.856283372984404</v>
      </c>
      <c r="AC810" s="14" t="n">
        <f aca="false">AA810-Y810</f>
        <v>0.230240549828179</v>
      </c>
      <c r="AD810" s="14" t="n">
        <f aca="false">IF(K810-S810-P810+U810=0,0,(M810-P810)/(K810-S810-P810+U810))</f>
        <v>0.282051282051282</v>
      </c>
      <c r="AE810" s="15" t="n">
        <f aca="false">IF(J810=0,0,R810/J810)</f>
        <v>0.0861538461538462</v>
      </c>
      <c r="AF810" s="15" t="n">
        <f aca="false">IF(J810=0,0,S810/J810)</f>
        <v>0.135384615384615</v>
      </c>
      <c r="AG810" s="11" t="n">
        <f aca="false">IF(J810&gt;=INDEX(球季參數!$E$2:$E$4,MATCH($A810,球季參數!$A$2:$A$4,0)),1,0)</f>
        <v>0</v>
      </c>
    </row>
    <row r="811" customFormat="false" ht="15" hidden="false" customHeight="false" outlineLevel="0" collapsed="false">
      <c r="A811" s="5" t="n">
        <v>2026</v>
      </c>
      <c r="B811" s="7" t="s">
        <v>841</v>
      </c>
      <c r="C811" s="10" t="str">
        <f aca="false">INDEX(球員主檔!$B$2:$B$749,MATCH($B811,球員主檔!$A$2:$A$749,0))</f>
        <v>Dimitri Prendergast</v>
      </c>
      <c r="D811" s="7" t="s">
        <v>426</v>
      </c>
      <c r="E811" s="10" t="str">
        <f aca="false">INDEX(球隊主檔!$C$2:$C$31,MATCH($D811,球隊主檔!$A$2:$A$31,0))</f>
        <v>芝加哥小熊</v>
      </c>
      <c r="F811" s="10" t="str">
        <f aca="false">INDEX(球隊主檔!$D$2:$D$31,MATCH($D811,球隊主檔!$A$2:$A$31,0))</f>
        <v>國聯</v>
      </c>
      <c r="G811" s="7" t="s">
        <v>470</v>
      </c>
      <c r="H811" s="11" t="n">
        <f aca="false">INT((DATE($A811,7,1)-INDEX(球員主檔!$G$2:$G$749,MATCH($B811,球員主檔!$A$2:$A$749,0)))/365.25)</f>
        <v>32</v>
      </c>
      <c r="I811" s="12" t="n">
        <v>57</v>
      </c>
      <c r="J811" s="12" t="n">
        <v>240</v>
      </c>
      <c r="K811" s="12" t="n">
        <v>211</v>
      </c>
      <c r="L811" s="12" t="n">
        <v>26</v>
      </c>
      <c r="M811" s="12" t="n">
        <v>51</v>
      </c>
      <c r="N811" s="12" t="n">
        <v>17</v>
      </c>
      <c r="O811" s="12" t="n">
        <v>4</v>
      </c>
      <c r="P811" s="12" t="n">
        <v>9</v>
      </c>
      <c r="Q811" s="12" t="n">
        <v>29</v>
      </c>
      <c r="R811" s="12" t="n">
        <v>22</v>
      </c>
      <c r="S811" s="12" t="n">
        <v>77</v>
      </c>
      <c r="T811" s="12" t="n">
        <v>4</v>
      </c>
      <c r="U811" s="12" t="n">
        <v>3</v>
      </c>
      <c r="V811" s="12" t="n">
        <v>2</v>
      </c>
      <c r="W811" s="12" t="n">
        <v>0</v>
      </c>
      <c r="X811" s="13" t="n">
        <f aca="false">M811+N811+2*O811+3*P811</f>
        <v>103</v>
      </c>
      <c r="Y811" s="14" t="n">
        <f aca="false">IF(K811=0,0,M811/K811)</f>
        <v>0.241706161137441</v>
      </c>
      <c r="Z811" s="14" t="n">
        <f aca="false">IF(K811+R811+T811+U811=0,0,(M811+R811+T811)/(K811+R811+T811+U811))</f>
        <v>0.320833333333333</v>
      </c>
      <c r="AA811" s="14" t="n">
        <f aca="false">IF(K811=0,0,X811/K811)</f>
        <v>0.488151658767773</v>
      </c>
      <c r="AB811" s="14" t="n">
        <f aca="false">Z811+AA811</f>
        <v>0.808984992101106</v>
      </c>
      <c r="AC811" s="14" t="n">
        <f aca="false">AA811-Y811</f>
        <v>0.246445497630332</v>
      </c>
      <c r="AD811" s="14" t="n">
        <f aca="false">IF(K811-S811-P811+U811=0,0,(M811-P811)/(K811-S811-P811+U811))</f>
        <v>0.328125</v>
      </c>
      <c r="AE811" s="15" t="n">
        <f aca="false">IF(J811=0,0,R811/J811)</f>
        <v>0.0916666666666667</v>
      </c>
      <c r="AF811" s="15" t="n">
        <f aca="false">IF(J811=0,0,S811/J811)</f>
        <v>0.320833333333333</v>
      </c>
      <c r="AG811" s="11" t="n">
        <f aca="false">IF(J811&gt;=INDEX(球季參數!$E$2:$E$4,MATCH($A811,球季參數!$A$2:$A$4,0)),1,0)</f>
        <v>0</v>
      </c>
    </row>
    <row r="812" customFormat="false" ht="15" hidden="false" customHeight="false" outlineLevel="0" collapsed="false">
      <c r="A812" s="5" t="n">
        <v>2026</v>
      </c>
      <c r="B812" s="7" t="s">
        <v>1781</v>
      </c>
      <c r="C812" s="10" t="str">
        <f aca="false">INDEX(球員主檔!$B$2:$B$749,MATCH($B812,球員主檔!$A$2:$A$749,0))</f>
        <v>Ulises Wainwright</v>
      </c>
      <c r="D812" s="7" t="s">
        <v>430</v>
      </c>
      <c r="E812" s="10" t="str">
        <f aca="false">INDEX(球隊主檔!$C$2:$C$31,MATCH($D812,球隊主檔!$A$2:$A$31,0))</f>
        <v>辛辛那提紅人</v>
      </c>
      <c r="F812" s="10" t="str">
        <f aca="false">INDEX(球隊主檔!$D$2:$D$31,MATCH($D812,球隊主檔!$A$2:$A$31,0))</f>
        <v>國聯</v>
      </c>
      <c r="G812" s="7" t="s">
        <v>470</v>
      </c>
      <c r="H812" s="11" t="n">
        <f aca="false">INT((DATE($A812,7,1)-INDEX(球員主檔!$G$2:$G$749,MATCH($B812,球員主檔!$A$2:$A$749,0)))/365.25)</f>
        <v>22</v>
      </c>
      <c r="I812" s="12" t="n">
        <v>151</v>
      </c>
      <c r="J812" s="12" t="n">
        <v>634</v>
      </c>
      <c r="K812" s="12" t="n">
        <v>554</v>
      </c>
      <c r="L812" s="12" t="n">
        <v>75</v>
      </c>
      <c r="M812" s="12" t="n">
        <v>129</v>
      </c>
      <c r="N812" s="12" t="n">
        <v>32</v>
      </c>
      <c r="O812" s="12" t="n">
        <v>8</v>
      </c>
      <c r="P812" s="12" t="n">
        <v>26</v>
      </c>
      <c r="Q812" s="12" t="n">
        <v>90</v>
      </c>
      <c r="R812" s="12" t="n">
        <v>73</v>
      </c>
      <c r="S812" s="12" t="n">
        <v>103</v>
      </c>
      <c r="T812" s="12" t="n">
        <v>6</v>
      </c>
      <c r="U812" s="12" t="n">
        <v>1</v>
      </c>
      <c r="V812" s="12" t="n">
        <v>24</v>
      </c>
      <c r="W812" s="12" t="n">
        <v>7</v>
      </c>
      <c r="X812" s="13" t="n">
        <f aca="false">M812+N812+2*O812+3*P812</f>
        <v>255</v>
      </c>
      <c r="Y812" s="14" t="n">
        <f aca="false">IF(K812=0,0,M812/K812)</f>
        <v>0.232851985559567</v>
      </c>
      <c r="Z812" s="14" t="n">
        <f aca="false">IF(K812+R812+T812+U812=0,0,(M812+R812+T812)/(K812+R812+T812+U812))</f>
        <v>0.32807570977918</v>
      </c>
      <c r="AA812" s="14" t="n">
        <f aca="false">IF(K812=0,0,X812/K812)</f>
        <v>0.46028880866426</v>
      </c>
      <c r="AB812" s="14" t="n">
        <f aca="false">Z812+AA812</f>
        <v>0.78836451844344</v>
      </c>
      <c r="AC812" s="14" t="n">
        <f aca="false">AA812-Y812</f>
        <v>0.227436823104693</v>
      </c>
      <c r="AD812" s="14" t="n">
        <f aca="false">IF(K812-S812-P812+U812=0,0,(M812-P812)/(K812-S812-P812+U812))</f>
        <v>0.241784037558685</v>
      </c>
      <c r="AE812" s="15" t="n">
        <f aca="false">IF(J812=0,0,R812/J812)</f>
        <v>0.115141955835962</v>
      </c>
      <c r="AF812" s="15" t="n">
        <f aca="false">IF(J812=0,0,S812/J812)</f>
        <v>0.162460567823344</v>
      </c>
      <c r="AG812" s="11" t="n">
        <f aca="false">IF(J812&gt;=INDEX(球季參數!$E$2:$E$4,MATCH($A812,球季參數!$A$2:$A$4,0)),1,0)</f>
        <v>1</v>
      </c>
    </row>
    <row r="813" customFormat="false" ht="15" hidden="false" customHeight="false" outlineLevel="0" collapsed="false">
      <c r="A813" s="5" t="n">
        <v>2026</v>
      </c>
      <c r="B813" s="7" t="s">
        <v>1319</v>
      </c>
      <c r="C813" s="10" t="str">
        <f aca="false">INDEX(球員主檔!$B$2:$B$749,MATCH($B813,球員主檔!$A$2:$A$749,0))</f>
        <v>Wyatt Yamazaki</v>
      </c>
      <c r="D813" s="7" t="s">
        <v>430</v>
      </c>
      <c r="E813" s="10" t="str">
        <f aca="false">INDEX(球隊主檔!$C$2:$C$31,MATCH($D813,球隊主檔!$A$2:$A$31,0))</f>
        <v>辛辛那提紅人</v>
      </c>
      <c r="F813" s="10" t="str">
        <f aca="false">INDEX(球隊主檔!$D$2:$D$31,MATCH($D813,球隊主檔!$A$2:$A$31,0))</f>
        <v>國聯</v>
      </c>
      <c r="G813" s="7" t="s">
        <v>63</v>
      </c>
      <c r="H813" s="11" t="n">
        <f aca="false">INT((DATE($A813,7,1)-INDEX(球員主檔!$G$2:$G$749,MATCH($B813,球員主檔!$A$2:$A$749,0)))/365.25)</f>
        <v>26</v>
      </c>
      <c r="I813" s="12" t="n">
        <v>137</v>
      </c>
      <c r="J813" s="12" t="n">
        <v>604</v>
      </c>
      <c r="K813" s="12" t="n">
        <v>510</v>
      </c>
      <c r="L813" s="12" t="n">
        <v>72</v>
      </c>
      <c r="M813" s="12" t="n">
        <v>118</v>
      </c>
      <c r="N813" s="12" t="n">
        <v>45</v>
      </c>
      <c r="O813" s="12" t="n">
        <v>1</v>
      </c>
      <c r="P813" s="12" t="n">
        <v>12</v>
      </c>
      <c r="Q813" s="12" t="n">
        <v>51</v>
      </c>
      <c r="R813" s="12" t="n">
        <v>83</v>
      </c>
      <c r="S813" s="12" t="n">
        <v>170</v>
      </c>
      <c r="T813" s="12" t="n">
        <v>6</v>
      </c>
      <c r="U813" s="12" t="n">
        <v>5</v>
      </c>
      <c r="V813" s="12" t="n">
        <v>5</v>
      </c>
      <c r="W813" s="12" t="n">
        <v>1</v>
      </c>
      <c r="X813" s="13" t="n">
        <f aca="false">M813+N813+2*O813+3*P813</f>
        <v>201</v>
      </c>
      <c r="Y813" s="14" t="n">
        <f aca="false">IF(K813=0,0,M813/K813)</f>
        <v>0.231372549019608</v>
      </c>
      <c r="Z813" s="14" t="n">
        <f aca="false">IF(K813+R813+T813+U813=0,0,(M813+R813+T813)/(K813+R813+T813+U813))</f>
        <v>0.342715231788079</v>
      </c>
      <c r="AA813" s="14" t="n">
        <f aca="false">IF(K813=0,0,X813/K813)</f>
        <v>0.394117647058824</v>
      </c>
      <c r="AB813" s="14" t="n">
        <f aca="false">Z813+AA813</f>
        <v>0.736832878846903</v>
      </c>
      <c r="AC813" s="14" t="n">
        <f aca="false">AA813-Y813</f>
        <v>0.162745098039216</v>
      </c>
      <c r="AD813" s="14" t="n">
        <f aca="false">IF(K813-S813-P813+U813=0,0,(M813-P813)/(K813-S813-P813+U813))</f>
        <v>0.318318318318318</v>
      </c>
      <c r="AE813" s="15" t="n">
        <f aca="false">IF(J813=0,0,R813/J813)</f>
        <v>0.137417218543046</v>
      </c>
      <c r="AF813" s="15" t="n">
        <f aca="false">IF(J813=0,0,S813/J813)</f>
        <v>0.281456953642384</v>
      </c>
      <c r="AG813" s="11" t="n">
        <f aca="false">IF(J813&gt;=INDEX(球季參數!$E$2:$E$4,MATCH($A813,球季參數!$A$2:$A$4,0)),1,0)</f>
        <v>1</v>
      </c>
    </row>
    <row r="814" customFormat="false" ht="15" hidden="false" customHeight="false" outlineLevel="0" collapsed="false">
      <c r="A814" s="5" t="n">
        <v>2026</v>
      </c>
      <c r="B814" s="7" t="s">
        <v>1453</v>
      </c>
      <c r="C814" s="10" t="str">
        <f aca="false">INDEX(球員主檔!$B$2:$B$749,MATCH($B814,球員主檔!$A$2:$A$749,0))</f>
        <v>Porter Ingersoll</v>
      </c>
      <c r="D814" s="7" t="s">
        <v>430</v>
      </c>
      <c r="E814" s="10" t="str">
        <f aca="false">INDEX(球隊主檔!$C$2:$C$31,MATCH($D814,球隊主檔!$A$2:$A$31,0))</f>
        <v>辛辛那提紅人</v>
      </c>
      <c r="F814" s="10" t="str">
        <f aca="false">INDEX(球隊主檔!$D$2:$D$31,MATCH($D814,球隊主檔!$A$2:$A$31,0))</f>
        <v>國聯</v>
      </c>
      <c r="G814" s="7" t="s">
        <v>478</v>
      </c>
      <c r="H814" s="11" t="n">
        <f aca="false">INT((DATE($A814,7,1)-INDEX(球員主檔!$G$2:$G$749,MATCH($B814,球員主檔!$A$2:$A$749,0)))/365.25)</f>
        <v>35</v>
      </c>
      <c r="I814" s="12" t="n">
        <v>154</v>
      </c>
      <c r="J814" s="12" t="n">
        <v>620</v>
      </c>
      <c r="K814" s="12" t="n">
        <v>562</v>
      </c>
      <c r="L814" s="12" t="n">
        <v>71</v>
      </c>
      <c r="M814" s="12" t="n">
        <v>155</v>
      </c>
      <c r="N814" s="12" t="n">
        <v>32</v>
      </c>
      <c r="O814" s="12" t="n">
        <v>1</v>
      </c>
      <c r="P814" s="12" t="n">
        <v>11</v>
      </c>
      <c r="Q814" s="12" t="n">
        <v>52</v>
      </c>
      <c r="R814" s="12" t="n">
        <v>47</v>
      </c>
      <c r="S814" s="12" t="n">
        <v>137</v>
      </c>
      <c r="T814" s="12" t="n">
        <v>4</v>
      </c>
      <c r="U814" s="12" t="n">
        <v>7</v>
      </c>
      <c r="V814" s="12" t="n">
        <v>5</v>
      </c>
      <c r="W814" s="12" t="n">
        <v>1</v>
      </c>
      <c r="X814" s="13" t="n">
        <f aca="false">M814+N814+2*O814+3*P814</f>
        <v>222</v>
      </c>
      <c r="Y814" s="14" t="n">
        <f aca="false">IF(K814=0,0,M814/K814)</f>
        <v>0.275800711743772</v>
      </c>
      <c r="Z814" s="14" t="n">
        <f aca="false">IF(K814+R814+T814+U814=0,0,(M814+R814+T814)/(K814+R814+T814+U814))</f>
        <v>0.332258064516129</v>
      </c>
      <c r="AA814" s="14" t="n">
        <f aca="false">IF(K814=0,0,X814/K814)</f>
        <v>0.395017793594306</v>
      </c>
      <c r="AB814" s="14" t="n">
        <f aca="false">Z814+AA814</f>
        <v>0.727275858110435</v>
      </c>
      <c r="AC814" s="14" t="n">
        <f aca="false">AA814-Y814</f>
        <v>0.119217081850534</v>
      </c>
      <c r="AD814" s="14" t="n">
        <f aca="false">IF(K814-S814-P814+U814=0,0,(M814-P814)/(K814-S814-P814+U814))</f>
        <v>0.342042755344418</v>
      </c>
      <c r="AE814" s="15" t="n">
        <f aca="false">IF(J814=0,0,R814/J814)</f>
        <v>0.0758064516129032</v>
      </c>
      <c r="AF814" s="15" t="n">
        <f aca="false">IF(J814=0,0,S814/J814)</f>
        <v>0.220967741935484</v>
      </c>
      <c r="AG814" s="11" t="n">
        <f aca="false">IF(J814&gt;=INDEX(球季參數!$E$2:$E$4,MATCH($A814,球季參數!$A$2:$A$4,0)),1,0)</f>
        <v>1</v>
      </c>
    </row>
    <row r="815" customFormat="false" ht="15" hidden="false" customHeight="false" outlineLevel="0" collapsed="false">
      <c r="A815" s="5" t="n">
        <v>2026</v>
      </c>
      <c r="B815" s="7" t="s">
        <v>1323</v>
      </c>
      <c r="C815" s="10" t="str">
        <f aca="false">INDEX(球員主檔!$B$2:$B$749,MATCH($B815,球員主檔!$A$2:$A$749,0))</f>
        <v>Yusuke Vasquez</v>
      </c>
      <c r="D815" s="7" t="s">
        <v>430</v>
      </c>
      <c r="E815" s="10" t="str">
        <f aca="false">INDEX(球隊主檔!$C$2:$C$31,MATCH($D815,球隊主檔!$A$2:$A$31,0))</f>
        <v>辛辛那提紅人</v>
      </c>
      <c r="F815" s="10" t="str">
        <f aca="false">INDEX(球隊主檔!$D$2:$D$31,MATCH($D815,球隊主檔!$A$2:$A$31,0))</f>
        <v>國聯</v>
      </c>
      <c r="G815" s="7" t="s">
        <v>470</v>
      </c>
      <c r="H815" s="11" t="n">
        <f aca="false">INT((DATE($A815,7,1)-INDEX(球員主檔!$G$2:$G$749,MATCH($B815,球員主檔!$A$2:$A$749,0)))/365.25)</f>
        <v>31</v>
      </c>
      <c r="I815" s="12" t="n">
        <v>144</v>
      </c>
      <c r="J815" s="12" t="n">
        <v>618</v>
      </c>
      <c r="K815" s="12" t="n">
        <v>559</v>
      </c>
      <c r="L815" s="12" t="n">
        <v>77</v>
      </c>
      <c r="M815" s="12" t="n">
        <v>131</v>
      </c>
      <c r="N815" s="12" t="n">
        <v>20</v>
      </c>
      <c r="O815" s="12" t="n">
        <v>3</v>
      </c>
      <c r="P815" s="12" t="n">
        <v>23</v>
      </c>
      <c r="Q815" s="12" t="n">
        <v>82</v>
      </c>
      <c r="R815" s="12" t="n">
        <v>42</v>
      </c>
      <c r="S815" s="12" t="n">
        <v>107</v>
      </c>
      <c r="T815" s="12" t="n">
        <v>11</v>
      </c>
      <c r="U815" s="12" t="n">
        <v>6</v>
      </c>
      <c r="V815" s="12" t="n">
        <v>10</v>
      </c>
      <c r="W815" s="12" t="n">
        <v>3</v>
      </c>
      <c r="X815" s="13" t="n">
        <f aca="false">M815+N815+2*O815+3*P815</f>
        <v>226</v>
      </c>
      <c r="Y815" s="14" t="n">
        <f aca="false">IF(K815=0,0,M815/K815)</f>
        <v>0.234347048300537</v>
      </c>
      <c r="Z815" s="14" t="n">
        <f aca="false">IF(K815+R815+T815+U815=0,0,(M815+R815+T815)/(K815+R815+T815+U815))</f>
        <v>0.297734627831715</v>
      </c>
      <c r="AA815" s="14" t="n">
        <f aca="false">IF(K815=0,0,X815/K815)</f>
        <v>0.404293381037567</v>
      </c>
      <c r="AB815" s="14" t="n">
        <f aca="false">Z815+AA815</f>
        <v>0.702028008869282</v>
      </c>
      <c r="AC815" s="14" t="n">
        <f aca="false">AA815-Y815</f>
        <v>0.16994633273703</v>
      </c>
      <c r="AD815" s="14" t="n">
        <f aca="false">IF(K815-S815-P815+U815=0,0,(M815-P815)/(K815-S815-P815+U815))</f>
        <v>0.248275862068966</v>
      </c>
      <c r="AE815" s="15" t="n">
        <f aca="false">IF(J815=0,0,R815/J815)</f>
        <v>0.0679611650485437</v>
      </c>
      <c r="AF815" s="15" t="n">
        <f aca="false">IF(J815=0,0,S815/J815)</f>
        <v>0.173139158576052</v>
      </c>
      <c r="AG815" s="11" t="n">
        <f aca="false">IF(J815&gt;=INDEX(球季參數!$E$2:$E$4,MATCH($A815,球季參數!$A$2:$A$4,0)),1,0)</f>
        <v>1</v>
      </c>
    </row>
    <row r="816" customFormat="false" ht="15" hidden="false" customHeight="false" outlineLevel="0" collapsed="false">
      <c r="A816" s="5" t="n">
        <v>2026</v>
      </c>
      <c r="B816" s="7" t="s">
        <v>491</v>
      </c>
      <c r="C816" s="10" t="str">
        <f aca="false">INDEX(球員主檔!$B$2:$B$749,MATCH($B816,球員主檔!$A$2:$A$749,0))</f>
        <v>Everett Ingersoll</v>
      </c>
      <c r="D816" s="7" t="s">
        <v>430</v>
      </c>
      <c r="E816" s="10" t="str">
        <f aca="false">INDEX(球隊主檔!$C$2:$C$31,MATCH($D816,球隊主檔!$A$2:$A$31,0))</f>
        <v>辛辛那提紅人</v>
      </c>
      <c r="F816" s="10" t="str">
        <f aca="false">INDEX(球隊主檔!$D$2:$D$31,MATCH($D816,球隊主檔!$A$2:$A$31,0))</f>
        <v>國聯</v>
      </c>
      <c r="G816" s="7" t="s">
        <v>162</v>
      </c>
      <c r="H816" s="11" t="n">
        <f aca="false">INT((DATE($A816,7,1)-INDEX(球員主檔!$G$2:$G$749,MATCH($B816,球員主檔!$A$2:$A$749,0)))/365.25)</f>
        <v>29</v>
      </c>
      <c r="I816" s="12" t="n">
        <v>161</v>
      </c>
      <c r="J816" s="12" t="n">
        <v>645</v>
      </c>
      <c r="K816" s="12" t="n">
        <v>612</v>
      </c>
      <c r="L816" s="12" t="n">
        <v>71</v>
      </c>
      <c r="M816" s="12" t="n">
        <v>172</v>
      </c>
      <c r="N816" s="12" t="n">
        <v>39</v>
      </c>
      <c r="O816" s="12" t="n">
        <v>4</v>
      </c>
      <c r="P816" s="12" t="n">
        <v>20</v>
      </c>
      <c r="Q816" s="12" t="n">
        <v>84</v>
      </c>
      <c r="R816" s="12" t="n">
        <v>22</v>
      </c>
      <c r="S816" s="12" t="n">
        <v>155</v>
      </c>
      <c r="T816" s="12" t="n">
        <v>10</v>
      </c>
      <c r="U816" s="12" t="n">
        <v>1</v>
      </c>
      <c r="V816" s="12" t="n">
        <v>15</v>
      </c>
      <c r="W816" s="12" t="n">
        <v>4</v>
      </c>
      <c r="X816" s="13" t="n">
        <f aca="false">M816+N816+2*O816+3*P816</f>
        <v>279</v>
      </c>
      <c r="Y816" s="14" t="n">
        <f aca="false">IF(K816=0,0,M816/K816)</f>
        <v>0.281045751633987</v>
      </c>
      <c r="Z816" s="14" t="n">
        <f aca="false">IF(K816+R816+T816+U816=0,0,(M816+R816+T816)/(K816+R816+T816+U816))</f>
        <v>0.316279069767442</v>
      </c>
      <c r="AA816" s="14" t="n">
        <f aca="false">IF(K816=0,0,X816/K816)</f>
        <v>0.455882352941176</v>
      </c>
      <c r="AB816" s="14" t="n">
        <f aca="false">Z816+AA816</f>
        <v>0.772161422708618</v>
      </c>
      <c r="AC816" s="14" t="n">
        <f aca="false">AA816-Y816</f>
        <v>0.17483660130719</v>
      </c>
      <c r="AD816" s="14" t="n">
        <f aca="false">IF(K816-S816-P816+U816=0,0,(M816-P816)/(K816-S816-P816+U816))</f>
        <v>0.34703196347032</v>
      </c>
      <c r="AE816" s="15" t="n">
        <f aca="false">IF(J816=0,0,R816/J816)</f>
        <v>0.0341085271317829</v>
      </c>
      <c r="AF816" s="15" t="n">
        <f aca="false">IF(J816=0,0,S816/J816)</f>
        <v>0.24031007751938</v>
      </c>
      <c r="AG816" s="11" t="n">
        <f aca="false">IF(J816&gt;=INDEX(球季參數!$E$2:$E$4,MATCH($A816,球季參數!$A$2:$A$4,0)),1,0)</f>
        <v>1</v>
      </c>
    </row>
    <row r="817" customFormat="false" ht="15" hidden="false" customHeight="false" outlineLevel="0" collapsed="false">
      <c r="A817" s="5" t="n">
        <v>2026</v>
      </c>
      <c r="B817" s="7" t="s">
        <v>1327</v>
      </c>
      <c r="C817" s="10" t="str">
        <f aca="false">INDEX(球員主檔!$B$2:$B$749,MATCH($B817,球員主檔!$A$2:$A$749,0))</f>
        <v>Tobias Kestrel</v>
      </c>
      <c r="D817" s="7" t="s">
        <v>430</v>
      </c>
      <c r="E817" s="10" t="str">
        <f aca="false">INDEX(球隊主檔!$C$2:$C$31,MATCH($D817,球隊主檔!$A$2:$A$31,0))</f>
        <v>辛辛那提紅人</v>
      </c>
      <c r="F817" s="10" t="str">
        <f aca="false">INDEX(球隊主檔!$D$2:$D$31,MATCH($D817,球隊主檔!$A$2:$A$31,0))</f>
        <v>國聯</v>
      </c>
      <c r="G817" s="7" t="s">
        <v>162</v>
      </c>
      <c r="H817" s="11" t="n">
        <f aca="false">INT((DATE($A817,7,1)-INDEX(球員主檔!$G$2:$G$749,MATCH($B817,球員主檔!$A$2:$A$749,0)))/365.25)</f>
        <v>27</v>
      </c>
      <c r="I817" s="12" t="n">
        <v>95</v>
      </c>
      <c r="J817" s="12" t="n">
        <v>371</v>
      </c>
      <c r="K817" s="12" t="n">
        <v>328</v>
      </c>
      <c r="L817" s="12" t="n">
        <v>44</v>
      </c>
      <c r="M817" s="12" t="n">
        <v>93</v>
      </c>
      <c r="N817" s="12" t="n">
        <v>24</v>
      </c>
      <c r="O817" s="12" t="n">
        <v>6</v>
      </c>
      <c r="P817" s="12" t="n">
        <v>9</v>
      </c>
      <c r="Q817" s="12" t="n">
        <v>42</v>
      </c>
      <c r="R817" s="12" t="n">
        <v>34</v>
      </c>
      <c r="S817" s="12" t="n">
        <v>58</v>
      </c>
      <c r="T817" s="12" t="n">
        <v>7</v>
      </c>
      <c r="U817" s="12" t="n">
        <v>2</v>
      </c>
      <c r="V817" s="12" t="n">
        <v>9</v>
      </c>
      <c r="W817" s="12" t="n">
        <v>2</v>
      </c>
      <c r="X817" s="13" t="n">
        <f aca="false">M817+N817+2*O817+3*P817</f>
        <v>156</v>
      </c>
      <c r="Y817" s="14" t="n">
        <f aca="false">IF(K817=0,0,M817/K817)</f>
        <v>0.283536585365854</v>
      </c>
      <c r="Z817" s="14" t="n">
        <f aca="false">IF(K817+R817+T817+U817=0,0,(M817+R817+T817)/(K817+R817+T817+U817))</f>
        <v>0.361185983827493</v>
      </c>
      <c r="AA817" s="14" t="n">
        <f aca="false">IF(K817=0,0,X817/K817)</f>
        <v>0.475609756097561</v>
      </c>
      <c r="AB817" s="14" t="n">
        <f aca="false">Z817+AA817</f>
        <v>0.836795739925054</v>
      </c>
      <c r="AC817" s="14" t="n">
        <f aca="false">AA817-Y817</f>
        <v>0.192073170731707</v>
      </c>
      <c r="AD817" s="14" t="n">
        <f aca="false">IF(K817-S817-P817+U817=0,0,(M817-P817)/(K817-S817-P817+U817))</f>
        <v>0.319391634980989</v>
      </c>
      <c r="AE817" s="15" t="n">
        <f aca="false">IF(J817=0,0,R817/J817)</f>
        <v>0.091644204851752</v>
      </c>
      <c r="AF817" s="15" t="n">
        <f aca="false">IF(J817=0,0,S817/J817)</f>
        <v>0.15633423180593</v>
      </c>
      <c r="AG817" s="11" t="n">
        <f aca="false">IF(J817&gt;=INDEX(球季參數!$E$2:$E$4,MATCH($A817,球季參數!$A$2:$A$4,0)),1,0)</f>
        <v>0</v>
      </c>
    </row>
    <row r="818" customFormat="false" ht="15" hidden="false" customHeight="false" outlineLevel="0" collapsed="false">
      <c r="A818" s="5" t="n">
        <v>2026</v>
      </c>
      <c r="B818" s="7" t="s">
        <v>1783</v>
      </c>
      <c r="C818" s="10" t="str">
        <f aca="false">INDEX(球員主檔!$B$2:$B$749,MATCH($B818,球員主檔!$A$2:$A$749,0))</f>
        <v>Mateo Brightwell</v>
      </c>
      <c r="D818" s="7" t="s">
        <v>430</v>
      </c>
      <c r="E818" s="10" t="str">
        <f aca="false">INDEX(球隊主檔!$C$2:$C$31,MATCH($D818,球隊主檔!$A$2:$A$31,0))</f>
        <v>辛辛那提紅人</v>
      </c>
      <c r="F818" s="10" t="str">
        <f aca="false">INDEX(球隊主檔!$D$2:$D$31,MATCH($D818,球隊主檔!$A$2:$A$31,0))</f>
        <v>國聯</v>
      </c>
      <c r="G818" s="7" t="s">
        <v>486</v>
      </c>
      <c r="H818" s="11" t="n">
        <f aca="false">INT((DATE($A818,7,1)-INDEX(球員主檔!$G$2:$G$749,MATCH($B818,球員主檔!$A$2:$A$749,0)))/365.25)</f>
        <v>26</v>
      </c>
      <c r="I818" s="12" t="n">
        <v>52</v>
      </c>
      <c r="J818" s="12" t="n">
        <v>223</v>
      </c>
      <c r="K818" s="12" t="n">
        <v>199</v>
      </c>
      <c r="L818" s="12" t="n">
        <v>26</v>
      </c>
      <c r="M818" s="12" t="n">
        <v>43</v>
      </c>
      <c r="N818" s="12" t="n">
        <v>19</v>
      </c>
      <c r="O818" s="12" t="n">
        <v>0</v>
      </c>
      <c r="P818" s="12" t="n">
        <v>6</v>
      </c>
      <c r="Q818" s="12" t="n">
        <v>21</v>
      </c>
      <c r="R818" s="12" t="n">
        <v>18</v>
      </c>
      <c r="S818" s="12" t="n">
        <v>57</v>
      </c>
      <c r="T818" s="12" t="n">
        <v>4</v>
      </c>
      <c r="U818" s="12" t="n">
        <v>2</v>
      </c>
      <c r="V818" s="12" t="n">
        <v>4</v>
      </c>
      <c r="W818" s="12" t="n">
        <v>1</v>
      </c>
      <c r="X818" s="13" t="n">
        <f aca="false">M818+N818+2*O818+3*P818</f>
        <v>80</v>
      </c>
      <c r="Y818" s="14" t="n">
        <f aca="false">IF(K818=0,0,M818/K818)</f>
        <v>0.21608040201005</v>
      </c>
      <c r="Z818" s="14" t="n">
        <f aca="false">IF(K818+R818+T818+U818=0,0,(M818+R818+T818)/(K818+R818+T818+U818))</f>
        <v>0.291479820627803</v>
      </c>
      <c r="AA818" s="14" t="n">
        <f aca="false">IF(K818=0,0,X818/K818)</f>
        <v>0.402010050251256</v>
      </c>
      <c r="AB818" s="14" t="n">
        <f aca="false">Z818+AA818</f>
        <v>0.693489870879059</v>
      </c>
      <c r="AC818" s="14" t="n">
        <f aca="false">AA818-Y818</f>
        <v>0.185929648241206</v>
      </c>
      <c r="AD818" s="14" t="n">
        <f aca="false">IF(K818-S818-P818+U818=0,0,(M818-P818)/(K818-S818-P818+U818))</f>
        <v>0.268115942028986</v>
      </c>
      <c r="AE818" s="15" t="n">
        <f aca="false">IF(J818=0,0,R818/J818)</f>
        <v>0.0807174887892377</v>
      </c>
      <c r="AF818" s="15" t="n">
        <f aca="false">IF(J818=0,0,S818/J818)</f>
        <v>0.255605381165919</v>
      </c>
      <c r="AG818" s="11" t="n">
        <f aca="false">IF(J818&gt;=INDEX(球季參數!$E$2:$E$4,MATCH($A818,球季參數!$A$2:$A$4,0)),1,0)</f>
        <v>0</v>
      </c>
    </row>
    <row r="819" customFormat="false" ht="15" hidden="false" customHeight="false" outlineLevel="0" collapsed="false">
      <c r="A819" s="5" t="n">
        <v>2026</v>
      </c>
      <c r="B819" s="7" t="s">
        <v>601</v>
      </c>
      <c r="C819" s="10" t="str">
        <f aca="false">INDEX(球員主檔!$B$2:$B$749,MATCH($B819,球員主檔!$A$2:$A$749,0))</f>
        <v>Lorenzo Villalobos</v>
      </c>
      <c r="D819" s="7" t="s">
        <v>430</v>
      </c>
      <c r="E819" s="10" t="str">
        <f aca="false">INDEX(球隊主檔!$C$2:$C$31,MATCH($D819,球隊主檔!$A$2:$A$31,0))</f>
        <v>辛辛那提紅人</v>
      </c>
      <c r="F819" s="10" t="str">
        <f aca="false">INDEX(球隊主檔!$D$2:$D$31,MATCH($D819,球隊主檔!$A$2:$A$31,0))</f>
        <v>國聯</v>
      </c>
      <c r="G819" s="7" t="s">
        <v>473</v>
      </c>
      <c r="H819" s="11" t="n">
        <f aca="false">INT((DATE($A819,7,1)-INDEX(球員主檔!$G$2:$G$749,MATCH($B819,球員主檔!$A$2:$A$749,0)))/365.25)</f>
        <v>31</v>
      </c>
      <c r="I819" s="12" t="n">
        <v>106</v>
      </c>
      <c r="J819" s="12" t="n">
        <v>454</v>
      </c>
      <c r="K819" s="12" t="n">
        <v>416</v>
      </c>
      <c r="L819" s="12" t="n">
        <v>59</v>
      </c>
      <c r="M819" s="12" t="n">
        <v>110</v>
      </c>
      <c r="N819" s="12" t="n">
        <v>23</v>
      </c>
      <c r="O819" s="12" t="n">
        <v>7</v>
      </c>
      <c r="P819" s="12" t="n">
        <v>14</v>
      </c>
      <c r="Q819" s="12" t="n">
        <v>52</v>
      </c>
      <c r="R819" s="12" t="n">
        <v>27</v>
      </c>
      <c r="S819" s="12" t="n">
        <v>111</v>
      </c>
      <c r="T819" s="12" t="n">
        <v>9</v>
      </c>
      <c r="U819" s="12" t="n">
        <v>2</v>
      </c>
      <c r="V819" s="12" t="n">
        <v>31</v>
      </c>
      <c r="W819" s="12" t="n">
        <v>6</v>
      </c>
      <c r="X819" s="13" t="n">
        <f aca="false">M819+N819+2*O819+3*P819</f>
        <v>189</v>
      </c>
      <c r="Y819" s="14" t="n">
        <f aca="false">IF(K819=0,0,M819/K819)</f>
        <v>0.264423076923077</v>
      </c>
      <c r="Z819" s="14" t="n">
        <f aca="false">IF(K819+R819+T819+U819=0,0,(M819+R819+T819)/(K819+R819+T819+U819))</f>
        <v>0.3215859030837</v>
      </c>
      <c r="AA819" s="14" t="n">
        <f aca="false">IF(K819=0,0,X819/K819)</f>
        <v>0.454326923076923</v>
      </c>
      <c r="AB819" s="14" t="n">
        <f aca="false">Z819+AA819</f>
        <v>0.775912826160624</v>
      </c>
      <c r="AC819" s="14" t="n">
        <f aca="false">AA819-Y819</f>
        <v>0.189903846153846</v>
      </c>
      <c r="AD819" s="14" t="n">
        <f aca="false">IF(K819-S819-P819+U819=0,0,(M819-P819)/(K819-S819-P819+U819))</f>
        <v>0.327645051194539</v>
      </c>
      <c r="AE819" s="15" t="n">
        <f aca="false">IF(J819=0,0,R819/J819)</f>
        <v>0.0594713656387665</v>
      </c>
      <c r="AF819" s="15" t="n">
        <f aca="false">IF(J819=0,0,S819/J819)</f>
        <v>0.244493392070485</v>
      </c>
      <c r="AG819" s="11" t="n">
        <f aca="false">IF(J819&gt;=INDEX(球季參數!$E$2:$E$4,MATCH($A819,球季參數!$A$2:$A$4,0)),1,0)</f>
        <v>0</v>
      </c>
    </row>
    <row r="820" customFormat="false" ht="15" hidden="false" customHeight="false" outlineLevel="0" collapsed="false">
      <c r="A820" s="5" t="n">
        <v>2026</v>
      </c>
      <c r="B820" s="7" t="s">
        <v>1159</v>
      </c>
      <c r="C820" s="10" t="str">
        <f aca="false">INDEX(球員主檔!$B$2:$B$749,MATCH($B820,球員主檔!$A$2:$A$749,0))</f>
        <v>Esteban Thorsby</v>
      </c>
      <c r="D820" s="7" t="s">
        <v>430</v>
      </c>
      <c r="E820" s="10" t="str">
        <f aca="false">INDEX(球隊主檔!$C$2:$C$31,MATCH($D820,球隊主檔!$A$2:$A$31,0))</f>
        <v>辛辛那提紅人</v>
      </c>
      <c r="F820" s="10" t="str">
        <f aca="false">INDEX(球隊主檔!$D$2:$D$31,MATCH($D820,球隊主檔!$A$2:$A$31,0))</f>
        <v>國聯</v>
      </c>
      <c r="G820" s="7" t="s">
        <v>483</v>
      </c>
      <c r="H820" s="11" t="n">
        <f aca="false">INT((DATE($A820,7,1)-INDEX(球員主檔!$G$2:$G$749,MATCH($B820,球員主檔!$A$2:$A$749,0)))/365.25)</f>
        <v>28</v>
      </c>
      <c r="I820" s="12" t="n">
        <v>60</v>
      </c>
      <c r="J820" s="12" t="n">
        <v>245</v>
      </c>
      <c r="K820" s="12" t="n">
        <v>214</v>
      </c>
      <c r="L820" s="12" t="n">
        <v>30</v>
      </c>
      <c r="M820" s="12" t="n">
        <v>51</v>
      </c>
      <c r="N820" s="12" t="n">
        <v>15</v>
      </c>
      <c r="O820" s="12" t="n">
        <v>4</v>
      </c>
      <c r="P820" s="12" t="n">
        <v>11</v>
      </c>
      <c r="Q820" s="12" t="n">
        <v>39</v>
      </c>
      <c r="R820" s="12" t="n">
        <v>25</v>
      </c>
      <c r="S820" s="12" t="n">
        <v>47</v>
      </c>
      <c r="T820" s="12" t="n">
        <v>5</v>
      </c>
      <c r="U820" s="12" t="n">
        <v>1</v>
      </c>
      <c r="V820" s="12" t="n">
        <v>1</v>
      </c>
      <c r="W820" s="12" t="n">
        <v>0</v>
      </c>
      <c r="X820" s="13" t="n">
        <f aca="false">M820+N820+2*O820+3*P820</f>
        <v>107</v>
      </c>
      <c r="Y820" s="14" t="n">
        <f aca="false">IF(K820=0,0,M820/K820)</f>
        <v>0.238317757009346</v>
      </c>
      <c r="Z820" s="14" t="n">
        <f aca="false">IF(K820+R820+T820+U820=0,0,(M820+R820+T820)/(K820+R820+T820+U820))</f>
        <v>0.330612244897959</v>
      </c>
      <c r="AA820" s="14" t="n">
        <f aca="false">IF(K820=0,0,X820/K820)</f>
        <v>0.5</v>
      </c>
      <c r="AB820" s="14" t="n">
        <f aca="false">Z820+AA820</f>
        <v>0.830612244897959</v>
      </c>
      <c r="AC820" s="14" t="n">
        <f aca="false">AA820-Y820</f>
        <v>0.261682242990654</v>
      </c>
      <c r="AD820" s="14" t="n">
        <f aca="false">IF(K820-S820-P820+U820=0,0,(M820-P820)/(K820-S820-P820+U820))</f>
        <v>0.254777070063694</v>
      </c>
      <c r="AE820" s="15" t="n">
        <f aca="false">IF(J820=0,0,R820/J820)</f>
        <v>0.102040816326531</v>
      </c>
      <c r="AF820" s="15" t="n">
        <f aca="false">IF(J820=0,0,S820/J820)</f>
        <v>0.191836734693878</v>
      </c>
      <c r="AG820" s="11" t="n">
        <f aca="false">IF(J820&gt;=INDEX(球季參數!$E$2:$E$4,MATCH($A820,球季參數!$A$2:$A$4,0)),1,0)</f>
        <v>0</v>
      </c>
    </row>
    <row r="821" customFormat="false" ht="15" hidden="false" customHeight="false" outlineLevel="0" collapsed="false">
      <c r="A821" s="5" t="n">
        <v>2026</v>
      </c>
      <c r="B821" s="7" t="s">
        <v>1335</v>
      </c>
      <c r="C821" s="10" t="str">
        <f aca="false">INDEX(球員主檔!$B$2:$B$749,MATCH($B821,球員主檔!$A$2:$A$749,0))</f>
        <v>Elias Okafor</v>
      </c>
      <c r="D821" s="7" t="s">
        <v>430</v>
      </c>
      <c r="E821" s="10" t="str">
        <f aca="false">INDEX(球隊主檔!$C$2:$C$31,MATCH($D821,球隊主檔!$A$2:$A$31,0))</f>
        <v>辛辛那提紅人</v>
      </c>
      <c r="F821" s="10" t="str">
        <f aca="false">INDEX(球隊主檔!$D$2:$D$31,MATCH($D821,球隊主檔!$A$2:$A$31,0))</f>
        <v>國聯</v>
      </c>
      <c r="G821" s="7" t="s">
        <v>162</v>
      </c>
      <c r="H821" s="11" t="n">
        <f aca="false">INT((DATE($A821,7,1)-INDEX(球員主檔!$G$2:$G$749,MATCH($B821,球員主檔!$A$2:$A$749,0)))/365.25)</f>
        <v>34</v>
      </c>
      <c r="I821" s="12" t="n">
        <v>56</v>
      </c>
      <c r="J821" s="12" t="n">
        <v>222</v>
      </c>
      <c r="K821" s="12" t="n">
        <v>199</v>
      </c>
      <c r="L821" s="12" t="n">
        <v>22</v>
      </c>
      <c r="M821" s="12" t="n">
        <v>45</v>
      </c>
      <c r="N821" s="12" t="n">
        <v>18</v>
      </c>
      <c r="O821" s="12" t="n">
        <v>5</v>
      </c>
      <c r="P821" s="12" t="n">
        <v>3</v>
      </c>
      <c r="Q821" s="12" t="n">
        <v>19</v>
      </c>
      <c r="R821" s="12" t="n">
        <v>18</v>
      </c>
      <c r="S821" s="12" t="n">
        <v>25</v>
      </c>
      <c r="T821" s="12" t="n">
        <v>2</v>
      </c>
      <c r="U821" s="12" t="n">
        <v>3</v>
      </c>
      <c r="V821" s="12" t="n">
        <v>5</v>
      </c>
      <c r="W821" s="12" t="n">
        <v>1</v>
      </c>
      <c r="X821" s="13" t="n">
        <f aca="false">M821+N821+2*O821+3*P821</f>
        <v>82</v>
      </c>
      <c r="Y821" s="14" t="n">
        <f aca="false">IF(K821=0,0,M821/K821)</f>
        <v>0.226130653266332</v>
      </c>
      <c r="Z821" s="14" t="n">
        <f aca="false">IF(K821+R821+T821+U821=0,0,(M821+R821+T821)/(K821+R821+T821+U821))</f>
        <v>0.292792792792793</v>
      </c>
      <c r="AA821" s="14" t="n">
        <f aca="false">IF(K821=0,0,X821/K821)</f>
        <v>0.412060301507538</v>
      </c>
      <c r="AB821" s="14" t="n">
        <f aca="false">Z821+AA821</f>
        <v>0.704853094300331</v>
      </c>
      <c r="AC821" s="14" t="n">
        <f aca="false">AA821-Y821</f>
        <v>0.185929648241206</v>
      </c>
      <c r="AD821" s="14" t="n">
        <f aca="false">IF(K821-S821-P821+U821=0,0,(M821-P821)/(K821-S821-P821+U821))</f>
        <v>0.241379310344828</v>
      </c>
      <c r="AE821" s="15" t="n">
        <f aca="false">IF(J821=0,0,R821/J821)</f>
        <v>0.0810810810810811</v>
      </c>
      <c r="AF821" s="15" t="n">
        <f aca="false">IF(J821=0,0,S821/J821)</f>
        <v>0.112612612612613</v>
      </c>
      <c r="AG821" s="11" t="n">
        <f aca="false">IF(J821&gt;=INDEX(球季參數!$E$2:$E$4,MATCH($A821,球季參數!$A$2:$A$4,0)),1,0)</f>
        <v>0</v>
      </c>
    </row>
    <row r="822" customFormat="false" ht="15" hidden="false" customHeight="false" outlineLevel="0" collapsed="false">
      <c r="A822" s="5" t="n">
        <v>2026</v>
      </c>
      <c r="B822" s="7" t="s">
        <v>1937</v>
      </c>
      <c r="C822" s="10" t="str">
        <f aca="false">INDEX(球員主檔!$B$2:$B$749,MATCH($B822,球員主檔!$A$2:$A$749,0))</f>
        <v>Dimitri Villalobos</v>
      </c>
      <c r="D822" s="7" t="s">
        <v>434</v>
      </c>
      <c r="E822" s="10" t="str">
        <f aca="false">INDEX(球隊主檔!$C$2:$C$31,MATCH($D822,球隊主檔!$A$2:$A$31,0))</f>
        <v>密爾瓦基釀酒人</v>
      </c>
      <c r="F822" s="10" t="str">
        <f aca="false">INDEX(球隊主檔!$D$2:$D$31,MATCH($D822,球隊主檔!$A$2:$A$31,0))</f>
        <v>國聯</v>
      </c>
      <c r="G822" s="7" t="s">
        <v>470</v>
      </c>
      <c r="H822" s="11" t="n">
        <f aca="false">INT((DATE($A822,7,1)-INDEX(球員主檔!$G$2:$G$749,MATCH($B822,球員主檔!$A$2:$A$749,0)))/365.25)</f>
        <v>23</v>
      </c>
      <c r="I822" s="12" t="n">
        <v>94</v>
      </c>
      <c r="J822" s="12" t="n">
        <v>403</v>
      </c>
      <c r="K822" s="12" t="n">
        <v>372</v>
      </c>
      <c r="L822" s="12" t="n">
        <v>48</v>
      </c>
      <c r="M822" s="12" t="n">
        <v>90</v>
      </c>
      <c r="N822" s="12" t="n">
        <v>31</v>
      </c>
      <c r="O822" s="12" t="n">
        <v>9</v>
      </c>
      <c r="P822" s="12" t="n">
        <v>15</v>
      </c>
      <c r="Q822" s="12" t="n">
        <v>46</v>
      </c>
      <c r="R822" s="12" t="n">
        <v>24</v>
      </c>
      <c r="S822" s="12" t="n">
        <v>87</v>
      </c>
      <c r="T822" s="12" t="n">
        <v>4</v>
      </c>
      <c r="U822" s="12" t="n">
        <v>3</v>
      </c>
      <c r="V822" s="12" t="n">
        <v>15</v>
      </c>
      <c r="W822" s="12" t="n">
        <v>2</v>
      </c>
      <c r="X822" s="13" t="n">
        <f aca="false">M822+N822+2*O822+3*P822</f>
        <v>184</v>
      </c>
      <c r="Y822" s="14" t="n">
        <f aca="false">IF(K822=0,0,M822/K822)</f>
        <v>0.241935483870968</v>
      </c>
      <c r="Z822" s="14" t="n">
        <f aca="false">IF(K822+R822+T822+U822=0,0,(M822+R822+T822)/(K822+R822+T822+U822))</f>
        <v>0.292803970223325</v>
      </c>
      <c r="AA822" s="14" t="n">
        <f aca="false">IF(K822=0,0,X822/K822)</f>
        <v>0.494623655913979</v>
      </c>
      <c r="AB822" s="14" t="n">
        <f aca="false">Z822+AA822</f>
        <v>0.787427626137304</v>
      </c>
      <c r="AC822" s="14" t="n">
        <f aca="false">AA822-Y822</f>
        <v>0.252688172043011</v>
      </c>
      <c r="AD822" s="14" t="n">
        <f aca="false">IF(K822-S822-P822+U822=0,0,(M822-P822)/(K822-S822-P822+U822))</f>
        <v>0.274725274725275</v>
      </c>
      <c r="AE822" s="15" t="n">
        <f aca="false">IF(J822=0,0,R822/J822)</f>
        <v>0.0595533498759305</v>
      </c>
      <c r="AF822" s="15" t="n">
        <f aca="false">IF(J822=0,0,S822/J822)</f>
        <v>0.215880893300248</v>
      </c>
      <c r="AG822" s="11" t="n">
        <f aca="false">IF(J822&gt;=INDEX(球季參數!$E$2:$E$4,MATCH($A822,球季參數!$A$2:$A$4,0)),1,0)</f>
        <v>0</v>
      </c>
    </row>
    <row r="823" customFormat="false" ht="15" hidden="false" customHeight="false" outlineLevel="0" collapsed="false">
      <c r="A823" s="5" t="n">
        <v>2026</v>
      </c>
      <c r="B823" s="7" t="s">
        <v>1485</v>
      </c>
      <c r="C823" s="10" t="str">
        <f aca="false">INDEX(球員主檔!$B$2:$B$749,MATCH($B823,球員主檔!$A$2:$A$749,0))</f>
        <v>Ignacio Zbornak</v>
      </c>
      <c r="D823" s="7" t="s">
        <v>434</v>
      </c>
      <c r="E823" s="10" t="str">
        <f aca="false">INDEX(球隊主檔!$C$2:$C$31,MATCH($D823,球隊主檔!$A$2:$A$31,0))</f>
        <v>密爾瓦基釀酒人</v>
      </c>
      <c r="F823" s="10" t="str">
        <f aca="false">INDEX(球隊主檔!$D$2:$D$31,MATCH($D823,球隊主檔!$A$2:$A$31,0))</f>
        <v>國聯</v>
      </c>
      <c r="G823" s="7" t="s">
        <v>483</v>
      </c>
      <c r="H823" s="11" t="n">
        <f aca="false">INT((DATE($A823,7,1)-INDEX(球員主檔!$G$2:$G$749,MATCH($B823,球員主檔!$A$2:$A$749,0)))/365.25)</f>
        <v>32</v>
      </c>
      <c r="I823" s="12" t="n">
        <v>156</v>
      </c>
      <c r="J823" s="12" t="n">
        <v>674</v>
      </c>
      <c r="K823" s="12" t="n">
        <v>591</v>
      </c>
      <c r="L823" s="12" t="n">
        <v>84</v>
      </c>
      <c r="M823" s="12" t="n">
        <v>143</v>
      </c>
      <c r="N823" s="12" t="n">
        <v>31</v>
      </c>
      <c r="O823" s="12" t="n">
        <v>7</v>
      </c>
      <c r="P823" s="12" t="n">
        <v>19</v>
      </c>
      <c r="Q823" s="12" t="n">
        <v>73</v>
      </c>
      <c r="R823" s="12" t="n">
        <v>67</v>
      </c>
      <c r="S823" s="12" t="n">
        <v>135</v>
      </c>
      <c r="T823" s="12" t="n">
        <v>12</v>
      </c>
      <c r="U823" s="12" t="n">
        <v>4</v>
      </c>
      <c r="V823" s="12" t="n">
        <v>21</v>
      </c>
      <c r="W823" s="12" t="n">
        <v>3</v>
      </c>
      <c r="X823" s="13" t="n">
        <f aca="false">M823+N823+2*O823+3*P823</f>
        <v>245</v>
      </c>
      <c r="Y823" s="14" t="n">
        <f aca="false">IF(K823=0,0,M823/K823)</f>
        <v>0.241962774957699</v>
      </c>
      <c r="Z823" s="14" t="n">
        <f aca="false">IF(K823+R823+T823+U823=0,0,(M823+R823+T823)/(K823+R823+T823+U823))</f>
        <v>0.329376854599407</v>
      </c>
      <c r="AA823" s="14" t="n">
        <f aca="false">IF(K823=0,0,X823/K823)</f>
        <v>0.414551607445008</v>
      </c>
      <c r="AB823" s="14" t="n">
        <f aca="false">Z823+AA823</f>
        <v>0.743928462044415</v>
      </c>
      <c r="AC823" s="14" t="n">
        <f aca="false">AA823-Y823</f>
        <v>0.17258883248731</v>
      </c>
      <c r="AD823" s="14" t="n">
        <f aca="false">IF(K823-S823-P823+U823=0,0,(M823-P823)/(K823-S823-P823+U823))</f>
        <v>0.281179138321996</v>
      </c>
      <c r="AE823" s="15" t="n">
        <f aca="false">IF(J823=0,0,R823/J823)</f>
        <v>0.099406528189911</v>
      </c>
      <c r="AF823" s="15" t="n">
        <f aca="false">IF(J823=0,0,S823/J823)</f>
        <v>0.200296735905045</v>
      </c>
      <c r="AG823" s="11" t="n">
        <f aca="false">IF(J823&gt;=INDEX(球季參數!$E$2:$E$4,MATCH($A823,球季參數!$A$2:$A$4,0)),1,0)</f>
        <v>1</v>
      </c>
    </row>
    <row r="824" customFormat="false" ht="15" hidden="false" customHeight="false" outlineLevel="0" collapsed="false">
      <c r="A824" s="5" t="n">
        <v>2026</v>
      </c>
      <c r="B824" s="7" t="s">
        <v>1241</v>
      </c>
      <c r="C824" s="10" t="str">
        <f aca="false">INDEX(球員主檔!$B$2:$B$749,MATCH($B824,球員主檔!$A$2:$A$749,0))</f>
        <v>Rhett Yamazaki</v>
      </c>
      <c r="D824" s="7" t="s">
        <v>434</v>
      </c>
      <c r="E824" s="10" t="str">
        <f aca="false">INDEX(球隊主檔!$C$2:$C$31,MATCH($D824,球隊主檔!$A$2:$A$31,0))</f>
        <v>密爾瓦基釀酒人</v>
      </c>
      <c r="F824" s="10" t="str">
        <f aca="false">INDEX(球隊主檔!$D$2:$D$31,MATCH($D824,球隊主檔!$A$2:$A$31,0))</f>
        <v>國聯</v>
      </c>
      <c r="G824" s="7" t="s">
        <v>478</v>
      </c>
      <c r="H824" s="11" t="n">
        <f aca="false">INT((DATE($A824,7,1)-INDEX(球員主檔!$G$2:$G$749,MATCH($B824,球員主檔!$A$2:$A$749,0)))/365.25)</f>
        <v>32</v>
      </c>
      <c r="I824" s="12" t="n">
        <v>138</v>
      </c>
      <c r="J824" s="12" t="n">
        <v>565</v>
      </c>
      <c r="K824" s="12" t="n">
        <v>497</v>
      </c>
      <c r="L824" s="12" t="n">
        <v>60</v>
      </c>
      <c r="M824" s="12" t="n">
        <v>91</v>
      </c>
      <c r="N824" s="12" t="n">
        <v>26</v>
      </c>
      <c r="O824" s="12" t="n">
        <v>5</v>
      </c>
      <c r="P824" s="12" t="n">
        <v>23</v>
      </c>
      <c r="Q824" s="12" t="n">
        <v>74</v>
      </c>
      <c r="R824" s="12" t="n">
        <v>64</v>
      </c>
      <c r="S824" s="12" t="n">
        <v>66</v>
      </c>
      <c r="T824" s="12" t="n">
        <v>3</v>
      </c>
      <c r="U824" s="12" t="n">
        <v>1</v>
      </c>
      <c r="V824" s="12" t="n">
        <v>17</v>
      </c>
      <c r="W824" s="12" t="n">
        <v>2</v>
      </c>
      <c r="X824" s="13" t="n">
        <f aca="false">M824+N824+2*O824+3*P824</f>
        <v>196</v>
      </c>
      <c r="Y824" s="14" t="n">
        <f aca="false">IF(K824=0,0,M824/K824)</f>
        <v>0.183098591549296</v>
      </c>
      <c r="Z824" s="14" t="n">
        <f aca="false">IF(K824+R824+T824+U824=0,0,(M824+R824+T824)/(K824+R824+T824+U824))</f>
        <v>0.279646017699115</v>
      </c>
      <c r="AA824" s="14" t="n">
        <f aca="false">IF(K824=0,0,X824/K824)</f>
        <v>0.394366197183099</v>
      </c>
      <c r="AB824" s="14" t="n">
        <f aca="false">Z824+AA824</f>
        <v>0.674012214882214</v>
      </c>
      <c r="AC824" s="14" t="n">
        <f aca="false">AA824-Y824</f>
        <v>0.211267605633803</v>
      </c>
      <c r="AD824" s="14" t="n">
        <f aca="false">IF(K824-S824-P824+U824=0,0,(M824-P824)/(K824-S824-P824+U824))</f>
        <v>0.166259168704156</v>
      </c>
      <c r="AE824" s="15" t="n">
        <f aca="false">IF(J824=0,0,R824/J824)</f>
        <v>0.113274336283186</v>
      </c>
      <c r="AF824" s="15" t="n">
        <f aca="false">IF(J824=0,0,S824/J824)</f>
        <v>0.116814159292035</v>
      </c>
      <c r="AG824" s="11" t="n">
        <f aca="false">IF(J824&gt;=INDEX(球季參數!$E$2:$E$4,MATCH($A824,球季參數!$A$2:$A$4,0)),1,0)</f>
        <v>1</v>
      </c>
    </row>
    <row r="825" customFormat="false" ht="15" hidden="false" customHeight="false" outlineLevel="0" collapsed="false">
      <c r="A825" s="5" t="n">
        <v>2026</v>
      </c>
      <c r="B825" s="7" t="s">
        <v>1363</v>
      </c>
      <c r="C825" s="10" t="str">
        <f aca="false">INDEX(球員主檔!$B$2:$B$749,MATCH($B825,球員主檔!$A$2:$A$749,0))</f>
        <v>Jedidiah Hargreaves</v>
      </c>
      <c r="D825" s="7" t="s">
        <v>434</v>
      </c>
      <c r="E825" s="10" t="str">
        <f aca="false">INDEX(球隊主檔!$C$2:$C$31,MATCH($D825,球隊主檔!$A$2:$A$31,0))</f>
        <v>密爾瓦基釀酒人</v>
      </c>
      <c r="F825" s="10" t="str">
        <f aca="false">INDEX(球隊主檔!$D$2:$D$31,MATCH($D825,球隊主檔!$A$2:$A$31,0))</f>
        <v>國聯</v>
      </c>
      <c r="G825" s="7" t="s">
        <v>522</v>
      </c>
      <c r="H825" s="11" t="n">
        <f aca="false">INT((DATE($A825,7,1)-INDEX(球員主檔!$G$2:$G$749,MATCH($B825,球員主檔!$A$2:$A$749,0)))/365.25)</f>
        <v>24</v>
      </c>
      <c r="I825" s="12" t="n">
        <v>155</v>
      </c>
      <c r="J825" s="12" t="n">
        <v>660</v>
      </c>
      <c r="K825" s="12" t="n">
        <v>559</v>
      </c>
      <c r="L825" s="12" t="n">
        <v>106</v>
      </c>
      <c r="M825" s="12" t="n">
        <v>166</v>
      </c>
      <c r="N825" s="12" t="n">
        <v>35</v>
      </c>
      <c r="O825" s="12" t="n">
        <v>2</v>
      </c>
      <c r="P825" s="12" t="n">
        <v>39</v>
      </c>
      <c r="Q825" s="12" t="n">
        <v>124</v>
      </c>
      <c r="R825" s="12" t="n">
        <v>81</v>
      </c>
      <c r="S825" s="12" t="n">
        <v>178</v>
      </c>
      <c r="T825" s="12" t="n">
        <v>12</v>
      </c>
      <c r="U825" s="12" t="n">
        <v>8</v>
      </c>
      <c r="V825" s="12" t="n">
        <v>3</v>
      </c>
      <c r="W825" s="12" t="n">
        <v>1</v>
      </c>
      <c r="X825" s="13" t="n">
        <f aca="false">M825+N825+2*O825+3*P825</f>
        <v>322</v>
      </c>
      <c r="Y825" s="14" t="n">
        <f aca="false">IF(K825=0,0,M825/K825)</f>
        <v>0.29695885509839</v>
      </c>
      <c r="Z825" s="14" t="n">
        <f aca="false">IF(K825+R825+T825+U825=0,0,(M825+R825+T825)/(K825+R825+T825+U825))</f>
        <v>0.392424242424242</v>
      </c>
      <c r="AA825" s="14" t="n">
        <f aca="false">IF(K825=0,0,X825/K825)</f>
        <v>0.57602862254025</v>
      </c>
      <c r="AB825" s="14" t="n">
        <f aca="false">Z825+AA825</f>
        <v>0.968452864964493</v>
      </c>
      <c r="AC825" s="14" t="n">
        <f aca="false">AA825-Y825</f>
        <v>0.27906976744186</v>
      </c>
      <c r="AD825" s="14" t="n">
        <f aca="false">IF(K825-S825-P825+U825=0,0,(M825-P825)/(K825-S825-P825+U825))</f>
        <v>0.362857142857143</v>
      </c>
      <c r="AE825" s="15" t="n">
        <f aca="false">IF(J825=0,0,R825/J825)</f>
        <v>0.122727272727273</v>
      </c>
      <c r="AF825" s="15" t="n">
        <f aca="false">IF(J825=0,0,S825/J825)</f>
        <v>0.26969696969697</v>
      </c>
      <c r="AG825" s="11" t="n">
        <f aca="false">IF(J825&gt;=INDEX(球季參數!$E$2:$E$4,MATCH($A825,球季參數!$A$2:$A$4,0)),1,0)</f>
        <v>1</v>
      </c>
    </row>
    <row r="826" customFormat="false" ht="15" hidden="false" customHeight="false" outlineLevel="0" collapsed="false">
      <c r="A826" s="5" t="n">
        <v>2026</v>
      </c>
      <c r="B826" s="7" t="s">
        <v>1365</v>
      </c>
      <c r="C826" s="10" t="str">
        <f aca="false">INDEX(球員主檔!$B$2:$B$749,MATCH($B826,球員主檔!$A$2:$A$749,0))</f>
        <v>Konrad Thorsby</v>
      </c>
      <c r="D826" s="7" t="s">
        <v>434</v>
      </c>
      <c r="E826" s="10" t="str">
        <f aca="false">INDEX(球隊主檔!$C$2:$C$31,MATCH($D826,球隊主檔!$A$2:$A$31,0))</f>
        <v>密爾瓦基釀酒人</v>
      </c>
      <c r="F826" s="10" t="str">
        <f aca="false">INDEX(球隊主檔!$D$2:$D$31,MATCH($D826,球隊主檔!$A$2:$A$31,0))</f>
        <v>國聯</v>
      </c>
      <c r="G826" s="7" t="s">
        <v>483</v>
      </c>
      <c r="H826" s="11" t="n">
        <f aca="false">INT((DATE($A826,7,1)-INDEX(球員主檔!$G$2:$G$749,MATCH($B826,球員主檔!$A$2:$A$749,0)))/365.25)</f>
        <v>30</v>
      </c>
      <c r="I826" s="12" t="n">
        <v>148</v>
      </c>
      <c r="J826" s="12" t="n">
        <v>614</v>
      </c>
      <c r="K826" s="12" t="n">
        <v>568</v>
      </c>
      <c r="L826" s="12" t="n">
        <v>59</v>
      </c>
      <c r="M826" s="12" t="n">
        <v>99</v>
      </c>
      <c r="N826" s="12" t="n">
        <v>32</v>
      </c>
      <c r="O826" s="12" t="n">
        <v>5</v>
      </c>
      <c r="P826" s="12" t="n">
        <v>23</v>
      </c>
      <c r="Q826" s="12" t="n">
        <v>80</v>
      </c>
      <c r="R826" s="12" t="n">
        <v>28</v>
      </c>
      <c r="S826" s="12" t="n">
        <v>146</v>
      </c>
      <c r="T826" s="12" t="n">
        <v>11</v>
      </c>
      <c r="U826" s="12" t="n">
        <v>7</v>
      </c>
      <c r="V826" s="12" t="n">
        <v>12</v>
      </c>
      <c r="W826" s="12" t="n">
        <v>3</v>
      </c>
      <c r="X826" s="13" t="n">
        <f aca="false">M826+N826+2*O826+3*P826</f>
        <v>210</v>
      </c>
      <c r="Y826" s="14" t="n">
        <f aca="false">IF(K826=0,0,M826/K826)</f>
        <v>0.174295774647887</v>
      </c>
      <c r="Z826" s="14" t="n">
        <f aca="false">IF(K826+R826+T826+U826=0,0,(M826+R826+T826)/(K826+R826+T826+U826))</f>
        <v>0.224755700325733</v>
      </c>
      <c r="AA826" s="14" t="n">
        <f aca="false">IF(K826=0,0,X826/K826)</f>
        <v>0.369718309859155</v>
      </c>
      <c r="AB826" s="14" t="n">
        <f aca="false">Z826+AA826</f>
        <v>0.594474010184888</v>
      </c>
      <c r="AC826" s="14" t="n">
        <f aca="false">AA826-Y826</f>
        <v>0.195422535211268</v>
      </c>
      <c r="AD826" s="14" t="n">
        <f aca="false">IF(K826-S826-P826+U826=0,0,(M826-P826)/(K826-S826-P826+U826))</f>
        <v>0.187192118226601</v>
      </c>
      <c r="AE826" s="15" t="n">
        <f aca="false">IF(J826=0,0,R826/J826)</f>
        <v>0.0456026058631922</v>
      </c>
      <c r="AF826" s="15" t="n">
        <f aca="false">IF(J826=0,0,S826/J826)</f>
        <v>0.237785016286645</v>
      </c>
      <c r="AG826" s="11" t="n">
        <f aca="false">IF(J826&gt;=INDEX(球季參數!$E$2:$E$4,MATCH($A826,球季參數!$A$2:$A$4,0)),1,0)</f>
        <v>1</v>
      </c>
    </row>
    <row r="827" customFormat="false" ht="15" hidden="false" customHeight="false" outlineLevel="0" collapsed="false">
      <c r="A827" s="5" t="n">
        <v>2026</v>
      </c>
      <c r="B827" s="7" t="s">
        <v>1367</v>
      </c>
      <c r="C827" s="10" t="str">
        <f aca="false">INDEX(球員主檔!$B$2:$B$749,MATCH($B827,球員主檔!$A$2:$A$749,0))</f>
        <v>Lucien Marchetti</v>
      </c>
      <c r="D827" s="7" t="s">
        <v>434</v>
      </c>
      <c r="E827" s="10" t="str">
        <f aca="false">INDEX(球隊主檔!$C$2:$C$31,MATCH($D827,球隊主檔!$A$2:$A$31,0))</f>
        <v>密爾瓦基釀酒人</v>
      </c>
      <c r="F827" s="10" t="str">
        <f aca="false">INDEX(球隊主檔!$D$2:$D$31,MATCH($D827,球隊主檔!$A$2:$A$31,0))</f>
        <v>國聯</v>
      </c>
      <c r="G827" s="7" t="s">
        <v>483</v>
      </c>
      <c r="H827" s="11" t="n">
        <f aca="false">INT((DATE($A827,7,1)-INDEX(球員主檔!$G$2:$G$749,MATCH($B827,球員主檔!$A$2:$A$749,0)))/365.25)</f>
        <v>26</v>
      </c>
      <c r="I827" s="12" t="n">
        <v>72</v>
      </c>
      <c r="J827" s="12" t="n">
        <v>315</v>
      </c>
      <c r="K827" s="12" t="n">
        <v>277</v>
      </c>
      <c r="L827" s="12" t="n">
        <v>32</v>
      </c>
      <c r="M827" s="12" t="n">
        <v>89</v>
      </c>
      <c r="N827" s="12" t="n">
        <v>24</v>
      </c>
      <c r="O827" s="12" t="n">
        <v>6</v>
      </c>
      <c r="P827" s="12" t="n">
        <v>2</v>
      </c>
      <c r="Q827" s="12" t="n">
        <v>31</v>
      </c>
      <c r="R827" s="12" t="n">
        <v>30</v>
      </c>
      <c r="S827" s="12" t="n">
        <v>54</v>
      </c>
      <c r="T827" s="12" t="n">
        <v>7</v>
      </c>
      <c r="U827" s="12" t="n">
        <v>1</v>
      </c>
      <c r="V827" s="12" t="n">
        <v>1</v>
      </c>
      <c r="W827" s="12" t="n">
        <v>0</v>
      </c>
      <c r="X827" s="13" t="n">
        <f aca="false">M827+N827+2*O827+3*P827</f>
        <v>131</v>
      </c>
      <c r="Y827" s="14" t="n">
        <f aca="false">IF(K827=0,0,M827/K827)</f>
        <v>0.32129963898917</v>
      </c>
      <c r="Z827" s="14" t="n">
        <f aca="false">IF(K827+R827+T827+U827=0,0,(M827+R827+T827)/(K827+R827+T827+U827))</f>
        <v>0.4</v>
      </c>
      <c r="AA827" s="14" t="n">
        <f aca="false">IF(K827=0,0,X827/K827)</f>
        <v>0.472924187725632</v>
      </c>
      <c r="AB827" s="14" t="n">
        <f aca="false">Z827+AA827</f>
        <v>0.872924187725632</v>
      </c>
      <c r="AC827" s="14" t="n">
        <f aca="false">AA827-Y827</f>
        <v>0.151624548736462</v>
      </c>
      <c r="AD827" s="14" t="n">
        <f aca="false">IF(K827-S827-P827+U827=0,0,(M827-P827)/(K827-S827-P827+U827))</f>
        <v>0.391891891891892</v>
      </c>
      <c r="AE827" s="15" t="n">
        <f aca="false">IF(J827=0,0,R827/J827)</f>
        <v>0.0952380952380952</v>
      </c>
      <c r="AF827" s="15" t="n">
        <f aca="false">IF(J827=0,0,S827/J827)</f>
        <v>0.171428571428571</v>
      </c>
      <c r="AG827" s="11" t="n">
        <f aca="false">IF(J827&gt;=INDEX(球季參數!$E$2:$E$4,MATCH($A827,球季參數!$A$2:$A$4,0)),1,0)</f>
        <v>0</v>
      </c>
    </row>
    <row r="828" customFormat="false" ht="15" hidden="false" customHeight="false" outlineLevel="0" collapsed="false">
      <c r="A828" s="5" t="n">
        <v>2026</v>
      </c>
      <c r="B828" s="7" t="s">
        <v>1615</v>
      </c>
      <c r="C828" s="10" t="str">
        <f aca="false">INDEX(球員主檔!$B$2:$B$749,MATCH($B828,球員主檔!$A$2:$A$749,0))</f>
        <v>Tristan Thorsby</v>
      </c>
      <c r="D828" s="7" t="s">
        <v>434</v>
      </c>
      <c r="E828" s="10" t="str">
        <f aca="false">INDEX(球隊主檔!$C$2:$C$31,MATCH($D828,球隊主檔!$A$2:$A$31,0))</f>
        <v>密爾瓦基釀酒人</v>
      </c>
      <c r="F828" s="10" t="str">
        <f aca="false">INDEX(球隊主檔!$D$2:$D$31,MATCH($D828,球隊主檔!$A$2:$A$31,0))</f>
        <v>國聯</v>
      </c>
      <c r="G828" s="7" t="s">
        <v>158</v>
      </c>
      <c r="H828" s="11" t="n">
        <f aca="false">INT((DATE($A828,7,1)-INDEX(球員主檔!$G$2:$G$749,MATCH($B828,球員主檔!$A$2:$A$749,0)))/365.25)</f>
        <v>29</v>
      </c>
      <c r="I828" s="12" t="n">
        <v>40</v>
      </c>
      <c r="J828" s="12" t="n">
        <v>170</v>
      </c>
      <c r="K828" s="12" t="n">
        <v>156</v>
      </c>
      <c r="L828" s="12" t="n">
        <v>20</v>
      </c>
      <c r="M828" s="12" t="n">
        <v>44</v>
      </c>
      <c r="N828" s="12" t="n">
        <v>15</v>
      </c>
      <c r="O828" s="12" t="n">
        <v>6</v>
      </c>
      <c r="P828" s="12" t="n">
        <v>4</v>
      </c>
      <c r="Q828" s="12" t="n">
        <v>18</v>
      </c>
      <c r="R828" s="12" t="n">
        <v>13</v>
      </c>
      <c r="S828" s="12" t="n">
        <v>33</v>
      </c>
      <c r="T828" s="12" t="n">
        <v>1</v>
      </c>
      <c r="U828" s="12" t="n">
        <v>0</v>
      </c>
      <c r="V828" s="12" t="n">
        <v>3</v>
      </c>
      <c r="W828" s="12" t="n">
        <v>0</v>
      </c>
      <c r="X828" s="13" t="n">
        <f aca="false">M828+N828+2*O828+3*P828</f>
        <v>83</v>
      </c>
      <c r="Y828" s="14" t="n">
        <f aca="false">IF(K828=0,0,M828/K828)</f>
        <v>0.282051282051282</v>
      </c>
      <c r="Z828" s="14" t="n">
        <f aca="false">IF(K828+R828+T828+U828=0,0,(M828+R828+T828)/(K828+R828+T828+U828))</f>
        <v>0.341176470588235</v>
      </c>
      <c r="AA828" s="14" t="n">
        <f aca="false">IF(K828=0,0,X828/K828)</f>
        <v>0.532051282051282</v>
      </c>
      <c r="AB828" s="14" t="n">
        <f aca="false">Z828+AA828</f>
        <v>0.873227752639517</v>
      </c>
      <c r="AC828" s="14" t="n">
        <f aca="false">AA828-Y828</f>
        <v>0.25</v>
      </c>
      <c r="AD828" s="14" t="n">
        <f aca="false">IF(K828-S828-P828+U828=0,0,(M828-P828)/(K828-S828-P828+U828))</f>
        <v>0.336134453781513</v>
      </c>
      <c r="AE828" s="15" t="n">
        <f aca="false">IF(J828=0,0,R828/J828)</f>
        <v>0.0764705882352941</v>
      </c>
      <c r="AF828" s="15" t="n">
        <f aca="false">IF(J828=0,0,S828/J828)</f>
        <v>0.194117647058824</v>
      </c>
      <c r="AG828" s="11" t="n">
        <f aca="false">IF(J828&gt;=INDEX(球季參數!$E$2:$E$4,MATCH($A828,球季參數!$A$2:$A$4,0)),1,0)</f>
        <v>0</v>
      </c>
    </row>
    <row r="829" customFormat="false" ht="15" hidden="false" customHeight="false" outlineLevel="0" collapsed="false">
      <c r="A829" s="5" t="n">
        <v>2026</v>
      </c>
      <c r="B829" s="7" t="s">
        <v>1371</v>
      </c>
      <c r="C829" s="10" t="str">
        <f aca="false">INDEX(球員主檔!$B$2:$B$749,MATCH($B829,球員主檔!$A$2:$A$749,0))</f>
        <v>Thiago Jernigan</v>
      </c>
      <c r="D829" s="7" t="s">
        <v>434</v>
      </c>
      <c r="E829" s="10" t="str">
        <f aca="false">INDEX(球隊主檔!$C$2:$C$31,MATCH($D829,球隊主檔!$A$2:$A$31,0))</f>
        <v>密爾瓦基釀酒人</v>
      </c>
      <c r="F829" s="10" t="str">
        <f aca="false">INDEX(球隊主檔!$D$2:$D$31,MATCH($D829,球隊主檔!$A$2:$A$31,0))</f>
        <v>國聯</v>
      </c>
      <c r="G829" s="7" t="s">
        <v>63</v>
      </c>
      <c r="H829" s="11" t="n">
        <f aca="false">INT((DATE($A829,7,1)-INDEX(球員主檔!$G$2:$G$749,MATCH($B829,球員主檔!$A$2:$A$749,0)))/365.25)</f>
        <v>29</v>
      </c>
      <c r="I829" s="12" t="n">
        <v>118</v>
      </c>
      <c r="J829" s="12" t="n">
        <v>510</v>
      </c>
      <c r="K829" s="12" t="n">
        <v>462</v>
      </c>
      <c r="L829" s="12" t="n">
        <v>60</v>
      </c>
      <c r="M829" s="12" t="n">
        <v>123</v>
      </c>
      <c r="N829" s="12" t="n">
        <v>41</v>
      </c>
      <c r="O829" s="12" t="n">
        <v>3</v>
      </c>
      <c r="P829" s="12" t="n">
        <v>17</v>
      </c>
      <c r="Q829" s="12" t="n">
        <v>56</v>
      </c>
      <c r="R829" s="12" t="n">
        <v>45</v>
      </c>
      <c r="S829" s="12" t="n">
        <v>165</v>
      </c>
      <c r="T829" s="12" t="n">
        <v>1</v>
      </c>
      <c r="U829" s="12" t="n">
        <v>2</v>
      </c>
      <c r="V829" s="12" t="n">
        <v>11</v>
      </c>
      <c r="W829" s="12" t="n">
        <v>4</v>
      </c>
      <c r="X829" s="13" t="n">
        <f aca="false">M829+N829+2*O829+3*P829</f>
        <v>221</v>
      </c>
      <c r="Y829" s="14" t="n">
        <f aca="false">IF(K829=0,0,M829/K829)</f>
        <v>0.266233766233766</v>
      </c>
      <c r="Z829" s="14" t="n">
        <f aca="false">IF(K829+R829+T829+U829=0,0,(M829+R829+T829)/(K829+R829+T829+U829))</f>
        <v>0.331372549019608</v>
      </c>
      <c r="AA829" s="14" t="n">
        <f aca="false">IF(K829=0,0,X829/K829)</f>
        <v>0.478354978354978</v>
      </c>
      <c r="AB829" s="14" t="n">
        <f aca="false">Z829+AA829</f>
        <v>0.809727527374586</v>
      </c>
      <c r="AC829" s="14" t="n">
        <f aca="false">AA829-Y829</f>
        <v>0.212121212121212</v>
      </c>
      <c r="AD829" s="14" t="n">
        <f aca="false">IF(K829-S829-P829+U829=0,0,(M829-P829)/(K829-S829-P829+U829))</f>
        <v>0.375886524822695</v>
      </c>
      <c r="AE829" s="15" t="n">
        <f aca="false">IF(J829=0,0,R829/J829)</f>
        <v>0.0882352941176471</v>
      </c>
      <c r="AF829" s="15" t="n">
        <f aca="false">IF(J829=0,0,S829/J829)</f>
        <v>0.323529411764706</v>
      </c>
      <c r="AG829" s="11" t="n">
        <f aca="false">IF(J829&gt;=INDEX(球季參數!$E$2:$E$4,MATCH($A829,球季參數!$A$2:$A$4,0)),1,0)</f>
        <v>1</v>
      </c>
    </row>
    <row r="830" customFormat="false" ht="15" hidden="false" customHeight="false" outlineLevel="0" collapsed="false">
      <c r="A830" s="5" t="n">
        <v>2026</v>
      </c>
      <c r="B830" s="7" t="s">
        <v>1373</v>
      </c>
      <c r="C830" s="10" t="str">
        <f aca="false">INDEX(球員主檔!$B$2:$B$749,MATCH($B830,球員主檔!$A$2:$A$749,0))</f>
        <v>Thaddeus Villalobos</v>
      </c>
      <c r="D830" s="7" t="s">
        <v>434</v>
      </c>
      <c r="E830" s="10" t="str">
        <f aca="false">INDEX(球隊主檔!$C$2:$C$31,MATCH($D830,球隊主檔!$A$2:$A$31,0))</f>
        <v>密爾瓦基釀酒人</v>
      </c>
      <c r="F830" s="10" t="str">
        <f aca="false">INDEX(球隊主檔!$D$2:$D$31,MATCH($D830,球隊主檔!$A$2:$A$31,0))</f>
        <v>國聯</v>
      </c>
      <c r="G830" s="7" t="s">
        <v>470</v>
      </c>
      <c r="H830" s="11" t="n">
        <f aca="false">INT((DATE($A830,7,1)-INDEX(球員主檔!$G$2:$G$749,MATCH($B830,球員主檔!$A$2:$A$749,0)))/365.25)</f>
        <v>30</v>
      </c>
      <c r="I830" s="12" t="n">
        <v>83</v>
      </c>
      <c r="J830" s="12" t="n">
        <v>348</v>
      </c>
      <c r="K830" s="12" t="n">
        <v>301</v>
      </c>
      <c r="L830" s="12" t="n">
        <v>40</v>
      </c>
      <c r="M830" s="12" t="n">
        <v>67</v>
      </c>
      <c r="N830" s="12" t="n">
        <v>22</v>
      </c>
      <c r="O830" s="12" t="n">
        <v>2</v>
      </c>
      <c r="P830" s="12" t="n">
        <v>10</v>
      </c>
      <c r="Q830" s="12" t="n">
        <v>38</v>
      </c>
      <c r="R830" s="12" t="n">
        <v>36</v>
      </c>
      <c r="S830" s="12" t="n">
        <v>86</v>
      </c>
      <c r="T830" s="12" t="n">
        <v>7</v>
      </c>
      <c r="U830" s="12" t="n">
        <v>4</v>
      </c>
      <c r="V830" s="12" t="n">
        <v>9</v>
      </c>
      <c r="W830" s="12" t="n">
        <v>3</v>
      </c>
      <c r="X830" s="13" t="n">
        <f aca="false">M830+N830+2*O830+3*P830</f>
        <v>123</v>
      </c>
      <c r="Y830" s="14" t="n">
        <f aca="false">IF(K830=0,0,M830/K830)</f>
        <v>0.222591362126246</v>
      </c>
      <c r="Z830" s="14" t="n">
        <f aca="false">IF(K830+R830+T830+U830=0,0,(M830+R830+T830)/(K830+R830+T830+U830))</f>
        <v>0.316091954022989</v>
      </c>
      <c r="AA830" s="14" t="n">
        <f aca="false">IF(K830=0,0,X830/K830)</f>
        <v>0.408637873754153</v>
      </c>
      <c r="AB830" s="14" t="n">
        <f aca="false">Z830+AA830</f>
        <v>0.724729827777141</v>
      </c>
      <c r="AC830" s="14" t="n">
        <f aca="false">AA830-Y830</f>
        <v>0.186046511627907</v>
      </c>
      <c r="AD830" s="14" t="n">
        <f aca="false">IF(K830-S830-P830+U830=0,0,(M830-P830)/(K830-S830-P830+U830))</f>
        <v>0.272727272727273</v>
      </c>
      <c r="AE830" s="15" t="n">
        <f aca="false">IF(J830=0,0,R830/J830)</f>
        <v>0.103448275862069</v>
      </c>
      <c r="AF830" s="15" t="n">
        <f aca="false">IF(J830=0,0,S830/J830)</f>
        <v>0.247126436781609</v>
      </c>
      <c r="AG830" s="11" t="n">
        <f aca="false">IF(J830&gt;=INDEX(球季參數!$E$2:$E$4,MATCH($A830,球季參數!$A$2:$A$4,0)),1,0)</f>
        <v>0</v>
      </c>
    </row>
    <row r="831" customFormat="false" ht="15" hidden="false" customHeight="false" outlineLevel="0" collapsed="false">
      <c r="A831" s="5" t="n">
        <v>2026</v>
      </c>
      <c r="B831" s="7" t="s">
        <v>967</v>
      </c>
      <c r="C831" s="10" t="str">
        <f aca="false">INDEX(球員主檔!$B$2:$B$749,MATCH($B831,球員主檔!$A$2:$A$749,0))</f>
        <v>Niklas Marchetti</v>
      </c>
      <c r="D831" s="7" t="s">
        <v>434</v>
      </c>
      <c r="E831" s="10" t="str">
        <f aca="false">INDEX(球隊主檔!$C$2:$C$31,MATCH($D831,球隊主檔!$A$2:$A$31,0))</f>
        <v>密爾瓦基釀酒人</v>
      </c>
      <c r="F831" s="10" t="str">
        <f aca="false">INDEX(球隊主檔!$D$2:$D$31,MATCH($D831,球隊主檔!$A$2:$A$31,0))</f>
        <v>國聯</v>
      </c>
      <c r="G831" s="7" t="s">
        <v>473</v>
      </c>
      <c r="H831" s="11" t="n">
        <f aca="false">INT((DATE($A831,7,1)-INDEX(球員主檔!$G$2:$G$749,MATCH($B831,球員主檔!$A$2:$A$749,0)))/365.25)</f>
        <v>27</v>
      </c>
      <c r="I831" s="12" t="n">
        <v>77</v>
      </c>
      <c r="J831" s="12" t="n">
        <v>347</v>
      </c>
      <c r="K831" s="12" t="n">
        <v>307</v>
      </c>
      <c r="L831" s="12" t="n">
        <v>43</v>
      </c>
      <c r="M831" s="12" t="n">
        <v>75</v>
      </c>
      <c r="N831" s="12" t="n">
        <v>30</v>
      </c>
      <c r="O831" s="12" t="n">
        <v>1</v>
      </c>
      <c r="P831" s="12" t="n">
        <v>14</v>
      </c>
      <c r="Q831" s="12" t="n">
        <v>41</v>
      </c>
      <c r="R831" s="12" t="n">
        <v>35</v>
      </c>
      <c r="S831" s="12" t="n">
        <v>44</v>
      </c>
      <c r="T831" s="12" t="n">
        <v>2</v>
      </c>
      <c r="U831" s="12" t="n">
        <v>3</v>
      </c>
      <c r="V831" s="12" t="n">
        <v>15</v>
      </c>
      <c r="W831" s="12" t="n">
        <v>4</v>
      </c>
      <c r="X831" s="13" t="n">
        <f aca="false">M831+N831+2*O831+3*P831</f>
        <v>149</v>
      </c>
      <c r="Y831" s="14" t="n">
        <f aca="false">IF(K831=0,0,M831/K831)</f>
        <v>0.244299674267101</v>
      </c>
      <c r="Z831" s="14" t="n">
        <f aca="false">IF(K831+R831+T831+U831=0,0,(M831+R831+T831)/(K831+R831+T831+U831))</f>
        <v>0.322766570605187</v>
      </c>
      <c r="AA831" s="14" t="n">
        <f aca="false">IF(K831=0,0,X831/K831)</f>
        <v>0.485342019543974</v>
      </c>
      <c r="AB831" s="14" t="n">
        <f aca="false">Z831+AA831</f>
        <v>0.808108590149161</v>
      </c>
      <c r="AC831" s="14" t="n">
        <f aca="false">AA831-Y831</f>
        <v>0.241042345276873</v>
      </c>
      <c r="AD831" s="14" t="n">
        <f aca="false">IF(K831-S831-P831+U831=0,0,(M831-P831)/(K831-S831-P831+U831))</f>
        <v>0.242063492063492</v>
      </c>
      <c r="AE831" s="15" t="n">
        <f aca="false">IF(J831=0,0,R831/J831)</f>
        <v>0.100864553314121</v>
      </c>
      <c r="AF831" s="15" t="n">
        <f aca="false">IF(J831=0,0,S831/J831)</f>
        <v>0.126801152737752</v>
      </c>
      <c r="AG831" s="11" t="n">
        <f aca="false">IF(J831&gt;=INDEX(球季參數!$E$2:$E$4,MATCH($A831,球季參數!$A$2:$A$4,0)),1,0)</f>
        <v>0</v>
      </c>
    </row>
    <row r="832" customFormat="false" ht="15" hidden="false" customHeight="false" outlineLevel="0" collapsed="false">
      <c r="A832" s="5" t="n">
        <v>2026</v>
      </c>
      <c r="B832" s="7" t="s">
        <v>1397</v>
      </c>
      <c r="C832" s="10" t="str">
        <f aca="false">INDEX(球員主檔!$B$2:$B$749,MATCH($B832,球員主檔!$A$2:$A$749,0))</f>
        <v>Konrad Yamazaki</v>
      </c>
      <c r="D832" s="7" t="s">
        <v>438</v>
      </c>
      <c r="E832" s="10" t="str">
        <f aca="false">INDEX(球隊主檔!$C$2:$C$31,MATCH($D832,球隊主檔!$A$2:$A$31,0))</f>
        <v>匹茲堡海盜</v>
      </c>
      <c r="F832" s="10" t="str">
        <f aca="false">INDEX(球隊主檔!$D$2:$D$31,MATCH($D832,球隊主檔!$A$2:$A$31,0))</f>
        <v>國聯</v>
      </c>
      <c r="G832" s="7" t="s">
        <v>470</v>
      </c>
      <c r="H832" s="11" t="n">
        <f aca="false">INT((DATE($A832,7,1)-INDEX(球員主檔!$G$2:$G$749,MATCH($B832,球員主檔!$A$2:$A$749,0)))/365.25)</f>
        <v>31</v>
      </c>
      <c r="I832" s="12" t="n">
        <v>162</v>
      </c>
      <c r="J832" s="12" t="n">
        <v>680</v>
      </c>
      <c r="K832" s="12" t="n">
        <v>642</v>
      </c>
      <c r="L832" s="12" t="n">
        <v>72</v>
      </c>
      <c r="M832" s="12" t="n">
        <v>142</v>
      </c>
      <c r="N832" s="12" t="n">
        <v>46</v>
      </c>
      <c r="O832" s="12" t="n">
        <v>3</v>
      </c>
      <c r="P832" s="12" t="n">
        <v>14</v>
      </c>
      <c r="Q832" s="12" t="n">
        <v>58</v>
      </c>
      <c r="R832" s="12" t="n">
        <v>30</v>
      </c>
      <c r="S832" s="12" t="n">
        <v>166</v>
      </c>
      <c r="T832" s="12" t="n">
        <v>3</v>
      </c>
      <c r="U832" s="12" t="n">
        <v>5</v>
      </c>
      <c r="V832" s="12" t="n">
        <v>10</v>
      </c>
      <c r="W832" s="12" t="n">
        <v>3</v>
      </c>
      <c r="X832" s="13" t="n">
        <f aca="false">M832+N832+2*O832+3*P832</f>
        <v>236</v>
      </c>
      <c r="Y832" s="14" t="n">
        <f aca="false">IF(K832=0,0,M832/K832)</f>
        <v>0.221183800623053</v>
      </c>
      <c r="Z832" s="14" t="n">
        <f aca="false">IF(K832+R832+T832+U832=0,0,(M832+R832+T832)/(K832+R832+T832+U832))</f>
        <v>0.257352941176471</v>
      </c>
      <c r="AA832" s="14" t="n">
        <f aca="false">IF(K832=0,0,X832/K832)</f>
        <v>0.367601246105919</v>
      </c>
      <c r="AB832" s="14" t="n">
        <f aca="false">Z832+AA832</f>
        <v>0.62495418728239</v>
      </c>
      <c r="AC832" s="14" t="n">
        <f aca="false">AA832-Y832</f>
        <v>0.146417445482866</v>
      </c>
      <c r="AD832" s="14" t="n">
        <f aca="false">IF(K832-S832-P832+U832=0,0,(M832-P832)/(K832-S832-P832+U832))</f>
        <v>0.274089935760171</v>
      </c>
      <c r="AE832" s="15" t="n">
        <f aca="false">IF(J832=0,0,R832/J832)</f>
        <v>0.0441176470588235</v>
      </c>
      <c r="AF832" s="15" t="n">
        <f aca="false">IF(J832=0,0,S832/J832)</f>
        <v>0.244117647058824</v>
      </c>
      <c r="AG832" s="11" t="n">
        <f aca="false">IF(J832&gt;=INDEX(球季參數!$E$2:$E$4,MATCH($A832,球季參數!$A$2:$A$4,0)),1,0)</f>
        <v>1</v>
      </c>
    </row>
    <row r="833" customFormat="false" ht="15" hidden="false" customHeight="false" outlineLevel="0" collapsed="false">
      <c r="A833" s="5" t="n">
        <v>2026</v>
      </c>
      <c r="B833" s="7" t="s">
        <v>1399</v>
      </c>
      <c r="C833" s="10" t="str">
        <f aca="false">INDEX(球員主檔!$B$2:$B$749,MATCH($B833,球員主檔!$A$2:$A$749,0))</f>
        <v>Augustin Underhill</v>
      </c>
      <c r="D833" s="7" t="s">
        <v>438</v>
      </c>
      <c r="E833" s="10" t="str">
        <f aca="false">INDEX(球隊主檔!$C$2:$C$31,MATCH($D833,球隊主檔!$A$2:$A$31,0))</f>
        <v>匹茲堡海盜</v>
      </c>
      <c r="F833" s="10" t="str">
        <f aca="false">INDEX(球隊主檔!$D$2:$D$31,MATCH($D833,球隊主檔!$A$2:$A$31,0))</f>
        <v>國聯</v>
      </c>
      <c r="G833" s="7" t="s">
        <v>158</v>
      </c>
      <c r="H833" s="11" t="n">
        <f aca="false">INT((DATE($A833,7,1)-INDEX(球員主檔!$G$2:$G$749,MATCH($B833,球員主檔!$A$2:$A$749,0)))/365.25)</f>
        <v>29</v>
      </c>
      <c r="I833" s="12" t="n">
        <v>148</v>
      </c>
      <c r="J833" s="12" t="n">
        <v>584</v>
      </c>
      <c r="K833" s="12" t="n">
        <v>512</v>
      </c>
      <c r="L833" s="12" t="n">
        <v>67</v>
      </c>
      <c r="M833" s="12" t="n">
        <v>100</v>
      </c>
      <c r="N833" s="12" t="n">
        <v>32</v>
      </c>
      <c r="O833" s="12" t="n">
        <v>7</v>
      </c>
      <c r="P833" s="12" t="n">
        <v>18</v>
      </c>
      <c r="Q833" s="12" t="n">
        <v>61</v>
      </c>
      <c r="R833" s="12" t="n">
        <v>61</v>
      </c>
      <c r="S833" s="12" t="n">
        <v>127</v>
      </c>
      <c r="T833" s="12" t="n">
        <v>10</v>
      </c>
      <c r="U833" s="12" t="n">
        <v>1</v>
      </c>
      <c r="V833" s="12" t="n">
        <v>32</v>
      </c>
      <c r="W833" s="12" t="n">
        <v>9</v>
      </c>
      <c r="X833" s="13" t="n">
        <f aca="false">M833+N833+2*O833+3*P833</f>
        <v>200</v>
      </c>
      <c r="Y833" s="14" t="n">
        <f aca="false">IF(K833=0,0,M833/K833)</f>
        <v>0.1953125</v>
      </c>
      <c r="Z833" s="14" t="n">
        <f aca="false">IF(K833+R833+T833+U833=0,0,(M833+R833+T833)/(K833+R833+T833+U833))</f>
        <v>0.292808219178082</v>
      </c>
      <c r="AA833" s="14" t="n">
        <f aca="false">IF(K833=0,0,X833/K833)</f>
        <v>0.390625</v>
      </c>
      <c r="AB833" s="14" t="n">
        <f aca="false">Z833+AA833</f>
        <v>0.683433219178082</v>
      </c>
      <c r="AC833" s="14" t="n">
        <f aca="false">AA833-Y833</f>
        <v>0.1953125</v>
      </c>
      <c r="AD833" s="14" t="n">
        <f aca="false">IF(K833-S833-P833+U833=0,0,(M833-P833)/(K833-S833-P833+U833))</f>
        <v>0.222826086956522</v>
      </c>
      <c r="AE833" s="15" t="n">
        <f aca="false">IF(J833=0,0,R833/J833)</f>
        <v>0.104452054794521</v>
      </c>
      <c r="AF833" s="15" t="n">
        <f aca="false">IF(J833=0,0,S833/J833)</f>
        <v>0.217465753424658</v>
      </c>
      <c r="AG833" s="11" t="n">
        <f aca="false">IF(J833&gt;=INDEX(球季參數!$E$2:$E$4,MATCH($A833,球季參數!$A$2:$A$4,0)),1,0)</f>
        <v>1</v>
      </c>
    </row>
    <row r="834" customFormat="false" ht="15" hidden="false" customHeight="false" outlineLevel="0" collapsed="false">
      <c r="A834" s="5" t="n">
        <v>2026</v>
      </c>
      <c r="B834" s="7" t="s">
        <v>1401</v>
      </c>
      <c r="C834" s="10" t="str">
        <f aca="false">INDEX(球員主檔!$B$2:$B$749,MATCH($B834,球員主檔!$A$2:$A$749,0))</f>
        <v>Desmond Nordstrom</v>
      </c>
      <c r="D834" s="7" t="s">
        <v>438</v>
      </c>
      <c r="E834" s="10" t="str">
        <f aca="false">INDEX(球隊主檔!$C$2:$C$31,MATCH($D834,球隊主檔!$A$2:$A$31,0))</f>
        <v>匹茲堡海盜</v>
      </c>
      <c r="F834" s="10" t="str">
        <f aca="false">INDEX(球隊主檔!$D$2:$D$31,MATCH($D834,球隊主檔!$A$2:$A$31,0))</f>
        <v>國聯</v>
      </c>
      <c r="G834" s="7" t="s">
        <v>158</v>
      </c>
      <c r="H834" s="11" t="n">
        <f aca="false">INT((DATE($A834,7,1)-INDEX(球員主檔!$G$2:$G$749,MATCH($B834,球員主檔!$A$2:$A$749,0)))/365.25)</f>
        <v>28</v>
      </c>
      <c r="I834" s="12" t="n">
        <v>162</v>
      </c>
      <c r="J834" s="12" t="n">
        <v>690</v>
      </c>
      <c r="K834" s="12" t="n">
        <v>611</v>
      </c>
      <c r="L834" s="12" t="n">
        <v>95</v>
      </c>
      <c r="M834" s="12" t="n">
        <v>158</v>
      </c>
      <c r="N834" s="12" t="n">
        <v>22</v>
      </c>
      <c r="O834" s="12" t="n">
        <v>4</v>
      </c>
      <c r="P834" s="12" t="n">
        <v>38</v>
      </c>
      <c r="Q834" s="12" t="n">
        <v>101</v>
      </c>
      <c r="R834" s="12" t="n">
        <v>74</v>
      </c>
      <c r="S834" s="12" t="n">
        <v>173</v>
      </c>
      <c r="T834" s="12" t="n">
        <v>3</v>
      </c>
      <c r="U834" s="12" t="n">
        <v>2</v>
      </c>
      <c r="V834" s="12" t="n">
        <v>16</v>
      </c>
      <c r="W834" s="12" t="n">
        <v>2</v>
      </c>
      <c r="X834" s="13" t="n">
        <f aca="false">M834+N834+2*O834+3*P834</f>
        <v>302</v>
      </c>
      <c r="Y834" s="14" t="n">
        <f aca="false">IF(K834=0,0,M834/K834)</f>
        <v>0.258592471358429</v>
      </c>
      <c r="Z834" s="14" t="n">
        <f aca="false">IF(K834+R834+T834+U834=0,0,(M834+R834+T834)/(K834+R834+T834+U834))</f>
        <v>0.340579710144928</v>
      </c>
      <c r="AA834" s="14" t="n">
        <f aca="false">IF(K834=0,0,X834/K834)</f>
        <v>0.494271685761047</v>
      </c>
      <c r="AB834" s="14" t="n">
        <f aca="false">Z834+AA834</f>
        <v>0.834851395905975</v>
      </c>
      <c r="AC834" s="14" t="n">
        <f aca="false">AA834-Y834</f>
        <v>0.235679214402619</v>
      </c>
      <c r="AD834" s="14" t="n">
        <f aca="false">IF(K834-S834-P834+U834=0,0,(M834-P834)/(K834-S834-P834+U834))</f>
        <v>0.298507462686567</v>
      </c>
      <c r="AE834" s="15" t="n">
        <f aca="false">IF(J834=0,0,R834/J834)</f>
        <v>0.107246376811594</v>
      </c>
      <c r="AF834" s="15" t="n">
        <f aca="false">IF(J834=0,0,S834/J834)</f>
        <v>0.250724637681159</v>
      </c>
      <c r="AG834" s="11" t="n">
        <f aca="false">IF(J834&gt;=INDEX(球季參數!$E$2:$E$4,MATCH($A834,球季參數!$A$2:$A$4,0)),1,0)</f>
        <v>1</v>
      </c>
    </row>
    <row r="835" customFormat="false" ht="15" hidden="false" customHeight="false" outlineLevel="0" collapsed="false">
      <c r="A835" s="5" t="n">
        <v>2026</v>
      </c>
      <c r="B835" s="7" t="s">
        <v>1403</v>
      </c>
      <c r="C835" s="10" t="str">
        <f aca="false">INDEX(球員主檔!$B$2:$B$749,MATCH($B835,球員主檔!$A$2:$A$749,0))</f>
        <v>Rhett Vasquez</v>
      </c>
      <c r="D835" s="7" t="s">
        <v>438</v>
      </c>
      <c r="E835" s="10" t="str">
        <f aca="false">INDEX(球隊主檔!$C$2:$C$31,MATCH($D835,球隊主檔!$A$2:$A$31,0))</f>
        <v>匹茲堡海盜</v>
      </c>
      <c r="F835" s="10" t="str">
        <f aca="false">INDEX(球隊主檔!$D$2:$D$31,MATCH($D835,球隊主檔!$A$2:$A$31,0))</f>
        <v>國聯</v>
      </c>
      <c r="G835" s="7" t="s">
        <v>158</v>
      </c>
      <c r="H835" s="11" t="n">
        <f aca="false">INT((DATE($A835,7,1)-INDEX(球員主檔!$G$2:$G$749,MATCH($B835,球員主檔!$A$2:$A$749,0)))/365.25)</f>
        <v>27</v>
      </c>
      <c r="I835" s="12" t="n">
        <v>51</v>
      </c>
      <c r="J835" s="12" t="n">
        <v>229</v>
      </c>
      <c r="K835" s="12" t="n">
        <v>204</v>
      </c>
      <c r="L835" s="12" t="n">
        <v>24</v>
      </c>
      <c r="M835" s="12" t="n">
        <v>44</v>
      </c>
      <c r="N835" s="12" t="n">
        <v>17</v>
      </c>
      <c r="O835" s="12" t="n">
        <v>3</v>
      </c>
      <c r="P835" s="12" t="n">
        <v>5</v>
      </c>
      <c r="Q835" s="12" t="n">
        <v>19</v>
      </c>
      <c r="R835" s="12" t="n">
        <v>20</v>
      </c>
      <c r="S835" s="12" t="n">
        <v>56</v>
      </c>
      <c r="T835" s="12" t="n">
        <v>3</v>
      </c>
      <c r="U835" s="12" t="n">
        <v>2</v>
      </c>
      <c r="V835" s="12" t="n">
        <v>15</v>
      </c>
      <c r="W835" s="12" t="n">
        <v>4</v>
      </c>
      <c r="X835" s="13" t="n">
        <f aca="false">M835+N835+2*O835+3*P835</f>
        <v>82</v>
      </c>
      <c r="Y835" s="14" t="n">
        <f aca="false">IF(K835=0,0,M835/K835)</f>
        <v>0.215686274509804</v>
      </c>
      <c r="Z835" s="14" t="n">
        <f aca="false">IF(K835+R835+T835+U835=0,0,(M835+R835+T835)/(K835+R835+T835+U835))</f>
        <v>0.292576419213974</v>
      </c>
      <c r="AA835" s="14" t="n">
        <f aca="false">IF(K835=0,0,X835/K835)</f>
        <v>0.401960784313726</v>
      </c>
      <c r="AB835" s="14" t="n">
        <f aca="false">Z835+AA835</f>
        <v>0.694537203527699</v>
      </c>
      <c r="AC835" s="14" t="n">
        <f aca="false">AA835-Y835</f>
        <v>0.186274509803922</v>
      </c>
      <c r="AD835" s="14" t="n">
        <f aca="false">IF(K835-S835-P835+U835=0,0,(M835-P835)/(K835-S835-P835+U835))</f>
        <v>0.268965517241379</v>
      </c>
      <c r="AE835" s="15" t="n">
        <f aca="false">IF(J835=0,0,R835/J835)</f>
        <v>0.0873362445414847</v>
      </c>
      <c r="AF835" s="15" t="n">
        <f aca="false">IF(J835=0,0,S835/J835)</f>
        <v>0.244541484716157</v>
      </c>
      <c r="AG835" s="11" t="n">
        <f aca="false">IF(J835&gt;=INDEX(球季參數!$E$2:$E$4,MATCH($A835,球季參數!$A$2:$A$4,0)),1,0)</f>
        <v>0</v>
      </c>
    </row>
    <row r="836" customFormat="false" ht="15" hidden="false" customHeight="false" outlineLevel="0" collapsed="false">
      <c r="A836" s="5" t="n">
        <v>2026</v>
      </c>
      <c r="B836" s="7" t="s">
        <v>1405</v>
      </c>
      <c r="C836" s="10" t="str">
        <f aca="false">INDEX(球員主檔!$B$2:$B$749,MATCH($B836,球員主檔!$A$2:$A$749,0))</f>
        <v>Emilio Ulloa</v>
      </c>
      <c r="D836" s="7" t="s">
        <v>438</v>
      </c>
      <c r="E836" s="10" t="str">
        <f aca="false">INDEX(球隊主檔!$C$2:$C$31,MATCH($D836,球隊主檔!$A$2:$A$31,0))</f>
        <v>匹茲堡海盜</v>
      </c>
      <c r="F836" s="10" t="str">
        <f aca="false">INDEX(球隊主檔!$D$2:$D$31,MATCH($D836,球隊主檔!$A$2:$A$31,0))</f>
        <v>國聯</v>
      </c>
      <c r="G836" s="7" t="s">
        <v>478</v>
      </c>
      <c r="H836" s="11" t="n">
        <f aca="false">INT((DATE($A836,7,1)-INDEX(球員主檔!$G$2:$G$749,MATCH($B836,球員主檔!$A$2:$A$749,0)))/365.25)</f>
        <v>28</v>
      </c>
      <c r="I836" s="12" t="n">
        <v>162</v>
      </c>
      <c r="J836" s="12" t="n">
        <v>660</v>
      </c>
      <c r="K836" s="12" t="n">
        <v>596</v>
      </c>
      <c r="L836" s="12" t="n">
        <v>96</v>
      </c>
      <c r="M836" s="12" t="n">
        <v>161</v>
      </c>
      <c r="N836" s="12" t="n">
        <v>11</v>
      </c>
      <c r="O836" s="12" t="n">
        <v>7</v>
      </c>
      <c r="P836" s="12" t="n">
        <v>37</v>
      </c>
      <c r="Q836" s="12" t="n">
        <v>121</v>
      </c>
      <c r="R836" s="12" t="n">
        <v>57</v>
      </c>
      <c r="S836" s="12" t="n">
        <v>158</v>
      </c>
      <c r="T836" s="12" t="n">
        <v>3</v>
      </c>
      <c r="U836" s="12" t="n">
        <v>4</v>
      </c>
      <c r="V836" s="12" t="n">
        <v>38</v>
      </c>
      <c r="W836" s="12" t="n">
        <v>5</v>
      </c>
      <c r="X836" s="13" t="n">
        <f aca="false">M836+N836+2*O836+3*P836</f>
        <v>297</v>
      </c>
      <c r="Y836" s="14" t="n">
        <f aca="false">IF(K836=0,0,M836/K836)</f>
        <v>0.27013422818792</v>
      </c>
      <c r="Z836" s="14" t="n">
        <f aca="false">IF(K836+R836+T836+U836=0,0,(M836+R836+T836)/(K836+R836+T836+U836))</f>
        <v>0.334848484848485</v>
      </c>
      <c r="AA836" s="14" t="n">
        <f aca="false">IF(K836=0,0,X836/K836)</f>
        <v>0.498322147651007</v>
      </c>
      <c r="AB836" s="14" t="n">
        <f aca="false">Z836+AA836</f>
        <v>0.833170632499492</v>
      </c>
      <c r="AC836" s="14" t="n">
        <f aca="false">AA836-Y836</f>
        <v>0.228187919463087</v>
      </c>
      <c r="AD836" s="14" t="n">
        <f aca="false">IF(K836-S836-P836+U836=0,0,(M836-P836)/(K836-S836-P836+U836))</f>
        <v>0.306172839506173</v>
      </c>
      <c r="AE836" s="15" t="n">
        <f aca="false">IF(J836=0,0,R836/J836)</f>
        <v>0.0863636363636364</v>
      </c>
      <c r="AF836" s="15" t="n">
        <f aca="false">IF(J836=0,0,S836/J836)</f>
        <v>0.239393939393939</v>
      </c>
      <c r="AG836" s="11" t="n">
        <f aca="false">IF(J836&gt;=INDEX(球季參數!$E$2:$E$4,MATCH($A836,球季參數!$A$2:$A$4,0)),1,0)</f>
        <v>1</v>
      </c>
    </row>
    <row r="837" customFormat="false" ht="15" hidden="false" customHeight="false" outlineLevel="0" collapsed="false">
      <c r="A837" s="5" t="n">
        <v>2026</v>
      </c>
      <c r="B837" s="7" t="s">
        <v>1407</v>
      </c>
      <c r="C837" s="10" t="str">
        <f aca="false">INDEX(球員主檔!$B$2:$B$749,MATCH($B837,球員主檔!$A$2:$A$749,0))</f>
        <v>Zane Wainwright</v>
      </c>
      <c r="D837" s="7" t="s">
        <v>438</v>
      </c>
      <c r="E837" s="10" t="str">
        <f aca="false">INDEX(球隊主檔!$C$2:$C$31,MATCH($D837,球隊主檔!$A$2:$A$31,0))</f>
        <v>匹茲堡海盜</v>
      </c>
      <c r="F837" s="10" t="str">
        <f aca="false">INDEX(球隊主檔!$D$2:$D$31,MATCH($D837,球隊主檔!$A$2:$A$31,0))</f>
        <v>國聯</v>
      </c>
      <c r="G837" s="7" t="s">
        <v>162</v>
      </c>
      <c r="H837" s="11" t="n">
        <f aca="false">INT((DATE($A837,7,1)-INDEX(球員主檔!$G$2:$G$749,MATCH($B837,球員主檔!$A$2:$A$749,0)))/365.25)</f>
        <v>26</v>
      </c>
      <c r="I837" s="12" t="n">
        <v>111</v>
      </c>
      <c r="J837" s="12" t="n">
        <v>466</v>
      </c>
      <c r="K837" s="12" t="n">
        <v>431</v>
      </c>
      <c r="L837" s="12" t="n">
        <v>65</v>
      </c>
      <c r="M837" s="12" t="n">
        <v>115</v>
      </c>
      <c r="N837" s="12" t="n">
        <v>35</v>
      </c>
      <c r="O837" s="12" t="n">
        <v>5</v>
      </c>
      <c r="P837" s="12" t="n">
        <v>30</v>
      </c>
      <c r="Q837" s="12" t="n">
        <v>80</v>
      </c>
      <c r="R837" s="12" t="n">
        <v>28</v>
      </c>
      <c r="S837" s="12" t="n">
        <v>101</v>
      </c>
      <c r="T837" s="12" t="n">
        <v>2</v>
      </c>
      <c r="U837" s="12" t="n">
        <v>5</v>
      </c>
      <c r="V837" s="12" t="n">
        <v>21</v>
      </c>
      <c r="W837" s="12" t="n">
        <v>3</v>
      </c>
      <c r="X837" s="13" t="n">
        <f aca="false">M837+N837+2*O837+3*P837</f>
        <v>250</v>
      </c>
      <c r="Y837" s="14" t="n">
        <f aca="false">IF(K837=0,0,M837/K837)</f>
        <v>0.266821345707657</v>
      </c>
      <c r="Z837" s="14" t="n">
        <f aca="false">IF(K837+R837+T837+U837=0,0,(M837+R837+T837)/(K837+R837+T837+U837))</f>
        <v>0.311158798283262</v>
      </c>
      <c r="AA837" s="14" t="n">
        <f aca="false">IF(K837=0,0,X837/K837)</f>
        <v>0.580046403712297</v>
      </c>
      <c r="AB837" s="14" t="n">
        <f aca="false">Z837+AA837</f>
        <v>0.891205201995559</v>
      </c>
      <c r="AC837" s="14" t="n">
        <f aca="false">AA837-Y837</f>
        <v>0.31322505800464</v>
      </c>
      <c r="AD837" s="14" t="n">
        <f aca="false">IF(K837-S837-P837+U837=0,0,(M837-P837)/(K837-S837-P837+U837))</f>
        <v>0.278688524590164</v>
      </c>
      <c r="AE837" s="15" t="n">
        <f aca="false">IF(J837=0,0,R837/J837)</f>
        <v>0.0600858369098712</v>
      </c>
      <c r="AF837" s="15" t="n">
        <f aca="false">IF(J837=0,0,S837/J837)</f>
        <v>0.216738197424893</v>
      </c>
      <c r="AG837" s="11" t="n">
        <f aca="false">IF(J837&gt;=INDEX(球季參數!$E$2:$E$4,MATCH($A837,球季參數!$A$2:$A$4,0)),1,0)</f>
        <v>0</v>
      </c>
    </row>
    <row r="838" customFormat="false" ht="15" hidden="false" customHeight="false" outlineLevel="0" collapsed="false">
      <c r="A838" s="5" t="n">
        <v>2026</v>
      </c>
      <c r="B838" s="7" t="s">
        <v>1409</v>
      </c>
      <c r="C838" s="10" t="str">
        <f aca="false">INDEX(球員主檔!$B$2:$B$749,MATCH($B838,球員主檔!$A$2:$A$749,0))</f>
        <v>Jedidiah Ulloa</v>
      </c>
      <c r="D838" s="7" t="s">
        <v>438</v>
      </c>
      <c r="E838" s="10" t="str">
        <f aca="false">INDEX(球隊主檔!$C$2:$C$31,MATCH($D838,球隊主檔!$A$2:$A$31,0))</f>
        <v>匹茲堡海盜</v>
      </c>
      <c r="F838" s="10" t="str">
        <f aca="false">INDEX(球隊主檔!$D$2:$D$31,MATCH($D838,球隊主檔!$A$2:$A$31,0))</f>
        <v>國聯</v>
      </c>
      <c r="G838" s="7" t="s">
        <v>63</v>
      </c>
      <c r="H838" s="11" t="n">
        <f aca="false">INT((DATE($A838,7,1)-INDEX(球員主檔!$G$2:$G$749,MATCH($B838,球員主檔!$A$2:$A$749,0)))/365.25)</f>
        <v>31</v>
      </c>
      <c r="I838" s="12" t="n">
        <v>101</v>
      </c>
      <c r="J838" s="12" t="n">
        <v>433</v>
      </c>
      <c r="K838" s="12" t="n">
        <v>401</v>
      </c>
      <c r="L838" s="12" t="n">
        <v>50</v>
      </c>
      <c r="M838" s="12" t="n">
        <v>100</v>
      </c>
      <c r="N838" s="12" t="n">
        <v>25</v>
      </c>
      <c r="O838" s="12" t="n">
        <v>6</v>
      </c>
      <c r="P838" s="12" t="n">
        <v>22</v>
      </c>
      <c r="Q838" s="12" t="n">
        <v>68</v>
      </c>
      <c r="R838" s="12" t="n">
        <v>27</v>
      </c>
      <c r="S838" s="12" t="n">
        <v>112</v>
      </c>
      <c r="T838" s="12" t="n">
        <v>2</v>
      </c>
      <c r="U838" s="12" t="n">
        <v>3</v>
      </c>
      <c r="V838" s="12" t="n">
        <v>6</v>
      </c>
      <c r="W838" s="12" t="n">
        <v>1</v>
      </c>
      <c r="X838" s="13" t="n">
        <f aca="false">M838+N838+2*O838+3*P838</f>
        <v>203</v>
      </c>
      <c r="Y838" s="14" t="n">
        <f aca="false">IF(K838=0,0,M838/K838)</f>
        <v>0.249376558603491</v>
      </c>
      <c r="Z838" s="14" t="n">
        <f aca="false">IF(K838+R838+T838+U838=0,0,(M838+R838+T838)/(K838+R838+T838+U838))</f>
        <v>0.297921478060046</v>
      </c>
      <c r="AA838" s="14" t="n">
        <f aca="false">IF(K838=0,0,X838/K838)</f>
        <v>0.506234413965087</v>
      </c>
      <c r="AB838" s="14" t="n">
        <f aca="false">Z838+AA838</f>
        <v>0.804155892025134</v>
      </c>
      <c r="AC838" s="14" t="n">
        <f aca="false">AA838-Y838</f>
        <v>0.256857855361596</v>
      </c>
      <c r="AD838" s="14" t="n">
        <f aca="false">IF(K838-S838-P838+U838=0,0,(M838-P838)/(K838-S838-P838+U838))</f>
        <v>0.288888888888889</v>
      </c>
      <c r="AE838" s="15" t="n">
        <f aca="false">IF(J838=0,0,R838/J838)</f>
        <v>0.0623556581986143</v>
      </c>
      <c r="AF838" s="15" t="n">
        <f aca="false">IF(J838=0,0,S838/J838)</f>
        <v>0.258660508083141</v>
      </c>
      <c r="AG838" s="11" t="n">
        <f aca="false">IF(J838&gt;=INDEX(球季參數!$E$2:$E$4,MATCH($A838,球季參數!$A$2:$A$4,0)),1,0)</f>
        <v>0</v>
      </c>
    </row>
    <row r="839" customFormat="false" ht="15" hidden="false" customHeight="false" outlineLevel="0" collapsed="false">
      <c r="A839" s="5" t="n">
        <v>2026</v>
      </c>
      <c r="B839" s="7" t="s">
        <v>1411</v>
      </c>
      <c r="C839" s="10" t="str">
        <f aca="false">INDEX(球員主檔!$B$2:$B$749,MATCH($B839,球員主檔!$A$2:$A$749,0))</f>
        <v>Oakley Fontaine</v>
      </c>
      <c r="D839" s="7" t="s">
        <v>438</v>
      </c>
      <c r="E839" s="10" t="str">
        <f aca="false">INDEX(球隊主檔!$C$2:$C$31,MATCH($D839,球隊主檔!$A$2:$A$31,0))</f>
        <v>匹茲堡海盜</v>
      </c>
      <c r="F839" s="10" t="str">
        <f aca="false">INDEX(球隊主檔!$D$2:$D$31,MATCH($D839,球隊主檔!$A$2:$A$31,0))</f>
        <v>國聯</v>
      </c>
      <c r="G839" s="7" t="s">
        <v>483</v>
      </c>
      <c r="H839" s="11" t="n">
        <f aca="false">INT((DATE($A839,7,1)-INDEX(球員主檔!$G$2:$G$749,MATCH($B839,球員主檔!$A$2:$A$749,0)))/365.25)</f>
        <v>23</v>
      </c>
      <c r="I839" s="12" t="n">
        <v>101</v>
      </c>
      <c r="J839" s="12" t="n">
        <v>440</v>
      </c>
      <c r="K839" s="12" t="n">
        <v>377</v>
      </c>
      <c r="L839" s="12" t="n">
        <v>57</v>
      </c>
      <c r="M839" s="12" t="n">
        <v>100</v>
      </c>
      <c r="N839" s="12" t="n">
        <v>24</v>
      </c>
      <c r="O839" s="12" t="n">
        <v>11</v>
      </c>
      <c r="P839" s="12" t="n">
        <v>14</v>
      </c>
      <c r="Q839" s="12" t="n">
        <v>53</v>
      </c>
      <c r="R839" s="12" t="n">
        <v>54</v>
      </c>
      <c r="S839" s="12" t="n">
        <v>135</v>
      </c>
      <c r="T839" s="12" t="n">
        <v>8</v>
      </c>
      <c r="U839" s="12" t="n">
        <v>1</v>
      </c>
      <c r="V839" s="12" t="n">
        <v>13</v>
      </c>
      <c r="W839" s="12" t="n">
        <v>3</v>
      </c>
      <c r="X839" s="13" t="n">
        <f aca="false">M839+N839+2*O839+3*P839</f>
        <v>188</v>
      </c>
      <c r="Y839" s="14" t="n">
        <f aca="false">IF(K839=0,0,M839/K839)</f>
        <v>0.26525198938992</v>
      </c>
      <c r="Z839" s="14" t="n">
        <f aca="false">IF(K839+R839+T839+U839=0,0,(M839+R839+T839)/(K839+R839+T839+U839))</f>
        <v>0.368181818181818</v>
      </c>
      <c r="AA839" s="14" t="n">
        <f aca="false">IF(K839=0,0,X839/K839)</f>
        <v>0.49867374005305</v>
      </c>
      <c r="AB839" s="14" t="n">
        <f aca="false">Z839+AA839</f>
        <v>0.866855558234869</v>
      </c>
      <c r="AC839" s="14" t="n">
        <f aca="false">AA839-Y839</f>
        <v>0.23342175066313</v>
      </c>
      <c r="AD839" s="14" t="n">
        <f aca="false">IF(K839-S839-P839+U839=0,0,(M839-P839)/(K839-S839-P839+U839))</f>
        <v>0.375545851528384</v>
      </c>
      <c r="AE839" s="15" t="n">
        <f aca="false">IF(J839=0,0,R839/J839)</f>
        <v>0.122727272727273</v>
      </c>
      <c r="AF839" s="15" t="n">
        <f aca="false">IF(J839=0,0,S839/J839)</f>
        <v>0.306818181818182</v>
      </c>
      <c r="AG839" s="11" t="n">
        <f aca="false">IF(J839&gt;=INDEX(球季參數!$E$2:$E$4,MATCH($A839,球季參數!$A$2:$A$4,0)),1,0)</f>
        <v>0</v>
      </c>
    </row>
    <row r="840" customFormat="false" ht="15" hidden="false" customHeight="false" outlineLevel="0" collapsed="false">
      <c r="A840" s="5" t="n">
        <v>2026</v>
      </c>
      <c r="B840" s="7" t="s">
        <v>1939</v>
      </c>
      <c r="C840" s="10" t="str">
        <f aca="false">INDEX(球員主檔!$B$2:$B$749,MATCH($B840,球員主檔!$A$2:$A$749,0))</f>
        <v>Esteban Engelhardt</v>
      </c>
      <c r="D840" s="7" t="s">
        <v>438</v>
      </c>
      <c r="E840" s="10" t="str">
        <f aca="false">INDEX(球隊主檔!$C$2:$C$31,MATCH($D840,球隊主檔!$A$2:$A$31,0))</f>
        <v>匹茲堡海盜</v>
      </c>
      <c r="F840" s="10" t="str">
        <f aca="false">INDEX(球隊主檔!$D$2:$D$31,MATCH($D840,球隊主檔!$A$2:$A$31,0))</f>
        <v>國聯</v>
      </c>
      <c r="G840" s="7" t="s">
        <v>470</v>
      </c>
      <c r="H840" s="11" t="n">
        <f aca="false">INT((DATE($A840,7,1)-INDEX(球員主檔!$G$2:$G$749,MATCH($B840,球員主檔!$A$2:$A$749,0)))/365.25)</f>
        <v>24</v>
      </c>
      <c r="I840" s="12" t="n">
        <v>52</v>
      </c>
      <c r="J840" s="12" t="n">
        <v>218</v>
      </c>
      <c r="K840" s="12" t="n">
        <v>209</v>
      </c>
      <c r="L840" s="12" t="n">
        <v>24</v>
      </c>
      <c r="M840" s="12" t="n">
        <v>50</v>
      </c>
      <c r="N840" s="12" t="n">
        <v>21</v>
      </c>
      <c r="O840" s="12" t="n">
        <v>2</v>
      </c>
      <c r="P840" s="12" t="n">
        <v>5</v>
      </c>
      <c r="Q840" s="12" t="n">
        <v>20</v>
      </c>
      <c r="R840" s="12" t="n">
        <v>7</v>
      </c>
      <c r="S840" s="12" t="n">
        <v>46</v>
      </c>
      <c r="T840" s="12" t="n">
        <v>2</v>
      </c>
      <c r="U840" s="12" t="n">
        <v>0</v>
      </c>
      <c r="V840" s="12" t="n">
        <v>7</v>
      </c>
      <c r="W840" s="12" t="n">
        <v>2</v>
      </c>
      <c r="X840" s="13" t="n">
        <f aca="false">M840+N840+2*O840+3*P840</f>
        <v>90</v>
      </c>
      <c r="Y840" s="14" t="n">
        <f aca="false">IF(K840=0,0,M840/K840)</f>
        <v>0.239234449760766</v>
      </c>
      <c r="Z840" s="14" t="n">
        <f aca="false">IF(K840+R840+T840+U840=0,0,(M840+R840+T840)/(K840+R840+T840+U840))</f>
        <v>0.270642201834862</v>
      </c>
      <c r="AA840" s="14" t="n">
        <f aca="false">IF(K840=0,0,X840/K840)</f>
        <v>0.430622009569378</v>
      </c>
      <c r="AB840" s="14" t="n">
        <f aca="false">Z840+AA840</f>
        <v>0.70126421140424</v>
      </c>
      <c r="AC840" s="14" t="n">
        <f aca="false">AA840-Y840</f>
        <v>0.191387559808612</v>
      </c>
      <c r="AD840" s="14" t="n">
        <f aca="false">IF(K840-S840-P840+U840=0,0,(M840-P840)/(K840-S840-P840+U840))</f>
        <v>0.284810126582279</v>
      </c>
      <c r="AE840" s="15" t="n">
        <f aca="false">IF(J840=0,0,R840/J840)</f>
        <v>0.0321100917431193</v>
      </c>
      <c r="AF840" s="15" t="n">
        <f aca="false">IF(J840=0,0,S840/J840)</f>
        <v>0.211009174311927</v>
      </c>
      <c r="AG840" s="11" t="n">
        <f aca="false">IF(J840&gt;=INDEX(球季參數!$E$2:$E$4,MATCH($A840,球季參數!$A$2:$A$4,0)),1,0)</f>
        <v>0</v>
      </c>
    </row>
    <row r="841" customFormat="false" ht="15" hidden="false" customHeight="false" outlineLevel="0" collapsed="false">
      <c r="A841" s="5" t="n">
        <v>2026</v>
      </c>
      <c r="B841" s="7" t="s">
        <v>1415</v>
      </c>
      <c r="C841" s="10" t="str">
        <f aca="false">INDEX(球員主檔!$B$2:$B$749,MATCH($B841,球員主檔!$A$2:$A$749,0))</f>
        <v>Silas Sorrentino</v>
      </c>
      <c r="D841" s="7" t="s">
        <v>438</v>
      </c>
      <c r="E841" s="10" t="str">
        <f aca="false">INDEX(球隊主檔!$C$2:$C$31,MATCH($D841,球隊主檔!$A$2:$A$31,0))</f>
        <v>匹茲堡海盜</v>
      </c>
      <c r="F841" s="10" t="str">
        <f aca="false">INDEX(球隊主檔!$D$2:$D$31,MATCH($D841,球隊主檔!$A$2:$A$31,0))</f>
        <v>國聯</v>
      </c>
      <c r="G841" s="7" t="s">
        <v>486</v>
      </c>
      <c r="H841" s="11" t="n">
        <f aca="false">INT((DATE($A841,7,1)-INDEX(球員主檔!$G$2:$G$749,MATCH($B841,球員主檔!$A$2:$A$749,0)))/365.25)</f>
        <v>33</v>
      </c>
      <c r="I841" s="12" t="n">
        <v>65</v>
      </c>
      <c r="J841" s="12" t="n">
        <v>263</v>
      </c>
      <c r="K841" s="12" t="n">
        <v>241</v>
      </c>
      <c r="L841" s="12" t="n">
        <v>29</v>
      </c>
      <c r="M841" s="12" t="n">
        <v>60</v>
      </c>
      <c r="N841" s="12" t="n">
        <v>28</v>
      </c>
      <c r="O841" s="12" t="n">
        <v>3</v>
      </c>
      <c r="P841" s="12" t="n">
        <v>5</v>
      </c>
      <c r="Q841" s="12" t="n">
        <v>21</v>
      </c>
      <c r="R841" s="12" t="n">
        <v>18</v>
      </c>
      <c r="S841" s="12" t="n">
        <v>42</v>
      </c>
      <c r="T841" s="12" t="n">
        <v>3</v>
      </c>
      <c r="U841" s="12" t="n">
        <v>1</v>
      </c>
      <c r="V841" s="12" t="n">
        <v>4</v>
      </c>
      <c r="W841" s="12" t="n">
        <v>1</v>
      </c>
      <c r="X841" s="13" t="n">
        <f aca="false">M841+N841+2*O841+3*P841</f>
        <v>109</v>
      </c>
      <c r="Y841" s="14" t="n">
        <f aca="false">IF(K841=0,0,M841/K841)</f>
        <v>0.24896265560166</v>
      </c>
      <c r="Z841" s="14" t="n">
        <f aca="false">IF(K841+R841+T841+U841=0,0,(M841+R841+T841)/(K841+R841+T841+U841))</f>
        <v>0.307984790874525</v>
      </c>
      <c r="AA841" s="14" t="n">
        <f aca="false">IF(K841=0,0,X841/K841)</f>
        <v>0.452282157676349</v>
      </c>
      <c r="AB841" s="14" t="n">
        <f aca="false">Z841+AA841</f>
        <v>0.760266948550873</v>
      </c>
      <c r="AC841" s="14" t="n">
        <f aca="false">AA841-Y841</f>
        <v>0.203319502074689</v>
      </c>
      <c r="AD841" s="14" t="n">
        <f aca="false">IF(K841-S841-P841+U841=0,0,(M841-P841)/(K841-S841-P841+U841))</f>
        <v>0.282051282051282</v>
      </c>
      <c r="AE841" s="15" t="n">
        <f aca="false">IF(J841=0,0,R841/J841)</f>
        <v>0.0684410646387833</v>
      </c>
      <c r="AF841" s="15" t="n">
        <f aca="false">IF(J841=0,0,S841/J841)</f>
        <v>0.159695817490494</v>
      </c>
      <c r="AG841" s="11" t="n">
        <f aca="false">IF(J841&gt;=INDEX(球季參數!$E$2:$E$4,MATCH($A841,球季參數!$A$2:$A$4,0)),1,0)</f>
        <v>0</v>
      </c>
    </row>
    <row r="842" customFormat="false" ht="15" hidden="false" customHeight="false" outlineLevel="0" collapsed="false">
      <c r="A842" s="5" t="n">
        <v>2026</v>
      </c>
      <c r="B842" s="7" t="s">
        <v>1697</v>
      </c>
      <c r="C842" s="10" t="str">
        <f aca="false">INDEX(球員主檔!$B$2:$B$749,MATCH($B842,球員主檔!$A$2:$A$749,0))</f>
        <v>Ronin Tanabe</v>
      </c>
      <c r="D842" s="7" t="s">
        <v>442</v>
      </c>
      <c r="E842" s="10" t="str">
        <f aca="false">INDEX(球隊主檔!$C$2:$C$31,MATCH($D842,球隊主檔!$A$2:$A$31,0))</f>
        <v>聖路易紅雀</v>
      </c>
      <c r="F842" s="10" t="str">
        <f aca="false">INDEX(球隊主檔!$D$2:$D$31,MATCH($D842,球隊主檔!$A$2:$A$31,0))</f>
        <v>國聯</v>
      </c>
      <c r="G842" s="7" t="s">
        <v>478</v>
      </c>
      <c r="H842" s="11" t="n">
        <f aca="false">INT((DATE($A842,7,1)-INDEX(球員主檔!$G$2:$G$749,MATCH($B842,球員主檔!$A$2:$A$749,0)))/365.25)</f>
        <v>24</v>
      </c>
      <c r="I842" s="12" t="n">
        <v>145</v>
      </c>
      <c r="J842" s="12" t="n">
        <v>595</v>
      </c>
      <c r="K842" s="12" t="n">
        <v>545</v>
      </c>
      <c r="L842" s="12" t="n">
        <v>65</v>
      </c>
      <c r="M842" s="12" t="n">
        <v>133</v>
      </c>
      <c r="N842" s="12" t="n">
        <v>33</v>
      </c>
      <c r="O842" s="12" t="n">
        <v>3</v>
      </c>
      <c r="P842" s="12" t="n">
        <v>7</v>
      </c>
      <c r="Q842" s="12" t="n">
        <v>41</v>
      </c>
      <c r="R842" s="12" t="n">
        <v>44</v>
      </c>
      <c r="S842" s="12" t="n">
        <v>137</v>
      </c>
      <c r="T842" s="12" t="n">
        <v>3</v>
      </c>
      <c r="U842" s="12" t="n">
        <v>3</v>
      </c>
      <c r="V842" s="12" t="n">
        <v>16</v>
      </c>
      <c r="W842" s="12" t="n">
        <v>6</v>
      </c>
      <c r="X842" s="13" t="n">
        <f aca="false">M842+N842+2*O842+3*P842</f>
        <v>193</v>
      </c>
      <c r="Y842" s="14" t="n">
        <f aca="false">IF(K842=0,0,M842/K842)</f>
        <v>0.244036697247706</v>
      </c>
      <c r="Z842" s="14" t="n">
        <f aca="false">IF(K842+R842+T842+U842=0,0,(M842+R842+T842)/(K842+R842+T842+U842))</f>
        <v>0.302521008403361</v>
      </c>
      <c r="AA842" s="14" t="n">
        <f aca="false">IF(K842=0,0,X842/K842)</f>
        <v>0.354128440366973</v>
      </c>
      <c r="AB842" s="14" t="n">
        <f aca="false">Z842+AA842</f>
        <v>0.656649448770334</v>
      </c>
      <c r="AC842" s="14" t="n">
        <f aca="false">AA842-Y842</f>
        <v>0.110091743119266</v>
      </c>
      <c r="AD842" s="14" t="n">
        <f aca="false">IF(K842-S842-P842+U842=0,0,(M842-P842)/(K842-S842-P842+U842))</f>
        <v>0.311881188118812</v>
      </c>
      <c r="AE842" s="15" t="n">
        <f aca="false">IF(J842=0,0,R842/J842)</f>
        <v>0.0739495798319328</v>
      </c>
      <c r="AF842" s="15" t="n">
        <f aca="false">IF(J842=0,0,S842/J842)</f>
        <v>0.230252100840336</v>
      </c>
      <c r="AG842" s="11" t="n">
        <f aca="false">IF(J842&gt;=INDEX(球季參數!$E$2:$E$4,MATCH($A842,球季參數!$A$2:$A$4,0)),1,0)</f>
        <v>1</v>
      </c>
    </row>
    <row r="843" customFormat="false" ht="15" hidden="false" customHeight="false" outlineLevel="0" collapsed="false">
      <c r="A843" s="5" t="n">
        <v>2026</v>
      </c>
      <c r="B843" s="7" t="s">
        <v>1439</v>
      </c>
      <c r="C843" s="10" t="str">
        <f aca="false">INDEX(球員主檔!$B$2:$B$749,MATCH($B843,球員主檔!$A$2:$A$749,0))</f>
        <v>Rintaro Fontaine</v>
      </c>
      <c r="D843" s="7" t="s">
        <v>442</v>
      </c>
      <c r="E843" s="10" t="str">
        <f aca="false">INDEX(球隊主檔!$C$2:$C$31,MATCH($D843,球隊主檔!$A$2:$A$31,0))</f>
        <v>聖路易紅雀</v>
      </c>
      <c r="F843" s="10" t="str">
        <f aca="false">INDEX(球隊主檔!$D$2:$D$31,MATCH($D843,球隊主檔!$A$2:$A$31,0))</f>
        <v>國聯</v>
      </c>
      <c r="G843" s="7" t="s">
        <v>478</v>
      </c>
      <c r="H843" s="11" t="n">
        <f aca="false">INT((DATE($A843,7,1)-INDEX(球員主檔!$G$2:$G$749,MATCH($B843,球員主檔!$A$2:$A$749,0)))/365.25)</f>
        <v>29</v>
      </c>
      <c r="I843" s="12" t="n">
        <v>137</v>
      </c>
      <c r="J843" s="12" t="n">
        <v>580</v>
      </c>
      <c r="K843" s="12" t="n">
        <v>543</v>
      </c>
      <c r="L843" s="12" t="n">
        <v>58</v>
      </c>
      <c r="M843" s="12" t="n">
        <v>103</v>
      </c>
      <c r="N843" s="12" t="n">
        <v>26</v>
      </c>
      <c r="O843" s="12" t="n">
        <v>7</v>
      </c>
      <c r="P843" s="12" t="n">
        <v>30</v>
      </c>
      <c r="Q843" s="12" t="n">
        <v>75</v>
      </c>
      <c r="R843" s="12" t="n">
        <v>29</v>
      </c>
      <c r="S843" s="12" t="n">
        <v>115</v>
      </c>
      <c r="T843" s="12" t="n">
        <v>6</v>
      </c>
      <c r="U843" s="12" t="n">
        <v>2</v>
      </c>
      <c r="V843" s="12" t="n">
        <v>16</v>
      </c>
      <c r="W843" s="12" t="n">
        <v>4</v>
      </c>
      <c r="X843" s="13" t="n">
        <f aca="false">M843+N843+2*O843+3*P843</f>
        <v>233</v>
      </c>
      <c r="Y843" s="14" t="n">
        <f aca="false">IF(K843=0,0,M843/K843)</f>
        <v>0.189686924493554</v>
      </c>
      <c r="Z843" s="14" t="n">
        <f aca="false">IF(K843+R843+T843+U843=0,0,(M843+R843+T843)/(K843+R843+T843+U843))</f>
        <v>0.237931034482759</v>
      </c>
      <c r="AA843" s="14" t="n">
        <f aca="false">IF(K843=0,0,X843/K843)</f>
        <v>0.429097605893186</v>
      </c>
      <c r="AB843" s="14" t="n">
        <f aca="false">Z843+AA843</f>
        <v>0.667028640375945</v>
      </c>
      <c r="AC843" s="14" t="n">
        <f aca="false">AA843-Y843</f>
        <v>0.239410681399632</v>
      </c>
      <c r="AD843" s="14" t="n">
        <f aca="false">IF(K843-S843-P843+U843=0,0,(M843-P843)/(K843-S843-P843+U843))</f>
        <v>0.1825</v>
      </c>
      <c r="AE843" s="15" t="n">
        <f aca="false">IF(J843=0,0,R843/J843)</f>
        <v>0.05</v>
      </c>
      <c r="AF843" s="15" t="n">
        <f aca="false">IF(J843=0,0,S843/J843)</f>
        <v>0.198275862068966</v>
      </c>
      <c r="AG843" s="11" t="n">
        <f aca="false">IF(J843&gt;=INDEX(球季參數!$E$2:$E$4,MATCH($A843,球季參數!$A$2:$A$4,0)),1,0)</f>
        <v>1</v>
      </c>
    </row>
    <row r="844" customFormat="false" ht="15" hidden="false" customHeight="false" outlineLevel="0" collapsed="false">
      <c r="A844" s="5" t="n">
        <v>2026</v>
      </c>
      <c r="B844" s="7" t="s">
        <v>1441</v>
      </c>
      <c r="C844" s="10" t="str">
        <f aca="false">INDEX(球員主檔!$B$2:$B$749,MATCH($B844,球員主檔!$A$2:$A$749,0))</f>
        <v>Ulises Cavanaugh</v>
      </c>
      <c r="D844" s="7" t="s">
        <v>442</v>
      </c>
      <c r="E844" s="10" t="str">
        <f aca="false">INDEX(球隊主檔!$C$2:$C$31,MATCH($D844,球隊主檔!$A$2:$A$31,0))</f>
        <v>聖路易紅雀</v>
      </c>
      <c r="F844" s="10" t="str">
        <f aca="false">INDEX(球隊主檔!$D$2:$D$31,MATCH($D844,球隊主檔!$A$2:$A$31,0))</f>
        <v>國聯</v>
      </c>
      <c r="G844" s="7" t="s">
        <v>486</v>
      </c>
      <c r="H844" s="11" t="n">
        <f aca="false">INT((DATE($A844,7,1)-INDEX(球員主檔!$G$2:$G$749,MATCH($B844,球員主檔!$A$2:$A$749,0)))/365.25)</f>
        <v>31</v>
      </c>
      <c r="I844" s="12" t="n">
        <v>157</v>
      </c>
      <c r="J844" s="12" t="n">
        <v>619</v>
      </c>
      <c r="K844" s="12" t="n">
        <v>551</v>
      </c>
      <c r="L844" s="12" t="n">
        <v>75</v>
      </c>
      <c r="M844" s="12" t="n">
        <v>155</v>
      </c>
      <c r="N844" s="12" t="n">
        <v>32</v>
      </c>
      <c r="O844" s="12" t="n">
        <v>2</v>
      </c>
      <c r="P844" s="12" t="n">
        <v>23</v>
      </c>
      <c r="Q844" s="12" t="n">
        <v>97</v>
      </c>
      <c r="R844" s="12" t="n">
        <v>58</v>
      </c>
      <c r="S844" s="12" t="n">
        <v>152</v>
      </c>
      <c r="T844" s="12" t="n">
        <v>7</v>
      </c>
      <c r="U844" s="12" t="n">
        <v>3</v>
      </c>
      <c r="V844" s="12" t="n">
        <v>7</v>
      </c>
      <c r="W844" s="12" t="n">
        <v>2</v>
      </c>
      <c r="X844" s="13" t="n">
        <f aca="false">M844+N844+2*O844+3*P844</f>
        <v>260</v>
      </c>
      <c r="Y844" s="14" t="n">
        <f aca="false">IF(K844=0,0,M844/K844)</f>
        <v>0.281306715063521</v>
      </c>
      <c r="Z844" s="14" t="n">
        <f aca="false">IF(K844+R844+T844+U844=0,0,(M844+R844+T844)/(K844+R844+T844+U844))</f>
        <v>0.355411954765751</v>
      </c>
      <c r="AA844" s="14" t="n">
        <f aca="false">IF(K844=0,0,X844/K844)</f>
        <v>0.471869328493648</v>
      </c>
      <c r="AB844" s="14" t="n">
        <f aca="false">Z844+AA844</f>
        <v>0.827281283259399</v>
      </c>
      <c r="AC844" s="14" t="n">
        <f aca="false">AA844-Y844</f>
        <v>0.190562613430127</v>
      </c>
      <c r="AD844" s="14" t="n">
        <f aca="false">IF(K844-S844-P844+U844=0,0,(M844-P844)/(K844-S844-P844+U844))</f>
        <v>0.348284960422164</v>
      </c>
      <c r="AE844" s="15" t="n">
        <f aca="false">IF(J844=0,0,R844/J844)</f>
        <v>0.0936995153473344</v>
      </c>
      <c r="AF844" s="15" t="n">
        <f aca="false">IF(J844=0,0,S844/J844)</f>
        <v>0.245557350565428</v>
      </c>
      <c r="AG844" s="11" t="n">
        <f aca="false">IF(J844&gt;=INDEX(球季參數!$E$2:$E$4,MATCH($A844,球季參數!$A$2:$A$4,0)),1,0)</f>
        <v>1</v>
      </c>
    </row>
    <row r="845" customFormat="false" ht="15" hidden="false" customHeight="false" outlineLevel="0" collapsed="false">
      <c r="A845" s="5" t="n">
        <v>2026</v>
      </c>
      <c r="B845" s="7" t="s">
        <v>1443</v>
      </c>
      <c r="C845" s="10" t="str">
        <f aca="false">INDEX(球員主檔!$B$2:$B$749,MATCH($B845,球員主檔!$A$2:$A$749,0))</f>
        <v>Camilo Ostrowski</v>
      </c>
      <c r="D845" s="7" t="s">
        <v>442</v>
      </c>
      <c r="E845" s="10" t="str">
        <f aca="false">INDEX(球隊主檔!$C$2:$C$31,MATCH($D845,球隊主檔!$A$2:$A$31,0))</f>
        <v>聖路易紅雀</v>
      </c>
      <c r="F845" s="10" t="str">
        <f aca="false">INDEX(球隊主檔!$D$2:$D$31,MATCH($D845,球隊主檔!$A$2:$A$31,0))</f>
        <v>國聯</v>
      </c>
      <c r="G845" s="7" t="s">
        <v>473</v>
      </c>
      <c r="H845" s="11" t="n">
        <f aca="false">INT((DATE($A845,7,1)-INDEX(球員主檔!$G$2:$G$749,MATCH($B845,球員主檔!$A$2:$A$749,0)))/365.25)</f>
        <v>32</v>
      </c>
      <c r="I845" s="12" t="n">
        <v>133</v>
      </c>
      <c r="J845" s="12" t="n">
        <v>585</v>
      </c>
      <c r="K845" s="12" t="n">
        <v>538</v>
      </c>
      <c r="L845" s="12" t="n">
        <v>52</v>
      </c>
      <c r="M845" s="12" t="n">
        <v>115</v>
      </c>
      <c r="N845" s="12" t="n">
        <v>47</v>
      </c>
      <c r="O845" s="12" t="n">
        <v>7</v>
      </c>
      <c r="P845" s="12" t="n">
        <v>10</v>
      </c>
      <c r="Q845" s="12" t="n">
        <v>48</v>
      </c>
      <c r="R845" s="12" t="n">
        <v>38</v>
      </c>
      <c r="S845" s="12" t="n">
        <v>72</v>
      </c>
      <c r="T845" s="12" t="n">
        <v>4</v>
      </c>
      <c r="U845" s="12" t="n">
        <v>5</v>
      </c>
      <c r="V845" s="12" t="n">
        <v>6</v>
      </c>
      <c r="W845" s="12" t="n">
        <v>2</v>
      </c>
      <c r="X845" s="13" t="n">
        <f aca="false">M845+N845+2*O845+3*P845</f>
        <v>206</v>
      </c>
      <c r="Y845" s="14" t="n">
        <f aca="false">IF(K845=0,0,M845/K845)</f>
        <v>0.213754646840149</v>
      </c>
      <c r="Z845" s="14" t="n">
        <f aca="false">IF(K845+R845+T845+U845=0,0,(M845+R845+T845)/(K845+R845+T845+U845))</f>
        <v>0.268376068376068</v>
      </c>
      <c r="AA845" s="14" t="n">
        <f aca="false">IF(K845=0,0,X845/K845)</f>
        <v>0.382899628252788</v>
      </c>
      <c r="AB845" s="14" t="n">
        <f aca="false">Z845+AA845</f>
        <v>0.651275696628856</v>
      </c>
      <c r="AC845" s="14" t="n">
        <f aca="false">AA845-Y845</f>
        <v>0.169144981412639</v>
      </c>
      <c r="AD845" s="14" t="n">
        <f aca="false">IF(K845-S845-P845+U845=0,0,(M845-P845)/(K845-S845-P845+U845))</f>
        <v>0.227765726681128</v>
      </c>
      <c r="AE845" s="15" t="n">
        <f aca="false">IF(J845=0,0,R845/J845)</f>
        <v>0.064957264957265</v>
      </c>
      <c r="AF845" s="15" t="n">
        <f aca="false">IF(J845=0,0,S845/J845)</f>
        <v>0.123076923076923</v>
      </c>
      <c r="AG845" s="11" t="n">
        <f aca="false">IF(J845&gt;=INDEX(球季參數!$E$2:$E$4,MATCH($A845,球季參數!$A$2:$A$4,0)),1,0)</f>
        <v>1</v>
      </c>
    </row>
    <row r="846" customFormat="false" ht="15" hidden="false" customHeight="false" outlineLevel="0" collapsed="false">
      <c r="A846" s="5" t="n">
        <v>2026</v>
      </c>
      <c r="B846" s="7" t="s">
        <v>1239</v>
      </c>
      <c r="C846" s="10" t="str">
        <f aca="false">INDEX(球員主檔!$B$2:$B$749,MATCH($B846,球員主檔!$A$2:$A$749,0))</f>
        <v>Fletcher Kowalczyk</v>
      </c>
      <c r="D846" s="7" t="s">
        <v>442</v>
      </c>
      <c r="E846" s="10" t="str">
        <f aca="false">INDEX(球隊主檔!$C$2:$C$31,MATCH($D846,球隊主檔!$A$2:$A$31,0))</f>
        <v>聖路易紅雀</v>
      </c>
      <c r="F846" s="10" t="str">
        <f aca="false">INDEX(球隊主檔!$D$2:$D$31,MATCH($D846,球隊主檔!$A$2:$A$31,0))</f>
        <v>國聯</v>
      </c>
      <c r="G846" s="7" t="s">
        <v>522</v>
      </c>
      <c r="H846" s="11" t="n">
        <f aca="false">INT((DATE($A846,7,1)-INDEX(球員主檔!$G$2:$G$749,MATCH($B846,球員主檔!$A$2:$A$749,0)))/365.25)</f>
        <v>28</v>
      </c>
      <c r="I846" s="12" t="n">
        <v>162</v>
      </c>
      <c r="J846" s="12" t="n">
        <v>688</v>
      </c>
      <c r="K846" s="12" t="n">
        <v>642</v>
      </c>
      <c r="L846" s="12" t="n">
        <v>96</v>
      </c>
      <c r="M846" s="12" t="n">
        <v>172</v>
      </c>
      <c r="N846" s="12" t="n">
        <v>37</v>
      </c>
      <c r="O846" s="12" t="n">
        <v>2</v>
      </c>
      <c r="P846" s="12" t="n">
        <v>41</v>
      </c>
      <c r="Q846" s="12" t="n">
        <v>120</v>
      </c>
      <c r="R846" s="12" t="n">
        <v>36</v>
      </c>
      <c r="S846" s="12" t="n">
        <v>147</v>
      </c>
      <c r="T846" s="12" t="n">
        <v>9</v>
      </c>
      <c r="U846" s="12" t="n">
        <v>1</v>
      </c>
      <c r="V846" s="12" t="n">
        <v>13</v>
      </c>
      <c r="W846" s="12" t="n">
        <v>2</v>
      </c>
      <c r="X846" s="13" t="n">
        <f aca="false">M846+N846+2*O846+3*P846</f>
        <v>336</v>
      </c>
      <c r="Y846" s="14" t="n">
        <f aca="false">IF(K846=0,0,M846/K846)</f>
        <v>0.26791277258567</v>
      </c>
      <c r="Z846" s="14" t="n">
        <f aca="false">IF(K846+R846+T846+U846=0,0,(M846+R846+T846)/(K846+R846+T846+U846))</f>
        <v>0.315406976744186</v>
      </c>
      <c r="AA846" s="14" t="n">
        <f aca="false">IF(K846=0,0,X846/K846)</f>
        <v>0.523364485981308</v>
      </c>
      <c r="AB846" s="14" t="n">
        <f aca="false">Z846+AA846</f>
        <v>0.838771462725494</v>
      </c>
      <c r="AC846" s="14" t="n">
        <f aca="false">AA846-Y846</f>
        <v>0.255451713395639</v>
      </c>
      <c r="AD846" s="14" t="n">
        <f aca="false">IF(K846-S846-P846+U846=0,0,(M846-P846)/(K846-S846-P846+U846))</f>
        <v>0.287912087912088</v>
      </c>
      <c r="AE846" s="15" t="n">
        <f aca="false">IF(J846=0,0,R846/J846)</f>
        <v>0.0523255813953488</v>
      </c>
      <c r="AF846" s="15" t="n">
        <f aca="false">IF(J846=0,0,S846/J846)</f>
        <v>0.213662790697674</v>
      </c>
      <c r="AG846" s="11" t="n">
        <f aca="false">IF(J846&gt;=INDEX(球季參數!$E$2:$E$4,MATCH($A846,球季參數!$A$2:$A$4,0)),1,0)</f>
        <v>1</v>
      </c>
    </row>
    <row r="847" customFormat="false" ht="15" hidden="false" customHeight="false" outlineLevel="0" collapsed="false">
      <c r="A847" s="5" t="n">
        <v>2026</v>
      </c>
      <c r="B847" s="7" t="s">
        <v>1941</v>
      </c>
      <c r="C847" s="10" t="str">
        <f aca="false">INDEX(球員主檔!$B$2:$B$749,MATCH($B847,球員主檔!$A$2:$A$749,0))</f>
        <v>Caspian Cavanaugh</v>
      </c>
      <c r="D847" s="7" t="s">
        <v>442</v>
      </c>
      <c r="E847" s="10" t="str">
        <f aca="false">INDEX(球隊主檔!$C$2:$C$31,MATCH($D847,球隊主檔!$A$2:$A$31,0))</f>
        <v>聖路易紅雀</v>
      </c>
      <c r="F847" s="10" t="str">
        <f aca="false">INDEX(球隊主檔!$D$2:$D$31,MATCH($D847,球隊主檔!$A$2:$A$31,0))</f>
        <v>國聯</v>
      </c>
      <c r="G847" s="7" t="s">
        <v>486</v>
      </c>
      <c r="H847" s="11" t="n">
        <f aca="false">INT((DATE($A847,7,1)-INDEX(球員主檔!$G$2:$G$749,MATCH($B847,球員主檔!$A$2:$A$749,0)))/365.25)</f>
        <v>26</v>
      </c>
      <c r="I847" s="12" t="n">
        <v>111</v>
      </c>
      <c r="J847" s="12" t="n">
        <v>438</v>
      </c>
      <c r="K847" s="12" t="n">
        <v>383</v>
      </c>
      <c r="L847" s="12" t="n">
        <v>56</v>
      </c>
      <c r="M847" s="12" t="n">
        <v>97</v>
      </c>
      <c r="N847" s="12" t="n">
        <v>23</v>
      </c>
      <c r="O847" s="12" t="n">
        <v>6</v>
      </c>
      <c r="P847" s="12" t="n">
        <v>12</v>
      </c>
      <c r="Q847" s="12" t="n">
        <v>48</v>
      </c>
      <c r="R847" s="12" t="n">
        <v>45</v>
      </c>
      <c r="S847" s="12" t="n">
        <v>106</v>
      </c>
      <c r="T847" s="12" t="n">
        <v>7</v>
      </c>
      <c r="U847" s="12" t="n">
        <v>3</v>
      </c>
      <c r="V847" s="12" t="n">
        <v>13</v>
      </c>
      <c r="W847" s="12" t="n">
        <v>4</v>
      </c>
      <c r="X847" s="13" t="n">
        <f aca="false">M847+N847+2*O847+3*P847</f>
        <v>168</v>
      </c>
      <c r="Y847" s="14" t="n">
        <f aca="false">IF(K847=0,0,M847/K847)</f>
        <v>0.253263707571802</v>
      </c>
      <c r="Z847" s="14" t="n">
        <f aca="false">IF(K847+R847+T847+U847=0,0,(M847+R847+T847)/(K847+R847+T847+U847))</f>
        <v>0.340182648401827</v>
      </c>
      <c r="AA847" s="14" t="n">
        <f aca="false">IF(K847=0,0,X847/K847)</f>
        <v>0.438642297650131</v>
      </c>
      <c r="AB847" s="14" t="n">
        <f aca="false">Z847+AA847</f>
        <v>0.778824946051957</v>
      </c>
      <c r="AC847" s="14" t="n">
        <f aca="false">AA847-Y847</f>
        <v>0.185378590078329</v>
      </c>
      <c r="AD847" s="14" t="n">
        <f aca="false">IF(K847-S847-P847+U847=0,0,(M847-P847)/(K847-S847-P847+U847))</f>
        <v>0.317164179104478</v>
      </c>
      <c r="AE847" s="15" t="n">
        <f aca="false">IF(J847=0,0,R847/J847)</f>
        <v>0.102739726027397</v>
      </c>
      <c r="AF847" s="15" t="n">
        <f aca="false">IF(J847=0,0,S847/J847)</f>
        <v>0.242009132420091</v>
      </c>
      <c r="AG847" s="11" t="n">
        <f aca="false">IF(J847&gt;=INDEX(球季參數!$E$2:$E$4,MATCH($A847,球季參數!$A$2:$A$4,0)),1,0)</f>
        <v>0</v>
      </c>
    </row>
    <row r="848" customFormat="false" ht="15" hidden="false" customHeight="false" outlineLevel="0" collapsed="false">
      <c r="A848" s="5" t="n">
        <v>2026</v>
      </c>
      <c r="B848" s="7" t="s">
        <v>1449</v>
      </c>
      <c r="C848" s="10" t="str">
        <f aca="false">INDEX(球員主檔!$B$2:$B$749,MATCH($B848,球員主檔!$A$2:$A$749,0))</f>
        <v>Dorian Prendergast</v>
      </c>
      <c r="D848" s="7" t="s">
        <v>442</v>
      </c>
      <c r="E848" s="10" t="str">
        <f aca="false">INDEX(球隊主檔!$C$2:$C$31,MATCH($D848,球隊主檔!$A$2:$A$31,0))</f>
        <v>聖路易紅雀</v>
      </c>
      <c r="F848" s="10" t="str">
        <f aca="false">INDEX(球隊主檔!$D$2:$D$31,MATCH($D848,球隊主檔!$A$2:$A$31,0))</f>
        <v>國聯</v>
      </c>
      <c r="G848" s="7" t="s">
        <v>486</v>
      </c>
      <c r="H848" s="11" t="n">
        <f aca="false">INT((DATE($A848,7,1)-INDEX(球員主檔!$G$2:$G$749,MATCH($B848,球員主檔!$A$2:$A$749,0)))/365.25)</f>
        <v>32</v>
      </c>
      <c r="I848" s="12" t="n">
        <v>68</v>
      </c>
      <c r="J848" s="12" t="n">
        <v>277</v>
      </c>
      <c r="K848" s="12" t="n">
        <v>251</v>
      </c>
      <c r="L848" s="12" t="n">
        <v>29</v>
      </c>
      <c r="M848" s="12" t="n">
        <v>60</v>
      </c>
      <c r="N848" s="12" t="n">
        <v>16</v>
      </c>
      <c r="O848" s="12" t="n">
        <v>3</v>
      </c>
      <c r="P848" s="12" t="n">
        <v>7</v>
      </c>
      <c r="Q848" s="12" t="n">
        <v>32</v>
      </c>
      <c r="R848" s="12" t="n">
        <v>23</v>
      </c>
      <c r="S848" s="12" t="n">
        <v>56</v>
      </c>
      <c r="T848" s="12" t="n">
        <v>2</v>
      </c>
      <c r="U848" s="12" t="n">
        <v>1</v>
      </c>
      <c r="V848" s="12" t="n">
        <v>3</v>
      </c>
      <c r="W848" s="12" t="n">
        <v>1</v>
      </c>
      <c r="X848" s="13" t="n">
        <f aca="false">M848+N848+2*O848+3*P848</f>
        <v>103</v>
      </c>
      <c r="Y848" s="14" t="n">
        <f aca="false">IF(K848=0,0,M848/K848)</f>
        <v>0.239043824701195</v>
      </c>
      <c r="Z848" s="14" t="n">
        <f aca="false">IF(K848+R848+T848+U848=0,0,(M848+R848+T848)/(K848+R848+T848+U848))</f>
        <v>0.306859205776173</v>
      </c>
      <c r="AA848" s="14" t="n">
        <f aca="false">IF(K848=0,0,X848/K848)</f>
        <v>0.410358565737052</v>
      </c>
      <c r="AB848" s="14" t="n">
        <f aca="false">Z848+AA848</f>
        <v>0.717217771513225</v>
      </c>
      <c r="AC848" s="14" t="n">
        <f aca="false">AA848-Y848</f>
        <v>0.171314741035857</v>
      </c>
      <c r="AD848" s="14" t="n">
        <f aca="false">IF(K848-S848-P848+U848=0,0,(M848-P848)/(K848-S848-P848+U848))</f>
        <v>0.28042328042328</v>
      </c>
      <c r="AE848" s="15" t="n">
        <f aca="false">IF(J848=0,0,R848/J848)</f>
        <v>0.0830324909747292</v>
      </c>
      <c r="AF848" s="15" t="n">
        <f aca="false">IF(J848=0,0,S848/J848)</f>
        <v>0.202166064981949</v>
      </c>
      <c r="AG848" s="11" t="n">
        <f aca="false">IF(J848&gt;=INDEX(球季參數!$E$2:$E$4,MATCH($A848,球季參數!$A$2:$A$4,0)),1,0)</f>
        <v>0</v>
      </c>
    </row>
    <row r="849" customFormat="false" ht="15" hidden="false" customHeight="false" outlineLevel="0" collapsed="false">
      <c r="A849" s="5" t="n">
        <v>2026</v>
      </c>
      <c r="B849" s="7" t="s">
        <v>1451</v>
      </c>
      <c r="C849" s="10" t="str">
        <f aca="false">INDEX(球員主檔!$B$2:$B$749,MATCH($B849,球員主檔!$A$2:$A$749,0))</f>
        <v>Alonso Ravenscroft</v>
      </c>
      <c r="D849" s="7" t="s">
        <v>442</v>
      </c>
      <c r="E849" s="10" t="str">
        <f aca="false">INDEX(球隊主檔!$C$2:$C$31,MATCH($D849,球隊主檔!$A$2:$A$31,0))</f>
        <v>聖路易紅雀</v>
      </c>
      <c r="F849" s="10" t="str">
        <f aca="false">INDEX(球隊主檔!$D$2:$D$31,MATCH($D849,球隊主檔!$A$2:$A$31,0))</f>
        <v>國聯</v>
      </c>
      <c r="G849" s="7" t="s">
        <v>162</v>
      </c>
      <c r="H849" s="11" t="n">
        <f aca="false">INT((DATE($A849,7,1)-INDEX(球員主檔!$G$2:$G$749,MATCH($B849,球員主檔!$A$2:$A$749,0)))/365.25)</f>
        <v>29</v>
      </c>
      <c r="I849" s="12" t="n">
        <v>83</v>
      </c>
      <c r="J849" s="12" t="n">
        <v>362</v>
      </c>
      <c r="K849" s="12" t="n">
        <v>336</v>
      </c>
      <c r="L849" s="12" t="n">
        <v>56</v>
      </c>
      <c r="M849" s="12" t="n">
        <v>108</v>
      </c>
      <c r="N849" s="12" t="n">
        <v>39</v>
      </c>
      <c r="O849" s="12" t="n">
        <v>4</v>
      </c>
      <c r="P849" s="12" t="n">
        <v>21</v>
      </c>
      <c r="Q849" s="12" t="n">
        <v>68</v>
      </c>
      <c r="R849" s="12" t="n">
        <v>18</v>
      </c>
      <c r="S849" s="12" t="n">
        <v>87</v>
      </c>
      <c r="T849" s="12" t="n">
        <v>6</v>
      </c>
      <c r="U849" s="12" t="n">
        <v>2</v>
      </c>
      <c r="V849" s="12" t="n">
        <v>15</v>
      </c>
      <c r="W849" s="12" t="n">
        <v>4</v>
      </c>
      <c r="X849" s="13" t="n">
        <f aca="false">M849+N849+2*O849+3*P849</f>
        <v>218</v>
      </c>
      <c r="Y849" s="14" t="n">
        <f aca="false">IF(K849=0,0,M849/K849)</f>
        <v>0.321428571428571</v>
      </c>
      <c r="Z849" s="14" t="n">
        <f aca="false">IF(K849+R849+T849+U849=0,0,(M849+R849+T849)/(K849+R849+T849+U849))</f>
        <v>0.364640883977901</v>
      </c>
      <c r="AA849" s="14" t="n">
        <f aca="false">IF(K849=0,0,X849/K849)</f>
        <v>0.648809523809524</v>
      </c>
      <c r="AB849" s="14" t="n">
        <f aca="false">Z849+AA849</f>
        <v>1.01345040778742</v>
      </c>
      <c r="AC849" s="14" t="n">
        <f aca="false">AA849-Y849</f>
        <v>0.327380952380952</v>
      </c>
      <c r="AD849" s="14" t="n">
        <f aca="false">IF(K849-S849-P849+U849=0,0,(M849-P849)/(K849-S849-P849+U849))</f>
        <v>0.378260869565217</v>
      </c>
      <c r="AE849" s="15" t="n">
        <f aca="false">IF(J849=0,0,R849/J849)</f>
        <v>0.0497237569060773</v>
      </c>
      <c r="AF849" s="15" t="n">
        <f aca="false">IF(J849=0,0,S849/J849)</f>
        <v>0.240331491712707</v>
      </c>
      <c r="AG849" s="11" t="n">
        <f aca="false">IF(J849&gt;=INDEX(球季參數!$E$2:$E$4,MATCH($A849,球季參數!$A$2:$A$4,0)),1,0)</f>
        <v>0</v>
      </c>
    </row>
    <row r="850" customFormat="false" ht="15" hidden="false" customHeight="false" outlineLevel="0" collapsed="false">
      <c r="A850" s="5" t="n">
        <v>2026</v>
      </c>
      <c r="B850" s="7" t="s">
        <v>763</v>
      </c>
      <c r="C850" s="10" t="str">
        <f aca="false">INDEX(球員主檔!$B$2:$B$749,MATCH($B850,球員主檔!$A$2:$A$749,0))</f>
        <v>Kellan Ashworth</v>
      </c>
      <c r="D850" s="7" t="s">
        <v>442</v>
      </c>
      <c r="E850" s="10" t="str">
        <f aca="false">INDEX(球隊主檔!$C$2:$C$31,MATCH($D850,球隊主檔!$A$2:$A$31,0))</f>
        <v>聖路易紅雀</v>
      </c>
      <c r="F850" s="10" t="str">
        <f aca="false">INDEX(球隊主檔!$D$2:$D$31,MATCH($D850,球隊主檔!$A$2:$A$31,0))</f>
        <v>國聯</v>
      </c>
      <c r="G850" s="7" t="s">
        <v>470</v>
      </c>
      <c r="H850" s="11" t="n">
        <f aca="false">INT((DATE($A850,7,1)-INDEX(球員主檔!$G$2:$G$749,MATCH($B850,球員主檔!$A$2:$A$749,0)))/365.25)</f>
        <v>32</v>
      </c>
      <c r="I850" s="12" t="n">
        <v>50</v>
      </c>
      <c r="J850" s="12" t="n">
        <v>211</v>
      </c>
      <c r="K850" s="12" t="n">
        <v>200</v>
      </c>
      <c r="L850" s="12" t="n">
        <v>15</v>
      </c>
      <c r="M850" s="12" t="n">
        <v>35</v>
      </c>
      <c r="N850" s="12" t="n">
        <v>15</v>
      </c>
      <c r="O850" s="12" t="n">
        <v>4</v>
      </c>
      <c r="P850" s="12" t="n">
        <v>1</v>
      </c>
      <c r="Q850" s="12" t="n">
        <v>11</v>
      </c>
      <c r="R850" s="12" t="n">
        <v>9</v>
      </c>
      <c r="S850" s="12" t="n">
        <v>36</v>
      </c>
      <c r="T850" s="12" t="n">
        <v>1</v>
      </c>
      <c r="U850" s="12" t="n">
        <v>1</v>
      </c>
      <c r="V850" s="12" t="n">
        <v>6</v>
      </c>
      <c r="W850" s="12" t="n">
        <v>1</v>
      </c>
      <c r="X850" s="13" t="n">
        <f aca="false">M850+N850+2*O850+3*P850</f>
        <v>61</v>
      </c>
      <c r="Y850" s="14" t="n">
        <f aca="false">IF(K850=0,0,M850/K850)</f>
        <v>0.175</v>
      </c>
      <c r="Z850" s="14" t="n">
        <f aca="false">IF(K850+R850+T850+U850=0,0,(M850+R850+T850)/(K850+R850+T850+U850))</f>
        <v>0.213270142180095</v>
      </c>
      <c r="AA850" s="14" t="n">
        <f aca="false">IF(K850=0,0,X850/K850)</f>
        <v>0.305</v>
      </c>
      <c r="AB850" s="14" t="n">
        <f aca="false">Z850+AA850</f>
        <v>0.518270142180095</v>
      </c>
      <c r="AC850" s="14" t="n">
        <f aca="false">AA850-Y850</f>
        <v>0.13</v>
      </c>
      <c r="AD850" s="14" t="n">
        <f aca="false">IF(K850-S850-P850+U850=0,0,(M850-P850)/(K850-S850-P850+U850))</f>
        <v>0.207317073170732</v>
      </c>
      <c r="AE850" s="15" t="n">
        <f aca="false">IF(J850=0,0,R850/J850)</f>
        <v>0.042654028436019</v>
      </c>
      <c r="AF850" s="15" t="n">
        <f aca="false">IF(J850=0,0,S850/J850)</f>
        <v>0.170616113744076</v>
      </c>
      <c r="AG850" s="11" t="n">
        <f aca="false">IF(J850&gt;=INDEX(球季參數!$E$2:$E$4,MATCH($A850,球季參數!$A$2:$A$4,0)),1,0)</f>
        <v>0</v>
      </c>
    </row>
    <row r="851" customFormat="false" ht="15" hidden="false" customHeight="false" outlineLevel="0" collapsed="false">
      <c r="A851" s="5" t="n">
        <v>2026</v>
      </c>
      <c r="B851" s="7" t="s">
        <v>933</v>
      </c>
      <c r="C851" s="10" t="str">
        <f aca="false">INDEX(球員主檔!$B$2:$B$749,MATCH($B851,球員主檔!$A$2:$A$749,0))</f>
        <v>Bernardo Vasquez</v>
      </c>
      <c r="D851" s="7" t="s">
        <v>442</v>
      </c>
      <c r="E851" s="10" t="str">
        <f aca="false">INDEX(球隊主檔!$C$2:$C$31,MATCH($D851,球隊主檔!$A$2:$A$31,0))</f>
        <v>聖路易紅雀</v>
      </c>
      <c r="F851" s="10" t="str">
        <f aca="false">INDEX(球隊主檔!$D$2:$D$31,MATCH($D851,球隊主檔!$A$2:$A$31,0))</f>
        <v>國聯</v>
      </c>
      <c r="G851" s="7" t="s">
        <v>483</v>
      </c>
      <c r="H851" s="11" t="n">
        <f aca="false">INT((DATE($A851,7,1)-INDEX(球員主檔!$G$2:$G$749,MATCH($B851,球員主檔!$A$2:$A$749,0)))/365.25)</f>
        <v>27</v>
      </c>
      <c r="I851" s="12" t="n">
        <v>37</v>
      </c>
      <c r="J851" s="12" t="n">
        <v>155</v>
      </c>
      <c r="K851" s="12" t="n">
        <v>137</v>
      </c>
      <c r="L851" s="12" t="n">
        <v>14</v>
      </c>
      <c r="M851" s="12" t="n">
        <v>34</v>
      </c>
      <c r="N851" s="12" t="n">
        <v>15</v>
      </c>
      <c r="O851" s="12" t="n">
        <v>3</v>
      </c>
      <c r="P851" s="12" t="n">
        <v>2</v>
      </c>
      <c r="Q851" s="12" t="n">
        <v>12</v>
      </c>
      <c r="R851" s="12" t="n">
        <v>15</v>
      </c>
      <c r="S851" s="12" t="n">
        <v>29</v>
      </c>
      <c r="T851" s="12" t="n">
        <v>2</v>
      </c>
      <c r="U851" s="12" t="n">
        <v>1</v>
      </c>
      <c r="V851" s="12" t="n">
        <v>1</v>
      </c>
      <c r="W851" s="12" t="n">
        <v>0</v>
      </c>
      <c r="X851" s="13" t="n">
        <f aca="false">M851+N851+2*O851+3*P851</f>
        <v>61</v>
      </c>
      <c r="Y851" s="14" t="n">
        <f aca="false">IF(K851=0,0,M851/K851)</f>
        <v>0.248175182481752</v>
      </c>
      <c r="Z851" s="14" t="n">
        <f aca="false">IF(K851+R851+T851+U851=0,0,(M851+R851+T851)/(K851+R851+T851+U851))</f>
        <v>0.329032258064516</v>
      </c>
      <c r="AA851" s="14" t="n">
        <f aca="false">IF(K851=0,0,X851/K851)</f>
        <v>0.445255474452555</v>
      </c>
      <c r="AB851" s="14" t="n">
        <f aca="false">Z851+AA851</f>
        <v>0.774287732517071</v>
      </c>
      <c r="AC851" s="14" t="n">
        <f aca="false">AA851-Y851</f>
        <v>0.197080291970803</v>
      </c>
      <c r="AD851" s="14" t="n">
        <f aca="false">IF(K851-S851-P851+U851=0,0,(M851-P851)/(K851-S851-P851+U851))</f>
        <v>0.299065420560748</v>
      </c>
      <c r="AE851" s="15" t="n">
        <f aca="false">IF(J851=0,0,R851/J851)</f>
        <v>0.0967741935483871</v>
      </c>
      <c r="AF851" s="15" t="n">
        <f aca="false">IF(J851=0,0,S851/J851)</f>
        <v>0.187096774193548</v>
      </c>
      <c r="AG851" s="11" t="n">
        <f aca="false">IF(J851&gt;=INDEX(球季參數!$E$2:$E$4,MATCH($A851,球季參數!$A$2:$A$4,0)),1,0)</f>
        <v>0</v>
      </c>
    </row>
    <row r="852" customFormat="false" ht="15" hidden="false" customHeight="false" outlineLevel="0" collapsed="false">
      <c r="A852" s="5" t="n">
        <v>2026</v>
      </c>
      <c r="B852" s="7" t="s">
        <v>923</v>
      </c>
      <c r="C852" s="10" t="str">
        <f aca="false">INDEX(球員主檔!$B$2:$B$749,MATCH($B852,球員主檔!$A$2:$A$749,0))</f>
        <v>Ronin Zamarripa</v>
      </c>
      <c r="D852" s="7" t="s">
        <v>446</v>
      </c>
      <c r="E852" s="10" t="str">
        <f aca="false">INDEX(球隊主檔!$C$2:$C$31,MATCH($D852,球隊主檔!$A$2:$A$31,0))</f>
        <v>亞利桑那響尾蛇</v>
      </c>
      <c r="F852" s="10" t="str">
        <f aca="false">INDEX(球隊主檔!$D$2:$D$31,MATCH($D852,球隊主檔!$A$2:$A$31,0))</f>
        <v>國聯</v>
      </c>
      <c r="G852" s="7" t="s">
        <v>486</v>
      </c>
      <c r="H852" s="11" t="n">
        <f aca="false">INT((DATE($A852,7,1)-INDEX(球員主檔!$G$2:$G$749,MATCH($B852,球員主檔!$A$2:$A$749,0)))/365.25)</f>
        <v>25</v>
      </c>
      <c r="I852" s="12" t="n">
        <v>162</v>
      </c>
      <c r="J852" s="12" t="n">
        <v>689</v>
      </c>
      <c r="K852" s="12" t="n">
        <v>667</v>
      </c>
      <c r="L852" s="12" t="n">
        <v>73</v>
      </c>
      <c r="M852" s="12" t="n">
        <v>178</v>
      </c>
      <c r="N852" s="12" t="n">
        <v>39</v>
      </c>
      <c r="O852" s="12" t="n">
        <v>2</v>
      </c>
      <c r="P852" s="12" t="n">
        <v>11</v>
      </c>
      <c r="Q852" s="12" t="n">
        <v>70</v>
      </c>
      <c r="R852" s="12" t="n">
        <v>18</v>
      </c>
      <c r="S852" s="12" t="n">
        <v>127</v>
      </c>
      <c r="T852" s="12" t="n">
        <v>2</v>
      </c>
      <c r="U852" s="12" t="n">
        <v>2</v>
      </c>
      <c r="V852" s="12" t="n">
        <v>19</v>
      </c>
      <c r="W852" s="12" t="n">
        <v>5</v>
      </c>
      <c r="X852" s="13" t="n">
        <f aca="false">M852+N852+2*O852+3*P852</f>
        <v>254</v>
      </c>
      <c r="Y852" s="14" t="n">
        <f aca="false">IF(K852=0,0,M852/K852)</f>
        <v>0.266866566716642</v>
      </c>
      <c r="Z852" s="14" t="n">
        <f aca="false">IF(K852+R852+T852+U852=0,0,(M852+R852+T852)/(K852+R852+T852+U852))</f>
        <v>0.287373004354136</v>
      </c>
      <c r="AA852" s="14" t="n">
        <f aca="false">IF(K852=0,0,X852/K852)</f>
        <v>0.380809595202399</v>
      </c>
      <c r="AB852" s="14" t="n">
        <f aca="false">Z852+AA852</f>
        <v>0.668182599556535</v>
      </c>
      <c r="AC852" s="14" t="n">
        <f aca="false">AA852-Y852</f>
        <v>0.113943028485757</v>
      </c>
      <c r="AD852" s="14" t="n">
        <f aca="false">IF(K852-S852-P852+U852=0,0,(M852-P852)/(K852-S852-P852+U852))</f>
        <v>0.314500941619586</v>
      </c>
      <c r="AE852" s="15" t="n">
        <f aca="false">IF(J852=0,0,R852/J852)</f>
        <v>0.0261248185776488</v>
      </c>
      <c r="AF852" s="15" t="n">
        <f aca="false">IF(J852=0,0,S852/J852)</f>
        <v>0.184325108853411</v>
      </c>
      <c r="AG852" s="11" t="n">
        <f aca="false">IF(J852&gt;=INDEX(球季參數!$E$2:$E$4,MATCH($A852,球季參數!$A$2:$A$4,0)),1,0)</f>
        <v>1</v>
      </c>
    </row>
    <row r="853" customFormat="false" ht="15" hidden="false" customHeight="false" outlineLevel="0" collapsed="false">
      <c r="A853" s="5" t="n">
        <v>2026</v>
      </c>
      <c r="B853" s="7" t="s">
        <v>1479</v>
      </c>
      <c r="C853" s="10" t="str">
        <f aca="false">INDEX(球員主檔!$B$2:$B$749,MATCH($B853,球員主檔!$A$2:$A$749,0))</f>
        <v>Thiago Nakagawa</v>
      </c>
      <c r="D853" s="7" t="s">
        <v>446</v>
      </c>
      <c r="E853" s="10" t="str">
        <f aca="false">INDEX(球隊主檔!$C$2:$C$31,MATCH($D853,球隊主檔!$A$2:$A$31,0))</f>
        <v>亞利桑那響尾蛇</v>
      </c>
      <c r="F853" s="10" t="str">
        <f aca="false">INDEX(球隊主檔!$D$2:$D$31,MATCH($D853,球隊主檔!$A$2:$A$31,0))</f>
        <v>國聯</v>
      </c>
      <c r="G853" s="7" t="s">
        <v>470</v>
      </c>
      <c r="H853" s="11" t="n">
        <f aca="false">INT((DATE($A853,7,1)-INDEX(球員主檔!$G$2:$G$749,MATCH($B853,球員主檔!$A$2:$A$749,0)))/365.25)</f>
        <v>29</v>
      </c>
      <c r="I853" s="12" t="n">
        <v>134</v>
      </c>
      <c r="J853" s="12" t="n">
        <v>561</v>
      </c>
      <c r="K853" s="12" t="n">
        <v>498</v>
      </c>
      <c r="L853" s="12" t="n">
        <v>70</v>
      </c>
      <c r="M853" s="12" t="n">
        <v>131</v>
      </c>
      <c r="N853" s="12" t="n">
        <v>37</v>
      </c>
      <c r="O853" s="12" t="n">
        <v>6</v>
      </c>
      <c r="P853" s="12" t="n">
        <v>18</v>
      </c>
      <c r="Q853" s="12" t="n">
        <v>59</v>
      </c>
      <c r="R853" s="12" t="n">
        <v>48</v>
      </c>
      <c r="S853" s="12" t="n">
        <v>126</v>
      </c>
      <c r="T853" s="12" t="n">
        <v>8</v>
      </c>
      <c r="U853" s="12" t="n">
        <v>7</v>
      </c>
      <c r="V853" s="12" t="n">
        <v>20</v>
      </c>
      <c r="W853" s="12" t="n">
        <v>3</v>
      </c>
      <c r="X853" s="13" t="n">
        <f aca="false">M853+N853+2*O853+3*P853</f>
        <v>234</v>
      </c>
      <c r="Y853" s="14" t="n">
        <f aca="false">IF(K853=0,0,M853/K853)</f>
        <v>0.263052208835341</v>
      </c>
      <c r="Z853" s="14" t="n">
        <f aca="false">IF(K853+R853+T853+U853=0,0,(M853+R853+T853)/(K853+R853+T853+U853))</f>
        <v>0.333333333333333</v>
      </c>
      <c r="AA853" s="14" t="n">
        <f aca="false">IF(K853=0,0,X853/K853)</f>
        <v>0.469879518072289</v>
      </c>
      <c r="AB853" s="14" t="n">
        <f aca="false">Z853+AA853</f>
        <v>0.803212851405623</v>
      </c>
      <c r="AC853" s="14" t="n">
        <f aca="false">AA853-Y853</f>
        <v>0.206827309236948</v>
      </c>
      <c r="AD853" s="14" t="n">
        <f aca="false">IF(K853-S853-P853+U853=0,0,(M853-P853)/(K853-S853-P853+U853))</f>
        <v>0.313019390581717</v>
      </c>
      <c r="AE853" s="15" t="n">
        <f aca="false">IF(J853=0,0,R853/J853)</f>
        <v>0.0855614973262032</v>
      </c>
      <c r="AF853" s="15" t="n">
        <f aca="false">IF(J853=0,0,S853/J853)</f>
        <v>0.224598930481283</v>
      </c>
      <c r="AG853" s="11" t="n">
        <f aca="false">IF(J853&gt;=INDEX(球季參數!$E$2:$E$4,MATCH($A853,球季參數!$A$2:$A$4,0)),1,0)</f>
        <v>1</v>
      </c>
    </row>
    <row r="854" customFormat="false" ht="15" hidden="false" customHeight="false" outlineLevel="0" collapsed="false">
      <c r="A854" s="5" t="n">
        <v>2026</v>
      </c>
      <c r="B854" s="7" t="s">
        <v>1481</v>
      </c>
      <c r="C854" s="10" t="str">
        <f aca="false">INDEX(球員主檔!$B$2:$B$749,MATCH($B854,球員主檔!$A$2:$A$749,0))</f>
        <v>Isaias Okafor</v>
      </c>
      <c r="D854" s="7" t="s">
        <v>446</v>
      </c>
      <c r="E854" s="10" t="str">
        <f aca="false">INDEX(球隊主檔!$C$2:$C$31,MATCH($D854,球隊主檔!$A$2:$A$31,0))</f>
        <v>亞利桑那響尾蛇</v>
      </c>
      <c r="F854" s="10" t="str">
        <f aca="false">INDEX(球隊主檔!$D$2:$D$31,MATCH($D854,球隊主檔!$A$2:$A$31,0))</f>
        <v>國聯</v>
      </c>
      <c r="G854" s="7" t="s">
        <v>483</v>
      </c>
      <c r="H854" s="11" t="n">
        <f aca="false">INT((DATE($A854,7,1)-INDEX(球員主檔!$G$2:$G$749,MATCH($B854,球員主檔!$A$2:$A$749,0)))/365.25)</f>
        <v>28</v>
      </c>
      <c r="I854" s="12" t="n">
        <v>154</v>
      </c>
      <c r="J854" s="12" t="n">
        <v>598</v>
      </c>
      <c r="K854" s="12" t="n">
        <v>564</v>
      </c>
      <c r="L854" s="12" t="n">
        <v>64</v>
      </c>
      <c r="M854" s="12" t="n">
        <v>140</v>
      </c>
      <c r="N854" s="12" t="n">
        <v>27</v>
      </c>
      <c r="O854" s="12" t="n">
        <v>4</v>
      </c>
      <c r="P854" s="12" t="n">
        <v>11</v>
      </c>
      <c r="Q854" s="12" t="n">
        <v>60</v>
      </c>
      <c r="R854" s="12" t="n">
        <v>16</v>
      </c>
      <c r="S854" s="12" t="n">
        <v>158</v>
      </c>
      <c r="T854" s="12" t="n">
        <v>11</v>
      </c>
      <c r="U854" s="12" t="n">
        <v>7</v>
      </c>
      <c r="V854" s="12" t="n">
        <v>10</v>
      </c>
      <c r="W854" s="12" t="n">
        <v>3</v>
      </c>
      <c r="X854" s="13" t="n">
        <f aca="false">M854+N854+2*O854+3*P854</f>
        <v>208</v>
      </c>
      <c r="Y854" s="14" t="n">
        <f aca="false">IF(K854=0,0,M854/K854)</f>
        <v>0.24822695035461</v>
      </c>
      <c r="Z854" s="14" t="n">
        <f aca="false">IF(K854+R854+T854+U854=0,0,(M854+R854+T854)/(K854+R854+T854+U854))</f>
        <v>0.279264214046823</v>
      </c>
      <c r="AA854" s="14" t="n">
        <f aca="false">IF(K854=0,0,X854/K854)</f>
        <v>0.368794326241135</v>
      </c>
      <c r="AB854" s="14" t="n">
        <f aca="false">Z854+AA854</f>
        <v>0.648058540287958</v>
      </c>
      <c r="AC854" s="14" t="n">
        <f aca="false">AA854-Y854</f>
        <v>0.120567375886525</v>
      </c>
      <c r="AD854" s="14" t="n">
        <f aca="false">IF(K854-S854-P854+U854=0,0,(M854-P854)/(K854-S854-P854+U854))</f>
        <v>0.32089552238806</v>
      </c>
      <c r="AE854" s="15" t="n">
        <f aca="false">IF(J854=0,0,R854/J854)</f>
        <v>0.0267558528428094</v>
      </c>
      <c r="AF854" s="15" t="n">
        <f aca="false">IF(J854=0,0,S854/J854)</f>
        <v>0.264214046822742</v>
      </c>
      <c r="AG854" s="11" t="n">
        <f aca="false">IF(J854&gt;=INDEX(球季參數!$E$2:$E$4,MATCH($A854,球季參數!$A$2:$A$4,0)),1,0)</f>
        <v>1</v>
      </c>
    </row>
    <row r="855" customFormat="false" ht="15" hidden="false" customHeight="false" outlineLevel="0" collapsed="false">
      <c r="A855" s="5" t="n">
        <v>2026</v>
      </c>
      <c r="B855" s="7" t="s">
        <v>1483</v>
      </c>
      <c r="C855" s="10" t="str">
        <f aca="false">INDEX(球員主檔!$B$2:$B$749,MATCH($B855,球員主檔!$A$2:$A$749,0))</f>
        <v>Jedidiah Kowalczyk</v>
      </c>
      <c r="D855" s="7" t="s">
        <v>446</v>
      </c>
      <c r="E855" s="10" t="str">
        <f aca="false">INDEX(球隊主檔!$C$2:$C$31,MATCH($D855,球隊主檔!$A$2:$A$31,0))</f>
        <v>亞利桑那響尾蛇</v>
      </c>
      <c r="F855" s="10" t="str">
        <f aca="false">INDEX(球隊主檔!$D$2:$D$31,MATCH($D855,球隊主檔!$A$2:$A$31,0))</f>
        <v>國聯</v>
      </c>
      <c r="G855" s="7" t="s">
        <v>483</v>
      </c>
      <c r="H855" s="11" t="n">
        <f aca="false">INT((DATE($A855,7,1)-INDEX(球員主檔!$G$2:$G$749,MATCH($B855,球員主檔!$A$2:$A$749,0)))/365.25)</f>
        <v>29</v>
      </c>
      <c r="I855" s="12" t="n">
        <v>151</v>
      </c>
      <c r="J855" s="12" t="n">
        <v>596</v>
      </c>
      <c r="K855" s="12" t="n">
        <v>530</v>
      </c>
      <c r="L855" s="12" t="n">
        <v>67</v>
      </c>
      <c r="M855" s="12" t="n">
        <v>142</v>
      </c>
      <c r="N855" s="12" t="n">
        <v>27</v>
      </c>
      <c r="O855" s="12" t="n">
        <v>9</v>
      </c>
      <c r="P855" s="12" t="n">
        <v>6</v>
      </c>
      <c r="Q855" s="12" t="n">
        <v>45</v>
      </c>
      <c r="R855" s="12" t="n">
        <v>53</v>
      </c>
      <c r="S855" s="12" t="n">
        <v>107</v>
      </c>
      <c r="T855" s="12" t="n">
        <v>7</v>
      </c>
      <c r="U855" s="12" t="n">
        <v>6</v>
      </c>
      <c r="V855" s="12" t="n">
        <v>26</v>
      </c>
      <c r="W855" s="12" t="n">
        <v>5</v>
      </c>
      <c r="X855" s="13" t="n">
        <f aca="false">M855+N855+2*O855+3*P855</f>
        <v>205</v>
      </c>
      <c r="Y855" s="14" t="n">
        <f aca="false">IF(K855=0,0,M855/K855)</f>
        <v>0.267924528301887</v>
      </c>
      <c r="Z855" s="14" t="n">
        <f aca="false">IF(K855+R855+T855+U855=0,0,(M855+R855+T855)/(K855+R855+T855+U855))</f>
        <v>0.338926174496644</v>
      </c>
      <c r="AA855" s="14" t="n">
        <f aca="false">IF(K855=0,0,X855/K855)</f>
        <v>0.386792452830189</v>
      </c>
      <c r="AB855" s="14" t="n">
        <f aca="false">Z855+AA855</f>
        <v>0.725718627326833</v>
      </c>
      <c r="AC855" s="14" t="n">
        <f aca="false">AA855-Y855</f>
        <v>0.118867924528302</v>
      </c>
      <c r="AD855" s="14" t="n">
        <f aca="false">IF(K855-S855-P855+U855=0,0,(M855-P855)/(K855-S855-P855+U855))</f>
        <v>0.321513002364066</v>
      </c>
      <c r="AE855" s="15" t="n">
        <f aca="false">IF(J855=0,0,R855/J855)</f>
        <v>0.0889261744966443</v>
      </c>
      <c r="AF855" s="15" t="n">
        <f aca="false">IF(J855=0,0,S855/J855)</f>
        <v>0.179530201342282</v>
      </c>
      <c r="AG855" s="11" t="n">
        <f aca="false">IF(J855&gt;=INDEX(球季參數!$E$2:$E$4,MATCH($A855,球季參數!$A$2:$A$4,0)),1,0)</f>
        <v>1</v>
      </c>
    </row>
    <row r="856" customFormat="false" ht="15" hidden="false" customHeight="false" outlineLevel="0" collapsed="false">
      <c r="A856" s="5" t="n">
        <v>2026</v>
      </c>
      <c r="B856" s="7" t="s">
        <v>1943</v>
      </c>
      <c r="C856" s="10" t="str">
        <f aca="false">INDEX(球員主檔!$B$2:$B$749,MATCH($B856,球員主檔!$A$2:$A$749,0))</f>
        <v>Garrison Vasquez</v>
      </c>
      <c r="D856" s="7" t="s">
        <v>446</v>
      </c>
      <c r="E856" s="10" t="str">
        <f aca="false">INDEX(球隊主檔!$C$2:$C$31,MATCH($D856,球隊主檔!$A$2:$A$31,0))</f>
        <v>亞利桑那響尾蛇</v>
      </c>
      <c r="F856" s="10" t="str">
        <f aca="false">INDEX(球隊主檔!$D$2:$D$31,MATCH($D856,球隊主檔!$A$2:$A$31,0))</f>
        <v>國聯</v>
      </c>
      <c r="G856" s="7" t="s">
        <v>158</v>
      </c>
      <c r="H856" s="11" t="n">
        <f aca="false">INT((DATE($A856,7,1)-INDEX(球員主檔!$G$2:$G$749,MATCH($B856,球員主檔!$A$2:$A$749,0)))/365.25)</f>
        <v>23</v>
      </c>
      <c r="I856" s="12" t="n">
        <v>135</v>
      </c>
      <c r="J856" s="12" t="n">
        <v>607</v>
      </c>
      <c r="K856" s="12" t="n">
        <v>519</v>
      </c>
      <c r="L856" s="12" t="n">
        <v>75</v>
      </c>
      <c r="M856" s="12" t="n">
        <v>132</v>
      </c>
      <c r="N856" s="12" t="n">
        <v>29</v>
      </c>
      <c r="O856" s="12" t="n">
        <v>3</v>
      </c>
      <c r="P856" s="12" t="n">
        <v>27</v>
      </c>
      <c r="Q856" s="12" t="n">
        <v>75</v>
      </c>
      <c r="R856" s="12" t="n">
        <v>70</v>
      </c>
      <c r="S856" s="12" t="n">
        <v>120</v>
      </c>
      <c r="T856" s="12" t="n">
        <v>12</v>
      </c>
      <c r="U856" s="12" t="n">
        <v>6</v>
      </c>
      <c r="V856" s="12" t="n">
        <v>5</v>
      </c>
      <c r="W856" s="12" t="n">
        <v>2</v>
      </c>
      <c r="X856" s="13" t="n">
        <f aca="false">M856+N856+2*O856+3*P856</f>
        <v>248</v>
      </c>
      <c r="Y856" s="14" t="n">
        <f aca="false">IF(K856=0,0,M856/K856)</f>
        <v>0.254335260115607</v>
      </c>
      <c r="Z856" s="14" t="n">
        <f aca="false">IF(K856+R856+T856+U856=0,0,(M856+R856+T856)/(K856+R856+T856+U856))</f>
        <v>0.352553542009885</v>
      </c>
      <c r="AA856" s="14" t="n">
        <f aca="false">IF(K856=0,0,X856/K856)</f>
        <v>0.477842003853565</v>
      </c>
      <c r="AB856" s="14" t="n">
        <f aca="false">Z856+AA856</f>
        <v>0.830395545863449</v>
      </c>
      <c r="AC856" s="14" t="n">
        <f aca="false">AA856-Y856</f>
        <v>0.223506743737958</v>
      </c>
      <c r="AD856" s="14" t="n">
        <f aca="false">IF(K856-S856-P856+U856=0,0,(M856-P856)/(K856-S856-P856+U856))</f>
        <v>0.277777777777778</v>
      </c>
      <c r="AE856" s="15" t="n">
        <f aca="false">IF(J856=0,0,R856/J856)</f>
        <v>0.115321252059308</v>
      </c>
      <c r="AF856" s="15" t="n">
        <f aca="false">IF(J856=0,0,S856/J856)</f>
        <v>0.197693574958814</v>
      </c>
      <c r="AG856" s="11" t="n">
        <f aca="false">IF(J856&gt;=INDEX(球季參數!$E$2:$E$4,MATCH($A856,球季參數!$A$2:$A$4,0)),1,0)</f>
        <v>1</v>
      </c>
    </row>
    <row r="857" customFormat="false" ht="15" hidden="false" customHeight="false" outlineLevel="0" collapsed="false">
      <c r="A857" s="5" t="n">
        <v>2026</v>
      </c>
      <c r="B857" s="7" t="s">
        <v>1487</v>
      </c>
      <c r="C857" s="10" t="str">
        <f aca="false">INDEX(球員主檔!$B$2:$B$749,MATCH($B857,球員主檔!$A$2:$A$749,0))</f>
        <v>Porter Kestrel</v>
      </c>
      <c r="D857" s="7" t="s">
        <v>446</v>
      </c>
      <c r="E857" s="10" t="str">
        <f aca="false">INDEX(球隊主檔!$C$2:$C$31,MATCH($D857,球隊主檔!$A$2:$A$31,0))</f>
        <v>亞利桑那響尾蛇</v>
      </c>
      <c r="F857" s="10" t="str">
        <f aca="false">INDEX(球隊主檔!$D$2:$D$31,MATCH($D857,球隊主檔!$A$2:$A$31,0))</f>
        <v>國聯</v>
      </c>
      <c r="G857" s="7" t="s">
        <v>470</v>
      </c>
      <c r="H857" s="11" t="n">
        <f aca="false">INT((DATE($A857,7,1)-INDEX(球員主檔!$G$2:$G$749,MATCH($B857,球員主檔!$A$2:$A$749,0)))/365.25)</f>
        <v>30</v>
      </c>
      <c r="I857" s="12" t="n">
        <v>37</v>
      </c>
      <c r="J857" s="12" t="n">
        <v>155</v>
      </c>
      <c r="K857" s="12" t="n">
        <v>138</v>
      </c>
      <c r="L857" s="12" t="n">
        <v>21</v>
      </c>
      <c r="M857" s="12" t="n">
        <v>33</v>
      </c>
      <c r="N857" s="12" t="n">
        <v>13</v>
      </c>
      <c r="O857" s="12" t="n">
        <v>1</v>
      </c>
      <c r="P857" s="12" t="n">
        <v>4</v>
      </c>
      <c r="Q857" s="12" t="n">
        <v>15</v>
      </c>
      <c r="R857" s="12" t="n">
        <v>16</v>
      </c>
      <c r="S857" s="12" t="n">
        <v>41</v>
      </c>
      <c r="T857" s="12" t="n">
        <v>1</v>
      </c>
      <c r="U857" s="12" t="n">
        <v>0</v>
      </c>
      <c r="V857" s="12" t="n">
        <v>3</v>
      </c>
      <c r="W857" s="12" t="n">
        <v>1</v>
      </c>
      <c r="X857" s="13" t="n">
        <f aca="false">M857+N857+2*O857+3*P857</f>
        <v>60</v>
      </c>
      <c r="Y857" s="14" t="n">
        <f aca="false">IF(K857=0,0,M857/K857)</f>
        <v>0.239130434782609</v>
      </c>
      <c r="Z857" s="14" t="n">
        <f aca="false">IF(K857+R857+T857+U857=0,0,(M857+R857+T857)/(K857+R857+T857+U857))</f>
        <v>0.32258064516129</v>
      </c>
      <c r="AA857" s="14" t="n">
        <f aca="false">IF(K857=0,0,X857/K857)</f>
        <v>0.434782608695652</v>
      </c>
      <c r="AB857" s="14" t="n">
        <f aca="false">Z857+AA857</f>
        <v>0.757363253856943</v>
      </c>
      <c r="AC857" s="14" t="n">
        <f aca="false">AA857-Y857</f>
        <v>0.195652173913043</v>
      </c>
      <c r="AD857" s="14" t="n">
        <f aca="false">IF(K857-S857-P857+U857=0,0,(M857-P857)/(K857-S857-P857+U857))</f>
        <v>0.311827956989247</v>
      </c>
      <c r="AE857" s="15" t="n">
        <f aca="false">IF(J857=0,0,R857/J857)</f>
        <v>0.103225806451613</v>
      </c>
      <c r="AF857" s="15" t="n">
        <f aca="false">IF(J857=0,0,S857/J857)</f>
        <v>0.264516129032258</v>
      </c>
      <c r="AG857" s="11" t="n">
        <f aca="false">IF(J857&gt;=INDEX(球季參數!$E$2:$E$4,MATCH($A857,球季參數!$A$2:$A$4,0)),1,0)</f>
        <v>0</v>
      </c>
    </row>
    <row r="858" customFormat="false" ht="15" hidden="false" customHeight="false" outlineLevel="0" collapsed="false">
      <c r="A858" s="5" t="n">
        <v>2026</v>
      </c>
      <c r="B858" s="7" t="s">
        <v>959</v>
      </c>
      <c r="C858" s="10" t="str">
        <f aca="false">INDEX(球員主檔!$B$2:$B$749,MATCH($B858,球員主檔!$A$2:$A$749,0))</f>
        <v>Sousuke Sorrentino</v>
      </c>
      <c r="D858" s="7" t="s">
        <v>446</v>
      </c>
      <c r="E858" s="10" t="str">
        <f aca="false">INDEX(球隊主檔!$C$2:$C$31,MATCH($D858,球隊主檔!$A$2:$A$31,0))</f>
        <v>亞利桑那響尾蛇</v>
      </c>
      <c r="F858" s="10" t="str">
        <f aca="false">INDEX(球隊主檔!$D$2:$D$31,MATCH($D858,球隊主檔!$A$2:$A$31,0))</f>
        <v>國聯</v>
      </c>
      <c r="G858" s="7" t="s">
        <v>483</v>
      </c>
      <c r="H858" s="11" t="n">
        <f aca="false">INT((DATE($A858,7,1)-INDEX(球員主檔!$G$2:$G$749,MATCH($B858,球員主檔!$A$2:$A$749,0)))/365.25)</f>
        <v>28</v>
      </c>
      <c r="I858" s="12" t="n">
        <v>106</v>
      </c>
      <c r="J858" s="12" t="n">
        <v>446</v>
      </c>
      <c r="K858" s="12" t="n">
        <v>400</v>
      </c>
      <c r="L858" s="12" t="n">
        <v>47</v>
      </c>
      <c r="M858" s="12" t="n">
        <v>113</v>
      </c>
      <c r="N858" s="12" t="n">
        <v>24</v>
      </c>
      <c r="O858" s="12" t="n">
        <v>2</v>
      </c>
      <c r="P858" s="12" t="n">
        <v>10</v>
      </c>
      <c r="Q858" s="12" t="n">
        <v>41</v>
      </c>
      <c r="R858" s="12" t="n">
        <v>36</v>
      </c>
      <c r="S858" s="12" t="n">
        <v>86</v>
      </c>
      <c r="T858" s="12" t="n">
        <v>5</v>
      </c>
      <c r="U858" s="12" t="n">
        <v>5</v>
      </c>
      <c r="V858" s="12" t="n">
        <v>10</v>
      </c>
      <c r="W858" s="12" t="n">
        <v>3</v>
      </c>
      <c r="X858" s="13" t="n">
        <f aca="false">M858+N858+2*O858+3*P858</f>
        <v>171</v>
      </c>
      <c r="Y858" s="14" t="n">
        <f aca="false">IF(K858=0,0,M858/K858)</f>
        <v>0.2825</v>
      </c>
      <c r="Z858" s="14" t="n">
        <f aca="false">IF(K858+R858+T858+U858=0,0,(M858+R858+T858)/(K858+R858+T858+U858))</f>
        <v>0.345291479820628</v>
      </c>
      <c r="AA858" s="14" t="n">
        <f aca="false">IF(K858=0,0,X858/K858)</f>
        <v>0.4275</v>
      </c>
      <c r="AB858" s="14" t="n">
        <f aca="false">Z858+AA858</f>
        <v>0.772791479820628</v>
      </c>
      <c r="AC858" s="14" t="n">
        <f aca="false">AA858-Y858</f>
        <v>0.145</v>
      </c>
      <c r="AD858" s="14" t="n">
        <f aca="false">IF(K858-S858-P858+U858=0,0,(M858-P858)/(K858-S858-P858+U858))</f>
        <v>0.333333333333333</v>
      </c>
      <c r="AE858" s="15" t="n">
        <f aca="false">IF(J858=0,0,R858/J858)</f>
        <v>0.0807174887892377</v>
      </c>
      <c r="AF858" s="15" t="n">
        <f aca="false">IF(J858=0,0,S858/J858)</f>
        <v>0.192825112107623</v>
      </c>
      <c r="AG858" s="11" t="n">
        <f aca="false">IF(J858&gt;=INDEX(球季參數!$E$2:$E$4,MATCH($A858,球季參數!$A$2:$A$4,0)),1,0)</f>
        <v>0</v>
      </c>
    </row>
    <row r="859" customFormat="false" ht="15" hidden="false" customHeight="false" outlineLevel="0" collapsed="false">
      <c r="A859" s="5" t="n">
        <v>2026</v>
      </c>
      <c r="B859" s="7" t="s">
        <v>1491</v>
      </c>
      <c r="C859" s="10" t="str">
        <f aca="false">INDEX(球員主檔!$B$2:$B$749,MATCH($B859,球員主檔!$A$2:$A$749,0))</f>
        <v>Holden Montalvo</v>
      </c>
      <c r="D859" s="7" t="s">
        <v>446</v>
      </c>
      <c r="E859" s="10" t="str">
        <f aca="false">INDEX(球隊主檔!$C$2:$C$31,MATCH($D859,球隊主檔!$A$2:$A$31,0))</f>
        <v>亞利桑那響尾蛇</v>
      </c>
      <c r="F859" s="10" t="str">
        <f aca="false">INDEX(球隊主檔!$D$2:$D$31,MATCH($D859,球隊主檔!$A$2:$A$31,0))</f>
        <v>國聯</v>
      </c>
      <c r="G859" s="7" t="s">
        <v>473</v>
      </c>
      <c r="H859" s="11" t="n">
        <f aca="false">INT((DATE($A859,7,1)-INDEX(球員主檔!$G$2:$G$749,MATCH($B859,球員主檔!$A$2:$A$749,0)))/365.25)</f>
        <v>26</v>
      </c>
      <c r="I859" s="12" t="n">
        <v>104</v>
      </c>
      <c r="J859" s="12" t="n">
        <v>403</v>
      </c>
      <c r="K859" s="12" t="n">
        <v>373</v>
      </c>
      <c r="L859" s="12" t="n">
        <v>48</v>
      </c>
      <c r="M859" s="12" t="n">
        <v>113</v>
      </c>
      <c r="N859" s="12" t="n">
        <v>18</v>
      </c>
      <c r="O859" s="12" t="n">
        <v>10</v>
      </c>
      <c r="P859" s="12" t="n">
        <v>13</v>
      </c>
      <c r="Q859" s="12" t="n">
        <v>51</v>
      </c>
      <c r="R859" s="12" t="n">
        <v>25</v>
      </c>
      <c r="S859" s="12" t="n">
        <v>84</v>
      </c>
      <c r="T859" s="12" t="n">
        <v>4</v>
      </c>
      <c r="U859" s="12" t="n">
        <v>1</v>
      </c>
      <c r="V859" s="12" t="n">
        <v>14</v>
      </c>
      <c r="W859" s="12" t="n">
        <v>2</v>
      </c>
      <c r="X859" s="13" t="n">
        <f aca="false">M859+N859+2*O859+3*P859</f>
        <v>190</v>
      </c>
      <c r="Y859" s="14" t="n">
        <f aca="false">IF(K859=0,0,M859/K859)</f>
        <v>0.302949061662198</v>
      </c>
      <c r="Z859" s="14" t="n">
        <f aca="false">IF(K859+R859+T859+U859=0,0,(M859+R859+T859)/(K859+R859+T859+U859))</f>
        <v>0.352357320099256</v>
      </c>
      <c r="AA859" s="14" t="n">
        <f aca="false">IF(K859=0,0,X859/K859)</f>
        <v>0.509383378016086</v>
      </c>
      <c r="AB859" s="14" t="n">
        <f aca="false">Z859+AA859</f>
        <v>0.861740698115341</v>
      </c>
      <c r="AC859" s="14" t="n">
        <f aca="false">AA859-Y859</f>
        <v>0.206434316353887</v>
      </c>
      <c r="AD859" s="14" t="n">
        <f aca="false">IF(K859-S859-P859+U859=0,0,(M859-P859)/(K859-S859-P859+U859))</f>
        <v>0.36101083032491</v>
      </c>
      <c r="AE859" s="15" t="n">
        <f aca="false">IF(J859=0,0,R859/J859)</f>
        <v>0.0620347394540943</v>
      </c>
      <c r="AF859" s="15" t="n">
        <f aca="false">IF(J859=0,0,S859/J859)</f>
        <v>0.208436724565757</v>
      </c>
      <c r="AG859" s="11" t="n">
        <f aca="false">IF(J859&gt;=INDEX(球季參數!$E$2:$E$4,MATCH($A859,球季參數!$A$2:$A$4,0)),1,0)</f>
        <v>0</v>
      </c>
    </row>
    <row r="860" customFormat="false" ht="15" hidden="false" customHeight="false" outlineLevel="0" collapsed="false">
      <c r="A860" s="5" t="n">
        <v>2026</v>
      </c>
      <c r="B860" s="7" t="s">
        <v>1493</v>
      </c>
      <c r="C860" s="10" t="str">
        <f aca="false">INDEX(球員主檔!$B$2:$B$749,MATCH($B860,球員主檔!$A$2:$A$749,0))</f>
        <v>Matthias Nordstrom</v>
      </c>
      <c r="D860" s="7" t="s">
        <v>446</v>
      </c>
      <c r="E860" s="10" t="str">
        <f aca="false">INDEX(球隊主檔!$C$2:$C$31,MATCH($D860,球隊主檔!$A$2:$A$31,0))</f>
        <v>亞利桑那響尾蛇</v>
      </c>
      <c r="F860" s="10" t="str">
        <f aca="false">INDEX(球隊主檔!$D$2:$D$31,MATCH($D860,球隊主檔!$A$2:$A$31,0))</f>
        <v>國聯</v>
      </c>
      <c r="G860" s="7" t="s">
        <v>483</v>
      </c>
      <c r="H860" s="11" t="n">
        <f aca="false">INT((DATE($A860,7,1)-INDEX(球員主檔!$G$2:$G$749,MATCH($B860,球員主檔!$A$2:$A$749,0)))/365.25)</f>
        <v>30</v>
      </c>
      <c r="I860" s="12" t="n">
        <v>65</v>
      </c>
      <c r="J860" s="12" t="n">
        <v>283</v>
      </c>
      <c r="K860" s="12" t="n">
        <v>246</v>
      </c>
      <c r="L860" s="12" t="n">
        <v>36</v>
      </c>
      <c r="M860" s="12" t="n">
        <v>66</v>
      </c>
      <c r="N860" s="12" t="n">
        <v>20</v>
      </c>
      <c r="O860" s="12" t="n">
        <v>3</v>
      </c>
      <c r="P860" s="12" t="n">
        <v>14</v>
      </c>
      <c r="Q860" s="12" t="n">
        <v>46</v>
      </c>
      <c r="R860" s="12" t="n">
        <v>29</v>
      </c>
      <c r="S860" s="12" t="n">
        <v>65</v>
      </c>
      <c r="T860" s="12" t="n">
        <v>4</v>
      </c>
      <c r="U860" s="12" t="n">
        <v>4</v>
      </c>
      <c r="V860" s="12" t="n">
        <v>4</v>
      </c>
      <c r="W860" s="12" t="n">
        <v>1</v>
      </c>
      <c r="X860" s="13" t="n">
        <f aca="false">M860+N860+2*O860+3*P860</f>
        <v>134</v>
      </c>
      <c r="Y860" s="14" t="n">
        <f aca="false">IF(K860=0,0,M860/K860)</f>
        <v>0.268292682926829</v>
      </c>
      <c r="Z860" s="14" t="n">
        <f aca="false">IF(K860+R860+T860+U860=0,0,(M860+R860+T860)/(K860+R860+T860+U860))</f>
        <v>0.34982332155477</v>
      </c>
      <c r="AA860" s="14" t="n">
        <f aca="false">IF(K860=0,0,X860/K860)</f>
        <v>0.544715447154472</v>
      </c>
      <c r="AB860" s="14" t="n">
        <f aca="false">Z860+AA860</f>
        <v>0.894538768709242</v>
      </c>
      <c r="AC860" s="14" t="n">
        <f aca="false">AA860-Y860</f>
        <v>0.276422764227642</v>
      </c>
      <c r="AD860" s="14" t="n">
        <f aca="false">IF(K860-S860-P860+U860=0,0,(M860-P860)/(K860-S860-P860+U860))</f>
        <v>0.304093567251462</v>
      </c>
      <c r="AE860" s="15" t="n">
        <f aca="false">IF(J860=0,0,R860/J860)</f>
        <v>0.102473498233216</v>
      </c>
      <c r="AF860" s="15" t="n">
        <f aca="false">IF(J860=0,0,S860/J860)</f>
        <v>0.229681978798587</v>
      </c>
      <c r="AG860" s="11" t="n">
        <f aca="false">IF(J860&gt;=INDEX(球季參數!$E$2:$E$4,MATCH($A860,球季參數!$A$2:$A$4,0)),1,0)</f>
        <v>0</v>
      </c>
    </row>
    <row r="861" customFormat="false" ht="15" hidden="false" customHeight="false" outlineLevel="0" collapsed="false">
      <c r="A861" s="5" t="n">
        <v>2026</v>
      </c>
      <c r="B861" s="7" t="s">
        <v>1495</v>
      </c>
      <c r="C861" s="10" t="str">
        <f aca="false">INDEX(球員主檔!$B$2:$B$749,MATCH($B861,球員主檔!$A$2:$A$749,0))</f>
        <v>Porter Esquivel</v>
      </c>
      <c r="D861" s="7" t="s">
        <v>446</v>
      </c>
      <c r="E861" s="10" t="str">
        <f aca="false">INDEX(球隊主檔!$C$2:$C$31,MATCH($D861,球隊主檔!$A$2:$A$31,0))</f>
        <v>亞利桑那響尾蛇</v>
      </c>
      <c r="F861" s="10" t="str">
        <f aca="false">INDEX(球隊主檔!$D$2:$D$31,MATCH($D861,球隊主檔!$A$2:$A$31,0))</f>
        <v>國聯</v>
      </c>
      <c r="G861" s="7" t="s">
        <v>158</v>
      </c>
      <c r="H861" s="11" t="n">
        <f aca="false">INT((DATE($A861,7,1)-INDEX(球員主檔!$G$2:$G$749,MATCH($B861,球員主檔!$A$2:$A$749,0)))/365.25)</f>
        <v>30</v>
      </c>
      <c r="I861" s="12" t="n">
        <v>52</v>
      </c>
      <c r="J861" s="12" t="n">
        <v>233</v>
      </c>
      <c r="K861" s="12" t="n">
        <v>210</v>
      </c>
      <c r="L861" s="12" t="n">
        <v>21</v>
      </c>
      <c r="M861" s="12" t="n">
        <v>40</v>
      </c>
      <c r="N861" s="12" t="n">
        <v>15</v>
      </c>
      <c r="O861" s="12" t="n">
        <v>0</v>
      </c>
      <c r="P861" s="12" t="n">
        <v>8</v>
      </c>
      <c r="Q861" s="12" t="n">
        <v>29</v>
      </c>
      <c r="R861" s="12" t="n">
        <v>20</v>
      </c>
      <c r="S861" s="12" t="n">
        <v>50</v>
      </c>
      <c r="T861" s="12" t="n">
        <v>2</v>
      </c>
      <c r="U861" s="12" t="n">
        <v>1</v>
      </c>
      <c r="V861" s="12" t="n">
        <v>2</v>
      </c>
      <c r="W861" s="12" t="n">
        <v>1</v>
      </c>
      <c r="X861" s="13" t="n">
        <f aca="false">M861+N861+2*O861+3*P861</f>
        <v>79</v>
      </c>
      <c r="Y861" s="14" t="n">
        <f aca="false">IF(K861=0,0,M861/K861)</f>
        <v>0.19047619047619</v>
      </c>
      <c r="Z861" s="14" t="n">
        <f aca="false">IF(K861+R861+T861+U861=0,0,(M861+R861+T861)/(K861+R861+T861+U861))</f>
        <v>0.266094420600858</v>
      </c>
      <c r="AA861" s="14" t="n">
        <f aca="false">IF(K861=0,0,X861/K861)</f>
        <v>0.376190476190476</v>
      </c>
      <c r="AB861" s="14" t="n">
        <f aca="false">Z861+AA861</f>
        <v>0.642284896791335</v>
      </c>
      <c r="AC861" s="14" t="n">
        <f aca="false">AA861-Y861</f>
        <v>0.185714285714286</v>
      </c>
      <c r="AD861" s="14" t="n">
        <f aca="false">IF(K861-S861-P861+U861=0,0,(M861-P861)/(K861-S861-P861+U861))</f>
        <v>0.209150326797386</v>
      </c>
      <c r="AE861" s="15" t="n">
        <f aca="false">IF(J861=0,0,R861/J861)</f>
        <v>0.0858369098712446</v>
      </c>
      <c r="AF861" s="15" t="n">
        <f aca="false">IF(J861=0,0,S861/J861)</f>
        <v>0.214592274678112</v>
      </c>
      <c r="AG861" s="11" t="n">
        <f aca="false">IF(J861&gt;=INDEX(球季參數!$E$2:$E$4,MATCH($A861,球季參數!$A$2:$A$4,0)),1,0)</f>
        <v>0</v>
      </c>
    </row>
    <row r="862" customFormat="false" ht="15" hidden="false" customHeight="false" outlineLevel="0" collapsed="false">
      <c r="A862" s="5" t="n">
        <v>2026</v>
      </c>
      <c r="B862" s="7" t="s">
        <v>1601</v>
      </c>
      <c r="C862" s="10" t="str">
        <f aca="false">INDEX(球員主檔!$B$2:$B$749,MATCH($B862,球員主檔!$A$2:$A$749,0))</f>
        <v>Everett Dunmore</v>
      </c>
      <c r="D862" s="7" t="s">
        <v>451</v>
      </c>
      <c r="E862" s="10" t="str">
        <f aca="false">INDEX(球隊主檔!$C$2:$C$31,MATCH($D862,球隊主檔!$A$2:$A$31,0))</f>
        <v>科羅拉多落磯</v>
      </c>
      <c r="F862" s="10" t="str">
        <f aca="false">INDEX(球隊主檔!$D$2:$D$31,MATCH($D862,球隊主檔!$A$2:$A$31,0))</f>
        <v>國聯</v>
      </c>
      <c r="G862" s="7" t="s">
        <v>470</v>
      </c>
      <c r="H862" s="11" t="n">
        <f aca="false">INT((DATE($A862,7,1)-INDEX(球員主檔!$G$2:$G$749,MATCH($B862,球員主檔!$A$2:$A$749,0)))/365.25)</f>
        <v>35</v>
      </c>
      <c r="I862" s="12" t="n">
        <v>162</v>
      </c>
      <c r="J862" s="12" t="n">
        <v>659</v>
      </c>
      <c r="K862" s="12" t="n">
        <v>600</v>
      </c>
      <c r="L862" s="12" t="n">
        <v>70</v>
      </c>
      <c r="M862" s="12" t="n">
        <v>140</v>
      </c>
      <c r="N862" s="12" t="n">
        <v>12</v>
      </c>
      <c r="O862" s="12" t="n">
        <v>8</v>
      </c>
      <c r="P862" s="12" t="n">
        <v>19</v>
      </c>
      <c r="Q862" s="12" t="n">
        <v>67</v>
      </c>
      <c r="R862" s="12" t="n">
        <v>53</v>
      </c>
      <c r="S862" s="12" t="n">
        <v>155</v>
      </c>
      <c r="T862" s="12" t="n">
        <v>4</v>
      </c>
      <c r="U862" s="12" t="n">
        <v>2</v>
      </c>
      <c r="V862" s="12" t="n">
        <v>3</v>
      </c>
      <c r="W862" s="12" t="n">
        <v>1</v>
      </c>
      <c r="X862" s="13" t="n">
        <f aca="false">M862+N862+2*O862+3*P862</f>
        <v>225</v>
      </c>
      <c r="Y862" s="14" t="n">
        <f aca="false">IF(K862=0,0,M862/K862)</f>
        <v>0.233333333333333</v>
      </c>
      <c r="Z862" s="14" t="n">
        <f aca="false">IF(K862+R862+T862+U862=0,0,(M862+R862+T862)/(K862+R862+T862+U862))</f>
        <v>0.298937784522003</v>
      </c>
      <c r="AA862" s="14" t="n">
        <f aca="false">IF(K862=0,0,X862/K862)</f>
        <v>0.375</v>
      </c>
      <c r="AB862" s="14" t="n">
        <f aca="false">Z862+AA862</f>
        <v>0.673937784522003</v>
      </c>
      <c r="AC862" s="14" t="n">
        <f aca="false">AA862-Y862</f>
        <v>0.141666666666667</v>
      </c>
      <c r="AD862" s="14" t="n">
        <f aca="false">IF(K862-S862-P862+U862=0,0,(M862-P862)/(K862-S862-P862+U862))</f>
        <v>0.282710280373832</v>
      </c>
      <c r="AE862" s="15" t="n">
        <f aca="false">IF(J862=0,0,R862/J862)</f>
        <v>0.0804248861911988</v>
      </c>
      <c r="AF862" s="15" t="n">
        <f aca="false">IF(J862=0,0,S862/J862)</f>
        <v>0.235204855842185</v>
      </c>
      <c r="AG862" s="11" t="n">
        <f aca="false">IF(J862&gt;=INDEX(球季參數!$E$2:$E$4,MATCH($A862,球季參數!$A$2:$A$4,0)),1,0)</f>
        <v>1</v>
      </c>
    </row>
    <row r="863" customFormat="false" ht="15" hidden="false" customHeight="false" outlineLevel="0" collapsed="false">
      <c r="A863" s="5" t="n">
        <v>2026</v>
      </c>
      <c r="B863" s="7" t="s">
        <v>1519</v>
      </c>
      <c r="C863" s="10" t="str">
        <f aca="false">INDEX(球員主檔!$B$2:$B$749,MATCH($B863,球員主檔!$A$2:$A$749,0))</f>
        <v>Zane Lemieux</v>
      </c>
      <c r="D863" s="7" t="s">
        <v>451</v>
      </c>
      <c r="E863" s="10" t="str">
        <f aca="false">INDEX(球隊主檔!$C$2:$C$31,MATCH($D863,球隊主檔!$A$2:$A$31,0))</f>
        <v>科羅拉多落磯</v>
      </c>
      <c r="F863" s="10" t="str">
        <f aca="false">INDEX(球隊主檔!$D$2:$D$31,MATCH($D863,球隊主檔!$A$2:$A$31,0))</f>
        <v>國聯</v>
      </c>
      <c r="G863" s="7" t="s">
        <v>470</v>
      </c>
      <c r="H863" s="11" t="n">
        <f aca="false">INT((DATE($A863,7,1)-INDEX(球員主檔!$G$2:$G$749,MATCH($B863,球員主檔!$A$2:$A$749,0)))/365.25)</f>
        <v>31</v>
      </c>
      <c r="I863" s="12" t="n">
        <v>145</v>
      </c>
      <c r="J863" s="12" t="n">
        <v>637</v>
      </c>
      <c r="K863" s="12" t="n">
        <v>586</v>
      </c>
      <c r="L863" s="12" t="n">
        <v>82</v>
      </c>
      <c r="M863" s="12" t="n">
        <v>154</v>
      </c>
      <c r="N863" s="12" t="n">
        <v>22</v>
      </c>
      <c r="O863" s="12" t="n">
        <v>4</v>
      </c>
      <c r="P863" s="12" t="n">
        <v>28</v>
      </c>
      <c r="Q863" s="12" t="n">
        <v>101</v>
      </c>
      <c r="R863" s="12" t="n">
        <v>37</v>
      </c>
      <c r="S863" s="12" t="n">
        <v>163</v>
      </c>
      <c r="T863" s="12" t="n">
        <v>6</v>
      </c>
      <c r="U863" s="12" t="n">
        <v>8</v>
      </c>
      <c r="V863" s="12" t="n">
        <v>19</v>
      </c>
      <c r="W863" s="12" t="n">
        <v>6</v>
      </c>
      <c r="X863" s="13" t="n">
        <f aca="false">M863+N863+2*O863+3*P863</f>
        <v>268</v>
      </c>
      <c r="Y863" s="14" t="n">
        <f aca="false">IF(K863=0,0,M863/K863)</f>
        <v>0.262798634812287</v>
      </c>
      <c r="Z863" s="14" t="n">
        <f aca="false">IF(K863+R863+T863+U863=0,0,(M863+R863+T863)/(K863+R863+T863+U863))</f>
        <v>0.309262166405024</v>
      </c>
      <c r="AA863" s="14" t="n">
        <f aca="false">IF(K863=0,0,X863/K863)</f>
        <v>0.457337883959044</v>
      </c>
      <c r="AB863" s="14" t="n">
        <f aca="false">Z863+AA863</f>
        <v>0.766600050364068</v>
      </c>
      <c r="AC863" s="14" t="n">
        <f aca="false">AA863-Y863</f>
        <v>0.194539249146758</v>
      </c>
      <c r="AD863" s="14" t="n">
        <f aca="false">IF(K863-S863-P863+U863=0,0,(M863-P863)/(K863-S863-P863+U863))</f>
        <v>0.312655086848635</v>
      </c>
      <c r="AE863" s="15" t="n">
        <f aca="false">IF(J863=0,0,R863/J863)</f>
        <v>0.0580847723704867</v>
      </c>
      <c r="AF863" s="15" t="n">
        <f aca="false">IF(J863=0,0,S863/J863)</f>
        <v>0.255886970172684</v>
      </c>
      <c r="AG863" s="11" t="n">
        <f aca="false">IF(J863&gt;=INDEX(球季參數!$E$2:$E$4,MATCH($A863,球季參數!$A$2:$A$4,0)),1,0)</f>
        <v>1</v>
      </c>
    </row>
    <row r="864" customFormat="false" ht="15" hidden="false" customHeight="false" outlineLevel="0" collapsed="false">
      <c r="A864" s="5" t="n">
        <v>2026</v>
      </c>
      <c r="B864" s="7" t="s">
        <v>1951</v>
      </c>
      <c r="C864" s="10" t="str">
        <f aca="false">INDEX(球員主檔!$B$2:$B$749,MATCH($B864,球員主檔!$A$2:$A$749,0))</f>
        <v>Percival Haverford</v>
      </c>
      <c r="D864" s="7" t="s">
        <v>451</v>
      </c>
      <c r="E864" s="10" t="str">
        <f aca="false">INDEX(球隊主檔!$C$2:$C$31,MATCH($D864,球隊主檔!$A$2:$A$31,0))</f>
        <v>科羅拉多落磯</v>
      </c>
      <c r="F864" s="10" t="str">
        <f aca="false">INDEX(球隊主檔!$D$2:$D$31,MATCH($D864,球隊主檔!$A$2:$A$31,0))</f>
        <v>國聯</v>
      </c>
      <c r="G864" s="7" t="s">
        <v>470</v>
      </c>
      <c r="H864" s="11" t="n">
        <f aca="false">INT((DATE($A864,7,1)-INDEX(球員主檔!$G$2:$G$749,MATCH($B864,球員主檔!$A$2:$A$749,0)))/365.25)</f>
        <v>25</v>
      </c>
      <c r="I864" s="12" t="n">
        <v>162</v>
      </c>
      <c r="J864" s="12" t="n">
        <v>682</v>
      </c>
      <c r="K864" s="12" t="n">
        <v>601</v>
      </c>
      <c r="L864" s="12" t="n">
        <v>92</v>
      </c>
      <c r="M864" s="12" t="n">
        <v>137</v>
      </c>
      <c r="N864" s="12" t="n">
        <v>36</v>
      </c>
      <c r="O864" s="12" t="n">
        <v>10</v>
      </c>
      <c r="P864" s="12" t="n">
        <v>37</v>
      </c>
      <c r="Q864" s="12" t="n">
        <v>90</v>
      </c>
      <c r="R864" s="12" t="n">
        <v>70</v>
      </c>
      <c r="S864" s="12" t="n">
        <v>141</v>
      </c>
      <c r="T864" s="12" t="n">
        <v>7</v>
      </c>
      <c r="U864" s="12" t="n">
        <v>4</v>
      </c>
      <c r="V864" s="12" t="n">
        <v>10</v>
      </c>
      <c r="W864" s="12" t="n">
        <v>3</v>
      </c>
      <c r="X864" s="13" t="n">
        <f aca="false">M864+N864+2*O864+3*P864</f>
        <v>304</v>
      </c>
      <c r="Y864" s="14" t="n">
        <f aca="false">IF(K864=0,0,M864/K864)</f>
        <v>0.227953410981697</v>
      </c>
      <c r="Z864" s="14" t="n">
        <f aca="false">IF(K864+R864+T864+U864=0,0,(M864+R864+T864)/(K864+R864+T864+U864))</f>
        <v>0.313782991202346</v>
      </c>
      <c r="AA864" s="14" t="n">
        <f aca="false">IF(K864=0,0,X864/K864)</f>
        <v>0.505823627287854</v>
      </c>
      <c r="AB864" s="14" t="n">
        <f aca="false">Z864+AA864</f>
        <v>0.8196066184902</v>
      </c>
      <c r="AC864" s="14" t="n">
        <f aca="false">AA864-Y864</f>
        <v>0.277870216306156</v>
      </c>
      <c r="AD864" s="14" t="n">
        <f aca="false">IF(K864-S864-P864+U864=0,0,(M864-P864)/(K864-S864-P864+U864))</f>
        <v>0.234192037470726</v>
      </c>
      <c r="AE864" s="15" t="n">
        <f aca="false">IF(J864=0,0,R864/J864)</f>
        <v>0.102639296187683</v>
      </c>
      <c r="AF864" s="15" t="n">
        <f aca="false">IF(J864=0,0,S864/J864)</f>
        <v>0.206744868035191</v>
      </c>
      <c r="AG864" s="11" t="n">
        <f aca="false">IF(J864&gt;=INDEX(球季參數!$E$2:$E$4,MATCH($A864,球季參數!$A$2:$A$4,0)),1,0)</f>
        <v>1</v>
      </c>
    </row>
    <row r="865" customFormat="false" ht="15" hidden="false" customHeight="false" outlineLevel="0" collapsed="false">
      <c r="A865" s="5" t="n">
        <v>2026</v>
      </c>
      <c r="B865" s="7" t="s">
        <v>1523</v>
      </c>
      <c r="C865" s="10" t="str">
        <f aca="false">INDEX(球員主檔!$B$2:$B$749,MATCH($B865,球員主檔!$A$2:$A$749,0))</f>
        <v>Jedidiah Ibarra</v>
      </c>
      <c r="D865" s="7" t="s">
        <v>451</v>
      </c>
      <c r="E865" s="10" t="str">
        <f aca="false">INDEX(球隊主檔!$C$2:$C$31,MATCH($D865,球隊主檔!$A$2:$A$31,0))</f>
        <v>科羅拉多落磯</v>
      </c>
      <c r="F865" s="10" t="str">
        <f aca="false">INDEX(球隊主檔!$D$2:$D$31,MATCH($D865,球隊主檔!$A$2:$A$31,0))</f>
        <v>國聯</v>
      </c>
      <c r="G865" s="7" t="s">
        <v>162</v>
      </c>
      <c r="H865" s="11" t="n">
        <f aca="false">INT((DATE($A865,7,1)-INDEX(球員主檔!$G$2:$G$749,MATCH($B865,球員主檔!$A$2:$A$749,0)))/365.25)</f>
        <v>25</v>
      </c>
      <c r="I865" s="12" t="n">
        <v>154</v>
      </c>
      <c r="J865" s="12" t="n">
        <v>677</v>
      </c>
      <c r="K865" s="12" t="n">
        <v>604</v>
      </c>
      <c r="L865" s="12" t="n">
        <v>72</v>
      </c>
      <c r="M865" s="12" t="n">
        <v>149</v>
      </c>
      <c r="N865" s="12" t="n">
        <v>32</v>
      </c>
      <c r="O865" s="12" t="n">
        <v>12</v>
      </c>
      <c r="P865" s="12" t="n">
        <v>17</v>
      </c>
      <c r="Q865" s="12" t="n">
        <v>71</v>
      </c>
      <c r="R865" s="12" t="n">
        <v>59</v>
      </c>
      <c r="S865" s="12" t="n">
        <v>185</v>
      </c>
      <c r="T865" s="12" t="n">
        <v>8</v>
      </c>
      <c r="U865" s="12" t="n">
        <v>6</v>
      </c>
      <c r="V865" s="12" t="n">
        <v>22</v>
      </c>
      <c r="W865" s="12" t="n">
        <v>5</v>
      </c>
      <c r="X865" s="13" t="n">
        <f aca="false">M865+N865+2*O865+3*P865</f>
        <v>256</v>
      </c>
      <c r="Y865" s="14" t="n">
        <f aca="false">IF(K865=0,0,M865/K865)</f>
        <v>0.246688741721854</v>
      </c>
      <c r="Z865" s="14" t="n">
        <f aca="false">IF(K865+R865+T865+U865=0,0,(M865+R865+T865)/(K865+R865+T865+U865))</f>
        <v>0.319054652880355</v>
      </c>
      <c r="AA865" s="14" t="n">
        <f aca="false">IF(K865=0,0,X865/K865)</f>
        <v>0.423841059602649</v>
      </c>
      <c r="AB865" s="14" t="n">
        <f aca="false">Z865+AA865</f>
        <v>0.742895712483004</v>
      </c>
      <c r="AC865" s="14" t="n">
        <f aca="false">AA865-Y865</f>
        <v>0.177152317880795</v>
      </c>
      <c r="AD865" s="14" t="n">
        <f aca="false">IF(K865-S865-P865+U865=0,0,(M865-P865)/(K865-S865-P865+U865))</f>
        <v>0.323529411764706</v>
      </c>
      <c r="AE865" s="15" t="n">
        <f aca="false">IF(J865=0,0,R865/J865)</f>
        <v>0.0871491875923191</v>
      </c>
      <c r="AF865" s="15" t="n">
        <f aca="false">IF(J865=0,0,S865/J865)</f>
        <v>0.273264401772526</v>
      </c>
      <c r="AG865" s="11" t="n">
        <f aca="false">IF(J865&gt;=INDEX(球季參數!$E$2:$E$4,MATCH($A865,球季參數!$A$2:$A$4,0)),1,0)</f>
        <v>1</v>
      </c>
    </row>
    <row r="866" customFormat="false" ht="15" hidden="false" customHeight="false" outlineLevel="0" collapsed="false">
      <c r="A866" s="5" t="n">
        <v>2026</v>
      </c>
      <c r="B866" s="7" t="s">
        <v>1525</v>
      </c>
      <c r="C866" s="10" t="str">
        <f aca="false">INDEX(球員主檔!$B$2:$B$749,MATCH($B866,球員主檔!$A$2:$A$749,0))</f>
        <v>Sawyer Zamarripa</v>
      </c>
      <c r="D866" s="7" t="s">
        <v>451</v>
      </c>
      <c r="E866" s="10" t="str">
        <f aca="false">INDEX(球隊主檔!$C$2:$C$31,MATCH($D866,球隊主檔!$A$2:$A$31,0))</f>
        <v>科羅拉多落磯</v>
      </c>
      <c r="F866" s="10" t="str">
        <f aca="false">INDEX(球隊主檔!$D$2:$D$31,MATCH($D866,球隊主檔!$A$2:$A$31,0))</f>
        <v>國聯</v>
      </c>
      <c r="G866" s="7" t="s">
        <v>478</v>
      </c>
      <c r="H866" s="11" t="n">
        <f aca="false">INT((DATE($A866,7,1)-INDEX(球員主檔!$G$2:$G$749,MATCH($B866,球員主檔!$A$2:$A$749,0)))/365.25)</f>
        <v>26</v>
      </c>
      <c r="I866" s="12" t="n">
        <v>160</v>
      </c>
      <c r="J866" s="12" t="n">
        <v>666</v>
      </c>
      <c r="K866" s="12" t="n">
        <v>589</v>
      </c>
      <c r="L866" s="12" t="n">
        <v>79</v>
      </c>
      <c r="M866" s="12" t="n">
        <v>143</v>
      </c>
      <c r="N866" s="12" t="n">
        <v>30</v>
      </c>
      <c r="O866" s="12" t="n">
        <v>3</v>
      </c>
      <c r="P866" s="12" t="n">
        <v>24</v>
      </c>
      <c r="Q866" s="12" t="n">
        <v>74</v>
      </c>
      <c r="R866" s="12" t="n">
        <v>65</v>
      </c>
      <c r="S866" s="12" t="n">
        <v>142</v>
      </c>
      <c r="T866" s="12" t="n">
        <v>8</v>
      </c>
      <c r="U866" s="12" t="n">
        <v>4</v>
      </c>
      <c r="V866" s="12" t="n">
        <v>6</v>
      </c>
      <c r="W866" s="12" t="n">
        <v>1</v>
      </c>
      <c r="X866" s="13" t="n">
        <f aca="false">M866+N866+2*O866+3*P866</f>
        <v>251</v>
      </c>
      <c r="Y866" s="14" t="n">
        <f aca="false">IF(K866=0,0,M866/K866)</f>
        <v>0.242784380305603</v>
      </c>
      <c r="Z866" s="14" t="n">
        <f aca="false">IF(K866+R866+T866+U866=0,0,(M866+R866+T866)/(K866+R866+T866+U866))</f>
        <v>0.324324324324324</v>
      </c>
      <c r="AA866" s="14" t="n">
        <f aca="false">IF(K866=0,0,X866/K866)</f>
        <v>0.426146010186757</v>
      </c>
      <c r="AB866" s="14" t="n">
        <f aca="false">Z866+AA866</f>
        <v>0.750470334511082</v>
      </c>
      <c r="AC866" s="14" t="n">
        <f aca="false">AA866-Y866</f>
        <v>0.183361629881155</v>
      </c>
      <c r="AD866" s="14" t="n">
        <f aca="false">IF(K866-S866-P866+U866=0,0,(M866-P866)/(K866-S866-P866+U866))</f>
        <v>0.278688524590164</v>
      </c>
      <c r="AE866" s="15" t="n">
        <f aca="false">IF(J866=0,0,R866/J866)</f>
        <v>0.0975975975975976</v>
      </c>
      <c r="AF866" s="15" t="n">
        <f aca="false">IF(J866=0,0,S866/J866)</f>
        <v>0.213213213213213</v>
      </c>
      <c r="AG866" s="11" t="n">
        <f aca="false">IF(J866&gt;=INDEX(球季參數!$E$2:$E$4,MATCH($A866,球季參數!$A$2:$A$4,0)),1,0)</f>
        <v>1</v>
      </c>
    </row>
    <row r="867" customFormat="false" ht="15" hidden="false" customHeight="false" outlineLevel="0" collapsed="false">
      <c r="A867" s="5" t="n">
        <v>2026</v>
      </c>
      <c r="B867" s="7" t="s">
        <v>1527</v>
      </c>
      <c r="C867" s="10" t="str">
        <f aca="false">INDEX(球員主檔!$B$2:$B$749,MATCH($B867,球員主檔!$A$2:$A$749,0))</f>
        <v>Joaquín Kowalczyk</v>
      </c>
      <c r="D867" s="7" t="s">
        <v>451</v>
      </c>
      <c r="E867" s="10" t="str">
        <f aca="false">INDEX(球隊主檔!$C$2:$C$31,MATCH($D867,球隊主檔!$A$2:$A$31,0))</f>
        <v>科羅拉多落磯</v>
      </c>
      <c r="F867" s="10" t="str">
        <f aca="false">INDEX(球隊主檔!$D$2:$D$31,MATCH($D867,球隊主檔!$A$2:$A$31,0))</f>
        <v>國聯</v>
      </c>
      <c r="G867" s="7" t="s">
        <v>470</v>
      </c>
      <c r="H867" s="11" t="n">
        <f aca="false">INT((DATE($A867,7,1)-INDEX(球員主檔!$G$2:$G$749,MATCH($B867,球員主檔!$A$2:$A$749,0)))/365.25)</f>
        <v>27</v>
      </c>
      <c r="I867" s="12" t="n">
        <v>93</v>
      </c>
      <c r="J867" s="12" t="n">
        <v>398</v>
      </c>
      <c r="K867" s="12" t="n">
        <v>349</v>
      </c>
      <c r="L867" s="12" t="n">
        <v>49</v>
      </c>
      <c r="M867" s="12" t="n">
        <v>89</v>
      </c>
      <c r="N867" s="12" t="n">
        <v>21</v>
      </c>
      <c r="O867" s="12" t="n">
        <v>3</v>
      </c>
      <c r="P867" s="12" t="n">
        <v>14</v>
      </c>
      <c r="Q867" s="12" t="n">
        <v>43</v>
      </c>
      <c r="R867" s="12" t="n">
        <v>40</v>
      </c>
      <c r="S867" s="12" t="n">
        <v>83</v>
      </c>
      <c r="T867" s="12" t="n">
        <v>4</v>
      </c>
      <c r="U867" s="12" t="n">
        <v>5</v>
      </c>
      <c r="V867" s="12" t="n">
        <v>22</v>
      </c>
      <c r="W867" s="12" t="n">
        <v>7</v>
      </c>
      <c r="X867" s="13" t="n">
        <f aca="false">M867+N867+2*O867+3*P867</f>
        <v>158</v>
      </c>
      <c r="Y867" s="14" t="n">
        <f aca="false">IF(K867=0,0,M867/K867)</f>
        <v>0.255014326647564</v>
      </c>
      <c r="Z867" s="14" t="n">
        <f aca="false">IF(K867+R867+T867+U867=0,0,(M867+R867+T867)/(K867+R867+T867+U867))</f>
        <v>0.334170854271357</v>
      </c>
      <c r="AA867" s="14" t="n">
        <f aca="false">IF(K867=0,0,X867/K867)</f>
        <v>0.452722063037249</v>
      </c>
      <c r="AB867" s="14" t="n">
        <f aca="false">Z867+AA867</f>
        <v>0.786892917308606</v>
      </c>
      <c r="AC867" s="14" t="n">
        <f aca="false">AA867-Y867</f>
        <v>0.197707736389685</v>
      </c>
      <c r="AD867" s="14" t="n">
        <f aca="false">IF(K867-S867-P867+U867=0,0,(M867-P867)/(K867-S867-P867+U867))</f>
        <v>0.291828793774319</v>
      </c>
      <c r="AE867" s="15" t="n">
        <f aca="false">IF(J867=0,0,R867/J867)</f>
        <v>0.100502512562814</v>
      </c>
      <c r="AF867" s="15" t="n">
        <f aca="false">IF(J867=0,0,S867/J867)</f>
        <v>0.208542713567839</v>
      </c>
      <c r="AG867" s="11" t="n">
        <f aca="false">IF(J867&gt;=INDEX(球季參數!$E$2:$E$4,MATCH($A867,球季參數!$A$2:$A$4,0)),1,0)</f>
        <v>0</v>
      </c>
    </row>
    <row r="868" customFormat="false" ht="15" hidden="false" customHeight="false" outlineLevel="0" collapsed="false">
      <c r="A868" s="5" t="n">
        <v>2026</v>
      </c>
      <c r="B868" s="7" t="s">
        <v>1529</v>
      </c>
      <c r="C868" s="10" t="str">
        <f aca="false">INDEX(球員主檔!$B$2:$B$749,MATCH($B868,球員主檔!$A$2:$A$749,0))</f>
        <v>Minjae Ulloa</v>
      </c>
      <c r="D868" s="7" t="s">
        <v>451</v>
      </c>
      <c r="E868" s="10" t="str">
        <f aca="false">INDEX(球隊主檔!$C$2:$C$31,MATCH($D868,球隊主檔!$A$2:$A$31,0))</f>
        <v>科羅拉多落磯</v>
      </c>
      <c r="F868" s="10" t="str">
        <f aca="false">INDEX(球隊主檔!$D$2:$D$31,MATCH($D868,球隊主檔!$A$2:$A$31,0))</f>
        <v>國聯</v>
      </c>
      <c r="G868" s="7" t="s">
        <v>63</v>
      </c>
      <c r="H868" s="11" t="n">
        <f aca="false">INT((DATE($A868,7,1)-INDEX(球員主檔!$G$2:$G$749,MATCH($B868,球員主檔!$A$2:$A$749,0)))/365.25)</f>
        <v>28</v>
      </c>
      <c r="I868" s="12" t="n">
        <v>127</v>
      </c>
      <c r="J868" s="12" t="n">
        <v>495</v>
      </c>
      <c r="K868" s="12" t="n">
        <v>444</v>
      </c>
      <c r="L868" s="12" t="n">
        <v>52</v>
      </c>
      <c r="M868" s="12" t="n">
        <v>113</v>
      </c>
      <c r="N868" s="12" t="n">
        <v>30</v>
      </c>
      <c r="O868" s="12" t="n">
        <v>3</v>
      </c>
      <c r="P868" s="12" t="n">
        <v>5</v>
      </c>
      <c r="Q868" s="12" t="n">
        <v>34</v>
      </c>
      <c r="R868" s="12" t="n">
        <v>48</v>
      </c>
      <c r="S868" s="12" t="n">
        <v>76</v>
      </c>
      <c r="T868" s="12" t="n">
        <v>2</v>
      </c>
      <c r="U868" s="12" t="n">
        <v>1</v>
      </c>
      <c r="V868" s="12" t="n">
        <v>25</v>
      </c>
      <c r="W868" s="12" t="n">
        <v>5</v>
      </c>
      <c r="X868" s="13" t="n">
        <f aca="false">M868+N868+2*O868+3*P868</f>
        <v>164</v>
      </c>
      <c r="Y868" s="14" t="n">
        <f aca="false">IF(K868=0,0,M868/K868)</f>
        <v>0.254504504504505</v>
      </c>
      <c r="Z868" s="14" t="n">
        <f aca="false">IF(K868+R868+T868+U868=0,0,(M868+R868+T868)/(K868+R868+T868+U868))</f>
        <v>0.329292929292929</v>
      </c>
      <c r="AA868" s="14" t="n">
        <f aca="false">IF(K868=0,0,X868/K868)</f>
        <v>0.369369369369369</v>
      </c>
      <c r="AB868" s="14" t="n">
        <f aca="false">Z868+AA868</f>
        <v>0.698662298662299</v>
      </c>
      <c r="AC868" s="14" t="n">
        <f aca="false">AA868-Y868</f>
        <v>0.114864864864865</v>
      </c>
      <c r="AD868" s="14" t="n">
        <f aca="false">IF(K868-S868-P868+U868=0,0,(M868-P868)/(K868-S868-P868+U868))</f>
        <v>0.296703296703297</v>
      </c>
      <c r="AE868" s="15" t="n">
        <f aca="false">IF(J868=0,0,R868/J868)</f>
        <v>0.096969696969697</v>
      </c>
      <c r="AF868" s="15" t="n">
        <f aca="false">IF(J868=0,0,S868/J868)</f>
        <v>0.153535353535354</v>
      </c>
      <c r="AG868" s="11" t="n">
        <f aca="false">IF(J868&gt;=INDEX(球季參數!$E$2:$E$4,MATCH($A868,球季參數!$A$2:$A$4,0)),1,0)</f>
        <v>0</v>
      </c>
    </row>
    <row r="869" customFormat="false" ht="15" hidden="false" customHeight="false" outlineLevel="0" collapsed="false">
      <c r="A869" s="5" t="n">
        <v>2026</v>
      </c>
      <c r="B869" s="7" t="s">
        <v>1531</v>
      </c>
      <c r="C869" s="10" t="str">
        <f aca="false">INDEX(球員主檔!$B$2:$B$749,MATCH($B869,球員主檔!$A$2:$A$749,0))</f>
        <v>Alonso Kestrel</v>
      </c>
      <c r="D869" s="7" t="s">
        <v>451</v>
      </c>
      <c r="E869" s="10" t="str">
        <f aca="false">INDEX(球隊主檔!$C$2:$C$31,MATCH($D869,球隊主檔!$A$2:$A$31,0))</f>
        <v>科羅拉多落磯</v>
      </c>
      <c r="F869" s="10" t="str">
        <f aca="false">INDEX(球隊主檔!$D$2:$D$31,MATCH($D869,球隊主檔!$A$2:$A$31,0))</f>
        <v>國聯</v>
      </c>
      <c r="G869" s="7" t="s">
        <v>522</v>
      </c>
      <c r="H869" s="11" t="n">
        <f aca="false">INT((DATE($A869,7,1)-INDEX(球員主檔!$G$2:$G$749,MATCH($B869,球員主檔!$A$2:$A$749,0)))/365.25)</f>
        <v>32</v>
      </c>
      <c r="I869" s="12" t="n">
        <v>109</v>
      </c>
      <c r="J869" s="12" t="n">
        <v>448</v>
      </c>
      <c r="K869" s="12" t="n">
        <v>385</v>
      </c>
      <c r="L869" s="12" t="n">
        <v>52</v>
      </c>
      <c r="M869" s="12" t="n">
        <v>85</v>
      </c>
      <c r="N869" s="12" t="n">
        <v>31</v>
      </c>
      <c r="O869" s="12" t="n">
        <v>3</v>
      </c>
      <c r="P869" s="12" t="n">
        <v>17</v>
      </c>
      <c r="Q869" s="12" t="n">
        <v>51</v>
      </c>
      <c r="R869" s="12" t="n">
        <v>53</v>
      </c>
      <c r="S869" s="12" t="n">
        <v>107</v>
      </c>
      <c r="T869" s="12" t="n">
        <v>5</v>
      </c>
      <c r="U869" s="12" t="n">
        <v>5</v>
      </c>
      <c r="V869" s="12" t="n">
        <v>8</v>
      </c>
      <c r="W869" s="12" t="n">
        <v>2</v>
      </c>
      <c r="X869" s="13" t="n">
        <f aca="false">M869+N869+2*O869+3*P869</f>
        <v>173</v>
      </c>
      <c r="Y869" s="14" t="n">
        <f aca="false">IF(K869=0,0,M869/K869)</f>
        <v>0.220779220779221</v>
      </c>
      <c r="Z869" s="14" t="n">
        <f aca="false">IF(K869+R869+T869+U869=0,0,(M869+R869+T869)/(K869+R869+T869+U869))</f>
        <v>0.319196428571429</v>
      </c>
      <c r="AA869" s="14" t="n">
        <f aca="false">IF(K869=0,0,X869/K869)</f>
        <v>0.449350649350649</v>
      </c>
      <c r="AB869" s="14" t="n">
        <f aca="false">Z869+AA869</f>
        <v>0.768547077922078</v>
      </c>
      <c r="AC869" s="14" t="n">
        <f aca="false">AA869-Y869</f>
        <v>0.228571428571429</v>
      </c>
      <c r="AD869" s="14" t="n">
        <f aca="false">IF(K869-S869-P869+U869=0,0,(M869-P869)/(K869-S869-P869+U869))</f>
        <v>0.255639097744361</v>
      </c>
      <c r="AE869" s="15" t="n">
        <f aca="false">IF(J869=0,0,R869/J869)</f>
        <v>0.118303571428571</v>
      </c>
      <c r="AF869" s="15" t="n">
        <f aca="false">IF(J869=0,0,S869/J869)</f>
        <v>0.238839285714286</v>
      </c>
      <c r="AG869" s="11" t="n">
        <f aca="false">IF(J869&gt;=INDEX(球季參數!$E$2:$E$4,MATCH($A869,球季參數!$A$2:$A$4,0)),1,0)</f>
        <v>0</v>
      </c>
    </row>
    <row r="870" customFormat="false" ht="15" hidden="false" customHeight="false" outlineLevel="0" collapsed="false">
      <c r="A870" s="5" t="n">
        <v>2026</v>
      </c>
      <c r="B870" s="7" t="s">
        <v>1533</v>
      </c>
      <c r="C870" s="10" t="str">
        <f aca="false">INDEX(球員主檔!$B$2:$B$749,MATCH($B870,球員主檔!$A$2:$A$749,0))</f>
        <v>Osvaldo Paszkiewicz</v>
      </c>
      <c r="D870" s="7" t="s">
        <v>451</v>
      </c>
      <c r="E870" s="10" t="str">
        <f aca="false">INDEX(球隊主檔!$C$2:$C$31,MATCH($D870,球隊主檔!$A$2:$A$31,0))</f>
        <v>科羅拉多落磯</v>
      </c>
      <c r="F870" s="10" t="str">
        <f aca="false">INDEX(球隊主檔!$D$2:$D$31,MATCH($D870,球隊主檔!$A$2:$A$31,0))</f>
        <v>國聯</v>
      </c>
      <c r="G870" s="7" t="s">
        <v>162</v>
      </c>
      <c r="H870" s="11" t="n">
        <f aca="false">INT((DATE($A870,7,1)-INDEX(球員主檔!$G$2:$G$749,MATCH($B870,球員主檔!$A$2:$A$749,0)))/365.25)</f>
        <v>31</v>
      </c>
      <c r="I870" s="12" t="n">
        <v>57</v>
      </c>
      <c r="J870" s="12" t="n">
        <v>250</v>
      </c>
      <c r="K870" s="12" t="n">
        <v>219</v>
      </c>
      <c r="L870" s="12" t="n">
        <v>33</v>
      </c>
      <c r="M870" s="12" t="n">
        <v>49</v>
      </c>
      <c r="N870" s="12" t="n">
        <v>11</v>
      </c>
      <c r="O870" s="12" t="n">
        <v>7</v>
      </c>
      <c r="P870" s="12" t="n">
        <v>11</v>
      </c>
      <c r="Q870" s="12" t="n">
        <v>36</v>
      </c>
      <c r="R870" s="12" t="n">
        <v>27</v>
      </c>
      <c r="S870" s="12" t="n">
        <v>31</v>
      </c>
      <c r="T870" s="12" t="n">
        <v>4</v>
      </c>
      <c r="U870" s="12" t="n">
        <v>0</v>
      </c>
      <c r="V870" s="12" t="n">
        <v>1</v>
      </c>
      <c r="W870" s="12" t="n">
        <v>0</v>
      </c>
      <c r="X870" s="13" t="n">
        <f aca="false">M870+N870+2*O870+3*P870</f>
        <v>107</v>
      </c>
      <c r="Y870" s="14" t="n">
        <f aca="false">IF(K870=0,0,M870/K870)</f>
        <v>0.223744292237443</v>
      </c>
      <c r="Z870" s="14" t="n">
        <f aca="false">IF(K870+R870+T870+U870=0,0,(M870+R870+T870)/(K870+R870+T870+U870))</f>
        <v>0.32</v>
      </c>
      <c r="AA870" s="14" t="n">
        <f aca="false">IF(K870=0,0,X870/K870)</f>
        <v>0.488584474885845</v>
      </c>
      <c r="AB870" s="14" t="n">
        <f aca="false">Z870+AA870</f>
        <v>0.808584474885845</v>
      </c>
      <c r="AC870" s="14" t="n">
        <f aca="false">AA870-Y870</f>
        <v>0.264840182648402</v>
      </c>
      <c r="AD870" s="14" t="n">
        <f aca="false">IF(K870-S870-P870+U870=0,0,(M870-P870)/(K870-S870-P870+U870))</f>
        <v>0.214689265536723</v>
      </c>
      <c r="AE870" s="15" t="n">
        <f aca="false">IF(J870=0,0,R870/J870)</f>
        <v>0.108</v>
      </c>
      <c r="AF870" s="15" t="n">
        <f aca="false">IF(J870=0,0,S870/J870)</f>
        <v>0.124</v>
      </c>
      <c r="AG870" s="11" t="n">
        <f aca="false">IF(J870&gt;=INDEX(球季參數!$E$2:$E$4,MATCH($A870,球季參數!$A$2:$A$4,0)),1,0)</f>
        <v>0</v>
      </c>
    </row>
    <row r="871" customFormat="false" ht="15" hidden="false" customHeight="false" outlineLevel="0" collapsed="false">
      <c r="A871" s="5" t="n">
        <v>2026</v>
      </c>
      <c r="B871" s="7" t="s">
        <v>1535</v>
      </c>
      <c r="C871" s="10" t="str">
        <f aca="false">INDEX(球員主檔!$B$2:$B$749,MATCH($B871,球員主檔!$A$2:$A$749,0))</f>
        <v>Matthias Redmayne</v>
      </c>
      <c r="D871" s="7" t="s">
        <v>451</v>
      </c>
      <c r="E871" s="10" t="str">
        <f aca="false">INDEX(球隊主檔!$C$2:$C$31,MATCH($D871,球隊主檔!$A$2:$A$31,0))</f>
        <v>科羅拉多落磯</v>
      </c>
      <c r="F871" s="10" t="str">
        <f aca="false">INDEX(球隊主檔!$D$2:$D$31,MATCH($D871,球隊主檔!$A$2:$A$31,0))</f>
        <v>國聯</v>
      </c>
      <c r="G871" s="7" t="s">
        <v>483</v>
      </c>
      <c r="H871" s="11" t="n">
        <f aca="false">INT((DATE($A871,7,1)-INDEX(球員主檔!$G$2:$G$749,MATCH($B871,球員主檔!$A$2:$A$749,0)))/365.25)</f>
        <v>28</v>
      </c>
      <c r="I871" s="12" t="n">
        <v>80</v>
      </c>
      <c r="J871" s="12" t="n">
        <v>331</v>
      </c>
      <c r="K871" s="12" t="n">
        <v>292</v>
      </c>
      <c r="L871" s="12" t="n">
        <v>38</v>
      </c>
      <c r="M871" s="12" t="n">
        <v>71</v>
      </c>
      <c r="N871" s="12" t="n">
        <v>33</v>
      </c>
      <c r="O871" s="12" t="n">
        <v>1</v>
      </c>
      <c r="P871" s="12" t="n">
        <v>8</v>
      </c>
      <c r="Q871" s="12" t="n">
        <v>32</v>
      </c>
      <c r="R871" s="12" t="n">
        <v>30</v>
      </c>
      <c r="S871" s="12" t="n">
        <v>103</v>
      </c>
      <c r="T871" s="12" t="n">
        <v>5</v>
      </c>
      <c r="U871" s="12" t="n">
        <v>4</v>
      </c>
      <c r="V871" s="12" t="n">
        <v>2</v>
      </c>
      <c r="W871" s="12" t="n">
        <v>0</v>
      </c>
      <c r="X871" s="13" t="n">
        <f aca="false">M871+N871+2*O871+3*P871</f>
        <v>130</v>
      </c>
      <c r="Y871" s="14" t="n">
        <f aca="false">IF(K871=0,0,M871/K871)</f>
        <v>0.243150684931507</v>
      </c>
      <c r="Z871" s="14" t="n">
        <f aca="false">IF(K871+R871+T871+U871=0,0,(M871+R871+T871)/(K871+R871+T871+U871))</f>
        <v>0.3202416918429</v>
      </c>
      <c r="AA871" s="14" t="n">
        <f aca="false">IF(K871=0,0,X871/K871)</f>
        <v>0.445205479452055</v>
      </c>
      <c r="AB871" s="14" t="n">
        <f aca="false">Z871+AA871</f>
        <v>0.765447171294955</v>
      </c>
      <c r="AC871" s="14" t="n">
        <f aca="false">AA871-Y871</f>
        <v>0.202054794520548</v>
      </c>
      <c r="AD871" s="14" t="n">
        <f aca="false">IF(K871-S871-P871+U871=0,0,(M871-P871)/(K871-S871-P871+U871))</f>
        <v>0.340540540540541</v>
      </c>
      <c r="AE871" s="15" t="n">
        <f aca="false">IF(J871=0,0,R871/J871)</f>
        <v>0.0906344410876133</v>
      </c>
      <c r="AF871" s="15" t="n">
        <f aca="false">IF(J871=0,0,S871/J871)</f>
        <v>0.311178247734139</v>
      </c>
      <c r="AG871" s="11" t="n">
        <f aca="false">IF(J871&gt;=INDEX(球季參數!$E$2:$E$4,MATCH($A871,球季參數!$A$2:$A$4,0)),1,0)</f>
        <v>0</v>
      </c>
    </row>
    <row r="872" customFormat="false" ht="15" hidden="false" customHeight="false" outlineLevel="0" collapsed="false">
      <c r="A872" s="5" t="n">
        <v>2026</v>
      </c>
      <c r="B872" s="7" t="s">
        <v>1791</v>
      </c>
      <c r="C872" s="10" t="str">
        <f aca="false">INDEX(球員主檔!$B$2:$B$749,MATCH($B872,球員主檔!$A$2:$A$749,0))</f>
        <v>Percival Dubois</v>
      </c>
      <c r="D872" s="7" t="s">
        <v>455</v>
      </c>
      <c r="E872" s="10" t="str">
        <f aca="false">INDEX(球隊主檔!$C$2:$C$31,MATCH($D872,球隊主檔!$A$2:$A$31,0))</f>
        <v>洛杉磯道奇</v>
      </c>
      <c r="F872" s="10" t="str">
        <f aca="false">INDEX(球隊主檔!$D$2:$D$31,MATCH($D872,球隊主檔!$A$2:$A$31,0))</f>
        <v>國聯</v>
      </c>
      <c r="G872" s="7" t="s">
        <v>486</v>
      </c>
      <c r="H872" s="11" t="n">
        <f aca="false">INT((DATE($A872,7,1)-INDEX(球員主檔!$G$2:$G$749,MATCH($B872,球員主檔!$A$2:$A$749,0)))/365.25)</f>
        <v>23</v>
      </c>
      <c r="I872" s="12" t="n">
        <v>162</v>
      </c>
      <c r="J872" s="12" t="n">
        <v>687</v>
      </c>
      <c r="K872" s="12" t="n">
        <v>605</v>
      </c>
      <c r="L872" s="12" t="n">
        <v>98</v>
      </c>
      <c r="M872" s="12" t="n">
        <v>172</v>
      </c>
      <c r="N872" s="12" t="n">
        <v>31</v>
      </c>
      <c r="O872" s="12" t="n">
        <v>3</v>
      </c>
      <c r="P872" s="12" t="n">
        <v>43</v>
      </c>
      <c r="Q872" s="12" t="n">
        <v>117</v>
      </c>
      <c r="R872" s="12" t="n">
        <v>66</v>
      </c>
      <c r="S872" s="12" t="n">
        <v>181</v>
      </c>
      <c r="T872" s="12" t="n">
        <v>13</v>
      </c>
      <c r="U872" s="12" t="n">
        <v>3</v>
      </c>
      <c r="V872" s="12" t="n">
        <v>18</v>
      </c>
      <c r="W872" s="12" t="n">
        <v>6</v>
      </c>
      <c r="X872" s="13" t="n">
        <f aca="false">M872+N872+2*O872+3*P872</f>
        <v>338</v>
      </c>
      <c r="Y872" s="14" t="n">
        <f aca="false">IF(K872=0,0,M872/K872)</f>
        <v>0.284297520661157</v>
      </c>
      <c r="Z872" s="14" t="n">
        <f aca="false">IF(K872+R872+T872+U872=0,0,(M872+R872+T872)/(K872+R872+T872+U872))</f>
        <v>0.365356622998544</v>
      </c>
      <c r="AA872" s="14" t="n">
        <f aca="false">IF(K872=0,0,X872/K872)</f>
        <v>0.558677685950413</v>
      </c>
      <c r="AB872" s="14" t="n">
        <f aca="false">Z872+AA872</f>
        <v>0.924034308948958</v>
      </c>
      <c r="AC872" s="14" t="n">
        <f aca="false">AA872-Y872</f>
        <v>0.274380165289256</v>
      </c>
      <c r="AD872" s="14" t="n">
        <f aca="false">IF(K872-S872-P872+U872=0,0,(M872-P872)/(K872-S872-P872+U872))</f>
        <v>0.3359375</v>
      </c>
      <c r="AE872" s="15" t="n">
        <f aca="false">IF(J872=0,0,R872/J872)</f>
        <v>0.0960698689956332</v>
      </c>
      <c r="AF872" s="15" t="n">
        <f aca="false">IF(J872=0,0,S872/J872)</f>
        <v>0.263464337700146</v>
      </c>
      <c r="AG872" s="11" t="n">
        <f aca="false">IF(J872&gt;=INDEX(球季參數!$E$2:$E$4,MATCH($A872,球季參數!$A$2:$A$4,0)),1,0)</f>
        <v>1</v>
      </c>
    </row>
    <row r="873" customFormat="false" ht="15" hidden="false" customHeight="false" outlineLevel="0" collapsed="false">
      <c r="A873" s="5" t="n">
        <v>2026</v>
      </c>
      <c r="B873" s="7" t="s">
        <v>1563</v>
      </c>
      <c r="C873" s="10" t="str">
        <f aca="false">INDEX(球員主檔!$B$2:$B$749,MATCH($B873,球員主檔!$A$2:$A$749,0))</f>
        <v>Griffin Jovanović</v>
      </c>
      <c r="D873" s="7" t="s">
        <v>455</v>
      </c>
      <c r="E873" s="10" t="str">
        <f aca="false">INDEX(球隊主檔!$C$2:$C$31,MATCH($D873,球隊主檔!$A$2:$A$31,0))</f>
        <v>洛杉磯道奇</v>
      </c>
      <c r="F873" s="10" t="str">
        <f aca="false">INDEX(球隊主檔!$D$2:$D$31,MATCH($D873,球隊主檔!$A$2:$A$31,0))</f>
        <v>國聯</v>
      </c>
      <c r="G873" s="7" t="s">
        <v>486</v>
      </c>
      <c r="H873" s="11" t="n">
        <f aca="false">INT((DATE($A873,7,1)-INDEX(球員主檔!$G$2:$G$749,MATCH($B873,球員主檔!$A$2:$A$749,0)))/365.25)</f>
        <v>32</v>
      </c>
      <c r="I873" s="12" t="n">
        <v>95</v>
      </c>
      <c r="J873" s="12" t="n">
        <v>402</v>
      </c>
      <c r="K873" s="12" t="n">
        <v>357</v>
      </c>
      <c r="L873" s="12" t="n">
        <v>56</v>
      </c>
      <c r="M873" s="12" t="n">
        <v>103</v>
      </c>
      <c r="N873" s="12" t="n">
        <v>31</v>
      </c>
      <c r="O873" s="12" t="n">
        <v>6</v>
      </c>
      <c r="P873" s="12" t="n">
        <v>14</v>
      </c>
      <c r="Q873" s="12" t="n">
        <v>55</v>
      </c>
      <c r="R873" s="12" t="n">
        <v>33</v>
      </c>
      <c r="S873" s="12" t="n">
        <v>111</v>
      </c>
      <c r="T873" s="12" t="n">
        <v>8</v>
      </c>
      <c r="U873" s="12" t="n">
        <v>4</v>
      </c>
      <c r="V873" s="12" t="n">
        <v>3</v>
      </c>
      <c r="W873" s="12" t="n">
        <v>1</v>
      </c>
      <c r="X873" s="13" t="n">
        <f aca="false">M873+N873+2*O873+3*P873</f>
        <v>188</v>
      </c>
      <c r="Y873" s="14" t="n">
        <f aca="false">IF(K873=0,0,M873/K873)</f>
        <v>0.288515406162465</v>
      </c>
      <c r="Z873" s="14" t="n">
        <f aca="false">IF(K873+R873+T873+U873=0,0,(M873+R873+T873)/(K873+R873+T873+U873))</f>
        <v>0.358208955223881</v>
      </c>
      <c r="AA873" s="14" t="n">
        <f aca="false">IF(K873=0,0,X873/K873)</f>
        <v>0.526610644257703</v>
      </c>
      <c r="AB873" s="14" t="n">
        <f aca="false">Z873+AA873</f>
        <v>0.884819599481584</v>
      </c>
      <c r="AC873" s="14" t="n">
        <f aca="false">AA873-Y873</f>
        <v>0.238095238095238</v>
      </c>
      <c r="AD873" s="14" t="n">
        <f aca="false">IF(K873-S873-P873+U873=0,0,(M873-P873)/(K873-S873-P873+U873))</f>
        <v>0.377118644067797</v>
      </c>
      <c r="AE873" s="15" t="n">
        <f aca="false">IF(J873=0,0,R873/J873)</f>
        <v>0.082089552238806</v>
      </c>
      <c r="AF873" s="15" t="n">
        <f aca="false">IF(J873=0,0,S873/J873)</f>
        <v>0.276119402985075</v>
      </c>
      <c r="AG873" s="11" t="n">
        <f aca="false">IF(J873&gt;=INDEX(球季參數!$E$2:$E$4,MATCH($A873,球季參數!$A$2:$A$4,0)),1,0)</f>
        <v>0</v>
      </c>
    </row>
    <row r="874" customFormat="false" ht="15" hidden="false" customHeight="false" outlineLevel="0" collapsed="false">
      <c r="A874" s="5" t="n">
        <v>2026</v>
      </c>
      <c r="B874" s="7" t="s">
        <v>1561</v>
      </c>
      <c r="C874" s="10" t="str">
        <f aca="false">INDEX(球員主檔!$B$2:$B$749,MATCH($B874,球員主檔!$A$2:$A$749,0))</f>
        <v>Silas Goddard</v>
      </c>
      <c r="D874" s="7" t="s">
        <v>455</v>
      </c>
      <c r="E874" s="10" t="str">
        <f aca="false">INDEX(球隊主檔!$C$2:$C$31,MATCH($D874,球隊主檔!$A$2:$A$31,0))</f>
        <v>洛杉磯道奇</v>
      </c>
      <c r="F874" s="10" t="str">
        <f aca="false">INDEX(球隊主檔!$D$2:$D$31,MATCH($D874,球隊主檔!$A$2:$A$31,0))</f>
        <v>國聯</v>
      </c>
      <c r="G874" s="7" t="s">
        <v>483</v>
      </c>
      <c r="H874" s="11" t="n">
        <f aca="false">INT((DATE($A874,7,1)-INDEX(球員主檔!$G$2:$G$749,MATCH($B874,球員主檔!$A$2:$A$749,0)))/365.25)</f>
        <v>26</v>
      </c>
      <c r="I874" s="12" t="n">
        <v>149</v>
      </c>
      <c r="J874" s="12" t="n">
        <v>624</v>
      </c>
      <c r="K874" s="12" t="n">
        <v>581</v>
      </c>
      <c r="L874" s="12" t="n">
        <v>60</v>
      </c>
      <c r="M874" s="12" t="n">
        <v>138</v>
      </c>
      <c r="N874" s="12" t="n">
        <v>36</v>
      </c>
      <c r="O874" s="12" t="n">
        <v>11</v>
      </c>
      <c r="P874" s="12" t="n">
        <v>9</v>
      </c>
      <c r="Q874" s="12" t="n">
        <v>60</v>
      </c>
      <c r="R874" s="12" t="n">
        <v>31</v>
      </c>
      <c r="S874" s="12" t="n">
        <v>117</v>
      </c>
      <c r="T874" s="12" t="n">
        <v>6</v>
      </c>
      <c r="U874" s="12" t="n">
        <v>6</v>
      </c>
      <c r="V874" s="12" t="n">
        <v>7</v>
      </c>
      <c r="W874" s="12" t="n">
        <v>1</v>
      </c>
      <c r="X874" s="13" t="n">
        <f aca="false">M874+N874+2*O874+3*P874</f>
        <v>223</v>
      </c>
      <c r="Y874" s="14" t="n">
        <f aca="false">IF(K874=0,0,M874/K874)</f>
        <v>0.237521514629948</v>
      </c>
      <c r="Z874" s="14" t="n">
        <f aca="false">IF(K874+R874+T874+U874=0,0,(M874+R874+T874)/(K874+R874+T874+U874))</f>
        <v>0.280448717948718</v>
      </c>
      <c r="AA874" s="14" t="n">
        <f aca="false">IF(K874=0,0,X874/K874)</f>
        <v>0.38382099827883</v>
      </c>
      <c r="AB874" s="14" t="n">
        <f aca="false">Z874+AA874</f>
        <v>0.664269716227548</v>
      </c>
      <c r="AC874" s="14" t="n">
        <f aca="false">AA874-Y874</f>
        <v>0.146299483648881</v>
      </c>
      <c r="AD874" s="14" t="n">
        <f aca="false">IF(K874-S874-P874+U874=0,0,(M874-P874)/(K874-S874-P874+U874))</f>
        <v>0.279826464208243</v>
      </c>
      <c r="AE874" s="15" t="n">
        <f aca="false">IF(J874=0,0,R874/J874)</f>
        <v>0.0496794871794872</v>
      </c>
      <c r="AF874" s="15" t="n">
        <f aca="false">IF(J874=0,0,S874/J874)</f>
        <v>0.1875</v>
      </c>
      <c r="AG874" s="11" t="n">
        <f aca="false">IF(J874&gt;=INDEX(球季參數!$E$2:$E$4,MATCH($A874,球季參數!$A$2:$A$4,0)),1,0)</f>
        <v>1</v>
      </c>
    </row>
    <row r="875" customFormat="false" ht="15" hidden="false" customHeight="false" outlineLevel="0" collapsed="false">
      <c r="A875" s="5" t="n">
        <v>2026</v>
      </c>
      <c r="B875" s="7" t="s">
        <v>1793</v>
      </c>
      <c r="C875" s="10" t="str">
        <f aca="false">INDEX(球員主檔!$B$2:$B$749,MATCH($B875,球員主檔!$A$2:$A$749,0))</f>
        <v>Konrad Cavanaugh</v>
      </c>
      <c r="D875" s="7" t="s">
        <v>455</v>
      </c>
      <c r="E875" s="10" t="str">
        <f aca="false">INDEX(球隊主檔!$C$2:$C$31,MATCH($D875,球隊主檔!$A$2:$A$31,0))</f>
        <v>洛杉磯道奇</v>
      </c>
      <c r="F875" s="10" t="str">
        <f aca="false">INDEX(球隊主檔!$D$2:$D$31,MATCH($D875,球隊主檔!$A$2:$A$31,0))</f>
        <v>國聯</v>
      </c>
      <c r="G875" s="7" t="s">
        <v>470</v>
      </c>
      <c r="H875" s="11" t="n">
        <f aca="false">INT((DATE($A875,7,1)-INDEX(球員主檔!$G$2:$G$749,MATCH($B875,球員主檔!$A$2:$A$749,0)))/365.25)</f>
        <v>24</v>
      </c>
      <c r="I875" s="12" t="n">
        <v>88</v>
      </c>
      <c r="J875" s="12" t="n">
        <v>350</v>
      </c>
      <c r="K875" s="12" t="n">
        <v>320</v>
      </c>
      <c r="L875" s="12" t="n">
        <v>43</v>
      </c>
      <c r="M875" s="12" t="n">
        <v>78</v>
      </c>
      <c r="N875" s="12" t="n">
        <v>24</v>
      </c>
      <c r="O875" s="12" t="n">
        <v>12</v>
      </c>
      <c r="P875" s="12" t="n">
        <v>12</v>
      </c>
      <c r="Q875" s="12" t="n">
        <v>38</v>
      </c>
      <c r="R875" s="12" t="n">
        <v>25</v>
      </c>
      <c r="S875" s="12" t="n">
        <v>40</v>
      </c>
      <c r="T875" s="12" t="n">
        <v>1</v>
      </c>
      <c r="U875" s="12" t="n">
        <v>4</v>
      </c>
      <c r="V875" s="12" t="n">
        <v>7</v>
      </c>
      <c r="W875" s="12" t="n">
        <v>1</v>
      </c>
      <c r="X875" s="13" t="n">
        <f aca="false">M875+N875+2*O875+3*P875</f>
        <v>162</v>
      </c>
      <c r="Y875" s="14" t="n">
        <f aca="false">IF(K875=0,0,M875/K875)</f>
        <v>0.24375</v>
      </c>
      <c r="Z875" s="14" t="n">
        <f aca="false">IF(K875+R875+T875+U875=0,0,(M875+R875+T875)/(K875+R875+T875+U875))</f>
        <v>0.297142857142857</v>
      </c>
      <c r="AA875" s="14" t="n">
        <f aca="false">IF(K875=0,0,X875/K875)</f>
        <v>0.50625</v>
      </c>
      <c r="AB875" s="14" t="n">
        <f aca="false">Z875+AA875</f>
        <v>0.803392857142857</v>
      </c>
      <c r="AC875" s="14" t="n">
        <f aca="false">AA875-Y875</f>
        <v>0.2625</v>
      </c>
      <c r="AD875" s="14" t="n">
        <f aca="false">IF(K875-S875-P875+U875=0,0,(M875-P875)/(K875-S875-P875+U875))</f>
        <v>0.242647058823529</v>
      </c>
      <c r="AE875" s="15" t="n">
        <f aca="false">IF(J875=0,0,R875/J875)</f>
        <v>0.0714285714285714</v>
      </c>
      <c r="AF875" s="15" t="n">
        <f aca="false">IF(J875=0,0,S875/J875)</f>
        <v>0.114285714285714</v>
      </c>
      <c r="AG875" s="11" t="n">
        <f aca="false">IF(J875&gt;=INDEX(球季參數!$E$2:$E$4,MATCH($A875,球季參數!$A$2:$A$4,0)),1,0)</f>
        <v>0</v>
      </c>
    </row>
    <row r="876" customFormat="false" ht="15" hidden="false" customHeight="false" outlineLevel="0" collapsed="false">
      <c r="A876" s="5" t="n">
        <v>2026</v>
      </c>
      <c r="B876" s="7" t="s">
        <v>1565</v>
      </c>
      <c r="C876" s="10" t="str">
        <f aca="false">INDEX(球員主檔!$B$2:$B$749,MATCH($B876,球員主檔!$A$2:$A$749,0))</f>
        <v>Rowan Castellón</v>
      </c>
      <c r="D876" s="7" t="s">
        <v>455</v>
      </c>
      <c r="E876" s="10" t="str">
        <f aca="false">INDEX(球隊主檔!$C$2:$C$31,MATCH($D876,球隊主檔!$A$2:$A$31,0))</f>
        <v>洛杉磯道奇</v>
      </c>
      <c r="F876" s="10" t="str">
        <f aca="false">INDEX(球隊主檔!$D$2:$D$31,MATCH($D876,球隊主檔!$A$2:$A$31,0))</f>
        <v>國聯</v>
      </c>
      <c r="G876" s="7" t="s">
        <v>63</v>
      </c>
      <c r="H876" s="11" t="n">
        <f aca="false">INT((DATE($A876,7,1)-INDEX(球員主檔!$G$2:$G$749,MATCH($B876,球員主檔!$A$2:$A$749,0)))/365.25)</f>
        <v>30</v>
      </c>
      <c r="I876" s="12" t="n">
        <v>157</v>
      </c>
      <c r="J876" s="12" t="n">
        <v>683</v>
      </c>
      <c r="K876" s="12" t="n">
        <v>604</v>
      </c>
      <c r="L876" s="12" t="n">
        <v>69</v>
      </c>
      <c r="M876" s="12" t="n">
        <v>129</v>
      </c>
      <c r="N876" s="12" t="n">
        <v>28</v>
      </c>
      <c r="O876" s="12" t="n">
        <v>4</v>
      </c>
      <c r="P876" s="12" t="n">
        <v>19</v>
      </c>
      <c r="Q876" s="12" t="n">
        <v>67</v>
      </c>
      <c r="R876" s="12" t="n">
        <v>72</v>
      </c>
      <c r="S876" s="12" t="n">
        <v>114</v>
      </c>
      <c r="T876" s="12" t="n">
        <v>6</v>
      </c>
      <c r="U876" s="12" t="n">
        <v>1</v>
      </c>
      <c r="V876" s="12" t="n">
        <v>14</v>
      </c>
      <c r="W876" s="12" t="n">
        <v>4</v>
      </c>
      <c r="X876" s="13" t="n">
        <f aca="false">M876+N876+2*O876+3*P876</f>
        <v>222</v>
      </c>
      <c r="Y876" s="14" t="n">
        <f aca="false">IF(K876=0,0,M876/K876)</f>
        <v>0.213576158940397</v>
      </c>
      <c r="Z876" s="14" t="n">
        <f aca="false">IF(K876+R876+T876+U876=0,0,(M876+R876+T876)/(K876+R876+T876+U876))</f>
        <v>0.30307467057101</v>
      </c>
      <c r="AA876" s="14" t="n">
        <f aca="false">IF(K876=0,0,X876/K876)</f>
        <v>0.367549668874172</v>
      </c>
      <c r="AB876" s="14" t="n">
        <f aca="false">Z876+AA876</f>
        <v>0.670624339445182</v>
      </c>
      <c r="AC876" s="14" t="n">
        <f aca="false">AA876-Y876</f>
        <v>0.153973509933775</v>
      </c>
      <c r="AD876" s="14" t="n">
        <f aca="false">IF(K876-S876-P876+U876=0,0,(M876-P876)/(K876-S876-P876+U876))</f>
        <v>0.233050847457627</v>
      </c>
      <c r="AE876" s="15" t="n">
        <f aca="false">IF(J876=0,0,R876/J876)</f>
        <v>0.105417276720351</v>
      </c>
      <c r="AF876" s="15" t="n">
        <f aca="false">IF(J876=0,0,S876/J876)</f>
        <v>0.166910688140556</v>
      </c>
      <c r="AG876" s="11" t="n">
        <f aca="false">IF(J876&gt;=INDEX(球季參數!$E$2:$E$4,MATCH($A876,球季參數!$A$2:$A$4,0)),1,0)</f>
        <v>1</v>
      </c>
    </row>
    <row r="877" customFormat="false" ht="15" hidden="false" customHeight="false" outlineLevel="0" collapsed="false">
      <c r="A877" s="5" t="n">
        <v>2026</v>
      </c>
      <c r="B877" s="7" t="s">
        <v>1567</v>
      </c>
      <c r="C877" s="10" t="str">
        <f aca="false">INDEX(球員主檔!$B$2:$B$749,MATCH($B877,球員主檔!$A$2:$A$749,0))</f>
        <v>Zane Haverford</v>
      </c>
      <c r="D877" s="7" t="s">
        <v>455</v>
      </c>
      <c r="E877" s="10" t="str">
        <f aca="false">INDEX(球隊主檔!$C$2:$C$31,MATCH($D877,球隊主檔!$A$2:$A$31,0))</f>
        <v>洛杉磯道奇</v>
      </c>
      <c r="F877" s="10" t="str">
        <f aca="false">INDEX(球隊主檔!$D$2:$D$31,MATCH($D877,球隊主檔!$A$2:$A$31,0))</f>
        <v>國聯</v>
      </c>
      <c r="G877" s="7" t="s">
        <v>473</v>
      </c>
      <c r="H877" s="11" t="n">
        <f aca="false">INT((DATE($A877,7,1)-INDEX(球員主檔!$G$2:$G$749,MATCH($B877,球員主檔!$A$2:$A$749,0)))/365.25)</f>
        <v>26</v>
      </c>
      <c r="I877" s="12" t="n">
        <v>99</v>
      </c>
      <c r="J877" s="12" t="n">
        <v>386</v>
      </c>
      <c r="K877" s="12" t="n">
        <v>345</v>
      </c>
      <c r="L877" s="12" t="n">
        <v>43</v>
      </c>
      <c r="M877" s="12" t="n">
        <v>80</v>
      </c>
      <c r="N877" s="12" t="n">
        <v>13</v>
      </c>
      <c r="O877" s="12" t="n">
        <v>6</v>
      </c>
      <c r="P877" s="12" t="n">
        <v>11</v>
      </c>
      <c r="Q877" s="12" t="n">
        <v>45</v>
      </c>
      <c r="R877" s="12" t="n">
        <v>31</v>
      </c>
      <c r="S877" s="12" t="n">
        <v>109</v>
      </c>
      <c r="T877" s="12" t="n">
        <v>8</v>
      </c>
      <c r="U877" s="12" t="n">
        <v>2</v>
      </c>
      <c r="V877" s="12" t="n">
        <v>6</v>
      </c>
      <c r="W877" s="12" t="n">
        <v>1</v>
      </c>
      <c r="X877" s="13" t="n">
        <f aca="false">M877+N877+2*O877+3*P877</f>
        <v>138</v>
      </c>
      <c r="Y877" s="14" t="n">
        <f aca="false">IF(K877=0,0,M877/K877)</f>
        <v>0.231884057971015</v>
      </c>
      <c r="Z877" s="14" t="n">
        <f aca="false">IF(K877+R877+T877+U877=0,0,(M877+R877+T877)/(K877+R877+T877+U877))</f>
        <v>0.308290155440415</v>
      </c>
      <c r="AA877" s="14" t="n">
        <f aca="false">IF(K877=0,0,X877/K877)</f>
        <v>0.4</v>
      </c>
      <c r="AB877" s="14" t="n">
        <f aca="false">Z877+AA877</f>
        <v>0.708290155440415</v>
      </c>
      <c r="AC877" s="14" t="n">
        <f aca="false">AA877-Y877</f>
        <v>0.168115942028986</v>
      </c>
      <c r="AD877" s="14" t="n">
        <f aca="false">IF(K877-S877-P877+U877=0,0,(M877-P877)/(K877-S877-P877+U877))</f>
        <v>0.303964757709251</v>
      </c>
      <c r="AE877" s="15" t="n">
        <f aca="false">IF(J877=0,0,R877/J877)</f>
        <v>0.0803108808290155</v>
      </c>
      <c r="AF877" s="15" t="n">
        <f aca="false">IF(J877=0,0,S877/J877)</f>
        <v>0.282383419689119</v>
      </c>
      <c r="AG877" s="11" t="n">
        <f aca="false">IF(J877&gt;=INDEX(球季參數!$E$2:$E$4,MATCH($A877,球季參數!$A$2:$A$4,0)),1,0)</f>
        <v>0</v>
      </c>
    </row>
    <row r="878" customFormat="false" ht="15" hidden="false" customHeight="false" outlineLevel="0" collapsed="false">
      <c r="A878" s="5" t="n">
        <v>2026</v>
      </c>
      <c r="B878" s="7" t="s">
        <v>1569</v>
      </c>
      <c r="C878" s="10" t="str">
        <f aca="false">INDEX(球員主檔!$B$2:$B$749,MATCH($B878,球員主檔!$A$2:$A$749,0))</f>
        <v>Garrison Fontaine</v>
      </c>
      <c r="D878" s="7" t="s">
        <v>455</v>
      </c>
      <c r="E878" s="10" t="str">
        <f aca="false">INDEX(球隊主檔!$C$2:$C$31,MATCH($D878,球隊主檔!$A$2:$A$31,0))</f>
        <v>洛杉磯道奇</v>
      </c>
      <c r="F878" s="10" t="str">
        <f aca="false">INDEX(球隊主檔!$D$2:$D$31,MATCH($D878,球隊主檔!$A$2:$A$31,0))</f>
        <v>國聯</v>
      </c>
      <c r="G878" s="7" t="s">
        <v>470</v>
      </c>
      <c r="H878" s="11" t="n">
        <f aca="false">INT((DATE($A878,7,1)-INDEX(球員主檔!$G$2:$G$749,MATCH($B878,球員主檔!$A$2:$A$749,0)))/365.25)</f>
        <v>27</v>
      </c>
      <c r="I878" s="12" t="n">
        <v>130</v>
      </c>
      <c r="J878" s="12" t="n">
        <v>506</v>
      </c>
      <c r="K878" s="12" t="n">
        <v>454</v>
      </c>
      <c r="L878" s="12" t="n">
        <v>69</v>
      </c>
      <c r="M878" s="12" t="n">
        <v>117</v>
      </c>
      <c r="N878" s="12" t="n">
        <v>37</v>
      </c>
      <c r="O878" s="12" t="n">
        <v>9</v>
      </c>
      <c r="P878" s="12" t="n">
        <v>25</v>
      </c>
      <c r="Q878" s="12" t="n">
        <v>82</v>
      </c>
      <c r="R878" s="12" t="n">
        <v>41</v>
      </c>
      <c r="S878" s="12" t="n">
        <v>81</v>
      </c>
      <c r="T878" s="12" t="n">
        <v>10</v>
      </c>
      <c r="U878" s="12" t="n">
        <v>1</v>
      </c>
      <c r="V878" s="12" t="n">
        <v>20</v>
      </c>
      <c r="W878" s="12" t="n">
        <v>6</v>
      </c>
      <c r="X878" s="13" t="n">
        <f aca="false">M878+N878+2*O878+3*P878</f>
        <v>247</v>
      </c>
      <c r="Y878" s="14" t="n">
        <f aca="false">IF(K878=0,0,M878/K878)</f>
        <v>0.257709251101322</v>
      </c>
      <c r="Z878" s="14" t="n">
        <f aca="false">IF(K878+R878+T878+U878=0,0,(M878+R878+T878)/(K878+R878+T878+U878))</f>
        <v>0.33201581027668</v>
      </c>
      <c r="AA878" s="14" t="n">
        <f aca="false">IF(K878=0,0,X878/K878)</f>
        <v>0.544052863436123</v>
      </c>
      <c r="AB878" s="14" t="n">
        <f aca="false">Z878+AA878</f>
        <v>0.876068673712803</v>
      </c>
      <c r="AC878" s="14" t="n">
        <f aca="false">AA878-Y878</f>
        <v>0.286343612334802</v>
      </c>
      <c r="AD878" s="14" t="n">
        <f aca="false">IF(K878-S878-P878+U878=0,0,(M878-P878)/(K878-S878-P878+U878))</f>
        <v>0.263610315186246</v>
      </c>
      <c r="AE878" s="15" t="n">
        <f aca="false">IF(J878=0,0,R878/J878)</f>
        <v>0.0810276679841897</v>
      </c>
      <c r="AF878" s="15" t="n">
        <f aca="false">IF(J878=0,0,S878/J878)</f>
        <v>0.160079051383399</v>
      </c>
      <c r="AG878" s="11" t="n">
        <f aca="false">IF(J878&gt;=INDEX(球季參數!$E$2:$E$4,MATCH($A878,球季參數!$A$2:$A$4,0)),1,0)</f>
        <v>1</v>
      </c>
    </row>
    <row r="879" customFormat="false" ht="15" hidden="false" customHeight="false" outlineLevel="0" collapsed="false">
      <c r="A879" s="5" t="n">
        <v>2026</v>
      </c>
      <c r="B879" s="7" t="s">
        <v>1795</v>
      </c>
      <c r="C879" s="10" t="str">
        <f aca="false">INDEX(球員主檔!$B$2:$B$749,MATCH($B879,球員主檔!$A$2:$A$749,0))</f>
        <v>Garrison Lindquist</v>
      </c>
      <c r="D879" s="7" t="s">
        <v>455</v>
      </c>
      <c r="E879" s="10" t="str">
        <f aca="false">INDEX(球隊主檔!$C$2:$C$31,MATCH($D879,球隊主檔!$A$2:$A$31,0))</f>
        <v>洛杉磯道奇</v>
      </c>
      <c r="F879" s="10" t="str">
        <f aca="false">INDEX(球隊主檔!$D$2:$D$31,MATCH($D879,球隊主檔!$A$2:$A$31,0))</f>
        <v>國聯</v>
      </c>
      <c r="G879" s="7" t="s">
        <v>522</v>
      </c>
      <c r="H879" s="11" t="n">
        <f aca="false">INT((DATE($A879,7,1)-INDEX(球員主檔!$G$2:$G$749,MATCH($B879,球員主檔!$A$2:$A$749,0)))/365.25)</f>
        <v>23</v>
      </c>
      <c r="I879" s="12" t="n">
        <v>94</v>
      </c>
      <c r="J879" s="12" t="n">
        <v>369</v>
      </c>
      <c r="K879" s="12" t="n">
        <v>329</v>
      </c>
      <c r="L879" s="12" t="n">
        <v>51</v>
      </c>
      <c r="M879" s="12" t="n">
        <v>88</v>
      </c>
      <c r="N879" s="12" t="n">
        <v>33</v>
      </c>
      <c r="O879" s="12" t="n">
        <v>1</v>
      </c>
      <c r="P879" s="12" t="n">
        <v>11</v>
      </c>
      <c r="Q879" s="12" t="n">
        <v>35</v>
      </c>
      <c r="R879" s="12" t="n">
        <v>35</v>
      </c>
      <c r="S879" s="12" t="n">
        <v>64</v>
      </c>
      <c r="T879" s="12" t="n">
        <v>2</v>
      </c>
      <c r="U879" s="12" t="n">
        <v>3</v>
      </c>
      <c r="V879" s="12" t="n">
        <v>12</v>
      </c>
      <c r="W879" s="12" t="n">
        <v>3</v>
      </c>
      <c r="X879" s="13" t="n">
        <f aca="false">M879+N879+2*O879+3*P879</f>
        <v>156</v>
      </c>
      <c r="Y879" s="14" t="n">
        <f aca="false">IF(K879=0,0,M879/K879)</f>
        <v>0.267477203647416</v>
      </c>
      <c r="Z879" s="14" t="n">
        <f aca="false">IF(K879+R879+T879+U879=0,0,(M879+R879+T879)/(K879+R879+T879+U879))</f>
        <v>0.338753387533875</v>
      </c>
      <c r="AA879" s="14" t="n">
        <f aca="false">IF(K879=0,0,X879/K879)</f>
        <v>0.474164133738602</v>
      </c>
      <c r="AB879" s="14" t="n">
        <f aca="false">Z879+AA879</f>
        <v>0.812917521272477</v>
      </c>
      <c r="AC879" s="14" t="n">
        <f aca="false">AA879-Y879</f>
        <v>0.206686930091185</v>
      </c>
      <c r="AD879" s="14" t="n">
        <f aca="false">IF(K879-S879-P879+U879=0,0,(M879-P879)/(K879-S879-P879+U879))</f>
        <v>0.299610894941634</v>
      </c>
      <c r="AE879" s="15" t="n">
        <f aca="false">IF(J879=0,0,R879/J879)</f>
        <v>0.0948509485094851</v>
      </c>
      <c r="AF879" s="15" t="n">
        <f aca="false">IF(J879=0,0,S879/J879)</f>
        <v>0.173441734417344</v>
      </c>
      <c r="AG879" s="11" t="n">
        <f aca="false">IF(J879&gt;=INDEX(球季參數!$E$2:$E$4,MATCH($A879,球季參數!$A$2:$A$4,0)),1,0)</f>
        <v>0</v>
      </c>
    </row>
    <row r="880" customFormat="false" ht="15" hidden="false" customHeight="false" outlineLevel="0" collapsed="false">
      <c r="A880" s="5" t="n">
        <v>2026</v>
      </c>
      <c r="B880" s="7" t="s">
        <v>1573</v>
      </c>
      <c r="C880" s="10" t="str">
        <f aca="false">INDEX(球員主檔!$B$2:$B$749,MATCH($B880,球員主檔!$A$2:$A$749,0))</f>
        <v>Ignacio Yamazaki</v>
      </c>
      <c r="D880" s="7" t="s">
        <v>455</v>
      </c>
      <c r="E880" s="10" t="str">
        <f aca="false">INDEX(球隊主檔!$C$2:$C$31,MATCH($D880,球隊主檔!$A$2:$A$31,0))</f>
        <v>洛杉磯道奇</v>
      </c>
      <c r="F880" s="10" t="str">
        <f aca="false">INDEX(球隊主檔!$D$2:$D$31,MATCH($D880,球隊主檔!$A$2:$A$31,0))</f>
        <v>國聯</v>
      </c>
      <c r="G880" s="7" t="s">
        <v>486</v>
      </c>
      <c r="H880" s="11" t="n">
        <f aca="false">INT((DATE($A880,7,1)-INDEX(球員主檔!$G$2:$G$749,MATCH($B880,球員主檔!$A$2:$A$749,0)))/365.25)</f>
        <v>33</v>
      </c>
      <c r="I880" s="12" t="n">
        <v>53</v>
      </c>
      <c r="J880" s="12" t="n">
        <v>228</v>
      </c>
      <c r="K880" s="12" t="n">
        <v>204</v>
      </c>
      <c r="L880" s="12" t="n">
        <v>23</v>
      </c>
      <c r="M880" s="12" t="n">
        <v>41</v>
      </c>
      <c r="N880" s="12" t="n">
        <v>15</v>
      </c>
      <c r="O880" s="12" t="n">
        <v>4</v>
      </c>
      <c r="P880" s="12" t="n">
        <v>5</v>
      </c>
      <c r="Q880" s="12" t="n">
        <v>20</v>
      </c>
      <c r="R880" s="12" t="n">
        <v>19</v>
      </c>
      <c r="S880" s="12" t="n">
        <v>49</v>
      </c>
      <c r="T880" s="12" t="n">
        <v>3</v>
      </c>
      <c r="U880" s="12" t="n">
        <v>2</v>
      </c>
      <c r="V880" s="12" t="n">
        <v>7</v>
      </c>
      <c r="W880" s="12" t="n">
        <v>1</v>
      </c>
      <c r="X880" s="13" t="n">
        <f aca="false">M880+N880+2*O880+3*P880</f>
        <v>79</v>
      </c>
      <c r="Y880" s="14" t="n">
        <f aca="false">IF(K880=0,0,M880/K880)</f>
        <v>0.200980392156863</v>
      </c>
      <c r="Z880" s="14" t="n">
        <f aca="false">IF(K880+R880+T880+U880=0,0,(M880+R880+T880)/(K880+R880+T880+U880))</f>
        <v>0.276315789473684</v>
      </c>
      <c r="AA880" s="14" t="n">
        <f aca="false">IF(K880=0,0,X880/K880)</f>
        <v>0.387254901960784</v>
      </c>
      <c r="AB880" s="14" t="n">
        <f aca="false">Z880+AA880</f>
        <v>0.663570691434469</v>
      </c>
      <c r="AC880" s="14" t="n">
        <f aca="false">AA880-Y880</f>
        <v>0.186274509803922</v>
      </c>
      <c r="AD880" s="14" t="n">
        <f aca="false">IF(K880-S880-P880+U880=0,0,(M880-P880)/(K880-S880-P880+U880))</f>
        <v>0.236842105263158</v>
      </c>
      <c r="AE880" s="15" t="n">
        <f aca="false">IF(J880=0,0,R880/J880)</f>
        <v>0.0833333333333333</v>
      </c>
      <c r="AF880" s="15" t="n">
        <f aca="false">IF(J880=0,0,S880/J880)</f>
        <v>0.214912280701754</v>
      </c>
      <c r="AG880" s="11" t="n">
        <f aca="false">IF(J880&gt;=INDEX(球季參數!$E$2:$E$4,MATCH($A880,球季參數!$A$2:$A$4,0)),1,0)</f>
        <v>0</v>
      </c>
    </row>
    <row r="881" customFormat="false" ht="15" hidden="false" customHeight="false" outlineLevel="0" collapsed="false">
      <c r="A881" s="5" t="n">
        <v>2026</v>
      </c>
      <c r="B881" s="7" t="s">
        <v>1953</v>
      </c>
      <c r="C881" s="10" t="str">
        <f aca="false">INDEX(球員主檔!$B$2:$B$749,MATCH($B881,球員主檔!$A$2:$A$749,0))</f>
        <v>Camilo Rasmussen</v>
      </c>
      <c r="D881" s="7" t="s">
        <v>455</v>
      </c>
      <c r="E881" s="10" t="str">
        <f aca="false">INDEX(球隊主檔!$C$2:$C$31,MATCH($D881,球隊主檔!$A$2:$A$31,0))</f>
        <v>洛杉磯道奇</v>
      </c>
      <c r="F881" s="10" t="str">
        <f aca="false">INDEX(球隊主檔!$D$2:$D$31,MATCH($D881,球隊主檔!$A$2:$A$31,0))</f>
        <v>國聯</v>
      </c>
      <c r="G881" s="7" t="s">
        <v>483</v>
      </c>
      <c r="H881" s="11" t="n">
        <f aca="false">INT((DATE($A881,7,1)-INDEX(球員主檔!$G$2:$G$749,MATCH($B881,球員主檔!$A$2:$A$749,0)))/365.25)</f>
        <v>19</v>
      </c>
      <c r="I881" s="12" t="n">
        <v>40</v>
      </c>
      <c r="J881" s="12" t="n">
        <v>165</v>
      </c>
      <c r="K881" s="12" t="n">
        <v>144</v>
      </c>
      <c r="L881" s="12" t="n">
        <v>16</v>
      </c>
      <c r="M881" s="12" t="n">
        <v>32</v>
      </c>
      <c r="N881" s="12" t="n">
        <v>13</v>
      </c>
      <c r="O881" s="12" t="n">
        <v>3</v>
      </c>
      <c r="P881" s="12" t="n">
        <v>2</v>
      </c>
      <c r="Q881" s="12" t="n">
        <v>14</v>
      </c>
      <c r="R881" s="12" t="n">
        <v>17</v>
      </c>
      <c r="S881" s="12" t="n">
        <v>50</v>
      </c>
      <c r="T881" s="12" t="n">
        <v>2</v>
      </c>
      <c r="U881" s="12" t="n">
        <v>2</v>
      </c>
      <c r="V881" s="12" t="n">
        <v>1</v>
      </c>
      <c r="W881" s="12" t="n">
        <v>0</v>
      </c>
      <c r="X881" s="13" t="n">
        <f aca="false">M881+N881+2*O881+3*P881</f>
        <v>57</v>
      </c>
      <c r="Y881" s="14" t="n">
        <f aca="false">IF(K881=0,0,M881/K881)</f>
        <v>0.222222222222222</v>
      </c>
      <c r="Z881" s="14" t="n">
        <f aca="false">IF(K881+R881+T881+U881=0,0,(M881+R881+T881)/(K881+R881+T881+U881))</f>
        <v>0.309090909090909</v>
      </c>
      <c r="AA881" s="14" t="n">
        <f aca="false">IF(K881=0,0,X881/K881)</f>
        <v>0.395833333333333</v>
      </c>
      <c r="AB881" s="14" t="n">
        <f aca="false">Z881+AA881</f>
        <v>0.704924242424242</v>
      </c>
      <c r="AC881" s="14" t="n">
        <f aca="false">AA881-Y881</f>
        <v>0.173611111111111</v>
      </c>
      <c r="AD881" s="14" t="n">
        <f aca="false">IF(K881-S881-P881+U881=0,0,(M881-P881)/(K881-S881-P881+U881))</f>
        <v>0.319148936170213</v>
      </c>
      <c r="AE881" s="15" t="n">
        <f aca="false">IF(J881=0,0,R881/J881)</f>
        <v>0.103030303030303</v>
      </c>
      <c r="AF881" s="15" t="n">
        <f aca="false">IF(J881=0,0,S881/J881)</f>
        <v>0.303030303030303</v>
      </c>
      <c r="AG881" s="11" t="n">
        <f aca="false">IF(J881&gt;=INDEX(球季參數!$E$2:$E$4,MATCH($A881,球季參數!$A$2:$A$4,0)),1,0)</f>
        <v>0</v>
      </c>
    </row>
    <row r="882" customFormat="false" ht="15" hidden="false" customHeight="false" outlineLevel="0" collapsed="false">
      <c r="A882" s="5" t="n">
        <v>2026</v>
      </c>
      <c r="B882" s="7" t="s">
        <v>1375</v>
      </c>
      <c r="C882" s="10" t="str">
        <f aca="false">INDEX(球員主檔!$B$2:$B$749,MATCH($B882,球員主檔!$A$2:$A$749,0))</f>
        <v>Mateo Caldera</v>
      </c>
      <c r="D882" s="7" t="s">
        <v>459</v>
      </c>
      <c r="E882" s="10" t="str">
        <f aca="false">INDEX(球隊主檔!$C$2:$C$31,MATCH($D882,球隊主檔!$A$2:$A$31,0))</f>
        <v>聖地牙哥教士</v>
      </c>
      <c r="F882" s="10" t="str">
        <f aca="false">INDEX(球隊主檔!$D$2:$D$31,MATCH($D882,球隊主檔!$A$2:$A$31,0))</f>
        <v>國聯</v>
      </c>
      <c r="G882" s="7" t="s">
        <v>473</v>
      </c>
      <c r="H882" s="11" t="n">
        <f aca="false">INT((DATE($A882,7,1)-INDEX(球員主檔!$G$2:$G$749,MATCH($B882,球員主檔!$A$2:$A$749,0)))/365.25)</f>
        <v>34</v>
      </c>
      <c r="I882" s="12" t="n">
        <v>158</v>
      </c>
      <c r="J882" s="12" t="n">
        <v>621</v>
      </c>
      <c r="K882" s="12" t="n">
        <v>550</v>
      </c>
      <c r="L882" s="12" t="n">
        <v>64</v>
      </c>
      <c r="M882" s="12" t="n">
        <v>119</v>
      </c>
      <c r="N882" s="12" t="n">
        <v>35</v>
      </c>
      <c r="O882" s="12" t="n">
        <v>1</v>
      </c>
      <c r="P882" s="12" t="n">
        <v>9</v>
      </c>
      <c r="Q882" s="12" t="n">
        <v>48</v>
      </c>
      <c r="R882" s="12" t="n">
        <v>60</v>
      </c>
      <c r="S882" s="12" t="n">
        <v>101</v>
      </c>
      <c r="T882" s="12" t="n">
        <v>10</v>
      </c>
      <c r="U882" s="12" t="n">
        <v>1</v>
      </c>
      <c r="V882" s="12" t="n">
        <v>10</v>
      </c>
      <c r="W882" s="12" t="n">
        <v>2</v>
      </c>
      <c r="X882" s="13" t="n">
        <f aca="false">M882+N882+2*O882+3*P882</f>
        <v>183</v>
      </c>
      <c r="Y882" s="14" t="n">
        <f aca="false">IF(K882=0,0,M882/K882)</f>
        <v>0.216363636363636</v>
      </c>
      <c r="Z882" s="14" t="n">
        <f aca="false">IF(K882+R882+T882+U882=0,0,(M882+R882+T882)/(K882+R882+T882+U882))</f>
        <v>0.304347826086957</v>
      </c>
      <c r="AA882" s="14" t="n">
        <f aca="false">IF(K882=0,0,X882/K882)</f>
        <v>0.332727272727273</v>
      </c>
      <c r="AB882" s="14" t="n">
        <f aca="false">Z882+AA882</f>
        <v>0.637075098814229</v>
      </c>
      <c r="AC882" s="14" t="n">
        <f aca="false">AA882-Y882</f>
        <v>0.116363636363636</v>
      </c>
      <c r="AD882" s="14" t="n">
        <f aca="false">IF(K882-S882-P882+U882=0,0,(M882-P882)/(K882-S882-P882+U882))</f>
        <v>0.249433106575964</v>
      </c>
      <c r="AE882" s="15" t="n">
        <f aca="false">IF(J882=0,0,R882/J882)</f>
        <v>0.0966183574879227</v>
      </c>
      <c r="AF882" s="15" t="n">
        <f aca="false">IF(J882=0,0,S882/J882)</f>
        <v>0.162640901771337</v>
      </c>
      <c r="AG882" s="11" t="n">
        <f aca="false">IF(J882&gt;=INDEX(球季參數!$E$2:$E$4,MATCH($A882,球季參數!$A$2:$A$4,0)),1,0)</f>
        <v>1</v>
      </c>
    </row>
    <row r="883" customFormat="false" ht="15" hidden="false" customHeight="false" outlineLevel="0" collapsed="false">
      <c r="A883" s="5" t="n">
        <v>2026</v>
      </c>
      <c r="B883" s="7" t="s">
        <v>1599</v>
      </c>
      <c r="C883" s="10" t="str">
        <f aca="false">INDEX(球員主檔!$B$2:$B$749,MATCH($B883,球員主檔!$A$2:$A$749,0))</f>
        <v>Dimitri Yarbrough</v>
      </c>
      <c r="D883" s="7" t="s">
        <v>459</v>
      </c>
      <c r="E883" s="10" t="str">
        <f aca="false">INDEX(球隊主檔!$C$2:$C$31,MATCH($D883,球隊主檔!$A$2:$A$31,0))</f>
        <v>聖地牙哥教士</v>
      </c>
      <c r="F883" s="10" t="str">
        <f aca="false">INDEX(球隊主檔!$D$2:$D$31,MATCH($D883,球隊主檔!$A$2:$A$31,0))</f>
        <v>國聯</v>
      </c>
      <c r="G883" s="7" t="s">
        <v>158</v>
      </c>
      <c r="H883" s="11" t="n">
        <f aca="false">INT((DATE($A883,7,1)-INDEX(球員主檔!$G$2:$G$749,MATCH($B883,球員主檔!$A$2:$A$749,0)))/365.25)</f>
        <v>31</v>
      </c>
      <c r="I883" s="12" t="n">
        <v>154</v>
      </c>
      <c r="J883" s="12" t="n">
        <v>616</v>
      </c>
      <c r="K883" s="12" t="n">
        <v>533</v>
      </c>
      <c r="L883" s="12" t="n">
        <v>63</v>
      </c>
      <c r="M883" s="12" t="n">
        <v>103</v>
      </c>
      <c r="N883" s="12" t="n">
        <v>36</v>
      </c>
      <c r="O883" s="12" t="n">
        <v>3</v>
      </c>
      <c r="P883" s="12" t="n">
        <v>9</v>
      </c>
      <c r="Q883" s="12" t="n">
        <v>44</v>
      </c>
      <c r="R883" s="12" t="n">
        <v>62</v>
      </c>
      <c r="S883" s="12" t="n">
        <v>115</v>
      </c>
      <c r="T883" s="12" t="n">
        <v>13</v>
      </c>
      <c r="U883" s="12" t="n">
        <v>8</v>
      </c>
      <c r="V883" s="12" t="n">
        <v>19</v>
      </c>
      <c r="W883" s="12" t="n">
        <v>5</v>
      </c>
      <c r="X883" s="13" t="n">
        <f aca="false">M883+N883+2*O883+3*P883</f>
        <v>172</v>
      </c>
      <c r="Y883" s="14" t="n">
        <f aca="false">IF(K883=0,0,M883/K883)</f>
        <v>0.193245778611632</v>
      </c>
      <c r="Z883" s="14" t="n">
        <f aca="false">IF(K883+R883+T883+U883=0,0,(M883+R883+T883)/(K883+R883+T883+U883))</f>
        <v>0.288961038961039</v>
      </c>
      <c r="AA883" s="14" t="n">
        <f aca="false">IF(K883=0,0,X883/K883)</f>
        <v>0.322701688555347</v>
      </c>
      <c r="AB883" s="14" t="n">
        <f aca="false">Z883+AA883</f>
        <v>0.611662727516386</v>
      </c>
      <c r="AC883" s="14" t="n">
        <f aca="false">AA883-Y883</f>
        <v>0.129455909943715</v>
      </c>
      <c r="AD883" s="14" t="n">
        <f aca="false">IF(K883-S883-P883+U883=0,0,(M883-P883)/(K883-S883-P883+U883))</f>
        <v>0.225419664268585</v>
      </c>
      <c r="AE883" s="15" t="n">
        <f aca="false">IF(J883=0,0,R883/J883)</f>
        <v>0.100649350649351</v>
      </c>
      <c r="AF883" s="15" t="n">
        <f aca="false">IF(J883=0,0,S883/J883)</f>
        <v>0.186688311688312</v>
      </c>
      <c r="AG883" s="11" t="n">
        <f aca="false">IF(J883&gt;=INDEX(球季參數!$E$2:$E$4,MATCH($A883,球季參數!$A$2:$A$4,0)),1,0)</f>
        <v>1</v>
      </c>
    </row>
    <row r="884" customFormat="false" ht="15" hidden="false" customHeight="false" outlineLevel="0" collapsed="false">
      <c r="A884" s="5" t="n">
        <v>2026</v>
      </c>
      <c r="B884" s="7" t="s">
        <v>1963</v>
      </c>
      <c r="C884" s="10" t="str">
        <f aca="false">INDEX(球員主檔!$B$2:$B$749,MATCH($B884,球員主檔!$A$2:$A$749,0))</f>
        <v>Matthias Prendergast</v>
      </c>
      <c r="D884" s="7" t="s">
        <v>459</v>
      </c>
      <c r="E884" s="10" t="str">
        <f aca="false">INDEX(球隊主檔!$C$2:$C$31,MATCH($D884,球隊主檔!$A$2:$A$31,0))</f>
        <v>聖地牙哥教士</v>
      </c>
      <c r="F884" s="10" t="str">
        <f aca="false">INDEX(球隊主檔!$D$2:$D$31,MATCH($D884,球隊主檔!$A$2:$A$31,0))</f>
        <v>國聯</v>
      </c>
      <c r="G884" s="7" t="s">
        <v>483</v>
      </c>
      <c r="H884" s="11" t="n">
        <f aca="false">INT((DATE($A884,7,1)-INDEX(球員主檔!$G$2:$G$749,MATCH($B884,球員主檔!$A$2:$A$749,0)))/365.25)</f>
        <v>20</v>
      </c>
      <c r="I884" s="12" t="n">
        <v>69</v>
      </c>
      <c r="J884" s="12" t="n">
        <v>308</v>
      </c>
      <c r="K884" s="12" t="n">
        <v>263</v>
      </c>
      <c r="L884" s="12" t="n">
        <v>26</v>
      </c>
      <c r="M884" s="12" t="n">
        <v>51</v>
      </c>
      <c r="N884" s="12" t="n">
        <v>16</v>
      </c>
      <c r="O884" s="12" t="n">
        <v>6</v>
      </c>
      <c r="P884" s="12" t="n">
        <v>2</v>
      </c>
      <c r="Q884" s="12" t="n">
        <v>19</v>
      </c>
      <c r="R884" s="12" t="n">
        <v>39</v>
      </c>
      <c r="S884" s="12" t="n">
        <v>69</v>
      </c>
      <c r="T884" s="12" t="n">
        <v>2</v>
      </c>
      <c r="U884" s="12" t="n">
        <v>4</v>
      </c>
      <c r="V884" s="12" t="n">
        <v>5</v>
      </c>
      <c r="W884" s="12" t="n">
        <v>1</v>
      </c>
      <c r="X884" s="13" t="n">
        <f aca="false">M884+N884+2*O884+3*P884</f>
        <v>85</v>
      </c>
      <c r="Y884" s="14" t="n">
        <f aca="false">IF(K884=0,0,M884/K884)</f>
        <v>0.193916349809886</v>
      </c>
      <c r="Z884" s="14" t="n">
        <f aca="false">IF(K884+R884+T884+U884=0,0,(M884+R884+T884)/(K884+R884+T884+U884))</f>
        <v>0.298701298701299</v>
      </c>
      <c r="AA884" s="14" t="n">
        <f aca="false">IF(K884=0,0,X884/K884)</f>
        <v>0.32319391634981</v>
      </c>
      <c r="AB884" s="14" t="n">
        <f aca="false">Z884+AA884</f>
        <v>0.621895215051109</v>
      </c>
      <c r="AC884" s="14" t="n">
        <f aca="false">AA884-Y884</f>
        <v>0.129277566539924</v>
      </c>
      <c r="AD884" s="14" t="n">
        <f aca="false">IF(K884-S884-P884+U884=0,0,(M884-P884)/(K884-S884-P884+U884))</f>
        <v>0.25</v>
      </c>
      <c r="AE884" s="15" t="n">
        <f aca="false">IF(J884=0,0,R884/J884)</f>
        <v>0.126623376623377</v>
      </c>
      <c r="AF884" s="15" t="n">
        <f aca="false">IF(J884=0,0,S884/J884)</f>
        <v>0.224025974025974</v>
      </c>
      <c r="AG884" s="11" t="n">
        <f aca="false">IF(J884&gt;=INDEX(球季參數!$E$2:$E$4,MATCH($A884,球季參數!$A$2:$A$4,0)),1,0)</f>
        <v>0</v>
      </c>
    </row>
    <row r="885" customFormat="false" ht="15" hidden="false" customHeight="false" outlineLevel="0" collapsed="false">
      <c r="A885" s="5" t="n">
        <v>2026</v>
      </c>
      <c r="B885" s="7" t="s">
        <v>1603</v>
      </c>
      <c r="C885" s="10" t="str">
        <f aca="false">INDEX(球員主檔!$B$2:$B$749,MATCH($B885,球員主檔!$A$2:$A$749,0))</f>
        <v>Silas Ostrowski</v>
      </c>
      <c r="D885" s="7" t="s">
        <v>459</v>
      </c>
      <c r="E885" s="10" t="str">
        <f aca="false">INDEX(球隊主檔!$C$2:$C$31,MATCH($D885,球隊主檔!$A$2:$A$31,0))</f>
        <v>聖地牙哥教士</v>
      </c>
      <c r="F885" s="10" t="str">
        <f aca="false">INDEX(球隊主檔!$D$2:$D$31,MATCH($D885,球隊主檔!$A$2:$A$31,0))</f>
        <v>國聯</v>
      </c>
      <c r="G885" s="7" t="s">
        <v>522</v>
      </c>
      <c r="H885" s="11" t="n">
        <f aca="false">INT((DATE($A885,7,1)-INDEX(球員主檔!$G$2:$G$749,MATCH($B885,球員主檔!$A$2:$A$749,0)))/365.25)</f>
        <v>33</v>
      </c>
      <c r="I885" s="12" t="n">
        <v>145</v>
      </c>
      <c r="J885" s="12" t="n">
        <v>630</v>
      </c>
      <c r="K885" s="12" t="n">
        <v>554</v>
      </c>
      <c r="L885" s="12" t="n">
        <v>77</v>
      </c>
      <c r="M885" s="12" t="n">
        <v>130</v>
      </c>
      <c r="N885" s="12" t="n">
        <v>22</v>
      </c>
      <c r="O885" s="12" t="n">
        <v>9</v>
      </c>
      <c r="P885" s="12" t="n">
        <v>28</v>
      </c>
      <c r="Q885" s="12" t="n">
        <v>77</v>
      </c>
      <c r="R885" s="12" t="n">
        <v>63</v>
      </c>
      <c r="S885" s="12" t="n">
        <v>193</v>
      </c>
      <c r="T885" s="12" t="n">
        <v>6</v>
      </c>
      <c r="U885" s="12" t="n">
        <v>7</v>
      </c>
      <c r="V885" s="12" t="n">
        <v>5</v>
      </c>
      <c r="W885" s="12" t="n">
        <v>1</v>
      </c>
      <c r="X885" s="13" t="n">
        <f aca="false">M885+N885+2*O885+3*P885</f>
        <v>254</v>
      </c>
      <c r="Y885" s="14" t="n">
        <f aca="false">IF(K885=0,0,M885/K885)</f>
        <v>0.234657039711191</v>
      </c>
      <c r="Z885" s="14" t="n">
        <f aca="false">IF(K885+R885+T885+U885=0,0,(M885+R885+T885)/(K885+R885+T885+U885))</f>
        <v>0.315873015873016</v>
      </c>
      <c r="AA885" s="14" t="n">
        <f aca="false">IF(K885=0,0,X885/K885)</f>
        <v>0.458483754512635</v>
      </c>
      <c r="AB885" s="14" t="n">
        <f aca="false">Z885+AA885</f>
        <v>0.774356770385651</v>
      </c>
      <c r="AC885" s="14" t="n">
        <f aca="false">AA885-Y885</f>
        <v>0.223826714801444</v>
      </c>
      <c r="AD885" s="14" t="n">
        <f aca="false">IF(K885-S885-P885+U885=0,0,(M885-P885)/(K885-S885-P885+U885))</f>
        <v>0.3</v>
      </c>
      <c r="AE885" s="15" t="n">
        <f aca="false">IF(J885=0,0,R885/J885)</f>
        <v>0.1</v>
      </c>
      <c r="AF885" s="15" t="n">
        <f aca="false">IF(J885=0,0,S885/J885)</f>
        <v>0.306349206349206</v>
      </c>
      <c r="AG885" s="11" t="n">
        <f aca="false">IF(J885&gt;=INDEX(球季參數!$E$2:$E$4,MATCH($A885,球季參數!$A$2:$A$4,0)),1,0)</f>
        <v>1</v>
      </c>
    </row>
    <row r="886" customFormat="false" ht="15" hidden="false" customHeight="false" outlineLevel="0" collapsed="false">
      <c r="A886" s="5" t="n">
        <v>2026</v>
      </c>
      <c r="B886" s="7" t="s">
        <v>1605</v>
      </c>
      <c r="C886" s="10" t="str">
        <f aca="false">INDEX(球員主檔!$B$2:$B$749,MATCH($B886,球員主檔!$A$2:$A$749,0))</f>
        <v>Sousuke Beckwith</v>
      </c>
      <c r="D886" s="7" t="s">
        <v>459</v>
      </c>
      <c r="E886" s="10" t="str">
        <f aca="false">INDEX(球隊主檔!$C$2:$C$31,MATCH($D886,球隊主檔!$A$2:$A$31,0))</f>
        <v>聖地牙哥教士</v>
      </c>
      <c r="F886" s="10" t="str">
        <f aca="false">INDEX(球隊主檔!$D$2:$D$31,MATCH($D886,球隊主檔!$A$2:$A$31,0))</f>
        <v>國聯</v>
      </c>
      <c r="G886" s="7" t="s">
        <v>63</v>
      </c>
      <c r="H886" s="11" t="n">
        <f aca="false">INT((DATE($A886,7,1)-INDEX(球員主檔!$G$2:$G$749,MATCH($B886,球員主檔!$A$2:$A$749,0)))/365.25)</f>
        <v>32</v>
      </c>
      <c r="I886" s="12" t="n">
        <v>160</v>
      </c>
      <c r="J886" s="12" t="n">
        <v>682</v>
      </c>
      <c r="K886" s="12" t="n">
        <v>601</v>
      </c>
      <c r="L886" s="12" t="n">
        <v>68</v>
      </c>
      <c r="M886" s="12" t="n">
        <v>129</v>
      </c>
      <c r="N886" s="12" t="n">
        <v>32</v>
      </c>
      <c r="O886" s="12" t="n">
        <v>2</v>
      </c>
      <c r="P886" s="12" t="n">
        <v>22</v>
      </c>
      <c r="Q886" s="12" t="n">
        <v>71</v>
      </c>
      <c r="R886" s="12" t="n">
        <v>67</v>
      </c>
      <c r="S886" s="12" t="n">
        <v>163</v>
      </c>
      <c r="T886" s="12" t="n">
        <v>10</v>
      </c>
      <c r="U886" s="12" t="n">
        <v>4</v>
      </c>
      <c r="V886" s="12" t="n">
        <v>13</v>
      </c>
      <c r="W886" s="12" t="n">
        <v>3</v>
      </c>
      <c r="X886" s="13" t="n">
        <f aca="false">M886+N886+2*O886+3*P886</f>
        <v>231</v>
      </c>
      <c r="Y886" s="14" t="n">
        <f aca="false">IF(K886=0,0,M886/K886)</f>
        <v>0.214642262895175</v>
      </c>
      <c r="Z886" s="14" t="n">
        <f aca="false">IF(K886+R886+T886+U886=0,0,(M886+R886+T886)/(K886+R886+T886+U886))</f>
        <v>0.302052785923754</v>
      </c>
      <c r="AA886" s="14" t="n">
        <f aca="false">IF(K886=0,0,X886/K886)</f>
        <v>0.384359400998336</v>
      </c>
      <c r="AB886" s="14" t="n">
        <f aca="false">Z886+AA886</f>
        <v>0.68641218692209</v>
      </c>
      <c r="AC886" s="14" t="n">
        <f aca="false">AA886-Y886</f>
        <v>0.169717138103161</v>
      </c>
      <c r="AD886" s="14" t="n">
        <f aca="false">IF(K886-S886-P886+U886=0,0,(M886-P886)/(K886-S886-P886+U886))</f>
        <v>0.254761904761905</v>
      </c>
      <c r="AE886" s="15" t="n">
        <f aca="false">IF(J886=0,0,R886/J886)</f>
        <v>0.0982404692082111</v>
      </c>
      <c r="AF886" s="15" t="n">
        <f aca="false">IF(J886=0,0,S886/J886)</f>
        <v>0.23900293255132</v>
      </c>
      <c r="AG886" s="11" t="n">
        <f aca="false">IF(J886&gt;=INDEX(球季參數!$E$2:$E$4,MATCH($A886,球季參數!$A$2:$A$4,0)),1,0)</f>
        <v>1</v>
      </c>
    </row>
    <row r="887" customFormat="false" ht="15" hidden="false" customHeight="false" outlineLevel="0" collapsed="false">
      <c r="A887" s="5" t="n">
        <v>2026</v>
      </c>
      <c r="B887" s="7" t="s">
        <v>1607</v>
      </c>
      <c r="C887" s="10" t="str">
        <f aca="false">INDEX(球員主檔!$B$2:$B$749,MATCH($B887,球員主檔!$A$2:$A$749,0))</f>
        <v>Griffin Ostrowski</v>
      </c>
      <c r="D887" s="7" t="s">
        <v>459</v>
      </c>
      <c r="E887" s="10" t="str">
        <f aca="false">INDEX(球隊主檔!$C$2:$C$31,MATCH($D887,球隊主檔!$A$2:$A$31,0))</f>
        <v>聖地牙哥教士</v>
      </c>
      <c r="F887" s="10" t="str">
        <f aca="false">INDEX(球隊主檔!$D$2:$D$31,MATCH($D887,球隊主檔!$A$2:$A$31,0))</f>
        <v>國聯</v>
      </c>
      <c r="G887" s="7" t="s">
        <v>162</v>
      </c>
      <c r="H887" s="11" t="n">
        <f aca="false">INT((DATE($A887,7,1)-INDEX(球員主檔!$G$2:$G$749,MATCH($B887,球員主檔!$A$2:$A$749,0)))/365.25)</f>
        <v>32</v>
      </c>
      <c r="I887" s="12" t="n">
        <v>32</v>
      </c>
      <c r="J887" s="12" t="n">
        <v>143</v>
      </c>
      <c r="K887" s="12" t="n">
        <v>124</v>
      </c>
      <c r="L887" s="12" t="n">
        <v>16</v>
      </c>
      <c r="M887" s="12" t="n">
        <v>28</v>
      </c>
      <c r="N887" s="12" t="n">
        <v>11</v>
      </c>
      <c r="O887" s="12" t="n">
        <v>3</v>
      </c>
      <c r="P887" s="12" t="n">
        <v>3</v>
      </c>
      <c r="Q887" s="12" t="n">
        <v>12</v>
      </c>
      <c r="R887" s="12" t="n">
        <v>15</v>
      </c>
      <c r="S887" s="12" t="n">
        <v>29</v>
      </c>
      <c r="T887" s="12" t="n">
        <v>3</v>
      </c>
      <c r="U887" s="12" t="n">
        <v>1</v>
      </c>
      <c r="V887" s="12" t="n">
        <v>1</v>
      </c>
      <c r="W887" s="12" t="n">
        <v>0</v>
      </c>
      <c r="X887" s="13" t="n">
        <f aca="false">M887+N887+2*O887+3*P887</f>
        <v>54</v>
      </c>
      <c r="Y887" s="14" t="n">
        <f aca="false">IF(K887=0,0,M887/K887)</f>
        <v>0.225806451612903</v>
      </c>
      <c r="Z887" s="14" t="n">
        <f aca="false">IF(K887+R887+T887+U887=0,0,(M887+R887+T887)/(K887+R887+T887+U887))</f>
        <v>0.321678321678322</v>
      </c>
      <c r="AA887" s="14" t="n">
        <f aca="false">IF(K887=0,0,X887/K887)</f>
        <v>0.435483870967742</v>
      </c>
      <c r="AB887" s="14" t="n">
        <f aca="false">Z887+AA887</f>
        <v>0.757162192646064</v>
      </c>
      <c r="AC887" s="14" t="n">
        <f aca="false">AA887-Y887</f>
        <v>0.209677419354839</v>
      </c>
      <c r="AD887" s="14" t="n">
        <f aca="false">IF(K887-S887-P887+U887=0,0,(M887-P887)/(K887-S887-P887+U887))</f>
        <v>0.268817204301075</v>
      </c>
      <c r="AE887" s="15" t="n">
        <f aca="false">IF(J887=0,0,R887/J887)</f>
        <v>0.104895104895105</v>
      </c>
      <c r="AF887" s="15" t="n">
        <f aca="false">IF(J887=0,0,S887/J887)</f>
        <v>0.202797202797203</v>
      </c>
      <c r="AG887" s="11" t="n">
        <f aca="false">IF(J887&gt;=INDEX(球季參數!$E$2:$E$4,MATCH($A887,球季參數!$A$2:$A$4,0)),1,0)</f>
        <v>0</v>
      </c>
    </row>
    <row r="888" customFormat="false" ht="15" hidden="false" customHeight="false" outlineLevel="0" collapsed="false">
      <c r="A888" s="5" t="n">
        <v>2026</v>
      </c>
      <c r="B888" s="7" t="s">
        <v>1609</v>
      </c>
      <c r="C888" s="10" t="str">
        <f aca="false">INDEX(球員主檔!$B$2:$B$749,MATCH($B888,球員主檔!$A$2:$A$749,0))</f>
        <v>Matthias Lemieux</v>
      </c>
      <c r="D888" s="7" t="s">
        <v>459</v>
      </c>
      <c r="E888" s="10" t="str">
        <f aca="false">INDEX(球隊主檔!$C$2:$C$31,MATCH($D888,球隊主檔!$A$2:$A$31,0))</f>
        <v>聖地牙哥教士</v>
      </c>
      <c r="F888" s="10" t="str">
        <f aca="false">INDEX(球隊主檔!$D$2:$D$31,MATCH($D888,球隊主檔!$A$2:$A$31,0))</f>
        <v>國聯</v>
      </c>
      <c r="G888" s="7" t="s">
        <v>470</v>
      </c>
      <c r="H888" s="11" t="n">
        <f aca="false">INT((DATE($A888,7,1)-INDEX(球員主檔!$G$2:$G$749,MATCH($B888,球員主檔!$A$2:$A$749,0)))/365.25)</f>
        <v>29</v>
      </c>
      <c r="I888" s="12" t="n">
        <v>115</v>
      </c>
      <c r="J888" s="12" t="n">
        <v>495</v>
      </c>
      <c r="K888" s="12" t="n">
        <v>445</v>
      </c>
      <c r="L888" s="12" t="n">
        <v>57</v>
      </c>
      <c r="M888" s="12" t="n">
        <v>108</v>
      </c>
      <c r="N888" s="12" t="n">
        <v>40</v>
      </c>
      <c r="O888" s="12" t="n">
        <v>8</v>
      </c>
      <c r="P888" s="12" t="n">
        <v>14</v>
      </c>
      <c r="Q888" s="12" t="n">
        <v>59</v>
      </c>
      <c r="R888" s="12" t="n">
        <v>43</v>
      </c>
      <c r="S888" s="12" t="n">
        <v>69</v>
      </c>
      <c r="T888" s="12" t="n">
        <v>2</v>
      </c>
      <c r="U888" s="12" t="n">
        <v>5</v>
      </c>
      <c r="V888" s="12" t="n">
        <v>6</v>
      </c>
      <c r="W888" s="12" t="n">
        <v>2</v>
      </c>
      <c r="X888" s="13" t="n">
        <f aca="false">M888+N888+2*O888+3*P888</f>
        <v>206</v>
      </c>
      <c r="Y888" s="14" t="n">
        <f aca="false">IF(K888=0,0,M888/K888)</f>
        <v>0.242696629213483</v>
      </c>
      <c r="Z888" s="14" t="n">
        <f aca="false">IF(K888+R888+T888+U888=0,0,(M888+R888+T888)/(K888+R888+T888+U888))</f>
        <v>0.309090909090909</v>
      </c>
      <c r="AA888" s="14" t="n">
        <f aca="false">IF(K888=0,0,X888/K888)</f>
        <v>0.462921348314607</v>
      </c>
      <c r="AB888" s="14" t="n">
        <f aca="false">Z888+AA888</f>
        <v>0.772012257405516</v>
      </c>
      <c r="AC888" s="14" t="n">
        <f aca="false">AA888-Y888</f>
        <v>0.220224719101124</v>
      </c>
      <c r="AD888" s="14" t="n">
        <f aca="false">IF(K888-S888-P888+U888=0,0,(M888-P888)/(K888-S888-P888+U888))</f>
        <v>0.256130790190736</v>
      </c>
      <c r="AE888" s="15" t="n">
        <f aca="false">IF(J888=0,0,R888/J888)</f>
        <v>0.0868686868686869</v>
      </c>
      <c r="AF888" s="15" t="n">
        <f aca="false">IF(J888=0,0,S888/J888)</f>
        <v>0.139393939393939</v>
      </c>
      <c r="AG888" s="11" t="n">
        <f aca="false">IF(J888&gt;=INDEX(球季參數!$E$2:$E$4,MATCH($A888,球季參數!$A$2:$A$4,0)),1,0)</f>
        <v>0</v>
      </c>
    </row>
    <row r="889" customFormat="false" ht="15" hidden="false" customHeight="false" outlineLevel="0" collapsed="false">
      <c r="A889" s="5" t="n">
        <v>2026</v>
      </c>
      <c r="B889" s="7" t="s">
        <v>1965</v>
      </c>
      <c r="C889" s="10" t="str">
        <f aca="false">INDEX(球員主檔!$B$2:$B$749,MATCH($B889,球員主檔!$A$2:$A$749,0))</f>
        <v>Joaquín Mbeki</v>
      </c>
      <c r="D889" s="7" t="s">
        <v>459</v>
      </c>
      <c r="E889" s="10" t="str">
        <f aca="false">INDEX(球隊主檔!$C$2:$C$31,MATCH($D889,球隊主檔!$A$2:$A$31,0))</f>
        <v>聖地牙哥教士</v>
      </c>
      <c r="F889" s="10" t="str">
        <f aca="false">INDEX(球隊主檔!$D$2:$D$31,MATCH($D889,球隊主檔!$A$2:$A$31,0))</f>
        <v>國聯</v>
      </c>
      <c r="G889" s="7" t="s">
        <v>483</v>
      </c>
      <c r="H889" s="11" t="n">
        <f aca="false">INT((DATE($A889,7,1)-INDEX(球員主檔!$G$2:$G$749,MATCH($B889,球員主檔!$A$2:$A$749,0)))/365.25)</f>
        <v>20</v>
      </c>
      <c r="I889" s="12" t="n">
        <v>123</v>
      </c>
      <c r="J889" s="12" t="n">
        <v>495</v>
      </c>
      <c r="K889" s="12" t="n">
        <v>467</v>
      </c>
      <c r="L889" s="12" t="n">
        <v>54</v>
      </c>
      <c r="M889" s="12" t="n">
        <v>114</v>
      </c>
      <c r="N889" s="12" t="n">
        <v>40</v>
      </c>
      <c r="O889" s="12" t="n">
        <v>2</v>
      </c>
      <c r="P889" s="12" t="n">
        <v>13</v>
      </c>
      <c r="Q889" s="12" t="n">
        <v>51</v>
      </c>
      <c r="R889" s="12" t="n">
        <v>21</v>
      </c>
      <c r="S889" s="12" t="n">
        <v>131</v>
      </c>
      <c r="T889" s="12" t="n">
        <v>4</v>
      </c>
      <c r="U889" s="12" t="n">
        <v>3</v>
      </c>
      <c r="V889" s="12" t="n">
        <v>18</v>
      </c>
      <c r="W889" s="12" t="n">
        <v>2</v>
      </c>
      <c r="X889" s="13" t="n">
        <f aca="false">M889+N889+2*O889+3*P889</f>
        <v>197</v>
      </c>
      <c r="Y889" s="14" t="n">
        <f aca="false">IF(K889=0,0,M889/K889)</f>
        <v>0.244111349036403</v>
      </c>
      <c r="Z889" s="14" t="n">
        <f aca="false">IF(K889+R889+T889+U889=0,0,(M889+R889+T889)/(K889+R889+T889+U889))</f>
        <v>0.280808080808081</v>
      </c>
      <c r="AA889" s="14" t="n">
        <f aca="false">IF(K889=0,0,X889/K889)</f>
        <v>0.421841541755889</v>
      </c>
      <c r="AB889" s="14" t="n">
        <f aca="false">Z889+AA889</f>
        <v>0.70264962256397</v>
      </c>
      <c r="AC889" s="14" t="n">
        <f aca="false">AA889-Y889</f>
        <v>0.177730192719486</v>
      </c>
      <c r="AD889" s="14" t="n">
        <f aca="false">IF(K889-S889-P889+U889=0,0,(M889-P889)/(K889-S889-P889+U889))</f>
        <v>0.309815950920245</v>
      </c>
      <c r="AE889" s="15" t="n">
        <f aca="false">IF(J889=0,0,R889/J889)</f>
        <v>0.0424242424242424</v>
      </c>
      <c r="AF889" s="15" t="n">
        <f aca="false">IF(J889=0,0,S889/J889)</f>
        <v>0.264646464646465</v>
      </c>
      <c r="AG889" s="11" t="n">
        <f aca="false">IF(J889&gt;=INDEX(球季參數!$E$2:$E$4,MATCH($A889,球季參數!$A$2:$A$4,0)),1,0)</f>
        <v>0</v>
      </c>
    </row>
    <row r="890" customFormat="false" ht="15" hidden="false" customHeight="false" outlineLevel="0" collapsed="false">
      <c r="A890" s="5" t="n">
        <v>2026</v>
      </c>
      <c r="B890" s="7" t="s">
        <v>1613</v>
      </c>
      <c r="C890" s="10" t="str">
        <f aca="false">INDEX(球員主檔!$B$2:$B$749,MATCH($B890,球員主檔!$A$2:$A$749,0))</f>
        <v>Esteban Tremblay</v>
      </c>
      <c r="D890" s="7" t="s">
        <v>459</v>
      </c>
      <c r="E890" s="10" t="str">
        <f aca="false">INDEX(球隊主檔!$C$2:$C$31,MATCH($D890,球隊主檔!$A$2:$A$31,0))</f>
        <v>聖地牙哥教士</v>
      </c>
      <c r="F890" s="10" t="str">
        <f aca="false">INDEX(球隊主檔!$D$2:$D$31,MATCH($D890,球隊主檔!$A$2:$A$31,0))</f>
        <v>國聯</v>
      </c>
      <c r="G890" s="7" t="s">
        <v>522</v>
      </c>
      <c r="H890" s="11" t="n">
        <f aca="false">INT((DATE($A890,7,1)-INDEX(球員主檔!$G$2:$G$749,MATCH($B890,球員主檔!$A$2:$A$749,0)))/365.25)</f>
        <v>30</v>
      </c>
      <c r="I890" s="12" t="n">
        <v>85</v>
      </c>
      <c r="J890" s="12" t="n">
        <v>348</v>
      </c>
      <c r="K890" s="12" t="n">
        <v>301</v>
      </c>
      <c r="L890" s="12" t="n">
        <v>39</v>
      </c>
      <c r="M890" s="12" t="n">
        <v>80</v>
      </c>
      <c r="N890" s="12" t="n">
        <v>29</v>
      </c>
      <c r="O890" s="12" t="n">
        <v>1</v>
      </c>
      <c r="P890" s="12" t="n">
        <v>11</v>
      </c>
      <c r="Q890" s="12" t="n">
        <v>40</v>
      </c>
      <c r="R890" s="12" t="n">
        <v>39</v>
      </c>
      <c r="S890" s="12" t="n">
        <v>80</v>
      </c>
      <c r="T890" s="12" t="n">
        <v>6</v>
      </c>
      <c r="U890" s="12" t="n">
        <v>2</v>
      </c>
      <c r="V890" s="12" t="n">
        <v>3</v>
      </c>
      <c r="W890" s="12" t="n">
        <v>0</v>
      </c>
      <c r="X890" s="13" t="n">
        <f aca="false">M890+N890+2*O890+3*P890</f>
        <v>144</v>
      </c>
      <c r="Y890" s="14" t="n">
        <f aca="false">IF(K890=0,0,M890/K890)</f>
        <v>0.26578073089701</v>
      </c>
      <c r="Z890" s="14" t="n">
        <f aca="false">IF(K890+R890+T890+U890=0,0,(M890+R890+T890)/(K890+R890+T890+U890))</f>
        <v>0.359195402298851</v>
      </c>
      <c r="AA890" s="14" t="n">
        <f aca="false">IF(K890=0,0,X890/K890)</f>
        <v>0.478405315614618</v>
      </c>
      <c r="AB890" s="14" t="n">
        <f aca="false">Z890+AA890</f>
        <v>0.837600717913469</v>
      </c>
      <c r="AC890" s="14" t="n">
        <f aca="false">AA890-Y890</f>
        <v>0.212624584717608</v>
      </c>
      <c r="AD890" s="14" t="n">
        <f aca="false">IF(K890-S890-P890+U890=0,0,(M890-P890)/(K890-S890-P890+U890))</f>
        <v>0.325471698113208</v>
      </c>
      <c r="AE890" s="15" t="n">
        <f aca="false">IF(J890=0,0,R890/J890)</f>
        <v>0.112068965517241</v>
      </c>
      <c r="AF890" s="15" t="n">
        <f aca="false">IF(J890=0,0,S890/J890)</f>
        <v>0.229885057471264</v>
      </c>
      <c r="AG890" s="11" t="n">
        <f aca="false">IF(J890&gt;=INDEX(球季參數!$E$2:$E$4,MATCH($A890,球季參數!$A$2:$A$4,0)),1,0)</f>
        <v>0</v>
      </c>
    </row>
    <row r="891" customFormat="false" ht="15" hidden="false" customHeight="false" outlineLevel="0" collapsed="false">
      <c r="A891" s="5" t="n">
        <v>2026</v>
      </c>
      <c r="B891" s="7" t="s">
        <v>1967</v>
      </c>
      <c r="C891" s="10" t="str">
        <f aca="false">INDEX(球員主檔!$B$2:$B$749,MATCH($B891,球員主檔!$A$2:$A$749,0))</f>
        <v>Dashiell Eberhardt</v>
      </c>
      <c r="D891" s="7" t="s">
        <v>459</v>
      </c>
      <c r="E891" s="10" t="str">
        <f aca="false">INDEX(球隊主檔!$C$2:$C$31,MATCH($D891,球隊主檔!$A$2:$A$31,0))</f>
        <v>聖地牙哥教士</v>
      </c>
      <c r="F891" s="10" t="str">
        <f aca="false">INDEX(球隊主檔!$D$2:$D$31,MATCH($D891,球隊主檔!$A$2:$A$31,0))</f>
        <v>國聯</v>
      </c>
      <c r="G891" s="7" t="s">
        <v>162</v>
      </c>
      <c r="H891" s="11" t="n">
        <f aca="false">INT((DATE($A891,7,1)-INDEX(球員主檔!$G$2:$G$749,MATCH($B891,球員主檔!$A$2:$A$749,0)))/365.25)</f>
        <v>22</v>
      </c>
      <c r="I891" s="12" t="n">
        <v>42</v>
      </c>
      <c r="J891" s="12" t="n">
        <v>170</v>
      </c>
      <c r="K891" s="12" t="n">
        <v>145</v>
      </c>
      <c r="L891" s="12" t="n">
        <v>18</v>
      </c>
      <c r="M891" s="12" t="n">
        <v>36</v>
      </c>
      <c r="N891" s="12" t="n">
        <v>17</v>
      </c>
      <c r="O891" s="12" t="n">
        <v>2</v>
      </c>
      <c r="P891" s="12" t="n">
        <v>2</v>
      </c>
      <c r="Q891" s="12" t="n">
        <v>15</v>
      </c>
      <c r="R891" s="12" t="n">
        <v>21</v>
      </c>
      <c r="S891" s="12" t="n">
        <v>54</v>
      </c>
      <c r="T891" s="12" t="n">
        <v>3</v>
      </c>
      <c r="U891" s="12" t="n">
        <v>1</v>
      </c>
      <c r="V891" s="12" t="n">
        <v>7</v>
      </c>
      <c r="W891" s="12" t="n">
        <v>3</v>
      </c>
      <c r="X891" s="13" t="n">
        <f aca="false">M891+N891+2*O891+3*P891</f>
        <v>63</v>
      </c>
      <c r="Y891" s="14" t="n">
        <f aca="false">IF(K891=0,0,M891/K891)</f>
        <v>0.248275862068966</v>
      </c>
      <c r="Z891" s="14" t="n">
        <f aca="false">IF(K891+R891+T891+U891=0,0,(M891+R891+T891)/(K891+R891+T891+U891))</f>
        <v>0.352941176470588</v>
      </c>
      <c r="AA891" s="14" t="n">
        <f aca="false">IF(K891=0,0,X891/K891)</f>
        <v>0.43448275862069</v>
      </c>
      <c r="AB891" s="14" t="n">
        <f aca="false">Z891+AA891</f>
        <v>0.787423935091278</v>
      </c>
      <c r="AC891" s="14" t="n">
        <f aca="false">AA891-Y891</f>
        <v>0.186206896551724</v>
      </c>
      <c r="AD891" s="14" t="n">
        <f aca="false">IF(K891-S891-P891+U891=0,0,(M891-P891)/(K891-S891-P891+U891))</f>
        <v>0.377777777777778</v>
      </c>
      <c r="AE891" s="15" t="n">
        <f aca="false">IF(J891=0,0,R891/J891)</f>
        <v>0.123529411764706</v>
      </c>
      <c r="AF891" s="15" t="n">
        <f aca="false">IF(J891=0,0,S891/J891)</f>
        <v>0.317647058823529</v>
      </c>
      <c r="AG891" s="11" t="n">
        <f aca="false">IF(J891&gt;=INDEX(球季參數!$E$2:$E$4,MATCH($A891,球季參數!$A$2:$A$4,0)),1,0)</f>
        <v>0</v>
      </c>
    </row>
    <row r="892" customFormat="false" ht="15" hidden="false" customHeight="false" outlineLevel="0" collapsed="false">
      <c r="A892" s="5" t="n">
        <v>2026</v>
      </c>
      <c r="B892" s="7" t="s">
        <v>1637</v>
      </c>
      <c r="C892" s="10" t="str">
        <f aca="false">INDEX(球員主檔!$B$2:$B$749,MATCH($B892,球員主檔!$A$2:$A$749,0))</f>
        <v>Niklas Uchendu</v>
      </c>
      <c r="D892" s="7" t="s">
        <v>463</v>
      </c>
      <c r="E892" s="10" t="str">
        <f aca="false">INDEX(球隊主檔!$C$2:$C$31,MATCH($D892,球隊主檔!$A$2:$A$31,0))</f>
        <v>舊金山巨人</v>
      </c>
      <c r="F892" s="10" t="str">
        <f aca="false">INDEX(球隊主檔!$D$2:$D$31,MATCH($D892,球隊主檔!$A$2:$A$31,0))</f>
        <v>國聯</v>
      </c>
      <c r="G892" s="7" t="s">
        <v>470</v>
      </c>
      <c r="H892" s="11" t="n">
        <f aca="false">INT((DATE($A892,7,1)-INDEX(球員主檔!$G$2:$G$749,MATCH($B892,球員主檔!$A$2:$A$749,0)))/365.25)</f>
        <v>36</v>
      </c>
      <c r="I892" s="12" t="n">
        <v>143</v>
      </c>
      <c r="J892" s="12" t="n">
        <v>583</v>
      </c>
      <c r="K892" s="12" t="n">
        <v>521</v>
      </c>
      <c r="L892" s="12" t="n">
        <v>57</v>
      </c>
      <c r="M892" s="12" t="n">
        <v>108</v>
      </c>
      <c r="N892" s="12" t="n">
        <v>38</v>
      </c>
      <c r="O892" s="12" t="n">
        <v>2</v>
      </c>
      <c r="P892" s="12" t="n">
        <v>13</v>
      </c>
      <c r="Q892" s="12" t="n">
        <v>60</v>
      </c>
      <c r="R892" s="12" t="n">
        <v>49</v>
      </c>
      <c r="S892" s="12" t="n">
        <v>124</v>
      </c>
      <c r="T892" s="12" t="n">
        <v>6</v>
      </c>
      <c r="U892" s="12" t="n">
        <v>7</v>
      </c>
      <c r="V892" s="12" t="n">
        <v>14</v>
      </c>
      <c r="W892" s="12" t="n">
        <v>3</v>
      </c>
      <c r="X892" s="13" t="n">
        <f aca="false">M892+N892+2*O892+3*P892</f>
        <v>189</v>
      </c>
      <c r="Y892" s="14" t="n">
        <f aca="false">IF(K892=0,0,M892/K892)</f>
        <v>0.207293666026871</v>
      </c>
      <c r="Z892" s="14" t="n">
        <f aca="false">IF(K892+R892+T892+U892=0,0,(M892+R892+T892)/(K892+R892+T892+U892))</f>
        <v>0.27958833619211</v>
      </c>
      <c r="AA892" s="14" t="n">
        <f aca="false">IF(K892=0,0,X892/K892)</f>
        <v>0.362763915547025</v>
      </c>
      <c r="AB892" s="14" t="n">
        <f aca="false">Z892+AA892</f>
        <v>0.642352251739135</v>
      </c>
      <c r="AC892" s="14" t="n">
        <f aca="false">AA892-Y892</f>
        <v>0.155470249520154</v>
      </c>
      <c r="AD892" s="14" t="n">
        <f aca="false">IF(K892-S892-P892+U892=0,0,(M892-P892)/(K892-S892-P892+U892))</f>
        <v>0.242966751918159</v>
      </c>
      <c r="AE892" s="15" t="n">
        <f aca="false">IF(J892=0,0,R892/J892)</f>
        <v>0.0840480274442539</v>
      </c>
      <c r="AF892" s="15" t="n">
        <f aca="false">IF(J892=0,0,S892/J892)</f>
        <v>0.212692967409949</v>
      </c>
      <c r="AG892" s="11" t="n">
        <f aca="false">IF(J892&gt;=INDEX(球季參數!$E$2:$E$4,MATCH($A892,球季參數!$A$2:$A$4,0)),1,0)</f>
        <v>1</v>
      </c>
    </row>
    <row r="893" customFormat="false" ht="15" hidden="false" customHeight="false" outlineLevel="0" collapsed="false">
      <c r="A893" s="5" t="n">
        <v>2026</v>
      </c>
      <c r="B893" s="7" t="s">
        <v>1639</v>
      </c>
      <c r="C893" s="10" t="str">
        <f aca="false">INDEX(球員主檔!$B$2:$B$749,MATCH($B893,球員主檔!$A$2:$A$749,0))</f>
        <v>Esteban Brightwell</v>
      </c>
      <c r="D893" s="7" t="s">
        <v>463</v>
      </c>
      <c r="E893" s="10" t="str">
        <f aca="false">INDEX(球隊主檔!$C$2:$C$31,MATCH($D893,球隊主檔!$A$2:$A$31,0))</f>
        <v>舊金山巨人</v>
      </c>
      <c r="F893" s="10" t="str">
        <f aca="false">INDEX(球隊主檔!$D$2:$D$31,MATCH($D893,球隊主檔!$A$2:$A$31,0))</f>
        <v>國聯</v>
      </c>
      <c r="G893" s="7" t="s">
        <v>486</v>
      </c>
      <c r="H893" s="11" t="n">
        <f aca="false">INT((DATE($A893,7,1)-INDEX(球員主檔!$G$2:$G$749,MATCH($B893,球員主檔!$A$2:$A$749,0)))/365.25)</f>
        <v>32</v>
      </c>
      <c r="I893" s="12" t="n">
        <v>132</v>
      </c>
      <c r="J893" s="12" t="n">
        <v>586</v>
      </c>
      <c r="K893" s="12" t="n">
        <v>525</v>
      </c>
      <c r="L893" s="12" t="n">
        <v>62</v>
      </c>
      <c r="M893" s="12" t="n">
        <v>132</v>
      </c>
      <c r="N893" s="12" t="n">
        <v>15</v>
      </c>
      <c r="O893" s="12" t="n">
        <v>9</v>
      </c>
      <c r="P893" s="12" t="n">
        <v>8</v>
      </c>
      <c r="Q893" s="12" t="n">
        <v>45</v>
      </c>
      <c r="R893" s="12" t="n">
        <v>51</v>
      </c>
      <c r="S893" s="12" t="n">
        <v>84</v>
      </c>
      <c r="T893" s="12" t="n">
        <v>9</v>
      </c>
      <c r="U893" s="12" t="n">
        <v>1</v>
      </c>
      <c r="V893" s="12" t="n">
        <v>19</v>
      </c>
      <c r="W893" s="12" t="n">
        <v>3</v>
      </c>
      <c r="X893" s="13" t="n">
        <f aca="false">M893+N893+2*O893+3*P893</f>
        <v>189</v>
      </c>
      <c r="Y893" s="14" t="n">
        <f aca="false">IF(K893=0,0,M893/K893)</f>
        <v>0.251428571428571</v>
      </c>
      <c r="Z893" s="14" t="n">
        <f aca="false">IF(K893+R893+T893+U893=0,0,(M893+R893+T893)/(K893+R893+T893+U893))</f>
        <v>0.327645051194539</v>
      </c>
      <c r="AA893" s="14" t="n">
        <f aca="false">IF(K893=0,0,X893/K893)</f>
        <v>0.36</v>
      </c>
      <c r="AB893" s="14" t="n">
        <f aca="false">Z893+AA893</f>
        <v>0.687645051194539</v>
      </c>
      <c r="AC893" s="14" t="n">
        <f aca="false">AA893-Y893</f>
        <v>0.108571428571429</v>
      </c>
      <c r="AD893" s="14" t="n">
        <f aca="false">IF(K893-S893-P893+U893=0,0,(M893-P893)/(K893-S893-P893+U893))</f>
        <v>0.285714285714286</v>
      </c>
      <c r="AE893" s="15" t="n">
        <f aca="false">IF(J893=0,0,R893/J893)</f>
        <v>0.0870307167235495</v>
      </c>
      <c r="AF893" s="15" t="n">
        <f aca="false">IF(J893=0,0,S893/J893)</f>
        <v>0.143344709897611</v>
      </c>
      <c r="AG893" s="11" t="n">
        <f aca="false">IF(J893&gt;=INDEX(球季參數!$E$2:$E$4,MATCH($A893,球季參數!$A$2:$A$4,0)),1,0)</f>
        <v>1</v>
      </c>
    </row>
    <row r="894" customFormat="false" ht="15" hidden="false" customHeight="false" outlineLevel="0" collapsed="false">
      <c r="A894" s="5" t="n">
        <v>2026</v>
      </c>
      <c r="B894" s="7" t="s">
        <v>1641</v>
      </c>
      <c r="C894" s="10" t="str">
        <f aca="false">INDEX(球員主檔!$B$2:$B$749,MATCH($B894,球員主檔!$A$2:$A$749,0))</f>
        <v>Quentin Thorsby</v>
      </c>
      <c r="D894" s="7" t="s">
        <v>463</v>
      </c>
      <c r="E894" s="10" t="str">
        <f aca="false">INDEX(球隊主檔!$C$2:$C$31,MATCH($D894,球隊主檔!$A$2:$A$31,0))</f>
        <v>舊金山巨人</v>
      </c>
      <c r="F894" s="10" t="str">
        <f aca="false">INDEX(球隊主檔!$D$2:$D$31,MATCH($D894,球隊主檔!$A$2:$A$31,0))</f>
        <v>國聯</v>
      </c>
      <c r="G894" s="7" t="s">
        <v>478</v>
      </c>
      <c r="H894" s="11" t="n">
        <f aca="false">INT((DATE($A894,7,1)-INDEX(球員主檔!$G$2:$G$749,MATCH($B894,球員主檔!$A$2:$A$749,0)))/365.25)</f>
        <v>31</v>
      </c>
      <c r="I894" s="12" t="n">
        <v>75</v>
      </c>
      <c r="J894" s="12" t="n">
        <v>330</v>
      </c>
      <c r="K894" s="12" t="n">
        <v>293</v>
      </c>
      <c r="L894" s="12" t="n">
        <v>29</v>
      </c>
      <c r="M894" s="12" t="n">
        <v>55</v>
      </c>
      <c r="N894" s="12" t="n">
        <v>18</v>
      </c>
      <c r="O894" s="12" t="n">
        <v>5</v>
      </c>
      <c r="P894" s="12" t="n">
        <v>11</v>
      </c>
      <c r="Q894" s="12" t="n">
        <v>32</v>
      </c>
      <c r="R894" s="12" t="n">
        <v>31</v>
      </c>
      <c r="S894" s="12" t="n">
        <v>48</v>
      </c>
      <c r="T894" s="12" t="n">
        <v>6</v>
      </c>
      <c r="U894" s="12" t="n">
        <v>0</v>
      </c>
      <c r="V894" s="12" t="n">
        <v>7</v>
      </c>
      <c r="W894" s="12" t="n">
        <v>2</v>
      </c>
      <c r="X894" s="13" t="n">
        <f aca="false">M894+N894+2*O894+3*P894</f>
        <v>116</v>
      </c>
      <c r="Y894" s="14" t="n">
        <f aca="false">IF(K894=0,0,M894/K894)</f>
        <v>0.187713310580205</v>
      </c>
      <c r="Z894" s="14" t="n">
        <f aca="false">IF(K894+R894+T894+U894=0,0,(M894+R894+T894)/(K894+R894+T894+U894))</f>
        <v>0.278787878787879</v>
      </c>
      <c r="AA894" s="14" t="n">
        <f aca="false">IF(K894=0,0,X894/K894)</f>
        <v>0.395904436860068</v>
      </c>
      <c r="AB894" s="14" t="n">
        <f aca="false">Z894+AA894</f>
        <v>0.674692315647947</v>
      </c>
      <c r="AC894" s="14" t="n">
        <f aca="false">AA894-Y894</f>
        <v>0.208191126279864</v>
      </c>
      <c r="AD894" s="14" t="n">
        <f aca="false">IF(K894-S894-P894+U894=0,0,(M894-P894)/(K894-S894-P894+U894))</f>
        <v>0.188034188034188</v>
      </c>
      <c r="AE894" s="15" t="n">
        <f aca="false">IF(J894=0,0,R894/J894)</f>
        <v>0.0939393939393939</v>
      </c>
      <c r="AF894" s="15" t="n">
        <f aca="false">IF(J894=0,0,S894/J894)</f>
        <v>0.145454545454545</v>
      </c>
      <c r="AG894" s="11" t="n">
        <f aca="false">IF(J894&gt;=INDEX(球季參數!$E$2:$E$4,MATCH($A894,球季參數!$A$2:$A$4,0)),1,0)</f>
        <v>0</v>
      </c>
    </row>
    <row r="895" customFormat="false" ht="15" hidden="false" customHeight="false" outlineLevel="0" collapsed="false">
      <c r="A895" s="5" t="n">
        <v>2026</v>
      </c>
      <c r="B895" s="7" t="s">
        <v>1643</v>
      </c>
      <c r="C895" s="10" t="str">
        <f aca="false">INDEX(球員主檔!$B$2:$B$749,MATCH($B895,球員主檔!$A$2:$A$749,0))</f>
        <v>Nolan Engelhardt</v>
      </c>
      <c r="D895" s="7" t="s">
        <v>463</v>
      </c>
      <c r="E895" s="10" t="str">
        <f aca="false">INDEX(球隊主檔!$C$2:$C$31,MATCH($D895,球隊主檔!$A$2:$A$31,0))</f>
        <v>舊金山巨人</v>
      </c>
      <c r="F895" s="10" t="str">
        <f aca="false">INDEX(球隊主檔!$D$2:$D$31,MATCH($D895,球隊主檔!$A$2:$A$31,0))</f>
        <v>國聯</v>
      </c>
      <c r="G895" s="7" t="s">
        <v>478</v>
      </c>
      <c r="H895" s="11" t="n">
        <f aca="false">INT((DATE($A895,7,1)-INDEX(球員主檔!$G$2:$G$749,MATCH($B895,球員主檔!$A$2:$A$749,0)))/365.25)</f>
        <v>32</v>
      </c>
      <c r="I895" s="12" t="n">
        <v>160</v>
      </c>
      <c r="J895" s="12" t="n">
        <v>701</v>
      </c>
      <c r="K895" s="12" t="n">
        <v>630</v>
      </c>
      <c r="L895" s="12" t="n">
        <v>64</v>
      </c>
      <c r="M895" s="12" t="n">
        <v>148</v>
      </c>
      <c r="N895" s="12" t="n">
        <v>22</v>
      </c>
      <c r="O895" s="12" t="n">
        <v>10</v>
      </c>
      <c r="P895" s="12" t="n">
        <v>17</v>
      </c>
      <c r="Q895" s="12" t="n">
        <v>69</v>
      </c>
      <c r="R895" s="12" t="n">
        <v>51</v>
      </c>
      <c r="S895" s="12" t="n">
        <v>180</v>
      </c>
      <c r="T895" s="12" t="n">
        <v>15</v>
      </c>
      <c r="U895" s="12" t="n">
        <v>5</v>
      </c>
      <c r="V895" s="12" t="n">
        <v>11</v>
      </c>
      <c r="W895" s="12" t="n">
        <v>1</v>
      </c>
      <c r="X895" s="13" t="n">
        <f aca="false">M895+N895+2*O895+3*P895</f>
        <v>241</v>
      </c>
      <c r="Y895" s="14" t="n">
        <f aca="false">IF(K895=0,0,M895/K895)</f>
        <v>0.234920634920635</v>
      </c>
      <c r="Z895" s="14" t="n">
        <f aca="false">IF(K895+R895+T895+U895=0,0,(M895+R895+T895)/(K895+R895+T895+U895))</f>
        <v>0.30527817403709</v>
      </c>
      <c r="AA895" s="14" t="n">
        <f aca="false">IF(K895=0,0,X895/K895)</f>
        <v>0.382539682539683</v>
      </c>
      <c r="AB895" s="14" t="n">
        <f aca="false">Z895+AA895</f>
        <v>0.687817856576772</v>
      </c>
      <c r="AC895" s="14" t="n">
        <f aca="false">AA895-Y895</f>
        <v>0.147619047619048</v>
      </c>
      <c r="AD895" s="14" t="n">
        <f aca="false">IF(K895-S895-P895+U895=0,0,(M895-P895)/(K895-S895-P895+U895))</f>
        <v>0.299086757990868</v>
      </c>
      <c r="AE895" s="15" t="n">
        <f aca="false">IF(J895=0,0,R895/J895)</f>
        <v>0.072753209700428</v>
      </c>
      <c r="AF895" s="15" t="n">
        <f aca="false">IF(J895=0,0,S895/J895)</f>
        <v>0.256776034236805</v>
      </c>
      <c r="AG895" s="11" t="n">
        <f aca="false">IF(J895&gt;=INDEX(球季參數!$E$2:$E$4,MATCH($A895,球季參數!$A$2:$A$4,0)),1,0)</f>
        <v>1</v>
      </c>
    </row>
    <row r="896" customFormat="false" ht="15" hidden="false" customHeight="false" outlineLevel="0" collapsed="false">
      <c r="A896" s="5" t="n">
        <v>2026</v>
      </c>
      <c r="B896" s="7" t="s">
        <v>1645</v>
      </c>
      <c r="C896" s="10" t="str">
        <f aca="false">INDEX(球員主檔!$B$2:$B$749,MATCH($B896,球員主檔!$A$2:$A$749,0))</f>
        <v>Kellan Ravenscroft</v>
      </c>
      <c r="D896" s="7" t="s">
        <v>463</v>
      </c>
      <c r="E896" s="10" t="str">
        <f aca="false">INDEX(球隊主檔!$C$2:$C$31,MATCH($D896,球隊主檔!$A$2:$A$31,0))</f>
        <v>舊金山巨人</v>
      </c>
      <c r="F896" s="10" t="str">
        <f aca="false">INDEX(球隊主檔!$D$2:$D$31,MATCH($D896,球隊主檔!$A$2:$A$31,0))</f>
        <v>國聯</v>
      </c>
      <c r="G896" s="7" t="s">
        <v>158</v>
      </c>
      <c r="H896" s="11" t="n">
        <f aca="false">INT((DATE($A896,7,1)-INDEX(球員主檔!$G$2:$G$749,MATCH($B896,球員主檔!$A$2:$A$749,0)))/365.25)</f>
        <v>33</v>
      </c>
      <c r="I896" s="12" t="n">
        <v>162</v>
      </c>
      <c r="J896" s="12" t="n">
        <v>696</v>
      </c>
      <c r="K896" s="12" t="n">
        <v>641</v>
      </c>
      <c r="L896" s="12" t="n">
        <v>83</v>
      </c>
      <c r="M896" s="12" t="n">
        <v>163</v>
      </c>
      <c r="N896" s="12" t="n">
        <v>24</v>
      </c>
      <c r="O896" s="12" t="n">
        <v>2</v>
      </c>
      <c r="P896" s="12" t="n">
        <v>24</v>
      </c>
      <c r="Q896" s="12" t="n">
        <v>96</v>
      </c>
      <c r="R896" s="12" t="n">
        <v>49</v>
      </c>
      <c r="S896" s="12" t="n">
        <v>98</v>
      </c>
      <c r="T896" s="12" t="n">
        <v>3</v>
      </c>
      <c r="U896" s="12" t="n">
        <v>3</v>
      </c>
      <c r="V896" s="12" t="n">
        <v>13</v>
      </c>
      <c r="W896" s="12" t="n">
        <v>3</v>
      </c>
      <c r="X896" s="13" t="n">
        <f aca="false">M896+N896+2*O896+3*P896</f>
        <v>263</v>
      </c>
      <c r="Y896" s="14" t="n">
        <f aca="false">IF(K896=0,0,M896/K896)</f>
        <v>0.254290171606864</v>
      </c>
      <c r="Z896" s="14" t="n">
        <f aca="false">IF(K896+R896+T896+U896=0,0,(M896+R896+T896)/(K896+R896+T896+U896))</f>
        <v>0.308908045977012</v>
      </c>
      <c r="AA896" s="14" t="n">
        <f aca="false">IF(K896=0,0,X896/K896)</f>
        <v>0.410296411856474</v>
      </c>
      <c r="AB896" s="14" t="n">
        <f aca="false">Z896+AA896</f>
        <v>0.719204457833486</v>
      </c>
      <c r="AC896" s="14" t="n">
        <f aca="false">AA896-Y896</f>
        <v>0.15600624024961</v>
      </c>
      <c r="AD896" s="14" t="n">
        <f aca="false">IF(K896-S896-P896+U896=0,0,(M896-P896)/(K896-S896-P896+U896))</f>
        <v>0.266283524904215</v>
      </c>
      <c r="AE896" s="15" t="n">
        <f aca="false">IF(J896=0,0,R896/J896)</f>
        <v>0.0704022988505747</v>
      </c>
      <c r="AF896" s="15" t="n">
        <f aca="false">IF(J896=0,0,S896/J896)</f>
        <v>0.140804597701149</v>
      </c>
      <c r="AG896" s="11" t="n">
        <f aca="false">IF(J896&gt;=INDEX(球季參數!$E$2:$E$4,MATCH($A896,球季參數!$A$2:$A$4,0)),1,0)</f>
        <v>1</v>
      </c>
    </row>
    <row r="897" customFormat="false" ht="15" hidden="false" customHeight="false" outlineLevel="0" collapsed="false">
      <c r="A897" s="5" t="n">
        <v>2026</v>
      </c>
      <c r="B897" s="7" t="s">
        <v>1971</v>
      </c>
      <c r="C897" s="10" t="str">
        <f aca="false">INDEX(球員主檔!$B$2:$B$749,MATCH($B897,球員主檔!$A$2:$A$749,0))</f>
        <v>Cedric Novotný</v>
      </c>
      <c r="D897" s="7" t="s">
        <v>463</v>
      </c>
      <c r="E897" s="10" t="str">
        <f aca="false">INDEX(球隊主檔!$C$2:$C$31,MATCH($D897,球隊主檔!$A$2:$A$31,0))</f>
        <v>舊金山巨人</v>
      </c>
      <c r="F897" s="10" t="str">
        <f aca="false">INDEX(球隊主檔!$D$2:$D$31,MATCH($D897,球隊主檔!$A$2:$A$31,0))</f>
        <v>國聯</v>
      </c>
      <c r="G897" s="7" t="s">
        <v>63</v>
      </c>
      <c r="H897" s="11" t="n">
        <f aca="false">INT((DATE($A897,7,1)-INDEX(球員主檔!$G$2:$G$749,MATCH($B897,球員主檔!$A$2:$A$749,0)))/365.25)</f>
        <v>24</v>
      </c>
      <c r="I897" s="12" t="n">
        <v>102</v>
      </c>
      <c r="J897" s="12" t="n">
        <v>445</v>
      </c>
      <c r="K897" s="12" t="n">
        <v>394</v>
      </c>
      <c r="L897" s="12" t="n">
        <v>41</v>
      </c>
      <c r="M897" s="12" t="n">
        <v>85</v>
      </c>
      <c r="N897" s="12" t="n">
        <v>33</v>
      </c>
      <c r="O897" s="12" t="n">
        <v>3</v>
      </c>
      <c r="P897" s="12" t="n">
        <v>5</v>
      </c>
      <c r="Q897" s="12" t="n">
        <v>36</v>
      </c>
      <c r="R897" s="12" t="n">
        <v>44</v>
      </c>
      <c r="S897" s="12" t="n">
        <v>106</v>
      </c>
      <c r="T897" s="12" t="n">
        <v>3</v>
      </c>
      <c r="U897" s="12" t="n">
        <v>4</v>
      </c>
      <c r="V897" s="12" t="n">
        <v>41</v>
      </c>
      <c r="W897" s="12" t="n">
        <v>11</v>
      </c>
      <c r="X897" s="13" t="n">
        <f aca="false">M897+N897+2*O897+3*P897</f>
        <v>139</v>
      </c>
      <c r="Y897" s="14" t="n">
        <f aca="false">IF(K897=0,0,M897/K897)</f>
        <v>0.215736040609137</v>
      </c>
      <c r="Z897" s="14" t="n">
        <f aca="false">IF(K897+R897+T897+U897=0,0,(M897+R897+T897)/(K897+R897+T897+U897))</f>
        <v>0.296629213483146</v>
      </c>
      <c r="AA897" s="14" t="n">
        <f aca="false">IF(K897=0,0,X897/K897)</f>
        <v>0.352791878172589</v>
      </c>
      <c r="AB897" s="14" t="n">
        <f aca="false">Z897+AA897</f>
        <v>0.649421091655735</v>
      </c>
      <c r="AC897" s="14" t="n">
        <f aca="false">AA897-Y897</f>
        <v>0.137055837563452</v>
      </c>
      <c r="AD897" s="14" t="n">
        <f aca="false">IF(K897-S897-P897+U897=0,0,(M897-P897)/(K897-S897-P897+U897))</f>
        <v>0.278745644599303</v>
      </c>
      <c r="AE897" s="15" t="n">
        <f aca="false">IF(J897=0,0,R897/J897)</f>
        <v>0.098876404494382</v>
      </c>
      <c r="AF897" s="15" t="n">
        <f aca="false">IF(J897=0,0,S897/J897)</f>
        <v>0.238202247191011</v>
      </c>
      <c r="AG897" s="11" t="n">
        <f aca="false">IF(J897&gt;=INDEX(球季參數!$E$2:$E$4,MATCH($A897,球季參數!$A$2:$A$4,0)),1,0)</f>
        <v>0</v>
      </c>
    </row>
    <row r="898" customFormat="false" ht="15" hidden="false" customHeight="false" outlineLevel="0" collapsed="false">
      <c r="A898" s="5" t="n">
        <v>2026</v>
      </c>
      <c r="B898" s="7" t="s">
        <v>683</v>
      </c>
      <c r="C898" s="10" t="str">
        <f aca="false">INDEX(球員主檔!$B$2:$B$749,MATCH($B898,球員主檔!$A$2:$A$749,0))</f>
        <v>Jedidiah Jaramillo</v>
      </c>
      <c r="D898" s="7" t="s">
        <v>463</v>
      </c>
      <c r="E898" s="10" t="str">
        <f aca="false">INDEX(球隊主檔!$C$2:$C$31,MATCH($D898,球隊主檔!$A$2:$A$31,0))</f>
        <v>舊金山巨人</v>
      </c>
      <c r="F898" s="10" t="str">
        <f aca="false">INDEX(球隊主檔!$D$2:$D$31,MATCH($D898,球隊主檔!$A$2:$A$31,0))</f>
        <v>國聯</v>
      </c>
      <c r="G898" s="7" t="s">
        <v>470</v>
      </c>
      <c r="H898" s="11" t="n">
        <f aca="false">INT((DATE($A898,7,1)-INDEX(球員主檔!$G$2:$G$749,MATCH($B898,球員主檔!$A$2:$A$749,0)))/365.25)</f>
        <v>30</v>
      </c>
      <c r="I898" s="12" t="n">
        <v>121</v>
      </c>
      <c r="J898" s="12" t="n">
        <v>511</v>
      </c>
      <c r="K898" s="12" t="n">
        <v>461</v>
      </c>
      <c r="L898" s="12" t="n">
        <v>47</v>
      </c>
      <c r="M898" s="12" t="n">
        <v>86</v>
      </c>
      <c r="N898" s="12" t="n">
        <v>25</v>
      </c>
      <c r="O898" s="12" t="n">
        <v>3</v>
      </c>
      <c r="P898" s="12" t="n">
        <v>14</v>
      </c>
      <c r="Q898" s="12" t="n">
        <v>48</v>
      </c>
      <c r="R898" s="12" t="n">
        <v>35</v>
      </c>
      <c r="S898" s="12" t="n">
        <v>98</v>
      </c>
      <c r="T898" s="12" t="n">
        <v>9</v>
      </c>
      <c r="U898" s="12" t="n">
        <v>6</v>
      </c>
      <c r="V898" s="12" t="n">
        <v>20</v>
      </c>
      <c r="W898" s="12" t="n">
        <v>4</v>
      </c>
      <c r="X898" s="13" t="n">
        <f aca="false">M898+N898+2*O898+3*P898</f>
        <v>159</v>
      </c>
      <c r="Y898" s="14" t="n">
        <f aca="false">IF(K898=0,0,M898/K898)</f>
        <v>0.186550976138829</v>
      </c>
      <c r="Z898" s="14" t="n">
        <f aca="false">IF(K898+R898+T898+U898=0,0,(M898+R898+T898)/(K898+R898+T898+U898))</f>
        <v>0.25440313111546</v>
      </c>
      <c r="AA898" s="14" t="n">
        <f aca="false">IF(K898=0,0,X898/K898)</f>
        <v>0.344902386117137</v>
      </c>
      <c r="AB898" s="14" t="n">
        <f aca="false">Z898+AA898</f>
        <v>0.599305517232597</v>
      </c>
      <c r="AC898" s="14" t="n">
        <f aca="false">AA898-Y898</f>
        <v>0.158351409978308</v>
      </c>
      <c r="AD898" s="14" t="n">
        <f aca="false">IF(K898-S898-P898+U898=0,0,(M898-P898)/(K898-S898-P898+U898))</f>
        <v>0.202816901408451</v>
      </c>
      <c r="AE898" s="15" t="n">
        <f aca="false">IF(J898=0,0,R898/J898)</f>
        <v>0.0684931506849315</v>
      </c>
      <c r="AF898" s="15" t="n">
        <f aca="false">IF(J898=0,0,S898/J898)</f>
        <v>0.191780821917808</v>
      </c>
      <c r="AG898" s="11" t="n">
        <f aca="false">IF(J898&gt;=INDEX(球季參數!$E$2:$E$4,MATCH($A898,球季參數!$A$2:$A$4,0)),1,0)</f>
        <v>1</v>
      </c>
    </row>
    <row r="899" customFormat="false" ht="15" hidden="false" customHeight="false" outlineLevel="0" collapsed="false">
      <c r="A899" s="5" t="n">
        <v>2026</v>
      </c>
      <c r="B899" s="7" t="s">
        <v>1803</v>
      </c>
      <c r="C899" s="10" t="str">
        <f aca="false">INDEX(球員主檔!$B$2:$B$749,MATCH($B899,球員主檔!$A$2:$A$749,0))</f>
        <v>Porter Kowalczyk</v>
      </c>
      <c r="D899" s="7" t="s">
        <v>463</v>
      </c>
      <c r="E899" s="10" t="str">
        <f aca="false">INDEX(球隊主檔!$C$2:$C$31,MATCH($D899,球隊主檔!$A$2:$A$31,0))</f>
        <v>舊金山巨人</v>
      </c>
      <c r="F899" s="10" t="str">
        <f aca="false">INDEX(球隊主檔!$D$2:$D$31,MATCH($D899,球隊主檔!$A$2:$A$31,0))</f>
        <v>國聯</v>
      </c>
      <c r="G899" s="7" t="s">
        <v>162</v>
      </c>
      <c r="H899" s="11" t="n">
        <f aca="false">INT((DATE($A899,7,1)-INDEX(球員主檔!$G$2:$G$749,MATCH($B899,球員主檔!$A$2:$A$749,0)))/365.25)</f>
        <v>22</v>
      </c>
      <c r="I899" s="12" t="n">
        <v>101</v>
      </c>
      <c r="J899" s="12" t="n">
        <v>416</v>
      </c>
      <c r="K899" s="12" t="n">
        <v>398</v>
      </c>
      <c r="L899" s="12" t="n">
        <v>35</v>
      </c>
      <c r="M899" s="12" t="n">
        <v>85</v>
      </c>
      <c r="N899" s="12" t="n">
        <v>41</v>
      </c>
      <c r="O899" s="12" t="n">
        <v>0</v>
      </c>
      <c r="P899" s="12" t="n">
        <v>10</v>
      </c>
      <c r="Q899" s="12" t="n">
        <v>36</v>
      </c>
      <c r="R899" s="12" t="n">
        <v>13</v>
      </c>
      <c r="S899" s="12" t="n">
        <v>97</v>
      </c>
      <c r="T899" s="12" t="n">
        <v>2</v>
      </c>
      <c r="U899" s="12" t="n">
        <v>3</v>
      </c>
      <c r="V899" s="12" t="n">
        <v>7</v>
      </c>
      <c r="W899" s="12" t="n">
        <v>2</v>
      </c>
      <c r="X899" s="13" t="n">
        <f aca="false">M899+N899+2*O899+3*P899</f>
        <v>156</v>
      </c>
      <c r="Y899" s="14" t="n">
        <f aca="false">IF(K899=0,0,M899/K899)</f>
        <v>0.21356783919598</v>
      </c>
      <c r="Z899" s="14" t="n">
        <f aca="false">IF(K899+R899+T899+U899=0,0,(M899+R899+T899)/(K899+R899+T899+U899))</f>
        <v>0.240384615384615</v>
      </c>
      <c r="AA899" s="14" t="n">
        <f aca="false">IF(K899=0,0,X899/K899)</f>
        <v>0.391959798994975</v>
      </c>
      <c r="AB899" s="14" t="n">
        <f aca="false">Z899+AA899</f>
        <v>0.63234441437959</v>
      </c>
      <c r="AC899" s="14" t="n">
        <f aca="false">AA899-Y899</f>
        <v>0.178391959798995</v>
      </c>
      <c r="AD899" s="14" t="n">
        <f aca="false">IF(K899-S899-P899+U899=0,0,(M899-P899)/(K899-S899-P899+U899))</f>
        <v>0.255102040816327</v>
      </c>
      <c r="AE899" s="15" t="n">
        <f aca="false">IF(J899=0,0,R899/J899)</f>
        <v>0.03125</v>
      </c>
      <c r="AF899" s="15" t="n">
        <f aca="false">IF(J899=0,0,S899/J899)</f>
        <v>0.233173076923077</v>
      </c>
      <c r="AG899" s="11" t="n">
        <f aca="false">IF(J899&gt;=INDEX(球季參數!$E$2:$E$4,MATCH($A899,球季參數!$A$2:$A$4,0)),1,0)</f>
        <v>0</v>
      </c>
    </row>
    <row r="900" customFormat="false" ht="15" hidden="false" customHeight="false" outlineLevel="0" collapsed="false">
      <c r="A900" s="5" t="n">
        <v>2026</v>
      </c>
      <c r="B900" s="7" t="s">
        <v>1653</v>
      </c>
      <c r="C900" s="10" t="str">
        <f aca="false">INDEX(球員主檔!$B$2:$B$749,MATCH($B900,球員主檔!$A$2:$A$749,0))</f>
        <v>Soren Kestrel</v>
      </c>
      <c r="D900" s="7" t="s">
        <v>463</v>
      </c>
      <c r="E900" s="10" t="str">
        <f aca="false">INDEX(球隊主檔!$C$2:$C$31,MATCH($D900,球隊主檔!$A$2:$A$31,0))</f>
        <v>舊金山巨人</v>
      </c>
      <c r="F900" s="10" t="str">
        <f aca="false">INDEX(球隊主檔!$D$2:$D$31,MATCH($D900,球隊主檔!$A$2:$A$31,0))</f>
        <v>國聯</v>
      </c>
      <c r="G900" s="7" t="s">
        <v>158</v>
      </c>
      <c r="H900" s="11" t="n">
        <f aca="false">INT((DATE($A900,7,1)-INDEX(球員主檔!$G$2:$G$749,MATCH($B900,球員主檔!$A$2:$A$749,0)))/365.25)</f>
        <v>29</v>
      </c>
      <c r="I900" s="12" t="n">
        <v>53</v>
      </c>
      <c r="J900" s="12" t="n">
        <v>239</v>
      </c>
      <c r="K900" s="12" t="n">
        <v>213</v>
      </c>
      <c r="L900" s="12" t="n">
        <v>26</v>
      </c>
      <c r="M900" s="12" t="n">
        <v>51</v>
      </c>
      <c r="N900" s="12" t="n">
        <v>18</v>
      </c>
      <c r="O900" s="12" t="n">
        <v>1</v>
      </c>
      <c r="P900" s="12" t="n">
        <v>10</v>
      </c>
      <c r="Q900" s="12" t="n">
        <v>34</v>
      </c>
      <c r="R900" s="12" t="n">
        <v>22</v>
      </c>
      <c r="S900" s="12" t="n">
        <v>42</v>
      </c>
      <c r="T900" s="12" t="n">
        <v>2</v>
      </c>
      <c r="U900" s="12" t="n">
        <v>2</v>
      </c>
      <c r="V900" s="12" t="n">
        <v>7</v>
      </c>
      <c r="W900" s="12" t="n">
        <v>2</v>
      </c>
      <c r="X900" s="13" t="n">
        <f aca="false">M900+N900+2*O900+3*P900</f>
        <v>101</v>
      </c>
      <c r="Y900" s="14" t="n">
        <f aca="false">IF(K900=0,0,M900/K900)</f>
        <v>0.23943661971831</v>
      </c>
      <c r="Z900" s="14" t="n">
        <f aca="false">IF(K900+R900+T900+U900=0,0,(M900+R900+T900)/(K900+R900+T900+U900))</f>
        <v>0.313807531380753</v>
      </c>
      <c r="AA900" s="14" t="n">
        <f aca="false">IF(K900=0,0,X900/K900)</f>
        <v>0.474178403755869</v>
      </c>
      <c r="AB900" s="14" t="n">
        <f aca="false">Z900+AA900</f>
        <v>0.787985935136622</v>
      </c>
      <c r="AC900" s="14" t="n">
        <f aca="false">AA900-Y900</f>
        <v>0.234741784037559</v>
      </c>
      <c r="AD900" s="14" t="n">
        <f aca="false">IF(K900-S900-P900+U900=0,0,(M900-P900)/(K900-S900-P900+U900))</f>
        <v>0.251533742331288</v>
      </c>
      <c r="AE900" s="15" t="n">
        <f aca="false">IF(J900=0,0,R900/J900)</f>
        <v>0.0920502092050209</v>
      </c>
      <c r="AF900" s="15" t="n">
        <f aca="false">IF(J900=0,0,S900/J900)</f>
        <v>0.175732217573222</v>
      </c>
      <c r="AG900" s="11" t="n">
        <f aca="false">IF(J900&gt;=INDEX(球季參數!$E$2:$E$4,MATCH($A900,球季參數!$A$2:$A$4,0)),1,0)</f>
        <v>0</v>
      </c>
    </row>
    <row r="901" customFormat="false" ht="15" hidden="false" customHeight="false" outlineLevel="0" collapsed="false">
      <c r="A901" s="5" t="n">
        <v>2026</v>
      </c>
      <c r="B901" s="7" t="s">
        <v>1655</v>
      </c>
      <c r="C901" s="10" t="str">
        <f aca="false">INDEX(球員主檔!$B$2:$B$749,MATCH($B901,球員主檔!$A$2:$A$749,0))</f>
        <v>Benedikt Halloway</v>
      </c>
      <c r="D901" s="7" t="s">
        <v>463</v>
      </c>
      <c r="E901" s="10" t="str">
        <f aca="false">INDEX(球隊主檔!$C$2:$C$31,MATCH($D901,球隊主檔!$A$2:$A$31,0))</f>
        <v>舊金山巨人</v>
      </c>
      <c r="F901" s="10" t="str">
        <f aca="false">INDEX(球隊主檔!$D$2:$D$31,MATCH($D901,球隊主檔!$A$2:$A$31,0))</f>
        <v>國聯</v>
      </c>
      <c r="G901" s="7" t="s">
        <v>162</v>
      </c>
      <c r="H901" s="11" t="n">
        <f aca="false">INT((DATE($A901,7,1)-INDEX(球員主檔!$G$2:$G$749,MATCH($B901,球員主檔!$A$2:$A$749,0)))/365.25)</f>
        <v>28</v>
      </c>
      <c r="I901" s="12" t="n">
        <v>41</v>
      </c>
      <c r="J901" s="12" t="n">
        <v>166</v>
      </c>
      <c r="K901" s="12" t="n">
        <v>151</v>
      </c>
      <c r="L901" s="12" t="n">
        <v>20</v>
      </c>
      <c r="M901" s="12" t="n">
        <v>40</v>
      </c>
      <c r="N901" s="12" t="n">
        <v>18</v>
      </c>
      <c r="O901" s="12" t="n">
        <v>1</v>
      </c>
      <c r="P901" s="12" t="n">
        <v>4</v>
      </c>
      <c r="Q901" s="12" t="n">
        <v>18</v>
      </c>
      <c r="R901" s="12" t="n">
        <v>12</v>
      </c>
      <c r="S901" s="12" t="n">
        <v>47</v>
      </c>
      <c r="T901" s="12" t="n">
        <v>3</v>
      </c>
      <c r="U901" s="12" t="n">
        <v>0</v>
      </c>
      <c r="V901" s="12" t="n">
        <v>4</v>
      </c>
      <c r="W901" s="12" t="n">
        <v>1</v>
      </c>
      <c r="X901" s="13" t="n">
        <f aca="false">M901+N901+2*O901+3*P901</f>
        <v>72</v>
      </c>
      <c r="Y901" s="14" t="n">
        <f aca="false">IF(K901=0,0,M901/K901)</f>
        <v>0.264900662251656</v>
      </c>
      <c r="Z901" s="14" t="n">
        <f aca="false">IF(K901+R901+T901+U901=0,0,(M901+R901+T901)/(K901+R901+T901+U901))</f>
        <v>0.331325301204819</v>
      </c>
      <c r="AA901" s="14" t="n">
        <f aca="false">IF(K901=0,0,X901/K901)</f>
        <v>0.47682119205298</v>
      </c>
      <c r="AB901" s="14" t="n">
        <f aca="false">Z901+AA901</f>
        <v>0.808146493257799</v>
      </c>
      <c r="AC901" s="14" t="n">
        <f aca="false">AA901-Y901</f>
        <v>0.211920529801324</v>
      </c>
      <c r="AD901" s="14" t="n">
        <f aca="false">IF(K901-S901-P901+U901=0,0,(M901-P901)/(K901-S901-P901+U901))</f>
        <v>0.36</v>
      </c>
      <c r="AE901" s="15" t="n">
        <f aca="false">IF(J901=0,0,R901/J901)</f>
        <v>0.072289156626506</v>
      </c>
      <c r="AF901" s="15" t="n">
        <f aca="false">IF(J901=0,0,S901/J901)</f>
        <v>0.283132530120482</v>
      </c>
      <c r="AG901" s="11" t="n">
        <f aca="false">IF(J901&gt;=INDEX(球季參數!$E$2:$E$4,MATCH($A901,球季參數!$A$2:$A$4,0)),1,0)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5" min="9" style="0" width="9"/>
    <col collapsed="false" customWidth="true" hidden="false" outlineLevel="0" max="17" min="16" style="0" width="11"/>
    <col collapsed="false" customWidth="true" hidden="false" outlineLevel="0" max="24" min="18" style="0" width="9"/>
    <col collapsed="false" customWidth="true" hidden="false" outlineLevel="0" max="30" min="25" style="0" width="10"/>
    <col collapsed="false" customWidth="true" hidden="false" outlineLevel="0" max="31" min="31" style="0" width="13"/>
  </cols>
  <sheetData>
    <row r="1" customFormat="false" ht="31.5" hidden="false" customHeight="true" outlineLevel="0" collapsed="false">
      <c r="A1" s="1" t="s">
        <v>55</v>
      </c>
      <c r="B1" s="1" t="s">
        <v>94</v>
      </c>
      <c r="C1" s="1" t="s">
        <v>96</v>
      </c>
      <c r="D1" s="1" t="s">
        <v>80</v>
      </c>
      <c r="E1" s="1" t="s">
        <v>85</v>
      </c>
      <c r="F1" s="1" t="s">
        <v>87</v>
      </c>
      <c r="G1" s="1" t="s">
        <v>229</v>
      </c>
      <c r="H1" s="1" t="s">
        <v>141</v>
      </c>
      <c r="I1" s="1" t="s">
        <v>232</v>
      </c>
      <c r="J1" s="1" t="s">
        <v>234</v>
      </c>
      <c r="K1" s="1" t="s">
        <v>236</v>
      </c>
      <c r="L1" s="1" t="s">
        <v>239</v>
      </c>
      <c r="M1" s="1" t="s">
        <v>144</v>
      </c>
      <c r="N1" s="1" t="s">
        <v>242</v>
      </c>
      <c r="O1" s="1" t="s">
        <v>245</v>
      </c>
      <c r="P1" s="1" t="s">
        <v>248</v>
      </c>
      <c r="Q1" s="1" t="s">
        <v>250</v>
      </c>
      <c r="R1" s="1" t="s">
        <v>252</v>
      </c>
      <c r="S1" s="1" t="s">
        <v>253</v>
      </c>
      <c r="T1" s="1" t="s">
        <v>255</v>
      </c>
      <c r="U1" s="1" t="s">
        <v>257</v>
      </c>
      <c r="V1" s="1" t="s">
        <v>172</v>
      </c>
      <c r="W1" s="1" t="s">
        <v>176</v>
      </c>
      <c r="X1" s="1" t="s">
        <v>180</v>
      </c>
      <c r="Y1" s="1" t="s">
        <v>259</v>
      </c>
      <c r="Z1" s="1" t="s">
        <v>261</v>
      </c>
      <c r="AA1" s="1" t="s">
        <v>263</v>
      </c>
      <c r="AB1" s="1" t="s">
        <v>266</v>
      </c>
      <c r="AC1" s="1" t="s">
        <v>269</v>
      </c>
      <c r="AD1" s="1" t="s">
        <v>272</v>
      </c>
      <c r="AE1" s="1" t="s">
        <v>274</v>
      </c>
    </row>
    <row r="2" customFormat="false" ht="15" hidden="false" customHeight="false" outlineLevel="0" collapsed="false">
      <c r="A2" s="5" t="n">
        <v>2024</v>
      </c>
      <c r="B2" s="7" t="s">
        <v>493</v>
      </c>
      <c r="C2" s="10" t="str">
        <f aca="false">INDEX(球員主檔!$B$2:$B$749,MATCH($B2,球員主檔!$A$2:$A$749,0))</f>
        <v>Ulises Halloway</v>
      </c>
      <c r="D2" s="7" t="s">
        <v>340</v>
      </c>
      <c r="E2" s="10" t="str">
        <f aca="false">INDEX(球隊主檔!$C$2:$C$31,MATCH($D2,球隊主檔!$A$2:$A$31,0))</f>
        <v>巴爾的摩金鶯</v>
      </c>
      <c r="F2" s="10" t="str">
        <f aca="false">INDEX(球隊主檔!$D$2:$D$31,MATCH($D2,球隊主檔!$A$2:$A$31,0))</f>
        <v>美聯</v>
      </c>
      <c r="G2" s="7" t="s">
        <v>496</v>
      </c>
      <c r="H2" s="11" t="n">
        <f aca="false">INT((DATE($A2,7,1)-INDEX(球員主檔!$G$2:$G$749,MATCH($B2,球員主檔!$A$2:$A$749,0)))/365.25)</f>
        <v>25</v>
      </c>
      <c r="I2" s="12" t="n">
        <v>9</v>
      </c>
      <c r="J2" s="12" t="n">
        <v>4</v>
      </c>
      <c r="K2" s="12" t="n">
        <v>0</v>
      </c>
      <c r="L2" s="12" t="n">
        <v>0</v>
      </c>
      <c r="M2" s="12" t="n">
        <v>22</v>
      </c>
      <c r="N2" s="12" t="n">
        <v>22</v>
      </c>
      <c r="O2" s="12" t="n">
        <v>357</v>
      </c>
      <c r="P2" s="16" t="n">
        <f aca="false">O2/3</f>
        <v>119</v>
      </c>
      <c r="Q2" s="17" t="str">
        <f aca="false">INT(O2/3)&amp;"."&amp;MOD(O2,3)</f>
        <v>119.0</v>
      </c>
      <c r="R2" s="12" t="n">
        <v>98</v>
      </c>
      <c r="S2" s="12" t="n">
        <v>52</v>
      </c>
      <c r="T2" s="12" t="n">
        <v>49</v>
      </c>
      <c r="U2" s="12" t="n">
        <v>10</v>
      </c>
      <c r="V2" s="12" t="n">
        <v>32</v>
      </c>
      <c r="W2" s="12" t="n">
        <v>112</v>
      </c>
      <c r="X2" s="12" t="n">
        <v>7</v>
      </c>
      <c r="Y2" s="18" t="n">
        <f aca="false">IF(O2=0,0,T2*27/O2)</f>
        <v>3.70588235294118</v>
      </c>
      <c r="Z2" s="18" t="n">
        <f aca="false">IF(P2=0,0,(V2+R2)/P2)</f>
        <v>1.09243697478992</v>
      </c>
      <c r="AA2" s="18" t="n">
        <f aca="false">IF(O2=0,0,W2*27/O2)</f>
        <v>8.47058823529412</v>
      </c>
      <c r="AB2" s="18" t="n">
        <f aca="false">IF(O2=0,0,V2*27/O2)</f>
        <v>2.42016806722689</v>
      </c>
      <c r="AC2" s="18" t="n">
        <f aca="false">IF(V2=0,0,W2/V2)</f>
        <v>3.5</v>
      </c>
      <c r="AD2" s="18" t="n">
        <f aca="false">IF(P2=0,0,(13*U2+3*(V2+X2)-2*W2)/P2+INDEX(球季參數!$C$2:$C$4,MATCH($A2,球季參數!$A$2:$A$4,0)))</f>
        <v>3.32327731092437</v>
      </c>
      <c r="AE2" s="11" t="n">
        <f aca="false">IF(P2&gt;=INDEX(球季參數!$F$2:$F$4,MATCH($A2,球季參數!$A$2:$A$4,0)),1,0)</f>
        <v>0</v>
      </c>
    </row>
    <row r="3" customFormat="false" ht="15" hidden="false" customHeight="false" outlineLevel="0" collapsed="false">
      <c r="A3" s="5" t="n">
        <v>2024</v>
      </c>
      <c r="B3" s="7" t="s">
        <v>497</v>
      </c>
      <c r="C3" s="10" t="str">
        <f aca="false">INDEX(球員主檔!$B$2:$B$749,MATCH($B3,球員主檔!$A$2:$A$749,0))</f>
        <v>Emilio Blackwood</v>
      </c>
      <c r="D3" s="7" t="s">
        <v>340</v>
      </c>
      <c r="E3" s="10" t="str">
        <f aca="false">INDEX(球隊主檔!$C$2:$C$31,MATCH($D3,球隊主檔!$A$2:$A$31,0))</f>
        <v>巴爾的摩金鶯</v>
      </c>
      <c r="F3" s="10" t="str">
        <f aca="false">INDEX(球隊主檔!$D$2:$D$31,MATCH($D3,球隊主檔!$A$2:$A$31,0))</f>
        <v>美聯</v>
      </c>
      <c r="G3" s="7" t="s">
        <v>496</v>
      </c>
      <c r="H3" s="11" t="n">
        <f aca="false">INT((DATE($A3,7,1)-INDEX(球員主檔!$G$2:$G$749,MATCH($B3,球員主檔!$A$2:$A$749,0)))/365.25)</f>
        <v>30</v>
      </c>
      <c r="I3" s="12" t="n">
        <v>6</v>
      </c>
      <c r="J3" s="12" t="n">
        <v>6</v>
      </c>
      <c r="K3" s="12" t="n">
        <v>0</v>
      </c>
      <c r="L3" s="12" t="n">
        <v>0</v>
      </c>
      <c r="M3" s="12" t="n">
        <v>16</v>
      </c>
      <c r="N3" s="12" t="n">
        <v>16</v>
      </c>
      <c r="O3" s="12" t="n">
        <v>239</v>
      </c>
      <c r="P3" s="16" t="n">
        <f aca="false">O3/3</f>
        <v>79.6666666666667</v>
      </c>
      <c r="Q3" s="17" t="str">
        <f aca="false">INT(O3/3)&amp;"."&amp;MOD(O3,3)</f>
        <v>79.2</v>
      </c>
      <c r="R3" s="12" t="n">
        <v>69</v>
      </c>
      <c r="S3" s="12" t="n">
        <v>52</v>
      </c>
      <c r="T3" s="12" t="n">
        <v>46</v>
      </c>
      <c r="U3" s="12" t="n">
        <v>17</v>
      </c>
      <c r="V3" s="12" t="n">
        <v>34</v>
      </c>
      <c r="W3" s="12" t="n">
        <v>76</v>
      </c>
      <c r="X3" s="12" t="n">
        <v>2</v>
      </c>
      <c r="Y3" s="18" t="n">
        <f aca="false">IF(O3=0,0,T3*27/O3)</f>
        <v>5.19665271966527</v>
      </c>
      <c r="Z3" s="18" t="n">
        <f aca="false">IF(P3=0,0,(V3+R3)/P3)</f>
        <v>1.2928870292887</v>
      </c>
      <c r="AA3" s="18" t="n">
        <f aca="false">IF(O3=0,0,W3*27/O3)</f>
        <v>8.58577405857741</v>
      </c>
      <c r="AB3" s="18" t="n">
        <f aca="false">IF(O3=0,0,V3*27/O3)</f>
        <v>3.84100418410042</v>
      </c>
      <c r="AC3" s="18" t="n">
        <f aca="false">IF(V3=0,0,W3/V3)</f>
        <v>2.23529411764706</v>
      </c>
      <c r="AD3" s="18" t="n">
        <f aca="false">IF(P3=0,0,(13*U3+3*(V3+X3)-2*W3)/P3+INDEX(球季參數!$C$2:$C$4,MATCH($A3,球季參數!$A$2:$A$4,0)))</f>
        <v>5.35175732217573</v>
      </c>
      <c r="AE3" s="11" t="n">
        <f aca="false">IF(P3&gt;=INDEX(球季參數!$F$2:$F$4,MATCH($A3,球季參數!$A$2:$A$4,0)),1,0)</f>
        <v>0</v>
      </c>
    </row>
    <row r="4" customFormat="false" ht="15" hidden="false" customHeight="false" outlineLevel="0" collapsed="false">
      <c r="A4" s="5" t="n">
        <v>2024</v>
      </c>
      <c r="B4" s="7" t="s">
        <v>499</v>
      </c>
      <c r="C4" s="10" t="str">
        <f aca="false">INDEX(球員主檔!$B$2:$B$749,MATCH($B4,球員主檔!$A$2:$A$749,0))</f>
        <v>Holden Zielinski</v>
      </c>
      <c r="D4" s="7" t="s">
        <v>340</v>
      </c>
      <c r="E4" s="10" t="str">
        <f aca="false">INDEX(球隊主檔!$C$2:$C$31,MATCH($D4,球隊主檔!$A$2:$A$31,0))</f>
        <v>巴爾的摩金鶯</v>
      </c>
      <c r="F4" s="10" t="str">
        <f aca="false">INDEX(球隊主檔!$D$2:$D$31,MATCH($D4,球隊主檔!$A$2:$A$31,0))</f>
        <v>美聯</v>
      </c>
      <c r="G4" s="7" t="s">
        <v>496</v>
      </c>
      <c r="H4" s="11" t="n">
        <f aca="false">INT((DATE($A4,7,1)-INDEX(球員主檔!$G$2:$G$749,MATCH($B4,球員主檔!$A$2:$A$749,0)))/365.25)</f>
        <v>27</v>
      </c>
      <c r="I4" s="12" t="n">
        <v>5</v>
      </c>
      <c r="J4" s="12" t="n">
        <v>2</v>
      </c>
      <c r="K4" s="12" t="n">
        <v>0</v>
      </c>
      <c r="L4" s="12" t="n">
        <v>0</v>
      </c>
      <c r="M4" s="12" t="n">
        <v>12</v>
      </c>
      <c r="N4" s="12" t="n">
        <v>12</v>
      </c>
      <c r="O4" s="12" t="n">
        <v>229</v>
      </c>
      <c r="P4" s="16" t="n">
        <f aca="false">O4/3</f>
        <v>76.3333333333333</v>
      </c>
      <c r="Q4" s="17" t="str">
        <f aca="false">INT(O4/3)&amp;"."&amp;MOD(O4,3)</f>
        <v>76.1</v>
      </c>
      <c r="R4" s="12" t="n">
        <v>54</v>
      </c>
      <c r="S4" s="12" t="n">
        <v>29</v>
      </c>
      <c r="T4" s="12" t="n">
        <v>28</v>
      </c>
      <c r="U4" s="12" t="n">
        <v>10</v>
      </c>
      <c r="V4" s="12" t="n">
        <v>20</v>
      </c>
      <c r="W4" s="12" t="n">
        <v>82</v>
      </c>
      <c r="X4" s="12" t="n">
        <v>1</v>
      </c>
      <c r="Y4" s="18" t="n">
        <f aca="false">IF(O4=0,0,T4*27/O4)</f>
        <v>3.30131004366812</v>
      </c>
      <c r="Z4" s="18" t="n">
        <f aca="false">IF(P4=0,0,(V4+R4)/P4)</f>
        <v>0.96943231441048</v>
      </c>
      <c r="AA4" s="18" t="n">
        <f aca="false">IF(O4=0,0,W4*27/O4)</f>
        <v>9.66812227074236</v>
      </c>
      <c r="AB4" s="18" t="n">
        <f aca="false">IF(O4=0,0,V4*27/O4)</f>
        <v>2.35807860262009</v>
      </c>
      <c r="AC4" s="18" t="n">
        <f aca="false">IF(V4=0,0,W4/V4)</f>
        <v>4.1</v>
      </c>
      <c r="AD4" s="18" t="n">
        <f aca="false">IF(P4=0,0,(13*U4+3*(V4+X4)-2*W4)/P4+INDEX(球季參數!$C$2:$C$4,MATCH($A4,球季參數!$A$2:$A$4,0)))</f>
        <v>3.50991266375546</v>
      </c>
      <c r="AE4" s="11" t="n">
        <f aca="false">IF(P4&gt;=INDEX(球季參數!$F$2:$F$4,MATCH($A4,球季參數!$A$2:$A$4,0)),1,0)</f>
        <v>0</v>
      </c>
    </row>
    <row r="5" customFormat="false" ht="15" hidden="false" customHeight="false" outlineLevel="0" collapsed="false">
      <c r="A5" s="5" t="n">
        <v>2024</v>
      </c>
      <c r="B5" s="7" t="s">
        <v>501</v>
      </c>
      <c r="C5" s="10" t="str">
        <f aca="false">INDEX(球員主檔!$B$2:$B$749,MATCH($B5,球員主檔!$A$2:$A$749,0))</f>
        <v>Augustin Halloway</v>
      </c>
      <c r="D5" s="7" t="s">
        <v>340</v>
      </c>
      <c r="E5" s="10" t="str">
        <f aca="false">INDEX(球隊主檔!$C$2:$C$31,MATCH($D5,球隊主檔!$A$2:$A$31,0))</f>
        <v>巴爾的摩金鶯</v>
      </c>
      <c r="F5" s="10" t="str">
        <f aca="false">INDEX(球隊主檔!$D$2:$D$31,MATCH($D5,球隊主檔!$A$2:$A$31,0))</f>
        <v>美聯</v>
      </c>
      <c r="G5" s="7" t="s">
        <v>496</v>
      </c>
      <c r="H5" s="11" t="n">
        <f aca="false">INT((DATE($A5,7,1)-INDEX(球員主檔!$G$2:$G$749,MATCH($B5,球員主檔!$A$2:$A$749,0)))/365.25)</f>
        <v>24</v>
      </c>
      <c r="I5" s="12" t="n">
        <v>12</v>
      </c>
      <c r="J5" s="12" t="n">
        <v>6</v>
      </c>
      <c r="K5" s="12" t="n">
        <v>0</v>
      </c>
      <c r="L5" s="12" t="n">
        <v>0</v>
      </c>
      <c r="M5" s="12" t="n">
        <v>28</v>
      </c>
      <c r="N5" s="12" t="n">
        <v>28</v>
      </c>
      <c r="O5" s="12" t="n">
        <v>533</v>
      </c>
      <c r="P5" s="16" t="n">
        <f aca="false">O5/3</f>
        <v>177.666666666667</v>
      </c>
      <c r="Q5" s="17" t="str">
        <f aca="false">INT(O5/3)&amp;"."&amp;MOD(O5,3)</f>
        <v>177.2</v>
      </c>
      <c r="R5" s="12" t="n">
        <v>136</v>
      </c>
      <c r="S5" s="12" t="n">
        <v>82</v>
      </c>
      <c r="T5" s="12" t="n">
        <v>74</v>
      </c>
      <c r="U5" s="12" t="n">
        <v>20</v>
      </c>
      <c r="V5" s="12" t="n">
        <v>69</v>
      </c>
      <c r="W5" s="12" t="n">
        <v>169</v>
      </c>
      <c r="X5" s="12" t="n">
        <v>3</v>
      </c>
      <c r="Y5" s="18" t="n">
        <f aca="false">IF(O5=0,0,T5*27/O5)</f>
        <v>3.74859287054409</v>
      </c>
      <c r="Z5" s="18" t="n">
        <f aca="false">IF(P5=0,0,(V5+R5)/P5)</f>
        <v>1.15384615384615</v>
      </c>
      <c r="AA5" s="18" t="n">
        <f aca="false">IF(O5=0,0,W5*27/O5)</f>
        <v>8.5609756097561</v>
      </c>
      <c r="AB5" s="18" t="n">
        <f aca="false">IF(O5=0,0,V5*27/O5)</f>
        <v>3.4953095684803</v>
      </c>
      <c r="AC5" s="18" t="n">
        <f aca="false">IF(V5=0,0,W5/V5)</f>
        <v>2.44927536231884</v>
      </c>
      <c r="AD5" s="18" t="n">
        <f aca="false">IF(P5=0,0,(13*U5+3*(V5+X5)-2*W5)/P5+INDEX(球季參數!$C$2:$C$4,MATCH($A5,球季參數!$A$2:$A$4,0)))</f>
        <v>3.90673545966229</v>
      </c>
      <c r="AE5" s="11" t="n">
        <f aca="false">IF(P5&gt;=INDEX(球季參數!$F$2:$F$4,MATCH($A5,球季參數!$A$2:$A$4,0)),1,0)</f>
        <v>1</v>
      </c>
    </row>
    <row r="6" customFormat="false" ht="15" hidden="false" customHeight="false" outlineLevel="0" collapsed="false">
      <c r="A6" s="5" t="n">
        <v>2024</v>
      </c>
      <c r="B6" s="7" t="s">
        <v>503</v>
      </c>
      <c r="C6" s="10" t="str">
        <f aca="false">INDEX(球員主檔!$B$2:$B$749,MATCH($B6,球員主檔!$A$2:$A$749,0))</f>
        <v>Dashiell Oyelaran</v>
      </c>
      <c r="D6" s="7" t="s">
        <v>340</v>
      </c>
      <c r="E6" s="10" t="str">
        <f aca="false">INDEX(球隊主檔!$C$2:$C$31,MATCH($D6,球隊主檔!$A$2:$A$31,0))</f>
        <v>巴爾的摩金鶯</v>
      </c>
      <c r="F6" s="10" t="str">
        <f aca="false">INDEX(球隊主檔!$D$2:$D$31,MATCH($D6,球隊主檔!$A$2:$A$31,0))</f>
        <v>美聯</v>
      </c>
      <c r="G6" s="7" t="s">
        <v>496</v>
      </c>
      <c r="H6" s="11" t="n">
        <f aca="false">INT((DATE($A6,7,1)-INDEX(球員主檔!$G$2:$G$749,MATCH($B6,球員主檔!$A$2:$A$749,0)))/365.25)</f>
        <v>28</v>
      </c>
      <c r="I6" s="12" t="n">
        <v>11</v>
      </c>
      <c r="J6" s="12" t="n">
        <v>12</v>
      </c>
      <c r="K6" s="12" t="n">
        <v>0</v>
      </c>
      <c r="L6" s="12" t="n">
        <v>0</v>
      </c>
      <c r="M6" s="12" t="n">
        <v>32</v>
      </c>
      <c r="N6" s="12" t="n">
        <v>32</v>
      </c>
      <c r="O6" s="12" t="n">
        <v>492</v>
      </c>
      <c r="P6" s="16" t="n">
        <f aca="false">O6/3</f>
        <v>164</v>
      </c>
      <c r="Q6" s="17" t="str">
        <f aca="false">INT(O6/3)&amp;"."&amp;MOD(O6,3)</f>
        <v>164.0</v>
      </c>
      <c r="R6" s="12" t="n">
        <v>140</v>
      </c>
      <c r="S6" s="12" t="n">
        <v>90</v>
      </c>
      <c r="T6" s="12" t="n">
        <v>85</v>
      </c>
      <c r="U6" s="12" t="n">
        <v>21</v>
      </c>
      <c r="V6" s="12" t="n">
        <v>59</v>
      </c>
      <c r="W6" s="12" t="n">
        <v>145</v>
      </c>
      <c r="X6" s="12" t="n">
        <v>4</v>
      </c>
      <c r="Y6" s="18" t="n">
        <f aca="false">IF(O6=0,0,T6*27/O6)</f>
        <v>4.66463414634146</v>
      </c>
      <c r="Z6" s="18" t="n">
        <f aca="false">IF(P6=0,0,(V6+R6)/P6)</f>
        <v>1.21341463414634</v>
      </c>
      <c r="AA6" s="18" t="n">
        <f aca="false">IF(O6=0,0,W6*27/O6)</f>
        <v>7.95731707317073</v>
      </c>
      <c r="AB6" s="18" t="n">
        <f aca="false">IF(O6=0,0,V6*27/O6)</f>
        <v>3.23780487804878</v>
      </c>
      <c r="AC6" s="18" t="n">
        <f aca="false">IF(V6=0,0,W6/V6)</f>
        <v>2.45762711864407</v>
      </c>
      <c r="AD6" s="18" t="n">
        <f aca="false">IF(P6=0,0,(13*U6+3*(V6+X6)-2*W6)/P6+INDEX(球季參數!$C$2:$C$4,MATCH($A6,球季參數!$A$2:$A$4,0)))</f>
        <v>4.17878048780488</v>
      </c>
      <c r="AE6" s="11" t="n">
        <f aca="false">IF(P6&gt;=INDEX(球季參數!$F$2:$F$4,MATCH($A6,球季參數!$A$2:$A$4,0)),1,0)</f>
        <v>1</v>
      </c>
    </row>
    <row r="7" customFormat="false" ht="15" hidden="false" customHeight="false" outlineLevel="0" collapsed="false">
      <c r="A7" s="5" t="n">
        <v>2024</v>
      </c>
      <c r="B7" s="7" t="s">
        <v>505</v>
      </c>
      <c r="C7" s="10" t="str">
        <f aca="false">INDEX(球員主檔!$B$2:$B$749,MATCH($B7,球員主檔!$A$2:$A$749,0))</f>
        <v>Jasper Novotný</v>
      </c>
      <c r="D7" s="7" t="s">
        <v>340</v>
      </c>
      <c r="E7" s="10" t="str">
        <f aca="false">INDEX(球隊主檔!$C$2:$C$31,MATCH($D7,球隊主檔!$A$2:$A$31,0))</f>
        <v>巴爾的摩金鶯</v>
      </c>
      <c r="F7" s="10" t="str">
        <f aca="false">INDEX(球隊主檔!$D$2:$D$31,MATCH($D7,球隊主檔!$A$2:$A$31,0))</f>
        <v>美聯</v>
      </c>
      <c r="G7" s="7" t="s">
        <v>507</v>
      </c>
      <c r="H7" s="11" t="n">
        <f aca="false">INT((DATE($A7,7,1)-INDEX(球員主檔!$G$2:$G$749,MATCH($B7,球員主檔!$A$2:$A$749,0)))/365.25)</f>
        <v>30</v>
      </c>
      <c r="I7" s="12" t="n">
        <v>5</v>
      </c>
      <c r="J7" s="12" t="n">
        <v>8</v>
      </c>
      <c r="K7" s="12" t="n">
        <v>0</v>
      </c>
      <c r="L7" s="12" t="n">
        <v>17</v>
      </c>
      <c r="M7" s="12" t="n">
        <v>57</v>
      </c>
      <c r="N7" s="12" t="n">
        <v>0</v>
      </c>
      <c r="O7" s="12" t="n">
        <v>173</v>
      </c>
      <c r="P7" s="16" t="n">
        <f aca="false">O7/3</f>
        <v>57.6666666666667</v>
      </c>
      <c r="Q7" s="17" t="str">
        <f aca="false">INT(O7/3)&amp;"."&amp;MOD(O7,3)</f>
        <v>57.2</v>
      </c>
      <c r="R7" s="12" t="n">
        <v>46</v>
      </c>
      <c r="S7" s="12" t="n">
        <v>29</v>
      </c>
      <c r="T7" s="12" t="n">
        <v>27</v>
      </c>
      <c r="U7" s="12" t="n">
        <v>5</v>
      </c>
      <c r="V7" s="12" t="n">
        <v>17</v>
      </c>
      <c r="W7" s="12" t="n">
        <v>67</v>
      </c>
      <c r="X7" s="12" t="n">
        <v>1</v>
      </c>
      <c r="Y7" s="18" t="n">
        <f aca="false">IF(O7=0,0,T7*27/O7)</f>
        <v>4.21387283236994</v>
      </c>
      <c r="Z7" s="18" t="n">
        <f aca="false">IF(P7=0,0,(V7+R7)/P7)</f>
        <v>1.09248554913295</v>
      </c>
      <c r="AA7" s="18" t="n">
        <f aca="false">IF(O7=0,0,W7*27/O7)</f>
        <v>10.4566473988439</v>
      </c>
      <c r="AB7" s="18" t="n">
        <f aca="false">IF(O7=0,0,V7*27/O7)</f>
        <v>2.65317919075145</v>
      </c>
      <c r="AC7" s="18" t="n">
        <f aca="false">IF(V7=0,0,W7/V7)</f>
        <v>3.94117647058824</v>
      </c>
      <c r="AD7" s="18" t="n">
        <f aca="false">IF(P7=0,0,(13*U7+3*(V7+X7)-2*W7)/P7+INDEX(球季參數!$C$2:$C$4,MATCH($A7,球季參數!$A$2:$A$4,0)))</f>
        <v>2.86988439306358</v>
      </c>
      <c r="AE7" s="11" t="n">
        <f aca="false">IF(P7&gt;=INDEX(球季參數!$F$2:$F$4,MATCH($A7,球季參數!$A$2:$A$4,0)),1,0)</f>
        <v>0</v>
      </c>
    </row>
    <row r="8" customFormat="false" ht="15" hidden="false" customHeight="false" outlineLevel="0" collapsed="false">
      <c r="A8" s="5" t="n">
        <v>2024</v>
      </c>
      <c r="B8" s="7" t="s">
        <v>508</v>
      </c>
      <c r="C8" s="10" t="str">
        <f aca="false">INDEX(球員主檔!$B$2:$B$749,MATCH($B8,球員主檔!$A$2:$A$749,0))</f>
        <v>Thiago Gallimore</v>
      </c>
      <c r="D8" s="7" t="s">
        <v>340</v>
      </c>
      <c r="E8" s="10" t="str">
        <f aca="false">INDEX(球隊主檔!$C$2:$C$31,MATCH($D8,球隊主檔!$A$2:$A$31,0))</f>
        <v>巴爾的摩金鶯</v>
      </c>
      <c r="F8" s="10" t="str">
        <f aca="false">INDEX(球隊主檔!$D$2:$D$31,MATCH($D8,球隊主檔!$A$2:$A$31,0))</f>
        <v>美聯</v>
      </c>
      <c r="G8" s="7" t="s">
        <v>507</v>
      </c>
      <c r="H8" s="11" t="n">
        <f aca="false">INT((DATE($A8,7,1)-INDEX(球員主檔!$G$2:$G$749,MATCH($B8,球員主檔!$A$2:$A$749,0)))/365.25)</f>
        <v>26</v>
      </c>
      <c r="I8" s="12" t="n">
        <v>7</v>
      </c>
      <c r="J8" s="12" t="n">
        <v>8</v>
      </c>
      <c r="K8" s="12" t="n">
        <v>6</v>
      </c>
      <c r="L8" s="12" t="n">
        <v>32</v>
      </c>
      <c r="M8" s="12" t="n">
        <v>66</v>
      </c>
      <c r="N8" s="12" t="n">
        <v>0</v>
      </c>
      <c r="O8" s="12" t="n">
        <v>222</v>
      </c>
      <c r="P8" s="16" t="n">
        <f aca="false">O8/3</f>
        <v>74</v>
      </c>
      <c r="Q8" s="17" t="str">
        <f aca="false">INT(O8/3)&amp;"."&amp;MOD(O8,3)</f>
        <v>74.0</v>
      </c>
      <c r="R8" s="12" t="n">
        <v>51</v>
      </c>
      <c r="S8" s="12" t="n">
        <v>25</v>
      </c>
      <c r="T8" s="12" t="n">
        <v>24</v>
      </c>
      <c r="U8" s="12" t="n">
        <v>8</v>
      </c>
      <c r="V8" s="12" t="n">
        <v>16</v>
      </c>
      <c r="W8" s="12" t="n">
        <v>67</v>
      </c>
      <c r="X8" s="12" t="n">
        <v>3</v>
      </c>
      <c r="Y8" s="18" t="n">
        <f aca="false">IF(O8=0,0,T8*27/O8)</f>
        <v>2.91891891891892</v>
      </c>
      <c r="Z8" s="18" t="n">
        <f aca="false">IF(P8=0,0,(V8+R8)/P8)</f>
        <v>0.905405405405405</v>
      </c>
      <c r="AA8" s="18" t="n">
        <f aca="false">IF(O8=0,0,W8*27/O8)</f>
        <v>8.14864864864865</v>
      </c>
      <c r="AB8" s="18" t="n">
        <f aca="false">IF(O8=0,0,V8*27/O8)</f>
        <v>1.94594594594595</v>
      </c>
      <c r="AC8" s="18" t="n">
        <f aca="false">IF(V8=0,0,W8/V8)</f>
        <v>4.1875</v>
      </c>
      <c r="AD8" s="18" t="n">
        <f aca="false">IF(P8=0,0,(13*U8+3*(V8+X8)-2*W8)/P8+INDEX(球季參數!$C$2:$C$4,MATCH($A8,球季參數!$A$2:$A$4,0)))</f>
        <v>3.49486486486487</v>
      </c>
      <c r="AE8" s="11" t="n">
        <f aca="false">IF(P8&gt;=INDEX(球季參數!$F$2:$F$4,MATCH($A8,球季參數!$A$2:$A$4,0)),1,0)</f>
        <v>0</v>
      </c>
    </row>
    <row r="9" customFormat="false" ht="15" hidden="false" customHeight="false" outlineLevel="0" collapsed="false">
      <c r="A9" s="5" t="n">
        <v>2024</v>
      </c>
      <c r="B9" s="7" t="s">
        <v>510</v>
      </c>
      <c r="C9" s="10" t="str">
        <f aca="false">INDEX(球員主檔!$B$2:$B$749,MATCH($B9,球員主檔!$A$2:$A$749,0))</f>
        <v>Thiago Uchendu</v>
      </c>
      <c r="D9" s="7" t="s">
        <v>340</v>
      </c>
      <c r="E9" s="10" t="str">
        <f aca="false">INDEX(球隊主檔!$C$2:$C$31,MATCH($D9,球隊主檔!$A$2:$A$31,0))</f>
        <v>巴爾的摩金鶯</v>
      </c>
      <c r="F9" s="10" t="str">
        <f aca="false">INDEX(球隊主檔!$D$2:$D$31,MATCH($D9,球隊主檔!$A$2:$A$31,0))</f>
        <v>美聯</v>
      </c>
      <c r="G9" s="7" t="s">
        <v>507</v>
      </c>
      <c r="H9" s="11" t="n">
        <f aca="false">INT((DATE($A9,7,1)-INDEX(球員主檔!$G$2:$G$749,MATCH($B9,球員主檔!$A$2:$A$749,0)))/365.25)</f>
        <v>29</v>
      </c>
      <c r="I9" s="12" t="n">
        <v>3</v>
      </c>
      <c r="J9" s="12" t="n">
        <v>1</v>
      </c>
      <c r="K9" s="12" t="n">
        <v>3</v>
      </c>
      <c r="L9" s="12" t="n">
        <v>31</v>
      </c>
      <c r="M9" s="12" t="n">
        <v>44</v>
      </c>
      <c r="N9" s="12" t="n">
        <v>0</v>
      </c>
      <c r="O9" s="12" t="n">
        <v>125</v>
      </c>
      <c r="P9" s="16" t="n">
        <f aca="false">O9/3</f>
        <v>41.6666666666667</v>
      </c>
      <c r="Q9" s="17" t="str">
        <f aca="false">INT(O9/3)&amp;"."&amp;MOD(O9,3)</f>
        <v>41.2</v>
      </c>
      <c r="R9" s="12" t="n">
        <v>35</v>
      </c>
      <c r="S9" s="12" t="n">
        <v>21</v>
      </c>
      <c r="T9" s="12" t="n">
        <v>21</v>
      </c>
      <c r="U9" s="12" t="n">
        <v>10</v>
      </c>
      <c r="V9" s="12" t="n">
        <v>14</v>
      </c>
      <c r="W9" s="12" t="n">
        <v>40</v>
      </c>
      <c r="X9" s="12" t="n">
        <v>1</v>
      </c>
      <c r="Y9" s="18" t="n">
        <f aca="false">IF(O9=0,0,T9*27/O9)</f>
        <v>4.536</v>
      </c>
      <c r="Z9" s="18" t="n">
        <f aca="false">IF(P9=0,0,(V9+R9)/P9)</f>
        <v>1.176</v>
      </c>
      <c r="AA9" s="18" t="n">
        <f aca="false">IF(O9=0,0,W9*27/O9)</f>
        <v>8.64</v>
      </c>
      <c r="AB9" s="18" t="n">
        <f aca="false">IF(O9=0,0,V9*27/O9)</f>
        <v>3.024</v>
      </c>
      <c r="AC9" s="18" t="n">
        <f aca="false">IF(V9=0,0,W9/V9)</f>
        <v>2.85714285714286</v>
      </c>
      <c r="AD9" s="18" t="n">
        <f aca="false">IF(P9=0,0,(13*U9+3*(V9+X9)-2*W9)/P9+INDEX(球季參數!$C$2:$C$4,MATCH($A9,球季參數!$A$2:$A$4,0)))</f>
        <v>5.41</v>
      </c>
      <c r="AE9" s="11" t="n">
        <f aca="false">IF(P9&gt;=INDEX(球季參數!$F$2:$F$4,MATCH($A9,球季參數!$A$2:$A$4,0)),1,0)</f>
        <v>0</v>
      </c>
    </row>
    <row r="10" customFormat="false" ht="15" hidden="false" customHeight="false" outlineLevel="0" collapsed="false">
      <c r="A10" s="5" t="n">
        <v>2024</v>
      </c>
      <c r="B10" s="7" t="s">
        <v>512</v>
      </c>
      <c r="C10" s="10" t="str">
        <f aca="false">INDEX(球員主檔!$B$2:$B$749,MATCH($B10,球員主檔!$A$2:$A$749,0))</f>
        <v>Desmond Tremblay</v>
      </c>
      <c r="D10" s="7" t="s">
        <v>340</v>
      </c>
      <c r="E10" s="10" t="str">
        <f aca="false">INDEX(球隊主檔!$C$2:$C$31,MATCH($D10,球隊主檔!$A$2:$A$31,0))</f>
        <v>巴爾的摩金鶯</v>
      </c>
      <c r="F10" s="10" t="str">
        <f aca="false">INDEX(球隊主檔!$D$2:$D$31,MATCH($D10,球隊主檔!$A$2:$A$31,0))</f>
        <v>美聯</v>
      </c>
      <c r="G10" s="7" t="s">
        <v>507</v>
      </c>
      <c r="H10" s="11" t="n">
        <f aca="false">INT((DATE($A10,7,1)-INDEX(球員主檔!$G$2:$G$749,MATCH($B10,球員主檔!$A$2:$A$749,0)))/365.25)</f>
        <v>25</v>
      </c>
      <c r="I10" s="12" t="n">
        <v>4</v>
      </c>
      <c r="J10" s="12" t="n">
        <v>4</v>
      </c>
      <c r="K10" s="12" t="n">
        <v>1</v>
      </c>
      <c r="L10" s="12" t="n">
        <v>19</v>
      </c>
      <c r="M10" s="12" t="n">
        <v>74</v>
      </c>
      <c r="N10" s="12" t="n">
        <v>0</v>
      </c>
      <c r="O10" s="12" t="n">
        <v>236</v>
      </c>
      <c r="P10" s="16" t="n">
        <f aca="false">O10/3</f>
        <v>78.6666666666667</v>
      </c>
      <c r="Q10" s="17" t="str">
        <f aca="false">INT(O10/3)&amp;"."&amp;MOD(O10,3)</f>
        <v>78.2</v>
      </c>
      <c r="R10" s="12" t="n">
        <v>71</v>
      </c>
      <c r="S10" s="12" t="n">
        <v>42</v>
      </c>
      <c r="T10" s="12" t="n">
        <v>39</v>
      </c>
      <c r="U10" s="12" t="n">
        <v>8</v>
      </c>
      <c r="V10" s="12" t="n">
        <v>24</v>
      </c>
      <c r="W10" s="12" t="n">
        <v>80</v>
      </c>
      <c r="X10" s="12" t="n">
        <v>3</v>
      </c>
      <c r="Y10" s="18" t="n">
        <f aca="false">IF(O10=0,0,T10*27/O10)</f>
        <v>4.46186440677966</v>
      </c>
      <c r="Z10" s="18" t="n">
        <f aca="false">IF(P10=0,0,(V10+R10)/P10)</f>
        <v>1.20762711864407</v>
      </c>
      <c r="AA10" s="18" t="n">
        <f aca="false">IF(O10=0,0,W10*27/O10)</f>
        <v>9.15254237288136</v>
      </c>
      <c r="AB10" s="18" t="n">
        <f aca="false">IF(O10=0,0,V10*27/O10)</f>
        <v>2.74576271186441</v>
      </c>
      <c r="AC10" s="18" t="n">
        <f aca="false">IF(V10=0,0,W10/V10)</f>
        <v>3.33333333333333</v>
      </c>
      <c r="AD10" s="18" t="n">
        <f aca="false">IF(P10=0,0,(13*U10+3*(V10+X10)-2*W10)/P10+INDEX(球季參數!$C$2:$C$4,MATCH($A10,球季參數!$A$2:$A$4,0)))</f>
        <v>3.44779661016949</v>
      </c>
      <c r="AE10" s="11" t="n">
        <f aca="false">IF(P10&gt;=INDEX(球季參數!$F$2:$F$4,MATCH($A10,球季參數!$A$2:$A$4,0)),1,0)</f>
        <v>0</v>
      </c>
    </row>
    <row r="11" customFormat="false" ht="15" hidden="false" customHeight="false" outlineLevel="0" collapsed="false">
      <c r="A11" s="5" t="n">
        <v>2024</v>
      </c>
      <c r="B11" s="7" t="s">
        <v>514</v>
      </c>
      <c r="C11" s="10" t="str">
        <f aca="false">INDEX(球員主檔!$B$2:$B$749,MATCH($B11,球員主檔!$A$2:$A$749,0))</f>
        <v>Kellan Jernigan</v>
      </c>
      <c r="D11" s="7" t="s">
        <v>340</v>
      </c>
      <c r="E11" s="10" t="str">
        <f aca="false">INDEX(球隊主檔!$C$2:$C$31,MATCH($D11,球隊主檔!$A$2:$A$31,0))</f>
        <v>巴爾的摩金鶯</v>
      </c>
      <c r="F11" s="10" t="str">
        <f aca="false">INDEX(球隊主檔!$D$2:$D$31,MATCH($D11,球隊主檔!$A$2:$A$31,0))</f>
        <v>美聯</v>
      </c>
      <c r="G11" s="7" t="s">
        <v>507</v>
      </c>
      <c r="H11" s="11" t="n">
        <f aca="false">INT((DATE($A11,7,1)-INDEX(球員主檔!$G$2:$G$749,MATCH($B11,球員主檔!$A$2:$A$749,0)))/365.25)</f>
        <v>27</v>
      </c>
      <c r="I11" s="12" t="n">
        <v>5</v>
      </c>
      <c r="J11" s="12" t="n">
        <v>0</v>
      </c>
      <c r="K11" s="12" t="n">
        <v>1</v>
      </c>
      <c r="L11" s="12" t="n">
        <v>25</v>
      </c>
      <c r="M11" s="12" t="n">
        <v>51</v>
      </c>
      <c r="N11" s="12" t="n">
        <v>0</v>
      </c>
      <c r="O11" s="12" t="n">
        <v>162</v>
      </c>
      <c r="P11" s="16" t="n">
        <f aca="false">O11/3</f>
        <v>54</v>
      </c>
      <c r="Q11" s="17" t="str">
        <f aca="false">INT(O11/3)&amp;"."&amp;MOD(O11,3)</f>
        <v>54.0</v>
      </c>
      <c r="R11" s="12" t="n">
        <v>40</v>
      </c>
      <c r="S11" s="12" t="n">
        <v>16</v>
      </c>
      <c r="T11" s="12" t="n">
        <v>16</v>
      </c>
      <c r="U11" s="12" t="n">
        <v>8</v>
      </c>
      <c r="V11" s="12" t="n">
        <v>11</v>
      </c>
      <c r="W11" s="12" t="n">
        <v>46</v>
      </c>
      <c r="X11" s="12" t="n">
        <v>1</v>
      </c>
      <c r="Y11" s="18" t="n">
        <f aca="false">IF(O11=0,0,T11*27/O11)</f>
        <v>2.66666666666667</v>
      </c>
      <c r="Z11" s="18" t="n">
        <f aca="false">IF(P11=0,0,(V11+R11)/P11)</f>
        <v>0.944444444444444</v>
      </c>
      <c r="AA11" s="18" t="n">
        <f aca="false">IF(O11=0,0,W11*27/O11)</f>
        <v>7.66666666666667</v>
      </c>
      <c r="AB11" s="18" t="n">
        <f aca="false">IF(O11=0,0,V11*27/O11)</f>
        <v>1.83333333333333</v>
      </c>
      <c r="AC11" s="18" t="n">
        <f aca="false">IF(V11=0,0,W11/V11)</f>
        <v>4.18181818181818</v>
      </c>
      <c r="AD11" s="18" t="n">
        <f aca="false">IF(P11=0,0,(13*U11+3*(V11+X11)-2*W11)/P11+INDEX(球季參數!$C$2:$C$4,MATCH($A11,球季參數!$A$2:$A$4,0)))</f>
        <v>4.01888888888889</v>
      </c>
      <c r="AE11" s="11" t="n">
        <f aca="false">IF(P11&gt;=INDEX(球季參數!$F$2:$F$4,MATCH($A11,球季參數!$A$2:$A$4,0)),1,0)</f>
        <v>0</v>
      </c>
    </row>
    <row r="12" customFormat="false" ht="15" hidden="false" customHeight="false" outlineLevel="0" collapsed="false">
      <c r="A12" s="5" t="n">
        <v>2024</v>
      </c>
      <c r="B12" s="7" t="s">
        <v>537</v>
      </c>
      <c r="C12" s="10" t="str">
        <f aca="false">INDEX(球員主檔!$B$2:$B$749,MATCH($B12,球員主檔!$A$2:$A$749,0))</f>
        <v>Joaquín Ibarra</v>
      </c>
      <c r="D12" s="7" t="s">
        <v>346</v>
      </c>
      <c r="E12" s="10" t="str">
        <f aca="false">INDEX(球隊主檔!$C$2:$C$31,MATCH($D12,球隊主檔!$A$2:$A$31,0))</f>
        <v>波士頓紅襪</v>
      </c>
      <c r="F12" s="10" t="str">
        <f aca="false">INDEX(球隊主檔!$D$2:$D$31,MATCH($D12,球隊主檔!$A$2:$A$31,0))</f>
        <v>美聯</v>
      </c>
      <c r="G12" s="7" t="s">
        <v>496</v>
      </c>
      <c r="H12" s="11" t="n">
        <f aca="false">INT((DATE($A12,7,1)-INDEX(球員主檔!$G$2:$G$749,MATCH($B12,球員主檔!$A$2:$A$749,0)))/365.25)</f>
        <v>32</v>
      </c>
      <c r="I12" s="12" t="n">
        <v>14</v>
      </c>
      <c r="J12" s="12" t="n">
        <v>4</v>
      </c>
      <c r="K12" s="12" t="n">
        <v>0</v>
      </c>
      <c r="L12" s="12" t="n">
        <v>0</v>
      </c>
      <c r="M12" s="12" t="n">
        <v>28</v>
      </c>
      <c r="N12" s="12" t="n">
        <v>28</v>
      </c>
      <c r="O12" s="12" t="n">
        <v>528</v>
      </c>
      <c r="P12" s="16" t="n">
        <f aca="false">O12/3</f>
        <v>176</v>
      </c>
      <c r="Q12" s="17" t="str">
        <f aca="false">INT(O12/3)&amp;"."&amp;MOD(O12,3)</f>
        <v>176.0</v>
      </c>
      <c r="R12" s="12" t="n">
        <v>124</v>
      </c>
      <c r="S12" s="12" t="n">
        <v>57</v>
      </c>
      <c r="T12" s="12" t="n">
        <v>57</v>
      </c>
      <c r="U12" s="12" t="n">
        <v>33</v>
      </c>
      <c r="V12" s="12" t="n">
        <v>60</v>
      </c>
      <c r="W12" s="12" t="n">
        <v>213</v>
      </c>
      <c r="X12" s="12" t="n">
        <v>3</v>
      </c>
      <c r="Y12" s="18" t="n">
        <f aca="false">IF(O12=0,0,T12*27/O12)</f>
        <v>2.91477272727273</v>
      </c>
      <c r="Z12" s="18" t="n">
        <f aca="false">IF(P12=0,0,(V12+R12)/P12)</f>
        <v>1.04545454545455</v>
      </c>
      <c r="AA12" s="18" t="n">
        <f aca="false">IF(O12=0,0,W12*27/O12)</f>
        <v>10.8920454545455</v>
      </c>
      <c r="AB12" s="18" t="n">
        <f aca="false">IF(O12=0,0,V12*27/O12)</f>
        <v>3.06818181818182</v>
      </c>
      <c r="AC12" s="18" t="n">
        <f aca="false">IF(V12=0,0,W12/V12)</f>
        <v>3.55</v>
      </c>
      <c r="AD12" s="18" t="n">
        <f aca="false">IF(P12=0,0,(13*U12+3*(V12+X12)-2*W12)/P12+INDEX(球季參數!$C$2:$C$4,MATCH($A12,球季參數!$A$2:$A$4,0)))</f>
        <v>4.22090909090909</v>
      </c>
      <c r="AE12" s="11" t="n">
        <f aca="false">IF(P12&gt;=INDEX(球季參數!$F$2:$F$4,MATCH($A12,球季參數!$A$2:$A$4,0)),1,0)</f>
        <v>1</v>
      </c>
    </row>
    <row r="13" customFormat="false" ht="15" hidden="false" customHeight="false" outlineLevel="0" collapsed="false">
      <c r="A13" s="5" t="n">
        <v>2024</v>
      </c>
      <c r="B13" s="7" t="s">
        <v>539</v>
      </c>
      <c r="C13" s="10" t="str">
        <f aca="false">INDEX(球員主檔!$B$2:$B$749,MATCH($B13,球員主檔!$A$2:$A$749,0))</f>
        <v>Lorenzo Jaramillo</v>
      </c>
      <c r="D13" s="7" t="s">
        <v>346</v>
      </c>
      <c r="E13" s="10" t="str">
        <f aca="false">INDEX(球隊主檔!$C$2:$C$31,MATCH($D13,球隊主檔!$A$2:$A$31,0))</f>
        <v>波士頓紅襪</v>
      </c>
      <c r="F13" s="10" t="str">
        <f aca="false">INDEX(球隊主檔!$D$2:$D$31,MATCH($D13,球隊主檔!$A$2:$A$31,0))</f>
        <v>美聯</v>
      </c>
      <c r="G13" s="7" t="s">
        <v>496</v>
      </c>
      <c r="H13" s="11" t="n">
        <f aca="false">INT((DATE($A13,7,1)-INDEX(球員主檔!$G$2:$G$749,MATCH($B13,球員主檔!$A$2:$A$749,0)))/365.25)</f>
        <v>28</v>
      </c>
      <c r="I13" s="12" t="n">
        <v>4</v>
      </c>
      <c r="J13" s="12" t="n">
        <v>4</v>
      </c>
      <c r="K13" s="12" t="n">
        <v>0</v>
      </c>
      <c r="L13" s="12" t="n">
        <v>0</v>
      </c>
      <c r="M13" s="12" t="n">
        <v>11</v>
      </c>
      <c r="N13" s="12" t="n">
        <v>11</v>
      </c>
      <c r="O13" s="12" t="n">
        <v>174</v>
      </c>
      <c r="P13" s="16" t="n">
        <f aca="false">O13/3</f>
        <v>58</v>
      </c>
      <c r="Q13" s="17" t="str">
        <f aca="false">INT(O13/3)&amp;"."&amp;MOD(O13,3)</f>
        <v>58.0</v>
      </c>
      <c r="R13" s="12" t="n">
        <v>50</v>
      </c>
      <c r="S13" s="12" t="n">
        <v>33</v>
      </c>
      <c r="T13" s="12" t="n">
        <v>30</v>
      </c>
      <c r="U13" s="12" t="n">
        <v>11</v>
      </c>
      <c r="V13" s="12" t="n">
        <v>12</v>
      </c>
      <c r="W13" s="12" t="n">
        <v>56</v>
      </c>
      <c r="X13" s="12" t="n">
        <v>1</v>
      </c>
      <c r="Y13" s="18" t="n">
        <f aca="false">IF(O13=0,0,T13*27/O13)</f>
        <v>4.6551724137931</v>
      </c>
      <c r="Z13" s="18" t="n">
        <f aca="false">IF(P13=0,0,(V13+R13)/P13)</f>
        <v>1.06896551724138</v>
      </c>
      <c r="AA13" s="18" t="n">
        <f aca="false">IF(O13=0,0,W13*27/O13)</f>
        <v>8.68965517241379</v>
      </c>
      <c r="AB13" s="18" t="n">
        <f aca="false">IF(O13=0,0,V13*27/O13)</f>
        <v>1.86206896551724</v>
      </c>
      <c r="AC13" s="18" t="n">
        <f aca="false">IF(V13=0,0,W13/V13)</f>
        <v>4.66666666666667</v>
      </c>
      <c r="AD13" s="18" t="n">
        <f aca="false">IF(P13=0,0,(13*U13+3*(V13+X13)-2*W13)/P13+INDEX(球季參數!$C$2:$C$4,MATCH($A13,球季參數!$A$2:$A$4,0)))</f>
        <v>4.33689655172414</v>
      </c>
      <c r="AE13" s="11" t="n">
        <f aca="false">IF(P13&gt;=INDEX(球季參數!$F$2:$F$4,MATCH($A13,球季參數!$A$2:$A$4,0)),1,0)</f>
        <v>0</v>
      </c>
    </row>
    <row r="14" customFormat="false" ht="15" hidden="false" customHeight="false" outlineLevel="0" collapsed="false">
      <c r="A14" s="5" t="n">
        <v>2024</v>
      </c>
      <c r="B14" s="7" t="s">
        <v>541</v>
      </c>
      <c r="C14" s="10" t="str">
        <f aca="false">INDEX(球員主檔!$B$2:$B$749,MATCH($B14,球員主檔!$A$2:$A$749,0))</f>
        <v>Silas Zamarripa</v>
      </c>
      <c r="D14" s="7" t="s">
        <v>346</v>
      </c>
      <c r="E14" s="10" t="str">
        <f aca="false">INDEX(球隊主檔!$C$2:$C$31,MATCH($D14,球隊主檔!$A$2:$A$31,0))</f>
        <v>波士頓紅襪</v>
      </c>
      <c r="F14" s="10" t="str">
        <f aca="false">INDEX(球隊主檔!$D$2:$D$31,MATCH($D14,球隊主檔!$A$2:$A$31,0))</f>
        <v>美聯</v>
      </c>
      <c r="G14" s="7" t="s">
        <v>496</v>
      </c>
      <c r="H14" s="11" t="n">
        <f aca="false">INT((DATE($A14,7,1)-INDEX(球員主檔!$G$2:$G$749,MATCH($B14,球員主檔!$A$2:$A$749,0)))/365.25)</f>
        <v>23</v>
      </c>
      <c r="I14" s="12" t="n">
        <v>10</v>
      </c>
      <c r="J14" s="12" t="n">
        <v>7</v>
      </c>
      <c r="K14" s="12" t="n">
        <v>0</v>
      </c>
      <c r="L14" s="12" t="n">
        <v>0</v>
      </c>
      <c r="M14" s="12" t="n">
        <v>26</v>
      </c>
      <c r="N14" s="12" t="n">
        <v>26</v>
      </c>
      <c r="O14" s="12" t="n">
        <v>465</v>
      </c>
      <c r="P14" s="16" t="n">
        <f aca="false">O14/3</f>
        <v>155</v>
      </c>
      <c r="Q14" s="17" t="str">
        <f aca="false">INT(O14/3)&amp;"."&amp;MOD(O14,3)</f>
        <v>155.0</v>
      </c>
      <c r="R14" s="12" t="n">
        <v>139</v>
      </c>
      <c r="S14" s="12" t="n">
        <v>92</v>
      </c>
      <c r="T14" s="12" t="n">
        <v>82</v>
      </c>
      <c r="U14" s="12" t="n">
        <v>12</v>
      </c>
      <c r="V14" s="12" t="n">
        <v>54</v>
      </c>
      <c r="W14" s="12" t="n">
        <v>124</v>
      </c>
      <c r="X14" s="12" t="n">
        <v>4</v>
      </c>
      <c r="Y14" s="18" t="n">
        <f aca="false">IF(O14=0,0,T14*27/O14)</f>
        <v>4.76129032258065</v>
      </c>
      <c r="Z14" s="18" t="n">
        <f aca="false">IF(P14=0,0,(V14+R14)/P14)</f>
        <v>1.24516129032258</v>
      </c>
      <c r="AA14" s="18" t="n">
        <f aca="false">IF(O14=0,0,W14*27/O14)</f>
        <v>7.2</v>
      </c>
      <c r="AB14" s="18" t="n">
        <f aca="false">IF(O14=0,0,V14*27/O14)</f>
        <v>3.13548387096774</v>
      </c>
      <c r="AC14" s="18" t="n">
        <f aca="false">IF(V14=0,0,W14/V14)</f>
        <v>2.2962962962963</v>
      </c>
      <c r="AD14" s="18" t="n">
        <f aca="false">IF(P14=0,0,(13*U14+3*(V14+X14)-2*W14)/P14+INDEX(球季參數!$C$2:$C$4,MATCH($A14,球季參數!$A$2:$A$4,0)))</f>
        <v>3.65903225806452</v>
      </c>
      <c r="AE14" s="11" t="n">
        <f aca="false">IF(P14&gt;=INDEX(球季參數!$F$2:$F$4,MATCH($A14,球季參數!$A$2:$A$4,0)),1,0)</f>
        <v>0</v>
      </c>
    </row>
    <row r="15" customFormat="false" ht="15" hidden="false" customHeight="false" outlineLevel="0" collapsed="false">
      <c r="A15" s="5" t="n">
        <v>2024</v>
      </c>
      <c r="B15" s="7" t="s">
        <v>543</v>
      </c>
      <c r="C15" s="10" t="str">
        <f aca="false">INDEX(球員主檔!$B$2:$B$749,MATCH($B15,球員主檔!$A$2:$A$749,0))</f>
        <v>Thiago Eberhardt</v>
      </c>
      <c r="D15" s="7" t="s">
        <v>346</v>
      </c>
      <c r="E15" s="10" t="str">
        <f aca="false">INDEX(球隊主檔!$C$2:$C$31,MATCH($D15,球隊主檔!$A$2:$A$31,0))</f>
        <v>波士頓紅襪</v>
      </c>
      <c r="F15" s="10" t="str">
        <f aca="false">INDEX(球隊主檔!$D$2:$D$31,MATCH($D15,球隊主檔!$A$2:$A$31,0))</f>
        <v>美聯</v>
      </c>
      <c r="G15" s="7" t="s">
        <v>496</v>
      </c>
      <c r="H15" s="11" t="n">
        <f aca="false">INT((DATE($A15,7,1)-INDEX(球員主檔!$G$2:$G$749,MATCH($B15,球員主檔!$A$2:$A$749,0)))/365.25)</f>
        <v>29</v>
      </c>
      <c r="I15" s="12" t="n">
        <v>9</v>
      </c>
      <c r="J15" s="12" t="n">
        <v>5</v>
      </c>
      <c r="K15" s="12" t="n">
        <v>0</v>
      </c>
      <c r="L15" s="12" t="n">
        <v>0</v>
      </c>
      <c r="M15" s="12" t="n">
        <v>24</v>
      </c>
      <c r="N15" s="12" t="n">
        <v>24</v>
      </c>
      <c r="O15" s="12" t="n">
        <v>390</v>
      </c>
      <c r="P15" s="16" t="n">
        <f aca="false">O15/3</f>
        <v>130</v>
      </c>
      <c r="Q15" s="17" t="str">
        <f aca="false">INT(O15/3)&amp;"."&amp;MOD(O15,3)</f>
        <v>130.0</v>
      </c>
      <c r="R15" s="12" t="n">
        <v>106</v>
      </c>
      <c r="S15" s="12" t="n">
        <v>62</v>
      </c>
      <c r="T15" s="12" t="n">
        <v>56</v>
      </c>
      <c r="U15" s="12" t="n">
        <v>12</v>
      </c>
      <c r="V15" s="12" t="n">
        <v>52</v>
      </c>
      <c r="W15" s="12" t="n">
        <v>112</v>
      </c>
      <c r="X15" s="12" t="n">
        <v>2</v>
      </c>
      <c r="Y15" s="18" t="n">
        <f aca="false">IF(O15=0,0,T15*27/O15)</f>
        <v>3.87692307692308</v>
      </c>
      <c r="Z15" s="18" t="n">
        <f aca="false">IF(P15=0,0,(V15+R15)/P15)</f>
        <v>1.21538461538462</v>
      </c>
      <c r="AA15" s="18" t="n">
        <f aca="false">IF(O15=0,0,W15*27/O15)</f>
        <v>7.75384615384615</v>
      </c>
      <c r="AB15" s="18" t="n">
        <f aca="false">IF(O15=0,0,V15*27/O15)</f>
        <v>3.6</v>
      </c>
      <c r="AC15" s="18" t="n">
        <f aca="false">IF(V15=0,0,W15/V15)</f>
        <v>2.15384615384615</v>
      </c>
      <c r="AD15" s="18" t="n">
        <f aca="false">IF(P15=0,0,(13*U15+3*(V15+X15)-2*W15)/P15+INDEX(球季參數!$C$2:$C$4,MATCH($A15,球季參數!$A$2:$A$4,0)))</f>
        <v>3.85307692307692</v>
      </c>
      <c r="AE15" s="11" t="n">
        <f aca="false">IF(P15&gt;=INDEX(球季參數!$F$2:$F$4,MATCH($A15,球季參數!$A$2:$A$4,0)),1,0)</f>
        <v>0</v>
      </c>
    </row>
    <row r="16" customFormat="false" ht="15" hidden="false" customHeight="false" outlineLevel="0" collapsed="false">
      <c r="A16" s="5" t="n">
        <v>2024</v>
      </c>
      <c r="B16" s="7" t="s">
        <v>545</v>
      </c>
      <c r="C16" s="10" t="str">
        <f aca="false">INDEX(球員主檔!$B$2:$B$749,MATCH($B16,球員主檔!$A$2:$A$749,0))</f>
        <v>Tristan Sorrentino</v>
      </c>
      <c r="D16" s="7" t="s">
        <v>346</v>
      </c>
      <c r="E16" s="10" t="str">
        <f aca="false">INDEX(球隊主檔!$C$2:$C$31,MATCH($D16,球隊主檔!$A$2:$A$31,0))</f>
        <v>波士頓紅襪</v>
      </c>
      <c r="F16" s="10" t="str">
        <f aca="false">INDEX(球隊主檔!$D$2:$D$31,MATCH($D16,球隊主檔!$A$2:$A$31,0))</f>
        <v>美聯</v>
      </c>
      <c r="G16" s="7" t="s">
        <v>496</v>
      </c>
      <c r="H16" s="11" t="n">
        <f aca="false">INT((DATE($A16,7,1)-INDEX(球員主檔!$G$2:$G$749,MATCH($B16,球員主檔!$A$2:$A$749,0)))/365.25)</f>
        <v>25</v>
      </c>
      <c r="I16" s="12" t="n">
        <v>12</v>
      </c>
      <c r="J16" s="12" t="n">
        <v>6</v>
      </c>
      <c r="K16" s="12" t="n">
        <v>0</v>
      </c>
      <c r="L16" s="12" t="n">
        <v>0</v>
      </c>
      <c r="M16" s="12" t="n">
        <v>31</v>
      </c>
      <c r="N16" s="12" t="n">
        <v>31</v>
      </c>
      <c r="O16" s="12" t="n">
        <v>564</v>
      </c>
      <c r="P16" s="16" t="n">
        <f aca="false">O16/3</f>
        <v>188</v>
      </c>
      <c r="Q16" s="17" t="str">
        <f aca="false">INT(O16/3)&amp;"."&amp;MOD(O16,3)</f>
        <v>188.0</v>
      </c>
      <c r="R16" s="12" t="n">
        <v>146</v>
      </c>
      <c r="S16" s="12" t="n">
        <v>93</v>
      </c>
      <c r="T16" s="12" t="n">
        <v>84</v>
      </c>
      <c r="U16" s="12" t="n">
        <v>15</v>
      </c>
      <c r="V16" s="12" t="n">
        <v>61</v>
      </c>
      <c r="W16" s="12" t="n">
        <v>188</v>
      </c>
      <c r="X16" s="12" t="n">
        <v>5</v>
      </c>
      <c r="Y16" s="18" t="n">
        <f aca="false">IF(O16=0,0,T16*27/O16)</f>
        <v>4.02127659574468</v>
      </c>
      <c r="Z16" s="18" t="n">
        <f aca="false">IF(P16=0,0,(V16+R16)/P16)</f>
        <v>1.10106382978723</v>
      </c>
      <c r="AA16" s="18" t="n">
        <f aca="false">IF(O16=0,0,W16*27/O16)</f>
        <v>9</v>
      </c>
      <c r="AB16" s="18" t="n">
        <f aca="false">IF(O16=0,0,V16*27/O16)</f>
        <v>2.92021276595745</v>
      </c>
      <c r="AC16" s="18" t="n">
        <f aca="false">IF(V16=0,0,W16/V16)</f>
        <v>3.08196721311475</v>
      </c>
      <c r="AD16" s="18" t="n">
        <f aca="false">IF(P16=0,0,(13*U16+3*(V16+X16)-2*W16)/P16+INDEX(球季參數!$C$2:$C$4,MATCH($A16,球季參數!$A$2:$A$4,0)))</f>
        <v>3.22042553191489</v>
      </c>
      <c r="AE16" s="11" t="n">
        <f aca="false">IF(P16&gt;=INDEX(球季參數!$F$2:$F$4,MATCH($A16,球季參數!$A$2:$A$4,0)),1,0)</f>
        <v>1</v>
      </c>
    </row>
    <row r="17" customFormat="false" ht="15" hidden="false" customHeight="false" outlineLevel="0" collapsed="false">
      <c r="A17" s="5" t="n">
        <v>2024</v>
      </c>
      <c r="B17" s="7" t="s">
        <v>547</v>
      </c>
      <c r="C17" s="10" t="str">
        <f aca="false">INDEX(球員主檔!$B$2:$B$749,MATCH($B17,球員主檔!$A$2:$A$749,0))</f>
        <v>Percival Wainwright</v>
      </c>
      <c r="D17" s="7" t="s">
        <v>346</v>
      </c>
      <c r="E17" s="10" t="str">
        <f aca="false">INDEX(球隊主檔!$C$2:$C$31,MATCH($D17,球隊主檔!$A$2:$A$31,0))</f>
        <v>波士頓紅襪</v>
      </c>
      <c r="F17" s="10" t="str">
        <f aca="false">INDEX(球隊主檔!$D$2:$D$31,MATCH($D17,球隊主檔!$A$2:$A$31,0))</f>
        <v>美聯</v>
      </c>
      <c r="G17" s="7" t="s">
        <v>507</v>
      </c>
      <c r="H17" s="11" t="n">
        <f aca="false">INT((DATE($A17,7,1)-INDEX(球員主檔!$G$2:$G$749,MATCH($B17,球員主檔!$A$2:$A$749,0)))/365.25)</f>
        <v>24</v>
      </c>
      <c r="I17" s="12" t="n">
        <v>3</v>
      </c>
      <c r="J17" s="12" t="n">
        <v>4</v>
      </c>
      <c r="K17" s="12" t="n">
        <v>46</v>
      </c>
      <c r="L17" s="12" t="n">
        <v>4</v>
      </c>
      <c r="M17" s="12" t="n">
        <v>60</v>
      </c>
      <c r="N17" s="12" t="n">
        <v>0</v>
      </c>
      <c r="O17" s="12" t="n">
        <v>202</v>
      </c>
      <c r="P17" s="16" t="n">
        <f aca="false">O17/3</f>
        <v>67.3333333333333</v>
      </c>
      <c r="Q17" s="17" t="str">
        <f aca="false">INT(O17/3)&amp;"."&amp;MOD(O17,3)</f>
        <v>67.1</v>
      </c>
      <c r="R17" s="12" t="n">
        <v>46</v>
      </c>
      <c r="S17" s="12" t="n">
        <v>12</v>
      </c>
      <c r="T17" s="12" t="n">
        <v>12</v>
      </c>
      <c r="U17" s="12" t="n">
        <v>4</v>
      </c>
      <c r="V17" s="12" t="n">
        <v>22</v>
      </c>
      <c r="W17" s="12" t="n">
        <v>73</v>
      </c>
      <c r="X17" s="12" t="n">
        <v>2</v>
      </c>
      <c r="Y17" s="18" t="n">
        <f aca="false">IF(O17=0,0,T17*27/O17)</f>
        <v>1.6039603960396</v>
      </c>
      <c r="Z17" s="18" t="n">
        <f aca="false">IF(P17=0,0,(V17+R17)/P17)</f>
        <v>1.00990099009901</v>
      </c>
      <c r="AA17" s="18" t="n">
        <f aca="false">IF(O17=0,0,W17*27/O17)</f>
        <v>9.75742574257426</v>
      </c>
      <c r="AB17" s="18" t="n">
        <f aca="false">IF(O17=0,0,V17*27/O17)</f>
        <v>2.94059405940594</v>
      </c>
      <c r="AC17" s="18" t="n">
        <f aca="false">IF(V17=0,0,W17/V17)</f>
        <v>3.31818181818182</v>
      </c>
      <c r="AD17" s="18" t="n">
        <f aca="false">IF(P17=0,0,(13*U17+3*(V17+X17)-2*W17)/P17+INDEX(球季參數!$C$2:$C$4,MATCH($A17,球季參數!$A$2:$A$4,0)))</f>
        <v>2.80326732673267</v>
      </c>
      <c r="AE17" s="11" t="n">
        <f aca="false">IF(P17&gt;=INDEX(球季參數!$F$2:$F$4,MATCH($A17,球季參數!$A$2:$A$4,0)),1,0)</f>
        <v>0</v>
      </c>
    </row>
    <row r="18" customFormat="false" ht="15" hidden="false" customHeight="false" outlineLevel="0" collapsed="false">
      <c r="A18" s="5" t="n">
        <v>2024</v>
      </c>
      <c r="B18" s="7" t="s">
        <v>549</v>
      </c>
      <c r="C18" s="10" t="str">
        <f aca="false">INDEX(球員主檔!$B$2:$B$749,MATCH($B18,球員主檔!$A$2:$A$749,0))</f>
        <v>Cedric Mbeki</v>
      </c>
      <c r="D18" s="7" t="s">
        <v>346</v>
      </c>
      <c r="E18" s="10" t="str">
        <f aca="false">INDEX(球隊主檔!$C$2:$C$31,MATCH($D18,球隊主檔!$A$2:$A$31,0))</f>
        <v>波士頓紅襪</v>
      </c>
      <c r="F18" s="10" t="str">
        <f aca="false">INDEX(球隊主檔!$D$2:$D$31,MATCH($D18,球隊主檔!$A$2:$A$31,0))</f>
        <v>美聯</v>
      </c>
      <c r="G18" s="7" t="s">
        <v>507</v>
      </c>
      <c r="H18" s="11" t="n">
        <f aca="false">INT((DATE($A18,7,1)-INDEX(球員主檔!$G$2:$G$749,MATCH($B18,球員主檔!$A$2:$A$749,0)))/365.25)</f>
        <v>23</v>
      </c>
      <c r="I18" s="12" t="n">
        <v>9</v>
      </c>
      <c r="J18" s="12" t="n">
        <v>2</v>
      </c>
      <c r="K18" s="12" t="n">
        <v>1</v>
      </c>
      <c r="L18" s="12" t="n">
        <v>24</v>
      </c>
      <c r="M18" s="12" t="n">
        <v>38</v>
      </c>
      <c r="N18" s="12" t="n">
        <v>0</v>
      </c>
      <c r="O18" s="12" t="n">
        <v>119</v>
      </c>
      <c r="P18" s="16" t="n">
        <f aca="false">O18/3</f>
        <v>39.6666666666667</v>
      </c>
      <c r="Q18" s="17" t="str">
        <f aca="false">INT(O18/3)&amp;"."&amp;MOD(O18,3)</f>
        <v>39.2</v>
      </c>
      <c r="R18" s="12" t="n">
        <v>37</v>
      </c>
      <c r="S18" s="12" t="n">
        <v>21</v>
      </c>
      <c r="T18" s="12" t="n">
        <v>20</v>
      </c>
      <c r="U18" s="12" t="n">
        <v>6</v>
      </c>
      <c r="V18" s="12" t="n">
        <v>11</v>
      </c>
      <c r="W18" s="12" t="n">
        <v>43</v>
      </c>
      <c r="X18" s="12" t="n">
        <v>1</v>
      </c>
      <c r="Y18" s="18" t="n">
        <f aca="false">IF(O18=0,0,T18*27/O18)</f>
        <v>4.53781512605042</v>
      </c>
      <c r="Z18" s="18" t="n">
        <f aca="false">IF(P18=0,0,(V18+R18)/P18)</f>
        <v>1.21008403361345</v>
      </c>
      <c r="AA18" s="18" t="n">
        <f aca="false">IF(O18=0,0,W18*27/O18)</f>
        <v>9.7563025210084</v>
      </c>
      <c r="AB18" s="18" t="n">
        <f aca="false">IF(O18=0,0,V18*27/O18)</f>
        <v>2.49579831932773</v>
      </c>
      <c r="AC18" s="18" t="n">
        <f aca="false">IF(V18=0,0,W18/V18)</f>
        <v>3.90909090909091</v>
      </c>
      <c r="AD18" s="18" t="n">
        <f aca="false">IF(P18=0,0,(13*U18+3*(V18+X18)-2*W18)/P18+INDEX(球季參數!$C$2:$C$4,MATCH($A18,球季參數!$A$2:$A$4,0)))</f>
        <v>3.83588235294118</v>
      </c>
      <c r="AE18" s="11" t="n">
        <f aca="false">IF(P18&gt;=INDEX(球季參數!$F$2:$F$4,MATCH($A18,球季參數!$A$2:$A$4,0)),1,0)</f>
        <v>0</v>
      </c>
    </row>
    <row r="19" customFormat="false" ht="15" hidden="false" customHeight="false" outlineLevel="0" collapsed="false">
      <c r="A19" s="5" t="n">
        <v>2024</v>
      </c>
      <c r="B19" s="7" t="s">
        <v>551</v>
      </c>
      <c r="C19" s="10" t="str">
        <f aca="false">INDEX(球員主檔!$B$2:$B$749,MATCH($B19,球員主檔!$A$2:$A$749,0))</f>
        <v>Dashiell Ingersoll</v>
      </c>
      <c r="D19" s="7" t="s">
        <v>346</v>
      </c>
      <c r="E19" s="10" t="str">
        <f aca="false">INDEX(球隊主檔!$C$2:$C$31,MATCH($D19,球隊主檔!$A$2:$A$31,0))</f>
        <v>波士頓紅襪</v>
      </c>
      <c r="F19" s="10" t="str">
        <f aca="false">INDEX(球隊主檔!$D$2:$D$31,MATCH($D19,球隊主檔!$A$2:$A$31,0))</f>
        <v>美聯</v>
      </c>
      <c r="G19" s="7" t="s">
        <v>507</v>
      </c>
      <c r="H19" s="11" t="n">
        <f aca="false">INT((DATE($A19,7,1)-INDEX(球員主檔!$G$2:$G$749,MATCH($B19,球員主檔!$A$2:$A$749,0)))/365.25)</f>
        <v>27</v>
      </c>
      <c r="I19" s="12" t="n">
        <v>1</v>
      </c>
      <c r="J19" s="12" t="n">
        <v>2</v>
      </c>
      <c r="K19" s="12" t="n">
        <v>2</v>
      </c>
      <c r="L19" s="12" t="n">
        <v>34</v>
      </c>
      <c r="M19" s="12" t="n">
        <v>52</v>
      </c>
      <c r="N19" s="12" t="n">
        <v>0</v>
      </c>
      <c r="O19" s="12" t="n">
        <v>135</v>
      </c>
      <c r="P19" s="16" t="n">
        <f aca="false">O19/3</f>
        <v>45</v>
      </c>
      <c r="Q19" s="17" t="str">
        <f aca="false">INT(O19/3)&amp;"."&amp;MOD(O19,3)</f>
        <v>45.0</v>
      </c>
      <c r="R19" s="12" t="n">
        <v>39</v>
      </c>
      <c r="S19" s="12" t="n">
        <v>26</v>
      </c>
      <c r="T19" s="12" t="n">
        <v>26</v>
      </c>
      <c r="U19" s="12" t="n">
        <v>7</v>
      </c>
      <c r="V19" s="12" t="n">
        <v>20</v>
      </c>
      <c r="W19" s="12" t="n">
        <v>55</v>
      </c>
      <c r="X19" s="12" t="n">
        <v>2</v>
      </c>
      <c r="Y19" s="18" t="n">
        <f aca="false">IF(O19=0,0,T19*27/O19)</f>
        <v>5.2</v>
      </c>
      <c r="Z19" s="18" t="n">
        <f aca="false">IF(P19=0,0,(V19+R19)/P19)</f>
        <v>1.31111111111111</v>
      </c>
      <c r="AA19" s="18" t="n">
        <f aca="false">IF(O19=0,0,W19*27/O19)</f>
        <v>11</v>
      </c>
      <c r="AB19" s="18" t="n">
        <f aca="false">IF(O19=0,0,V19*27/O19)</f>
        <v>4</v>
      </c>
      <c r="AC19" s="18" t="n">
        <f aca="false">IF(V19=0,0,W19/V19)</f>
        <v>2.75</v>
      </c>
      <c r="AD19" s="18" t="n">
        <f aca="false">IF(P19=0,0,(13*U19+3*(V19+X19)-2*W19)/P19+INDEX(球季參數!$C$2:$C$4,MATCH($A19,球季參數!$A$2:$A$4,0)))</f>
        <v>4.17444444444444</v>
      </c>
      <c r="AE19" s="11" t="n">
        <f aca="false">IF(P19&gt;=INDEX(球季參數!$F$2:$F$4,MATCH($A19,球季參數!$A$2:$A$4,0)),1,0)</f>
        <v>0</v>
      </c>
    </row>
    <row r="20" customFormat="false" ht="15" hidden="false" customHeight="false" outlineLevel="0" collapsed="false">
      <c r="A20" s="5" t="n">
        <v>2024</v>
      </c>
      <c r="B20" s="7" t="s">
        <v>553</v>
      </c>
      <c r="C20" s="10" t="str">
        <f aca="false">INDEX(球員主檔!$B$2:$B$749,MATCH($B20,球員主檔!$A$2:$A$749,0))</f>
        <v>Niklas Kowalczyk</v>
      </c>
      <c r="D20" s="7" t="s">
        <v>346</v>
      </c>
      <c r="E20" s="10" t="str">
        <f aca="false">INDEX(球隊主檔!$C$2:$C$31,MATCH($D20,球隊主檔!$A$2:$A$31,0))</f>
        <v>波士頓紅襪</v>
      </c>
      <c r="F20" s="10" t="str">
        <f aca="false">INDEX(球隊主檔!$D$2:$D$31,MATCH($D20,球隊主檔!$A$2:$A$31,0))</f>
        <v>美聯</v>
      </c>
      <c r="G20" s="7" t="s">
        <v>507</v>
      </c>
      <c r="H20" s="11" t="n">
        <f aca="false">INT((DATE($A20,7,1)-INDEX(球員主檔!$G$2:$G$749,MATCH($B20,球員主檔!$A$2:$A$749,0)))/365.25)</f>
        <v>27</v>
      </c>
      <c r="I20" s="12" t="n">
        <v>9</v>
      </c>
      <c r="J20" s="12" t="n">
        <v>0</v>
      </c>
      <c r="K20" s="12" t="n">
        <v>4</v>
      </c>
      <c r="L20" s="12" t="n">
        <v>6</v>
      </c>
      <c r="M20" s="12" t="n">
        <v>51</v>
      </c>
      <c r="N20" s="12" t="n">
        <v>0</v>
      </c>
      <c r="O20" s="12" t="n">
        <v>155</v>
      </c>
      <c r="P20" s="16" t="n">
        <f aca="false">O20/3</f>
        <v>51.6666666666667</v>
      </c>
      <c r="Q20" s="17" t="str">
        <f aca="false">INT(O20/3)&amp;"."&amp;MOD(O20,3)</f>
        <v>51.2</v>
      </c>
      <c r="R20" s="12" t="n">
        <v>41</v>
      </c>
      <c r="S20" s="12" t="n">
        <v>18</v>
      </c>
      <c r="T20" s="12" t="n">
        <v>17</v>
      </c>
      <c r="U20" s="12" t="n">
        <v>9</v>
      </c>
      <c r="V20" s="12" t="n">
        <v>23</v>
      </c>
      <c r="W20" s="12" t="n">
        <v>51</v>
      </c>
      <c r="X20" s="12" t="n">
        <v>2</v>
      </c>
      <c r="Y20" s="18" t="n">
        <f aca="false">IF(O20=0,0,T20*27/O20)</f>
        <v>2.96129032258065</v>
      </c>
      <c r="Z20" s="18" t="n">
        <f aca="false">IF(P20=0,0,(V20+R20)/P20)</f>
        <v>1.23870967741936</v>
      </c>
      <c r="AA20" s="18" t="n">
        <f aca="false">IF(O20=0,0,W20*27/O20)</f>
        <v>8.88387096774194</v>
      </c>
      <c r="AB20" s="18" t="n">
        <f aca="false">IF(O20=0,0,V20*27/O20)</f>
        <v>4.00645161290323</v>
      </c>
      <c r="AC20" s="18" t="n">
        <f aca="false">IF(V20=0,0,W20/V20)</f>
        <v>2.21739130434783</v>
      </c>
      <c r="AD20" s="18" t="n">
        <f aca="false">IF(P20=0,0,(13*U20+3*(V20+X20)-2*W20)/P20+INDEX(球季參數!$C$2:$C$4,MATCH($A20,球季參數!$A$2:$A$4,0)))</f>
        <v>4.87193548387097</v>
      </c>
      <c r="AE20" s="11" t="n">
        <f aca="false">IF(P20&gt;=INDEX(球季參數!$F$2:$F$4,MATCH($A20,球季參數!$A$2:$A$4,0)),1,0)</f>
        <v>0</v>
      </c>
    </row>
    <row r="21" customFormat="false" ht="15" hidden="false" customHeight="false" outlineLevel="0" collapsed="false">
      <c r="A21" s="5" t="n">
        <v>2024</v>
      </c>
      <c r="B21" s="7" t="s">
        <v>555</v>
      </c>
      <c r="C21" s="10" t="str">
        <f aca="false">INDEX(球員主檔!$B$2:$B$749,MATCH($B21,球員主檔!$A$2:$A$749,0))</f>
        <v>Haruto Larrabee</v>
      </c>
      <c r="D21" s="7" t="s">
        <v>346</v>
      </c>
      <c r="E21" s="10" t="str">
        <f aca="false">INDEX(球隊主檔!$C$2:$C$31,MATCH($D21,球隊主檔!$A$2:$A$31,0))</f>
        <v>波士頓紅襪</v>
      </c>
      <c r="F21" s="10" t="str">
        <f aca="false">INDEX(球隊主檔!$D$2:$D$31,MATCH($D21,球隊主檔!$A$2:$A$31,0))</f>
        <v>美聯</v>
      </c>
      <c r="G21" s="7" t="s">
        <v>507</v>
      </c>
      <c r="H21" s="11" t="n">
        <f aca="false">INT((DATE($A21,7,1)-INDEX(球員主檔!$G$2:$G$749,MATCH($B21,球員主檔!$A$2:$A$749,0)))/365.25)</f>
        <v>29</v>
      </c>
      <c r="I21" s="12" t="n">
        <v>2</v>
      </c>
      <c r="J21" s="12" t="n">
        <v>8</v>
      </c>
      <c r="K21" s="12" t="n">
        <v>1</v>
      </c>
      <c r="L21" s="12" t="n">
        <v>26</v>
      </c>
      <c r="M21" s="12" t="n">
        <v>56</v>
      </c>
      <c r="N21" s="12" t="n">
        <v>0</v>
      </c>
      <c r="O21" s="12" t="n">
        <v>162</v>
      </c>
      <c r="P21" s="16" t="n">
        <f aca="false">O21/3</f>
        <v>54</v>
      </c>
      <c r="Q21" s="17" t="str">
        <f aca="false">INT(O21/3)&amp;"."&amp;MOD(O21,3)</f>
        <v>54.0</v>
      </c>
      <c r="R21" s="12" t="n">
        <v>43</v>
      </c>
      <c r="S21" s="12" t="n">
        <v>20</v>
      </c>
      <c r="T21" s="12" t="n">
        <v>19</v>
      </c>
      <c r="U21" s="12" t="n">
        <v>7</v>
      </c>
      <c r="V21" s="12" t="n">
        <v>18</v>
      </c>
      <c r="W21" s="12" t="n">
        <v>73</v>
      </c>
      <c r="X21" s="12" t="n">
        <v>2</v>
      </c>
      <c r="Y21" s="18" t="n">
        <f aca="false">IF(O21=0,0,T21*27/O21)</f>
        <v>3.16666666666667</v>
      </c>
      <c r="Z21" s="18" t="n">
        <f aca="false">IF(P21=0,0,(V21+R21)/P21)</f>
        <v>1.12962962962963</v>
      </c>
      <c r="AA21" s="18" t="n">
        <f aca="false">IF(O21=0,0,W21*27/O21)</f>
        <v>12.1666666666667</v>
      </c>
      <c r="AB21" s="18" t="n">
        <f aca="false">IF(O21=0,0,V21*27/O21)</f>
        <v>3</v>
      </c>
      <c r="AC21" s="18" t="n">
        <f aca="false">IF(V21=0,0,W21/V21)</f>
        <v>4.05555555555556</v>
      </c>
      <c r="AD21" s="18" t="n">
        <f aca="false">IF(P21=0,0,(13*U21+3*(V21+X21)-2*W21)/P21+INDEX(球季參數!$C$2:$C$4,MATCH($A21,球季參數!$A$2:$A$4,0)))</f>
        <v>3.22259259259259</v>
      </c>
      <c r="AE21" s="11" t="n">
        <f aca="false">IF(P21&gt;=INDEX(球季參數!$F$2:$F$4,MATCH($A21,球季參數!$A$2:$A$4,0)),1,0)</f>
        <v>0</v>
      </c>
    </row>
    <row r="22" customFormat="false" ht="15" hidden="false" customHeight="false" outlineLevel="0" collapsed="false">
      <c r="A22" s="5" t="n">
        <v>2024</v>
      </c>
      <c r="B22" s="7" t="s">
        <v>577</v>
      </c>
      <c r="C22" s="10" t="str">
        <f aca="false">INDEX(球員主檔!$B$2:$B$749,MATCH($B22,球員主檔!$A$2:$A$749,0))</f>
        <v>Dorian Eberhardt</v>
      </c>
      <c r="D22" s="7" t="s">
        <v>350</v>
      </c>
      <c r="E22" s="10" t="str">
        <f aca="false">INDEX(球隊主檔!$C$2:$C$31,MATCH($D22,球隊主檔!$A$2:$A$31,0))</f>
        <v>紐約洋基</v>
      </c>
      <c r="F22" s="10" t="str">
        <f aca="false">INDEX(球隊主檔!$D$2:$D$31,MATCH($D22,球隊主檔!$A$2:$A$31,0))</f>
        <v>美聯</v>
      </c>
      <c r="G22" s="7" t="s">
        <v>496</v>
      </c>
      <c r="H22" s="11" t="n">
        <f aca="false">INT((DATE($A22,7,1)-INDEX(球員主檔!$G$2:$G$749,MATCH($B22,球員主檔!$A$2:$A$749,0)))/365.25)</f>
        <v>25</v>
      </c>
      <c r="I22" s="12" t="n">
        <v>16</v>
      </c>
      <c r="J22" s="12" t="n">
        <v>5</v>
      </c>
      <c r="K22" s="12" t="n">
        <v>0</v>
      </c>
      <c r="L22" s="12" t="n">
        <v>0</v>
      </c>
      <c r="M22" s="12" t="n">
        <v>30</v>
      </c>
      <c r="N22" s="12" t="n">
        <v>30</v>
      </c>
      <c r="O22" s="12" t="n">
        <v>542</v>
      </c>
      <c r="P22" s="16" t="n">
        <f aca="false">O22/3</f>
        <v>180.666666666667</v>
      </c>
      <c r="Q22" s="17" t="str">
        <f aca="false">INT(O22/3)&amp;"."&amp;MOD(O22,3)</f>
        <v>180.2</v>
      </c>
      <c r="R22" s="12" t="n">
        <v>122</v>
      </c>
      <c r="S22" s="12" t="n">
        <v>61</v>
      </c>
      <c r="T22" s="12" t="n">
        <v>54</v>
      </c>
      <c r="U22" s="12" t="n">
        <v>24</v>
      </c>
      <c r="V22" s="12" t="n">
        <v>44</v>
      </c>
      <c r="W22" s="12" t="n">
        <v>172</v>
      </c>
      <c r="X22" s="12" t="n">
        <v>7</v>
      </c>
      <c r="Y22" s="18" t="n">
        <f aca="false">IF(O22=0,0,T22*27/O22)</f>
        <v>2.690036900369</v>
      </c>
      <c r="Z22" s="18" t="n">
        <f aca="false">IF(P22=0,0,(V22+R22)/P22)</f>
        <v>0.918819188191882</v>
      </c>
      <c r="AA22" s="18" t="n">
        <f aca="false">IF(O22=0,0,W22*27/O22)</f>
        <v>8.56826568265683</v>
      </c>
      <c r="AB22" s="18" t="n">
        <f aca="false">IF(O22=0,0,V22*27/O22)</f>
        <v>2.19188191881919</v>
      </c>
      <c r="AC22" s="18" t="n">
        <f aca="false">IF(V22=0,0,W22/V22)</f>
        <v>3.90909090909091</v>
      </c>
      <c r="AD22" s="18" t="n">
        <f aca="false">IF(P22=0,0,(13*U22+3*(V22+X22)-2*W22)/P22+INDEX(球季參數!$C$2:$C$4,MATCH($A22,球季參數!$A$2:$A$4,0)))</f>
        <v>3.79974169741697</v>
      </c>
      <c r="AE22" s="11" t="n">
        <f aca="false">IF(P22&gt;=INDEX(球季參數!$F$2:$F$4,MATCH($A22,球季參數!$A$2:$A$4,0)),1,0)</f>
        <v>1</v>
      </c>
    </row>
    <row r="23" customFormat="false" ht="15" hidden="false" customHeight="false" outlineLevel="0" collapsed="false">
      <c r="A23" s="5" t="n">
        <v>2024</v>
      </c>
      <c r="B23" s="7" t="s">
        <v>579</v>
      </c>
      <c r="C23" s="10" t="str">
        <f aca="false">INDEX(球員主檔!$B$2:$B$749,MATCH($B23,球員主檔!$A$2:$A$749,0))</f>
        <v>Dimitri Marchetti</v>
      </c>
      <c r="D23" s="7" t="s">
        <v>350</v>
      </c>
      <c r="E23" s="10" t="str">
        <f aca="false">INDEX(球隊主檔!$C$2:$C$31,MATCH($D23,球隊主檔!$A$2:$A$31,0))</f>
        <v>紐約洋基</v>
      </c>
      <c r="F23" s="10" t="str">
        <f aca="false">INDEX(球隊主檔!$D$2:$D$31,MATCH($D23,球隊主檔!$A$2:$A$31,0))</f>
        <v>美聯</v>
      </c>
      <c r="G23" s="7" t="s">
        <v>496</v>
      </c>
      <c r="H23" s="11" t="n">
        <f aca="false">INT((DATE($A23,7,1)-INDEX(球員主檔!$G$2:$G$749,MATCH($B23,球員主檔!$A$2:$A$749,0)))/365.25)</f>
        <v>24</v>
      </c>
      <c r="I23" s="12" t="n">
        <v>14</v>
      </c>
      <c r="J23" s="12" t="n">
        <v>4</v>
      </c>
      <c r="K23" s="12" t="n">
        <v>0</v>
      </c>
      <c r="L23" s="12" t="n">
        <v>0</v>
      </c>
      <c r="M23" s="12" t="n">
        <v>27</v>
      </c>
      <c r="N23" s="12" t="n">
        <v>27</v>
      </c>
      <c r="O23" s="12" t="n">
        <v>402</v>
      </c>
      <c r="P23" s="16" t="n">
        <f aca="false">O23/3</f>
        <v>134</v>
      </c>
      <c r="Q23" s="17" t="str">
        <f aca="false">INT(O23/3)&amp;"."&amp;MOD(O23,3)</f>
        <v>134.0</v>
      </c>
      <c r="R23" s="12" t="n">
        <v>99</v>
      </c>
      <c r="S23" s="12" t="n">
        <v>49</v>
      </c>
      <c r="T23" s="12" t="n">
        <v>45</v>
      </c>
      <c r="U23" s="12" t="n">
        <v>14</v>
      </c>
      <c r="V23" s="12" t="n">
        <v>38</v>
      </c>
      <c r="W23" s="12" t="n">
        <v>86</v>
      </c>
      <c r="X23" s="12" t="n">
        <v>7</v>
      </c>
      <c r="Y23" s="18" t="n">
        <f aca="false">IF(O23=0,0,T23*27/O23)</f>
        <v>3.02238805970149</v>
      </c>
      <c r="Z23" s="18" t="n">
        <f aca="false">IF(P23=0,0,(V23+R23)/P23)</f>
        <v>1.02238805970149</v>
      </c>
      <c r="AA23" s="18" t="n">
        <f aca="false">IF(O23=0,0,W23*27/O23)</f>
        <v>5.77611940298507</v>
      </c>
      <c r="AB23" s="18" t="n">
        <f aca="false">IF(O23=0,0,V23*27/O23)</f>
        <v>2.55223880597015</v>
      </c>
      <c r="AC23" s="18" t="n">
        <f aca="false">IF(V23=0,0,W23/V23)</f>
        <v>2.26315789473684</v>
      </c>
      <c r="AD23" s="18" t="n">
        <f aca="false">IF(P23=0,0,(13*U23+3*(V23+X23)-2*W23)/P23+INDEX(球季參數!$C$2:$C$4,MATCH($A23,球季參數!$A$2:$A$4,0)))</f>
        <v>4.21208955223881</v>
      </c>
      <c r="AE23" s="11" t="n">
        <f aca="false">IF(P23&gt;=INDEX(球季參數!$F$2:$F$4,MATCH($A23,球季參數!$A$2:$A$4,0)),1,0)</f>
        <v>0</v>
      </c>
    </row>
    <row r="24" customFormat="false" ht="15" hidden="false" customHeight="false" outlineLevel="0" collapsed="false">
      <c r="A24" s="5" t="n">
        <v>2024</v>
      </c>
      <c r="B24" s="7" t="s">
        <v>581</v>
      </c>
      <c r="C24" s="10" t="str">
        <f aca="false">INDEX(球員主檔!$B$2:$B$749,MATCH($B24,球員主檔!$A$2:$A$749,0))</f>
        <v>Mateo Wexford</v>
      </c>
      <c r="D24" s="7" t="s">
        <v>350</v>
      </c>
      <c r="E24" s="10" t="str">
        <f aca="false">INDEX(球隊主檔!$C$2:$C$31,MATCH($D24,球隊主檔!$A$2:$A$31,0))</f>
        <v>紐約洋基</v>
      </c>
      <c r="F24" s="10" t="str">
        <f aca="false">INDEX(球隊主檔!$D$2:$D$31,MATCH($D24,球隊主檔!$A$2:$A$31,0))</f>
        <v>美聯</v>
      </c>
      <c r="G24" s="7" t="s">
        <v>496</v>
      </c>
      <c r="H24" s="11" t="n">
        <f aca="false">INT((DATE($A24,7,1)-INDEX(球員主檔!$G$2:$G$749,MATCH($B24,球員主檔!$A$2:$A$749,0)))/365.25)</f>
        <v>31</v>
      </c>
      <c r="I24" s="12" t="n">
        <v>8</v>
      </c>
      <c r="J24" s="12" t="n">
        <v>7</v>
      </c>
      <c r="K24" s="12" t="n">
        <v>0</v>
      </c>
      <c r="L24" s="12" t="n">
        <v>0</v>
      </c>
      <c r="M24" s="12" t="n">
        <v>22</v>
      </c>
      <c r="N24" s="12" t="n">
        <v>22</v>
      </c>
      <c r="O24" s="12" t="n">
        <v>339</v>
      </c>
      <c r="P24" s="16" t="n">
        <f aca="false">O24/3</f>
        <v>113</v>
      </c>
      <c r="Q24" s="17" t="str">
        <f aca="false">INT(O24/3)&amp;"."&amp;MOD(O24,3)</f>
        <v>113.0</v>
      </c>
      <c r="R24" s="12" t="n">
        <v>98</v>
      </c>
      <c r="S24" s="12" t="n">
        <v>70</v>
      </c>
      <c r="T24" s="12" t="n">
        <v>67</v>
      </c>
      <c r="U24" s="12" t="n">
        <v>13</v>
      </c>
      <c r="V24" s="12" t="n">
        <v>53</v>
      </c>
      <c r="W24" s="12" t="n">
        <v>97</v>
      </c>
      <c r="X24" s="12" t="n">
        <v>2</v>
      </c>
      <c r="Y24" s="18" t="n">
        <f aca="false">IF(O24=0,0,T24*27/O24)</f>
        <v>5.33628318584071</v>
      </c>
      <c r="Z24" s="18" t="n">
        <f aca="false">IF(P24=0,0,(V24+R24)/P24)</f>
        <v>1.33628318584071</v>
      </c>
      <c r="AA24" s="18" t="n">
        <f aca="false">IF(O24=0,0,W24*27/O24)</f>
        <v>7.72566371681416</v>
      </c>
      <c r="AB24" s="18" t="n">
        <f aca="false">IF(O24=0,0,V24*27/O24)</f>
        <v>4.2212389380531</v>
      </c>
      <c r="AC24" s="18" t="n">
        <f aca="false">IF(V24=0,0,W24/V24)</f>
        <v>1.83018867924528</v>
      </c>
      <c r="AD24" s="18" t="n">
        <f aca="false">IF(P24=0,0,(13*U24+3*(V24+X24)-2*W24)/P24+INDEX(球季參數!$C$2:$C$4,MATCH($A24,球季參數!$A$2:$A$4,0)))</f>
        <v>4.36893805309735</v>
      </c>
      <c r="AE24" s="11" t="n">
        <f aca="false">IF(P24&gt;=INDEX(球季參數!$F$2:$F$4,MATCH($A24,球季參數!$A$2:$A$4,0)),1,0)</f>
        <v>0</v>
      </c>
    </row>
    <row r="25" customFormat="false" ht="15" hidden="false" customHeight="false" outlineLevel="0" collapsed="false">
      <c r="A25" s="5" t="n">
        <v>2024</v>
      </c>
      <c r="B25" s="7" t="s">
        <v>583</v>
      </c>
      <c r="C25" s="10" t="str">
        <f aca="false">INDEX(球員主檔!$B$2:$B$749,MATCH($B25,球員主檔!$A$2:$A$749,0))</f>
        <v>Kellan Montalvo</v>
      </c>
      <c r="D25" s="7" t="s">
        <v>350</v>
      </c>
      <c r="E25" s="10" t="str">
        <f aca="false">INDEX(球隊主檔!$C$2:$C$31,MATCH($D25,球隊主檔!$A$2:$A$31,0))</f>
        <v>紐約洋基</v>
      </c>
      <c r="F25" s="10" t="str">
        <f aca="false">INDEX(球隊主檔!$D$2:$D$31,MATCH($D25,球隊主檔!$A$2:$A$31,0))</f>
        <v>美聯</v>
      </c>
      <c r="G25" s="7" t="s">
        <v>496</v>
      </c>
      <c r="H25" s="11" t="n">
        <f aca="false">INT((DATE($A25,7,1)-INDEX(球員主檔!$G$2:$G$749,MATCH($B25,球員主檔!$A$2:$A$749,0)))/365.25)</f>
        <v>24</v>
      </c>
      <c r="I25" s="12" t="n">
        <v>11</v>
      </c>
      <c r="J25" s="12" t="n">
        <v>4</v>
      </c>
      <c r="K25" s="12" t="n">
        <v>0</v>
      </c>
      <c r="L25" s="12" t="n">
        <v>0</v>
      </c>
      <c r="M25" s="12" t="n">
        <v>24</v>
      </c>
      <c r="N25" s="12" t="n">
        <v>24</v>
      </c>
      <c r="O25" s="12" t="n">
        <v>385</v>
      </c>
      <c r="P25" s="16" t="n">
        <f aca="false">O25/3</f>
        <v>128.333333333333</v>
      </c>
      <c r="Q25" s="17" t="str">
        <f aca="false">INT(O25/3)&amp;"."&amp;MOD(O25,3)</f>
        <v>128.1</v>
      </c>
      <c r="R25" s="12" t="n">
        <v>93</v>
      </c>
      <c r="S25" s="12" t="n">
        <v>53</v>
      </c>
      <c r="T25" s="12" t="n">
        <v>47</v>
      </c>
      <c r="U25" s="12" t="n">
        <v>16</v>
      </c>
      <c r="V25" s="12" t="n">
        <v>37</v>
      </c>
      <c r="W25" s="12" t="n">
        <v>168</v>
      </c>
      <c r="X25" s="12" t="n">
        <v>5</v>
      </c>
      <c r="Y25" s="18" t="n">
        <f aca="false">IF(O25=0,0,T25*27/O25)</f>
        <v>3.2961038961039</v>
      </c>
      <c r="Z25" s="18" t="n">
        <f aca="false">IF(P25=0,0,(V25+R25)/P25)</f>
        <v>1.01298701298701</v>
      </c>
      <c r="AA25" s="18" t="n">
        <f aca="false">IF(O25=0,0,W25*27/O25)</f>
        <v>11.7818181818182</v>
      </c>
      <c r="AB25" s="18" t="n">
        <f aca="false">IF(O25=0,0,V25*27/O25)</f>
        <v>2.59480519480519</v>
      </c>
      <c r="AC25" s="18" t="n">
        <f aca="false">IF(V25=0,0,W25/V25)</f>
        <v>4.54054054054054</v>
      </c>
      <c r="AD25" s="18" t="n">
        <f aca="false">IF(P25=0,0,(13*U25+3*(V25+X25)-2*W25)/P25+INDEX(球季參數!$C$2:$C$4,MATCH($A25,球季參數!$A$2:$A$4,0)))</f>
        <v>3.11441558441558</v>
      </c>
      <c r="AE25" s="11" t="n">
        <f aca="false">IF(P25&gt;=INDEX(球季參數!$F$2:$F$4,MATCH($A25,球季參數!$A$2:$A$4,0)),1,0)</f>
        <v>0</v>
      </c>
    </row>
    <row r="26" customFormat="false" ht="15" hidden="false" customHeight="false" outlineLevel="0" collapsed="false">
      <c r="A26" s="5" t="n">
        <v>2024</v>
      </c>
      <c r="B26" s="7" t="s">
        <v>585</v>
      </c>
      <c r="C26" s="10" t="str">
        <f aca="false">INDEX(球員主檔!$B$2:$B$749,MATCH($B26,球員主檔!$A$2:$A$749,0))</f>
        <v>Holden Beckwith</v>
      </c>
      <c r="D26" s="7" t="s">
        <v>350</v>
      </c>
      <c r="E26" s="10" t="str">
        <f aca="false">INDEX(球隊主檔!$C$2:$C$31,MATCH($D26,球隊主檔!$A$2:$A$31,0))</f>
        <v>紐約洋基</v>
      </c>
      <c r="F26" s="10" t="str">
        <f aca="false">INDEX(球隊主檔!$D$2:$D$31,MATCH($D26,球隊主檔!$A$2:$A$31,0))</f>
        <v>美聯</v>
      </c>
      <c r="G26" s="7" t="s">
        <v>496</v>
      </c>
      <c r="H26" s="11" t="n">
        <f aca="false">INT((DATE($A26,7,1)-INDEX(球員主檔!$G$2:$G$749,MATCH($B26,球員主檔!$A$2:$A$749,0)))/365.25)</f>
        <v>31</v>
      </c>
      <c r="I26" s="12" t="n">
        <v>14</v>
      </c>
      <c r="J26" s="12" t="n">
        <v>4</v>
      </c>
      <c r="K26" s="12" t="n">
        <v>0</v>
      </c>
      <c r="L26" s="12" t="n">
        <v>0</v>
      </c>
      <c r="M26" s="12" t="n">
        <v>24</v>
      </c>
      <c r="N26" s="12" t="n">
        <v>24</v>
      </c>
      <c r="O26" s="12" t="n">
        <v>416</v>
      </c>
      <c r="P26" s="16" t="n">
        <f aca="false">O26/3</f>
        <v>138.666666666667</v>
      </c>
      <c r="Q26" s="17" t="str">
        <f aca="false">INT(O26/3)&amp;"."&amp;MOD(O26,3)</f>
        <v>138.2</v>
      </c>
      <c r="R26" s="12" t="n">
        <v>100</v>
      </c>
      <c r="S26" s="12" t="n">
        <v>46</v>
      </c>
      <c r="T26" s="12" t="n">
        <v>46</v>
      </c>
      <c r="U26" s="12" t="n">
        <v>32</v>
      </c>
      <c r="V26" s="12" t="n">
        <v>33</v>
      </c>
      <c r="W26" s="12" t="n">
        <v>144</v>
      </c>
      <c r="X26" s="12" t="n">
        <v>7</v>
      </c>
      <c r="Y26" s="18" t="n">
        <f aca="false">IF(O26=0,0,T26*27/O26)</f>
        <v>2.98557692307692</v>
      </c>
      <c r="Z26" s="18" t="n">
        <f aca="false">IF(P26=0,0,(V26+R26)/P26)</f>
        <v>0.959134615384615</v>
      </c>
      <c r="AA26" s="18" t="n">
        <f aca="false">IF(O26=0,0,W26*27/O26)</f>
        <v>9.34615384615385</v>
      </c>
      <c r="AB26" s="18" t="n">
        <f aca="false">IF(O26=0,0,V26*27/O26)</f>
        <v>2.14182692307692</v>
      </c>
      <c r="AC26" s="18" t="n">
        <f aca="false">IF(V26=0,0,W26/V26)</f>
        <v>4.36363636363636</v>
      </c>
      <c r="AD26" s="18" t="n">
        <f aca="false">IF(P26=0,0,(13*U26+3*(V26+X26)-2*W26)/P26+INDEX(球季參數!$C$2:$C$4,MATCH($A26,球季參數!$A$2:$A$4,0)))</f>
        <v>4.91846153846154</v>
      </c>
      <c r="AE26" s="11" t="n">
        <f aca="false">IF(P26&gt;=INDEX(球季參數!$F$2:$F$4,MATCH($A26,球季參數!$A$2:$A$4,0)),1,0)</f>
        <v>0</v>
      </c>
    </row>
    <row r="27" customFormat="false" ht="15" hidden="false" customHeight="false" outlineLevel="0" collapsed="false">
      <c r="A27" s="5" t="n">
        <v>2024</v>
      </c>
      <c r="B27" s="7" t="s">
        <v>587</v>
      </c>
      <c r="C27" s="10" t="str">
        <f aca="false">INDEX(球員主檔!$B$2:$B$749,MATCH($B27,球員主檔!$A$2:$A$749,0))</f>
        <v>Minjae Caldera</v>
      </c>
      <c r="D27" s="7" t="s">
        <v>350</v>
      </c>
      <c r="E27" s="10" t="str">
        <f aca="false">INDEX(球隊主檔!$C$2:$C$31,MATCH($D27,球隊主檔!$A$2:$A$31,0))</f>
        <v>紐約洋基</v>
      </c>
      <c r="F27" s="10" t="str">
        <f aca="false">INDEX(球隊主檔!$D$2:$D$31,MATCH($D27,球隊主檔!$A$2:$A$31,0))</f>
        <v>美聯</v>
      </c>
      <c r="G27" s="7" t="s">
        <v>507</v>
      </c>
      <c r="H27" s="11" t="n">
        <f aca="false">INT((DATE($A27,7,1)-INDEX(球員主檔!$G$2:$G$749,MATCH($B27,球員主檔!$A$2:$A$749,0)))/365.25)</f>
        <v>27</v>
      </c>
      <c r="I27" s="12" t="n">
        <v>2</v>
      </c>
      <c r="J27" s="12" t="n">
        <v>4</v>
      </c>
      <c r="K27" s="12" t="n">
        <v>33</v>
      </c>
      <c r="L27" s="12" t="n">
        <v>2</v>
      </c>
      <c r="M27" s="12" t="n">
        <v>40</v>
      </c>
      <c r="N27" s="12" t="n">
        <v>0</v>
      </c>
      <c r="O27" s="12" t="n">
        <v>104</v>
      </c>
      <c r="P27" s="16" t="n">
        <f aca="false">O27/3</f>
        <v>34.6666666666667</v>
      </c>
      <c r="Q27" s="17" t="str">
        <f aca="false">INT(O27/3)&amp;"."&amp;MOD(O27,3)</f>
        <v>34.2</v>
      </c>
      <c r="R27" s="12" t="n">
        <v>27</v>
      </c>
      <c r="S27" s="12" t="n">
        <v>11</v>
      </c>
      <c r="T27" s="12" t="n">
        <v>11</v>
      </c>
      <c r="U27" s="12" t="n">
        <v>4</v>
      </c>
      <c r="V27" s="12" t="n">
        <v>17</v>
      </c>
      <c r="W27" s="12" t="n">
        <v>32</v>
      </c>
      <c r="X27" s="12" t="n">
        <v>1</v>
      </c>
      <c r="Y27" s="18" t="n">
        <f aca="false">IF(O27=0,0,T27*27/O27)</f>
        <v>2.85576923076923</v>
      </c>
      <c r="Z27" s="18" t="n">
        <f aca="false">IF(P27=0,0,(V27+R27)/P27)</f>
        <v>1.26923076923077</v>
      </c>
      <c r="AA27" s="18" t="n">
        <f aca="false">IF(O27=0,0,W27*27/O27)</f>
        <v>8.30769230769231</v>
      </c>
      <c r="AB27" s="18" t="n">
        <f aca="false">IF(O27=0,0,V27*27/O27)</f>
        <v>4.41346153846154</v>
      </c>
      <c r="AC27" s="18" t="n">
        <f aca="false">IF(V27=0,0,W27/V27)</f>
        <v>1.88235294117647</v>
      </c>
      <c r="AD27" s="18" t="n">
        <f aca="false">IF(P27=0,0,(13*U27+3*(V27+X27)-2*W27)/P27+INDEX(球季參數!$C$2:$C$4,MATCH($A27,球季參數!$A$2:$A$4,0)))</f>
        <v>4.34153846153846</v>
      </c>
      <c r="AE27" s="11" t="n">
        <f aca="false">IF(P27&gt;=INDEX(球季參數!$F$2:$F$4,MATCH($A27,球季參數!$A$2:$A$4,0)),1,0)</f>
        <v>0</v>
      </c>
    </row>
    <row r="28" customFormat="false" ht="15" hidden="false" customHeight="false" outlineLevel="0" collapsed="false">
      <c r="A28" s="5" t="n">
        <v>2024</v>
      </c>
      <c r="B28" s="7" t="s">
        <v>589</v>
      </c>
      <c r="C28" s="10" t="str">
        <f aca="false">INDEX(球員主檔!$B$2:$B$749,MATCH($B28,球員主檔!$A$2:$A$749,0))</f>
        <v>Cassius Kestrel</v>
      </c>
      <c r="D28" s="7" t="s">
        <v>350</v>
      </c>
      <c r="E28" s="10" t="str">
        <f aca="false">INDEX(球隊主檔!$C$2:$C$31,MATCH($D28,球隊主檔!$A$2:$A$31,0))</f>
        <v>紐約洋基</v>
      </c>
      <c r="F28" s="10" t="str">
        <f aca="false">INDEX(球隊主檔!$D$2:$D$31,MATCH($D28,球隊主檔!$A$2:$A$31,0))</f>
        <v>美聯</v>
      </c>
      <c r="G28" s="7" t="s">
        <v>507</v>
      </c>
      <c r="H28" s="11" t="n">
        <f aca="false">INT((DATE($A28,7,1)-INDEX(球員主檔!$G$2:$G$749,MATCH($B28,球員主檔!$A$2:$A$749,0)))/365.25)</f>
        <v>30</v>
      </c>
      <c r="I28" s="12" t="n">
        <v>5</v>
      </c>
      <c r="J28" s="12" t="n">
        <v>0</v>
      </c>
      <c r="K28" s="12" t="n">
        <v>6</v>
      </c>
      <c r="L28" s="12" t="n">
        <v>18</v>
      </c>
      <c r="M28" s="12" t="n">
        <v>62</v>
      </c>
      <c r="N28" s="12" t="n">
        <v>0</v>
      </c>
      <c r="O28" s="12" t="n">
        <v>189</v>
      </c>
      <c r="P28" s="16" t="n">
        <f aca="false">O28/3</f>
        <v>63</v>
      </c>
      <c r="Q28" s="17" t="str">
        <f aca="false">INT(O28/3)&amp;"."&amp;MOD(O28,3)</f>
        <v>63.0</v>
      </c>
      <c r="R28" s="12" t="n">
        <v>56</v>
      </c>
      <c r="S28" s="12" t="n">
        <v>41</v>
      </c>
      <c r="T28" s="12" t="n">
        <v>37</v>
      </c>
      <c r="U28" s="12" t="n">
        <v>7</v>
      </c>
      <c r="V28" s="12" t="n">
        <v>11</v>
      </c>
      <c r="W28" s="12" t="n">
        <v>81</v>
      </c>
      <c r="X28" s="12" t="n">
        <v>2</v>
      </c>
      <c r="Y28" s="18" t="n">
        <f aca="false">IF(O28=0,0,T28*27/O28)</f>
        <v>5.28571428571429</v>
      </c>
      <c r="Z28" s="18" t="n">
        <f aca="false">IF(P28=0,0,(V28+R28)/P28)</f>
        <v>1.06349206349206</v>
      </c>
      <c r="AA28" s="18" t="n">
        <f aca="false">IF(O28=0,0,W28*27/O28)</f>
        <v>11.5714285714286</v>
      </c>
      <c r="AB28" s="18" t="n">
        <f aca="false">IF(O28=0,0,V28*27/O28)</f>
        <v>1.57142857142857</v>
      </c>
      <c r="AC28" s="18" t="n">
        <f aca="false">IF(V28=0,0,W28/V28)</f>
        <v>7.36363636363636</v>
      </c>
      <c r="AD28" s="18" t="n">
        <f aca="false">IF(P28=0,0,(13*U28+3*(V28+X28)-2*W28)/P28+INDEX(球季參數!$C$2:$C$4,MATCH($A28,球季參數!$A$2:$A$4,0)))</f>
        <v>2.62206349206349</v>
      </c>
      <c r="AE28" s="11" t="n">
        <f aca="false">IF(P28&gt;=INDEX(球季參數!$F$2:$F$4,MATCH($A28,球季參數!$A$2:$A$4,0)),1,0)</f>
        <v>0</v>
      </c>
    </row>
    <row r="29" customFormat="false" ht="15" hidden="false" customHeight="false" outlineLevel="0" collapsed="false">
      <c r="A29" s="5" t="n">
        <v>2024</v>
      </c>
      <c r="B29" s="7" t="s">
        <v>591</v>
      </c>
      <c r="C29" s="10" t="str">
        <f aca="false">INDEX(球員主檔!$B$2:$B$749,MATCH($B29,球員主檔!$A$2:$A$749,0))</f>
        <v>Hugo Okafor</v>
      </c>
      <c r="D29" s="7" t="s">
        <v>350</v>
      </c>
      <c r="E29" s="10" t="str">
        <f aca="false">INDEX(球隊主檔!$C$2:$C$31,MATCH($D29,球隊主檔!$A$2:$A$31,0))</f>
        <v>紐約洋基</v>
      </c>
      <c r="F29" s="10" t="str">
        <f aca="false">INDEX(球隊主檔!$D$2:$D$31,MATCH($D29,球隊主檔!$A$2:$A$31,0))</f>
        <v>美聯</v>
      </c>
      <c r="G29" s="7" t="s">
        <v>507</v>
      </c>
      <c r="H29" s="11" t="n">
        <f aca="false">INT((DATE($A29,7,1)-INDEX(球員主檔!$G$2:$G$749,MATCH($B29,球員主檔!$A$2:$A$749,0)))/365.25)</f>
        <v>28</v>
      </c>
      <c r="I29" s="12" t="n">
        <v>8</v>
      </c>
      <c r="J29" s="12" t="n">
        <v>7</v>
      </c>
      <c r="K29" s="12" t="n">
        <v>5</v>
      </c>
      <c r="L29" s="12" t="n">
        <v>14</v>
      </c>
      <c r="M29" s="12" t="n">
        <v>61</v>
      </c>
      <c r="N29" s="12" t="n">
        <v>0</v>
      </c>
      <c r="O29" s="12" t="n">
        <v>192</v>
      </c>
      <c r="P29" s="16" t="n">
        <f aca="false">O29/3</f>
        <v>64</v>
      </c>
      <c r="Q29" s="17" t="str">
        <f aca="false">INT(O29/3)&amp;"."&amp;MOD(O29,3)</f>
        <v>64.0</v>
      </c>
      <c r="R29" s="12" t="n">
        <v>56</v>
      </c>
      <c r="S29" s="12" t="n">
        <v>33</v>
      </c>
      <c r="T29" s="12" t="n">
        <v>31</v>
      </c>
      <c r="U29" s="12" t="n">
        <v>10</v>
      </c>
      <c r="V29" s="12" t="n">
        <v>20</v>
      </c>
      <c r="W29" s="12" t="n">
        <v>41</v>
      </c>
      <c r="X29" s="12" t="n">
        <v>2</v>
      </c>
      <c r="Y29" s="18" t="n">
        <f aca="false">IF(O29=0,0,T29*27/O29)</f>
        <v>4.359375</v>
      </c>
      <c r="Z29" s="18" t="n">
        <f aca="false">IF(P29=0,0,(V29+R29)/P29)</f>
        <v>1.1875</v>
      </c>
      <c r="AA29" s="18" t="n">
        <f aca="false">IF(O29=0,0,W29*27/O29)</f>
        <v>5.765625</v>
      </c>
      <c r="AB29" s="18" t="n">
        <f aca="false">IF(O29=0,0,V29*27/O29)</f>
        <v>2.8125</v>
      </c>
      <c r="AC29" s="18" t="n">
        <f aca="false">IF(V29=0,0,W29/V29)</f>
        <v>2.05</v>
      </c>
      <c r="AD29" s="18" t="n">
        <f aca="false">IF(P29=0,0,(13*U29+3*(V29+X29)-2*W29)/P29+INDEX(球季參數!$C$2:$C$4,MATCH($A29,球季參數!$A$2:$A$4,0)))</f>
        <v>4.91125</v>
      </c>
      <c r="AE29" s="11" t="n">
        <f aca="false">IF(P29&gt;=INDEX(球季參數!$F$2:$F$4,MATCH($A29,球季參數!$A$2:$A$4,0)),1,0)</f>
        <v>0</v>
      </c>
    </row>
    <row r="30" customFormat="false" ht="15" hidden="false" customHeight="false" outlineLevel="0" collapsed="false">
      <c r="A30" s="5" t="n">
        <v>2024</v>
      </c>
      <c r="B30" s="7" t="s">
        <v>593</v>
      </c>
      <c r="C30" s="10" t="str">
        <f aca="false">INDEX(球員主檔!$B$2:$B$749,MATCH($B30,球員主檔!$A$2:$A$749,0))</f>
        <v>Tobias Ulloa</v>
      </c>
      <c r="D30" s="7" t="s">
        <v>350</v>
      </c>
      <c r="E30" s="10" t="str">
        <f aca="false">INDEX(球隊主檔!$C$2:$C$31,MATCH($D30,球隊主檔!$A$2:$A$31,0))</f>
        <v>紐約洋基</v>
      </c>
      <c r="F30" s="10" t="str">
        <f aca="false">INDEX(球隊主檔!$D$2:$D$31,MATCH($D30,球隊主檔!$A$2:$A$31,0))</f>
        <v>美聯</v>
      </c>
      <c r="G30" s="7" t="s">
        <v>507</v>
      </c>
      <c r="H30" s="11" t="n">
        <f aca="false">INT((DATE($A30,7,1)-INDEX(球員主檔!$G$2:$G$749,MATCH($B30,球員主檔!$A$2:$A$749,0)))/365.25)</f>
        <v>26</v>
      </c>
      <c r="I30" s="12" t="n">
        <v>0</v>
      </c>
      <c r="J30" s="12" t="n">
        <v>4</v>
      </c>
      <c r="K30" s="12" t="n">
        <v>3</v>
      </c>
      <c r="L30" s="12" t="n">
        <v>4</v>
      </c>
      <c r="M30" s="12" t="n">
        <v>58</v>
      </c>
      <c r="N30" s="12" t="n">
        <v>0</v>
      </c>
      <c r="O30" s="12" t="n">
        <v>181</v>
      </c>
      <c r="P30" s="16" t="n">
        <f aca="false">O30/3</f>
        <v>60.3333333333333</v>
      </c>
      <c r="Q30" s="17" t="str">
        <f aca="false">INT(O30/3)&amp;"."&amp;MOD(O30,3)</f>
        <v>60.1</v>
      </c>
      <c r="R30" s="12" t="n">
        <v>46</v>
      </c>
      <c r="S30" s="12" t="n">
        <v>26</v>
      </c>
      <c r="T30" s="12" t="n">
        <v>25</v>
      </c>
      <c r="U30" s="12" t="n">
        <v>7</v>
      </c>
      <c r="V30" s="12" t="n">
        <v>17</v>
      </c>
      <c r="W30" s="12" t="n">
        <v>64</v>
      </c>
      <c r="X30" s="12" t="n">
        <v>1</v>
      </c>
      <c r="Y30" s="18" t="n">
        <f aca="false">IF(O30=0,0,T30*27/O30)</f>
        <v>3.7292817679558</v>
      </c>
      <c r="Z30" s="18" t="n">
        <f aca="false">IF(P30=0,0,(V30+R30)/P30)</f>
        <v>1.04419889502762</v>
      </c>
      <c r="AA30" s="18" t="n">
        <f aca="false">IF(O30=0,0,W30*27/O30)</f>
        <v>9.54696132596685</v>
      </c>
      <c r="AB30" s="18" t="n">
        <f aca="false">IF(O30=0,0,V30*27/O30)</f>
        <v>2.53591160220994</v>
      </c>
      <c r="AC30" s="18" t="n">
        <f aca="false">IF(V30=0,0,W30/V30)</f>
        <v>3.76470588235294</v>
      </c>
      <c r="AD30" s="18" t="n">
        <f aca="false">IF(P30=0,0,(13*U30+3*(V30+X30)-2*W30)/P30+INDEX(球季參數!$C$2:$C$4,MATCH($A30,球季參數!$A$2:$A$4,0)))</f>
        <v>3.4117679558011</v>
      </c>
      <c r="AE30" s="11" t="n">
        <f aca="false">IF(P30&gt;=INDEX(球季參數!$F$2:$F$4,MATCH($A30,球季參數!$A$2:$A$4,0)),1,0)</f>
        <v>0</v>
      </c>
    </row>
    <row r="31" customFormat="false" ht="15" hidden="false" customHeight="false" outlineLevel="0" collapsed="false">
      <c r="A31" s="5" t="n">
        <v>2024</v>
      </c>
      <c r="B31" s="7" t="s">
        <v>595</v>
      </c>
      <c r="C31" s="10" t="str">
        <f aca="false">INDEX(球員主檔!$B$2:$B$749,MATCH($B31,球員主檔!$A$2:$A$749,0))</f>
        <v>Augustin Wainwright</v>
      </c>
      <c r="D31" s="7" t="s">
        <v>350</v>
      </c>
      <c r="E31" s="10" t="str">
        <f aca="false">INDEX(球隊主檔!$C$2:$C$31,MATCH($D31,球隊主檔!$A$2:$A$31,0))</f>
        <v>紐約洋基</v>
      </c>
      <c r="F31" s="10" t="str">
        <f aca="false">INDEX(球隊主檔!$D$2:$D$31,MATCH($D31,球隊主檔!$A$2:$A$31,0))</f>
        <v>美聯</v>
      </c>
      <c r="G31" s="7" t="s">
        <v>507</v>
      </c>
      <c r="H31" s="11" t="n">
        <f aca="false">INT((DATE($A31,7,1)-INDEX(球員主檔!$G$2:$G$749,MATCH($B31,球員主檔!$A$2:$A$749,0)))/365.25)</f>
        <v>28</v>
      </c>
      <c r="I31" s="12" t="n">
        <v>2</v>
      </c>
      <c r="J31" s="12" t="n">
        <v>2</v>
      </c>
      <c r="K31" s="12" t="n">
        <v>2</v>
      </c>
      <c r="L31" s="12" t="n">
        <v>22</v>
      </c>
      <c r="M31" s="12" t="n">
        <v>74</v>
      </c>
      <c r="N31" s="12" t="n">
        <v>0</v>
      </c>
      <c r="O31" s="12" t="n">
        <v>216</v>
      </c>
      <c r="P31" s="16" t="n">
        <f aca="false">O31/3</f>
        <v>72</v>
      </c>
      <c r="Q31" s="17" t="str">
        <f aca="false">INT(O31/3)&amp;"."&amp;MOD(O31,3)</f>
        <v>72.0</v>
      </c>
      <c r="R31" s="12" t="n">
        <v>56</v>
      </c>
      <c r="S31" s="12" t="n">
        <v>31</v>
      </c>
      <c r="T31" s="12" t="n">
        <v>31</v>
      </c>
      <c r="U31" s="12" t="n">
        <v>10</v>
      </c>
      <c r="V31" s="12" t="n">
        <v>18</v>
      </c>
      <c r="W31" s="12" t="n">
        <v>58</v>
      </c>
      <c r="X31" s="12" t="n">
        <v>3</v>
      </c>
      <c r="Y31" s="18" t="n">
        <f aca="false">IF(O31=0,0,T31*27/O31)</f>
        <v>3.875</v>
      </c>
      <c r="Z31" s="18" t="n">
        <f aca="false">IF(P31=0,0,(V31+R31)/P31)</f>
        <v>1.02777777777778</v>
      </c>
      <c r="AA31" s="18" t="n">
        <f aca="false">IF(O31=0,0,W31*27/O31)</f>
        <v>7.25</v>
      </c>
      <c r="AB31" s="18" t="n">
        <f aca="false">IF(O31=0,0,V31*27/O31)</f>
        <v>2.25</v>
      </c>
      <c r="AC31" s="18" t="n">
        <f aca="false">IF(V31=0,0,W31/V31)</f>
        <v>3.22222222222222</v>
      </c>
      <c r="AD31" s="18" t="n">
        <f aca="false">IF(P31=0,0,(13*U31+3*(V31+X31)-2*W31)/P31+INDEX(球季參數!$C$2:$C$4,MATCH($A31,球季參數!$A$2:$A$4,0)))</f>
        <v>4.19944444444444</v>
      </c>
      <c r="AE31" s="11" t="n">
        <f aca="false">IF(P31&gt;=INDEX(球季參數!$F$2:$F$4,MATCH($A31,球季參數!$A$2:$A$4,0)),1,0)</f>
        <v>0</v>
      </c>
    </row>
    <row r="32" customFormat="false" ht="15" hidden="false" customHeight="false" outlineLevel="0" collapsed="false">
      <c r="A32" s="5" t="n">
        <v>2024</v>
      </c>
      <c r="B32" s="7" t="s">
        <v>617</v>
      </c>
      <c r="C32" s="10" t="str">
        <f aca="false">INDEX(球員主檔!$B$2:$B$749,MATCH($B32,球員主檔!$A$2:$A$749,0))</f>
        <v>Thaddeus Yamazaki</v>
      </c>
      <c r="D32" s="7" t="s">
        <v>354</v>
      </c>
      <c r="E32" s="10" t="str">
        <f aca="false">INDEX(球隊主檔!$C$2:$C$31,MATCH($D32,球隊主檔!$A$2:$A$31,0))</f>
        <v>坦帕灣光芒</v>
      </c>
      <c r="F32" s="10" t="str">
        <f aca="false">INDEX(球隊主檔!$D$2:$D$31,MATCH($D32,球隊主檔!$A$2:$A$31,0))</f>
        <v>美聯</v>
      </c>
      <c r="G32" s="7" t="s">
        <v>496</v>
      </c>
      <c r="H32" s="11" t="n">
        <f aca="false">INT((DATE($A32,7,1)-INDEX(球員主檔!$G$2:$G$749,MATCH($B32,球員主檔!$A$2:$A$749,0)))/365.25)</f>
        <v>30</v>
      </c>
      <c r="I32" s="12" t="n">
        <v>9</v>
      </c>
      <c r="J32" s="12" t="n">
        <v>7</v>
      </c>
      <c r="K32" s="12" t="n">
        <v>0</v>
      </c>
      <c r="L32" s="12" t="n">
        <v>0</v>
      </c>
      <c r="M32" s="12" t="n">
        <v>23</v>
      </c>
      <c r="N32" s="12" t="n">
        <v>23</v>
      </c>
      <c r="O32" s="12" t="n">
        <v>416</v>
      </c>
      <c r="P32" s="16" t="n">
        <f aca="false">O32/3</f>
        <v>138.666666666667</v>
      </c>
      <c r="Q32" s="17" t="str">
        <f aca="false">INT(O32/3)&amp;"."&amp;MOD(O32,3)</f>
        <v>138.2</v>
      </c>
      <c r="R32" s="12" t="n">
        <v>116</v>
      </c>
      <c r="S32" s="12" t="n">
        <v>78</v>
      </c>
      <c r="T32" s="12" t="n">
        <v>71</v>
      </c>
      <c r="U32" s="12" t="n">
        <v>11</v>
      </c>
      <c r="V32" s="12" t="n">
        <v>23</v>
      </c>
      <c r="W32" s="12" t="n">
        <v>111</v>
      </c>
      <c r="X32" s="12" t="n">
        <v>6</v>
      </c>
      <c r="Y32" s="18" t="n">
        <f aca="false">IF(O32=0,0,T32*27/O32)</f>
        <v>4.60817307692308</v>
      </c>
      <c r="Z32" s="18" t="n">
        <f aca="false">IF(P32=0,0,(V32+R32)/P32)</f>
        <v>1.00240384615385</v>
      </c>
      <c r="AA32" s="18" t="n">
        <f aca="false">IF(O32=0,0,W32*27/O32)</f>
        <v>7.20432692307692</v>
      </c>
      <c r="AB32" s="18" t="n">
        <f aca="false">IF(O32=0,0,V32*27/O32)</f>
        <v>1.49278846153846</v>
      </c>
      <c r="AC32" s="18" t="n">
        <f aca="false">IF(V32=0,0,W32/V32)</f>
        <v>4.82608695652174</v>
      </c>
      <c r="AD32" s="18" t="n">
        <f aca="false">IF(P32=0,0,(13*U32+3*(V32+X32)-2*W32)/P32+INDEX(球季參數!$C$2:$C$4,MATCH($A32,球季參數!$A$2:$A$4,0)))</f>
        <v>3.18769230769231</v>
      </c>
      <c r="AE32" s="11" t="n">
        <f aca="false">IF(P32&gt;=INDEX(球季參數!$F$2:$F$4,MATCH($A32,球季參數!$A$2:$A$4,0)),1,0)</f>
        <v>0</v>
      </c>
    </row>
    <row r="33" customFormat="false" ht="15" hidden="false" customHeight="false" outlineLevel="0" collapsed="false">
      <c r="A33" s="5" t="n">
        <v>2024</v>
      </c>
      <c r="B33" s="7" t="s">
        <v>619</v>
      </c>
      <c r="C33" s="10" t="str">
        <f aca="false">INDEX(球員主檔!$B$2:$B$749,MATCH($B33,球員主檔!$A$2:$A$749,0))</f>
        <v>Quentin Lindquist</v>
      </c>
      <c r="D33" s="7" t="s">
        <v>354</v>
      </c>
      <c r="E33" s="10" t="str">
        <f aca="false">INDEX(球隊主檔!$C$2:$C$31,MATCH($D33,球隊主檔!$A$2:$A$31,0))</f>
        <v>坦帕灣光芒</v>
      </c>
      <c r="F33" s="10" t="str">
        <f aca="false">INDEX(球隊主檔!$D$2:$D$31,MATCH($D33,球隊主檔!$A$2:$A$31,0))</f>
        <v>美聯</v>
      </c>
      <c r="G33" s="7" t="s">
        <v>496</v>
      </c>
      <c r="H33" s="11" t="n">
        <f aca="false">INT((DATE($A33,7,1)-INDEX(球員主檔!$G$2:$G$749,MATCH($B33,球員主檔!$A$2:$A$749,0)))/365.25)</f>
        <v>34</v>
      </c>
      <c r="I33" s="12" t="n">
        <v>9</v>
      </c>
      <c r="J33" s="12" t="n">
        <v>7</v>
      </c>
      <c r="K33" s="12" t="n">
        <v>0</v>
      </c>
      <c r="L33" s="12" t="n">
        <v>0</v>
      </c>
      <c r="M33" s="12" t="n">
        <v>24</v>
      </c>
      <c r="N33" s="12" t="n">
        <v>24</v>
      </c>
      <c r="O33" s="12" t="n">
        <v>448</v>
      </c>
      <c r="P33" s="16" t="n">
        <f aca="false">O33/3</f>
        <v>149.333333333333</v>
      </c>
      <c r="Q33" s="17" t="str">
        <f aca="false">INT(O33/3)&amp;"."&amp;MOD(O33,3)</f>
        <v>149.1</v>
      </c>
      <c r="R33" s="12" t="n">
        <v>116</v>
      </c>
      <c r="S33" s="12" t="n">
        <v>72</v>
      </c>
      <c r="T33" s="12" t="n">
        <v>69</v>
      </c>
      <c r="U33" s="12" t="n">
        <v>23</v>
      </c>
      <c r="V33" s="12" t="n">
        <v>37</v>
      </c>
      <c r="W33" s="12" t="n">
        <v>161</v>
      </c>
      <c r="X33" s="12" t="n">
        <v>3</v>
      </c>
      <c r="Y33" s="18" t="n">
        <f aca="false">IF(O33=0,0,T33*27/O33)</f>
        <v>4.15848214285714</v>
      </c>
      <c r="Z33" s="18" t="n">
        <f aca="false">IF(P33=0,0,(V33+R33)/P33)</f>
        <v>1.02455357142857</v>
      </c>
      <c r="AA33" s="18" t="n">
        <f aca="false">IF(O33=0,0,W33*27/O33)</f>
        <v>9.703125</v>
      </c>
      <c r="AB33" s="18" t="n">
        <f aca="false">IF(O33=0,0,V33*27/O33)</f>
        <v>2.22991071428571</v>
      </c>
      <c r="AC33" s="18" t="n">
        <f aca="false">IF(V33=0,0,W33/V33)</f>
        <v>4.35135135135135</v>
      </c>
      <c r="AD33" s="18" t="n">
        <f aca="false">IF(P33=0,0,(13*U33+3*(V33+X33)-2*W33)/P33+INDEX(球季參數!$C$2:$C$4,MATCH($A33,球季參數!$A$2:$A$4,0)))</f>
        <v>3.77955357142857</v>
      </c>
      <c r="AE33" s="11" t="n">
        <f aca="false">IF(P33&gt;=INDEX(球季參數!$F$2:$F$4,MATCH($A33,球季參數!$A$2:$A$4,0)),1,0)</f>
        <v>0</v>
      </c>
    </row>
    <row r="34" customFormat="false" ht="15" hidden="false" customHeight="false" outlineLevel="0" collapsed="false">
      <c r="A34" s="5" t="n">
        <v>2024</v>
      </c>
      <c r="B34" s="7" t="s">
        <v>621</v>
      </c>
      <c r="C34" s="10" t="str">
        <f aca="false">INDEX(球員主檔!$B$2:$B$749,MATCH($B34,球員主檔!$A$2:$A$749,0))</f>
        <v>Caspian Montalvo</v>
      </c>
      <c r="D34" s="7" t="s">
        <v>354</v>
      </c>
      <c r="E34" s="10" t="str">
        <f aca="false">INDEX(球隊主檔!$C$2:$C$31,MATCH($D34,球隊主檔!$A$2:$A$31,0))</f>
        <v>坦帕灣光芒</v>
      </c>
      <c r="F34" s="10" t="str">
        <f aca="false">INDEX(球隊主檔!$D$2:$D$31,MATCH($D34,球隊主檔!$A$2:$A$31,0))</f>
        <v>美聯</v>
      </c>
      <c r="G34" s="7" t="s">
        <v>496</v>
      </c>
      <c r="H34" s="11" t="n">
        <f aca="false">INT((DATE($A34,7,1)-INDEX(球員主檔!$G$2:$G$749,MATCH($B34,球員主檔!$A$2:$A$749,0)))/365.25)</f>
        <v>34</v>
      </c>
      <c r="I34" s="12" t="n">
        <v>12</v>
      </c>
      <c r="J34" s="12" t="n">
        <v>6</v>
      </c>
      <c r="K34" s="12" t="n">
        <v>0</v>
      </c>
      <c r="L34" s="12" t="n">
        <v>0</v>
      </c>
      <c r="M34" s="12" t="n">
        <v>31</v>
      </c>
      <c r="N34" s="12" t="n">
        <v>31</v>
      </c>
      <c r="O34" s="12" t="n">
        <v>508</v>
      </c>
      <c r="P34" s="16" t="n">
        <f aca="false">O34/3</f>
        <v>169.333333333333</v>
      </c>
      <c r="Q34" s="17" t="str">
        <f aca="false">INT(O34/3)&amp;"."&amp;MOD(O34,3)</f>
        <v>169.1</v>
      </c>
      <c r="R34" s="12" t="n">
        <v>150</v>
      </c>
      <c r="S34" s="12" t="n">
        <v>76</v>
      </c>
      <c r="T34" s="12" t="n">
        <v>75</v>
      </c>
      <c r="U34" s="12" t="n">
        <v>19</v>
      </c>
      <c r="V34" s="12" t="n">
        <v>65</v>
      </c>
      <c r="W34" s="12" t="n">
        <v>120</v>
      </c>
      <c r="X34" s="12" t="n">
        <v>9</v>
      </c>
      <c r="Y34" s="18" t="n">
        <f aca="false">IF(O34=0,0,T34*27/O34)</f>
        <v>3.98622047244095</v>
      </c>
      <c r="Z34" s="18" t="n">
        <f aca="false">IF(P34=0,0,(V34+R34)/P34)</f>
        <v>1.26968503937008</v>
      </c>
      <c r="AA34" s="18" t="n">
        <f aca="false">IF(O34=0,0,W34*27/O34)</f>
        <v>6.37795275590551</v>
      </c>
      <c r="AB34" s="18" t="n">
        <f aca="false">IF(O34=0,0,V34*27/O34)</f>
        <v>3.45472440944882</v>
      </c>
      <c r="AC34" s="18" t="n">
        <f aca="false">IF(V34=0,0,W34/V34)</f>
        <v>1.84615384615385</v>
      </c>
      <c r="AD34" s="18" t="n">
        <f aca="false">IF(P34=0,0,(13*U34+3*(V34+X34)-2*W34)/P34+INDEX(球季參數!$C$2:$C$4,MATCH($A34,球季參數!$A$2:$A$4,0)))</f>
        <v>4.48236220472441</v>
      </c>
      <c r="AE34" s="11" t="n">
        <f aca="false">IF(P34&gt;=INDEX(球季參數!$F$2:$F$4,MATCH($A34,球季參數!$A$2:$A$4,0)),1,0)</f>
        <v>1</v>
      </c>
    </row>
    <row r="35" customFormat="false" ht="15" hidden="false" customHeight="false" outlineLevel="0" collapsed="false">
      <c r="A35" s="5" t="n">
        <v>2024</v>
      </c>
      <c r="B35" s="7" t="s">
        <v>623</v>
      </c>
      <c r="C35" s="10" t="str">
        <f aca="false">INDEX(球員主檔!$B$2:$B$749,MATCH($B35,球員主檔!$A$2:$A$749,0))</f>
        <v>Alonso Lindquist</v>
      </c>
      <c r="D35" s="7" t="s">
        <v>354</v>
      </c>
      <c r="E35" s="10" t="str">
        <f aca="false">INDEX(球隊主檔!$C$2:$C$31,MATCH($D35,球隊主檔!$A$2:$A$31,0))</f>
        <v>坦帕灣光芒</v>
      </c>
      <c r="F35" s="10" t="str">
        <f aca="false">INDEX(球隊主檔!$D$2:$D$31,MATCH($D35,球隊主檔!$A$2:$A$31,0))</f>
        <v>美聯</v>
      </c>
      <c r="G35" s="7" t="s">
        <v>496</v>
      </c>
      <c r="H35" s="11" t="n">
        <f aca="false">INT((DATE($A35,7,1)-INDEX(球員主檔!$G$2:$G$749,MATCH($B35,球員主檔!$A$2:$A$749,0)))/365.25)</f>
        <v>26</v>
      </c>
      <c r="I35" s="12" t="n">
        <v>9</v>
      </c>
      <c r="J35" s="12" t="n">
        <v>8</v>
      </c>
      <c r="K35" s="12" t="n">
        <v>0</v>
      </c>
      <c r="L35" s="12" t="n">
        <v>0</v>
      </c>
      <c r="M35" s="12" t="n">
        <v>30</v>
      </c>
      <c r="N35" s="12" t="n">
        <v>30</v>
      </c>
      <c r="O35" s="12" t="n">
        <v>443</v>
      </c>
      <c r="P35" s="16" t="n">
        <f aca="false">O35/3</f>
        <v>147.666666666667</v>
      </c>
      <c r="Q35" s="17" t="str">
        <f aca="false">INT(O35/3)&amp;"."&amp;MOD(O35,3)</f>
        <v>147.2</v>
      </c>
      <c r="R35" s="12" t="n">
        <v>120</v>
      </c>
      <c r="S35" s="12" t="n">
        <v>76</v>
      </c>
      <c r="T35" s="12" t="n">
        <v>67</v>
      </c>
      <c r="U35" s="12" t="n">
        <v>20</v>
      </c>
      <c r="V35" s="12" t="n">
        <v>30</v>
      </c>
      <c r="W35" s="12" t="n">
        <v>131</v>
      </c>
      <c r="X35" s="12" t="n">
        <v>5</v>
      </c>
      <c r="Y35" s="18" t="n">
        <f aca="false">IF(O35=0,0,T35*27/O35)</f>
        <v>4.08352144469526</v>
      </c>
      <c r="Z35" s="18" t="n">
        <f aca="false">IF(P35=0,0,(V35+R35)/P35)</f>
        <v>1.01580135440181</v>
      </c>
      <c r="AA35" s="18" t="n">
        <f aca="false">IF(O35=0,0,W35*27/O35)</f>
        <v>7.98419864559819</v>
      </c>
      <c r="AB35" s="18" t="n">
        <f aca="false">IF(O35=0,0,V35*27/O35)</f>
        <v>1.82844243792325</v>
      </c>
      <c r="AC35" s="18" t="n">
        <f aca="false">IF(V35=0,0,W35/V35)</f>
        <v>4.36666666666667</v>
      </c>
      <c r="AD35" s="18" t="n">
        <f aca="false">IF(P35=0,0,(13*U35+3*(V35+X35)-2*W35)/P35+INDEX(球季參數!$C$2:$C$4,MATCH($A35,球季參數!$A$2:$A$4,0)))</f>
        <v>3.82751693002257</v>
      </c>
      <c r="AE35" s="11" t="n">
        <f aca="false">IF(P35&gt;=INDEX(球季參數!$F$2:$F$4,MATCH($A35,球季參數!$A$2:$A$4,0)),1,0)</f>
        <v>0</v>
      </c>
    </row>
    <row r="36" customFormat="false" ht="15" hidden="false" customHeight="false" outlineLevel="0" collapsed="false">
      <c r="A36" s="5" t="n">
        <v>2024</v>
      </c>
      <c r="B36" s="7" t="s">
        <v>625</v>
      </c>
      <c r="C36" s="10" t="str">
        <f aca="false">INDEX(球員主檔!$B$2:$B$749,MATCH($B36,球員主檔!$A$2:$A$749,0))</f>
        <v>Dimitri Gallimore</v>
      </c>
      <c r="D36" s="7" t="s">
        <v>354</v>
      </c>
      <c r="E36" s="10" t="str">
        <f aca="false">INDEX(球隊主檔!$C$2:$C$31,MATCH($D36,球隊主檔!$A$2:$A$31,0))</f>
        <v>坦帕灣光芒</v>
      </c>
      <c r="F36" s="10" t="str">
        <f aca="false">INDEX(球隊主檔!$D$2:$D$31,MATCH($D36,球隊主檔!$A$2:$A$31,0))</f>
        <v>美聯</v>
      </c>
      <c r="G36" s="7" t="s">
        <v>496</v>
      </c>
      <c r="H36" s="11" t="n">
        <f aca="false">INT((DATE($A36,7,1)-INDEX(球員主檔!$G$2:$G$749,MATCH($B36,球員主檔!$A$2:$A$749,0)))/365.25)</f>
        <v>30</v>
      </c>
      <c r="I36" s="12" t="n">
        <v>14</v>
      </c>
      <c r="J36" s="12" t="n">
        <v>6</v>
      </c>
      <c r="K36" s="12" t="n">
        <v>0</v>
      </c>
      <c r="L36" s="12" t="n">
        <v>0</v>
      </c>
      <c r="M36" s="12" t="n">
        <v>29</v>
      </c>
      <c r="N36" s="12" t="n">
        <v>29</v>
      </c>
      <c r="O36" s="12" t="n">
        <v>512</v>
      </c>
      <c r="P36" s="16" t="n">
        <f aca="false">O36/3</f>
        <v>170.666666666667</v>
      </c>
      <c r="Q36" s="17" t="str">
        <f aca="false">INT(O36/3)&amp;"."&amp;MOD(O36,3)</f>
        <v>170.2</v>
      </c>
      <c r="R36" s="12" t="n">
        <v>138</v>
      </c>
      <c r="S36" s="12" t="n">
        <v>73</v>
      </c>
      <c r="T36" s="12" t="n">
        <v>72</v>
      </c>
      <c r="U36" s="12" t="n">
        <v>23</v>
      </c>
      <c r="V36" s="12" t="n">
        <v>44</v>
      </c>
      <c r="W36" s="12" t="n">
        <v>210</v>
      </c>
      <c r="X36" s="12" t="n">
        <v>8</v>
      </c>
      <c r="Y36" s="18" t="n">
        <f aca="false">IF(O36=0,0,T36*27/O36)</f>
        <v>3.796875</v>
      </c>
      <c r="Z36" s="18" t="n">
        <f aca="false">IF(P36=0,0,(V36+R36)/P36)</f>
        <v>1.06640625</v>
      </c>
      <c r="AA36" s="18" t="n">
        <f aca="false">IF(O36=0,0,W36*27/O36)</f>
        <v>11.07421875</v>
      </c>
      <c r="AB36" s="18" t="n">
        <f aca="false">IF(O36=0,0,V36*27/O36)</f>
        <v>2.3203125</v>
      </c>
      <c r="AC36" s="18" t="n">
        <f aca="false">IF(V36=0,0,W36/V36)</f>
        <v>4.77272727272727</v>
      </c>
      <c r="AD36" s="18" t="n">
        <f aca="false">IF(P36=0,0,(13*U36+3*(V36+X36)-2*W36)/P36+INDEX(球季參數!$C$2:$C$4,MATCH($A36,球季參數!$A$2:$A$4,0)))</f>
        <v>3.335078125</v>
      </c>
      <c r="AE36" s="11" t="n">
        <f aca="false">IF(P36&gt;=INDEX(球季參數!$F$2:$F$4,MATCH($A36,球季參數!$A$2:$A$4,0)),1,0)</f>
        <v>1</v>
      </c>
    </row>
    <row r="37" customFormat="false" ht="15" hidden="false" customHeight="false" outlineLevel="0" collapsed="false">
      <c r="A37" s="5" t="n">
        <v>2024</v>
      </c>
      <c r="B37" s="7" t="s">
        <v>627</v>
      </c>
      <c r="C37" s="10" t="str">
        <f aca="false">INDEX(球員主檔!$B$2:$B$749,MATCH($B37,球員主檔!$A$2:$A$749,0))</f>
        <v>Minjae Lindquist</v>
      </c>
      <c r="D37" s="7" t="s">
        <v>354</v>
      </c>
      <c r="E37" s="10" t="str">
        <f aca="false">INDEX(球隊主檔!$C$2:$C$31,MATCH($D37,球隊主檔!$A$2:$A$31,0))</f>
        <v>坦帕灣光芒</v>
      </c>
      <c r="F37" s="10" t="str">
        <f aca="false">INDEX(球隊主檔!$D$2:$D$31,MATCH($D37,球隊主檔!$A$2:$A$31,0))</f>
        <v>美聯</v>
      </c>
      <c r="G37" s="7" t="s">
        <v>507</v>
      </c>
      <c r="H37" s="11" t="n">
        <f aca="false">INT((DATE($A37,7,1)-INDEX(球員主檔!$G$2:$G$749,MATCH($B37,球員主檔!$A$2:$A$749,0)))/365.25)</f>
        <v>26</v>
      </c>
      <c r="I37" s="12" t="n">
        <v>9</v>
      </c>
      <c r="J37" s="12" t="n">
        <v>1</v>
      </c>
      <c r="K37" s="12" t="n">
        <v>3</v>
      </c>
      <c r="L37" s="12" t="n">
        <v>26</v>
      </c>
      <c r="M37" s="12" t="n">
        <v>44</v>
      </c>
      <c r="N37" s="12" t="n">
        <v>0</v>
      </c>
      <c r="O37" s="12" t="n">
        <v>125</v>
      </c>
      <c r="P37" s="16" t="n">
        <f aca="false">O37/3</f>
        <v>41.6666666666667</v>
      </c>
      <c r="Q37" s="17" t="str">
        <f aca="false">INT(O37/3)&amp;"."&amp;MOD(O37,3)</f>
        <v>41.2</v>
      </c>
      <c r="R37" s="12" t="n">
        <v>35</v>
      </c>
      <c r="S37" s="12" t="n">
        <v>24</v>
      </c>
      <c r="T37" s="12" t="n">
        <v>22</v>
      </c>
      <c r="U37" s="12" t="n">
        <v>5</v>
      </c>
      <c r="V37" s="12" t="n">
        <v>13</v>
      </c>
      <c r="W37" s="12" t="n">
        <v>47</v>
      </c>
      <c r="X37" s="12" t="n">
        <v>3</v>
      </c>
      <c r="Y37" s="18" t="n">
        <f aca="false">IF(O37=0,0,T37*27/O37)</f>
        <v>4.752</v>
      </c>
      <c r="Z37" s="18" t="n">
        <f aca="false">IF(P37=0,0,(V37+R37)/P37)</f>
        <v>1.152</v>
      </c>
      <c r="AA37" s="18" t="n">
        <f aca="false">IF(O37=0,0,W37*27/O37)</f>
        <v>10.152</v>
      </c>
      <c r="AB37" s="18" t="n">
        <f aca="false">IF(O37=0,0,V37*27/O37)</f>
        <v>2.808</v>
      </c>
      <c r="AC37" s="18" t="n">
        <f aca="false">IF(V37=0,0,W37/V37)</f>
        <v>3.61538461538462</v>
      </c>
      <c r="AD37" s="18" t="n">
        <f aca="false">IF(P37=0,0,(13*U37+3*(V37+X37)-2*W37)/P37+INDEX(球季參數!$C$2:$C$4,MATCH($A37,球季參數!$A$2:$A$4,0)))</f>
        <v>3.586</v>
      </c>
      <c r="AE37" s="11" t="n">
        <f aca="false">IF(P37&gt;=INDEX(球季參數!$F$2:$F$4,MATCH($A37,球季參數!$A$2:$A$4,0)),1,0)</f>
        <v>0</v>
      </c>
    </row>
    <row r="38" customFormat="false" ht="15" hidden="false" customHeight="false" outlineLevel="0" collapsed="false">
      <c r="A38" s="5" t="n">
        <v>2024</v>
      </c>
      <c r="B38" s="7" t="s">
        <v>629</v>
      </c>
      <c r="C38" s="10" t="str">
        <f aca="false">INDEX(球員主檔!$B$2:$B$749,MATCH($B38,球員主檔!$A$2:$A$749,0))</f>
        <v>Wendell Yoshinaga</v>
      </c>
      <c r="D38" s="7" t="s">
        <v>354</v>
      </c>
      <c r="E38" s="10" t="str">
        <f aca="false">INDEX(球隊主檔!$C$2:$C$31,MATCH($D38,球隊主檔!$A$2:$A$31,0))</f>
        <v>坦帕灣光芒</v>
      </c>
      <c r="F38" s="10" t="str">
        <f aca="false">INDEX(球隊主檔!$D$2:$D$31,MATCH($D38,球隊主檔!$A$2:$A$31,0))</f>
        <v>美聯</v>
      </c>
      <c r="G38" s="7" t="s">
        <v>507</v>
      </c>
      <c r="H38" s="11" t="n">
        <f aca="false">INT((DATE($A38,7,1)-INDEX(球員主檔!$G$2:$G$749,MATCH($B38,球員主檔!$A$2:$A$749,0)))/365.25)</f>
        <v>24</v>
      </c>
      <c r="I38" s="12" t="n">
        <v>4</v>
      </c>
      <c r="J38" s="12" t="n">
        <v>5</v>
      </c>
      <c r="K38" s="12" t="n">
        <v>1</v>
      </c>
      <c r="L38" s="12" t="n">
        <v>27</v>
      </c>
      <c r="M38" s="12" t="n">
        <v>46</v>
      </c>
      <c r="N38" s="12" t="n">
        <v>0</v>
      </c>
      <c r="O38" s="12" t="n">
        <v>152</v>
      </c>
      <c r="P38" s="16" t="n">
        <f aca="false">O38/3</f>
        <v>50.6666666666667</v>
      </c>
      <c r="Q38" s="17" t="str">
        <f aca="false">INT(O38/3)&amp;"."&amp;MOD(O38,3)</f>
        <v>50.2</v>
      </c>
      <c r="R38" s="12" t="n">
        <v>42</v>
      </c>
      <c r="S38" s="12" t="n">
        <v>27</v>
      </c>
      <c r="T38" s="12" t="n">
        <v>26</v>
      </c>
      <c r="U38" s="12" t="n">
        <v>4</v>
      </c>
      <c r="V38" s="12" t="n">
        <v>22</v>
      </c>
      <c r="W38" s="12" t="n">
        <v>73</v>
      </c>
      <c r="X38" s="12" t="n">
        <v>1</v>
      </c>
      <c r="Y38" s="18" t="n">
        <f aca="false">IF(O38=0,0,T38*27/O38)</f>
        <v>4.61842105263158</v>
      </c>
      <c r="Z38" s="18" t="n">
        <f aca="false">IF(P38=0,0,(V38+R38)/P38)</f>
        <v>1.26315789473684</v>
      </c>
      <c r="AA38" s="18" t="n">
        <f aca="false">IF(O38=0,0,W38*27/O38)</f>
        <v>12.9671052631579</v>
      </c>
      <c r="AB38" s="18" t="n">
        <f aca="false">IF(O38=0,0,V38*27/O38)</f>
        <v>3.90789473684211</v>
      </c>
      <c r="AC38" s="18" t="n">
        <f aca="false">IF(V38=0,0,W38/V38)</f>
        <v>3.31818181818182</v>
      </c>
      <c r="AD38" s="18" t="n">
        <f aca="false">IF(P38=0,0,(13*U38+3*(V38+X38)-2*W38)/P38+INDEX(球季參數!$C$2:$C$4,MATCH($A38,球季參數!$A$2:$A$4,0)))</f>
        <v>2.63657894736842</v>
      </c>
      <c r="AE38" s="11" t="n">
        <f aca="false">IF(P38&gt;=INDEX(球季參數!$F$2:$F$4,MATCH($A38,球季參數!$A$2:$A$4,0)),1,0)</f>
        <v>0</v>
      </c>
    </row>
    <row r="39" customFormat="false" ht="15" hidden="false" customHeight="false" outlineLevel="0" collapsed="false">
      <c r="A39" s="5" t="n">
        <v>2024</v>
      </c>
      <c r="B39" s="7" t="s">
        <v>631</v>
      </c>
      <c r="C39" s="10" t="str">
        <f aca="false">INDEX(球員主檔!$B$2:$B$749,MATCH($B39,球員主檔!$A$2:$A$749,0))</f>
        <v>Osvaldo Caldera</v>
      </c>
      <c r="D39" s="7" t="s">
        <v>354</v>
      </c>
      <c r="E39" s="10" t="str">
        <f aca="false">INDEX(球隊主檔!$C$2:$C$31,MATCH($D39,球隊主檔!$A$2:$A$31,0))</f>
        <v>坦帕灣光芒</v>
      </c>
      <c r="F39" s="10" t="str">
        <f aca="false">INDEX(球隊主檔!$D$2:$D$31,MATCH($D39,球隊主檔!$A$2:$A$31,0))</f>
        <v>美聯</v>
      </c>
      <c r="G39" s="7" t="s">
        <v>507</v>
      </c>
      <c r="H39" s="11" t="n">
        <f aca="false">INT((DATE($A39,7,1)-INDEX(球員主檔!$G$2:$G$749,MATCH($B39,球員主檔!$A$2:$A$749,0)))/365.25)</f>
        <v>31</v>
      </c>
      <c r="I39" s="12" t="n">
        <v>0</v>
      </c>
      <c r="J39" s="12" t="n">
        <v>6</v>
      </c>
      <c r="K39" s="12" t="n">
        <v>6</v>
      </c>
      <c r="L39" s="12" t="n">
        <v>7</v>
      </c>
      <c r="M39" s="12" t="n">
        <v>71</v>
      </c>
      <c r="N39" s="12" t="n">
        <v>0</v>
      </c>
      <c r="O39" s="12" t="n">
        <v>221</v>
      </c>
      <c r="P39" s="16" t="n">
        <f aca="false">O39/3</f>
        <v>73.6666666666667</v>
      </c>
      <c r="Q39" s="17" t="str">
        <f aca="false">INT(O39/3)&amp;"."&amp;MOD(O39,3)</f>
        <v>73.2</v>
      </c>
      <c r="R39" s="12" t="n">
        <v>66</v>
      </c>
      <c r="S39" s="12" t="n">
        <v>47</v>
      </c>
      <c r="T39" s="12" t="n">
        <v>43</v>
      </c>
      <c r="U39" s="12" t="n">
        <v>13</v>
      </c>
      <c r="V39" s="12" t="n">
        <v>10</v>
      </c>
      <c r="W39" s="12" t="n">
        <v>93</v>
      </c>
      <c r="X39" s="12" t="n">
        <v>4</v>
      </c>
      <c r="Y39" s="18" t="n">
        <f aca="false">IF(O39=0,0,T39*27/O39)</f>
        <v>5.25339366515837</v>
      </c>
      <c r="Z39" s="18" t="n">
        <f aca="false">IF(P39=0,0,(V39+R39)/P39)</f>
        <v>1.0316742081448</v>
      </c>
      <c r="AA39" s="18" t="n">
        <f aca="false">IF(O39=0,0,W39*27/O39)</f>
        <v>11.3619909502262</v>
      </c>
      <c r="AB39" s="18" t="n">
        <f aca="false">IF(O39=0,0,V39*27/O39)</f>
        <v>1.22171945701357</v>
      </c>
      <c r="AC39" s="18" t="n">
        <f aca="false">IF(V39=0,0,W39/V39)</f>
        <v>9.3</v>
      </c>
      <c r="AD39" s="18" t="n">
        <f aca="false">IF(P39=0,0,(13*U39+3*(V39+X39)-2*W39)/P39+INDEX(球季參數!$C$2:$C$4,MATCH($A39,球季參數!$A$2:$A$4,0)))</f>
        <v>3.4693665158371</v>
      </c>
      <c r="AE39" s="11" t="n">
        <f aca="false">IF(P39&gt;=INDEX(球季參數!$F$2:$F$4,MATCH($A39,球季參數!$A$2:$A$4,0)),1,0)</f>
        <v>0</v>
      </c>
    </row>
    <row r="40" customFormat="false" ht="15" hidden="false" customHeight="false" outlineLevel="0" collapsed="false">
      <c r="A40" s="5" t="n">
        <v>2024</v>
      </c>
      <c r="B40" s="7" t="s">
        <v>633</v>
      </c>
      <c r="C40" s="10" t="str">
        <f aca="false">INDEX(球員主檔!$B$2:$B$749,MATCH($B40,球員主檔!$A$2:$A$749,0))</f>
        <v>Dorian Zamarripa</v>
      </c>
      <c r="D40" s="7" t="s">
        <v>354</v>
      </c>
      <c r="E40" s="10" t="str">
        <f aca="false">INDEX(球隊主檔!$C$2:$C$31,MATCH($D40,球隊主檔!$A$2:$A$31,0))</f>
        <v>坦帕灣光芒</v>
      </c>
      <c r="F40" s="10" t="str">
        <f aca="false">INDEX(球隊主檔!$D$2:$D$31,MATCH($D40,球隊主檔!$A$2:$A$31,0))</f>
        <v>美聯</v>
      </c>
      <c r="G40" s="7" t="s">
        <v>507</v>
      </c>
      <c r="H40" s="11" t="n">
        <f aca="false">INT((DATE($A40,7,1)-INDEX(球員主檔!$G$2:$G$749,MATCH($B40,球員主檔!$A$2:$A$749,0)))/365.25)</f>
        <v>27</v>
      </c>
      <c r="I40" s="12" t="n">
        <v>6</v>
      </c>
      <c r="J40" s="12" t="n">
        <v>7</v>
      </c>
      <c r="K40" s="12" t="n">
        <v>5</v>
      </c>
      <c r="L40" s="12" t="n">
        <v>23</v>
      </c>
      <c r="M40" s="12" t="n">
        <v>55</v>
      </c>
      <c r="N40" s="12" t="n">
        <v>0</v>
      </c>
      <c r="O40" s="12" t="n">
        <v>148</v>
      </c>
      <c r="P40" s="16" t="n">
        <f aca="false">O40/3</f>
        <v>49.3333333333333</v>
      </c>
      <c r="Q40" s="17" t="str">
        <f aca="false">INT(O40/3)&amp;"."&amp;MOD(O40,3)</f>
        <v>49.1</v>
      </c>
      <c r="R40" s="12" t="n">
        <v>49</v>
      </c>
      <c r="S40" s="12" t="n">
        <v>33</v>
      </c>
      <c r="T40" s="12" t="n">
        <v>32</v>
      </c>
      <c r="U40" s="12" t="n">
        <v>6</v>
      </c>
      <c r="V40" s="12" t="n">
        <v>14</v>
      </c>
      <c r="W40" s="12" t="n">
        <v>53</v>
      </c>
      <c r="X40" s="12" t="n">
        <v>1</v>
      </c>
      <c r="Y40" s="18" t="n">
        <f aca="false">IF(O40=0,0,T40*27/O40)</f>
        <v>5.83783783783784</v>
      </c>
      <c r="Z40" s="18" t="n">
        <f aca="false">IF(P40=0,0,(V40+R40)/P40)</f>
        <v>1.27702702702703</v>
      </c>
      <c r="AA40" s="18" t="n">
        <f aca="false">IF(O40=0,0,W40*27/O40)</f>
        <v>9.66891891891892</v>
      </c>
      <c r="AB40" s="18" t="n">
        <f aca="false">IF(O40=0,0,V40*27/O40)</f>
        <v>2.55405405405405</v>
      </c>
      <c r="AC40" s="18" t="n">
        <f aca="false">IF(V40=0,0,W40/V40)</f>
        <v>3.78571428571429</v>
      </c>
      <c r="AD40" s="18" t="n">
        <f aca="false">IF(P40=0,0,(13*U40+3*(V40+X40)-2*W40)/P40+INDEX(球季參數!$C$2:$C$4,MATCH($A40,球季參數!$A$2:$A$4,0)))</f>
        <v>3.47459459459459</v>
      </c>
      <c r="AE40" s="11" t="n">
        <f aca="false">IF(P40&gt;=INDEX(球季參數!$F$2:$F$4,MATCH($A40,球季參數!$A$2:$A$4,0)),1,0)</f>
        <v>0</v>
      </c>
    </row>
    <row r="41" customFormat="false" ht="15" hidden="false" customHeight="false" outlineLevel="0" collapsed="false">
      <c r="A41" s="5" t="n">
        <v>2024</v>
      </c>
      <c r="B41" s="7" t="s">
        <v>635</v>
      </c>
      <c r="C41" s="10" t="str">
        <f aca="false">INDEX(球員主檔!$B$2:$B$749,MATCH($B41,球員主檔!$A$2:$A$749,0))</f>
        <v>Thaddeus Vasquez</v>
      </c>
      <c r="D41" s="7" t="s">
        <v>354</v>
      </c>
      <c r="E41" s="10" t="str">
        <f aca="false">INDEX(球隊主檔!$C$2:$C$31,MATCH($D41,球隊主檔!$A$2:$A$31,0))</f>
        <v>坦帕灣光芒</v>
      </c>
      <c r="F41" s="10" t="str">
        <f aca="false">INDEX(球隊主檔!$D$2:$D$31,MATCH($D41,球隊主檔!$A$2:$A$31,0))</f>
        <v>美聯</v>
      </c>
      <c r="G41" s="7" t="s">
        <v>507</v>
      </c>
      <c r="H41" s="11" t="n">
        <f aca="false">INT((DATE($A41,7,1)-INDEX(球員主檔!$G$2:$G$749,MATCH($B41,球員主檔!$A$2:$A$749,0)))/365.25)</f>
        <v>27</v>
      </c>
      <c r="I41" s="12" t="n">
        <v>8</v>
      </c>
      <c r="J41" s="12" t="n">
        <v>2</v>
      </c>
      <c r="K41" s="12" t="n">
        <v>5</v>
      </c>
      <c r="L41" s="12" t="n">
        <v>34</v>
      </c>
      <c r="M41" s="12" t="n">
        <v>59</v>
      </c>
      <c r="N41" s="12" t="n">
        <v>0</v>
      </c>
      <c r="O41" s="12" t="n">
        <v>190</v>
      </c>
      <c r="P41" s="16" t="n">
        <f aca="false">O41/3</f>
        <v>63.3333333333333</v>
      </c>
      <c r="Q41" s="17" t="str">
        <f aca="false">INT(O41/3)&amp;"."&amp;MOD(O41,3)</f>
        <v>63.1</v>
      </c>
      <c r="R41" s="12" t="n">
        <v>57</v>
      </c>
      <c r="S41" s="12" t="n">
        <v>30</v>
      </c>
      <c r="T41" s="12" t="n">
        <v>29</v>
      </c>
      <c r="U41" s="12" t="n">
        <v>10</v>
      </c>
      <c r="V41" s="12" t="n">
        <v>22</v>
      </c>
      <c r="W41" s="12" t="n">
        <v>60</v>
      </c>
      <c r="X41" s="12" t="n">
        <v>1</v>
      </c>
      <c r="Y41" s="18" t="n">
        <f aca="false">IF(O41=0,0,T41*27/O41)</f>
        <v>4.12105263157895</v>
      </c>
      <c r="Z41" s="18" t="n">
        <f aca="false">IF(P41=0,0,(V41+R41)/P41)</f>
        <v>1.24736842105263</v>
      </c>
      <c r="AA41" s="18" t="n">
        <f aca="false">IF(O41=0,0,W41*27/O41)</f>
        <v>8.52631578947369</v>
      </c>
      <c r="AB41" s="18" t="n">
        <f aca="false">IF(O41=0,0,V41*27/O41)</f>
        <v>3.12631578947368</v>
      </c>
      <c r="AC41" s="18" t="n">
        <f aca="false">IF(V41=0,0,W41/V41)</f>
        <v>2.72727272727273</v>
      </c>
      <c r="AD41" s="18" t="n">
        <f aca="false">IF(P41=0,0,(13*U41+3*(V41+X41)-2*W41)/P41+INDEX(球季參數!$C$2:$C$4,MATCH($A41,球季參數!$A$2:$A$4,0)))</f>
        <v>4.37736842105263</v>
      </c>
      <c r="AE41" s="11" t="n">
        <f aca="false">IF(P41&gt;=INDEX(球季參數!$F$2:$F$4,MATCH($A41,球季參數!$A$2:$A$4,0)),1,0)</f>
        <v>0</v>
      </c>
    </row>
    <row r="42" customFormat="false" ht="15" hidden="false" customHeight="false" outlineLevel="0" collapsed="false">
      <c r="A42" s="5" t="n">
        <v>2024</v>
      </c>
      <c r="B42" s="7" t="s">
        <v>657</v>
      </c>
      <c r="C42" s="10" t="str">
        <f aca="false">INDEX(球員主檔!$B$2:$B$749,MATCH($B42,球員主檔!$A$2:$A$749,0))</f>
        <v>Dashiell Tremblay</v>
      </c>
      <c r="D42" s="7" t="s">
        <v>358</v>
      </c>
      <c r="E42" s="10" t="str">
        <f aca="false">INDEX(球隊主檔!$C$2:$C$31,MATCH($D42,球隊主檔!$A$2:$A$31,0))</f>
        <v>多倫多藍鳥</v>
      </c>
      <c r="F42" s="10" t="str">
        <f aca="false">INDEX(球隊主檔!$D$2:$D$31,MATCH($D42,球隊主檔!$A$2:$A$31,0))</f>
        <v>美聯</v>
      </c>
      <c r="G42" s="7" t="s">
        <v>496</v>
      </c>
      <c r="H42" s="11" t="n">
        <f aca="false">INT((DATE($A42,7,1)-INDEX(球員主檔!$G$2:$G$749,MATCH($B42,球員主檔!$A$2:$A$749,0)))/365.25)</f>
        <v>28</v>
      </c>
      <c r="I42" s="12" t="n">
        <v>8</v>
      </c>
      <c r="J42" s="12" t="n">
        <v>8</v>
      </c>
      <c r="K42" s="12" t="n">
        <v>0</v>
      </c>
      <c r="L42" s="12" t="n">
        <v>0</v>
      </c>
      <c r="M42" s="12" t="n">
        <v>26</v>
      </c>
      <c r="N42" s="12" t="n">
        <v>26</v>
      </c>
      <c r="O42" s="12" t="n">
        <v>486</v>
      </c>
      <c r="P42" s="16" t="n">
        <f aca="false">O42/3</f>
        <v>162</v>
      </c>
      <c r="Q42" s="17" t="str">
        <f aca="false">INT(O42/3)&amp;"."&amp;MOD(O42,3)</f>
        <v>162.0</v>
      </c>
      <c r="R42" s="12" t="n">
        <v>149</v>
      </c>
      <c r="S42" s="12" t="n">
        <v>103</v>
      </c>
      <c r="T42" s="12" t="n">
        <v>96</v>
      </c>
      <c r="U42" s="12" t="n">
        <v>32</v>
      </c>
      <c r="V42" s="12" t="n">
        <v>72</v>
      </c>
      <c r="W42" s="12" t="n">
        <v>140</v>
      </c>
      <c r="X42" s="12" t="n">
        <v>5</v>
      </c>
      <c r="Y42" s="18" t="n">
        <f aca="false">IF(O42=0,0,T42*27/O42)</f>
        <v>5.33333333333333</v>
      </c>
      <c r="Z42" s="18" t="n">
        <f aca="false">IF(P42=0,0,(V42+R42)/P42)</f>
        <v>1.3641975308642</v>
      </c>
      <c r="AA42" s="18" t="n">
        <f aca="false">IF(O42=0,0,W42*27/O42)</f>
        <v>7.77777777777778</v>
      </c>
      <c r="AB42" s="18" t="n">
        <f aca="false">IF(O42=0,0,V42*27/O42)</f>
        <v>4</v>
      </c>
      <c r="AC42" s="18" t="n">
        <f aca="false">IF(V42=0,0,W42/V42)</f>
        <v>1.94444444444444</v>
      </c>
      <c r="AD42" s="18" t="n">
        <f aca="false">IF(P42=0,0,(13*U42+3*(V42+X42)-2*W42)/P42+INDEX(球季參數!$C$2:$C$4,MATCH($A42,球季參數!$A$2:$A$4,0)))</f>
        <v>5.39543209876543</v>
      </c>
      <c r="AE42" s="11" t="n">
        <f aca="false">IF(P42&gt;=INDEX(球季參數!$F$2:$F$4,MATCH($A42,球季參數!$A$2:$A$4,0)),1,0)</f>
        <v>1</v>
      </c>
    </row>
    <row r="43" customFormat="false" ht="15" hidden="false" customHeight="false" outlineLevel="0" collapsed="false">
      <c r="A43" s="5" t="n">
        <v>2024</v>
      </c>
      <c r="B43" s="7" t="s">
        <v>659</v>
      </c>
      <c r="C43" s="10" t="str">
        <f aca="false">INDEX(球員主檔!$B$2:$B$749,MATCH($B43,球員主檔!$A$2:$A$749,0))</f>
        <v>Griffin Garrity</v>
      </c>
      <c r="D43" s="7" t="s">
        <v>358</v>
      </c>
      <c r="E43" s="10" t="str">
        <f aca="false">INDEX(球隊主檔!$C$2:$C$31,MATCH($D43,球隊主檔!$A$2:$A$31,0))</f>
        <v>多倫多藍鳥</v>
      </c>
      <c r="F43" s="10" t="str">
        <f aca="false">INDEX(球隊主檔!$D$2:$D$31,MATCH($D43,球隊主檔!$A$2:$A$31,0))</f>
        <v>美聯</v>
      </c>
      <c r="G43" s="7" t="s">
        <v>496</v>
      </c>
      <c r="H43" s="11" t="n">
        <f aca="false">INT((DATE($A43,7,1)-INDEX(球員主檔!$G$2:$G$749,MATCH($B43,球員主檔!$A$2:$A$749,0)))/365.25)</f>
        <v>26</v>
      </c>
      <c r="I43" s="12" t="n">
        <v>6</v>
      </c>
      <c r="J43" s="12" t="n">
        <v>4</v>
      </c>
      <c r="K43" s="12" t="n">
        <v>0</v>
      </c>
      <c r="L43" s="12" t="n">
        <v>0</v>
      </c>
      <c r="M43" s="12" t="n">
        <v>18</v>
      </c>
      <c r="N43" s="12" t="n">
        <v>18</v>
      </c>
      <c r="O43" s="12" t="n">
        <v>323</v>
      </c>
      <c r="P43" s="16" t="n">
        <f aca="false">O43/3</f>
        <v>107.666666666667</v>
      </c>
      <c r="Q43" s="17" t="str">
        <f aca="false">INT(O43/3)&amp;"."&amp;MOD(O43,3)</f>
        <v>107.2</v>
      </c>
      <c r="R43" s="12" t="n">
        <v>86</v>
      </c>
      <c r="S43" s="12" t="n">
        <v>51</v>
      </c>
      <c r="T43" s="12" t="n">
        <v>49</v>
      </c>
      <c r="U43" s="12" t="n">
        <v>19</v>
      </c>
      <c r="V43" s="12" t="n">
        <v>26</v>
      </c>
      <c r="W43" s="12" t="n">
        <v>139</v>
      </c>
      <c r="X43" s="12" t="n">
        <v>4</v>
      </c>
      <c r="Y43" s="18" t="n">
        <f aca="false">IF(O43=0,0,T43*27/O43)</f>
        <v>4.09597523219814</v>
      </c>
      <c r="Z43" s="18" t="n">
        <f aca="false">IF(P43=0,0,(V43+R43)/P43)</f>
        <v>1.04024767801858</v>
      </c>
      <c r="AA43" s="18" t="n">
        <f aca="false">IF(O43=0,0,W43*27/O43)</f>
        <v>11.6191950464396</v>
      </c>
      <c r="AB43" s="18" t="n">
        <f aca="false">IF(O43=0,0,V43*27/O43)</f>
        <v>2.1733746130031</v>
      </c>
      <c r="AC43" s="18" t="n">
        <f aca="false">IF(V43=0,0,W43/V43)</f>
        <v>5.34615384615385</v>
      </c>
      <c r="AD43" s="18" t="n">
        <f aca="false">IF(P43=0,0,(13*U43+3*(V43+X43)-2*W43)/P43+INDEX(球季參數!$C$2:$C$4,MATCH($A43,球季參數!$A$2:$A$4,0)))</f>
        <v>3.67798761609907</v>
      </c>
      <c r="AE43" s="11" t="n">
        <f aca="false">IF(P43&gt;=INDEX(球季參數!$F$2:$F$4,MATCH($A43,球季參數!$A$2:$A$4,0)),1,0)</f>
        <v>0</v>
      </c>
    </row>
    <row r="44" customFormat="false" ht="15" hidden="false" customHeight="false" outlineLevel="0" collapsed="false">
      <c r="A44" s="5" t="n">
        <v>2024</v>
      </c>
      <c r="B44" s="7" t="s">
        <v>661</v>
      </c>
      <c r="C44" s="10" t="str">
        <f aca="false">INDEX(球員主檔!$B$2:$B$749,MATCH($B44,球員主檔!$A$2:$A$749,0))</f>
        <v>Joaquín Vandermeer</v>
      </c>
      <c r="D44" s="7" t="s">
        <v>358</v>
      </c>
      <c r="E44" s="10" t="str">
        <f aca="false">INDEX(球隊主檔!$C$2:$C$31,MATCH($D44,球隊主檔!$A$2:$A$31,0))</f>
        <v>多倫多藍鳥</v>
      </c>
      <c r="F44" s="10" t="str">
        <f aca="false">INDEX(球隊主檔!$D$2:$D$31,MATCH($D44,球隊主檔!$A$2:$A$31,0))</f>
        <v>美聯</v>
      </c>
      <c r="G44" s="7" t="s">
        <v>496</v>
      </c>
      <c r="H44" s="11" t="n">
        <f aca="false">INT((DATE($A44,7,1)-INDEX(球員主檔!$G$2:$G$749,MATCH($B44,球員主檔!$A$2:$A$749,0)))/365.25)</f>
        <v>24</v>
      </c>
      <c r="I44" s="12" t="n">
        <v>6</v>
      </c>
      <c r="J44" s="12" t="n">
        <v>3</v>
      </c>
      <c r="K44" s="12" t="n">
        <v>0</v>
      </c>
      <c r="L44" s="12" t="n">
        <v>0</v>
      </c>
      <c r="M44" s="12" t="n">
        <v>13</v>
      </c>
      <c r="N44" s="12" t="n">
        <v>13</v>
      </c>
      <c r="O44" s="12" t="n">
        <v>218</v>
      </c>
      <c r="P44" s="16" t="n">
        <f aca="false">O44/3</f>
        <v>72.6666666666667</v>
      </c>
      <c r="Q44" s="17" t="str">
        <f aca="false">INT(O44/3)&amp;"."&amp;MOD(O44,3)</f>
        <v>72.2</v>
      </c>
      <c r="R44" s="12" t="n">
        <v>56</v>
      </c>
      <c r="S44" s="12" t="n">
        <v>30</v>
      </c>
      <c r="T44" s="12" t="n">
        <v>30</v>
      </c>
      <c r="U44" s="12" t="n">
        <v>7</v>
      </c>
      <c r="V44" s="12" t="n">
        <v>31</v>
      </c>
      <c r="W44" s="12" t="n">
        <v>96</v>
      </c>
      <c r="X44" s="12" t="n">
        <v>2</v>
      </c>
      <c r="Y44" s="18" t="n">
        <f aca="false">IF(O44=0,0,T44*27/O44)</f>
        <v>3.71559633027523</v>
      </c>
      <c r="Z44" s="18" t="n">
        <f aca="false">IF(P44=0,0,(V44+R44)/P44)</f>
        <v>1.19724770642202</v>
      </c>
      <c r="AA44" s="18" t="n">
        <f aca="false">IF(O44=0,0,W44*27/O44)</f>
        <v>11.8899082568807</v>
      </c>
      <c r="AB44" s="18" t="n">
        <f aca="false">IF(O44=0,0,V44*27/O44)</f>
        <v>3.8394495412844</v>
      </c>
      <c r="AC44" s="18" t="n">
        <f aca="false">IF(V44=0,0,W44/V44)</f>
        <v>3.09677419354839</v>
      </c>
      <c r="AD44" s="18" t="n">
        <f aca="false">IF(P44=0,0,(13*U44+3*(V44+X44)-2*W44)/P44+INDEX(球季參數!$C$2:$C$4,MATCH($A44,球季參數!$A$2:$A$4,0)))</f>
        <v>3.10247706422018</v>
      </c>
      <c r="AE44" s="11" t="n">
        <f aca="false">IF(P44&gt;=INDEX(球季參數!$F$2:$F$4,MATCH($A44,球季參數!$A$2:$A$4,0)),1,0)</f>
        <v>0</v>
      </c>
    </row>
    <row r="45" customFormat="false" ht="15" hidden="false" customHeight="false" outlineLevel="0" collapsed="false">
      <c r="A45" s="5" t="n">
        <v>2024</v>
      </c>
      <c r="B45" s="7" t="s">
        <v>663</v>
      </c>
      <c r="C45" s="10" t="str">
        <f aca="false">INDEX(球員主檔!$B$2:$B$749,MATCH($B45,球員主檔!$A$2:$A$749,0))</f>
        <v>Niklas Cavanaugh</v>
      </c>
      <c r="D45" s="7" t="s">
        <v>358</v>
      </c>
      <c r="E45" s="10" t="str">
        <f aca="false">INDEX(球隊主檔!$C$2:$C$31,MATCH($D45,球隊主檔!$A$2:$A$31,0))</f>
        <v>多倫多藍鳥</v>
      </c>
      <c r="F45" s="10" t="str">
        <f aca="false">INDEX(球隊主檔!$D$2:$D$31,MATCH($D45,球隊主檔!$A$2:$A$31,0))</f>
        <v>美聯</v>
      </c>
      <c r="G45" s="7" t="s">
        <v>496</v>
      </c>
      <c r="H45" s="11" t="n">
        <f aca="false">INT((DATE($A45,7,1)-INDEX(球員主檔!$G$2:$G$749,MATCH($B45,球員主檔!$A$2:$A$749,0)))/365.25)</f>
        <v>27</v>
      </c>
      <c r="I45" s="12" t="n">
        <v>11</v>
      </c>
      <c r="J45" s="12" t="n">
        <v>3</v>
      </c>
      <c r="K45" s="12" t="n">
        <v>0</v>
      </c>
      <c r="L45" s="12" t="n">
        <v>0</v>
      </c>
      <c r="M45" s="12" t="n">
        <v>25</v>
      </c>
      <c r="N45" s="12" t="n">
        <v>25</v>
      </c>
      <c r="O45" s="12" t="n">
        <v>414</v>
      </c>
      <c r="P45" s="16" t="n">
        <f aca="false">O45/3</f>
        <v>138</v>
      </c>
      <c r="Q45" s="17" t="str">
        <f aca="false">INT(O45/3)&amp;"."&amp;MOD(O45,3)</f>
        <v>138.0</v>
      </c>
      <c r="R45" s="12" t="n">
        <v>109</v>
      </c>
      <c r="S45" s="12" t="n">
        <v>57</v>
      </c>
      <c r="T45" s="12" t="n">
        <v>53</v>
      </c>
      <c r="U45" s="12" t="n">
        <v>15</v>
      </c>
      <c r="V45" s="12" t="n">
        <v>48</v>
      </c>
      <c r="W45" s="12" t="n">
        <v>162</v>
      </c>
      <c r="X45" s="12" t="n">
        <v>2</v>
      </c>
      <c r="Y45" s="18" t="n">
        <f aca="false">IF(O45=0,0,T45*27/O45)</f>
        <v>3.45652173913043</v>
      </c>
      <c r="Z45" s="18" t="n">
        <f aca="false">IF(P45=0,0,(V45+R45)/P45)</f>
        <v>1.13768115942029</v>
      </c>
      <c r="AA45" s="18" t="n">
        <f aca="false">IF(O45=0,0,W45*27/O45)</f>
        <v>10.5652173913043</v>
      </c>
      <c r="AB45" s="18" t="n">
        <f aca="false">IF(O45=0,0,V45*27/O45)</f>
        <v>3.1304347826087</v>
      </c>
      <c r="AC45" s="18" t="n">
        <f aca="false">IF(V45=0,0,W45/V45)</f>
        <v>3.375</v>
      </c>
      <c r="AD45" s="18" t="n">
        <f aca="false">IF(P45=0,0,(13*U45+3*(V45+X45)-2*W45)/P45+INDEX(球季參數!$C$2:$C$4,MATCH($A45,球季參數!$A$2:$A$4,0)))</f>
        <v>3.28217391304348</v>
      </c>
      <c r="AE45" s="11" t="n">
        <f aca="false">IF(P45&gt;=INDEX(球季參數!$F$2:$F$4,MATCH($A45,球季參數!$A$2:$A$4,0)),1,0)</f>
        <v>0</v>
      </c>
    </row>
    <row r="46" customFormat="false" ht="15" hidden="false" customHeight="false" outlineLevel="0" collapsed="false">
      <c r="A46" s="5" t="n">
        <v>2024</v>
      </c>
      <c r="B46" s="7" t="s">
        <v>665</v>
      </c>
      <c r="C46" s="10" t="str">
        <f aca="false">INDEX(球員主檔!$B$2:$B$749,MATCH($B46,球員主檔!$A$2:$A$749,0))</f>
        <v>Ignacio Rasmussen</v>
      </c>
      <c r="D46" s="7" t="s">
        <v>358</v>
      </c>
      <c r="E46" s="10" t="str">
        <f aca="false">INDEX(球隊主檔!$C$2:$C$31,MATCH($D46,球隊主檔!$A$2:$A$31,0))</f>
        <v>多倫多藍鳥</v>
      </c>
      <c r="F46" s="10" t="str">
        <f aca="false">INDEX(球隊主檔!$D$2:$D$31,MATCH($D46,球隊主檔!$A$2:$A$31,0))</f>
        <v>美聯</v>
      </c>
      <c r="G46" s="7" t="s">
        <v>496</v>
      </c>
      <c r="H46" s="11" t="n">
        <f aca="false">INT((DATE($A46,7,1)-INDEX(球員主檔!$G$2:$G$749,MATCH($B46,球員主檔!$A$2:$A$749,0)))/365.25)</f>
        <v>25</v>
      </c>
      <c r="I46" s="12" t="n">
        <v>11</v>
      </c>
      <c r="J46" s="12" t="n">
        <v>5</v>
      </c>
      <c r="K46" s="12" t="n">
        <v>0</v>
      </c>
      <c r="L46" s="12" t="n">
        <v>0</v>
      </c>
      <c r="M46" s="12" t="n">
        <v>28</v>
      </c>
      <c r="N46" s="12" t="n">
        <v>28</v>
      </c>
      <c r="O46" s="12" t="n">
        <v>453</v>
      </c>
      <c r="P46" s="16" t="n">
        <f aca="false">O46/3</f>
        <v>151</v>
      </c>
      <c r="Q46" s="17" t="str">
        <f aca="false">INT(O46/3)&amp;"."&amp;MOD(O46,3)</f>
        <v>151.0</v>
      </c>
      <c r="R46" s="12" t="n">
        <v>120</v>
      </c>
      <c r="S46" s="12" t="n">
        <v>56</v>
      </c>
      <c r="T46" s="12" t="n">
        <v>53</v>
      </c>
      <c r="U46" s="12" t="n">
        <v>19</v>
      </c>
      <c r="V46" s="12" t="n">
        <v>39</v>
      </c>
      <c r="W46" s="12" t="n">
        <v>151</v>
      </c>
      <c r="X46" s="12" t="n">
        <v>2</v>
      </c>
      <c r="Y46" s="18" t="n">
        <f aca="false">IF(O46=0,0,T46*27/O46)</f>
        <v>3.15894039735099</v>
      </c>
      <c r="Z46" s="18" t="n">
        <f aca="false">IF(P46=0,0,(V46+R46)/P46)</f>
        <v>1.05298013245033</v>
      </c>
      <c r="AA46" s="18" t="n">
        <f aca="false">IF(O46=0,0,W46*27/O46)</f>
        <v>9</v>
      </c>
      <c r="AB46" s="18" t="n">
        <f aca="false">IF(O46=0,0,V46*27/O46)</f>
        <v>2.32450331125828</v>
      </c>
      <c r="AC46" s="18" t="n">
        <f aca="false">IF(V46=0,0,W46/V46)</f>
        <v>3.87179487179487</v>
      </c>
      <c r="AD46" s="18" t="n">
        <f aca="false">IF(P46=0,0,(13*U46+3*(V46+X46)-2*W46)/P46+INDEX(球季參數!$C$2:$C$4,MATCH($A46,球季參數!$A$2:$A$4,0)))</f>
        <v>3.58033112582781</v>
      </c>
      <c r="AE46" s="11" t="n">
        <f aca="false">IF(P46&gt;=INDEX(球季參數!$F$2:$F$4,MATCH($A46,球季參數!$A$2:$A$4,0)),1,0)</f>
        <v>0</v>
      </c>
    </row>
    <row r="47" customFormat="false" ht="15" hidden="false" customHeight="false" outlineLevel="0" collapsed="false">
      <c r="A47" s="5" t="n">
        <v>2024</v>
      </c>
      <c r="B47" s="7" t="s">
        <v>667</v>
      </c>
      <c r="C47" s="10" t="str">
        <f aca="false">INDEX(球員主檔!$B$2:$B$749,MATCH($B47,球員主檔!$A$2:$A$749,0))</f>
        <v>Yusuke Pellerin</v>
      </c>
      <c r="D47" s="7" t="s">
        <v>358</v>
      </c>
      <c r="E47" s="10" t="str">
        <f aca="false">INDEX(球隊主檔!$C$2:$C$31,MATCH($D47,球隊主檔!$A$2:$A$31,0))</f>
        <v>多倫多藍鳥</v>
      </c>
      <c r="F47" s="10" t="str">
        <f aca="false">INDEX(球隊主檔!$D$2:$D$31,MATCH($D47,球隊主檔!$A$2:$A$31,0))</f>
        <v>美聯</v>
      </c>
      <c r="G47" s="7" t="s">
        <v>507</v>
      </c>
      <c r="H47" s="11" t="n">
        <f aca="false">INT((DATE($A47,7,1)-INDEX(球員主檔!$G$2:$G$749,MATCH($B47,球員主檔!$A$2:$A$749,0)))/365.25)</f>
        <v>25</v>
      </c>
      <c r="I47" s="12" t="n">
        <v>9</v>
      </c>
      <c r="J47" s="12" t="n">
        <v>3</v>
      </c>
      <c r="K47" s="12" t="n">
        <v>4</v>
      </c>
      <c r="L47" s="12" t="n">
        <v>16</v>
      </c>
      <c r="M47" s="12" t="n">
        <v>56</v>
      </c>
      <c r="N47" s="12" t="n">
        <v>0</v>
      </c>
      <c r="O47" s="12" t="n">
        <v>178</v>
      </c>
      <c r="P47" s="16" t="n">
        <f aca="false">O47/3</f>
        <v>59.3333333333333</v>
      </c>
      <c r="Q47" s="17" t="str">
        <f aca="false">INT(O47/3)&amp;"."&amp;MOD(O47,3)</f>
        <v>59.1</v>
      </c>
      <c r="R47" s="12" t="n">
        <v>49</v>
      </c>
      <c r="S47" s="12" t="n">
        <v>31</v>
      </c>
      <c r="T47" s="12" t="n">
        <v>29</v>
      </c>
      <c r="U47" s="12" t="n">
        <v>7</v>
      </c>
      <c r="V47" s="12" t="n">
        <v>28</v>
      </c>
      <c r="W47" s="12" t="n">
        <v>64</v>
      </c>
      <c r="X47" s="12" t="n">
        <v>3</v>
      </c>
      <c r="Y47" s="18" t="n">
        <f aca="false">IF(O47=0,0,T47*27/O47)</f>
        <v>4.39887640449438</v>
      </c>
      <c r="Z47" s="18" t="n">
        <f aca="false">IF(P47=0,0,(V47+R47)/P47)</f>
        <v>1.29775280898876</v>
      </c>
      <c r="AA47" s="18" t="n">
        <f aca="false">IF(O47=0,0,W47*27/O47)</f>
        <v>9.70786516853933</v>
      </c>
      <c r="AB47" s="18" t="n">
        <f aca="false">IF(O47=0,0,V47*27/O47)</f>
        <v>4.24719101123596</v>
      </c>
      <c r="AC47" s="18" t="n">
        <f aca="false">IF(V47=0,0,W47/V47)</f>
        <v>2.28571428571429</v>
      </c>
      <c r="AD47" s="18" t="n">
        <f aca="false">IF(P47=0,0,(13*U47+3*(V47+X47)-2*W47)/P47+INDEX(球季參數!$C$2:$C$4,MATCH($A47,球季參數!$A$2:$A$4,0)))</f>
        <v>4.0738202247191</v>
      </c>
      <c r="AE47" s="11" t="n">
        <f aca="false">IF(P47&gt;=INDEX(球季參數!$F$2:$F$4,MATCH($A47,球季參數!$A$2:$A$4,0)),1,0)</f>
        <v>0</v>
      </c>
    </row>
    <row r="48" customFormat="false" ht="15" hidden="false" customHeight="false" outlineLevel="0" collapsed="false">
      <c r="A48" s="5" t="n">
        <v>2024</v>
      </c>
      <c r="B48" s="7" t="s">
        <v>669</v>
      </c>
      <c r="C48" s="10" t="str">
        <f aca="false">INDEX(球員主檔!$B$2:$B$749,MATCH($B48,球員主檔!$A$2:$A$749,0))</f>
        <v>Emilio Villalobos</v>
      </c>
      <c r="D48" s="7" t="s">
        <v>358</v>
      </c>
      <c r="E48" s="10" t="str">
        <f aca="false">INDEX(球隊主檔!$C$2:$C$31,MATCH($D48,球隊主檔!$A$2:$A$31,0))</f>
        <v>多倫多藍鳥</v>
      </c>
      <c r="F48" s="10" t="str">
        <f aca="false">INDEX(球隊主檔!$D$2:$D$31,MATCH($D48,球隊主檔!$A$2:$A$31,0))</f>
        <v>美聯</v>
      </c>
      <c r="G48" s="7" t="s">
        <v>507</v>
      </c>
      <c r="H48" s="11" t="n">
        <f aca="false">INT((DATE($A48,7,1)-INDEX(球員主檔!$G$2:$G$749,MATCH($B48,球員主檔!$A$2:$A$749,0)))/365.25)</f>
        <v>31</v>
      </c>
      <c r="I48" s="12" t="n">
        <v>4</v>
      </c>
      <c r="J48" s="12" t="n">
        <v>6</v>
      </c>
      <c r="K48" s="12" t="n">
        <v>5</v>
      </c>
      <c r="L48" s="12" t="n">
        <v>26</v>
      </c>
      <c r="M48" s="12" t="n">
        <v>68</v>
      </c>
      <c r="N48" s="12" t="n">
        <v>0</v>
      </c>
      <c r="O48" s="12" t="n">
        <v>202</v>
      </c>
      <c r="P48" s="16" t="n">
        <f aca="false">O48/3</f>
        <v>67.3333333333333</v>
      </c>
      <c r="Q48" s="17" t="str">
        <f aca="false">INT(O48/3)&amp;"."&amp;MOD(O48,3)</f>
        <v>67.1</v>
      </c>
      <c r="R48" s="12" t="n">
        <v>56</v>
      </c>
      <c r="S48" s="12" t="n">
        <v>32</v>
      </c>
      <c r="T48" s="12" t="n">
        <v>30</v>
      </c>
      <c r="U48" s="12" t="n">
        <v>9</v>
      </c>
      <c r="V48" s="12" t="n">
        <v>20</v>
      </c>
      <c r="W48" s="12" t="n">
        <v>100</v>
      </c>
      <c r="X48" s="12" t="n">
        <v>1</v>
      </c>
      <c r="Y48" s="18" t="n">
        <f aca="false">IF(O48=0,0,T48*27/O48)</f>
        <v>4.00990099009901</v>
      </c>
      <c r="Z48" s="18" t="n">
        <f aca="false">IF(P48=0,0,(V48+R48)/P48)</f>
        <v>1.12871287128713</v>
      </c>
      <c r="AA48" s="18" t="n">
        <f aca="false">IF(O48=0,0,W48*27/O48)</f>
        <v>13.3663366336634</v>
      </c>
      <c r="AB48" s="18" t="n">
        <f aca="false">IF(O48=0,0,V48*27/O48)</f>
        <v>2.67326732673267</v>
      </c>
      <c r="AC48" s="18" t="n">
        <f aca="false">IF(V48=0,0,W48/V48)</f>
        <v>5</v>
      </c>
      <c r="AD48" s="18" t="n">
        <f aca="false">IF(P48=0,0,(13*U48+3*(V48+X48)-2*W48)/P48+INDEX(球季參數!$C$2:$C$4,MATCH($A48,球季參數!$A$2:$A$4,0)))</f>
        <v>2.8329702970297</v>
      </c>
      <c r="AE48" s="11" t="n">
        <f aca="false">IF(P48&gt;=INDEX(球季參數!$F$2:$F$4,MATCH($A48,球季參數!$A$2:$A$4,0)),1,0)</f>
        <v>0</v>
      </c>
    </row>
    <row r="49" customFormat="false" ht="15" hidden="false" customHeight="false" outlineLevel="0" collapsed="false">
      <c r="A49" s="5" t="n">
        <v>2024</v>
      </c>
      <c r="B49" s="7" t="s">
        <v>671</v>
      </c>
      <c r="C49" s="10" t="str">
        <f aca="false">INDEX(球員主檔!$B$2:$B$749,MATCH($B49,球員主檔!$A$2:$A$749,0))</f>
        <v>Joaquín Wainwright</v>
      </c>
      <c r="D49" s="7" t="s">
        <v>358</v>
      </c>
      <c r="E49" s="10" t="str">
        <f aca="false">INDEX(球隊主檔!$C$2:$C$31,MATCH($D49,球隊主檔!$A$2:$A$31,0))</f>
        <v>多倫多藍鳥</v>
      </c>
      <c r="F49" s="10" t="str">
        <f aca="false">INDEX(球隊主檔!$D$2:$D$31,MATCH($D49,球隊主檔!$A$2:$A$31,0))</f>
        <v>美聯</v>
      </c>
      <c r="G49" s="7" t="s">
        <v>507</v>
      </c>
      <c r="H49" s="11" t="n">
        <f aca="false">INT((DATE($A49,7,1)-INDEX(球員主檔!$G$2:$G$749,MATCH($B49,球員主檔!$A$2:$A$749,0)))/365.25)</f>
        <v>27</v>
      </c>
      <c r="I49" s="12" t="n">
        <v>2</v>
      </c>
      <c r="J49" s="12" t="n">
        <v>0</v>
      </c>
      <c r="K49" s="12" t="n">
        <v>5</v>
      </c>
      <c r="L49" s="12" t="n">
        <v>21</v>
      </c>
      <c r="M49" s="12" t="n">
        <v>58</v>
      </c>
      <c r="N49" s="12" t="n">
        <v>0</v>
      </c>
      <c r="O49" s="12" t="n">
        <v>155</v>
      </c>
      <c r="P49" s="16" t="n">
        <f aca="false">O49/3</f>
        <v>51.6666666666667</v>
      </c>
      <c r="Q49" s="17" t="str">
        <f aca="false">INT(O49/3)&amp;"."&amp;MOD(O49,3)</f>
        <v>51.2</v>
      </c>
      <c r="R49" s="12" t="n">
        <v>44</v>
      </c>
      <c r="S49" s="12" t="n">
        <v>24</v>
      </c>
      <c r="T49" s="12" t="n">
        <v>24</v>
      </c>
      <c r="U49" s="12" t="n">
        <v>10</v>
      </c>
      <c r="V49" s="12" t="n">
        <v>18</v>
      </c>
      <c r="W49" s="12" t="n">
        <v>73</v>
      </c>
      <c r="X49" s="12" t="n">
        <v>1</v>
      </c>
      <c r="Y49" s="18" t="n">
        <f aca="false">IF(O49=0,0,T49*27/O49)</f>
        <v>4.18064516129032</v>
      </c>
      <c r="Z49" s="18" t="n">
        <f aca="false">IF(P49=0,0,(V49+R49)/P49)</f>
        <v>1.2</v>
      </c>
      <c r="AA49" s="18" t="n">
        <f aca="false">IF(O49=0,0,W49*27/O49)</f>
        <v>12.7161290322581</v>
      </c>
      <c r="AB49" s="18" t="n">
        <f aca="false">IF(O49=0,0,V49*27/O49)</f>
        <v>3.13548387096774</v>
      </c>
      <c r="AC49" s="18" t="n">
        <f aca="false">IF(V49=0,0,W49/V49)</f>
        <v>4.05555555555556</v>
      </c>
      <c r="AD49" s="18" t="n">
        <f aca="false">IF(P49=0,0,(13*U49+3*(V49+X49)-2*W49)/P49+INDEX(球季參數!$C$2:$C$4,MATCH($A49,球季參數!$A$2:$A$4,0)))</f>
        <v>3.92354838709677</v>
      </c>
      <c r="AE49" s="11" t="n">
        <f aca="false">IF(P49&gt;=INDEX(球季參數!$F$2:$F$4,MATCH($A49,球季參數!$A$2:$A$4,0)),1,0)</f>
        <v>0</v>
      </c>
    </row>
    <row r="50" customFormat="false" ht="15" hidden="false" customHeight="false" outlineLevel="0" collapsed="false">
      <c r="A50" s="5" t="n">
        <v>2024</v>
      </c>
      <c r="B50" s="7" t="s">
        <v>673</v>
      </c>
      <c r="C50" s="10" t="str">
        <f aca="false">INDEX(球員主檔!$B$2:$B$749,MATCH($B50,球員主檔!$A$2:$A$749,0))</f>
        <v>Nolan Yarbrough</v>
      </c>
      <c r="D50" s="7" t="s">
        <v>358</v>
      </c>
      <c r="E50" s="10" t="str">
        <f aca="false">INDEX(球隊主檔!$C$2:$C$31,MATCH($D50,球隊主檔!$A$2:$A$31,0))</f>
        <v>多倫多藍鳥</v>
      </c>
      <c r="F50" s="10" t="str">
        <f aca="false">INDEX(球隊主檔!$D$2:$D$31,MATCH($D50,球隊主檔!$A$2:$A$31,0))</f>
        <v>美聯</v>
      </c>
      <c r="G50" s="7" t="s">
        <v>507</v>
      </c>
      <c r="H50" s="11" t="n">
        <f aca="false">INT((DATE($A50,7,1)-INDEX(球員主檔!$G$2:$G$749,MATCH($B50,球員主檔!$A$2:$A$749,0)))/365.25)</f>
        <v>28</v>
      </c>
      <c r="I50" s="12" t="n">
        <v>7</v>
      </c>
      <c r="J50" s="12" t="n">
        <v>3</v>
      </c>
      <c r="K50" s="12" t="n">
        <v>5</v>
      </c>
      <c r="L50" s="12" t="n">
        <v>34</v>
      </c>
      <c r="M50" s="12" t="n">
        <v>72</v>
      </c>
      <c r="N50" s="12" t="n">
        <v>0</v>
      </c>
      <c r="O50" s="12" t="n">
        <v>196</v>
      </c>
      <c r="P50" s="16" t="n">
        <f aca="false">O50/3</f>
        <v>65.3333333333333</v>
      </c>
      <c r="Q50" s="17" t="str">
        <f aca="false">INT(O50/3)&amp;"."&amp;MOD(O50,3)</f>
        <v>65.1</v>
      </c>
      <c r="R50" s="12" t="n">
        <v>54</v>
      </c>
      <c r="S50" s="12" t="n">
        <v>26</v>
      </c>
      <c r="T50" s="12" t="n">
        <v>24</v>
      </c>
      <c r="U50" s="12" t="n">
        <v>9</v>
      </c>
      <c r="V50" s="12" t="n">
        <v>22</v>
      </c>
      <c r="W50" s="12" t="n">
        <v>67</v>
      </c>
      <c r="X50" s="12" t="n">
        <v>2</v>
      </c>
      <c r="Y50" s="18" t="n">
        <f aca="false">IF(O50=0,0,T50*27/O50)</f>
        <v>3.30612244897959</v>
      </c>
      <c r="Z50" s="18" t="n">
        <f aca="false">IF(P50=0,0,(V50+R50)/P50)</f>
        <v>1.16326530612245</v>
      </c>
      <c r="AA50" s="18" t="n">
        <f aca="false">IF(O50=0,0,W50*27/O50)</f>
        <v>9.22959183673469</v>
      </c>
      <c r="AB50" s="18" t="n">
        <f aca="false">IF(O50=0,0,V50*27/O50)</f>
        <v>3.03061224489796</v>
      </c>
      <c r="AC50" s="18" t="n">
        <f aca="false">IF(V50=0,0,W50/V50)</f>
        <v>3.04545454545455</v>
      </c>
      <c r="AD50" s="18" t="n">
        <f aca="false">IF(P50=0,0,(13*U50+3*(V50+X50)-2*W50)/P50+INDEX(球季參數!$C$2:$C$4,MATCH($A50,球季參數!$A$2:$A$4,0)))</f>
        <v>3.97183673469388</v>
      </c>
      <c r="AE50" s="11" t="n">
        <f aca="false">IF(P50&gt;=INDEX(球季參數!$F$2:$F$4,MATCH($A50,球季參數!$A$2:$A$4,0)),1,0)</f>
        <v>0</v>
      </c>
    </row>
    <row r="51" customFormat="false" ht="15" hidden="false" customHeight="false" outlineLevel="0" collapsed="false">
      <c r="A51" s="5" t="n">
        <v>2024</v>
      </c>
      <c r="B51" s="7" t="s">
        <v>675</v>
      </c>
      <c r="C51" s="10" t="str">
        <f aca="false">INDEX(球員主檔!$B$2:$B$749,MATCH($B51,球員主檔!$A$2:$A$749,0))</f>
        <v>Mateo Jaramillo</v>
      </c>
      <c r="D51" s="7" t="s">
        <v>358</v>
      </c>
      <c r="E51" s="10" t="str">
        <f aca="false">INDEX(球隊主檔!$C$2:$C$31,MATCH($D51,球隊主檔!$A$2:$A$31,0))</f>
        <v>多倫多藍鳥</v>
      </c>
      <c r="F51" s="10" t="str">
        <f aca="false">INDEX(球隊主檔!$D$2:$D$31,MATCH($D51,球隊主檔!$A$2:$A$31,0))</f>
        <v>美聯</v>
      </c>
      <c r="G51" s="7" t="s">
        <v>507</v>
      </c>
      <c r="H51" s="11" t="n">
        <f aca="false">INT((DATE($A51,7,1)-INDEX(球員主檔!$G$2:$G$749,MATCH($B51,球員主檔!$A$2:$A$749,0)))/365.25)</f>
        <v>29</v>
      </c>
      <c r="I51" s="12" t="n">
        <v>7</v>
      </c>
      <c r="J51" s="12" t="n">
        <v>1</v>
      </c>
      <c r="K51" s="12" t="n">
        <v>1</v>
      </c>
      <c r="L51" s="12" t="n">
        <v>12</v>
      </c>
      <c r="M51" s="12" t="n">
        <v>69</v>
      </c>
      <c r="N51" s="12" t="n">
        <v>0</v>
      </c>
      <c r="O51" s="12" t="n">
        <v>201</v>
      </c>
      <c r="P51" s="16" t="n">
        <f aca="false">O51/3</f>
        <v>67</v>
      </c>
      <c r="Q51" s="17" t="str">
        <f aca="false">INT(O51/3)&amp;"."&amp;MOD(O51,3)</f>
        <v>67.0</v>
      </c>
      <c r="R51" s="12" t="n">
        <v>65</v>
      </c>
      <c r="S51" s="12" t="n">
        <v>47</v>
      </c>
      <c r="T51" s="12" t="n">
        <v>42</v>
      </c>
      <c r="U51" s="12" t="n">
        <v>8</v>
      </c>
      <c r="V51" s="12" t="n">
        <v>20</v>
      </c>
      <c r="W51" s="12" t="n">
        <v>69</v>
      </c>
      <c r="X51" s="12" t="n">
        <v>1</v>
      </c>
      <c r="Y51" s="18" t="n">
        <f aca="false">IF(O51=0,0,T51*27/O51)</f>
        <v>5.64179104477612</v>
      </c>
      <c r="Z51" s="18" t="n">
        <f aca="false">IF(P51=0,0,(V51+R51)/P51)</f>
        <v>1.26865671641791</v>
      </c>
      <c r="AA51" s="18" t="n">
        <f aca="false">IF(O51=0,0,W51*27/O51)</f>
        <v>9.26865671641791</v>
      </c>
      <c r="AB51" s="18" t="n">
        <f aca="false">IF(O51=0,0,V51*27/O51)</f>
        <v>2.6865671641791</v>
      </c>
      <c r="AC51" s="18" t="n">
        <f aca="false">IF(V51=0,0,W51/V51)</f>
        <v>3.45</v>
      </c>
      <c r="AD51" s="18" t="n">
        <f aca="false">IF(P51=0,0,(13*U51+3*(V51+X51)-2*W51)/P51+INDEX(球季參數!$C$2:$C$4,MATCH($A51,球季參數!$A$2:$A$4,0)))</f>
        <v>3.56283582089552</v>
      </c>
      <c r="AE51" s="11" t="n">
        <f aca="false">IF(P51&gt;=INDEX(球季參數!$F$2:$F$4,MATCH($A51,球季參數!$A$2:$A$4,0)),1,0)</f>
        <v>0</v>
      </c>
    </row>
    <row r="52" customFormat="false" ht="15" hidden="false" customHeight="false" outlineLevel="0" collapsed="false">
      <c r="A52" s="5" t="n">
        <v>2024</v>
      </c>
      <c r="B52" s="7" t="s">
        <v>697</v>
      </c>
      <c r="C52" s="10" t="str">
        <f aca="false">INDEX(球員主檔!$B$2:$B$749,MATCH($B52,球員主檔!$A$2:$A$749,0))</f>
        <v>Nolan Dubois</v>
      </c>
      <c r="D52" s="7" t="s">
        <v>362</v>
      </c>
      <c r="E52" s="10" t="str">
        <f aca="false">INDEX(球隊主檔!$C$2:$C$31,MATCH($D52,球隊主檔!$A$2:$A$31,0))</f>
        <v>芝加哥白襪</v>
      </c>
      <c r="F52" s="10" t="str">
        <f aca="false">INDEX(球隊主檔!$D$2:$D$31,MATCH($D52,球隊主檔!$A$2:$A$31,0))</f>
        <v>美聯</v>
      </c>
      <c r="G52" s="7" t="s">
        <v>496</v>
      </c>
      <c r="H52" s="11" t="n">
        <f aca="false">INT((DATE($A52,7,1)-INDEX(球員主檔!$G$2:$G$749,MATCH($B52,球員主檔!$A$2:$A$749,0)))/365.25)</f>
        <v>24</v>
      </c>
      <c r="I52" s="12" t="n">
        <v>16</v>
      </c>
      <c r="J52" s="12" t="n">
        <v>9</v>
      </c>
      <c r="K52" s="12" t="n">
        <v>0</v>
      </c>
      <c r="L52" s="12" t="n">
        <v>0</v>
      </c>
      <c r="M52" s="12" t="n">
        <v>32</v>
      </c>
      <c r="N52" s="12" t="n">
        <v>32</v>
      </c>
      <c r="O52" s="12" t="n">
        <v>579</v>
      </c>
      <c r="P52" s="16" t="n">
        <f aca="false">O52/3</f>
        <v>193</v>
      </c>
      <c r="Q52" s="17" t="str">
        <f aca="false">INT(O52/3)&amp;"."&amp;MOD(O52,3)</f>
        <v>193.0</v>
      </c>
      <c r="R52" s="12" t="n">
        <v>153</v>
      </c>
      <c r="S52" s="12" t="n">
        <v>89</v>
      </c>
      <c r="T52" s="12" t="n">
        <v>82</v>
      </c>
      <c r="U52" s="12" t="n">
        <v>27</v>
      </c>
      <c r="V52" s="12" t="n">
        <v>73</v>
      </c>
      <c r="W52" s="12" t="n">
        <v>193</v>
      </c>
      <c r="X52" s="12" t="n">
        <v>11</v>
      </c>
      <c r="Y52" s="18" t="n">
        <f aca="false">IF(O52=0,0,T52*27/O52)</f>
        <v>3.82383419689119</v>
      </c>
      <c r="Z52" s="18" t="n">
        <f aca="false">IF(P52=0,0,(V52+R52)/P52)</f>
        <v>1.17098445595855</v>
      </c>
      <c r="AA52" s="18" t="n">
        <f aca="false">IF(O52=0,0,W52*27/O52)</f>
        <v>9</v>
      </c>
      <c r="AB52" s="18" t="n">
        <f aca="false">IF(O52=0,0,V52*27/O52)</f>
        <v>3.40414507772021</v>
      </c>
      <c r="AC52" s="18" t="n">
        <f aca="false">IF(V52=0,0,W52/V52)</f>
        <v>2.64383561643836</v>
      </c>
      <c r="AD52" s="18" t="n">
        <f aca="false">IF(P52=0,0,(13*U52+3*(V52+X52)-2*W52)/P52+INDEX(球季參數!$C$2:$C$4,MATCH($A52,球季參數!$A$2:$A$4,0)))</f>
        <v>4.25435233160622</v>
      </c>
      <c r="AE52" s="11" t="n">
        <f aca="false">IF(P52&gt;=INDEX(球季參數!$F$2:$F$4,MATCH($A52,球季參數!$A$2:$A$4,0)),1,0)</f>
        <v>1</v>
      </c>
    </row>
    <row r="53" customFormat="false" ht="15" hidden="false" customHeight="false" outlineLevel="0" collapsed="false">
      <c r="A53" s="5" t="n">
        <v>2024</v>
      </c>
      <c r="B53" s="7" t="s">
        <v>699</v>
      </c>
      <c r="C53" s="10" t="str">
        <f aca="false">INDEX(球員主檔!$B$2:$B$749,MATCH($B53,球員主檔!$A$2:$A$749,0))</f>
        <v>Jedidiah Haverford</v>
      </c>
      <c r="D53" s="7" t="s">
        <v>362</v>
      </c>
      <c r="E53" s="10" t="str">
        <f aca="false">INDEX(球隊主檔!$C$2:$C$31,MATCH($D53,球隊主檔!$A$2:$A$31,0))</f>
        <v>芝加哥白襪</v>
      </c>
      <c r="F53" s="10" t="str">
        <f aca="false">INDEX(球隊主檔!$D$2:$D$31,MATCH($D53,球隊主檔!$A$2:$A$31,0))</f>
        <v>美聯</v>
      </c>
      <c r="G53" s="7" t="s">
        <v>496</v>
      </c>
      <c r="H53" s="11" t="n">
        <f aca="false">INT((DATE($A53,7,1)-INDEX(球員主檔!$G$2:$G$749,MATCH($B53,球員主檔!$A$2:$A$749,0)))/365.25)</f>
        <v>29</v>
      </c>
      <c r="I53" s="12" t="n">
        <v>11</v>
      </c>
      <c r="J53" s="12" t="n">
        <v>4</v>
      </c>
      <c r="K53" s="12" t="n">
        <v>0</v>
      </c>
      <c r="L53" s="12" t="n">
        <v>0</v>
      </c>
      <c r="M53" s="12" t="n">
        <v>26</v>
      </c>
      <c r="N53" s="12" t="n">
        <v>26</v>
      </c>
      <c r="O53" s="12" t="n">
        <v>479</v>
      </c>
      <c r="P53" s="16" t="n">
        <f aca="false">O53/3</f>
        <v>159.666666666667</v>
      </c>
      <c r="Q53" s="17" t="str">
        <f aca="false">INT(O53/3)&amp;"."&amp;MOD(O53,3)</f>
        <v>159.2</v>
      </c>
      <c r="R53" s="12" t="n">
        <v>110</v>
      </c>
      <c r="S53" s="12" t="n">
        <v>56</v>
      </c>
      <c r="T53" s="12" t="n">
        <v>54</v>
      </c>
      <c r="U53" s="12" t="n">
        <v>28</v>
      </c>
      <c r="V53" s="12" t="n">
        <v>47</v>
      </c>
      <c r="W53" s="12" t="n">
        <v>183</v>
      </c>
      <c r="X53" s="12" t="n">
        <v>4</v>
      </c>
      <c r="Y53" s="18" t="n">
        <f aca="false">IF(O53=0,0,T53*27/O53)</f>
        <v>3.04384133611691</v>
      </c>
      <c r="Z53" s="18" t="n">
        <f aca="false">IF(P53=0,0,(V53+R53)/P53)</f>
        <v>0.98329853862213</v>
      </c>
      <c r="AA53" s="18" t="n">
        <f aca="false">IF(O53=0,0,W53*27/O53)</f>
        <v>10.3152400835073</v>
      </c>
      <c r="AB53" s="18" t="n">
        <f aca="false">IF(O53=0,0,V53*27/O53)</f>
        <v>2.64926931106472</v>
      </c>
      <c r="AC53" s="18" t="n">
        <f aca="false">IF(V53=0,0,W53/V53)</f>
        <v>3.8936170212766</v>
      </c>
      <c r="AD53" s="18" t="n">
        <f aca="false">IF(P53=0,0,(13*U53+3*(V53+X53)-2*W53)/P53+INDEX(球季參數!$C$2:$C$4,MATCH($A53,球季參數!$A$2:$A$4,0)))</f>
        <v>4.07572025052192</v>
      </c>
      <c r="AE53" s="11" t="n">
        <f aca="false">IF(P53&gt;=INDEX(球季參數!$F$2:$F$4,MATCH($A53,球季參數!$A$2:$A$4,0)),1,0)</f>
        <v>0</v>
      </c>
    </row>
    <row r="54" customFormat="false" ht="15" hidden="false" customHeight="false" outlineLevel="0" collapsed="false">
      <c r="A54" s="5" t="n">
        <v>2024</v>
      </c>
      <c r="B54" s="7" t="s">
        <v>701</v>
      </c>
      <c r="C54" s="10" t="str">
        <f aca="false">INDEX(球員主檔!$B$2:$B$749,MATCH($B54,球員主檔!$A$2:$A$749,0))</f>
        <v>Jedidiah Prendergast</v>
      </c>
      <c r="D54" s="7" t="s">
        <v>362</v>
      </c>
      <c r="E54" s="10" t="str">
        <f aca="false">INDEX(球隊主檔!$C$2:$C$31,MATCH($D54,球隊主檔!$A$2:$A$31,0))</f>
        <v>芝加哥白襪</v>
      </c>
      <c r="F54" s="10" t="str">
        <f aca="false">INDEX(球隊主檔!$D$2:$D$31,MATCH($D54,球隊主檔!$A$2:$A$31,0))</f>
        <v>美聯</v>
      </c>
      <c r="G54" s="7" t="s">
        <v>496</v>
      </c>
      <c r="H54" s="11" t="n">
        <f aca="false">INT((DATE($A54,7,1)-INDEX(球員主檔!$G$2:$G$749,MATCH($B54,球員主檔!$A$2:$A$749,0)))/365.25)</f>
        <v>28</v>
      </c>
      <c r="I54" s="12" t="n">
        <v>9</v>
      </c>
      <c r="J54" s="12" t="n">
        <v>16</v>
      </c>
      <c r="K54" s="12" t="n">
        <v>0</v>
      </c>
      <c r="L54" s="12" t="n">
        <v>0</v>
      </c>
      <c r="M54" s="12" t="n">
        <v>33</v>
      </c>
      <c r="N54" s="12" t="n">
        <v>33</v>
      </c>
      <c r="O54" s="12" t="n">
        <v>565</v>
      </c>
      <c r="P54" s="16" t="n">
        <f aca="false">O54/3</f>
        <v>188.333333333333</v>
      </c>
      <c r="Q54" s="17" t="str">
        <f aca="false">INT(O54/3)&amp;"."&amp;MOD(O54,3)</f>
        <v>188.1</v>
      </c>
      <c r="R54" s="12" t="n">
        <v>191</v>
      </c>
      <c r="S54" s="12" t="n">
        <v>134</v>
      </c>
      <c r="T54" s="12" t="n">
        <v>133</v>
      </c>
      <c r="U54" s="12" t="n">
        <v>16</v>
      </c>
      <c r="V54" s="12" t="n">
        <v>41</v>
      </c>
      <c r="W54" s="12" t="n">
        <v>156</v>
      </c>
      <c r="X54" s="12" t="n">
        <v>7</v>
      </c>
      <c r="Y54" s="18" t="n">
        <f aca="false">IF(O54=0,0,T54*27/O54)</f>
        <v>6.35575221238938</v>
      </c>
      <c r="Z54" s="18" t="n">
        <f aca="false">IF(P54=0,0,(V54+R54)/P54)</f>
        <v>1.23185840707965</v>
      </c>
      <c r="AA54" s="18" t="n">
        <f aca="false">IF(O54=0,0,W54*27/O54)</f>
        <v>7.45486725663717</v>
      </c>
      <c r="AB54" s="18" t="n">
        <f aca="false">IF(O54=0,0,V54*27/O54)</f>
        <v>1.95929203539823</v>
      </c>
      <c r="AC54" s="18" t="n">
        <f aca="false">IF(V54=0,0,W54/V54)</f>
        <v>3.80487804878049</v>
      </c>
      <c r="AD54" s="18" t="n">
        <f aca="false">IF(P54=0,0,(13*U54+3*(V54+X54)-2*W54)/P54+INDEX(球季參數!$C$2:$C$4,MATCH($A54,球季參數!$A$2:$A$4,0)))</f>
        <v>3.34238938053097</v>
      </c>
      <c r="AE54" s="11" t="n">
        <f aca="false">IF(P54&gt;=INDEX(球季參數!$F$2:$F$4,MATCH($A54,球季參數!$A$2:$A$4,0)),1,0)</f>
        <v>1</v>
      </c>
    </row>
    <row r="55" customFormat="false" ht="15" hidden="false" customHeight="false" outlineLevel="0" collapsed="false">
      <c r="A55" s="5" t="n">
        <v>2024</v>
      </c>
      <c r="B55" s="7" t="s">
        <v>703</v>
      </c>
      <c r="C55" s="10" t="str">
        <f aca="false">INDEX(球員主檔!$B$2:$B$749,MATCH($B55,球員主檔!$A$2:$A$749,0))</f>
        <v>Augustin Quiroga</v>
      </c>
      <c r="D55" s="7" t="s">
        <v>362</v>
      </c>
      <c r="E55" s="10" t="str">
        <f aca="false">INDEX(球隊主檔!$C$2:$C$31,MATCH($D55,球隊主檔!$A$2:$A$31,0))</f>
        <v>芝加哥白襪</v>
      </c>
      <c r="F55" s="10" t="str">
        <f aca="false">INDEX(球隊主檔!$D$2:$D$31,MATCH($D55,球隊主檔!$A$2:$A$31,0))</f>
        <v>美聯</v>
      </c>
      <c r="G55" s="7" t="s">
        <v>496</v>
      </c>
      <c r="H55" s="11" t="n">
        <f aca="false">INT((DATE($A55,7,1)-INDEX(球員主檔!$G$2:$G$749,MATCH($B55,球員主檔!$A$2:$A$749,0)))/365.25)</f>
        <v>30</v>
      </c>
      <c r="I55" s="12" t="n">
        <v>11</v>
      </c>
      <c r="J55" s="12" t="n">
        <v>5</v>
      </c>
      <c r="K55" s="12" t="n">
        <v>0</v>
      </c>
      <c r="L55" s="12" t="n">
        <v>0</v>
      </c>
      <c r="M55" s="12" t="n">
        <v>27</v>
      </c>
      <c r="N55" s="12" t="n">
        <v>27</v>
      </c>
      <c r="O55" s="12" t="n">
        <v>464</v>
      </c>
      <c r="P55" s="16" t="n">
        <f aca="false">O55/3</f>
        <v>154.666666666667</v>
      </c>
      <c r="Q55" s="17" t="str">
        <f aca="false">INT(O55/3)&amp;"."&amp;MOD(O55,3)</f>
        <v>154.2</v>
      </c>
      <c r="R55" s="12" t="n">
        <v>126</v>
      </c>
      <c r="S55" s="12" t="n">
        <v>65</v>
      </c>
      <c r="T55" s="12" t="n">
        <v>60</v>
      </c>
      <c r="U55" s="12" t="n">
        <v>30</v>
      </c>
      <c r="V55" s="12" t="n">
        <v>37</v>
      </c>
      <c r="W55" s="12" t="n">
        <v>152</v>
      </c>
      <c r="X55" s="12" t="n">
        <v>6</v>
      </c>
      <c r="Y55" s="18" t="n">
        <f aca="false">IF(O55=0,0,T55*27/O55)</f>
        <v>3.49137931034483</v>
      </c>
      <c r="Z55" s="18" t="n">
        <f aca="false">IF(P55=0,0,(V55+R55)/P55)</f>
        <v>1.05387931034483</v>
      </c>
      <c r="AA55" s="18" t="n">
        <f aca="false">IF(O55=0,0,W55*27/O55)</f>
        <v>8.8448275862069</v>
      </c>
      <c r="AB55" s="18" t="n">
        <f aca="false">IF(O55=0,0,V55*27/O55)</f>
        <v>2.15301724137931</v>
      </c>
      <c r="AC55" s="18" t="n">
        <f aca="false">IF(V55=0,0,W55/V55)</f>
        <v>4.10810810810811</v>
      </c>
      <c r="AD55" s="18" t="n">
        <f aca="false">IF(P55=0,0,(13*U55+3*(V55+X55)-2*W55)/P55+INDEX(球季參數!$C$2:$C$4,MATCH($A55,球季參數!$A$2:$A$4,0)))</f>
        <v>4.52008620689655</v>
      </c>
      <c r="AE55" s="11" t="n">
        <f aca="false">IF(P55&gt;=INDEX(球季參數!$F$2:$F$4,MATCH($A55,球季參數!$A$2:$A$4,0)),1,0)</f>
        <v>0</v>
      </c>
    </row>
    <row r="56" customFormat="false" ht="15" hidden="false" customHeight="false" outlineLevel="0" collapsed="false">
      <c r="A56" s="5" t="n">
        <v>2024</v>
      </c>
      <c r="B56" s="7" t="s">
        <v>705</v>
      </c>
      <c r="C56" s="10" t="str">
        <f aca="false">INDEX(球員主檔!$B$2:$B$749,MATCH($B56,球員主檔!$A$2:$A$749,0))</f>
        <v>Ignacio Haverford</v>
      </c>
      <c r="D56" s="7" t="s">
        <v>362</v>
      </c>
      <c r="E56" s="10" t="str">
        <f aca="false">INDEX(球隊主檔!$C$2:$C$31,MATCH($D56,球隊主檔!$A$2:$A$31,0))</f>
        <v>芝加哥白襪</v>
      </c>
      <c r="F56" s="10" t="str">
        <f aca="false">INDEX(球隊主檔!$D$2:$D$31,MATCH($D56,球隊主檔!$A$2:$A$31,0))</f>
        <v>美聯</v>
      </c>
      <c r="G56" s="7" t="s">
        <v>496</v>
      </c>
      <c r="H56" s="11" t="n">
        <f aca="false">INT((DATE($A56,7,1)-INDEX(球員主檔!$G$2:$G$749,MATCH($B56,球員主檔!$A$2:$A$749,0)))/365.25)</f>
        <v>27</v>
      </c>
      <c r="I56" s="12" t="n">
        <v>10</v>
      </c>
      <c r="J56" s="12" t="n">
        <v>6</v>
      </c>
      <c r="K56" s="12" t="n">
        <v>0</v>
      </c>
      <c r="L56" s="12" t="n">
        <v>0</v>
      </c>
      <c r="M56" s="12" t="n">
        <v>29</v>
      </c>
      <c r="N56" s="12" t="n">
        <v>29</v>
      </c>
      <c r="O56" s="12" t="n">
        <v>488</v>
      </c>
      <c r="P56" s="16" t="n">
        <f aca="false">O56/3</f>
        <v>162.666666666667</v>
      </c>
      <c r="Q56" s="17" t="str">
        <f aca="false">INT(O56/3)&amp;"."&amp;MOD(O56,3)</f>
        <v>162.2</v>
      </c>
      <c r="R56" s="12" t="n">
        <v>132</v>
      </c>
      <c r="S56" s="12" t="n">
        <v>90</v>
      </c>
      <c r="T56" s="12" t="n">
        <v>80</v>
      </c>
      <c r="U56" s="12" t="n">
        <v>17</v>
      </c>
      <c r="V56" s="12" t="n">
        <v>79</v>
      </c>
      <c r="W56" s="12" t="n">
        <v>141</v>
      </c>
      <c r="X56" s="12" t="n">
        <v>2</v>
      </c>
      <c r="Y56" s="18" t="n">
        <f aca="false">IF(O56=0,0,T56*27/O56)</f>
        <v>4.42622950819672</v>
      </c>
      <c r="Z56" s="18" t="n">
        <f aca="false">IF(P56=0,0,(V56+R56)/P56)</f>
        <v>1.29713114754098</v>
      </c>
      <c r="AA56" s="18" t="n">
        <f aca="false">IF(O56=0,0,W56*27/O56)</f>
        <v>7.80122950819672</v>
      </c>
      <c r="AB56" s="18" t="n">
        <f aca="false">IF(O56=0,0,V56*27/O56)</f>
        <v>4.37090163934426</v>
      </c>
      <c r="AC56" s="18" t="n">
        <f aca="false">IF(V56=0,0,W56/V56)</f>
        <v>1.78481012658228</v>
      </c>
      <c r="AD56" s="18" t="n">
        <f aca="false">IF(P56=0,0,(13*U56+3*(V56+X56)-2*W56)/P56+INDEX(球季參數!$C$2:$C$4,MATCH($A56,球季參數!$A$2:$A$4,0)))</f>
        <v>4.24885245901639</v>
      </c>
      <c r="AE56" s="11" t="n">
        <f aca="false">IF(P56&gt;=INDEX(球季參數!$F$2:$F$4,MATCH($A56,球季參數!$A$2:$A$4,0)),1,0)</f>
        <v>1</v>
      </c>
    </row>
    <row r="57" customFormat="false" ht="15" hidden="false" customHeight="false" outlineLevel="0" collapsed="false">
      <c r="A57" s="5" t="n">
        <v>2024</v>
      </c>
      <c r="B57" s="7" t="s">
        <v>707</v>
      </c>
      <c r="C57" s="10" t="str">
        <f aca="false">INDEX(球員主檔!$B$2:$B$749,MATCH($B57,球員主檔!$A$2:$A$749,0))</f>
        <v>Rintaro Engelhardt</v>
      </c>
      <c r="D57" s="7" t="s">
        <v>362</v>
      </c>
      <c r="E57" s="10" t="str">
        <f aca="false">INDEX(球隊主檔!$C$2:$C$31,MATCH($D57,球隊主檔!$A$2:$A$31,0))</f>
        <v>芝加哥白襪</v>
      </c>
      <c r="F57" s="10" t="str">
        <f aca="false">INDEX(球隊主檔!$D$2:$D$31,MATCH($D57,球隊主檔!$A$2:$A$31,0))</f>
        <v>美聯</v>
      </c>
      <c r="G57" s="7" t="s">
        <v>507</v>
      </c>
      <c r="H57" s="11" t="n">
        <f aca="false">INT((DATE($A57,7,1)-INDEX(球員主檔!$G$2:$G$749,MATCH($B57,球員主檔!$A$2:$A$749,0)))/365.25)</f>
        <v>29</v>
      </c>
      <c r="I57" s="12" t="n">
        <v>9</v>
      </c>
      <c r="J57" s="12" t="n">
        <v>4</v>
      </c>
      <c r="K57" s="12" t="n">
        <v>4</v>
      </c>
      <c r="L57" s="12" t="n">
        <v>5</v>
      </c>
      <c r="M57" s="12" t="n">
        <v>50</v>
      </c>
      <c r="N57" s="12" t="n">
        <v>0</v>
      </c>
      <c r="O57" s="12" t="n">
        <v>163</v>
      </c>
      <c r="P57" s="16" t="n">
        <f aca="false">O57/3</f>
        <v>54.3333333333333</v>
      </c>
      <c r="Q57" s="17" t="str">
        <f aca="false">INT(O57/3)&amp;"."&amp;MOD(O57,3)</f>
        <v>54.1</v>
      </c>
      <c r="R57" s="12" t="n">
        <v>45</v>
      </c>
      <c r="S57" s="12" t="n">
        <v>28</v>
      </c>
      <c r="T57" s="12" t="n">
        <v>26</v>
      </c>
      <c r="U57" s="12" t="n">
        <v>5</v>
      </c>
      <c r="V57" s="12" t="n">
        <v>25</v>
      </c>
      <c r="W57" s="12" t="n">
        <v>72</v>
      </c>
      <c r="X57" s="12" t="n">
        <v>2</v>
      </c>
      <c r="Y57" s="18" t="n">
        <f aca="false">IF(O57=0,0,T57*27/O57)</f>
        <v>4.30674846625767</v>
      </c>
      <c r="Z57" s="18" t="n">
        <f aca="false">IF(P57=0,0,(V57+R57)/P57)</f>
        <v>1.28834355828221</v>
      </c>
      <c r="AA57" s="18" t="n">
        <f aca="false">IF(O57=0,0,W57*27/O57)</f>
        <v>11.9263803680982</v>
      </c>
      <c r="AB57" s="18" t="n">
        <f aca="false">IF(O57=0,0,V57*27/O57)</f>
        <v>4.14110429447853</v>
      </c>
      <c r="AC57" s="18" t="n">
        <f aca="false">IF(V57=0,0,W57/V57)</f>
        <v>2.88</v>
      </c>
      <c r="AD57" s="18" t="n">
        <f aca="false">IF(P57=0,0,(13*U57+3*(V57+X57)-2*W57)/P57+INDEX(球季參數!$C$2:$C$4,MATCH($A57,球季參數!$A$2:$A$4,0)))</f>
        <v>3.16680981595092</v>
      </c>
      <c r="AE57" s="11" t="n">
        <f aca="false">IF(P57&gt;=INDEX(球季參數!$F$2:$F$4,MATCH($A57,球季參數!$A$2:$A$4,0)),1,0)</f>
        <v>0</v>
      </c>
    </row>
    <row r="58" customFormat="false" ht="15" hidden="false" customHeight="false" outlineLevel="0" collapsed="false">
      <c r="A58" s="5" t="n">
        <v>2024</v>
      </c>
      <c r="B58" s="7" t="s">
        <v>709</v>
      </c>
      <c r="C58" s="10" t="str">
        <f aca="false">INDEX(球員主檔!$B$2:$B$749,MATCH($B58,球員主檔!$A$2:$A$749,0))</f>
        <v>Tristan Cavanaugh</v>
      </c>
      <c r="D58" s="7" t="s">
        <v>362</v>
      </c>
      <c r="E58" s="10" t="str">
        <f aca="false">INDEX(球隊主檔!$C$2:$C$31,MATCH($D58,球隊主檔!$A$2:$A$31,0))</f>
        <v>芝加哥白襪</v>
      </c>
      <c r="F58" s="10" t="str">
        <f aca="false">INDEX(球隊主檔!$D$2:$D$31,MATCH($D58,球隊主檔!$A$2:$A$31,0))</f>
        <v>美聯</v>
      </c>
      <c r="G58" s="7" t="s">
        <v>507</v>
      </c>
      <c r="H58" s="11" t="n">
        <f aca="false">INT((DATE($A58,7,1)-INDEX(球員主檔!$G$2:$G$749,MATCH($B58,球員主檔!$A$2:$A$749,0)))/365.25)</f>
        <v>30</v>
      </c>
      <c r="I58" s="12" t="n">
        <v>3</v>
      </c>
      <c r="J58" s="12" t="n">
        <v>6</v>
      </c>
      <c r="K58" s="12" t="n">
        <v>4</v>
      </c>
      <c r="L58" s="12" t="n">
        <v>18</v>
      </c>
      <c r="M58" s="12" t="n">
        <v>74</v>
      </c>
      <c r="N58" s="12" t="n">
        <v>0</v>
      </c>
      <c r="O58" s="12" t="n">
        <v>236</v>
      </c>
      <c r="P58" s="16" t="n">
        <f aca="false">O58/3</f>
        <v>78.6666666666667</v>
      </c>
      <c r="Q58" s="17" t="str">
        <f aca="false">INT(O58/3)&amp;"."&amp;MOD(O58,3)</f>
        <v>78.2</v>
      </c>
      <c r="R58" s="12" t="n">
        <v>71</v>
      </c>
      <c r="S58" s="12" t="n">
        <v>44</v>
      </c>
      <c r="T58" s="12" t="n">
        <v>41</v>
      </c>
      <c r="U58" s="12" t="n">
        <v>10</v>
      </c>
      <c r="V58" s="12" t="n">
        <v>19</v>
      </c>
      <c r="W58" s="12" t="n">
        <v>105</v>
      </c>
      <c r="X58" s="12" t="n">
        <v>3</v>
      </c>
      <c r="Y58" s="18" t="n">
        <f aca="false">IF(O58=0,0,T58*27/O58)</f>
        <v>4.6906779661017</v>
      </c>
      <c r="Z58" s="18" t="n">
        <f aca="false">IF(P58=0,0,(V58+R58)/P58)</f>
        <v>1.14406779661017</v>
      </c>
      <c r="AA58" s="18" t="n">
        <f aca="false">IF(O58=0,0,W58*27/O58)</f>
        <v>12.0127118644068</v>
      </c>
      <c r="AB58" s="18" t="n">
        <f aca="false">IF(O58=0,0,V58*27/O58)</f>
        <v>2.17372881355932</v>
      </c>
      <c r="AC58" s="18" t="n">
        <f aca="false">IF(V58=0,0,W58/V58)</f>
        <v>5.52631578947368</v>
      </c>
      <c r="AD58" s="18" t="n">
        <f aca="false">IF(P58=0,0,(13*U58+3*(V58+X58)-2*W58)/P58+INDEX(球季參數!$C$2:$C$4,MATCH($A58,球季參數!$A$2:$A$4,0)))</f>
        <v>2.95203389830508</v>
      </c>
      <c r="AE58" s="11" t="n">
        <f aca="false">IF(P58&gt;=INDEX(球季參數!$F$2:$F$4,MATCH($A58,球季參數!$A$2:$A$4,0)),1,0)</f>
        <v>0</v>
      </c>
    </row>
    <row r="59" customFormat="false" ht="15" hidden="false" customHeight="false" outlineLevel="0" collapsed="false">
      <c r="A59" s="5" t="n">
        <v>2024</v>
      </c>
      <c r="B59" s="7" t="s">
        <v>711</v>
      </c>
      <c r="C59" s="10" t="str">
        <f aca="false">INDEX(球員主檔!$B$2:$B$749,MATCH($B59,球員主檔!$A$2:$A$749,0))</f>
        <v>Rowan Rasmussen</v>
      </c>
      <c r="D59" s="7" t="s">
        <v>362</v>
      </c>
      <c r="E59" s="10" t="str">
        <f aca="false">INDEX(球隊主檔!$C$2:$C$31,MATCH($D59,球隊主檔!$A$2:$A$31,0))</f>
        <v>芝加哥白襪</v>
      </c>
      <c r="F59" s="10" t="str">
        <f aca="false">INDEX(球隊主檔!$D$2:$D$31,MATCH($D59,球隊主檔!$A$2:$A$31,0))</f>
        <v>美聯</v>
      </c>
      <c r="G59" s="7" t="s">
        <v>507</v>
      </c>
      <c r="H59" s="11" t="n">
        <f aca="false">INT((DATE($A59,7,1)-INDEX(球員主檔!$G$2:$G$749,MATCH($B59,球員主檔!$A$2:$A$749,0)))/365.25)</f>
        <v>28</v>
      </c>
      <c r="I59" s="12" t="n">
        <v>1</v>
      </c>
      <c r="J59" s="12" t="n">
        <v>7</v>
      </c>
      <c r="K59" s="12" t="n">
        <v>4</v>
      </c>
      <c r="L59" s="12" t="n">
        <v>5</v>
      </c>
      <c r="M59" s="12" t="n">
        <v>53</v>
      </c>
      <c r="N59" s="12" t="n">
        <v>0</v>
      </c>
      <c r="O59" s="12" t="n">
        <v>158</v>
      </c>
      <c r="P59" s="16" t="n">
        <f aca="false">O59/3</f>
        <v>52.6666666666667</v>
      </c>
      <c r="Q59" s="17" t="str">
        <f aca="false">INT(O59/3)&amp;"."&amp;MOD(O59,3)</f>
        <v>52.2</v>
      </c>
      <c r="R59" s="12" t="n">
        <v>53</v>
      </c>
      <c r="S59" s="12" t="n">
        <v>32</v>
      </c>
      <c r="T59" s="12" t="n">
        <v>32</v>
      </c>
      <c r="U59" s="12" t="n">
        <v>7</v>
      </c>
      <c r="V59" s="12" t="n">
        <v>11</v>
      </c>
      <c r="W59" s="12" t="n">
        <v>55</v>
      </c>
      <c r="X59" s="12" t="n">
        <v>2</v>
      </c>
      <c r="Y59" s="18" t="n">
        <f aca="false">IF(O59=0,0,T59*27/O59)</f>
        <v>5.46835443037975</v>
      </c>
      <c r="Z59" s="18" t="n">
        <f aca="false">IF(P59=0,0,(V59+R59)/P59)</f>
        <v>1.21518987341772</v>
      </c>
      <c r="AA59" s="18" t="n">
        <f aca="false">IF(O59=0,0,W59*27/O59)</f>
        <v>9.39873417721519</v>
      </c>
      <c r="AB59" s="18" t="n">
        <f aca="false">IF(O59=0,0,V59*27/O59)</f>
        <v>1.87974683544304</v>
      </c>
      <c r="AC59" s="18" t="n">
        <f aca="false">IF(V59=0,0,W59/V59)</f>
        <v>5</v>
      </c>
      <c r="AD59" s="18" t="n">
        <f aca="false">IF(P59=0,0,(13*U59+3*(V59+X59)-2*W59)/P59+INDEX(球季參數!$C$2:$C$4,MATCH($A59,球季參數!$A$2:$A$4,0)))</f>
        <v>3.50974683544304</v>
      </c>
      <c r="AE59" s="11" t="n">
        <f aca="false">IF(P59&gt;=INDEX(球季參數!$F$2:$F$4,MATCH($A59,球季參數!$A$2:$A$4,0)),1,0)</f>
        <v>0</v>
      </c>
    </row>
    <row r="60" customFormat="false" ht="15" hidden="false" customHeight="false" outlineLevel="0" collapsed="false">
      <c r="A60" s="5" t="n">
        <v>2024</v>
      </c>
      <c r="B60" s="7" t="s">
        <v>713</v>
      </c>
      <c r="C60" s="10" t="str">
        <f aca="false">INDEX(球員主檔!$B$2:$B$749,MATCH($B60,球員主檔!$A$2:$A$749,0))</f>
        <v>Everett Brightwell</v>
      </c>
      <c r="D60" s="7" t="s">
        <v>362</v>
      </c>
      <c r="E60" s="10" t="str">
        <f aca="false">INDEX(球隊主檔!$C$2:$C$31,MATCH($D60,球隊主檔!$A$2:$A$31,0))</f>
        <v>芝加哥白襪</v>
      </c>
      <c r="F60" s="10" t="str">
        <f aca="false">INDEX(球隊主檔!$D$2:$D$31,MATCH($D60,球隊主檔!$A$2:$A$31,0))</f>
        <v>美聯</v>
      </c>
      <c r="G60" s="7" t="s">
        <v>507</v>
      </c>
      <c r="H60" s="11" t="n">
        <f aca="false">INT((DATE($A60,7,1)-INDEX(球員主檔!$G$2:$G$749,MATCH($B60,球員主檔!$A$2:$A$749,0)))/365.25)</f>
        <v>26</v>
      </c>
      <c r="I60" s="12" t="n">
        <v>8</v>
      </c>
      <c r="J60" s="12" t="n">
        <v>8</v>
      </c>
      <c r="K60" s="12" t="n">
        <v>5</v>
      </c>
      <c r="L60" s="12" t="n">
        <v>6</v>
      </c>
      <c r="M60" s="12" t="n">
        <v>44</v>
      </c>
      <c r="N60" s="12" t="n">
        <v>0</v>
      </c>
      <c r="O60" s="12" t="n">
        <v>139</v>
      </c>
      <c r="P60" s="16" t="n">
        <f aca="false">O60/3</f>
        <v>46.3333333333333</v>
      </c>
      <c r="Q60" s="17" t="str">
        <f aca="false">INT(O60/3)&amp;"."&amp;MOD(O60,3)</f>
        <v>46.1</v>
      </c>
      <c r="R60" s="12" t="n">
        <v>39</v>
      </c>
      <c r="S60" s="12" t="n">
        <v>20</v>
      </c>
      <c r="T60" s="12" t="n">
        <v>20</v>
      </c>
      <c r="U60" s="12" t="n">
        <v>6</v>
      </c>
      <c r="V60" s="12" t="n">
        <v>19</v>
      </c>
      <c r="W60" s="12" t="n">
        <v>45</v>
      </c>
      <c r="X60" s="12" t="n">
        <v>1</v>
      </c>
      <c r="Y60" s="18" t="n">
        <f aca="false">IF(O60=0,0,T60*27/O60)</f>
        <v>3.88489208633094</v>
      </c>
      <c r="Z60" s="18" t="n">
        <f aca="false">IF(P60=0,0,(V60+R60)/P60)</f>
        <v>1.25179856115108</v>
      </c>
      <c r="AA60" s="18" t="n">
        <f aca="false">IF(O60=0,0,W60*27/O60)</f>
        <v>8.7410071942446</v>
      </c>
      <c r="AB60" s="18" t="n">
        <f aca="false">IF(O60=0,0,V60*27/O60)</f>
        <v>3.69064748201439</v>
      </c>
      <c r="AC60" s="18" t="n">
        <f aca="false">IF(V60=0,0,W60/V60)</f>
        <v>2.36842105263158</v>
      </c>
      <c r="AD60" s="18" t="n">
        <f aca="false">IF(P60=0,0,(13*U60+3*(V60+X60)-2*W60)/P60+INDEX(球季參數!$C$2:$C$4,MATCH($A60,球季參數!$A$2:$A$4,0)))</f>
        <v>4.16597122302158</v>
      </c>
      <c r="AE60" s="11" t="n">
        <f aca="false">IF(P60&gt;=INDEX(球季參數!$F$2:$F$4,MATCH($A60,球季參數!$A$2:$A$4,0)),1,0)</f>
        <v>0</v>
      </c>
    </row>
    <row r="61" customFormat="false" ht="15" hidden="false" customHeight="false" outlineLevel="0" collapsed="false">
      <c r="A61" s="5" t="n">
        <v>2024</v>
      </c>
      <c r="B61" s="7" t="s">
        <v>715</v>
      </c>
      <c r="C61" s="10" t="str">
        <f aca="false">INDEX(球員主檔!$B$2:$B$749,MATCH($B61,球員主檔!$A$2:$A$749,0))</f>
        <v>Marcus Lindquist</v>
      </c>
      <c r="D61" s="7" t="s">
        <v>362</v>
      </c>
      <c r="E61" s="10" t="str">
        <f aca="false">INDEX(球隊主檔!$C$2:$C$31,MATCH($D61,球隊主檔!$A$2:$A$31,0))</f>
        <v>芝加哥白襪</v>
      </c>
      <c r="F61" s="10" t="str">
        <f aca="false">INDEX(球隊主檔!$D$2:$D$31,MATCH($D61,球隊主檔!$A$2:$A$31,0))</f>
        <v>美聯</v>
      </c>
      <c r="G61" s="7" t="s">
        <v>507</v>
      </c>
      <c r="H61" s="11" t="n">
        <f aca="false">INT((DATE($A61,7,1)-INDEX(球員主檔!$G$2:$G$749,MATCH($B61,球員主檔!$A$2:$A$749,0)))/365.25)</f>
        <v>25</v>
      </c>
      <c r="I61" s="12" t="n">
        <v>9</v>
      </c>
      <c r="J61" s="12" t="n">
        <v>7</v>
      </c>
      <c r="K61" s="12" t="n">
        <v>5</v>
      </c>
      <c r="L61" s="12" t="n">
        <v>19</v>
      </c>
      <c r="M61" s="12" t="n">
        <v>45</v>
      </c>
      <c r="N61" s="12" t="n">
        <v>0</v>
      </c>
      <c r="O61" s="12" t="n">
        <v>137</v>
      </c>
      <c r="P61" s="16" t="n">
        <f aca="false">O61/3</f>
        <v>45.6666666666667</v>
      </c>
      <c r="Q61" s="17" t="str">
        <f aca="false">INT(O61/3)&amp;"."&amp;MOD(O61,3)</f>
        <v>45.2</v>
      </c>
      <c r="R61" s="12" t="n">
        <v>40</v>
      </c>
      <c r="S61" s="12" t="n">
        <v>23</v>
      </c>
      <c r="T61" s="12" t="n">
        <v>23</v>
      </c>
      <c r="U61" s="12" t="n">
        <v>4</v>
      </c>
      <c r="V61" s="12" t="n">
        <v>19</v>
      </c>
      <c r="W61" s="12" t="n">
        <v>40</v>
      </c>
      <c r="X61" s="12" t="n">
        <v>2</v>
      </c>
      <c r="Y61" s="18" t="n">
        <f aca="false">IF(O61=0,0,T61*27/O61)</f>
        <v>4.53284671532847</v>
      </c>
      <c r="Z61" s="18" t="n">
        <f aca="false">IF(P61=0,0,(V61+R61)/P61)</f>
        <v>1.29197080291971</v>
      </c>
      <c r="AA61" s="18" t="n">
        <f aca="false">IF(O61=0,0,W61*27/O61)</f>
        <v>7.88321167883212</v>
      </c>
      <c r="AB61" s="18" t="n">
        <f aca="false">IF(O61=0,0,V61*27/O61)</f>
        <v>3.74452554744526</v>
      </c>
      <c r="AC61" s="18" t="n">
        <f aca="false">IF(V61=0,0,W61/V61)</f>
        <v>2.10526315789474</v>
      </c>
      <c r="AD61" s="18" t="n">
        <f aca="false">IF(P61=0,0,(13*U61+3*(V61+X61)-2*W61)/P61+INDEX(球季參數!$C$2:$C$4,MATCH($A61,球季參數!$A$2:$A$4,0)))</f>
        <v>3.89642335766423</v>
      </c>
      <c r="AE61" s="11" t="n">
        <f aca="false">IF(P61&gt;=INDEX(球季參數!$F$2:$F$4,MATCH($A61,球季參數!$A$2:$A$4,0)),1,0)</f>
        <v>0</v>
      </c>
    </row>
    <row r="62" customFormat="false" ht="15" hidden="false" customHeight="false" outlineLevel="0" collapsed="false">
      <c r="A62" s="5" t="n">
        <v>2024</v>
      </c>
      <c r="B62" s="7" t="s">
        <v>737</v>
      </c>
      <c r="C62" s="10" t="str">
        <f aca="false">INDEX(球員主檔!$B$2:$B$749,MATCH($B62,球員主檔!$A$2:$A$749,0))</f>
        <v>Rhett Ibarra</v>
      </c>
      <c r="D62" s="7" t="s">
        <v>367</v>
      </c>
      <c r="E62" s="10" t="str">
        <f aca="false">INDEX(球隊主檔!$C$2:$C$31,MATCH($D62,球隊主檔!$A$2:$A$31,0))</f>
        <v>克里夫蘭守護者</v>
      </c>
      <c r="F62" s="10" t="str">
        <f aca="false">INDEX(球隊主檔!$D$2:$D$31,MATCH($D62,球隊主檔!$A$2:$A$31,0))</f>
        <v>美聯</v>
      </c>
      <c r="G62" s="7" t="s">
        <v>496</v>
      </c>
      <c r="H62" s="11" t="n">
        <f aca="false">INT((DATE($A62,7,1)-INDEX(球員主檔!$G$2:$G$749,MATCH($B62,球員主檔!$A$2:$A$749,0)))/365.25)</f>
        <v>30</v>
      </c>
      <c r="I62" s="12" t="n">
        <v>10</v>
      </c>
      <c r="J62" s="12" t="n">
        <v>6</v>
      </c>
      <c r="K62" s="12" t="n">
        <v>0</v>
      </c>
      <c r="L62" s="12" t="n">
        <v>0</v>
      </c>
      <c r="M62" s="12" t="n">
        <v>21</v>
      </c>
      <c r="N62" s="12" t="n">
        <v>21</v>
      </c>
      <c r="O62" s="12" t="n">
        <v>344</v>
      </c>
      <c r="P62" s="16" t="n">
        <f aca="false">O62/3</f>
        <v>114.666666666667</v>
      </c>
      <c r="Q62" s="17" t="str">
        <f aca="false">INT(O62/3)&amp;"."&amp;MOD(O62,3)</f>
        <v>114.2</v>
      </c>
      <c r="R62" s="12" t="n">
        <v>100</v>
      </c>
      <c r="S62" s="12" t="n">
        <v>48</v>
      </c>
      <c r="T62" s="12" t="n">
        <v>48</v>
      </c>
      <c r="U62" s="12" t="n">
        <v>12</v>
      </c>
      <c r="V62" s="12" t="n">
        <v>46</v>
      </c>
      <c r="W62" s="12" t="n">
        <v>126</v>
      </c>
      <c r="X62" s="12" t="n">
        <v>2</v>
      </c>
      <c r="Y62" s="18" t="n">
        <f aca="false">IF(O62=0,0,T62*27/O62)</f>
        <v>3.76744186046512</v>
      </c>
      <c r="Z62" s="18" t="n">
        <f aca="false">IF(P62=0,0,(V62+R62)/P62)</f>
        <v>1.27325581395349</v>
      </c>
      <c r="AA62" s="18" t="n">
        <f aca="false">IF(O62=0,0,W62*27/O62)</f>
        <v>9.88953488372093</v>
      </c>
      <c r="AB62" s="18" t="n">
        <f aca="false">IF(O62=0,0,V62*27/O62)</f>
        <v>3.61046511627907</v>
      </c>
      <c r="AC62" s="18" t="n">
        <f aca="false">IF(V62=0,0,W62/V62)</f>
        <v>2.73913043478261</v>
      </c>
      <c r="AD62" s="18" t="n">
        <f aca="false">IF(P62=0,0,(13*U62+3*(V62+X62)-2*W62)/P62+INDEX(球季參數!$C$2:$C$4,MATCH($A62,球季參數!$A$2:$A$4,0)))</f>
        <v>3.54860465116279</v>
      </c>
      <c r="AE62" s="11" t="n">
        <f aca="false">IF(P62&gt;=INDEX(球季參數!$F$2:$F$4,MATCH($A62,球季參數!$A$2:$A$4,0)),1,0)</f>
        <v>0</v>
      </c>
    </row>
    <row r="63" customFormat="false" ht="15" hidden="false" customHeight="false" outlineLevel="0" collapsed="false">
      <c r="A63" s="5" t="n">
        <v>2024</v>
      </c>
      <c r="B63" s="7" t="s">
        <v>739</v>
      </c>
      <c r="C63" s="10" t="str">
        <f aca="false">INDEX(球員主檔!$B$2:$B$749,MATCH($B63,球員主檔!$A$2:$A$749,0))</f>
        <v>Emilio Quiroga</v>
      </c>
      <c r="D63" s="7" t="s">
        <v>367</v>
      </c>
      <c r="E63" s="10" t="str">
        <f aca="false">INDEX(球隊主檔!$C$2:$C$31,MATCH($D63,球隊主檔!$A$2:$A$31,0))</f>
        <v>克里夫蘭守護者</v>
      </c>
      <c r="F63" s="10" t="str">
        <f aca="false">INDEX(球隊主檔!$D$2:$D$31,MATCH($D63,球隊主檔!$A$2:$A$31,0))</f>
        <v>美聯</v>
      </c>
      <c r="G63" s="7" t="s">
        <v>496</v>
      </c>
      <c r="H63" s="11" t="n">
        <f aca="false">INT((DATE($A63,7,1)-INDEX(球員主檔!$G$2:$G$749,MATCH($B63,球員主檔!$A$2:$A$749,0)))/365.25)</f>
        <v>31</v>
      </c>
      <c r="I63" s="12" t="n">
        <v>7</v>
      </c>
      <c r="J63" s="12" t="n">
        <v>7</v>
      </c>
      <c r="K63" s="12" t="n">
        <v>0</v>
      </c>
      <c r="L63" s="12" t="n">
        <v>0</v>
      </c>
      <c r="M63" s="12" t="n">
        <v>24</v>
      </c>
      <c r="N63" s="12" t="n">
        <v>24</v>
      </c>
      <c r="O63" s="12" t="n">
        <v>354</v>
      </c>
      <c r="P63" s="16" t="n">
        <f aca="false">O63/3</f>
        <v>118</v>
      </c>
      <c r="Q63" s="17" t="str">
        <f aca="false">INT(O63/3)&amp;"."&amp;MOD(O63,3)</f>
        <v>118.0</v>
      </c>
      <c r="R63" s="12" t="n">
        <v>107</v>
      </c>
      <c r="S63" s="12" t="n">
        <v>68</v>
      </c>
      <c r="T63" s="12" t="n">
        <v>61</v>
      </c>
      <c r="U63" s="12" t="n">
        <v>13</v>
      </c>
      <c r="V63" s="12" t="n">
        <v>50</v>
      </c>
      <c r="W63" s="12" t="n">
        <v>100</v>
      </c>
      <c r="X63" s="12" t="n">
        <v>1</v>
      </c>
      <c r="Y63" s="18" t="n">
        <f aca="false">IF(O63=0,0,T63*27/O63)</f>
        <v>4.65254237288136</v>
      </c>
      <c r="Z63" s="18" t="n">
        <f aca="false">IF(P63=0,0,(V63+R63)/P63)</f>
        <v>1.33050847457627</v>
      </c>
      <c r="AA63" s="18" t="n">
        <f aca="false">IF(O63=0,0,W63*27/O63)</f>
        <v>7.6271186440678</v>
      </c>
      <c r="AB63" s="18" t="n">
        <f aca="false">IF(O63=0,0,V63*27/O63)</f>
        <v>3.8135593220339</v>
      </c>
      <c r="AC63" s="18" t="n">
        <f aca="false">IF(V63=0,0,W63/V63)</f>
        <v>2</v>
      </c>
      <c r="AD63" s="18" t="n">
        <f aca="false">IF(P63=0,0,(13*U63+3*(V63+X63)-2*W63)/P63+INDEX(球季參數!$C$2:$C$4,MATCH($A63,球季參數!$A$2:$A$4,0)))</f>
        <v>4.16389830508475</v>
      </c>
      <c r="AE63" s="11" t="n">
        <f aca="false">IF(P63&gt;=INDEX(球季參數!$F$2:$F$4,MATCH($A63,球季參數!$A$2:$A$4,0)),1,0)</f>
        <v>0</v>
      </c>
    </row>
    <row r="64" customFormat="false" ht="15" hidden="false" customHeight="false" outlineLevel="0" collapsed="false">
      <c r="A64" s="5" t="n">
        <v>2024</v>
      </c>
      <c r="B64" s="7" t="s">
        <v>741</v>
      </c>
      <c r="C64" s="10" t="str">
        <f aca="false">INDEX(球員主檔!$B$2:$B$749,MATCH($B64,球員主檔!$A$2:$A$749,0))</f>
        <v>Rowan Jovanović</v>
      </c>
      <c r="D64" s="7" t="s">
        <v>367</v>
      </c>
      <c r="E64" s="10" t="str">
        <f aca="false">INDEX(球隊主檔!$C$2:$C$31,MATCH($D64,球隊主檔!$A$2:$A$31,0))</f>
        <v>克里夫蘭守護者</v>
      </c>
      <c r="F64" s="10" t="str">
        <f aca="false">INDEX(球隊主檔!$D$2:$D$31,MATCH($D64,球隊主檔!$A$2:$A$31,0))</f>
        <v>美聯</v>
      </c>
      <c r="G64" s="7" t="s">
        <v>496</v>
      </c>
      <c r="H64" s="11" t="n">
        <f aca="false">INT((DATE($A64,7,1)-INDEX(球員主檔!$G$2:$G$749,MATCH($B64,球員主檔!$A$2:$A$749,0)))/365.25)</f>
        <v>35</v>
      </c>
      <c r="I64" s="12" t="n">
        <v>11</v>
      </c>
      <c r="J64" s="12" t="n">
        <v>10</v>
      </c>
      <c r="K64" s="12" t="n">
        <v>0</v>
      </c>
      <c r="L64" s="12" t="n">
        <v>0</v>
      </c>
      <c r="M64" s="12" t="n">
        <v>32</v>
      </c>
      <c r="N64" s="12" t="n">
        <v>32</v>
      </c>
      <c r="O64" s="12" t="n">
        <v>524</v>
      </c>
      <c r="P64" s="16" t="n">
        <f aca="false">O64/3</f>
        <v>174.666666666667</v>
      </c>
      <c r="Q64" s="17" t="str">
        <f aca="false">INT(O64/3)&amp;"."&amp;MOD(O64,3)</f>
        <v>174.2</v>
      </c>
      <c r="R64" s="12" t="n">
        <v>162</v>
      </c>
      <c r="S64" s="12" t="n">
        <v>104</v>
      </c>
      <c r="T64" s="12" t="n">
        <v>97</v>
      </c>
      <c r="U64" s="12" t="n">
        <v>24</v>
      </c>
      <c r="V64" s="12" t="n">
        <v>58</v>
      </c>
      <c r="W64" s="12" t="n">
        <v>121</v>
      </c>
      <c r="X64" s="12" t="n">
        <v>2</v>
      </c>
      <c r="Y64" s="18" t="n">
        <f aca="false">IF(O64=0,0,T64*27/O64)</f>
        <v>4.99809160305344</v>
      </c>
      <c r="Z64" s="18" t="n">
        <f aca="false">IF(P64=0,0,(V64+R64)/P64)</f>
        <v>1.25954198473282</v>
      </c>
      <c r="AA64" s="18" t="n">
        <f aca="false">IF(O64=0,0,W64*27/O64)</f>
        <v>6.23473282442748</v>
      </c>
      <c r="AB64" s="18" t="n">
        <f aca="false">IF(O64=0,0,V64*27/O64)</f>
        <v>2.98854961832061</v>
      </c>
      <c r="AC64" s="18" t="n">
        <f aca="false">IF(V64=0,0,W64/V64)</f>
        <v>2.08620689655172</v>
      </c>
      <c r="AD64" s="18" t="n">
        <f aca="false">IF(P64=0,0,(13*U64+3*(V64+X64)-2*W64)/P64+INDEX(球季參數!$C$2:$C$4,MATCH($A64,球季參數!$A$2:$A$4,0)))</f>
        <v>4.56129770992366</v>
      </c>
      <c r="AE64" s="11" t="n">
        <f aca="false">IF(P64&gt;=INDEX(球季參數!$F$2:$F$4,MATCH($A64,球季參數!$A$2:$A$4,0)),1,0)</f>
        <v>1</v>
      </c>
    </row>
    <row r="65" customFormat="false" ht="15" hidden="false" customHeight="false" outlineLevel="0" collapsed="false">
      <c r="A65" s="5" t="n">
        <v>2024</v>
      </c>
      <c r="B65" s="7" t="s">
        <v>743</v>
      </c>
      <c r="C65" s="10" t="str">
        <f aca="false">INDEX(球員主檔!$B$2:$B$749,MATCH($B65,球員主檔!$A$2:$A$749,0))</f>
        <v>Lorenzo Nakagawa</v>
      </c>
      <c r="D65" s="7" t="s">
        <v>367</v>
      </c>
      <c r="E65" s="10" t="str">
        <f aca="false">INDEX(球隊主檔!$C$2:$C$31,MATCH($D65,球隊主檔!$A$2:$A$31,0))</f>
        <v>克里夫蘭守護者</v>
      </c>
      <c r="F65" s="10" t="str">
        <f aca="false">INDEX(球隊主檔!$D$2:$D$31,MATCH($D65,球隊主檔!$A$2:$A$31,0))</f>
        <v>美聯</v>
      </c>
      <c r="G65" s="7" t="s">
        <v>496</v>
      </c>
      <c r="H65" s="11" t="n">
        <f aca="false">INT((DATE($A65,7,1)-INDEX(球員主檔!$G$2:$G$749,MATCH($B65,球員主檔!$A$2:$A$749,0)))/365.25)</f>
        <v>24</v>
      </c>
      <c r="I65" s="12" t="n">
        <v>18</v>
      </c>
      <c r="J65" s="12" t="n">
        <v>5</v>
      </c>
      <c r="K65" s="12" t="n">
        <v>0</v>
      </c>
      <c r="L65" s="12" t="n">
        <v>0</v>
      </c>
      <c r="M65" s="12" t="n">
        <v>32</v>
      </c>
      <c r="N65" s="12" t="n">
        <v>32</v>
      </c>
      <c r="O65" s="12" t="n">
        <v>579</v>
      </c>
      <c r="P65" s="16" t="n">
        <f aca="false">O65/3</f>
        <v>193</v>
      </c>
      <c r="Q65" s="17" t="str">
        <f aca="false">INT(O65/3)&amp;"."&amp;MOD(O65,3)</f>
        <v>193.0</v>
      </c>
      <c r="R65" s="12" t="n">
        <v>158</v>
      </c>
      <c r="S65" s="12" t="n">
        <v>79</v>
      </c>
      <c r="T65" s="12" t="n">
        <v>71</v>
      </c>
      <c r="U65" s="12" t="n">
        <v>21</v>
      </c>
      <c r="V65" s="12" t="n">
        <v>55</v>
      </c>
      <c r="W65" s="12" t="n">
        <v>210</v>
      </c>
      <c r="X65" s="12" t="n">
        <v>7</v>
      </c>
      <c r="Y65" s="18" t="n">
        <f aca="false">IF(O65=0,0,T65*27/O65)</f>
        <v>3.31088082901554</v>
      </c>
      <c r="Z65" s="18" t="n">
        <f aca="false">IF(P65=0,0,(V65+R65)/P65)</f>
        <v>1.10362694300518</v>
      </c>
      <c r="AA65" s="18" t="n">
        <f aca="false">IF(O65=0,0,W65*27/O65)</f>
        <v>9.79274611398964</v>
      </c>
      <c r="AB65" s="18" t="n">
        <f aca="false">IF(O65=0,0,V65*27/O65)</f>
        <v>2.56476683937824</v>
      </c>
      <c r="AC65" s="18" t="n">
        <f aca="false">IF(V65=0,0,W65/V65)</f>
        <v>3.81818181818182</v>
      </c>
      <c r="AD65" s="18" t="n">
        <f aca="false">IF(P65=0,0,(13*U65+3*(V65+X65)-2*W65)/P65+INDEX(球季參數!$C$2:$C$4,MATCH($A65,球季參數!$A$2:$A$4,0)))</f>
        <v>3.3320725388601</v>
      </c>
      <c r="AE65" s="11" t="n">
        <f aca="false">IF(P65&gt;=INDEX(球季參數!$F$2:$F$4,MATCH($A65,球季參數!$A$2:$A$4,0)),1,0)</f>
        <v>1</v>
      </c>
    </row>
    <row r="66" customFormat="false" ht="15" hidden="false" customHeight="false" outlineLevel="0" collapsed="false">
      <c r="A66" s="5" t="n">
        <v>2024</v>
      </c>
      <c r="B66" s="7" t="s">
        <v>745</v>
      </c>
      <c r="C66" s="10" t="str">
        <f aca="false">INDEX(球員主檔!$B$2:$B$749,MATCH($B66,球員主檔!$A$2:$A$749,0))</f>
        <v>Landon Blackwood</v>
      </c>
      <c r="D66" s="7" t="s">
        <v>367</v>
      </c>
      <c r="E66" s="10" t="str">
        <f aca="false">INDEX(球隊主檔!$C$2:$C$31,MATCH($D66,球隊主檔!$A$2:$A$31,0))</f>
        <v>克里夫蘭守護者</v>
      </c>
      <c r="F66" s="10" t="str">
        <f aca="false">INDEX(球隊主檔!$D$2:$D$31,MATCH($D66,球隊主檔!$A$2:$A$31,0))</f>
        <v>美聯</v>
      </c>
      <c r="G66" s="7" t="s">
        <v>496</v>
      </c>
      <c r="H66" s="11" t="n">
        <f aca="false">INT((DATE($A66,7,1)-INDEX(球員主檔!$G$2:$G$749,MATCH($B66,球員主檔!$A$2:$A$749,0)))/365.25)</f>
        <v>29</v>
      </c>
      <c r="I66" s="12" t="n">
        <v>3</v>
      </c>
      <c r="J66" s="12" t="n">
        <v>3</v>
      </c>
      <c r="K66" s="12" t="n">
        <v>0</v>
      </c>
      <c r="L66" s="12" t="n">
        <v>0</v>
      </c>
      <c r="M66" s="12" t="n">
        <v>8</v>
      </c>
      <c r="N66" s="12" t="n">
        <v>8</v>
      </c>
      <c r="O66" s="12" t="n">
        <v>125</v>
      </c>
      <c r="P66" s="16" t="n">
        <f aca="false">O66/3</f>
        <v>41.6666666666667</v>
      </c>
      <c r="Q66" s="17" t="str">
        <f aca="false">INT(O66/3)&amp;"."&amp;MOD(O66,3)</f>
        <v>41.2</v>
      </c>
      <c r="R66" s="12" t="n">
        <v>35</v>
      </c>
      <c r="S66" s="12" t="n">
        <v>23</v>
      </c>
      <c r="T66" s="12" t="n">
        <v>21</v>
      </c>
      <c r="U66" s="12" t="n">
        <v>6</v>
      </c>
      <c r="V66" s="12" t="n">
        <v>14</v>
      </c>
      <c r="W66" s="12" t="n">
        <v>37</v>
      </c>
      <c r="X66" s="12" t="n">
        <v>2</v>
      </c>
      <c r="Y66" s="18" t="n">
        <f aca="false">IF(O66=0,0,T66*27/O66)</f>
        <v>4.536</v>
      </c>
      <c r="Z66" s="18" t="n">
        <f aca="false">IF(P66=0,0,(V66+R66)/P66)</f>
        <v>1.176</v>
      </c>
      <c r="AA66" s="18" t="n">
        <f aca="false">IF(O66=0,0,W66*27/O66)</f>
        <v>7.992</v>
      </c>
      <c r="AB66" s="18" t="n">
        <f aca="false">IF(O66=0,0,V66*27/O66)</f>
        <v>3.024</v>
      </c>
      <c r="AC66" s="18" t="n">
        <f aca="false">IF(V66=0,0,W66/V66)</f>
        <v>2.64285714285714</v>
      </c>
      <c r="AD66" s="18" t="n">
        <f aca="false">IF(P66=0,0,(13*U66+3*(V66+X66)-2*W66)/P66+INDEX(球季參數!$C$2:$C$4,MATCH($A66,球季參數!$A$2:$A$4,0)))</f>
        <v>4.378</v>
      </c>
      <c r="AE66" s="11" t="n">
        <f aca="false">IF(P66&gt;=INDEX(球季參數!$F$2:$F$4,MATCH($A66,球季參數!$A$2:$A$4,0)),1,0)</f>
        <v>0</v>
      </c>
    </row>
    <row r="67" customFormat="false" ht="15" hidden="false" customHeight="false" outlineLevel="0" collapsed="false">
      <c r="A67" s="5" t="n">
        <v>2024</v>
      </c>
      <c r="B67" s="7" t="s">
        <v>747</v>
      </c>
      <c r="C67" s="10" t="str">
        <f aca="false">INDEX(球員主檔!$B$2:$B$749,MATCH($B67,球員主檔!$A$2:$A$749,0))</f>
        <v>Barrett Zbornak</v>
      </c>
      <c r="D67" s="7" t="s">
        <v>367</v>
      </c>
      <c r="E67" s="10" t="str">
        <f aca="false">INDEX(球隊主檔!$C$2:$C$31,MATCH($D67,球隊主檔!$A$2:$A$31,0))</f>
        <v>克里夫蘭守護者</v>
      </c>
      <c r="F67" s="10" t="str">
        <f aca="false">INDEX(球隊主檔!$D$2:$D$31,MATCH($D67,球隊主檔!$A$2:$A$31,0))</f>
        <v>美聯</v>
      </c>
      <c r="G67" s="7" t="s">
        <v>507</v>
      </c>
      <c r="H67" s="11" t="n">
        <f aca="false">INT((DATE($A67,7,1)-INDEX(球員主檔!$G$2:$G$749,MATCH($B67,球員主檔!$A$2:$A$749,0)))/365.25)</f>
        <v>26</v>
      </c>
      <c r="I67" s="12" t="n">
        <v>8</v>
      </c>
      <c r="J67" s="12" t="n">
        <v>0</v>
      </c>
      <c r="K67" s="12" t="n">
        <v>1</v>
      </c>
      <c r="L67" s="12" t="n">
        <v>2</v>
      </c>
      <c r="M67" s="12" t="n">
        <v>53</v>
      </c>
      <c r="N67" s="12" t="n">
        <v>0</v>
      </c>
      <c r="O67" s="12" t="n">
        <v>167</v>
      </c>
      <c r="P67" s="16" t="n">
        <f aca="false">O67/3</f>
        <v>55.6666666666667</v>
      </c>
      <c r="Q67" s="17" t="str">
        <f aca="false">INT(O67/3)&amp;"."&amp;MOD(O67,3)</f>
        <v>55.2</v>
      </c>
      <c r="R67" s="12" t="n">
        <v>48</v>
      </c>
      <c r="S67" s="12" t="n">
        <v>27</v>
      </c>
      <c r="T67" s="12" t="n">
        <v>26</v>
      </c>
      <c r="U67" s="12" t="n">
        <v>5</v>
      </c>
      <c r="V67" s="12" t="n">
        <v>27</v>
      </c>
      <c r="W67" s="12" t="n">
        <v>76</v>
      </c>
      <c r="X67" s="12" t="n">
        <v>3</v>
      </c>
      <c r="Y67" s="18" t="n">
        <f aca="false">IF(O67=0,0,T67*27/O67)</f>
        <v>4.20359281437126</v>
      </c>
      <c r="Z67" s="18" t="n">
        <f aca="false">IF(P67=0,0,(V67+R67)/P67)</f>
        <v>1.34730538922156</v>
      </c>
      <c r="AA67" s="18" t="n">
        <f aca="false">IF(O67=0,0,W67*27/O67)</f>
        <v>12.2874251497006</v>
      </c>
      <c r="AB67" s="18" t="n">
        <f aca="false">IF(O67=0,0,V67*27/O67)</f>
        <v>4.36526946107784</v>
      </c>
      <c r="AC67" s="18" t="n">
        <f aca="false">IF(V67=0,0,W67/V67)</f>
        <v>2.81481481481482</v>
      </c>
      <c r="AD67" s="18" t="n">
        <f aca="false">IF(P67=0,0,(13*U67+3*(V67+X67)-2*W67)/P67+INDEX(球季參數!$C$2:$C$4,MATCH($A67,球季參數!$A$2:$A$4,0)))</f>
        <v>3.18389221556886</v>
      </c>
      <c r="AE67" s="11" t="n">
        <f aca="false">IF(P67&gt;=INDEX(球季參數!$F$2:$F$4,MATCH($A67,球季參數!$A$2:$A$4,0)),1,0)</f>
        <v>0</v>
      </c>
    </row>
    <row r="68" customFormat="false" ht="15" hidden="false" customHeight="false" outlineLevel="0" collapsed="false">
      <c r="A68" s="5" t="n">
        <v>2024</v>
      </c>
      <c r="B68" s="7" t="s">
        <v>749</v>
      </c>
      <c r="C68" s="10" t="str">
        <f aca="false">INDEX(球員主檔!$B$2:$B$749,MATCH($B68,球員主檔!$A$2:$A$749,0))</f>
        <v>Emilio Zbornak</v>
      </c>
      <c r="D68" s="7" t="s">
        <v>367</v>
      </c>
      <c r="E68" s="10" t="str">
        <f aca="false">INDEX(球隊主檔!$C$2:$C$31,MATCH($D68,球隊主檔!$A$2:$A$31,0))</f>
        <v>克里夫蘭守護者</v>
      </c>
      <c r="F68" s="10" t="str">
        <f aca="false">INDEX(球隊主檔!$D$2:$D$31,MATCH($D68,球隊主檔!$A$2:$A$31,0))</f>
        <v>美聯</v>
      </c>
      <c r="G68" s="7" t="s">
        <v>507</v>
      </c>
      <c r="H68" s="11" t="n">
        <f aca="false">INT((DATE($A68,7,1)-INDEX(球員主檔!$G$2:$G$749,MATCH($B68,球員主檔!$A$2:$A$749,0)))/365.25)</f>
        <v>26</v>
      </c>
      <c r="I68" s="12" t="n">
        <v>1</v>
      </c>
      <c r="J68" s="12" t="n">
        <v>8</v>
      </c>
      <c r="K68" s="12" t="n">
        <v>1</v>
      </c>
      <c r="L68" s="12" t="n">
        <v>15</v>
      </c>
      <c r="M68" s="12" t="n">
        <v>57</v>
      </c>
      <c r="N68" s="12" t="n">
        <v>0</v>
      </c>
      <c r="O68" s="12" t="n">
        <v>156</v>
      </c>
      <c r="P68" s="16" t="n">
        <f aca="false">O68/3</f>
        <v>52</v>
      </c>
      <c r="Q68" s="17" t="str">
        <f aca="false">INT(O68/3)&amp;"."&amp;MOD(O68,3)</f>
        <v>52.0</v>
      </c>
      <c r="R68" s="12" t="n">
        <v>44</v>
      </c>
      <c r="S68" s="12" t="n">
        <v>22</v>
      </c>
      <c r="T68" s="12" t="n">
        <v>20</v>
      </c>
      <c r="U68" s="12" t="n">
        <v>12</v>
      </c>
      <c r="V68" s="12" t="n">
        <v>23</v>
      </c>
      <c r="W68" s="12" t="n">
        <v>50</v>
      </c>
      <c r="X68" s="12" t="n">
        <v>1</v>
      </c>
      <c r="Y68" s="18" t="n">
        <f aca="false">IF(O68=0,0,T68*27/O68)</f>
        <v>3.46153846153846</v>
      </c>
      <c r="Z68" s="18" t="n">
        <f aca="false">IF(P68=0,0,(V68+R68)/P68)</f>
        <v>1.28846153846154</v>
      </c>
      <c r="AA68" s="18" t="n">
        <f aca="false">IF(O68=0,0,W68*27/O68)</f>
        <v>8.65384615384615</v>
      </c>
      <c r="AB68" s="18" t="n">
        <f aca="false">IF(O68=0,0,V68*27/O68)</f>
        <v>3.98076923076923</v>
      </c>
      <c r="AC68" s="18" t="n">
        <f aca="false">IF(V68=0,0,W68/V68)</f>
        <v>2.17391304347826</v>
      </c>
      <c r="AD68" s="18" t="n">
        <f aca="false">IF(P68=0,0,(13*U68+3*(V68+X68)-2*W68)/P68+INDEX(球季參數!$C$2:$C$4,MATCH($A68,球季參數!$A$2:$A$4,0)))</f>
        <v>5.59153846153846</v>
      </c>
      <c r="AE68" s="11" t="n">
        <f aca="false">IF(P68&gt;=INDEX(球季參數!$F$2:$F$4,MATCH($A68,球季參數!$A$2:$A$4,0)),1,0)</f>
        <v>0</v>
      </c>
    </row>
    <row r="69" customFormat="false" ht="15" hidden="false" customHeight="false" outlineLevel="0" collapsed="false">
      <c r="A69" s="5" t="n">
        <v>2024</v>
      </c>
      <c r="B69" s="7" t="s">
        <v>751</v>
      </c>
      <c r="C69" s="10" t="str">
        <f aca="false">INDEX(球員主檔!$B$2:$B$749,MATCH($B69,球員主檔!$A$2:$A$749,0))</f>
        <v>Cedric Eberhardt</v>
      </c>
      <c r="D69" s="7" t="s">
        <v>367</v>
      </c>
      <c r="E69" s="10" t="str">
        <f aca="false">INDEX(球隊主檔!$C$2:$C$31,MATCH($D69,球隊主檔!$A$2:$A$31,0))</f>
        <v>克里夫蘭守護者</v>
      </c>
      <c r="F69" s="10" t="str">
        <f aca="false">INDEX(球隊主檔!$D$2:$D$31,MATCH($D69,球隊主檔!$A$2:$A$31,0))</f>
        <v>美聯</v>
      </c>
      <c r="G69" s="7" t="s">
        <v>507</v>
      </c>
      <c r="H69" s="11" t="n">
        <f aca="false">INT((DATE($A69,7,1)-INDEX(球員主檔!$G$2:$G$749,MATCH($B69,球員主檔!$A$2:$A$749,0)))/365.25)</f>
        <v>24</v>
      </c>
      <c r="I69" s="12" t="n">
        <v>7</v>
      </c>
      <c r="J69" s="12" t="n">
        <v>2</v>
      </c>
      <c r="K69" s="12" t="n">
        <v>4</v>
      </c>
      <c r="L69" s="12" t="n">
        <v>11</v>
      </c>
      <c r="M69" s="12" t="n">
        <v>64</v>
      </c>
      <c r="N69" s="12" t="n">
        <v>0</v>
      </c>
      <c r="O69" s="12" t="n">
        <v>201</v>
      </c>
      <c r="P69" s="16" t="n">
        <f aca="false">O69/3</f>
        <v>67</v>
      </c>
      <c r="Q69" s="17" t="str">
        <f aca="false">INT(O69/3)&amp;"."&amp;MOD(O69,3)</f>
        <v>67.0</v>
      </c>
      <c r="R69" s="12" t="n">
        <v>48</v>
      </c>
      <c r="S69" s="12" t="n">
        <v>21</v>
      </c>
      <c r="T69" s="12" t="n">
        <v>21</v>
      </c>
      <c r="U69" s="12" t="n">
        <v>8</v>
      </c>
      <c r="V69" s="12" t="n">
        <v>19</v>
      </c>
      <c r="W69" s="12" t="n">
        <v>95</v>
      </c>
      <c r="X69" s="12" t="n">
        <v>4</v>
      </c>
      <c r="Y69" s="18" t="n">
        <f aca="false">IF(O69=0,0,T69*27/O69)</f>
        <v>2.82089552238806</v>
      </c>
      <c r="Z69" s="18" t="n">
        <f aca="false">IF(P69=0,0,(V69+R69)/P69)</f>
        <v>1</v>
      </c>
      <c r="AA69" s="18" t="n">
        <f aca="false">IF(O69=0,0,W69*27/O69)</f>
        <v>12.7611940298507</v>
      </c>
      <c r="AB69" s="18" t="n">
        <f aca="false">IF(O69=0,0,V69*27/O69)</f>
        <v>2.55223880597015</v>
      </c>
      <c r="AC69" s="18" t="n">
        <f aca="false">IF(V69=0,0,W69/V69)</f>
        <v>5</v>
      </c>
      <c r="AD69" s="18" t="n">
        <f aca="false">IF(P69=0,0,(13*U69+3*(V69+X69)-2*W69)/P69+INDEX(球季參數!$C$2:$C$4,MATCH($A69,球季參數!$A$2:$A$4,0)))</f>
        <v>2.87626865671642</v>
      </c>
      <c r="AE69" s="11" t="n">
        <f aca="false">IF(P69&gt;=INDEX(球季參數!$F$2:$F$4,MATCH($A69,球季參數!$A$2:$A$4,0)),1,0)</f>
        <v>0</v>
      </c>
    </row>
    <row r="70" customFormat="false" ht="15" hidden="false" customHeight="false" outlineLevel="0" collapsed="false">
      <c r="A70" s="5" t="n">
        <v>2024</v>
      </c>
      <c r="B70" s="7" t="s">
        <v>753</v>
      </c>
      <c r="C70" s="10" t="str">
        <f aca="false">INDEX(球員主檔!$B$2:$B$749,MATCH($B70,球員主檔!$A$2:$A$749,0))</f>
        <v>Fletcher Vandermeer</v>
      </c>
      <c r="D70" s="7" t="s">
        <v>367</v>
      </c>
      <c r="E70" s="10" t="str">
        <f aca="false">INDEX(球隊主檔!$C$2:$C$31,MATCH($D70,球隊主檔!$A$2:$A$31,0))</f>
        <v>克里夫蘭守護者</v>
      </c>
      <c r="F70" s="10" t="str">
        <f aca="false">INDEX(球隊主檔!$D$2:$D$31,MATCH($D70,球隊主檔!$A$2:$A$31,0))</f>
        <v>美聯</v>
      </c>
      <c r="G70" s="7" t="s">
        <v>507</v>
      </c>
      <c r="H70" s="11" t="n">
        <f aca="false">INT((DATE($A70,7,1)-INDEX(球員主檔!$G$2:$G$749,MATCH($B70,球員主檔!$A$2:$A$749,0)))/365.25)</f>
        <v>29</v>
      </c>
      <c r="I70" s="12" t="n">
        <v>1</v>
      </c>
      <c r="J70" s="12" t="n">
        <v>2</v>
      </c>
      <c r="K70" s="12" t="n">
        <v>1</v>
      </c>
      <c r="L70" s="12" t="n">
        <v>20</v>
      </c>
      <c r="M70" s="12" t="n">
        <v>64</v>
      </c>
      <c r="N70" s="12" t="n">
        <v>0</v>
      </c>
      <c r="O70" s="12" t="n">
        <v>193</v>
      </c>
      <c r="P70" s="16" t="n">
        <f aca="false">O70/3</f>
        <v>64.3333333333333</v>
      </c>
      <c r="Q70" s="17" t="str">
        <f aca="false">INT(O70/3)&amp;"."&amp;MOD(O70,3)</f>
        <v>64.1</v>
      </c>
      <c r="R70" s="12" t="n">
        <v>64</v>
      </c>
      <c r="S70" s="12" t="n">
        <v>39</v>
      </c>
      <c r="T70" s="12" t="n">
        <v>38</v>
      </c>
      <c r="U70" s="12" t="n">
        <v>8</v>
      </c>
      <c r="V70" s="12" t="n">
        <v>14</v>
      </c>
      <c r="W70" s="12" t="n">
        <v>84</v>
      </c>
      <c r="X70" s="12" t="n">
        <v>2</v>
      </c>
      <c r="Y70" s="18" t="n">
        <f aca="false">IF(O70=0,0,T70*27/O70)</f>
        <v>5.3160621761658</v>
      </c>
      <c r="Z70" s="18" t="n">
        <f aca="false">IF(P70=0,0,(V70+R70)/P70)</f>
        <v>1.21243523316062</v>
      </c>
      <c r="AA70" s="18" t="n">
        <f aca="false">IF(O70=0,0,W70*27/O70)</f>
        <v>11.7512953367876</v>
      </c>
      <c r="AB70" s="18" t="n">
        <f aca="false">IF(O70=0,0,V70*27/O70)</f>
        <v>1.95854922279793</v>
      </c>
      <c r="AC70" s="18" t="n">
        <f aca="false">IF(V70=0,0,W70/V70)</f>
        <v>6</v>
      </c>
      <c r="AD70" s="18" t="n">
        <f aca="false">IF(P70=0,0,(13*U70+3*(V70+X70)-2*W70)/P70+INDEX(球季參數!$C$2:$C$4,MATCH($A70,球季參數!$A$2:$A$4,0)))</f>
        <v>2.88129533678756</v>
      </c>
      <c r="AE70" s="11" t="n">
        <f aca="false">IF(P70&gt;=INDEX(球季參數!$F$2:$F$4,MATCH($A70,球季參數!$A$2:$A$4,0)),1,0)</f>
        <v>0</v>
      </c>
    </row>
    <row r="71" customFormat="false" ht="15" hidden="false" customHeight="false" outlineLevel="0" collapsed="false">
      <c r="A71" s="5" t="n">
        <v>2024</v>
      </c>
      <c r="B71" s="7" t="s">
        <v>755</v>
      </c>
      <c r="C71" s="10" t="str">
        <f aca="false">INDEX(球員主檔!$B$2:$B$749,MATCH($B71,球員主檔!$A$2:$A$749,0))</f>
        <v>Ronin Underhill</v>
      </c>
      <c r="D71" s="7" t="s">
        <v>367</v>
      </c>
      <c r="E71" s="10" t="str">
        <f aca="false">INDEX(球隊主檔!$C$2:$C$31,MATCH($D71,球隊主檔!$A$2:$A$31,0))</f>
        <v>克里夫蘭守護者</v>
      </c>
      <c r="F71" s="10" t="str">
        <f aca="false">INDEX(球隊主檔!$D$2:$D$31,MATCH($D71,球隊主檔!$A$2:$A$31,0))</f>
        <v>美聯</v>
      </c>
      <c r="G71" s="7" t="s">
        <v>507</v>
      </c>
      <c r="H71" s="11" t="n">
        <f aca="false">INT((DATE($A71,7,1)-INDEX(球員主檔!$G$2:$G$749,MATCH($B71,球員主檔!$A$2:$A$749,0)))/365.25)</f>
        <v>33</v>
      </c>
      <c r="I71" s="12" t="n">
        <v>2</v>
      </c>
      <c r="J71" s="12" t="n">
        <v>1</v>
      </c>
      <c r="K71" s="12" t="n">
        <v>4</v>
      </c>
      <c r="L71" s="12" t="n">
        <v>14</v>
      </c>
      <c r="M71" s="12" t="n">
        <v>41</v>
      </c>
      <c r="N71" s="12" t="n">
        <v>0</v>
      </c>
      <c r="O71" s="12" t="n">
        <v>135</v>
      </c>
      <c r="P71" s="16" t="n">
        <f aca="false">O71/3</f>
        <v>45</v>
      </c>
      <c r="Q71" s="17" t="str">
        <f aca="false">INT(O71/3)&amp;"."&amp;MOD(O71,3)</f>
        <v>45.0</v>
      </c>
      <c r="R71" s="12" t="n">
        <v>35</v>
      </c>
      <c r="S71" s="12" t="n">
        <v>15</v>
      </c>
      <c r="T71" s="12" t="n">
        <v>15</v>
      </c>
      <c r="U71" s="12" t="n">
        <v>7</v>
      </c>
      <c r="V71" s="12" t="n">
        <v>10</v>
      </c>
      <c r="W71" s="12" t="n">
        <v>46</v>
      </c>
      <c r="X71" s="12" t="n">
        <v>1</v>
      </c>
      <c r="Y71" s="18" t="n">
        <f aca="false">IF(O71=0,0,T71*27/O71)</f>
        <v>3</v>
      </c>
      <c r="Z71" s="18" t="n">
        <f aca="false">IF(P71=0,0,(V71+R71)/P71)</f>
        <v>1</v>
      </c>
      <c r="AA71" s="18" t="n">
        <f aca="false">IF(O71=0,0,W71*27/O71)</f>
        <v>9.2</v>
      </c>
      <c r="AB71" s="18" t="n">
        <f aca="false">IF(O71=0,0,V71*27/O71)</f>
        <v>2</v>
      </c>
      <c r="AC71" s="18" t="n">
        <f aca="false">IF(V71=0,0,W71/V71)</f>
        <v>4.6</v>
      </c>
      <c r="AD71" s="18" t="n">
        <f aca="false">IF(P71=0,0,(13*U71+3*(V71+X71)-2*W71)/P71+INDEX(球季參數!$C$2:$C$4,MATCH($A71,球季參數!$A$2:$A$4,0)))</f>
        <v>3.84111111111111</v>
      </c>
      <c r="AE71" s="11" t="n">
        <f aca="false">IF(P71&gt;=INDEX(球季參數!$F$2:$F$4,MATCH($A71,球季參數!$A$2:$A$4,0)),1,0)</f>
        <v>0</v>
      </c>
    </row>
    <row r="72" customFormat="false" ht="15" hidden="false" customHeight="false" outlineLevel="0" collapsed="false">
      <c r="A72" s="5" t="n">
        <v>2024</v>
      </c>
      <c r="B72" s="7" t="s">
        <v>777</v>
      </c>
      <c r="C72" s="10" t="str">
        <f aca="false">INDEX(球員主檔!$B$2:$B$749,MATCH($B72,球員主檔!$A$2:$A$749,0))</f>
        <v>Jasper Goddard</v>
      </c>
      <c r="D72" s="7" t="s">
        <v>371</v>
      </c>
      <c r="E72" s="10" t="str">
        <f aca="false">INDEX(球隊主檔!$C$2:$C$31,MATCH($D72,球隊主檔!$A$2:$A$31,0))</f>
        <v>底特律老虎</v>
      </c>
      <c r="F72" s="10" t="str">
        <f aca="false">INDEX(球隊主檔!$D$2:$D$31,MATCH($D72,球隊主檔!$A$2:$A$31,0))</f>
        <v>美聯</v>
      </c>
      <c r="G72" s="7" t="s">
        <v>496</v>
      </c>
      <c r="H72" s="11" t="n">
        <f aca="false">INT((DATE($A72,7,1)-INDEX(球員主檔!$G$2:$G$749,MATCH($B72,球員主檔!$A$2:$A$749,0)))/365.25)</f>
        <v>22</v>
      </c>
      <c r="I72" s="12" t="n">
        <v>7</v>
      </c>
      <c r="J72" s="12" t="n">
        <v>9</v>
      </c>
      <c r="K72" s="12" t="n">
        <v>0</v>
      </c>
      <c r="L72" s="12" t="n">
        <v>0</v>
      </c>
      <c r="M72" s="12" t="n">
        <v>28</v>
      </c>
      <c r="N72" s="12" t="n">
        <v>28</v>
      </c>
      <c r="O72" s="12" t="n">
        <v>501</v>
      </c>
      <c r="P72" s="16" t="n">
        <f aca="false">O72/3</f>
        <v>167</v>
      </c>
      <c r="Q72" s="17" t="str">
        <f aca="false">INT(O72/3)&amp;"."&amp;MOD(O72,3)</f>
        <v>167.0</v>
      </c>
      <c r="R72" s="12" t="n">
        <v>167</v>
      </c>
      <c r="S72" s="12" t="n">
        <v>119</v>
      </c>
      <c r="T72" s="12" t="n">
        <v>112</v>
      </c>
      <c r="U72" s="12" t="n">
        <v>7</v>
      </c>
      <c r="V72" s="12" t="n">
        <v>57</v>
      </c>
      <c r="W72" s="12" t="n">
        <v>175</v>
      </c>
      <c r="X72" s="12" t="n">
        <v>10</v>
      </c>
      <c r="Y72" s="18" t="n">
        <f aca="false">IF(O72=0,0,T72*27/O72)</f>
        <v>6.03592814371257</v>
      </c>
      <c r="Z72" s="18" t="n">
        <f aca="false">IF(P72=0,0,(V72+R72)/P72)</f>
        <v>1.34131736526946</v>
      </c>
      <c r="AA72" s="18" t="n">
        <f aca="false">IF(O72=0,0,W72*27/O72)</f>
        <v>9.4311377245509</v>
      </c>
      <c r="AB72" s="18" t="n">
        <f aca="false">IF(O72=0,0,V72*27/O72)</f>
        <v>3.07185628742515</v>
      </c>
      <c r="AC72" s="18" t="n">
        <f aca="false">IF(V72=0,0,W72/V72)</f>
        <v>3.07017543859649</v>
      </c>
      <c r="AD72" s="18" t="n">
        <f aca="false">IF(P72=0,0,(13*U72+3*(V72+X72)-2*W72)/P72+INDEX(球季參數!$C$2:$C$4,MATCH($A72,球季參數!$A$2:$A$4,0)))</f>
        <v>2.78269461077844</v>
      </c>
      <c r="AE72" s="11" t="n">
        <f aca="false">IF(P72&gt;=INDEX(球季參數!$F$2:$F$4,MATCH($A72,球季參數!$A$2:$A$4,0)),1,0)</f>
        <v>1</v>
      </c>
    </row>
    <row r="73" customFormat="false" ht="15" hidden="false" customHeight="false" outlineLevel="0" collapsed="false">
      <c r="A73" s="5" t="n">
        <v>2024</v>
      </c>
      <c r="B73" s="7" t="s">
        <v>779</v>
      </c>
      <c r="C73" s="10" t="str">
        <f aca="false">INDEX(球員主檔!$B$2:$B$749,MATCH($B73,球員主檔!$A$2:$A$749,0))</f>
        <v>Sousuke Blackwood</v>
      </c>
      <c r="D73" s="7" t="s">
        <v>371</v>
      </c>
      <c r="E73" s="10" t="str">
        <f aca="false">INDEX(球隊主檔!$C$2:$C$31,MATCH($D73,球隊主檔!$A$2:$A$31,0))</f>
        <v>底特律老虎</v>
      </c>
      <c r="F73" s="10" t="str">
        <f aca="false">INDEX(球隊主檔!$D$2:$D$31,MATCH($D73,球隊主檔!$A$2:$A$31,0))</f>
        <v>美聯</v>
      </c>
      <c r="G73" s="7" t="s">
        <v>496</v>
      </c>
      <c r="H73" s="11" t="n">
        <f aca="false">INT((DATE($A73,7,1)-INDEX(球員主檔!$G$2:$G$749,MATCH($B73,球員主檔!$A$2:$A$749,0)))/365.25)</f>
        <v>28</v>
      </c>
      <c r="I73" s="12" t="n">
        <v>6</v>
      </c>
      <c r="J73" s="12" t="n">
        <v>10</v>
      </c>
      <c r="K73" s="12" t="n">
        <v>0</v>
      </c>
      <c r="L73" s="12" t="n">
        <v>0</v>
      </c>
      <c r="M73" s="12" t="n">
        <v>24</v>
      </c>
      <c r="N73" s="12" t="n">
        <v>24</v>
      </c>
      <c r="O73" s="12" t="n">
        <v>405</v>
      </c>
      <c r="P73" s="16" t="n">
        <f aca="false">O73/3</f>
        <v>135</v>
      </c>
      <c r="Q73" s="17" t="str">
        <f aca="false">INT(O73/3)&amp;"."&amp;MOD(O73,3)</f>
        <v>135.0</v>
      </c>
      <c r="R73" s="12" t="n">
        <v>125</v>
      </c>
      <c r="S73" s="12" t="n">
        <v>92</v>
      </c>
      <c r="T73" s="12" t="n">
        <v>82</v>
      </c>
      <c r="U73" s="12" t="n">
        <v>20</v>
      </c>
      <c r="V73" s="12" t="n">
        <v>28</v>
      </c>
      <c r="W73" s="12" t="n">
        <v>94</v>
      </c>
      <c r="X73" s="12" t="n">
        <v>4</v>
      </c>
      <c r="Y73" s="18" t="n">
        <f aca="false">IF(O73=0,0,T73*27/O73)</f>
        <v>5.46666666666667</v>
      </c>
      <c r="Z73" s="18" t="n">
        <f aca="false">IF(P73=0,0,(V73+R73)/P73)</f>
        <v>1.13333333333333</v>
      </c>
      <c r="AA73" s="18" t="n">
        <f aca="false">IF(O73=0,0,W73*27/O73)</f>
        <v>6.26666666666667</v>
      </c>
      <c r="AB73" s="18" t="n">
        <f aca="false">IF(O73=0,0,V73*27/O73)</f>
        <v>1.86666666666667</v>
      </c>
      <c r="AC73" s="18" t="n">
        <f aca="false">IF(V73=0,0,W73/V73)</f>
        <v>3.35714285714286</v>
      </c>
      <c r="AD73" s="18" t="n">
        <f aca="false">IF(P73=0,0,(13*U73+3*(V73+X73)-2*W73)/P73+INDEX(球季參數!$C$2:$C$4,MATCH($A73,球季參數!$A$2:$A$4,0)))</f>
        <v>4.37444444444444</v>
      </c>
      <c r="AE73" s="11" t="n">
        <f aca="false">IF(P73&gt;=INDEX(球季參數!$F$2:$F$4,MATCH($A73,球季參數!$A$2:$A$4,0)),1,0)</f>
        <v>0</v>
      </c>
    </row>
    <row r="74" customFormat="false" ht="15" hidden="false" customHeight="false" outlineLevel="0" collapsed="false">
      <c r="A74" s="5" t="n">
        <v>2024</v>
      </c>
      <c r="B74" s="7" t="s">
        <v>781</v>
      </c>
      <c r="C74" s="10" t="str">
        <f aca="false">INDEX(球員主檔!$B$2:$B$749,MATCH($B74,球員主檔!$A$2:$A$749,0))</f>
        <v>Ronin Oyelaran</v>
      </c>
      <c r="D74" s="7" t="s">
        <v>371</v>
      </c>
      <c r="E74" s="10" t="str">
        <f aca="false">INDEX(球隊主檔!$C$2:$C$31,MATCH($D74,球隊主檔!$A$2:$A$31,0))</f>
        <v>底特律老虎</v>
      </c>
      <c r="F74" s="10" t="str">
        <f aca="false">INDEX(球隊主檔!$D$2:$D$31,MATCH($D74,球隊主檔!$A$2:$A$31,0))</f>
        <v>美聯</v>
      </c>
      <c r="G74" s="7" t="s">
        <v>496</v>
      </c>
      <c r="H74" s="11" t="n">
        <f aca="false">INT((DATE($A74,7,1)-INDEX(球員主檔!$G$2:$G$749,MATCH($B74,球員主檔!$A$2:$A$749,0)))/365.25)</f>
        <v>26</v>
      </c>
      <c r="I74" s="12" t="n">
        <v>13</v>
      </c>
      <c r="J74" s="12" t="n">
        <v>7</v>
      </c>
      <c r="K74" s="12" t="n">
        <v>0</v>
      </c>
      <c r="L74" s="12" t="n">
        <v>0</v>
      </c>
      <c r="M74" s="12" t="n">
        <v>27</v>
      </c>
      <c r="N74" s="12" t="n">
        <v>27</v>
      </c>
      <c r="O74" s="12" t="n">
        <v>401</v>
      </c>
      <c r="P74" s="16" t="n">
        <f aca="false">O74/3</f>
        <v>133.666666666667</v>
      </c>
      <c r="Q74" s="17" t="str">
        <f aca="false">INT(O74/3)&amp;"."&amp;MOD(O74,3)</f>
        <v>133.2</v>
      </c>
      <c r="R74" s="12" t="n">
        <v>116</v>
      </c>
      <c r="S74" s="12" t="n">
        <v>72</v>
      </c>
      <c r="T74" s="12" t="n">
        <v>69</v>
      </c>
      <c r="U74" s="12" t="n">
        <v>20</v>
      </c>
      <c r="V74" s="12" t="n">
        <v>27</v>
      </c>
      <c r="W74" s="12" t="n">
        <v>164</v>
      </c>
      <c r="X74" s="12" t="n">
        <v>2</v>
      </c>
      <c r="Y74" s="18" t="n">
        <f aca="false">IF(O74=0,0,T74*27/O74)</f>
        <v>4.64588528678304</v>
      </c>
      <c r="Z74" s="18" t="n">
        <f aca="false">IF(P74=0,0,(V74+R74)/P74)</f>
        <v>1.06982543640898</v>
      </c>
      <c r="AA74" s="18" t="n">
        <f aca="false">IF(O74=0,0,W74*27/O74)</f>
        <v>11.0423940149626</v>
      </c>
      <c r="AB74" s="18" t="n">
        <f aca="false">IF(O74=0,0,V74*27/O74)</f>
        <v>1.81795511221945</v>
      </c>
      <c r="AC74" s="18" t="n">
        <f aca="false">IF(V74=0,0,W74/V74)</f>
        <v>6.07407407407407</v>
      </c>
      <c r="AD74" s="18" t="n">
        <f aca="false">IF(P74=0,0,(13*U74+3*(V74+X74)-2*W74)/P74+INDEX(球季參數!$C$2:$C$4,MATCH($A74,球季參數!$A$2:$A$4,0)))</f>
        <v>3.27214463840399</v>
      </c>
      <c r="AE74" s="11" t="n">
        <f aca="false">IF(P74&gt;=INDEX(球季參數!$F$2:$F$4,MATCH($A74,球季參數!$A$2:$A$4,0)),1,0)</f>
        <v>0</v>
      </c>
    </row>
    <row r="75" customFormat="false" ht="15" hidden="false" customHeight="false" outlineLevel="0" collapsed="false">
      <c r="A75" s="5" t="n">
        <v>2024</v>
      </c>
      <c r="B75" s="7" t="s">
        <v>783</v>
      </c>
      <c r="C75" s="10" t="str">
        <f aca="false">INDEX(球員主檔!$B$2:$B$749,MATCH($B75,球員主檔!$A$2:$A$749,0))</f>
        <v>Rowan Nakagawa</v>
      </c>
      <c r="D75" s="7" t="s">
        <v>371</v>
      </c>
      <c r="E75" s="10" t="str">
        <f aca="false">INDEX(球隊主檔!$C$2:$C$31,MATCH($D75,球隊主檔!$A$2:$A$31,0))</f>
        <v>底特律老虎</v>
      </c>
      <c r="F75" s="10" t="str">
        <f aca="false">INDEX(球隊主檔!$D$2:$D$31,MATCH($D75,球隊主檔!$A$2:$A$31,0))</f>
        <v>美聯</v>
      </c>
      <c r="G75" s="7" t="s">
        <v>496</v>
      </c>
      <c r="H75" s="11" t="n">
        <f aca="false">INT((DATE($A75,7,1)-INDEX(球員主檔!$G$2:$G$749,MATCH($B75,球員主檔!$A$2:$A$749,0)))/365.25)</f>
        <v>32</v>
      </c>
      <c r="I75" s="12" t="n">
        <v>9</v>
      </c>
      <c r="J75" s="12" t="n">
        <v>9</v>
      </c>
      <c r="K75" s="12" t="n">
        <v>0</v>
      </c>
      <c r="L75" s="12" t="n">
        <v>0</v>
      </c>
      <c r="M75" s="12" t="n">
        <v>30</v>
      </c>
      <c r="N75" s="12" t="n">
        <v>30</v>
      </c>
      <c r="O75" s="12" t="n">
        <v>510</v>
      </c>
      <c r="P75" s="16" t="n">
        <f aca="false">O75/3</f>
        <v>170</v>
      </c>
      <c r="Q75" s="17" t="str">
        <f aca="false">INT(O75/3)&amp;"."&amp;MOD(O75,3)</f>
        <v>170.0</v>
      </c>
      <c r="R75" s="12" t="n">
        <v>145</v>
      </c>
      <c r="S75" s="12" t="n">
        <v>96</v>
      </c>
      <c r="T75" s="12" t="n">
        <v>91</v>
      </c>
      <c r="U75" s="12" t="n">
        <v>22</v>
      </c>
      <c r="V75" s="12" t="n">
        <v>63</v>
      </c>
      <c r="W75" s="12" t="n">
        <v>149</v>
      </c>
      <c r="X75" s="12" t="n">
        <v>9</v>
      </c>
      <c r="Y75" s="18" t="n">
        <f aca="false">IF(O75=0,0,T75*27/O75)</f>
        <v>4.81764705882353</v>
      </c>
      <c r="Z75" s="18" t="n">
        <f aca="false">IF(P75=0,0,(V75+R75)/P75)</f>
        <v>1.22352941176471</v>
      </c>
      <c r="AA75" s="18" t="n">
        <f aca="false">IF(O75=0,0,W75*27/O75)</f>
        <v>7.88823529411765</v>
      </c>
      <c r="AB75" s="18" t="n">
        <f aca="false">IF(O75=0,0,V75*27/O75)</f>
        <v>3.33529411764706</v>
      </c>
      <c r="AC75" s="18" t="n">
        <f aca="false">IF(V75=0,0,W75/V75)</f>
        <v>2.36507936507937</v>
      </c>
      <c r="AD75" s="18" t="n">
        <f aca="false">IF(P75=0,0,(13*U75+3*(V75+X75)-2*W75)/P75+INDEX(球季參數!$C$2:$C$4,MATCH($A75,球季參數!$A$2:$A$4,0)))</f>
        <v>4.33</v>
      </c>
      <c r="AE75" s="11" t="n">
        <f aca="false">IF(P75&gt;=INDEX(球季參數!$F$2:$F$4,MATCH($A75,球季參數!$A$2:$A$4,0)),1,0)</f>
        <v>1</v>
      </c>
    </row>
    <row r="76" customFormat="false" ht="15" hidden="false" customHeight="false" outlineLevel="0" collapsed="false">
      <c r="A76" s="5" t="n">
        <v>2024</v>
      </c>
      <c r="B76" s="7" t="s">
        <v>785</v>
      </c>
      <c r="C76" s="10" t="str">
        <f aca="false">INDEX(球員主檔!$B$2:$B$749,MATCH($B76,球員主檔!$A$2:$A$749,0))</f>
        <v>Emilio Okafor</v>
      </c>
      <c r="D76" s="7" t="s">
        <v>371</v>
      </c>
      <c r="E76" s="10" t="str">
        <f aca="false">INDEX(球隊主檔!$C$2:$C$31,MATCH($D76,球隊主檔!$A$2:$A$31,0))</f>
        <v>底特律老虎</v>
      </c>
      <c r="F76" s="10" t="str">
        <f aca="false">INDEX(球隊主檔!$D$2:$D$31,MATCH($D76,球隊主檔!$A$2:$A$31,0))</f>
        <v>美聯</v>
      </c>
      <c r="G76" s="7" t="s">
        <v>496</v>
      </c>
      <c r="H76" s="11" t="n">
        <f aca="false">INT((DATE($A76,7,1)-INDEX(球員主檔!$G$2:$G$749,MATCH($B76,球員主檔!$A$2:$A$749,0)))/365.25)</f>
        <v>30</v>
      </c>
      <c r="I76" s="12" t="n">
        <v>7</v>
      </c>
      <c r="J76" s="12" t="n">
        <v>8</v>
      </c>
      <c r="K76" s="12" t="n">
        <v>0</v>
      </c>
      <c r="L76" s="12" t="n">
        <v>0</v>
      </c>
      <c r="M76" s="12" t="n">
        <v>19</v>
      </c>
      <c r="N76" s="12" t="n">
        <v>19</v>
      </c>
      <c r="O76" s="12" t="n">
        <v>334</v>
      </c>
      <c r="P76" s="16" t="n">
        <f aca="false">O76/3</f>
        <v>111.333333333333</v>
      </c>
      <c r="Q76" s="17" t="str">
        <f aca="false">INT(O76/3)&amp;"."&amp;MOD(O76,3)</f>
        <v>111.1</v>
      </c>
      <c r="R76" s="12" t="n">
        <v>103</v>
      </c>
      <c r="S76" s="12" t="n">
        <v>73</v>
      </c>
      <c r="T76" s="12" t="n">
        <v>69</v>
      </c>
      <c r="U76" s="12" t="n">
        <v>17</v>
      </c>
      <c r="V76" s="12" t="n">
        <v>43</v>
      </c>
      <c r="W76" s="12" t="n">
        <v>132</v>
      </c>
      <c r="X76" s="12" t="n">
        <v>3</v>
      </c>
      <c r="Y76" s="18" t="n">
        <f aca="false">IF(O76=0,0,T76*27/O76)</f>
        <v>5.57784431137725</v>
      </c>
      <c r="Z76" s="18" t="n">
        <f aca="false">IF(P76=0,0,(V76+R76)/P76)</f>
        <v>1.31137724550898</v>
      </c>
      <c r="AA76" s="18" t="n">
        <f aca="false">IF(O76=0,0,W76*27/O76)</f>
        <v>10.6706586826347</v>
      </c>
      <c r="AB76" s="18" t="n">
        <f aca="false">IF(O76=0,0,V76*27/O76)</f>
        <v>3.47604790419162</v>
      </c>
      <c r="AC76" s="18" t="n">
        <f aca="false">IF(V76=0,0,W76/V76)</f>
        <v>3.06976744186047</v>
      </c>
      <c r="AD76" s="18" t="n">
        <f aca="false">IF(P76=0,0,(13*U76+3*(V76+X76)-2*W76)/P76+INDEX(球季參數!$C$2:$C$4,MATCH($A76,球季參數!$A$2:$A$4,0)))</f>
        <v>3.98329341317365</v>
      </c>
      <c r="AE76" s="11" t="n">
        <f aca="false">IF(P76&gt;=INDEX(球季參數!$F$2:$F$4,MATCH($A76,球季參數!$A$2:$A$4,0)),1,0)</f>
        <v>0</v>
      </c>
    </row>
    <row r="77" customFormat="false" ht="15" hidden="false" customHeight="false" outlineLevel="0" collapsed="false">
      <c r="A77" s="5" t="n">
        <v>2024</v>
      </c>
      <c r="B77" s="7" t="s">
        <v>787</v>
      </c>
      <c r="C77" s="10" t="str">
        <f aca="false">INDEX(球員主檔!$B$2:$B$749,MATCH($B77,球員主檔!$A$2:$A$749,0))</f>
        <v>Griffin Marchetti</v>
      </c>
      <c r="D77" s="7" t="s">
        <v>371</v>
      </c>
      <c r="E77" s="10" t="str">
        <f aca="false">INDEX(球隊主檔!$C$2:$C$31,MATCH($D77,球隊主檔!$A$2:$A$31,0))</f>
        <v>底特律老虎</v>
      </c>
      <c r="F77" s="10" t="str">
        <f aca="false">INDEX(球隊主檔!$D$2:$D$31,MATCH($D77,球隊主檔!$A$2:$A$31,0))</f>
        <v>美聯</v>
      </c>
      <c r="G77" s="7" t="s">
        <v>507</v>
      </c>
      <c r="H77" s="11" t="n">
        <f aca="false">INT((DATE($A77,7,1)-INDEX(球員主檔!$G$2:$G$749,MATCH($B77,球員主檔!$A$2:$A$749,0)))/365.25)</f>
        <v>26</v>
      </c>
      <c r="I77" s="12" t="n">
        <v>2</v>
      </c>
      <c r="J77" s="12" t="n">
        <v>5</v>
      </c>
      <c r="K77" s="12" t="n">
        <v>36</v>
      </c>
      <c r="L77" s="12" t="n">
        <v>3</v>
      </c>
      <c r="M77" s="12" t="n">
        <v>73</v>
      </c>
      <c r="N77" s="12" t="n">
        <v>0</v>
      </c>
      <c r="O77" s="12" t="n">
        <v>205</v>
      </c>
      <c r="P77" s="16" t="n">
        <f aca="false">O77/3</f>
        <v>68.3333333333333</v>
      </c>
      <c r="Q77" s="17" t="str">
        <f aca="false">INT(O77/3)&amp;"."&amp;MOD(O77,3)</f>
        <v>68.1</v>
      </c>
      <c r="R77" s="12" t="n">
        <v>54</v>
      </c>
      <c r="S77" s="12" t="n">
        <v>27</v>
      </c>
      <c r="T77" s="12" t="n">
        <v>25</v>
      </c>
      <c r="U77" s="12" t="n">
        <v>13</v>
      </c>
      <c r="V77" s="12" t="n">
        <v>18</v>
      </c>
      <c r="W77" s="12" t="n">
        <v>61</v>
      </c>
      <c r="X77" s="12" t="n">
        <v>4</v>
      </c>
      <c r="Y77" s="18" t="n">
        <f aca="false">IF(O77=0,0,T77*27/O77)</f>
        <v>3.29268292682927</v>
      </c>
      <c r="Z77" s="18" t="n">
        <f aca="false">IF(P77=0,0,(V77+R77)/P77)</f>
        <v>1.05365853658537</v>
      </c>
      <c r="AA77" s="18" t="n">
        <f aca="false">IF(O77=0,0,W77*27/O77)</f>
        <v>8.03414634146341</v>
      </c>
      <c r="AB77" s="18" t="n">
        <f aca="false">IF(O77=0,0,V77*27/O77)</f>
        <v>2.37073170731707</v>
      </c>
      <c r="AC77" s="18" t="n">
        <f aca="false">IF(V77=0,0,W77/V77)</f>
        <v>3.38888888888889</v>
      </c>
      <c r="AD77" s="18" t="n">
        <f aca="false">IF(P77=0,0,(13*U77+3*(V77+X77)-2*W77)/P77+INDEX(球季參數!$C$2:$C$4,MATCH($A77,球季參數!$A$2:$A$4,0)))</f>
        <v>4.78365853658537</v>
      </c>
      <c r="AE77" s="11" t="n">
        <f aca="false">IF(P77&gt;=INDEX(球季參數!$F$2:$F$4,MATCH($A77,球季參數!$A$2:$A$4,0)),1,0)</f>
        <v>0</v>
      </c>
    </row>
    <row r="78" customFormat="false" ht="15" hidden="false" customHeight="false" outlineLevel="0" collapsed="false">
      <c r="A78" s="5" t="n">
        <v>2024</v>
      </c>
      <c r="B78" s="7" t="s">
        <v>789</v>
      </c>
      <c r="C78" s="10" t="str">
        <f aca="false">INDEX(球員主檔!$B$2:$B$749,MATCH($B78,球員主檔!$A$2:$A$749,0))</f>
        <v>Dimitri Esquivel</v>
      </c>
      <c r="D78" s="7" t="s">
        <v>371</v>
      </c>
      <c r="E78" s="10" t="str">
        <f aca="false">INDEX(球隊主檔!$C$2:$C$31,MATCH($D78,球隊主檔!$A$2:$A$31,0))</f>
        <v>底特律老虎</v>
      </c>
      <c r="F78" s="10" t="str">
        <f aca="false">INDEX(球隊主檔!$D$2:$D$31,MATCH($D78,球隊主檔!$A$2:$A$31,0))</f>
        <v>美聯</v>
      </c>
      <c r="G78" s="7" t="s">
        <v>507</v>
      </c>
      <c r="H78" s="11" t="n">
        <f aca="false">INT((DATE($A78,7,1)-INDEX(球員主檔!$G$2:$G$749,MATCH($B78,球員主檔!$A$2:$A$749,0)))/365.25)</f>
        <v>28</v>
      </c>
      <c r="I78" s="12" t="n">
        <v>9</v>
      </c>
      <c r="J78" s="12" t="n">
        <v>6</v>
      </c>
      <c r="K78" s="12" t="n">
        <v>1</v>
      </c>
      <c r="L78" s="12" t="n">
        <v>8</v>
      </c>
      <c r="M78" s="12" t="n">
        <v>70</v>
      </c>
      <c r="N78" s="12" t="n">
        <v>0</v>
      </c>
      <c r="O78" s="12" t="n">
        <v>207</v>
      </c>
      <c r="P78" s="16" t="n">
        <f aca="false">O78/3</f>
        <v>69</v>
      </c>
      <c r="Q78" s="17" t="str">
        <f aca="false">INT(O78/3)&amp;"."&amp;MOD(O78,3)</f>
        <v>69.0</v>
      </c>
      <c r="R78" s="12" t="n">
        <v>55</v>
      </c>
      <c r="S78" s="12" t="n">
        <v>30</v>
      </c>
      <c r="T78" s="12" t="n">
        <v>30</v>
      </c>
      <c r="U78" s="12" t="n">
        <v>10</v>
      </c>
      <c r="V78" s="12" t="n">
        <v>17</v>
      </c>
      <c r="W78" s="12" t="n">
        <v>86</v>
      </c>
      <c r="X78" s="12" t="n">
        <v>3</v>
      </c>
      <c r="Y78" s="18" t="n">
        <f aca="false">IF(O78=0,0,T78*27/O78)</f>
        <v>3.91304347826087</v>
      </c>
      <c r="Z78" s="18" t="n">
        <f aca="false">IF(P78=0,0,(V78+R78)/P78)</f>
        <v>1.04347826086957</v>
      </c>
      <c r="AA78" s="18" t="n">
        <f aca="false">IF(O78=0,0,W78*27/O78)</f>
        <v>11.2173913043478</v>
      </c>
      <c r="AB78" s="18" t="n">
        <f aca="false">IF(O78=0,0,V78*27/O78)</f>
        <v>2.21739130434783</v>
      </c>
      <c r="AC78" s="18" t="n">
        <f aca="false">IF(V78=0,0,W78/V78)</f>
        <v>5.05882352941176</v>
      </c>
      <c r="AD78" s="18" t="n">
        <f aca="false">IF(P78=0,0,(13*U78+3*(V78+X78)-2*W78)/P78+INDEX(球季參數!$C$2:$C$4,MATCH($A78,球季參數!$A$2:$A$4,0)))</f>
        <v>3.39086956521739</v>
      </c>
      <c r="AE78" s="11" t="n">
        <f aca="false">IF(P78&gt;=INDEX(球季參數!$F$2:$F$4,MATCH($A78,球季參數!$A$2:$A$4,0)),1,0)</f>
        <v>0</v>
      </c>
    </row>
    <row r="79" customFormat="false" ht="15" hidden="false" customHeight="false" outlineLevel="0" collapsed="false">
      <c r="A79" s="5" t="n">
        <v>2024</v>
      </c>
      <c r="B79" s="7" t="s">
        <v>791</v>
      </c>
      <c r="C79" s="10" t="str">
        <f aca="false">INDEX(球員主檔!$B$2:$B$749,MATCH($B79,球員主檔!$A$2:$A$749,0))</f>
        <v>Silas Yamazaki</v>
      </c>
      <c r="D79" s="7" t="s">
        <v>371</v>
      </c>
      <c r="E79" s="10" t="str">
        <f aca="false">INDEX(球隊主檔!$C$2:$C$31,MATCH($D79,球隊主檔!$A$2:$A$31,0))</f>
        <v>底特律老虎</v>
      </c>
      <c r="F79" s="10" t="str">
        <f aca="false">INDEX(球隊主檔!$D$2:$D$31,MATCH($D79,球隊主檔!$A$2:$A$31,0))</f>
        <v>美聯</v>
      </c>
      <c r="G79" s="7" t="s">
        <v>507</v>
      </c>
      <c r="H79" s="11" t="n">
        <f aca="false">INT((DATE($A79,7,1)-INDEX(球員主檔!$G$2:$G$749,MATCH($B79,球員主檔!$A$2:$A$749,0)))/365.25)</f>
        <v>24</v>
      </c>
      <c r="I79" s="12" t="n">
        <v>0</v>
      </c>
      <c r="J79" s="12" t="n">
        <v>1</v>
      </c>
      <c r="K79" s="12" t="n">
        <v>1</v>
      </c>
      <c r="L79" s="12" t="n">
        <v>8</v>
      </c>
      <c r="M79" s="12" t="n">
        <v>60</v>
      </c>
      <c r="N79" s="12" t="n">
        <v>0</v>
      </c>
      <c r="O79" s="12" t="n">
        <v>159</v>
      </c>
      <c r="P79" s="16" t="n">
        <f aca="false">O79/3</f>
        <v>53</v>
      </c>
      <c r="Q79" s="17" t="str">
        <f aca="false">INT(O79/3)&amp;"."&amp;MOD(O79,3)</f>
        <v>53.0</v>
      </c>
      <c r="R79" s="12" t="n">
        <v>44</v>
      </c>
      <c r="S79" s="12" t="n">
        <v>25</v>
      </c>
      <c r="T79" s="12" t="n">
        <v>23</v>
      </c>
      <c r="U79" s="12" t="n">
        <v>9</v>
      </c>
      <c r="V79" s="12" t="n">
        <v>18</v>
      </c>
      <c r="W79" s="12" t="n">
        <v>49</v>
      </c>
      <c r="X79" s="12" t="n">
        <v>1</v>
      </c>
      <c r="Y79" s="18" t="n">
        <f aca="false">IF(O79=0,0,T79*27/O79)</f>
        <v>3.90566037735849</v>
      </c>
      <c r="Z79" s="18" t="n">
        <f aca="false">IF(P79=0,0,(V79+R79)/P79)</f>
        <v>1.16981132075472</v>
      </c>
      <c r="AA79" s="18" t="n">
        <f aca="false">IF(O79=0,0,W79*27/O79)</f>
        <v>8.32075471698113</v>
      </c>
      <c r="AB79" s="18" t="n">
        <f aca="false">IF(O79=0,0,V79*27/O79)</f>
        <v>3.05660377358491</v>
      </c>
      <c r="AC79" s="18" t="n">
        <f aca="false">IF(V79=0,0,W79/V79)</f>
        <v>2.72222222222222</v>
      </c>
      <c r="AD79" s="18" t="n">
        <f aca="false">IF(P79=0,0,(13*U79+3*(V79+X79)-2*W79)/P79+INDEX(球季參數!$C$2:$C$4,MATCH($A79,球季參數!$A$2:$A$4,0)))</f>
        <v>4.56396226415094</v>
      </c>
      <c r="AE79" s="11" t="n">
        <f aca="false">IF(P79&gt;=INDEX(球季參數!$F$2:$F$4,MATCH($A79,球季參數!$A$2:$A$4,0)),1,0)</f>
        <v>0</v>
      </c>
    </row>
    <row r="80" customFormat="false" ht="15" hidden="false" customHeight="false" outlineLevel="0" collapsed="false">
      <c r="A80" s="5" t="n">
        <v>2024</v>
      </c>
      <c r="B80" s="7" t="s">
        <v>793</v>
      </c>
      <c r="C80" s="10" t="str">
        <f aca="false">INDEX(球員主檔!$B$2:$B$749,MATCH($B80,球員主檔!$A$2:$A$749,0))</f>
        <v>Minjae Vandermeer</v>
      </c>
      <c r="D80" s="7" t="s">
        <v>371</v>
      </c>
      <c r="E80" s="10" t="str">
        <f aca="false">INDEX(球隊主檔!$C$2:$C$31,MATCH($D80,球隊主檔!$A$2:$A$31,0))</f>
        <v>底特律老虎</v>
      </c>
      <c r="F80" s="10" t="str">
        <f aca="false">INDEX(球隊主檔!$D$2:$D$31,MATCH($D80,球隊主檔!$A$2:$A$31,0))</f>
        <v>美聯</v>
      </c>
      <c r="G80" s="7" t="s">
        <v>507</v>
      </c>
      <c r="H80" s="11" t="n">
        <f aca="false">INT((DATE($A80,7,1)-INDEX(球員主檔!$G$2:$G$749,MATCH($B80,球員主檔!$A$2:$A$749,0)))/365.25)</f>
        <v>31</v>
      </c>
      <c r="I80" s="12" t="n">
        <v>3</v>
      </c>
      <c r="J80" s="12" t="n">
        <v>3</v>
      </c>
      <c r="K80" s="12" t="n">
        <v>3</v>
      </c>
      <c r="L80" s="12" t="n">
        <v>10</v>
      </c>
      <c r="M80" s="12" t="n">
        <v>48</v>
      </c>
      <c r="N80" s="12" t="n">
        <v>0</v>
      </c>
      <c r="O80" s="12" t="n">
        <v>129</v>
      </c>
      <c r="P80" s="16" t="n">
        <f aca="false">O80/3</f>
        <v>43</v>
      </c>
      <c r="Q80" s="17" t="str">
        <f aca="false">INT(O80/3)&amp;"."&amp;MOD(O80,3)</f>
        <v>43.0</v>
      </c>
      <c r="R80" s="12" t="n">
        <v>37</v>
      </c>
      <c r="S80" s="12" t="n">
        <v>19</v>
      </c>
      <c r="T80" s="12" t="n">
        <v>17</v>
      </c>
      <c r="U80" s="12" t="n">
        <v>6</v>
      </c>
      <c r="V80" s="12" t="n">
        <v>17</v>
      </c>
      <c r="W80" s="12" t="n">
        <v>42</v>
      </c>
      <c r="X80" s="12" t="n">
        <v>2</v>
      </c>
      <c r="Y80" s="18" t="n">
        <f aca="false">IF(O80=0,0,T80*27/O80)</f>
        <v>3.55813953488372</v>
      </c>
      <c r="Z80" s="18" t="n">
        <f aca="false">IF(P80=0,0,(V80+R80)/P80)</f>
        <v>1.25581395348837</v>
      </c>
      <c r="AA80" s="18" t="n">
        <f aca="false">IF(O80=0,0,W80*27/O80)</f>
        <v>8.7906976744186</v>
      </c>
      <c r="AB80" s="18" t="n">
        <f aca="false">IF(O80=0,0,V80*27/O80)</f>
        <v>3.55813953488372</v>
      </c>
      <c r="AC80" s="18" t="n">
        <f aca="false">IF(V80=0,0,W80/V80)</f>
        <v>2.47058823529412</v>
      </c>
      <c r="AD80" s="18" t="n">
        <f aca="false">IF(P80=0,0,(13*U80+3*(V80+X80)-2*W80)/P80+INDEX(球季參數!$C$2:$C$4,MATCH($A80,球季參數!$A$2:$A$4,0)))</f>
        <v>4.31604651162791</v>
      </c>
      <c r="AE80" s="11" t="n">
        <f aca="false">IF(P80&gt;=INDEX(球季參數!$F$2:$F$4,MATCH($A80,球季參數!$A$2:$A$4,0)),1,0)</f>
        <v>0</v>
      </c>
    </row>
    <row r="81" customFormat="false" ht="15" hidden="false" customHeight="false" outlineLevel="0" collapsed="false">
      <c r="A81" s="5" t="n">
        <v>2024</v>
      </c>
      <c r="B81" s="7" t="s">
        <v>795</v>
      </c>
      <c r="C81" s="10" t="str">
        <f aca="false">INDEX(球員主檔!$B$2:$B$749,MATCH($B81,球員主檔!$A$2:$A$749,0))</f>
        <v>Niklas Eberhardt</v>
      </c>
      <c r="D81" s="7" t="s">
        <v>371</v>
      </c>
      <c r="E81" s="10" t="str">
        <f aca="false">INDEX(球隊主檔!$C$2:$C$31,MATCH($D81,球隊主檔!$A$2:$A$31,0))</f>
        <v>底特律老虎</v>
      </c>
      <c r="F81" s="10" t="str">
        <f aca="false">INDEX(球隊主檔!$D$2:$D$31,MATCH($D81,球隊主檔!$A$2:$A$31,0))</f>
        <v>美聯</v>
      </c>
      <c r="G81" s="7" t="s">
        <v>507</v>
      </c>
      <c r="H81" s="11" t="n">
        <f aca="false">INT((DATE($A81,7,1)-INDEX(球員主檔!$G$2:$G$749,MATCH($B81,球員主檔!$A$2:$A$749,0)))/365.25)</f>
        <v>29</v>
      </c>
      <c r="I81" s="12" t="n">
        <v>7</v>
      </c>
      <c r="J81" s="12" t="n">
        <v>4</v>
      </c>
      <c r="K81" s="12" t="n">
        <v>0</v>
      </c>
      <c r="L81" s="12" t="n">
        <v>21</v>
      </c>
      <c r="M81" s="12" t="n">
        <v>44</v>
      </c>
      <c r="N81" s="12" t="n">
        <v>0</v>
      </c>
      <c r="O81" s="12" t="n">
        <v>127</v>
      </c>
      <c r="P81" s="16" t="n">
        <f aca="false">O81/3</f>
        <v>42.3333333333333</v>
      </c>
      <c r="Q81" s="17" t="str">
        <f aca="false">INT(O81/3)&amp;"."&amp;MOD(O81,3)</f>
        <v>42.1</v>
      </c>
      <c r="R81" s="12" t="n">
        <v>29</v>
      </c>
      <c r="S81" s="12" t="n">
        <v>10</v>
      </c>
      <c r="T81" s="12" t="n">
        <v>9</v>
      </c>
      <c r="U81" s="12" t="n">
        <v>6</v>
      </c>
      <c r="V81" s="12" t="n">
        <v>11</v>
      </c>
      <c r="W81" s="12" t="n">
        <v>41</v>
      </c>
      <c r="X81" s="12" t="n">
        <v>1</v>
      </c>
      <c r="Y81" s="18" t="n">
        <f aca="false">IF(O81=0,0,T81*27/O81)</f>
        <v>1.91338582677165</v>
      </c>
      <c r="Z81" s="18" t="n">
        <f aca="false">IF(P81=0,0,(V81+R81)/P81)</f>
        <v>0.94488188976378</v>
      </c>
      <c r="AA81" s="18" t="n">
        <f aca="false">IF(O81=0,0,W81*27/O81)</f>
        <v>8.71653543307087</v>
      </c>
      <c r="AB81" s="18" t="n">
        <f aca="false">IF(O81=0,0,V81*27/O81)</f>
        <v>2.33858267716535</v>
      </c>
      <c r="AC81" s="18" t="n">
        <f aca="false">IF(V81=0,0,W81/V81)</f>
        <v>3.72727272727273</v>
      </c>
      <c r="AD81" s="18" t="n">
        <f aca="false">IF(P81=0,0,(13*U81+3*(V81+X81)-2*W81)/P81+INDEX(球季參數!$C$2:$C$4,MATCH($A81,球季參數!$A$2:$A$4,0)))</f>
        <v>3.88590551181102</v>
      </c>
      <c r="AE81" s="11" t="n">
        <f aca="false">IF(P81&gt;=INDEX(球季參數!$F$2:$F$4,MATCH($A81,球季參數!$A$2:$A$4,0)),1,0)</f>
        <v>0</v>
      </c>
    </row>
    <row r="82" customFormat="false" ht="15" hidden="false" customHeight="false" outlineLevel="0" collapsed="false">
      <c r="A82" s="5" t="n">
        <v>2024</v>
      </c>
      <c r="B82" s="7" t="s">
        <v>817</v>
      </c>
      <c r="C82" s="10" t="str">
        <f aca="false">INDEX(球員主檔!$B$2:$B$749,MATCH($B82,球員主檔!$A$2:$A$749,0))</f>
        <v>Barrett Haverford</v>
      </c>
      <c r="D82" s="7" t="s">
        <v>375</v>
      </c>
      <c r="E82" s="10" t="str">
        <f aca="false">INDEX(球隊主檔!$C$2:$C$31,MATCH($D82,球隊主檔!$A$2:$A$31,0))</f>
        <v>堪薩斯市皇家</v>
      </c>
      <c r="F82" s="10" t="str">
        <f aca="false">INDEX(球隊主檔!$D$2:$D$31,MATCH($D82,球隊主檔!$A$2:$A$31,0))</f>
        <v>美聯</v>
      </c>
      <c r="G82" s="7" t="s">
        <v>496</v>
      </c>
      <c r="H82" s="11" t="n">
        <f aca="false">INT((DATE($A82,7,1)-INDEX(球員主檔!$G$2:$G$749,MATCH($B82,球員主檔!$A$2:$A$749,0)))/365.25)</f>
        <v>31</v>
      </c>
      <c r="I82" s="12" t="n">
        <v>8</v>
      </c>
      <c r="J82" s="12" t="n">
        <v>5</v>
      </c>
      <c r="K82" s="12" t="n">
        <v>0</v>
      </c>
      <c r="L82" s="12" t="n">
        <v>0</v>
      </c>
      <c r="M82" s="12" t="n">
        <v>23</v>
      </c>
      <c r="N82" s="12" t="n">
        <v>23</v>
      </c>
      <c r="O82" s="12" t="n">
        <v>414</v>
      </c>
      <c r="P82" s="16" t="n">
        <f aca="false">O82/3</f>
        <v>138</v>
      </c>
      <c r="Q82" s="17" t="str">
        <f aca="false">INT(O82/3)&amp;"."&amp;MOD(O82,3)</f>
        <v>138.0</v>
      </c>
      <c r="R82" s="12" t="n">
        <v>109</v>
      </c>
      <c r="S82" s="12" t="n">
        <v>67</v>
      </c>
      <c r="T82" s="12" t="n">
        <v>63</v>
      </c>
      <c r="U82" s="12" t="n">
        <v>12</v>
      </c>
      <c r="V82" s="12" t="n">
        <v>20</v>
      </c>
      <c r="W82" s="12" t="n">
        <v>149</v>
      </c>
      <c r="X82" s="12" t="n">
        <v>3</v>
      </c>
      <c r="Y82" s="18" t="n">
        <f aca="false">IF(O82=0,0,T82*27/O82)</f>
        <v>4.10869565217391</v>
      </c>
      <c r="Z82" s="18" t="n">
        <f aca="false">IF(P82=0,0,(V82+R82)/P82)</f>
        <v>0.934782608695652</v>
      </c>
      <c r="AA82" s="18" t="n">
        <f aca="false">IF(O82=0,0,W82*27/O82)</f>
        <v>9.71739130434783</v>
      </c>
      <c r="AB82" s="18" t="n">
        <f aca="false">IF(O82=0,0,V82*27/O82)</f>
        <v>1.30434782608696</v>
      </c>
      <c r="AC82" s="18" t="n">
        <f aca="false">IF(V82=0,0,W82/V82)</f>
        <v>7.45</v>
      </c>
      <c r="AD82" s="18" t="n">
        <f aca="false">IF(P82=0,0,(13*U82+3*(V82+X82)-2*W82)/P82+INDEX(球季參數!$C$2:$C$4,MATCH($A82,球季參數!$A$2:$A$4,0)))</f>
        <v>2.60101449275362</v>
      </c>
      <c r="AE82" s="11" t="n">
        <f aca="false">IF(P82&gt;=INDEX(球季參數!$F$2:$F$4,MATCH($A82,球季參數!$A$2:$A$4,0)),1,0)</f>
        <v>0</v>
      </c>
    </row>
    <row r="83" customFormat="false" ht="15" hidden="false" customHeight="false" outlineLevel="0" collapsed="false">
      <c r="A83" s="5" t="n">
        <v>2024</v>
      </c>
      <c r="B83" s="7" t="s">
        <v>819</v>
      </c>
      <c r="C83" s="10" t="str">
        <f aca="false">INDEX(球員主檔!$B$2:$B$749,MATCH($B83,球員主檔!$A$2:$A$749,0))</f>
        <v>Augustin Ravenscroft</v>
      </c>
      <c r="D83" s="7" t="s">
        <v>375</v>
      </c>
      <c r="E83" s="10" t="str">
        <f aca="false">INDEX(球隊主檔!$C$2:$C$31,MATCH($D83,球隊主檔!$A$2:$A$31,0))</f>
        <v>堪薩斯市皇家</v>
      </c>
      <c r="F83" s="10" t="str">
        <f aca="false">INDEX(球隊主檔!$D$2:$D$31,MATCH($D83,球隊主檔!$A$2:$A$31,0))</f>
        <v>美聯</v>
      </c>
      <c r="G83" s="7" t="s">
        <v>496</v>
      </c>
      <c r="H83" s="11" t="n">
        <f aca="false">INT((DATE($A83,7,1)-INDEX(球員主檔!$G$2:$G$749,MATCH($B83,球員主檔!$A$2:$A$749,0)))/365.25)</f>
        <v>28</v>
      </c>
      <c r="I83" s="12" t="n">
        <v>10</v>
      </c>
      <c r="J83" s="12" t="n">
        <v>7</v>
      </c>
      <c r="K83" s="12" t="n">
        <v>0</v>
      </c>
      <c r="L83" s="12" t="n">
        <v>0</v>
      </c>
      <c r="M83" s="12" t="n">
        <v>30</v>
      </c>
      <c r="N83" s="12" t="n">
        <v>30</v>
      </c>
      <c r="O83" s="12" t="n">
        <v>547</v>
      </c>
      <c r="P83" s="16" t="n">
        <f aca="false">O83/3</f>
        <v>182.333333333333</v>
      </c>
      <c r="Q83" s="17" t="str">
        <f aca="false">INT(O83/3)&amp;"."&amp;MOD(O83,3)</f>
        <v>182.1</v>
      </c>
      <c r="R83" s="12" t="n">
        <v>175</v>
      </c>
      <c r="S83" s="12" t="n">
        <v>116</v>
      </c>
      <c r="T83" s="12" t="n">
        <v>106</v>
      </c>
      <c r="U83" s="12" t="n">
        <v>33</v>
      </c>
      <c r="V83" s="12" t="n">
        <v>69</v>
      </c>
      <c r="W83" s="12" t="n">
        <v>197</v>
      </c>
      <c r="X83" s="12" t="n">
        <v>4</v>
      </c>
      <c r="Y83" s="18" t="n">
        <f aca="false">IF(O83=0,0,T83*27/O83)</f>
        <v>5.23217550274223</v>
      </c>
      <c r="Z83" s="18" t="n">
        <f aca="false">IF(P83=0,0,(V83+R83)/P83)</f>
        <v>1.3382084095064</v>
      </c>
      <c r="AA83" s="18" t="n">
        <f aca="false">IF(O83=0,0,W83*27/O83)</f>
        <v>9.72394881170018</v>
      </c>
      <c r="AB83" s="18" t="n">
        <f aca="false">IF(O83=0,0,V83*27/O83)</f>
        <v>3.40585009140768</v>
      </c>
      <c r="AC83" s="18" t="n">
        <f aca="false">IF(V83=0,0,W83/V83)</f>
        <v>2.85507246376812</v>
      </c>
      <c r="AD83" s="18" t="n">
        <f aca="false">IF(P83=0,0,(13*U83+3*(V83+X83)-2*W83)/P83+INDEX(球季參數!$C$2:$C$4,MATCH($A83,球季參數!$A$2:$A$4,0)))</f>
        <v>4.52305301645338</v>
      </c>
      <c r="AE83" s="11" t="n">
        <f aca="false">IF(P83&gt;=INDEX(球季參數!$F$2:$F$4,MATCH($A83,球季參數!$A$2:$A$4,0)),1,0)</f>
        <v>1</v>
      </c>
    </row>
    <row r="84" customFormat="false" ht="15" hidden="false" customHeight="false" outlineLevel="0" collapsed="false">
      <c r="A84" s="5" t="n">
        <v>2024</v>
      </c>
      <c r="B84" s="7" t="s">
        <v>821</v>
      </c>
      <c r="C84" s="10" t="str">
        <f aca="false">INDEX(球員主檔!$B$2:$B$749,MATCH($B84,球員主檔!$A$2:$A$749,0))</f>
        <v>Isaias Hargreaves</v>
      </c>
      <c r="D84" s="7" t="s">
        <v>375</v>
      </c>
      <c r="E84" s="10" t="str">
        <f aca="false">INDEX(球隊主檔!$C$2:$C$31,MATCH($D84,球隊主檔!$A$2:$A$31,0))</f>
        <v>堪薩斯市皇家</v>
      </c>
      <c r="F84" s="10" t="str">
        <f aca="false">INDEX(球隊主檔!$D$2:$D$31,MATCH($D84,球隊主檔!$A$2:$A$31,0))</f>
        <v>美聯</v>
      </c>
      <c r="G84" s="7" t="s">
        <v>496</v>
      </c>
      <c r="H84" s="11" t="n">
        <f aca="false">INT((DATE($A84,7,1)-INDEX(球員主檔!$G$2:$G$749,MATCH($B84,球員主檔!$A$2:$A$749,0)))/365.25)</f>
        <v>30</v>
      </c>
      <c r="I84" s="12" t="n">
        <v>12</v>
      </c>
      <c r="J84" s="12" t="n">
        <v>6</v>
      </c>
      <c r="K84" s="12" t="n">
        <v>0</v>
      </c>
      <c r="L84" s="12" t="n">
        <v>0</v>
      </c>
      <c r="M84" s="12" t="n">
        <v>25</v>
      </c>
      <c r="N84" s="12" t="n">
        <v>25</v>
      </c>
      <c r="O84" s="12" t="n">
        <v>458</v>
      </c>
      <c r="P84" s="16" t="n">
        <f aca="false">O84/3</f>
        <v>152.666666666667</v>
      </c>
      <c r="Q84" s="17" t="str">
        <f aca="false">INT(O84/3)&amp;"."&amp;MOD(O84,3)</f>
        <v>152.2</v>
      </c>
      <c r="R84" s="12" t="n">
        <v>124</v>
      </c>
      <c r="S84" s="12" t="n">
        <v>66</v>
      </c>
      <c r="T84" s="12" t="n">
        <v>58</v>
      </c>
      <c r="U84" s="12" t="n">
        <v>24</v>
      </c>
      <c r="V84" s="12" t="n">
        <v>27</v>
      </c>
      <c r="W84" s="12" t="n">
        <v>175</v>
      </c>
      <c r="X84" s="12" t="n">
        <v>3</v>
      </c>
      <c r="Y84" s="18" t="n">
        <f aca="false">IF(O84=0,0,T84*27/O84)</f>
        <v>3.41921397379913</v>
      </c>
      <c r="Z84" s="18" t="n">
        <f aca="false">IF(P84=0,0,(V84+R84)/P84)</f>
        <v>0.989082969432314</v>
      </c>
      <c r="AA84" s="18" t="n">
        <f aca="false">IF(O84=0,0,W84*27/O84)</f>
        <v>10.3165938864629</v>
      </c>
      <c r="AB84" s="18" t="n">
        <f aca="false">IF(O84=0,0,V84*27/O84)</f>
        <v>1.59170305676856</v>
      </c>
      <c r="AC84" s="18" t="n">
        <f aca="false">IF(V84=0,0,W84/V84)</f>
        <v>6.48148148148148</v>
      </c>
      <c r="AD84" s="18" t="n">
        <f aca="false">IF(P84=0,0,(13*U84+3*(V84+X84)-2*W84)/P84+INDEX(球季參數!$C$2:$C$4,MATCH($A84,球季參數!$A$2:$A$4,0)))</f>
        <v>3.47061135371179</v>
      </c>
      <c r="AE84" s="11" t="n">
        <f aca="false">IF(P84&gt;=INDEX(球季參數!$F$2:$F$4,MATCH($A84,球季參數!$A$2:$A$4,0)),1,0)</f>
        <v>0</v>
      </c>
    </row>
    <row r="85" customFormat="false" ht="15" hidden="false" customHeight="false" outlineLevel="0" collapsed="false">
      <c r="A85" s="5" t="n">
        <v>2024</v>
      </c>
      <c r="B85" s="7" t="s">
        <v>823</v>
      </c>
      <c r="C85" s="10" t="str">
        <f aca="false">INDEX(球員主檔!$B$2:$B$749,MATCH($B85,球員主檔!$A$2:$A$749,0))</f>
        <v>Cedric Vandermeer</v>
      </c>
      <c r="D85" s="7" t="s">
        <v>375</v>
      </c>
      <c r="E85" s="10" t="str">
        <f aca="false">INDEX(球隊主檔!$C$2:$C$31,MATCH($D85,球隊主檔!$A$2:$A$31,0))</f>
        <v>堪薩斯市皇家</v>
      </c>
      <c r="F85" s="10" t="str">
        <f aca="false">INDEX(球隊主檔!$D$2:$D$31,MATCH($D85,球隊主檔!$A$2:$A$31,0))</f>
        <v>美聯</v>
      </c>
      <c r="G85" s="7" t="s">
        <v>496</v>
      </c>
      <c r="H85" s="11" t="n">
        <f aca="false">INT((DATE($A85,7,1)-INDEX(球員主檔!$G$2:$G$749,MATCH($B85,球員主檔!$A$2:$A$749,0)))/365.25)</f>
        <v>33</v>
      </c>
      <c r="I85" s="12" t="n">
        <v>7</v>
      </c>
      <c r="J85" s="12" t="n">
        <v>11</v>
      </c>
      <c r="K85" s="12" t="n">
        <v>0</v>
      </c>
      <c r="L85" s="12" t="n">
        <v>0</v>
      </c>
      <c r="M85" s="12" t="n">
        <v>25</v>
      </c>
      <c r="N85" s="12" t="n">
        <v>25</v>
      </c>
      <c r="O85" s="12" t="n">
        <v>380</v>
      </c>
      <c r="P85" s="16" t="n">
        <f aca="false">O85/3</f>
        <v>126.666666666667</v>
      </c>
      <c r="Q85" s="17" t="str">
        <f aca="false">INT(O85/3)&amp;"."&amp;MOD(O85,3)</f>
        <v>126.2</v>
      </c>
      <c r="R85" s="12" t="n">
        <v>119</v>
      </c>
      <c r="S85" s="12" t="n">
        <v>78</v>
      </c>
      <c r="T85" s="12" t="n">
        <v>78</v>
      </c>
      <c r="U85" s="12" t="n">
        <v>20</v>
      </c>
      <c r="V85" s="12" t="n">
        <v>37</v>
      </c>
      <c r="W85" s="12" t="n">
        <v>90</v>
      </c>
      <c r="X85" s="12" t="n">
        <v>6</v>
      </c>
      <c r="Y85" s="18" t="n">
        <f aca="false">IF(O85=0,0,T85*27/O85)</f>
        <v>5.5421052631579</v>
      </c>
      <c r="Z85" s="18" t="n">
        <f aca="false">IF(P85=0,0,(V85+R85)/P85)</f>
        <v>1.23157894736842</v>
      </c>
      <c r="AA85" s="18" t="n">
        <f aca="false">IF(O85=0,0,W85*27/O85)</f>
        <v>6.39473684210526</v>
      </c>
      <c r="AB85" s="18" t="n">
        <f aca="false">IF(O85=0,0,V85*27/O85)</f>
        <v>2.62894736842105</v>
      </c>
      <c r="AC85" s="18" t="n">
        <f aca="false">IF(V85=0,0,W85/V85)</f>
        <v>2.43243243243243</v>
      </c>
      <c r="AD85" s="18" t="n">
        <f aca="false">IF(P85=0,0,(13*U85+3*(V85+X85)-2*W85)/P85+INDEX(球季參數!$C$2:$C$4,MATCH($A85,球季參數!$A$2:$A$4,0)))</f>
        <v>4.78</v>
      </c>
      <c r="AE85" s="11" t="n">
        <f aca="false">IF(P85&gt;=INDEX(球季參數!$F$2:$F$4,MATCH($A85,球季參數!$A$2:$A$4,0)),1,0)</f>
        <v>0</v>
      </c>
    </row>
    <row r="86" customFormat="false" ht="15" hidden="false" customHeight="false" outlineLevel="0" collapsed="false">
      <c r="A86" s="5" t="n">
        <v>2024</v>
      </c>
      <c r="B86" s="7" t="s">
        <v>825</v>
      </c>
      <c r="C86" s="10" t="str">
        <f aca="false">INDEX(球員主檔!$B$2:$B$749,MATCH($B86,球員主檔!$A$2:$A$749,0))</f>
        <v>Soren Quiroga</v>
      </c>
      <c r="D86" s="7" t="s">
        <v>375</v>
      </c>
      <c r="E86" s="10" t="str">
        <f aca="false">INDEX(球隊主檔!$C$2:$C$31,MATCH($D86,球隊主檔!$A$2:$A$31,0))</f>
        <v>堪薩斯市皇家</v>
      </c>
      <c r="F86" s="10" t="str">
        <f aca="false">INDEX(球隊主檔!$D$2:$D$31,MATCH($D86,球隊主檔!$A$2:$A$31,0))</f>
        <v>美聯</v>
      </c>
      <c r="G86" s="7" t="s">
        <v>496</v>
      </c>
      <c r="H86" s="11" t="n">
        <f aca="false">INT((DATE($A86,7,1)-INDEX(球員主檔!$G$2:$G$749,MATCH($B86,球員主檔!$A$2:$A$749,0)))/365.25)</f>
        <v>32</v>
      </c>
      <c r="I86" s="12" t="n">
        <v>18</v>
      </c>
      <c r="J86" s="12" t="n">
        <v>7</v>
      </c>
      <c r="K86" s="12" t="n">
        <v>0</v>
      </c>
      <c r="L86" s="12" t="n">
        <v>0</v>
      </c>
      <c r="M86" s="12" t="n">
        <v>33</v>
      </c>
      <c r="N86" s="12" t="n">
        <v>33</v>
      </c>
      <c r="O86" s="12" t="n">
        <v>598</v>
      </c>
      <c r="P86" s="16" t="n">
        <f aca="false">O86/3</f>
        <v>199.333333333333</v>
      </c>
      <c r="Q86" s="17" t="str">
        <f aca="false">INT(O86/3)&amp;"."&amp;MOD(O86,3)</f>
        <v>199.1</v>
      </c>
      <c r="R86" s="12" t="n">
        <v>147</v>
      </c>
      <c r="S86" s="12" t="n">
        <v>81</v>
      </c>
      <c r="T86" s="12" t="n">
        <v>78</v>
      </c>
      <c r="U86" s="12" t="n">
        <v>30</v>
      </c>
      <c r="V86" s="12" t="n">
        <v>69</v>
      </c>
      <c r="W86" s="12" t="n">
        <v>189</v>
      </c>
      <c r="X86" s="12" t="n">
        <v>10</v>
      </c>
      <c r="Y86" s="18" t="n">
        <f aca="false">IF(O86=0,0,T86*27/O86)</f>
        <v>3.52173913043478</v>
      </c>
      <c r="Z86" s="18" t="n">
        <f aca="false">IF(P86=0,0,(V86+R86)/P86)</f>
        <v>1.08361204013378</v>
      </c>
      <c r="AA86" s="18" t="n">
        <f aca="false">IF(O86=0,0,W86*27/O86)</f>
        <v>8.53344481605351</v>
      </c>
      <c r="AB86" s="18" t="n">
        <f aca="false">IF(O86=0,0,V86*27/O86)</f>
        <v>3.11538461538462</v>
      </c>
      <c r="AC86" s="18" t="n">
        <f aca="false">IF(V86=0,0,W86/V86)</f>
        <v>2.73913043478261</v>
      </c>
      <c r="AD86" s="18" t="n">
        <f aca="false">IF(P86=0,0,(13*U86+3*(V86+X86)-2*W86)/P86+INDEX(球季參數!$C$2:$C$4,MATCH($A86,球季參數!$A$2:$A$4,0)))</f>
        <v>4.37916387959866</v>
      </c>
      <c r="AE86" s="11" t="n">
        <f aca="false">IF(P86&gt;=INDEX(球季參數!$F$2:$F$4,MATCH($A86,球季參數!$A$2:$A$4,0)),1,0)</f>
        <v>1</v>
      </c>
    </row>
    <row r="87" customFormat="false" ht="15" hidden="false" customHeight="false" outlineLevel="0" collapsed="false">
      <c r="A87" s="5" t="n">
        <v>2024</v>
      </c>
      <c r="B87" s="7" t="s">
        <v>827</v>
      </c>
      <c r="C87" s="10" t="str">
        <f aca="false">INDEX(球員主檔!$B$2:$B$749,MATCH($B87,球員主檔!$A$2:$A$749,0))</f>
        <v>Sawyer Wexford</v>
      </c>
      <c r="D87" s="7" t="s">
        <v>375</v>
      </c>
      <c r="E87" s="10" t="str">
        <f aca="false">INDEX(球隊主檔!$C$2:$C$31,MATCH($D87,球隊主檔!$A$2:$A$31,0))</f>
        <v>堪薩斯市皇家</v>
      </c>
      <c r="F87" s="10" t="str">
        <f aca="false">INDEX(球隊主檔!$D$2:$D$31,MATCH($D87,球隊主檔!$A$2:$A$31,0))</f>
        <v>美聯</v>
      </c>
      <c r="G87" s="7" t="s">
        <v>507</v>
      </c>
      <c r="H87" s="11" t="n">
        <f aca="false">INT((DATE($A87,7,1)-INDEX(球員主檔!$G$2:$G$749,MATCH($B87,球員主檔!$A$2:$A$749,0)))/365.25)</f>
        <v>35</v>
      </c>
      <c r="I87" s="12" t="n">
        <v>2</v>
      </c>
      <c r="J87" s="12" t="n">
        <v>3</v>
      </c>
      <c r="K87" s="12" t="n">
        <v>24</v>
      </c>
      <c r="L87" s="12" t="n">
        <v>1</v>
      </c>
      <c r="M87" s="12" t="n">
        <v>75</v>
      </c>
      <c r="N87" s="12" t="n">
        <v>0</v>
      </c>
      <c r="O87" s="12" t="n">
        <v>221</v>
      </c>
      <c r="P87" s="16" t="n">
        <f aca="false">O87/3</f>
        <v>73.6666666666667</v>
      </c>
      <c r="Q87" s="17" t="str">
        <f aca="false">INT(O87/3)&amp;"."&amp;MOD(O87,3)</f>
        <v>73.2</v>
      </c>
      <c r="R87" s="12" t="n">
        <v>49</v>
      </c>
      <c r="S87" s="12" t="n">
        <v>17</v>
      </c>
      <c r="T87" s="12" t="n">
        <v>15</v>
      </c>
      <c r="U87" s="12" t="n">
        <v>7</v>
      </c>
      <c r="V87" s="12" t="n">
        <v>29</v>
      </c>
      <c r="W87" s="12" t="n">
        <v>81</v>
      </c>
      <c r="X87" s="12" t="n">
        <v>4</v>
      </c>
      <c r="Y87" s="18" t="n">
        <f aca="false">IF(O87=0,0,T87*27/O87)</f>
        <v>1.83257918552036</v>
      </c>
      <c r="Z87" s="18" t="n">
        <f aca="false">IF(P87=0,0,(V87+R87)/P87)</f>
        <v>1.05882352941176</v>
      </c>
      <c r="AA87" s="18" t="n">
        <f aca="false">IF(O87=0,0,W87*27/O87)</f>
        <v>9.89592760180996</v>
      </c>
      <c r="AB87" s="18" t="n">
        <f aca="false">IF(O87=0,0,V87*27/O87)</f>
        <v>3.54298642533937</v>
      </c>
      <c r="AC87" s="18" t="n">
        <f aca="false">IF(V87=0,0,W87/V87)</f>
        <v>2.79310344827586</v>
      </c>
      <c r="AD87" s="18" t="n">
        <f aca="false">IF(P87=0,0,(13*U87+3*(V87+X87)-2*W87)/P87+INDEX(球季參數!$C$2:$C$4,MATCH($A87,球季參數!$A$2:$A$4,0)))</f>
        <v>3.51009049773756</v>
      </c>
      <c r="AE87" s="11" t="n">
        <f aca="false">IF(P87&gt;=INDEX(球季參數!$F$2:$F$4,MATCH($A87,球季參數!$A$2:$A$4,0)),1,0)</f>
        <v>0</v>
      </c>
    </row>
    <row r="88" customFormat="false" ht="15" hidden="false" customHeight="false" outlineLevel="0" collapsed="false">
      <c r="A88" s="5" t="n">
        <v>2024</v>
      </c>
      <c r="B88" s="7" t="s">
        <v>829</v>
      </c>
      <c r="C88" s="10" t="str">
        <f aca="false">INDEX(球員主檔!$B$2:$B$749,MATCH($B88,球員主檔!$A$2:$A$749,0))</f>
        <v>Haruto Stroheim</v>
      </c>
      <c r="D88" s="7" t="s">
        <v>375</v>
      </c>
      <c r="E88" s="10" t="str">
        <f aca="false">INDEX(球隊主檔!$C$2:$C$31,MATCH($D88,球隊主檔!$A$2:$A$31,0))</f>
        <v>堪薩斯市皇家</v>
      </c>
      <c r="F88" s="10" t="str">
        <f aca="false">INDEX(球隊主檔!$D$2:$D$31,MATCH($D88,球隊主檔!$A$2:$A$31,0))</f>
        <v>美聯</v>
      </c>
      <c r="G88" s="7" t="s">
        <v>507</v>
      </c>
      <c r="H88" s="11" t="n">
        <f aca="false">INT((DATE($A88,7,1)-INDEX(球員主檔!$G$2:$G$749,MATCH($B88,球員主檔!$A$2:$A$749,0)))/365.25)</f>
        <v>23</v>
      </c>
      <c r="I88" s="12" t="n">
        <v>2</v>
      </c>
      <c r="J88" s="12" t="n">
        <v>2</v>
      </c>
      <c r="K88" s="12" t="n">
        <v>1</v>
      </c>
      <c r="L88" s="12" t="n">
        <v>6</v>
      </c>
      <c r="M88" s="12" t="n">
        <v>62</v>
      </c>
      <c r="N88" s="12" t="n">
        <v>0</v>
      </c>
      <c r="O88" s="12" t="n">
        <v>209</v>
      </c>
      <c r="P88" s="16" t="n">
        <f aca="false">O88/3</f>
        <v>69.6666666666667</v>
      </c>
      <c r="Q88" s="17" t="str">
        <f aca="false">INT(O88/3)&amp;"."&amp;MOD(O88,3)</f>
        <v>69.2</v>
      </c>
      <c r="R88" s="12" t="n">
        <v>64</v>
      </c>
      <c r="S88" s="12" t="n">
        <v>35</v>
      </c>
      <c r="T88" s="12" t="n">
        <v>33</v>
      </c>
      <c r="U88" s="12" t="n">
        <v>9</v>
      </c>
      <c r="V88" s="12" t="n">
        <v>22</v>
      </c>
      <c r="W88" s="12" t="n">
        <v>50</v>
      </c>
      <c r="X88" s="12" t="n">
        <v>3</v>
      </c>
      <c r="Y88" s="18" t="n">
        <f aca="false">IF(O88=0,0,T88*27/O88)</f>
        <v>4.26315789473684</v>
      </c>
      <c r="Z88" s="18" t="n">
        <f aca="false">IF(P88=0,0,(V88+R88)/P88)</f>
        <v>1.23444976076555</v>
      </c>
      <c r="AA88" s="18" t="n">
        <f aca="false">IF(O88=0,0,W88*27/O88)</f>
        <v>6.45933014354067</v>
      </c>
      <c r="AB88" s="18" t="n">
        <f aca="false">IF(O88=0,0,V88*27/O88)</f>
        <v>2.84210526315789</v>
      </c>
      <c r="AC88" s="18" t="n">
        <f aca="false">IF(V88=0,0,W88/V88)</f>
        <v>2.27272727272727</v>
      </c>
      <c r="AD88" s="18" t="n">
        <f aca="false">IF(P88=0,0,(13*U88+3*(V88+X88)-2*W88)/P88+INDEX(球季參數!$C$2:$C$4,MATCH($A88,球季參數!$A$2:$A$4,0)))</f>
        <v>4.45057416267943</v>
      </c>
      <c r="AE88" s="11" t="n">
        <f aca="false">IF(P88&gt;=INDEX(球季參數!$F$2:$F$4,MATCH($A88,球季參數!$A$2:$A$4,0)),1,0)</f>
        <v>0</v>
      </c>
    </row>
    <row r="89" customFormat="false" ht="15" hidden="false" customHeight="false" outlineLevel="0" collapsed="false">
      <c r="A89" s="5" t="n">
        <v>2024</v>
      </c>
      <c r="B89" s="7" t="s">
        <v>831</v>
      </c>
      <c r="C89" s="10" t="str">
        <f aca="false">INDEX(球員主檔!$B$2:$B$749,MATCH($B89,球員主檔!$A$2:$A$749,0))</f>
        <v>Tobias Blackwood</v>
      </c>
      <c r="D89" s="7" t="s">
        <v>375</v>
      </c>
      <c r="E89" s="10" t="str">
        <f aca="false">INDEX(球隊主檔!$C$2:$C$31,MATCH($D89,球隊主檔!$A$2:$A$31,0))</f>
        <v>堪薩斯市皇家</v>
      </c>
      <c r="F89" s="10" t="str">
        <f aca="false">INDEX(球隊主檔!$D$2:$D$31,MATCH($D89,球隊主檔!$A$2:$A$31,0))</f>
        <v>美聯</v>
      </c>
      <c r="G89" s="7" t="s">
        <v>507</v>
      </c>
      <c r="H89" s="11" t="n">
        <f aca="false">INT((DATE($A89,7,1)-INDEX(球員主檔!$G$2:$G$749,MATCH($B89,球員主檔!$A$2:$A$749,0)))/365.25)</f>
        <v>27</v>
      </c>
      <c r="I89" s="12" t="n">
        <v>9</v>
      </c>
      <c r="J89" s="12" t="n">
        <v>4</v>
      </c>
      <c r="K89" s="12" t="n">
        <v>1</v>
      </c>
      <c r="L89" s="12" t="n">
        <v>30</v>
      </c>
      <c r="M89" s="12" t="n">
        <v>39</v>
      </c>
      <c r="N89" s="12" t="n">
        <v>0</v>
      </c>
      <c r="O89" s="12" t="n">
        <v>112</v>
      </c>
      <c r="P89" s="16" t="n">
        <f aca="false">O89/3</f>
        <v>37.3333333333333</v>
      </c>
      <c r="Q89" s="17" t="str">
        <f aca="false">INT(O89/3)&amp;"."&amp;MOD(O89,3)</f>
        <v>37.1</v>
      </c>
      <c r="R89" s="12" t="n">
        <v>30</v>
      </c>
      <c r="S89" s="12" t="n">
        <v>13</v>
      </c>
      <c r="T89" s="12" t="n">
        <v>12</v>
      </c>
      <c r="U89" s="12" t="n">
        <v>4</v>
      </c>
      <c r="V89" s="12" t="n">
        <v>13</v>
      </c>
      <c r="W89" s="12" t="n">
        <v>39</v>
      </c>
      <c r="X89" s="12" t="n">
        <v>0</v>
      </c>
      <c r="Y89" s="18" t="n">
        <f aca="false">IF(O89=0,0,T89*27/O89)</f>
        <v>2.89285714285714</v>
      </c>
      <c r="Z89" s="18" t="n">
        <f aca="false">IF(P89=0,0,(V89+R89)/P89)</f>
        <v>1.15178571428571</v>
      </c>
      <c r="AA89" s="18" t="n">
        <f aca="false">IF(O89=0,0,W89*27/O89)</f>
        <v>9.40178571428571</v>
      </c>
      <c r="AB89" s="18" t="n">
        <f aca="false">IF(O89=0,0,V89*27/O89)</f>
        <v>3.13392857142857</v>
      </c>
      <c r="AC89" s="18" t="n">
        <f aca="false">IF(V89=0,0,W89/V89)</f>
        <v>3</v>
      </c>
      <c r="AD89" s="18" t="n">
        <f aca="false">IF(P89=0,0,(13*U89+3*(V89+X89)-2*W89)/P89+INDEX(球季參數!$C$2:$C$4,MATCH($A89,球季參數!$A$2:$A$4,0)))</f>
        <v>3.47821428571429</v>
      </c>
      <c r="AE89" s="11" t="n">
        <f aca="false">IF(P89&gt;=INDEX(球季參數!$F$2:$F$4,MATCH($A89,球季參數!$A$2:$A$4,0)),1,0)</f>
        <v>0</v>
      </c>
    </row>
    <row r="90" customFormat="false" ht="15" hidden="false" customHeight="false" outlineLevel="0" collapsed="false">
      <c r="A90" s="5" t="n">
        <v>2024</v>
      </c>
      <c r="B90" s="7" t="s">
        <v>833</v>
      </c>
      <c r="C90" s="10" t="str">
        <f aca="false">INDEX(球員主檔!$B$2:$B$749,MATCH($B90,球員主檔!$A$2:$A$749,0))</f>
        <v>Tristan Stroheim</v>
      </c>
      <c r="D90" s="7" t="s">
        <v>375</v>
      </c>
      <c r="E90" s="10" t="str">
        <f aca="false">INDEX(球隊主檔!$C$2:$C$31,MATCH($D90,球隊主檔!$A$2:$A$31,0))</f>
        <v>堪薩斯市皇家</v>
      </c>
      <c r="F90" s="10" t="str">
        <f aca="false">INDEX(球隊主檔!$D$2:$D$31,MATCH($D90,球隊主檔!$A$2:$A$31,0))</f>
        <v>美聯</v>
      </c>
      <c r="G90" s="7" t="s">
        <v>507</v>
      </c>
      <c r="H90" s="11" t="n">
        <f aca="false">INT((DATE($A90,7,1)-INDEX(球員主檔!$G$2:$G$749,MATCH($B90,球員主檔!$A$2:$A$749,0)))/365.25)</f>
        <v>26</v>
      </c>
      <c r="I90" s="12" t="n">
        <v>4</v>
      </c>
      <c r="J90" s="12" t="n">
        <v>2</v>
      </c>
      <c r="K90" s="12" t="n">
        <v>0</v>
      </c>
      <c r="L90" s="12" t="n">
        <v>7</v>
      </c>
      <c r="M90" s="12" t="n">
        <v>62</v>
      </c>
      <c r="N90" s="12" t="n">
        <v>0</v>
      </c>
      <c r="O90" s="12" t="n">
        <v>209</v>
      </c>
      <c r="P90" s="16" t="n">
        <f aca="false">O90/3</f>
        <v>69.6666666666667</v>
      </c>
      <c r="Q90" s="17" t="str">
        <f aca="false">INT(O90/3)&amp;"."&amp;MOD(O90,3)</f>
        <v>69.2</v>
      </c>
      <c r="R90" s="12" t="n">
        <v>55</v>
      </c>
      <c r="S90" s="12" t="n">
        <v>31</v>
      </c>
      <c r="T90" s="12" t="n">
        <v>31</v>
      </c>
      <c r="U90" s="12" t="n">
        <v>9</v>
      </c>
      <c r="V90" s="12" t="n">
        <v>21</v>
      </c>
      <c r="W90" s="12" t="n">
        <v>73</v>
      </c>
      <c r="X90" s="12" t="n">
        <v>3</v>
      </c>
      <c r="Y90" s="18" t="n">
        <f aca="false">IF(O90=0,0,T90*27/O90)</f>
        <v>4.00478468899522</v>
      </c>
      <c r="Z90" s="18" t="n">
        <f aca="false">IF(P90=0,0,(V90+R90)/P90)</f>
        <v>1.09090909090909</v>
      </c>
      <c r="AA90" s="18" t="n">
        <f aca="false">IF(O90=0,0,W90*27/O90)</f>
        <v>9.43062200956938</v>
      </c>
      <c r="AB90" s="18" t="n">
        <f aca="false">IF(O90=0,0,V90*27/O90)</f>
        <v>2.71291866028708</v>
      </c>
      <c r="AC90" s="18" t="n">
        <f aca="false">IF(V90=0,0,W90/V90)</f>
        <v>3.47619047619048</v>
      </c>
      <c r="AD90" s="18" t="n">
        <f aca="false">IF(P90=0,0,(13*U90+3*(V90+X90)-2*W90)/P90+INDEX(球季參數!$C$2:$C$4,MATCH($A90,球季參數!$A$2:$A$4,0)))</f>
        <v>3.74722488038278</v>
      </c>
      <c r="AE90" s="11" t="n">
        <f aca="false">IF(P90&gt;=INDEX(球季參數!$F$2:$F$4,MATCH($A90,球季參數!$A$2:$A$4,0)),1,0)</f>
        <v>0</v>
      </c>
    </row>
    <row r="91" customFormat="false" ht="15" hidden="false" customHeight="false" outlineLevel="0" collapsed="false">
      <c r="A91" s="5" t="n">
        <v>2024</v>
      </c>
      <c r="B91" s="7" t="s">
        <v>835</v>
      </c>
      <c r="C91" s="10" t="str">
        <f aca="false">INDEX(球員主檔!$B$2:$B$749,MATCH($B91,球員主檔!$A$2:$A$749,0))</f>
        <v>Bernardo Marchetti</v>
      </c>
      <c r="D91" s="7" t="s">
        <v>375</v>
      </c>
      <c r="E91" s="10" t="str">
        <f aca="false">INDEX(球隊主檔!$C$2:$C$31,MATCH($D91,球隊主檔!$A$2:$A$31,0))</f>
        <v>堪薩斯市皇家</v>
      </c>
      <c r="F91" s="10" t="str">
        <f aca="false">INDEX(球隊主檔!$D$2:$D$31,MATCH($D91,球隊主檔!$A$2:$A$31,0))</f>
        <v>美聯</v>
      </c>
      <c r="G91" s="7" t="s">
        <v>507</v>
      </c>
      <c r="H91" s="11" t="n">
        <f aca="false">INT((DATE($A91,7,1)-INDEX(球員主檔!$G$2:$G$749,MATCH($B91,球員主檔!$A$2:$A$749,0)))/365.25)</f>
        <v>35</v>
      </c>
      <c r="I91" s="12" t="n">
        <v>1</v>
      </c>
      <c r="J91" s="12" t="n">
        <v>3</v>
      </c>
      <c r="K91" s="12" t="n">
        <v>1</v>
      </c>
      <c r="L91" s="12" t="n">
        <v>22</v>
      </c>
      <c r="M91" s="12" t="n">
        <v>48</v>
      </c>
      <c r="N91" s="12" t="n">
        <v>0</v>
      </c>
      <c r="O91" s="12" t="n">
        <v>134</v>
      </c>
      <c r="P91" s="16" t="n">
        <f aca="false">O91/3</f>
        <v>44.6666666666667</v>
      </c>
      <c r="Q91" s="17" t="str">
        <f aca="false">INT(O91/3)&amp;"."&amp;MOD(O91,3)</f>
        <v>44.2</v>
      </c>
      <c r="R91" s="12" t="n">
        <v>29</v>
      </c>
      <c r="S91" s="12" t="n">
        <v>13</v>
      </c>
      <c r="T91" s="12" t="n">
        <v>12</v>
      </c>
      <c r="U91" s="12" t="n">
        <v>6</v>
      </c>
      <c r="V91" s="12" t="n">
        <v>22</v>
      </c>
      <c r="W91" s="12" t="n">
        <v>36</v>
      </c>
      <c r="X91" s="12" t="n">
        <v>3</v>
      </c>
      <c r="Y91" s="18" t="n">
        <f aca="false">IF(O91=0,0,T91*27/O91)</f>
        <v>2.41791044776119</v>
      </c>
      <c r="Z91" s="18" t="n">
        <f aca="false">IF(P91=0,0,(V91+R91)/P91)</f>
        <v>1.14179104477612</v>
      </c>
      <c r="AA91" s="18" t="n">
        <f aca="false">IF(O91=0,0,W91*27/O91)</f>
        <v>7.25373134328358</v>
      </c>
      <c r="AB91" s="18" t="n">
        <f aca="false">IF(O91=0,0,V91*27/O91)</f>
        <v>4.43283582089552</v>
      </c>
      <c r="AC91" s="18" t="n">
        <f aca="false">IF(V91=0,0,W91/V91)</f>
        <v>1.63636363636364</v>
      </c>
      <c r="AD91" s="18" t="n">
        <f aca="false">IF(P91=0,0,(13*U91+3*(V91+X91)-2*W91)/P91+INDEX(球季參數!$C$2:$C$4,MATCH($A91,球季參數!$A$2:$A$4,0)))</f>
        <v>4.9434328358209</v>
      </c>
      <c r="AE91" s="11" t="n">
        <f aca="false">IF(P91&gt;=INDEX(球季參數!$F$2:$F$4,MATCH($A91,球季參數!$A$2:$A$4,0)),1,0)</f>
        <v>0</v>
      </c>
    </row>
    <row r="92" customFormat="false" ht="15" hidden="false" customHeight="false" outlineLevel="0" collapsed="false">
      <c r="A92" s="5" t="n">
        <v>2024</v>
      </c>
      <c r="B92" s="7" t="s">
        <v>857</v>
      </c>
      <c r="C92" s="10" t="str">
        <f aca="false">INDEX(球員主檔!$B$2:$B$749,MATCH($B92,球員主檔!$A$2:$A$749,0))</f>
        <v>Silas Lemieux</v>
      </c>
      <c r="D92" s="7" t="s">
        <v>379</v>
      </c>
      <c r="E92" s="10" t="str">
        <f aca="false">INDEX(球隊主檔!$C$2:$C$31,MATCH($D92,球隊主檔!$A$2:$A$31,0))</f>
        <v>明尼蘇達雙城</v>
      </c>
      <c r="F92" s="10" t="str">
        <f aca="false">INDEX(球隊主檔!$D$2:$D$31,MATCH($D92,球隊主檔!$A$2:$A$31,0))</f>
        <v>美聯</v>
      </c>
      <c r="G92" s="7" t="s">
        <v>496</v>
      </c>
      <c r="H92" s="11" t="n">
        <f aca="false">INT((DATE($A92,7,1)-INDEX(球員主檔!$G$2:$G$749,MATCH($B92,球員主檔!$A$2:$A$749,0)))/365.25)</f>
        <v>28</v>
      </c>
      <c r="I92" s="12" t="n">
        <v>14</v>
      </c>
      <c r="J92" s="12" t="n">
        <v>7</v>
      </c>
      <c r="K92" s="12" t="n">
        <v>0</v>
      </c>
      <c r="L92" s="12" t="n">
        <v>0</v>
      </c>
      <c r="M92" s="12" t="n">
        <v>33</v>
      </c>
      <c r="N92" s="12" t="n">
        <v>33</v>
      </c>
      <c r="O92" s="12" t="n">
        <v>628</v>
      </c>
      <c r="P92" s="16" t="n">
        <f aca="false">O92/3</f>
        <v>209.333333333333</v>
      </c>
      <c r="Q92" s="17" t="str">
        <f aca="false">INT(O92/3)&amp;"."&amp;MOD(O92,3)</f>
        <v>209.1</v>
      </c>
      <c r="R92" s="12" t="n">
        <v>148</v>
      </c>
      <c r="S92" s="12" t="n">
        <v>78</v>
      </c>
      <c r="T92" s="12" t="n">
        <v>72</v>
      </c>
      <c r="U92" s="12" t="n">
        <v>32</v>
      </c>
      <c r="V92" s="12" t="n">
        <v>72</v>
      </c>
      <c r="W92" s="12" t="n">
        <v>201</v>
      </c>
      <c r="X92" s="12" t="n">
        <v>2</v>
      </c>
      <c r="Y92" s="18" t="n">
        <f aca="false">IF(O92=0,0,T92*27/O92)</f>
        <v>3.09554140127389</v>
      </c>
      <c r="Z92" s="18" t="n">
        <f aca="false">IF(P92=0,0,(V92+R92)/P92)</f>
        <v>1.05095541401274</v>
      </c>
      <c r="AA92" s="18" t="n">
        <f aca="false">IF(O92=0,0,W92*27/O92)</f>
        <v>8.64171974522293</v>
      </c>
      <c r="AB92" s="18" t="n">
        <f aca="false">IF(O92=0,0,V92*27/O92)</f>
        <v>3.09554140127389</v>
      </c>
      <c r="AC92" s="18" t="n">
        <f aca="false">IF(V92=0,0,W92/V92)</f>
        <v>2.79166666666667</v>
      </c>
      <c r="AD92" s="18" t="n">
        <f aca="false">IF(P92=0,0,(13*U92+3*(V92+X92)-2*W92)/P92+INDEX(球季參數!$C$2:$C$4,MATCH($A92,球季參數!$A$2:$A$4,0)))</f>
        <v>4.25738853503185</v>
      </c>
      <c r="AE92" s="11" t="n">
        <f aca="false">IF(P92&gt;=INDEX(球季參數!$F$2:$F$4,MATCH($A92,球季參數!$A$2:$A$4,0)),1,0)</f>
        <v>1</v>
      </c>
    </row>
    <row r="93" customFormat="false" ht="15" hidden="false" customHeight="false" outlineLevel="0" collapsed="false">
      <c r="A93" s="5" t="n">
        <v>2024</v>
      </c>
      <c r="B93" s="7" t="s">
        <v>859</v>
      </c>
      <c r="C93" s="10" t="str">
        <f aca="false">INDEX(球員主檔!$B$2:$B$749,MATCH($B93,球員主檔!$A$2:$A$749,0))</f>
        <v>Osvaldo Fontaine</v>
      </c>
      <c r="D93" s="7" t="s">
        <v>379</v>
      </c>
      <c r="E93" s="10" t="str">
        <f aca="false">INDEX(球隊主檔!$C$2:$C$31,MATCH($D93,球隊主檔!$A$2:$A$31,0))</f>
        <v>明尼蘇達雙城</v>
      </c>
      <c r="F93" s="10" t="str">
        <f aca="false">INDEX(球隊主檔!$D$2:$D$31,MATCH($D93,球隊主檔!$A$2:$A$31,0))</f>
        <v>美聯</v>
      </c>
      <c r="G93" s="7" t="s">
        <v>496</v>
      </c>
      <c r="H93" s="11" t="n">
        <f aca="false">INT((DATE($A93,7,1)-INDEX(球員主檔!$G$2:$G$749,MATCH($B93,球員主檔!$A$2:$A$749,0)))/365.25)</f>
        <v>30</v>
      </c>
      <c r="I93" s="12" t="n">
        <v>11</v>
      </c>
      <c r="J93" s="12" t="n">
        <v>7</v>
      </c>
      <c r="K93" s="12" t="n">
        <v>0</v>
      </c>
      <c r="L93" s="12" t="n">
        <v>0</v>
      </c>
      <c r="M93" s="12" t="n">
        <v>24</v>
      </c>
      <c r="N93" s="12" t="n">
        <v>24</v>
      </c>
      <c r="O93" s="12" t="n">
        <v>410</v>
      </c>
      <c r="P93" s="16" t="n">
        <f aca="false">O93/3</f>
        <v>136.666666666667</v>
      </c>
      <c r="Q93" s="17" t="str">
        <f aca="false">INT(O93/3)&amp;"."&amp;MOD(O93,3)</f>
        <v>136.2</v>
      </c>
      <c r="R93" s="12" t="n">
        <v>116</v>
      </c>
      <c r="S93" s="12" t="n">
        <v>67</v>
      </c>
      <c r="T93" s="12" t="n">
        <v>61</v>
      </c>
      <c r="U93" s="12" t="n">
        <v>26</v>
      </c>
      <c r="V93" s="12" t="n">
        <v>49</v>
      </c>
      <c r="W93" s="12" t="n">
        <v>197</v>
      </c>
      <c r="X93" s="12" t="n">
        <v>3</v>
      </c>
      <c r="Y93" s="18" t="n">
        <f aca="false">IF(O93=0,0,T93*27/O93)</f>
        <v>4.01707317073171</v>
      </c>
      <c r="Z93" s="18" t="n">
        <f aca="false">IF(P93=0,0,(V93+R93)/P93)</f>
        <v>1.20731707317073</v>
      </c>
      <c r="AA93" s="18" t="n">
        <f aca="false">IF(O93=0,0,W93*27/O93)</f>
        <v>12.9731707317073</v>
      </c>
      <c r="AB93" s="18" t="n">
        <f aca="false">IF(O93=0,0,V93*27/O93)</f>
        <v>3.22682926829268</v>
      </c>
      <c r="AC93" s="18" t="n">
        <f aca="false">IF(V93=0,0,W93/V93)</f>
        <v>4.02040816326531</v>
      </c>
      <c r="AD93" s="18" t="n">
        <f aca="false">IF(P93=0,0,(13*U93+3*(V93+X93)-2*W93)/P93+INDEX(球季參數!$C$2:$C$4,MATCH($A93,球季參數!$A$2:$A$4,0)))</f>
        <v>3.86170731707317</v>
      </c>
      <c r="AE93" s="11" t="n">
        <f aca="false">IF(P93&gt;=INDEX(球季參數!$F$2:$F$4,MATCH($A93,球季參數!$A$2:$A$4,0)),1,0)</f>
        <v>0</v>
      </c>
    </row>
    <row r="94" customFormat="false" ht="15" hidden="false" customHeight="false" outlineLevel="0" collapsed="false">
      <c r="A94" s="5" t="n">
        <v>2024</v>
      </c>
      <c r="B94" s="7" t="s">
        <v>861</v>
      </c>
      <c r="C94" s="10" t="str">
        <f aca="false">INDEX(球員主檔!$B$2:$B$749,MATCH($B94,球員主檔!$A$2:$A$749,0))</f>
        <v>Camilo Fontaine</v>
      </c>
      <c r="D94" s="7" t="s">
        <v>379</v>
      </c>
      <c r="E94" s="10" t="str">
        <f aca="false">INDEX(球隊主檔!$C$2:$C$31,MATCH($D94,球隊主檔!$A$2:$A$31,0))</f>
        <v>明尼蘇達雙城</v>
      </c>
      <c r="F94" s="10" t="str">
        <f aca="false">INDEX(球隊主檔!$D$2:$D$31,MATCH($D94,球隊主檔!$A$2:$A$31,0))</f>
        <v>美聯</v>
      </c>
      <c r="G94" s="7" t="s">
        <v>496</v>
      </c>
      <c r="H94" s="11" t="n">
        <f aca="false">INT((DATE($A94,7,1)-INDEX(球員主檔!$G$2:$G$749,MATCH($B94,球員主檔!$A$2:$A$749,0)))/365.25)</f>
        <v>27</v>
      </c>
      <c r="I94" s="12" t="n">
        <v>10</v>
      </c>
      <c r="J94" s="12" t="n">
        <v>5</v>
      </c>
      <c r="K94" s="12" t="n">
        <v>0</v>
      </c>
      <c r="L94" s="12" t="n">
        <v>0</v>
      </c>
      <c r="M94" s="12" t="n">
        <v>25</v>
      </c>
      <c r="N94" s="12" t="n">
        <v>25</v>
      </c>
      <c r="O94" s="12" t="n">
        <v>419</v>
      </c>
      <c r="P94" s="16" t="n">
        <f aca="false">O94/3</f>
        <v>139.666666666667</v>
      </c>
      <c r="Q94" s="17" t="str">
        <f aca="false">INT(O94/3)&amp;"."&amp;MOD(O94,3)</f>
        <v>139.2</v>
      </c>
      <c r="R94" s="12" t="n">
        <v>117</v>
      </c>
      <c r="S94" s="12" t="n">
        <v>71</v>
      </c>
      <c r="T94" s="12" t="n">
        <v>63</v>
      </c>
      <c r="U94" s="12" t="n">
        <v>14</v>
      </c>
      <c r="V94" s="12" t="n">
        <v>55</v>
      </c>
      <c r="W94" s="12" t="n">
        <v>172</v>
      </c>
      <c r="X94" s="12" t="n">
        <v>2</v>
      </c>
      <c r="Y94" s="18" t="n">
        <f aca="false">IF(O94=0,0,T94*27/O94)</f>
        <v>4.05966587112172</v>
      </c>
      <c r="Z94" s="18" t="n">
        <f aca="false">IF(P94=0,0,(V94+R94)/P94)</f>
        <v>1.23150357995227</v>
      </c>
      <c r="AA94" s="18" t="n">
        <f aca="false">IF(O94=0,0,W94*27/O94)</f>
        <v>11.0835322195704</v>
      </c>
      <c r="AB94" s="18" t="n">
        <f aca="false">IF(O94=0,0,V94*27/O94)</f>
        <v>3.54415274463007</v>
      </c>
      <c r="AC94" s="18" t="n">
        <f aca="false">IF(V94=0,0,W94/V94)</f>
        <v>3.12727272727273</v>
      </c>
      <c r="AD94" s="18" t="n">
        <f aca="false">IF(P94=0,0,(13*U94+3*(V94+X94)-2*W94)/P94+INDEX(球季參數!$C$2:$C$4,MATCH($A94,球季參數!$A$2:$A$4,0)))</f>
        <v>3.19443914081146</v>
      </c>
      <c r="AE94" s="11" t="n">
        <f aca="false">IF(P94&gt;=INDEX(球季參數!$F$2:$F$4,MATCH($A94,球季參數!$A$2:$A$4,0)),1,0)</f>
        <v>0</v>
      </c>
    </row>
    <row r="95" customFormat="false" ht="15" hidden="false" customHeight="false" outlineLevel="0" collapsed="false">
      <c r="A95" s="5" t="n">
        <v>2024</v>
      </c>
      <c r="B95" s="7" t="s">
        <v>863</v>
      </c>
      <c r="C95" s="10" t="str">
        <f aca="false">INDEX(球員主檔!$B$2:$B$749,MATCH($B95,球員主檔!$A$2:$A$749,0))</f>
        <v>Minjae Ostrowski</v>
      </c>
      <c r="D95" s="7" t="s">
        <v>379</v>
      </c>
      <c r="E95" s="10" t="str">
        <f aca="false">INDEX(球隊主檔!$C$2:$C$31,MATCH($D95,球隊主檔!$A$2:$A$31,0))</f>
        <v>明尼蘇達雙城</v>
      </c>
      <c r="F95" s="10" t="str">
        <f aca="false">INDEX(球隊主檔!$D$2:$D$31,MATCH($D95,球隊主檔!$A$2:$A$31,0))</f>
        <v>美聯</v>
      </c>
      <c r="G95" s="7" t="s">
        <v>496</v>
      </c>
      <c r="H95" s="11" t="n">
        <f aca="false">INT((DATE($A95,7,1)-INDEX(球員主檔!$G$2:$G$749,MATCH($B95,球員主檔!$A$2:$A$749,0)))/365.25)</f>
        <v>31</v>
      </c>
      <c r="I95" s="12" t="n">
        <v>7</v>
      </c>
      <c r="J95" s="12" t="n">
        <v>9</v>
      </c>
      <c r="K95" s="12" t="n">
        <v>0</v>
      </c>
      <c r="L95" s="12" t="n">
        <v>0</v>
      </c>
      <c r="M95" s="12" t="n">
        <v>25</v>
      </c>
      <c r="N95" s="12" t="n">
        <v>25</v>
      </c>
      <c r="O95" s="12" t="n">
        <v>404</v>
      </c>
      <c r="P95" s="16" t="n">
        <f aca="false">O95/3</f>
        <v>134.666666666667</v>
      </c>
      <c r="Q95" s="17" t="str">
        <f aca="false">INT(O95/3)&amp;"."&amp;MOD(O95,3)</f>
        <v>134.2</v>
      </c>
      <c r="R95" s="12" t="n">
        <v>122</v>
      </c>
      <c r="S95" s="12" t="n">
        <v>82</v>
      </c>
      <c r="T95" s="12" t="n">
        <v>78</v>
      </c>
      <c r="U95" s="12" t="n">
        <v>14</v>
      </c>
      <c r="V95" s="12" t="n">
        <v>17</v>
      </c>
      <c r="W95" s="12" t="n">
        <v>138</v>
      </c>
      <c r="X95" s="12" t="n">
        <v>7</v>
      </c>
      <c r="Y95" s="18" t="n">
        <f aca="false">IF(O95=0,0,T95*27/O95)</f>
        <v>5.21287128712871</v>
      </c>
      <c r="Z95" s="18" t="n">
        <f aca="false">IF(P95=0,0,(V95+R95)/P95)</f>
        <v>1.03217821782178</v>
      </c>
      <c r="AA95" s="18" t="n">
        <f aca="false">IF(O95=0,0,W95*27/O95)</f>
        <v>9.22277227722772</v>
      </c>
      <c r="AB95" s="18" t="n">
        <f aca="false">IF(O95=0,0,V95*27/O95)</f>
        <v>1.13613861386139</v>
      </c>
      <c r="AC95" s="18" t="n">
        <f aca="false">IF(V95=0,0,W95/V95)</f>
        <v>8.11764705882353</v>
      </c>
      <c r="AD95" s="18" t="n">
        <f aca="false">IF(P95=0,0,(13*U95+3*(V95+X95)-2*W95)/P95+INDEX(球季參數!$C$2:$C$4,MATCH($A95,球季參數!$A$2:$A$4,0)))</f>
        <v>2.96663366336634</v>
      </c>
      <c r="AE95" s="11" t="n">
        <f aca="false">IF(P95&gt;=INDEX(球季參數!$F$2:$F$4,MATCH($A95,球季參數!$A$2:$A$4,0)),1,0)</f>
        <v>0</v>
      </c>
    </row>
    <row r="96" customFormat="false" ht="15" hidden="false" customHeight="false" outlineLevel="0" collapsed="false">
      <c r="A96" s="5" t="n">
        <v>2024</v>
      </c>
      <c r="B96" s="7" t="s">
        <v>865</v>
      </c>
      <c r="C96" s="10" t="str">
        <f aca="false">INDEX(球員主檔!$B$2:$B$749,MATCH($B96,球員主檔!$A$2:$A$749,0))</f>
        <v>Seonwoo Lemieux</v>
      </c>
      <c r="D96" s="7" t="s">
        <v>379</v>
      </c>
      <c r="E96" s="10" t="str">
        <f aca="false">INDEX(球隊主檔!$C$2:$C$31,MATCH($D96,球隊主檔!$A$2:$A$31,0))</f>
        <v>明尼蘇達雙城</v>
      </c>
      <c r="F96" s="10" t="str">
        <f aca="false">INDEX(球隊主檔!$D$2:$D$31,MATCH($D96,球隊主檔!$A$2:$A$31,0))</f>
        <v>美聯</v>
      </c>
      <c r="G96" s="7" t="s">
        <v>496</v>
      </c>
      <c r="H96" s="11" t="n">
        <f aca="false">INT((DATE($A96,7,1)-INDEX(球員主檔!$G$2:$G$749,MATCH($B96,球員主檔!$A$2:$A$749,0)))/365.25)</f>
        <v>31</v>
      </c>
      <c r="I96" s="12" t="n">
        <v>12</v>
      </c>
      <c r="J96" s="12" t="n">
        <v>5</v>
      </c>
      <c r="K96" s="12" t="n">
        <v>0</v>
      </c>
      <c r="L96" s="12" t="n">
        <v>0</v>
      </c>
      <c r="M96" s="12" t="n">
        <v>29</v>
      </c>
      <c r="N96" s="12" t="n">
        <v>29</v>
      </c>
      <c r="O96" s="12" t="n">
        <v>508</v>
      </c>
      <c r="P96" s="16" t="n">
        <f aca="false">O96/3</f>
        <v>169.333333333333</v>
      </c>
      <c r="Q96" s="17" t="str">
        <f aca="false">INT(O96/3)&amp;"."&amp;MOD(O96,3)</f>
        <v>169.1</v>
      </c>
      <c r="R96" s="12" t="n">
        <v>139</v>
      </c>
      <c r="S96" s="12" t="n">
        <v>71</v>
      </c>
      <c r="T96" s="12" t="n">
        <v>70</v>
      </c>
      <c r="U96" s="12" t="n">
        <v>18</v>
      </c>
      <c r="V96" s="12" t="n">
        <v>60</v>
      </c>
      <c r="W96" s="12" t="n">
        <v>204</v>
      </c>
      <c r="X96" s="12" t="n">
        <v>3</v>
      </c>
      <c r="Y96" s="18" t="n">
        <f aca="false">IF(O96=0,0,T96*27/O96)</f>
        <v>3.72047244094488</v>
      </c>
      <c r="Z96" s="18" t="n">
        <f aca="false">IF(P96=0,0,(V96+R96)/P96)</f>
        <v>1.1751968503937</v>
      </c>
      <c r="AA96" s="18" t="n">
        <f aca="false">IF(O96=0,0,W96*27/O96)</f>
        <v>10.8425196850394</v>
      </c>
      <c r="AB96" s="18" t="n">
        <f aca="false">IF(O96=0,0,V96*27/O96)</f>
        <v>3.18897637795276</v>
      </c>
      <c r="AC96" s="18" t="n">
        <f aca="false">IF(V96=0,0,W96/V96)</f>
        <v>3.4</v>
      </c>
      <c r="AD96" s="18" t="n">
        <f aca="false">IF(P96=0,0,(13*U96+3*(V96+X96)-2*W96)/P96+INDEX(球季參數!$C$2:$C$4,MATCH($A96,球季參數!$A$2:$A$4,0)))</f>
        <v>3.21858267716535</v>
      </c>
      <c r="AE96" s="11" t="n">
        <f aca="false">IF(P96&gt;=INDEX(球季參數!$F$2:$F$4,MATCH($A96,球季參數!$A$2:$A$4,0)),1,0)</f>
        <v>1</v>
      </c>
    </row>
    <row r="97" customFormat="false" ht="15" hidden="false" customHeight="false" outlineLevel="0" collapsed="false">
      <c r="A97" s="5" t="n">
        <v>2024</v>
      </c>
      <c r="B97" s="7" t="s">
        <v>867</v>
      </c>
      <c r="C97" s="10" t="str">
        <f aca="false">INDEX(球員主檔!$B$2:$B$749,MATCH($B97,球員主檔!$A$2:$A$749,0))</f>
        <v>Ignacio Iwasaki</v>
      </c>
      <c r="D97" s="7" t="s">
        <v>379</v>
      </c>
      <c r="E97" s="10" t="str">
        <f aca="false">INDEX(球隊主檔!$C$2:$C$31,MATCH($D97,球隊主檔!$A$2:$A$31,0))</f>
        <v>明尼蘇達雙城</v>
      </c>
      <c r="F97" s="10" t="str">
        <f aca="false">INDEX(球隊主檔!$D$2:$D$31,MATCH($D97,球隊主檔!$A$2:$A$31,0))</f>
        <v>美聯</v>
      </c>
      <c r="G97" s="7" t="s">
        <v>507</v>
      </c>
      <c r="H97" s="11" t="n">
        <f aca="false">INT((DATE($A97,7,1)-INDEX(球員主檔!$G$2:$G$749,MATCH($B97,球員主檔!$A$2:$A$749,0)))/365.25)</f>
        <v>27</v>
      </c>
      <c r="I97" s="12" t="n">
        <v>2</v>
      </c>
      <c r="J97" s="12" t="n">
        <v>6</v>
      </c>
      <c r="K97" s="12" t="n">
        <v>26</v>
      </c>
      <c r="L97" s="12" t="n">
        <v>0</v>
      </c>
      <c r="M97" s="12" t="n">
        <v>43</v>
      </c>
      <c r="N97" s="12" t="n">
        <v>0</v>
      </c>
      <c r="O97" s="12" t="n">
        <v>145</v>
      </c>
      <c r="P97" s="16" t="n">
        <f aca="false">O97/3</f>
        <v>48.3333333333333</v>
      </c>
      <c r="Q97" s="17" t="str">
        <f aca="false">INT(O97/3)&amp;"."&amp;MOD(O97,3)</f>
        <v>48.1</v>
      </c>
      <c r="R97" s="12" t="n">
        <v>37</v>
      </c>
      <c r="S97" s="12" t="n">
        <v>20</v>
      </c>
      <c r="T97" s="12" t="n">
        <v>20</v>
      </c>
      <c r="U97" s="12" t="n">
        <v>9</v>
      </c>
      <c r="V97" s="12" t="n">
        <v>17</v>
      </c>
      <c r="W97" s="12" t="n">
        <v>38</v>
      </c>
      <c r="X97" s="12" t="n">
        <v>2</v>
      </c>
      <c r="Y97" s="18" t="n">
        <f aca="false">IF(O97=0,0,T97*27/O97)</f>
        <v>3.72413793103448</v>
      </c>
      <c r="Z97" s="18" t="n">
        <f aca="false">IF(P97=0,0,(V97+R97)/P97)</f>
        <v>1.11724137931034</v>
      </c>
      <c r="AA97" s="18" t="n">
        <f aca="false">IF(O97=0,0,W97*27/O97)</f>
        <v>7.07586206896552</v>
      </c>
      <c r="AB97" s="18" t="n">
        <f aca="false">IF(O97=0,0,V97*27/O97)</f>
        <v>3.16551724137931</v>
      </c>
      <c r="AC97" s="18" t="n">
        <f aca="false">IF(V97=0,0,W97/V97)</f>
        <v>2.23529411764706</v>
      </c>
      <c r="AD97" s="18" t="n">
        <f aca="false">IF(P97=0,0,(13*U97+3*(V97+X97)-2*W97)/P97+INDEX(球季參數!$C$2:$C$4,MATCH($A97,球季參數!$A$2:$A$4,0)))</f>
        <v>5.15758620689655</v>
      </c>
      <c r="AE97" s="11" t="n">
        <f aca="false">IF(P97&gt;=INDEX(球季參數!$F$2:$F$4,MATCH($A97,球季參數!$A$2:$A$4,0)),1,0)</f>
        <v>0</v>
      </c>
    </row>
    <row r="98" customFormat="false" ht="15" hidden="false" customHeight="false" outlineLevel="0" collapsed="false">
      <c r="A98" s="5" t="n">
        <v>2024</v>
      </c>
      <c r="B98" s="7" t="s">
        <v>869</v>
      </c>
      <c r="C98" s="10" t="str">
        <f aca="false">INDEX(球員主檔!$B$2:$B$749,MATCH($B98,球員主檔!$A$2:$A$749,0))</f>
        <v>Dashiell Zielinski</v>
      </c>
      <c r="D98" s="7" t="s">
        <v>379</v>
      </c>
      <c r="E98" s="10" t="str">
        <f aca="false">INDEX(球隊主檔!$C$2:$C$31,MATCH($D98,球隊主檔!$A$2:$A$31,0))</f>
        <v>明尼蘇達雙城</v>
      </c>
      <c r="F98" s="10" t="str">
        <f aca="false">INDEX(球隊主檔!$D$2:$D$31,MATCH($D98,球隊主檔!$A$2:$A$31,0))</f>
        <v>美聯</v>
      </c>
      <c r="G98" s="7" t="s">
        <v>507</v>
      </c>
      <c r="H98" s="11" t="n">
        <f aca="false">INT((DATE($A98,7,1)-INDEX(球員主檔!$G$2:$G$749,MATCH($B98,球員主檔!$A$2:$A$749,0)))/365.25)</f>
        <v>26</v>
      </c>
      <c r="I98" s="12" t="n">
        <v>4</v>
      </c>
      <c r="J98" s="12" t="n">
        <v>8</v>
      </c>
      <c r="K98" s="12" t="n">
        <v>4</v>
      </c>
      <c r="L98" s="12" t="n">
        <v>26</v>
      </c>
      <c r="M98" s="12" t="n">
        <v>39</v>
      </c>
      <c r="N98" s="12" t="n">
        <v>0</v>
      </c>
      <c r="O98" s="12" t="n">
        <v>112</v>
      </c>
      <c r="P98" s="16" t="n">
        <f aca="false">O98/3</f>
        <v>37.3333333333333</v>
      </c>
      <c r="Q98" s="17" t="str">
        <f aca="false">INT(O98/3)&amp;"."&amp;MOD(O98,3)</f>
        <v>37.1</v>
      </c>
      <c r="R98" s="12" t="n">
        <v>30</v>
      </c>
      <c r="S98" s="12" t="n">
        <v>17</v>
      </c>
      <c r="T98" s="12" t="n">
        <v>16</v>
      </c>
      <c r="U98" s="12" t="n">
        <v>6</v>
      </c>
      <c r="V98" s="12" t="n">
        <v>13</v>
      </c>
      <c r="W98" s="12" t="n">
        <v>35</v>
      </c>
      <c r="X98" s="12" t="n">
        <v>2</v>
      </c>
      <c r="Y98" s="18" t="n">
        <f aca="false">IF(O98=0,0,T98*27/O98)</f>
        <v>3.85714285714286</v>
      </c>
      <c r="Z98" s="18" t="n">
        <f aca="false">IF(P98=0,0,(V98+R98)/P98)</f>
        <v>1.15178571428571</v>
      </c>
      <c r="AA98" s="18" t="n">
        <f aca="false">IF(O98=0,0,W98*27/O98)</f>
        <v>8.4375</v>
      </c>
      <c r="AB98" s="18" t="n">
        <f aca="false">IF(O98=0,0,V98*27/O98)</f>
        <v>3.13392857142857</v>
      </c>
      <c r="AC98" s="18" t="n">
        <f aca="false">IF(V98=0,0,W98/V98)</f>
        <v>2.69230769230769</v>
      </c>
      <c r="AD98" s="18" t="n">
        <f aca="false">IF(P98=0,0,(13*U98+3*(V98+X98)-2*W98)/P98+INDEX(球季參數!$C$2:$C$4,MATCH($A98,球季參數!$A$2:$A$4,0)))</f>
        <v>4.54964285714286</v>
      </c>
      <c r="AE98" s="11" t="n">
        <f aca="false">IF(P98&gt;=INDEX(球季參數!$F$2:$F$4,MATCH($A98,球季參數!$A$2:$A$4,0)),1,0)</f>
        <v>0</v>
      </c>
    </row>
    <row r="99" customFormat="false" ht="15" hidden="false" customHeight="false" outlineLevel="0" collapsed="false">
      <c r="A99" s="5" t="n">
        <v>2024</v>
      </c>
      <c r="B99" s="7" t="s">
        <v>871</v>
      </c>
      <c r="C99" s="10" t="str">
        <f aca="false">INDEX(球員主檔!$B$2:$B$749,MATCH($B99,球員主檔!$A$2:$A$749,0))</f>
        <v>Quentin Underhill</v>
      </c>
      <c r="D99" s="7" t="s">
        <v>379</v>
      </c>
      <c r="E99" s="10" t="str">
        <f aca="false">INDEX(球隊主檔!$C$2:$C$31,MATCH($D99,球隊主檔!$A$2:$A$31,0))</f>
        <v>明尼蘇達雙城</v>
      </c>
      <c r="F99" s="10" t="str">
        <f aca="false">INDEX(球隊主檔!$D$2:$D$31,MATCH($D99,球隊主檔!$A$2:$A$31,0))</f>
        <v>美聯</v>
      </c>
      <c r="G99" s="7" t="s">
        <v>507</v>
      </c>
      <c r="H99" s="11" t="n">
        <f aca="false">INT((DATE($A99,7,1)-INDEX(球員主檔!$G$2:$G$749,MATCH($B99,球員主檔!$A$2:$A$749,0)))/365.25)</f>
        <v>28</v>
      </c>
      <c r="I99" s="12" t="n">
        <v>5</v>
      </c>
      <c r="J99" s="12" t="n">
        <v>6</v>
      </c>
      <c r="K99" s="12" t="n">
        <v>6</v>
      </c>
      <c r="L99" s="12" t="n">
        <v>21</v>
      </c>
      <c r="M99" s="12" t="n">
        <v>56</v>
      </c>
      <c r="N99" s="12" t="n">
        <v>0</v>
      </c>
      <c r="O99" s="12" t="n">
        <v>160</v>
      </c>
      <c r="P99" s="16" t="n">
        <f aca="false">O99/3</f>
        <v>53.3333333333333</v>
      </c>
      <c r="Q99" s="17" t="str">
        <f aca="false">INT(O99/3)&amp;"."&amp;MOD(O99,3)</f>
        <v>53.1</v>
      </c>
      <c r="R99" s="12" t="n">
        <v>43</v>
      </c>
      <c r="S99" s="12" t="n">
        <v>21</v>
      </c>
      <c r="T99" s="12" t="n">
        <v>19</v>
      </c>
      <c r="U99" s="12" t="n">
        <v>9</v>
      </c>
      <c r="V99" s="12" t="n">
        <v>8</v>
      </c>
      <c r="W99" s="12" t="n">
        <v>49</v>
      </c>
      <c r="X99" s="12" t="n">
        <v>2</v>
      </c>
      <c r="Y99" s="18" t="n">
        <f aca="false">IF(O99=0,0,T99*27/O99)</f>
        <v>3.20625</v>
      </c>
      <c r="Z99" s="18" t="n">
        <f aca="false">IF(P99=0,0,(V99+R99)/P99)</f>
        <v>0.95625</v>
      </c>
      <c r="AA99" s="18" t="n">
        <f aca="false">IF(O99=0,0,W99*27/O99)</f>
        <v>8.26875</v>
      </c>
      <c r="AB99" s="18" t="n">
        <f aca="false">IF(O99=0,0,V99*27/O99)</f>
        <v>1.35</v>
      </c>
      <c r="AC99" s="18" t="n">
        <f aca="false">IF(V99=0,0,W99/V99)</f>
        <v>6.125</v>
      </c>
      <c r="AD99" s="18" t="n">
        <f aca="false">IF(P99=0,0,(13*U99+3*(V99+X99)-2*W99)/P99+INDEX(球季參數!$C$2:$C$4,MATCH($A99,球季參數!$A$2:$A$4,0)))</f>
        <v>4.04875</v>
      </c>
      <c r="AE99" s="11" t="n">
        <f aca="false">IF(P99&gt;=INDEX(球季參數!$F$2:$F$4,MATCH($A99,球季參數!$A$2:$A$4,0)),1,0)</f>
        <v>0</v>
      </c>
    </row>
    <row r="100" customFormat="false" ht="15" hidden="false" customHeight="false" outlineLevel="0" collapsed="false">
      <c r="A100" s="5" t="n">
        <v>2024</v>
      </c>
      <c r="B100" s="7" t="s">
        <v>873</v>
      </c>
      <c r="C100" s="10" t="str">
        <f aca="false">INDEX(球員主檔!$B$2:$B$749,MATCH($B100,球員主檔!$A$2:$A$749,0))</f>
        <v>Matthias Blackwood</v>
      </c>
      <c r="D100" s="7" t="s">
        <v>379</v>
      </c>
      <c r="E100" s="10" t="str">
        <f aca="false">INDEX(球隊主檔!$C$2:$C$31,MATCH($D100,球隊主檔!$A$2:$A$31,0))</f>
        <v>明尼蘇達雙城</v>
      </c>
      <c r="F100" s="10" t="str">
        <f aca="false">INDEX(球隊主檔!$D$2:$D$31,MATCH($D100,球隊主檔!$A$2:$A$31,0))</f>
        <v>美聯</v>
      </c>
      <c r="G100" s="7" t="s">
        <v>507</v>
      </c>
      <c r="H100" s="11" t="n">
        <f aca="false">INT((DATE($A100,7,1)-INDEX(球員主檔!$G$2:$G$749,MATCH($B100,球員主檔!$A$2:$A$749,0)))/365.25)</f>
        <v>28</v>
      </c>
      <c r="I100" s="12" t="n">
        <v>4</v>
      </c>
      <c r="J100" s="12" t="n">
        <v>0</v>
      </c>
      <c r="K100" s="12" t="n">
        <v>5</v>
      </c>
      <c r="L100" s="12" t="n">
        <v>13</v>
      </c>
      <c r="M100" s="12" t="n">
        <v>61</v>
      </c>
      <c r="N100" s="12" t="n">
        <v>0</v>
      </c>
      <c r="O100" s="12" t="n">
        <v>188</v>
      </c>
      <c r="P100" s="16" t="n">
        <f aca="false">O100/3</f>
        <v>62.6666666666667</v>
      </c>
      <c r="Q100" s="17" t="str">
        <f aca="false">INT(O100/3)&amp;"."&amp;MOD(O100,3)</f>
        <v>62.2</v>
      </c>
      <c r="R100" s="12" t="n">
        <v>59</v>
      </c>
      <c r="S100" s="12" t="n">
        <v>32</v>
      </c>
      <c r="T100" s="12" t="n">
        <v>32</v>
      </c>
      <c r="U100" s="12" t="n">
        <v>9</v>
      </c>
      <c r="V100" s="12" t="n">
        <v>13</v>
      </c>
      <c r="W100" s="12" t="n">
        <v>63</v>
      </c>
      <c r="X100" s="12" t="n">
        <v>3</v>
      </c>
      <c r="Y100" s="18" t="n">
        <f aca="false">IF(O100=0,0,T100*27/O100)</f>
        <v>4.59574468085106</v>
      </c>
      <c r="Z100" s="18" t="n">
        <f aca="false">IF(P100=0,0,(V100+R100)/P100)</f>
        <v>1.14893617021277</v>
      </c>
      <c r="AA100" s="18" t="n">
        <f aca="false">IF(O100=0,0,W100*27/O100)</f>
        <v>9.04787234042553</v>
      </c>
      <c r="AB100" s="18" t="n">
        <f aca="false">IF(O100=0,0,V100*27/O100)</f>
        <v>1.86702127659574</v>
      </c>
      <c r="AC100" s="18" t="n">
        <f aca="false">IF(V100=0,0,W100/V100)</f>
        <v>4.84615384615385</v>
      </c>
      <c r="AD100" s="18" t="n">
        <f aca="false">IF(P100=0,0,(13*U100+3*(V100+X100)-2*W100)/P100+INDEX(球季參數!$C$2:$C$4,MATCH($A100,球季參數!$A$2:$A$4,0)))</f>
        <v>3.75234042553192</v>
      </c>
      <c r="AE100" s="11" t="n">
        <f aca="false">IF(P100&gt;=INDEX(球季參數!$F$2:$F$4,MATCH($A100,球季參數!$A$2:$A$4,0)),1,0)</f>
        <v>0</v>
      </c>
    </row>
    <row r="101" customFormat="false" ht="15" hidden="false" customHeight="false" outlineLevel="0" collapsed="false">
      <c r="A101" s="5" t="n">
        <v>2024</v>
      </c>
      <c r="B101" s="7" t="s">
        <v>875</v>
      </c>
      <c r="C101" s="10" t="str">
        <f aca="false">INDEX(球員主檔!$B$2:$B$749,MATCH($B101,球員主檔!$A$2:$A$749,0))</f>
        <v>Yusuke Jovanović</v>
      </c>
      <c r="D101" s="7" t="s">
        <v>379</v>
      </c>
      <c r="E101" s="10" t="str">
        <f aca="false">INDEX(球隊主檔!$C$2:$C$31,MATCH($D101,球隊主檔!$A$2:$A$31,0))</f>
        <v>明尼蘇達雙城</v>
      </c>
      <c r="F101" s="10" t="str">
        <f aca="false">INDEX(球隊主檔!$D$2:$D$31,MATCH($D101,球隊主檔!$A$2:$A$31,0))</f>
        <v>美聯</v>
      </c>
      <c r="G101" s="7" t="s">
        <v>507</v>
      </c>
      <c r="H101" s="11" t="n">
        <f aca="false">INT((DATE($A101,7,1)-INDEX(球員主檔!$G$2:$G$749,MATCH($B101,球員主檔!$A$2:$A$749,0)))/365.25)</f>
        <v>23</v>
      </c>
      <c r="I101" s="12" t="n">
        <v>3</v>
      </c>
      <c r="J101" s="12" t="n">
        <v>5</v>
      </c>
      <c r="K101" s="12" t="n">
        <v>0</v>
      </c>
      <c r="L101" s="12" t="n">
        <v>8</v>
      </c>
      <c r="M101" s="12" t="n">
        <v>52</v>
      </c>
      <c r="N101" s="12" t="n">
        <v>0</v>
      </c>
      <c r="O101" s="12" t="n">
        <v>146</v>
      </c>
      <c r="P101" s="16" t="n">
        <f aca="false">O101/3</f>
        <v>48.6666666666667</v>
      </c>
      <c r="Q101" s="17" t="str">
        <f aca="false">INT(O101/3)&amp;"."&amp;MOD(O101,3)</f>
        <v>48.2</v>
      </c>
      <c r="R101" s="12" t="n">
        <v>46</v>
      </c>
      <c r="S101" s="12" t="n">
        <v>35</v>
      </c>
      <c r="T101" s="12" t="n">
        <v>32</v>
      </c>
      <c r="U101" s="12" t="n">
        <v>7</v>
      </c>
      <c r="V101" s="12" t="n">
        <v>23</v>
      </c>
      <c r="W101" s="12" t="n">
        <v>57</v>
      </c>
      <c r="X101" s="12" t="n">
        <v>2</v>
      </c>
      <c r="Y101" s="18" t="n">
        <f aca="false">IF(O101=0,0,T101*27/O101)</f>
        <v>5.91780821917808</v>
      </c>
      <c r="Z101" s="18" t="n">
        <f aca="false">IF(P101=0,0,(V101+R101)/P101)</f>
        <v>1.41780821917808</v>
      </c>
      <c r="AA101" s="18" t="n">
        <f aca="false">IF(O101=0,0,W101*27/O101)</f>
        <v>10.541095890411</v>
      </c>
      <c r="AB101" s="18" t="n">
        <f aca="false">IF(O101=0,0,V101*27/O101)</f>
        <v>4.25342465753425</v>
      </c>
      <c r="AC101" s="18" t="n">
        <f aca="false">IF(V101=0,0,W101/V101)</f>
        <v>2.47826086956522</v>
      </c>
      <c r="AD101" s="18" t="n">
        <f aca="false">IF(P101=0,0,(13*U101+3*(V101+X101)-2*W101)/P101+INDEX(球季參數!$C$2:$C$4,MATCH($A101,球季參數!$A$2:$A$4,0)))</f>
        <v>4.19849315068493</v>
      </c>
      <c r="AE101" s="11" t="n">
        <f aca="false">IF(P101&gt;=INDEX(球季參數!$F$2:$F$4,MATCH($A101,球季參數!$A$2:$A$4,0)),1,0)</f>
        <v>0</v>
      </c>
    </row>
    <row r="102" customFormat="false" ht="15" hidden="false" customHeight="false" outlineLevel="0" collapsed="false">
      <c r="A102" s="5" t="n">
        <v>2024</v>
      </c>
      <c r="B102" s="7" t="s">
        <v>897</v>
      </c>
      <c r="C102" s="10" t="str">
        <f aca="false">INDEX(球員主檔!$B$2:$B$749,MATCH($B102,球員主檔!$A$2:$A$749,0))</f>
        <v>Ulises Quiroga</v>
      </c>
      <c r="D102" s="7" t="s">
        <v>383</v>
      </c>
      <c r="E102" s="10" t="str">
        <f aca="false">INDEX(球隊主檔!$C$2:$C$31,MATCH($D102,球隊主檔!$A$2:$A$31,0))</f>
        <v>運動家</v>
      </c>
      <c r="F102" s="10" t="str">
        <f aca="false">INDEX(球隊主檔!$D$2:$D$31,MATCH($D102,球隊主檔!$A$2:$A$31,0))</f>
        <v>美聯</v>
      </c>
      <c r="G102" s="7" t="s">
        <v>496</v>
      </c>
      <c r="H102" s="11" t="n">
        <f aca="false">INT((DATE($A102,7,1)-INDEX(球員主檔!$G$2:$G$749,MATCH($B102,球員主檔!$A$2:$A$749,0)))/365.25)</f>
        <v>21</v>
      </c>
      <c r="I102" s="12" t="n">
        <v>8</v>
      </c>
      <c r="J102" s="12" t="n">
        <v>10</v>
      </c>
      <c r="K102" s="12" t="n">
        <v>0</v>
      </c>
      <c r="L102" s="12" t="n">
        <v>0</v>
      </c>
      <c r="M102" s="12" t="n">
        <v>26</v>
      </c>
      <c r="N102" s="12" t="n">
        <v>26</v>
      </c>
      <c r="O102" s="12" t="n">
        <v>455</v>
      </c>
      <c r="P102" s="16" t="n">
        <f aca="false">O102/3</f>
        <v>151.666666666667</v>
      </c>
      <c r="Q102" s="17" t="str">
        <f aca="false">INT(O102/3)&amp;"."&amp;MOD(O102,3)</f>
        <v>151.2</v>
      </c>
      <c r="R102" s="12" t="n">
        <v>131</v>
      </c>
      <c r="S102" s="12" t="n">
        <v>91</v>
      </c>
      <c r="T102" s="12" t="n">
        <v>85</v>
      </c>
      <c r="U102" s="12" t="n">
        <v>15</v>
      </c>
      <c r="V102" s="12" t="n">
        <v>33</v>
      </c>
      <c r="W102" s="12" t="n">
        <v>138</v>
      </c>
      <c r="X102" s="12" t="n">
        <v>4</v>
      </c>
      <c r="Y102" s="18" t="n">
        <f aca="false">IF(O102=0,0,T102*27/O102)</f>
        <v>5.04395604395604</v>
      </c>
      <c r="Z102" s="18" t="n">
        <f aca="false">IF(P102=0,0,(V102+R102)/P102)</f>
        <v>1.08131868131868</v>
      </c>
      <c r="AA102" s="18" t="n">
        <f aca="false">IF(O102=0,0,W102*27/O102)</f>
        <v>8.18901098901099</v>
      </c>
      <c r="AB102" s="18" t="n">
        <f aca="false">IF(O102=0,0,V102*27/O102)</f>
        <v>1.95824175824176</v>
      </c>
      <c r="AC102" s="18" t="n">
        <f aca="false">IF(V102=0,0,W102/V102)</f>
        <v>4.18181818181818</v>
      </c>
      <c r="AD102" s="18" t="n">
        <f aca="false">IF(P102=0,0,(13*U102+3*(V102+X102)-2*W102)/P102+INDEX(球季參數!$C$2:$C$4,MATCH($A102,球季參數!$A$2:$A$4,0)))</f>
        <v>3.3278021978022</v>
      </c>
      <c r="AE102" s="11" t="n">
        <f aca="false">IF(P102&gt;=INDEX(球季參數!$F$2:$F$4,MATCH($A102,球季參數!$A$2:$A$4,0)),1,0)</f>
        <v>0</v>
      </c>
    </row>
    <row r="103" customFormat="false" ht="15" hidden="false" customHeight="false" outlineLevel="0" collapsed="false">
      <c r="A103" s="5" t="n">
        <v>2024</v>
      </c>
      <c r="B103" s="7" t="s">
        <v>899</v>
      </c>
      <c r="C103" s="10" t="str">
        <f aca="false">INDEX(球員主檔!$B$2:$B$749,MATCH($B103,球員主檔!$A$2:$A$749,0))</f>
        <v>Seonwoo Vasquez</v>
      </c>
      <c r="D103" s="7" t="s">
        <v>383</v>
      </c>
      <c r="E103" s="10" t="str">
        <f aca="false">INDEX(球隊主檔!$C$2:$C$31,MATCH($D103,球隊主檔!$A$2:$A$31,0))</f>
        <v>運動家</v>
      </c>
      <c r="F103" s="10" t="str">
        <f aca="false">INDEX(球隊主檔!$D$2:$D$31,MATCH($D103,球隊主檔!$A$2:$A$31,0))</f>
        <v>美聯</v>
      </c>
      <c r="G103" s="7" t="s">
        <v>496</v>
      </c>
      <c r="H103" s="11" t="n">
        <f aca="false">INT((DATE($A103,7,1)-INDEX(球員主檔!$G$2:$G$749,MATCH($B103,球員主檔!$A$2:$A$749,0)))/365.25)</f>
        <v>26</v>
      </c>
      <c r="I103" s="12" t="n">
        <v>9</v>
      </c>
      <c r="J103" s="12" t="n">
        <v>6</v>
      </c>
      <c r="K103" s="12" t="n">
        <v>0</v>
      </c>
      <c r="L103" s="12" t="n">
        <v>0</v>
      </c>
      <c r="M103" s="12" t="n">
        <v>23</v>
      </c>
      <c r="N103" s="12" t="n">
        <v>23</v>
      </c>
      <c r="O103" s="12" t="n">
        <v>372</v>
      </c>
      <c r="P103" s="16" t="n">
        <f aca="false">O103/3</f>
        <v>124</v>
      </c>
      <c r="Q103" s="17" t="str">
        <f aca="false">INT(O103/3)&amp;"."&amp;MOD(O103,3)</f>
        <v>124.0</v>
      </c>
      <c r="R103" s="12" t="n">
        <v>116</v>
      </c>
      <c r="S103" s="12" t="n">
        <v>66</v>
      </c>
      <c r="T103" s="12" t="n">
        <v>66</v>
      </c>
      <c r="U103" s="12" t="n">
        <v>12</v>
      </c>
      <c r="V103" s="12" t="n">
        <v>44</v>
      </c>
      <c r="W103" s="12" t="n">
        <v>104</v>
      </c>
      <c r="X103" s="12" t="n">
        <v>4</v>
      </c>
      <c r="Y103" s="18" t="n">
        <f aca="false">IF(O103=0,0,T103*27/O103)</f>
        <v>4.79032258064516</v>
      </c>
      <c r="Z103" s="18" t="n">
        <f aca="false">IF(P103=0,0,(V103+R103)/P103)</f>
        <v>1.29032258064516</v>
      </c>
      <c r="AA103" s="18" t="n">
        <f aca="false">IF(O103=0,0,W103*27/O103)</f>
        <v>7.54838709677419</v>
      </c>
      <c r="AB103" s="18" t="n">
        <f aca="false">IF(O103=0,0,V103*27/O103)</f>
        <v>3.19354838709677</v>
      </c>
      <c r="AC103" s="18" t="n">
        <f aca="false">IF(V103=0,0,W103/V103)</f>
        <v>2.36363636363636</v>
      </c>
      <c r="AD103" s="18" t="n">
        <f aca="false">IF(P103=0,0,(13*U103+3*(V103+X103)-2*W103)/P103+INDEX(球季參數!$C$2:$C$4,MATCH($A103,球季參數!$A$2:$A$4,0)))</f>
        <v>3.87193548387097</v>
      </c>
      <c r="AE103" s="11" t="n">
        <f aca="false">IF(P103&gt;=INDEX(球季參數!$F$2:$F$4,MATCH($A103,球季參數!$A$2:$A$4,0)),1,0)</f>
        <v>0</v>
      </c>
    </row>
    <row r="104" customFormat="false" ht="15" hidden="false" customHeight="false" outlineLevel="0" collapsed="false">
      <c r="A104" s="5" t="n">
        <v>2024</v>
      </c>
      <c r="B104" s="7" t="s">
        <v>901</v>
      </c>
      <c r="C104" s="10" t="str">
        <f aca="false">INDEX(球員主檔!$B$2:$B$749,MATCH($B104,球員主檔!$A$2:$A$749,0))</f>
        <v>Joaquín Ulloa</v>
      </c>
      <c r="D104" s="7" t="s">
        <v>383</v>
      </c>
      <c r="E104" s="10" t="str">
        <f aca="false">INDEX(球隊主檔!$C$2:$C$31,MATCH($D104,球隊主檔!$A$2:$A$31,0))</f>
        <v>運動家</v>
      </c>
      <c r="F104" s="10" t="str">
        <f aca="false">INDEX(球隊主檔!$D$2:$D$31,MATCH($D104,球隊主檔!$A$2:$A$31,0))</f>
        <v>美聯</v>
      </c>
      <c r="G104" s="7" t="s">
        <v>496</v>
      </c>
      <c r="H104" s="11" t="n">
        <f aca="false">INT((DATE($A104,7,1)-INDEX(球員主檔!$G$2:$G$749,MATCH($B104,球員主檔!$A$2:$A$749,0)))/365.25)</f>
        <v>33</v>
      </c>
      <c r="I104" s="12" t="n">
        <v>10</v>
      </c>
      <c r="J104" s="12" t="n">
        <v>4</v>
      </c>
      <c r="K104" s="12" t="n">
        <v>0</v>
      </c>
      <c r="L104" s="12" t="n">
        <v>0</v>
      </c>
      <c r="M104" s="12" t="n">
        <v>23</v>
      </c>
      <c r="N104" s="12" t="n">
        <v>23</v>
      </c>
      <c r="O104" s="12" t="n">
        <v>396</v>
      </c>
      <c r="P104" s="16" t="n">
        <f aca="false">O104/3</f>
        <v>132</v>
      </c>
      <c r="Q104" s="17" t="str">
        <f aca="false">INT(O104/3)&amp;"."&amp;MOD(O104,3)</f>
        <v>132.0</v>
      </c>
      <c r="R104" s="12" t="n">
        <v>94</v>
      </c>
      <c r="S104" s="12" t="n">
        <v>53</v>
      </c>
      <c r="T104" s="12" t="n">
        <v>47</v>
      </c>
      <c r="U104" s="12" t="n">
        <v>24</v>
      </c>
      <c r="V104" s="12" t="n">
        <v>26</v>
      </c>
      <c r="W104" s="12" t="n">
        <v>128</v>
      </c>
      <c r="X104" s="12" t="n">
        <v>5</v>
      </c>
      <c r="Y104" s="18" t="n">
        <f aca="false">IF(O104=0,0,T104*27/O104)</f>
        <v>3.20454545454545</v>
      </c>
      <c r="Z104" s="18" t="n">
        <f aca="false">IF(P104=0,0,(V104+R104)/P104)</f>
        <v>0.909090909090909</v>
      </c>
      <c r="AA104" s="18" t="n">
        <f aca="false">IF(O104=0,0,W104*27/O104)</f>
        <v>8.72727272727273</v>
      </c>
      <c r="AB104" s="18" t="n">
        <f aca="false">IF(O104=0,0,V104*27/O104)</f>
        <v>1.77272727272727</v>
      </c>
      <c r="AC104" s="18" t="n">
        <f aca="false">IF(V104=0,0,W104/V104)</f>
        <v>4.92307692307692</v>
      </c>
      <c r="AD104" s="18" t="n">
        <f aca="false">IF(P104=0,0,(13*U104+3*(V104+X104)-2*W104)/P104+INDEX(球季參數!$C$2:$C$4,MATCH($A104,球季參數!$A$2:$A$4,0)))</f>
        <v>4.25878787878788</v>
      </c>
      <c r="AE104" s="11" t="n">
        <f aca="false">IF(P104&gt;=INDEX(球季參數!$F$2:$F$4,MATCH($A104,球季參數!$A$2:$A$4,0)),1,0)</f>
        <v>0</v>
      </c>
    </row>
    <row r="105" customFormat="false" ht="15" hidden="false" customHeight="false" outlineLevel="0" collapsed="false">
      <c r="A105" s="5" t="n">
        <v>2024</v>
      </c>
      <c r="B105" s="7" t="s">
        <v>903</v>
      </c>
      <c r="C105" s="10" t="str">
        <f aca="false">INDEX(球員主檔!$B$2:$B$749,MATCH($B105,球員主檔!$A$2:$A$749,0))</f>
        <v>Joaquín Thorsby</v>
      </c>
      <c r="D105" s="7" t="s">
        <v>383</v>
      </c>
      <c r="E105" s="10" t="str">
        <f aca="false">INDEX(球隊主檔!$C$2:$C$31,MATCH($D105,球隊主檔!$A$2:$A$31,0))</f>
        <v>運動家</v>
      </c>
      <c r="F105" s="10" t="str">
        <f aca="false">INDEX(球隊主檔!$D$2:$D$31,MATCH($D105,球隊主檔!$A$2:$A$31,0))</f>
        <v>美聯</v>
      </c>
      <c r="G105" s="7" t="s">
        <v>496</v>
      </c>
      <c r="H105" s="11" t="n">
        <f aca="false">INT((DATE($A105,7,1)-INDEX(球員主檔!$G$2:$G$749,MATCH($B105,球員主檔!$A$2:$A$749,0)))/365.25)</f>
        <v>25</v>
      </c>
      <c r="I105" s="12" t="n">
        <v>11</v>
      </c>
      <c r="J105" s="12" t="n">
        <v>9</v>
      </c>
      <c r="K105" s="12" t="n">
        <v>0</v>
      </c>
      <c r="L105" s="12" t="n">
        <v>0</v>
      </c>
      <c r="M105" s="12" t="n">
        <v>30</v>
      </c>
      <c r="N105" s="12" t="n">
        <v>30</v>
      </c>
      <c r="O105" s="12" t="n">
        <v>442</v>
      </c>
      <c r="P105" s="16" t="n">
        <f aca="false">O105/3</f>
        <v>147.333333333333</v>
      </c>
      <c r="Q105" s="17" t="str">
        <f aca="false">INT(O105/3)&amp;"."&amp;MOD(O105,3)</f>
        <v>147.1</v>
      </c>
      <c r="R105" s="12" t="n">
        <v>127</v>
      </c>
      <c r="S105" s="12" t="n">
        <v>78</v>
      </c>
      <c r="T105" s="12" t="n">
        <v>75</v>
      </c>
      <c r="U105" s="12" t="n">
        <v>13</v>
      </c>
      <c r="V105" s="12" t="n">
        <v>30</v>
      </c>
      <c r="W105" s="12" t="n">
        <v>184</v>
      </c>
      <c r="X105" s="12" t="n">
        <v>3</v>
      </c>
      <c r="Y105" s="18" t="n">
        <f aca="false">IF(O105=0,0,T105*27/O105)</f>
        <v>4.58144796380091</v>
      </c>
      <c r="Z105" s="18" t="n">
        <f aca="false">IF(P105=0,0,(V105+R105)/P105)</f>
        <v>1.06561085972851</v>
      </c>
      <c r="AA105" s="18" t="n">
        <f aca="false">IF(O105=0,0,W105*27/O105)</f>
        <v>11.2398190045249</v>
      </c>
      <c r="AB105" s="18" t="n">
        <f aca="false">IF(O105=0,0,V105*27/O105)</f>
        <v>1.83257918552036</v>
      </c>
      <c r="AC105" s="18" t="n">
        <f aca="false">IF(V105=0,0,W105/V105)</f>
        <v>6.13333333333333</v>
      </c>
      <c r="AD105" s="18" t="n">
        <f aca="false">IF(P105=0,0,(13*U105+3*(V105+X105)-2*W105)/P105+INDEX(球季參數!$C$2:$C$4,MATCH($A105,球季參數!$A$2:$A$4,0)))</f>
        <v>2.45126696832579</v>
      </c>
      <c r="AE105" s="11" t="n">
        <f aca="false">IF(P105&gt;=INDEX(球季參數!$F$2:$F$4,MATCH($A105,球季參數!$A$2:$A$4,0)),1,0)</f>
        <v>0</v>
      </c>
    </row>
    <row r="106" customFormat="false" ht="15" hidden="false" customHeight="false" outlineLevel="0" collapsed="false">
      <c r="A106" s="5" t="n">
        <v>2024</v>
      </c>
      <c r="B106" s="7" t="s">
        <v>905</v>
      </c>
      <c r="C106" s="10" t="str">
        <f aca="false">INDEX(球員主檔!$B$2:$B$749,MATCH($B106,球員主檔!$A$2:$A$749,0))</f>
        <v>Minjae Montalvo</v>
      </c>
      <c r="D106" s="7" t="s">
        <v>383</v>
      </c>
      <c r="E106" s="10" t="str">
        <f aca="false">INDEX(球隊主檔!$C$2:$C$31,MATCH($D106,球隊主檔!$A$2:$A$31,0))</f>
        <v>運動家</v>
      </c>
      <c r="F106" s="10" t="str">
        <f aca="false">INDEX(球隊主檔!$D$2:$D$31,MATCH($D106,球隊主檔!$A$2:$A$31,0))</f>
        <v>美聯</v>
      </c>
      <c r="G106" s="7" t="s">
        <v>496</v>
      </c>
      <c r="H106" s="11" t="n">
        <f aca="false">INT((DATE($A106,7,1)-INDEX(球員主檔!$G$2:$G$749,MATCH($B106,球員主檔!$A$2:$A$749,0)))/365.25)</f>
        <v>28</v>
      </c>
      <c r="I106" s="12" t="n">
        <v>8</v>
      </c>
      <c r="J106" s="12" t="n">
        <v>16</v>
      </c>
      <c r="K106" s="12" t="n">
        <v>0</v>
      </c>
      <c r="L106" s="12" t="n">
        <v>0</v>
      </c>
      <c r="M106" s="12" t="n">
        <v>32</v>
      </c>
      <c r="N106" s="12" t="n">
        <v>32</v>
      </c>
      <c r="O106" s="12" t="n">
        <v>486</v>
      </c>
      <c r="P106" s="16" t="n">
        <f aca="false">O106/3</f>
        <v>162</v>
      </c>
      <c r="Q106" s="17" t="str">
        <f aca="false">INT(O106/3)&amp;"."&amp;MOD(O106,3)</f>
        <v>162.0</v>
      </c>
      <c r="R106" s="12" t="n">
        <v>162</v>
      </c>
      <c r="S106" s="12" t="n">
        <v>131</v>
      </c>
      <c r="T106" s="12" t="n">
        <v>116</v>
      </c>
      <c r="U106" s="12" t="n">
        <v>20</v>
      </c>
      <c r="V106" s="12" t="n">
        <v>44</v>
      </c>
      <c r="W106" s="12" t="n">
        <v>151</v>
      </c>
      <c r="X106" s="12" t="n">
        <v>9</v>
      </c>
      <c r="Y106" s="18" t="n">
        <f aca="false">IF(O106=0,0,T106*27/O106)</f>
        <v>6.44444444444445</v>
      </c>
      <c r="Z106" s="18" t="n">
        <f aca="false">IF(P106=0,0,(V106+R106)/P106)</f>
        <v>1.27160493827161</v>
      </c>
      <c r="AA106" s="18" t="n">
        <f aca="false">IF(O106=0,0,W106*27/O106)</f>
        <v>8.38888888888889</v>
      </c>
      <c r="AB106" s="18" t="n">
        <f aca="false">IF(O106=0,0,V106*27/O106)</f>
        <v>2.44444444444444</v>
      </c>
      <c r="AC106" s="18" t="n">
        <f aca="false">IF(V106=0,0,W106/V106)</f>
        <v>3.43181818181818</v>
      </c>
      <c r="AD106" s="18" t="n">
        <f aca="false">IF(P106=0,0,(13*U106+3*(V106+X106)-2*W106)/P106+INDEX(球季參數!$C$2:$C$4,MATCH($A106,球季參數!$A$2:$A$4,0)))</f>
        <v>3.85222222222222</v>
      </c>
      <c r="AE106" s="11" t="n">
        <f aca="false">IF(P106&gt;=INDEX(球季參數!$F$2:$F$4,MATCH($A106,球季參數!$A$2:$A$4,0)),1,0)</f>
        <v>1</v>
      </c>
    </row>
    <row r="107" customFormat="false" ht="15" hidden="false" customHeight="false" outlineLevel="0" collapsed="false">
      <c r="A107" s="5" t="n">
        <v>2024</v>
      </c>
      <c r="B107" s="7" t="s">
        <v>907</v>
      </c>
      <c r="C107" s="10" t="str">
        <f aca="false">INDEX(球員主檔!$B$2:$B$749,MATCH($B107,球員主檔!$A$2:$A$749,0))</f>
        <v>Dimitri Novotný</v>
      </c>
      <c r="D107" s="7" t="s">
        <v>383</v>
      </c>
      <c r="E107" s="10" t="str">
        <f aca="false">INDEX(球隊主檔!$C$2:$C$31,MATCH($D107,球隊主檔!$A$2:$A$31,0))</f>
        <v>運動家</v>
      </c>
      <c r="F107" s="10" t="str">
        <f aca="false">INDEX(球隊主檔!$D$2:$D$31,MATCH($D107,球隊主檔!$A$2:$A$31,0))</f>
        <v>美聯</v>
      </c>
      <c r="G107" s="7" t="s">
        <v>507</v>
      </c>
      <c r="H107" s="11" t="n">
        <f aca="false">INT((DATE($A107,7,1)-INDEX(球員主檔!$G$2:$G$749,MATCH($B107,球員主檔!$A$2:$A$749,0)))/365.25)</f>
        <v>25</v>
      </c>
      <c r="I107" s="12" t="n">
        <v>1</v>
      </c>
      <c r="J107" s="12" t="n">
        <v>2</v>
      </c>
      <c r="K107" s="12" t="n">
        <v>4</v>
      </c>
      <c r="L107" s="12" t="n">
        <v>20</v>
      </c>
      <c r="M107" s="12" t="n">
        <v>47</v>
      </c>
      <c r="N107" s="12" t="n">
        <v>0</v>
      </c>
      <c r="O107" s="12" t="n">
        <v>126</v>
      </c>
      <c r="P107" s="16" t="n">
        <f aca="false">O107/3</f>
        <v>42</v>
      </c>
      <c r="Q107" s="17" t="str">
        <f aca="false">INT(O107/3)&amp;"."&amp;MOD(O107,3)</f>
        <v>42.0</v>
      </c>
      <c r="R107" s="12" t="n">
        <v>35</v>
      </c>
      <c r="S107" s="12" t="n">
        <v>26</v>
      </c>
      <c r="T107" s="12" t="n">
        <v>23</v>
      </c>
      <c r="U107" s="12" t="n">
        <v>4</v>
      </c>
      <c r="V107" s="12" t="n">
        <v>14</v>
      </c>
      <c r="W107" s="12" t="n">
        <v>42</v>
      </c>
      <c r="X107" s="12" t="n">
        <v>0</v>
      </c>
      <c r="Y107" s="18" t="n">
        <f aca="false">IF(O107=0,0,T107*27/O107)</f>
        <v>4.92857142857143</v>
      </c>
      <c r="Z107" s="18" t="n">
        <f aca="false">IF(P107=0,0,(V107+R107)/P107)</f>
        <v>1.16666666666667</v>
      </c>
      <c r="AA107" s="18" t="n">
        <f aca="false">IF(O107=0,0,W107*27/O107)</f>
        <v>9</v>
      </c>
      <c r="AB107" s="18" t="n">
        <f aca="false">IF(O107=0,0,V107*27/O107)</f>
        <v>3</v>
      </c>
      <c r="AC107" s="18" t="n">
        <f aca="false">IF(V107=0,0,W107/V107)</f>
        <v>3</v>
      </c>
      <c r="AD107" s="18" t="n">
        <f aca="false">IF(P107=0,0,(13*U107+3*(V107+X107)-2*W107)/P107+INDEX(球季參數!$C$2:$C$4,MATCH($A107,球季參數!$A$2:$A$4,0)))</f>
        <v>3.36809523809524</v>
      </c>
      <c r="AE107" s="11" t="n">
        <f aca="false">IF(P107&gt;=INDEX(球季參數!$F$2:$F$4,MATCH($A107,球季參數!$A$2:$A$4,0)),1,0)</f>
        <v>0</v>
      </c>
    </row>
    <row r="108" customFormat="false" ht="15" hidden="false" customHeight="false" outlineLevel="0" collapsed="false">
      <c r="A108" s="5" t="n">
        <v>2024</v>
      </c>
      <c r="B108" s="7" t="s">
        <v>909</v>
      </c>
      <c r="C108" s="10" t="str">
        <f aca="false">INDEX(球員主檔!$B$2:$B$749,MATCH($B108,球員主檔!$A$2:$A$749,0))</f>
        <v>Lucien Hargreaves</v>
      </c>
      <c r="D108" s="7" t="s">
        <v>383</v>
      </c>
      <c r="E108" s="10" t="str">
        <f aca="false">INDEX(球隊主檔!$C$2:$C$31,MATCH($D108,球隊主檔!$A$2:$A$31,0))</f>
        <v>運動家</v>
      </c>
      <c r="F108" s="10" t="str">
        <f aca="false">INDEX(球隊主檔!$D$2:$D$31,MATCH($D108,球隊主檔!$A$2:$A$31,0))</f>
        <v>美聯</v>
      </c>
      <c r="G108" s="7" t="s">
        <v>507</v>
      </c>
      <c r="H108" s="11" t="n">
        <f aca="false">INT((DATE($A108,7,1)-INDEX(球員主檔!$G$2:$G$749,MATCH($B108,球員主檔!$A$2:$A$749,0)))/365.25)</f>
        <v>29</v>
      </c>
      <c r="I108" s="12" t="n">
        <v>7</v>
      </c>
      <c r="J108" s="12" t="n">
        <v>1</v>
      </c>
      <c r="K108" s="12" t="n">
        <v>1</v>
      </c>
      <c r="L108" s="12" t="n">
        <v>4</v>
      </c>
      <c r="M108" s="12" t="n">
        <v>73</v>
      </c>
      <c r="N108" s="12" t="n">
        <v>0</v>
      </c>
      <c r="O108" s="12" t="n">
        <v>224</v>
      </c>
      <c r="P108" s="16" t="n">
        <f aca="false">O108/3</f>
        <v>74.6666666666667</v>
      </c>
      <c r="Q108" s="17" t="str">
        <f aca="false">INT(O108/3)&amp;"."&amp;MOD(O108,3)</f>
        <v>74.2</v>
      </c>
      <c r="R108" s="12" t="n">
        <v>51</v>
      </c>
      <c r="S108" s="12" t="n">
        <v>26</v>
      </c>
      <c r="T108" s="12" t="n">
        <v>26</v>
      </c>
      <c r="U108" s="12" t="n">
        <v>9</v>
      </c>
      <c r="V108" s="12" t="n">
        <v>10</v>
      </c>
      <c r="W108" s="12" t="n">
        <v>88</v>
      </c>
      <c r="X108" s="12" t="n">
        <v>1</v>
      </c>
      <c r="Y108" s="18" t="n">
        <f aca="false">IF(O108=0,0,T108*27/O108)</f>
        <v>3.13392857142857</v>
      </c>
      <c r="Z108" s="18" t="n">
        <f aca="false">IF(P108=0,0,(V108+R108)/P108)</f>
        <v>0.816964285714286</v>
      </c>
      <c r="AA108" s="18" t="n">
        <f aca="false">IF(O108=0,0,W108*27/O108)</f>
        <v>10.6071428571429</v>
      </c>
      <c r="AB108" s="18" t="n">
        <f aca="false">IF(O108=0,0,V108*27/O108)</f>
        <v>1.20535714285714</v>
      </c>
      <c r="AC108" s="18" t="n">
        <f aca="false">IF(V108=0,0,W108/V108)</f>
        <v>8.8</v>
      </c>
      <c r="AD108" s="18" t="n">
        <f aca="false">IF(P108=0,0,(13*U108+3*(V108+X108)-2*W108)/P108+INDEX(球季參數!$C$2:$C$4,MATCH($A108,球季參數!$A$2:$A$4,0)))</f>
        <v>2.78178571428571</v>
      </c>
      <c r="AE108" s="11" t="n">
        <f aca="false">IF(P108&gt;=INDEX(球季參數!$F$2:$F$4,MATCH($A108,球季參數!$A$2:$A$4,0)),1,0)</f>
        <v>0</v>
      </c>
    </row>
    <row r="109" customFormat="false" ht="15" hidden="false" customHeight="false" outlineLevel="0" collapsed="false">
      <c r="A109" s="5" t="n">
        <v>2024</v>
      </c>
      <c r="B109" s="7" t="s">
        <v>911</v>
      </c>
      <c r="C109" s="10" t="str">
        <f aca="false">INDEX(球員主檔!$B$2:$B$749,MATCH($B109,球員主檔!$A$2:$A$749,0))</f>
        <v>Griffin Paszkiewicz</v>
      </c>
      <c r="D109" s="7" t="s">
        <v>383</v>
      </c>
      <c r="E109" s="10" t="str">
        <f aca="false">INDEX(球隊主檔!$C$2:$C$31,MATCH($D109,球隊主檔!$A$2:$A$31,0))</f>
        <v>運動家</v>
      </c>
      <c r="F109" s="10" t="str">
        <f aca="false">INDEX(球隊主檔!$D$2:$D$31,MATCH($D109,球隊主檔!$A$2:$A$31,0))</f>
        <v>美聯</v>
      </c>
      <c r="G109" s="7" t="s">
        <v>507</v>
      </c>
      <c r="H109" s="11" t="n">
        <f aca="false">INT((DATE($A109,7,1)-INDEX(球員主檔!$G$2:$G$749,MATCH($B109,球員主檔!$A$2:$A$749,0)))/365.25)</f>
        <v>23</v>
      </c>
      <c r="I109" s="12" t="n">
        <v>4</v>
      </c>
      <c r="J109" s="12" t="n">
        <v>5</v>
      </c>
      <c r="K109" s="12" t="n">
        <v>4</v>
      </c>
      <c r="L109" s="12" t="n">
        <v>13</v>
      </c>
      <c r="M109" s="12" t="n">
        <v>50</v>
      </c>
      <c r="N109" s="12" t="n">
        <v>0</v>
      </c>
      <c r="O109" s="12" t="n">
        <v>146</v>
      </c>
      <c r="P109" s="16" t="n">
        <f aca="false">O109/3</f>
        <v>48.6666666666667</v>
      </c>
      <c r="Q109" s="17" t="str">
        <f aca="false">INT(O109/3)&amp;"."&amp;MOD(O109,3)</f>
        <v>48.2</v>
      </c>
      <c r="R109" s="12" t="n">
        <v>33</v>
      </c>
      <c r="S109" s="12" t="n">
        <v>16</v>
      </c>
      <c r="T109" s="12" t="n">
        <v>16</v>
      </c>
      <c r="U109" s="12" t="n">
        <v>5</v>
      </c>
      <c r="V109" s="12" t="n">
        <v>12</v>
      </c>
      <c r="W109" s="12" t="n">
        <v>58</v>
      </c>
      <c r="X109" s="12" t="n">
        <v>2</v>
      </c>
      <c r="Y109" s="18" t="n">
        <f aca="false">IF(O109=0,0,T109*27/O109)</f>
        <v>2.95890410958904</v>
      </c>
      <c r="Z109" s="18" t="n">
        <f aca="false">IF(P109=0,0,(V109+R109)/P109)</f>
        <v>0.924657534246575</v>
      </c>
      <c r="AA109" s="18" t="n">
        <f aca="false">IF(O109=0,0,W109*27/O109)</f>
        <v>10.7260273972603</v>
      </c>
      <c r="AB109" s="18" t="n">
        <f aca="false">IF(O109=0,0,V109*27/O109)</f>
        <v>2.21917808219178</v>
      </c>
      <c r="AC109" s="18" t="n">
        <f aca="false">IF(V109=0,0,W109/V109)</f>
        <v>4.83333333333333</v>
      </c>
      <c r="AD109" s="18" t="n">
        <f aca="false">IF(P109=0,0,(13*U109+3*(V109+X109)-2*W109)/P109+INDEX(球季參數!$C$2:$C$4,MATCH($A109,球季參數!$A$2:$A$4,0)))</f>
        <v>2.94506849315068</v>
      </c>
      <c r="AE109" s="11" t="n">
        <f aca="false">IF(P109&gt;=INDEX(球季參數!$F$2:$F$4,MATCH($A109,球季參數!$A$2:$A$4,0)),1,0)</f>
        <v>0</v>
      </c>
    </row>
    <row r="110" customFormat="false" ht="15" hidden="false" customHeight="false" outlineLevel="0" collapsed="false">
      <c r="A110" s="5" t="n">
        <v>2024</v>
      </c>
      <c r="B110" s="7" t="s">
        <v>913</v>
      </c>
      <c r="C110" s="10" t="str">
        <f aca="false">INDEX(球員主檔!$B$2:$B$749,MATCH($B110,球員主檔!$A$2:$A$749,0))</f>
        <v>Marcus Cavanaugh</v>
      </c>
      <c r="D110" s="7" t="s">
        <v>383</v>
      </c>
      <c r="E110" s="10" t="str">
        <f aca="false">INDEX(球隊主檔!$C$2:$C$31,MATCH($D110,球隊主檔!$A$2:$A$31,0))</f>
        <v>運動家</v>
      </c>
      <c r="F110" s="10" t="str">
        <f aca="false">INDEX(球隊主檔!$D$2:$D$31,MATCH($D110,球隊主檔!$A$2:$A$31,0))</f>
        <v>美聯</v>
      </c>
      <c r="G110" s="7" t="s">
        <v>507</v>
      </c>
      <c r="H110" s="11" t="n">
        <f aca="false">INT((DATE($A110,7,1)-INDEX(球員主檔!$G$2:$G$749,MATCH($B110,球員主檔!$A$2:$A$749,0)))/365.25)</f>
        <v>29</v>
      </c>
      <c r="I110" s="12" t="n">
        <v>1</v>
      </c>
      <c r="J110" s="12" t="n">
        <v>8</v>
      </c>
      <c r="K110" s="12" t="n">
        <v>6</v>
      </c>
      <c r="L110" s="12" t="n">
        <v>6</v>
      </c>
      <c r="M110" s="12" t="n">
        <v>76</v>
      </c>
      <c r="N110" s="12" t="n">
        <v>0</v>
      </c>
      <c r="O110" s="12" t="n">
        <v>218</v>
      </c>
      <c r="P110" s="16" t="n">
        <f aca="false">O110/3</f>
        <v>72.6666666666667</v>
      </c>
      <c r="Q110" s="17" t="str">
        <f aca="false">INT(O110/3)&amp;"."&amp;MOD(O110,3)</f>
        <v>72.2</v>
      </c>
      <c r="R110" s="12" t="n">
        <v>60</v>
      </c>
      <c r="S110" s="12" t="n">
        <v>39</v>
      </c>
      <c r="T110" s="12" t="n">
        <v>37</v>
      </c>
      <c r="U110" s="12" t="n">
        <v>4</v>
      </c>
      <c r="V110" s="12" t="n">
        <v>25</v>
      </c>
      <c r="W110" s="12" t="n">
        <v>47</v>
      </c>
      <c r="X110" s="12" t="n">
        <v>1</v>
      </c>
      <c r="Y110" s="18" t="n">
        <f aca="false">IF(O110=0,0,T110*27/O110)</f>
        <v>4.58256880733945</v>
      </c>
      <c r="Z110" s="18" t="n">
        <f aca="false">IF(P110=0,0,(V110+R110)/P110)</f>
        <v>1.1697247706422</v>
      </c>
      <c r="AA110" s="18" t="n">
        <f aca="false">IF(O110=0,0,W110*27/O110)</f>
        <v>5.82110091743119</v>
      </c>
      <c r="AB110" s="18" t="n">
        <f aca="false">IF(O110=0,0,V110*27/O110)</f>
        <v>3.09633027522936</v>
      </c>
      <c r="AC110" s="18" t="n">
        <f aca="false">IF(V110=0,0,W110/V110)</f>
        <v>1.88</v>
      </c>
      <c r="AD110" s="18" t="n">
        <f aca="false">IF(P110=0,0,(13*U110+3*(V110+X110)-2*W110)/P110+INDEX(球季參數!$C$2:$C$4,MATCH($A110,球季參數!$A$2:$A$4,0)))</f>
        <v>3.6254128440367</v>
      </c>
      <c r="AE110" s="11" t="n">
        <f aca="false">IF(P110&gt;=INDEX(球季參數!$F$2:$F$4,MATCH($A110,球季參數!$A$2:$A$4,0)),1,0)</f>
        <v>0</v>
      </c>
    </row>
    <row r="111" customFormat="false" ht="15" hidden="false" customHeight="false" outlineLevel="0" collapsed="false">
      <c r="A111" s="5" t="n">
        <v>2024</v>
      </c>
      <c r="B111" s="7" t="s">
        <v>915</v>
      </c>
      <c r="C111" s="10" t="str">
        <f aca="false">INDEX(球員主檔!$B$2:$B$749,MATCH($B111,球員主檔!$A$2:$A$749,0))</f>
        <v>Mateo Kowalczyk</v>
      </c>
      <c r="D111" s="7" t="s">
        <v>383</v>
      </c>
      <c r="E111" s="10" t="str">
        <f aca="false">INDEX(球隊主檔!$C$2:$C$31,MATCH($D111,球隊主檔!$A$2:$A$31,0))</f>
        <v>運動家</v>
      </c>
      <c r="F111" s="10" t="str">
        <f aca="false">INDEX(球隊主檔!$D$2:$D$31,MATCH($D111,球隊主檔!$A$2:$A$31,0))</f>
        <v>美聯</v>
      </c>
      <c r="G111" s="7" t="s">
        <v>507</v>
      </c>
      <c r="H111" s="11" t="n">
        <f aca="false">INT((DATE($A111,7,1)-INDEX(球員主檔!$G$2:$G$749,MATCH($B111,球員主檔!$A$2:$A$749,0)))/365.25)</f>
        <v>27</v>
      </c>
      <c r="I111" s="12" t="n">
        <v>2</v>
      </c>
      <c r="J111" s="12" t="n">
        <v>3</v>
      </c>
      <c r="K111" s="12" t="n">
        <v>2</v>
      </c>
      <c r="L111" s="12" t="n">
        <v>10</v>
      </c>
      <c r="M111" s="12" t="n">
        <v>46</v>
      </c>
      <c r="N111" s="12" t="n">
        <v>0</v>
      </c>
      <c r="O111" s="12" t="n">
        <v>144</v>
      </c>
      <c r="P111" s="16" t="n">
        <f aca="false">O111/3</f>
        <v>48</v>
      </c>
      <c r="Q111" s="17" t="str">
        <f aca="false">INT(O111/3)&amp;"."&amp;MOD(O111,3)</f>
        <v>48.0</v>
      </c>
      <c r="R111" s="12" t="n">
        <v>32</v>
      </c>
      <c r="S111" s="12" t="n">
        <v>15</v>
      </c>
      <c r="T111" s="12" t="n">
        <v>14</v>
      </c>
      <c r="U111" s="12" t="n">
        <v>5</v>
      </c>
      <c r="V111" s="12" t="n">
        <v>12</v>
      </c>
      <c r="W111" s="12" t="n">
        <v>47</v>
      </c>
      <c r="X111" s="12" t="n">
        <v>3</v>
      </c>
      <c r="Y111" s="18" t="n">
        <f aca="false">IF(O111=0,0,T111*27/O111)</f>
        <v>2.625</v>
      </c>
      <c r="Z111" s="18" t="n">
        <f aca="false">IF(P111=0,0,(V111+R111)/P111)</f>
        <v>0.916666666666667</v>
      </c>
      <c r="AA111" s="18" t="n">
        <f aca="false">IF(O111=0,0,W111*27/O111)</f>
        <v>8.8125</v>
      </c>
      <c r="AB111" s="18" t="n">
        <f aca="false">IF(O111=0,0,V111*27/O111)</f>
        <v>2.25</v>
      </c>
      <c r="AC111" s="18" t="n">
        <f aca="false">IF(V111=0,0,W111/V111)</f>
        <v>3.91666666666667</v>
      </c>
      <c r="AD111" s="18" t="n">
        <f aca="false">IF(P111=0,0,(13*U111+3*(V111+X111)-2*W111)/P111+INDEX(球季參數!$C$2:$C$4,MATCH($A111,球季參數!$A$2:$A$4,0)))</f>
        <v>3.46333333333333</v>
      </c>
      <c r="AE111" s="11" t="n">
        <f aca="false">IF(P111&gt;=INDEX(球季參數!$F$2:$F$4,MATCH($A111,球季參數!$A$2:$A$4,0)),1,0)</f>
        <v>0</v>
      </c>
    </row>
    <row r="112" customFormat="false" ht="15" hidden="false" customHeight="false" outlineLevel="0" collapsed="false">
      <c r="A112" s="5" t="n">
        <v>2024</v>
      </c>
      <c r="B112" s="7" t="s">
        <v>937</v>
      </c>
      <c r="C112" s="10" t="str">
        <f aca="false">INDEX(球員主檔!$B$2:$B$749,MATCH($B112,球員主檔!$A$2:$A$749,0))</f>
        <v>Konrad Garrity</v>
      </c>
      <c r="D112" s="7" t="s">
        <v>388</v>
      </c>
      <c r="E112" s="10" t="str">
        <f aca="false">INDEX(球隊主檔!$C$2:$C$31,MATCH($D112,球隊主檔!$A$2:$A$31,0))</f>
        <v>休士頓太空人</v>
      </c>
      <c r="F112" s="10" t="str">
        <f aca="false">INDEX(球隊主檔!$D$2:$D$31,MATCH($D112,球隊主檔!$A$2:$A$31,0))</f>
        <v>美聯</v>
      </c>
      <c r="G112" s="7" t="s">
        <v>496</v>
      </c>
      <c r="H112" s="11" t="n">
        <f aca="false">INT((DATE($A112,7,1)-INDEX(球員主檔!$G$2:$G$749,MATCH($B112,球員主檔!$A$2:$A$749,0)))/365.25)</f>
        <v>29</v>
      </c>
      <c r="I112" s="12" t="n">
        <v>10</v>
      </c>
      <c r="J112" s="12" t="n">
        <v>8</v>
      </c>
      <c r="K112" s="12" t="n">
        <v>0</v>
      </c>
      <c r="L112" s="12" t="n">
        <v>0</v>
      </c>
      <c r="M112" s="12" t="n">
        <v>30</v>
      </c>
      <c r="N112" s="12" t="n">
        <v>30</v>
      </c>
      <c r="O112" s="12" t="n">
        <v>561</v>
      </c>
      <c r="P112" s="16" t="n">
        <f aca="false">O112/3</f>
        <v>187</v>
      </c>
      <c r="Q112" s="17" t="str">
        <f aca="false">INT(O112/3)&amp;"."&amp;MOD(O112,3)</f>
        <v>187.0</v>
      </c>
      <c r="R112" s="12" t="n">
        <v>159</v>
      </c>
      <c r="S112" s="12" t="n">
        <v>110</v>
      </c>
      <c r="T112" s="12" t="n">
        <v>101</v>
      </c>
      <c r="U112" s="12" t="n">
        <v>28</v>
      </c>
      <c r="V112" s="12" t="n">
        <v>48</v>
      </c>
      <c r="W112" s="12" t="n">
        <v>196</v>
      </c>
      <c r="X112" s="12" t="n">
        <v>4</v>
      </c>
      <c r="Y112" s="18" t="n">
        <f aca="false">IF(O112=0,0,T112*27/O112)</f>
        <v>4.86096256684492</v>
      </c>
      <c r="Z112" s="18" t="n">
        <f aca="false">IF(P112=0,0,(V112+R112)/P112)</f>
        <v>1.10695187165775</v>
      </c>
      <c r="AA112" s="18" t="n">
        <f aca="false">IF(O112=0,0,W112*27/O112)</f>
        <v>9.4331550802139</v>
      </c>
      <c r="AB112" s="18" t="n">
        <f aca="false">IF(O112=0,0,V112*27/O112)</f>
        <v>2.31016042780749</v>
      </c>
      <c r="AC112" s="18" t="n">
        <f aca="false">IF(V112=0,0,W112/V112)</f>
        <v>4.08333333333333</v>
      </c>
      <c r="AD112" s="18" t="n">
        <f aca="false">IF(P112=0,0,(13*U112+3*(V112+X112)-2*W112)/P112+INDEX(球季參數!$C$2:$C$4,MATCH($A112,球季參數!$A$2:$A$4,0)))</f>
        <v>3.81449197860963</v>
      </c>
      <c r="AE112" s="11" t="n">
        <f aca="false">IF(P112&gt;=INDEX(球季參數!$F$2:$F$4,MATCH($A112,球季參數!$A$2:$A$4,0)),1,0)</f>
        <v>1</v>
      </c>
    </row>
    <row r="113" customFormat="false" ht="15" hidden="false" customHeight="false" outlineLevel="0" collapsed="false">
      <c r="A113" s="5" t="n">
        <v>2024</v>
      </c>
      <c r="B113" s="7" t="s">
        <v>939</v>
      </c>
      <c r="C113" s="10" t="str">
        <f aca="false">INDEX(球員主檔!$B$2:$B$749,MATCH($B113,球員主檔!$A$2:$A$749,0))</f>
        <v>Everett Eberhardt</v>
      </c>
      <c r="D113" s="7" t="s">
        <v>388</v>
      </c>
      <c r="E113" s="10" t="str">
        <f aca="false">INDEX(球隊主檔!$C$2:$C$31,MATCH($D113,球隊主檔!$A$2:$A$31,0))</f>
        <v>休士頓太空人</v>
      </c>
      <c r="F113" s="10" t="str">
        <f aca="false">INDEX(球隊主檔!$D$2:$D$31,MATCH($D113,球隊主檔!$A$2:$A$31,0))</f>
        <v>美聯</v>
      </c>
      <c r="G113" s="7" t="s">
        <v>496</v>
      </c>
      <c r="H113" s="11" t="n">
        <f aca="false">INT((DATE($A113,7,1)-INDEX(球員主檔!$G$2:$G$749,MATCH($B113,球員主檔!$A$2:$A$749,0)))/365.25)</f>
        <v>29</v>
      </c>
      <c r="I113" s="12" t="n">
        <v>9</v>
      </c>
      <c r="J113" s="12" t="n">
        <v>8</v>
      </c>
      <c r="K113" s="12" t="n">
        <v>0</v>
      </c>
      <c r="L113" s="12" t="n">
        <v>0</v>
      </c>
      <c r="M113" s="12" t="n">
        <v>25</v>
      </c>
      <c r="N113" s="12" t="n">
        <v>25</v>
      </c>
      <c r="O113" s="12" t="n">
        <v>471</v>
      </c>
      <c r="P113" s="16" t="n">
        <f aca="false">O113/3</f>
        <v>157</v>
      </c>
      <c r="Q113" s="17" t="str">
        <f aca="false">INT(O113/3)&amp;"."&amp;MOD(O113,3)</f>
        <v>157.0</v>
      </c>
      <c r="R113" s="12" t="n">
        <v>136</v>
      </c>
      <c r="S113" s="12" t="n">
        <v>99</v>
      </c>
      <c r="T113" s="12" t="n">
        <v>87</v>
      </c>
      <c r="U113" s="12" t="n">
        <v>8</v>
      </c>
      <c r="V113" s="12" t="n">
        <v>44</v>
      </c>
      <c r="W113" s="12" t="n">
        <v>133</v>
      </c>
      <c r="X113" s="12" t="n">
        <v>8</v>
      </c>
      <c r="Y113" s="18" t="n">
        <f aca="false">IF(O113=0,0,T113*27/O113)</f>
        <v>4.98726114649682</v>
      </c>
      <c r="Z113" s="18" t="n">
        <f aca="false">IF(P113=0,0,(V113+R113)/P113)</f>
        <v>1.14649681528662</v>
      </c>
      <c r="AA113" s="18" t="n">
        <f aca="false">IF(O113=0,0,W113*27/O113)</f>
        <v>7.62420382165605</v>
      </c>
      <c r="AB113" s="18" t="n">
        <f aca="false">IF(O113=0,0,V113*27/O113)</f>
        <v>2.52229299363057</v>
      </c>
      <c r="AC113" s="18" t="n">
        <f aca="false">IF(V113=0,0,W113/V113)</f>
        <v>3.02272727272727</v>
      </c>
      <c r="AD113" s="18" t="n">
        <f aca="false">IF(P113=0,0,(13*U113+3*(V113+X113)-2*W113)/P113+INDEX(球季參數!$C$2:$C$4,MATCH($A113,球季參數!$A$2:$A$4,0)))</f>
        <v>3.09178343949045</v>
      </c>
      <c r="AE113" s="11" t="n">
        <f aca="false">IF(P113&gt;=INDEX(球季參數!$F$2:$F$4,MATCH($A113,球季參數!$A$2:$A$4,0)),1,0)</f>
        <v>0</v>
      </c>
    </row>
    <row r="114" customFormat="false" ht="15" hidden="false" customHeight="false" outlineLevel="0" collapsed="false">
      <c r="A114" s="5" t="n">
        <v>2024</v>
      </c>
      <c r="B114" s="7" t="s">
        <v>941</v>
      </c>
      <c r="C114" s="10" t="str">
        <f aca="false">INDEX(球員主檔!$B$2:$B$749,MATCH($B114,球員主檔!$A$2:$A$749,0))</f>
        <v>Tobias Kowalczyk</v>
      </c>
      <c r="D114" s="7" t="s">
        <v>388</v>
      </c>
      <c r="E114" s="10" t="str">
        <f aca="false">INDEX(球隊主檔!$C$2:$C$31,MATCH($D114,球隊主檔!$A$2:$A$31,0))</f>
        <v>休士頓太空人</v>
      </c>
      <c r="F114" s="10" t="str">
        <f aca="false">INDEX(球隊主檔!$D$2:$D$31,MATCH($D114,球隊主檔!$A$2:$A$31,0))</f>
        <v>美聯</v>
      </c>
      <c r="G114" s="7" t="s">
        <v>496</v>
      </c>
      <c r="H114" s="11" t="n">
        <f aca="false">INT((DATE($A114,7,1)-INDEX(球員主檔!$G$2:$G$749,MATCH($B114,球員主檔!$A$2:$A$749,0)))/365.25)</f>
        <v>26</v>
      </c>
      <c r="I114" s="12" t="n">
        <v>10</v>
      </c>
      <c r="J114" s="12" t="n">
        <v>6</v>
      </c>
      <c r="K114" s="12" t="n">
        <v>0</v>
      </c>
      <c r="L114" s="12" t="n">
        <v>0</v>
      </c>
      <c r="M114" s="12" t="n">
        <v>27</v>
      </c>
      <c r="N114" s="12" t="n">
        <v>27</v>
      </c>
      <c r="O114" s="12" t="n">
        <v>491</v>
      </c>
      <c r="P114" s="16" t="n">
        <f aca="false">O114/3</f>
        <v>163.666666666667</v>
      </c>
      <c r="Q114" s="17" t="str">
        <f aca="false">INT(O114/3)&amp;"."&amp;MOD(O114,3)</f>
        <v>163.2</v>
      </c>
      <c r="R114" s="12" t="n">
        <v>145</v>
      </c>
      <c r="S114" s="12" t="n">
        <v>75</v>
      </c>
      <c r="T114" s="12" t="n">
        <v>72</v>
      </c>
      <c r="U114" s="12" t="n">
        <v>17</v>
      </c>
      <c r="V114" s="12" t="n">
        <v>56</v>
      </c>
      <c r="W114" s="12" t="n">
        <v>199</v>
      </c>
      <c r="X114" s="12" t="n">
        <v>4</v>
      </c>
      <c r="Y114" s="18" t="n">
        <f aca="false">IF(O114=0,0,T114*27/O114)</f>
        <v>3.95926680244399</v>
      </c>
      <c r="Z114" s="18" t="n">
        <f aca="false">IF(P114=0,0,(V114+R114)/P114)</f>
        <v>1.22810590631365</v>
      </c>
      <c r="AA114" s="18" t="n">
        <f aca="false">IF(O114=0,0,W114*27/O114)</f>
        <v>10.9429735234216</v>
      </c>
      <c r="AB114" s="18" t="n">
        <f aca="false">IF(O114=0,0,V114*27/O114)</f>
        <v>3.07942973523422</v>
      </c>
      <c r="AC114" s="18" t="n">
        <f aca="false">IF(V114=0,0,W114/V114)</f>
        <v>3.55357142857143</v>
      </c>
      <c r="AD114" s="18" t="n">
        <f aca="false">IF(P114=0,0,(13*U114+3*(V114+X114)-2*W114)/P114+INDEX(球季參數!$C$2:$C$4,MATCH($A114,球季參數!$A$2:$A$4,0)))</f>
        <v>3.1483299389002</v>
      </c>
      <c r="AE114" s="11" t="n">
        <f aca="false">IF(P114&gt;=INDEX(球季參數!$F$2:$F$4,MATCH($A114,球季參數!$A$2:$A$4,0)),1,0)</f>
        <v>1</v>
      </c>
    </row>
    <row r="115" customFormat="false" ht="15" hidden="false" customHeight="false" outlineLevel="0" collapsed="false">
      <c r="A115" s="5" t="n">
        <v>2024</v>
      </c>
      <c r="B115" s="7" t="s">
        <v>943</v>
      </c>
      <c r="C115" s="10" t="str">
        <f aca="false">INDEX(球員主檔!$B$2:$B$749,MATCH($B115,球員主檔!$A$2:$A$749,0))</f>
        <v>Haruto Lemieux</v>
      </c>
      <c r="D115" s="7" t="s">
        <v>388</v>
      </c>
      <c r="E115" s="10" t="str">
        <f aca="false">INDEX(球隊主檔!$C$2:$C$31,MATCH($D115,球隊主檔!$A$2:$A$31,0))</f>
        <v>休士頓太空人</v>
      </c>
      <c r="F115" s="10" t="str">
        <f aca="false">INDEX(球隊主檔!$D$2:$D$31,MATCH($D115,球隊主檔!$A$2:$A$31,0))</f>
        <v>美聯</v>
      </c>
      <c r="G115" s="7" t="s">
        <v>496</v>
      </c>
      <c r="H115" s="11" t="n">
        <f aca="false">INT((DATE($A115,7,1)-INDEX(球員主檔!$G$2:$G$749,MATCH($B115,球員主檔!$A$2:$A$749,0)))/365.25)</f>
        <v>24</v>
      </c>
      <c r="I115" s="12" t="n">
        <v>14</v>
      </c>
      <c r="J115" s="12" t="n">
        <v>6</v>
      </c>
      <c r="K115" s="12" t="n">
        <v>0</v>
      </c>
      <c r="L115" s="12" t="n">
        <v>0</v>
      </c>
      <c r="M115" s="12" t="n">
        <v>31</v>
      </c>
      <c r="N115" s="12" t="n">
        <v>31</v>
      </c>
      <c r="O115" s="12" t="n">
        <v>499</v>
      </c>
      <c r="P115" s="16" t="n">
        <f aca="false">O115/3</f>
        <v>166.333333333333</v>
      </c>
      <c r="Q115" s="17" t="str">
        <f aca="false">INT(O115/3)&amp;"."&amp;MOD(O115,3)</f>
        <v>166.1</v>
      </c>
      <c r="R115" s="12" t="n">
        <v>137</v>
      </c>
      <c r="S115" s="12" t="n">
        <v>62</v>
      </c>
      <c r="T115" s="12" t="n">
        <v>62</v>
      </c>
      <c r="U115" s="12" t="n">
        <v>21</v>
      </c>
      <c r="V115" s="12" t="n">
        <v>80</v>
      </c>
      <c r="W115" s="12" t="n">
        <v>164</v>
      </c>
      <c r="X115" s="12" t="n">
        <v>5</v>
      </c>
      <c r="Y115" s="18" t="n">
        <f aca="false">IF(O115=0,0,T115*27/O115)</f>
        <v>3.35470941883768</v>
      </c>
      <c r="Z115" s="18" t="n">
        <f aca="false">IF(P115=0,0,(V115+R115)/P115)</f>
        <v>1.30460921843687</v>
      </c>
      <c r="AA115" s="18" t="n">
        <f aca="false">IF(O115=0,0,W115*27/O115)</f>
        <v>8.87374749498998</v>
      </c>
      <c r="AB115" s="18" t="n">
        <f aca="false">IF(O115=0,0,V115*27/O115)</f>
        <v>4.32865731462926</v>
      </c>
      <c r="AC115" s="18" t="n">
        <f aca="false">IF(V115=0,0,W115/V115)</f>
        <v>2.05</v>
      </c>
      <c r="AD115" s="18" t="n">
        <f aca="false">IF(P115=0,0,(13*U115+3*(V115+X115)-2*W115)/P115+INDEX(球季參數!$C$2:$C$4,MATCH($A115,球季參數!$A$2:$A$4,0)))</f>
        <v>4.33240480961924</v>
      </c>
      <c r="AE115" s="11" t="n">
        <f aca="false">IF(P115&gt;=INDEX(球季參數!$F$2:$F$4,MATCH($A115,球季參數!$A$2:$A$4,0)),1,0)</f>
        <v>1</v>
      </c>
    </row>
    <row r="116" customFormat="false" ht="15" hidden="false" customHeight="false" outlineLevel="0" collapsed="false">
      <c r="A116" s="5" t="n">
        <v>2024</v>
      </c>
      <c r="B116" s="7" t="s">
        <v>945</v>
      </c>
      <c r="C116" s="10" t="str">
        <f aca="false">INDEX(球員主檔!$B$2:$B$749,MATCH($B116,球員主檔!$A$2:$A$749,0))</f>
        <v>Leandro Marchetti</v>
      </c>
      <c r="D116" s="7" t="s">
        <v>388</v>
      </c>
      <c r="E116" s="10" t="str">
        <f aca="false">INDEX(球隊主檔!$C$2:$C$31,MATCH($D116,球隊主檔!$A$2:$A$31,0))</f>
        <v>休士頓太空人</v>
      </c>
      <c r="F116" s="10" t="str">
        <f aca="false">INDEX(球隊主檔!$D$2:$D$31,MATCH($D116,球隊主檔!$A$2:$A$31,0))</f>
        <v>美聯</v>
      </c>
      <c r="G116" s="7" t="s">
        <v>496</v>
      </c>
      <c r="H116" s="11" t="n">
        <f aca="false">INT((DATE($A116,7,1)-INDEX(球員主檔!$G$2:$G$749,MATCH($B116,球員主檔!$A$2:$A$749,0)))/365.25)</f>
        <v>26</v>
      </c>
      <c r="I116" s="12" t="n">
        <v>7</v>
      </c>
      <c r="J116" s="12" t="n">
        <v>7</v>
      </c>
      <c r="K116" s="12" t="n">
        <v>0</v>
      </c>
      <c r="L116" s="12" t="n">
        <v>0</v>
      </c>
      <c r="M116" s="12" t="n">
        <v>22</v>
      </c>
      <c r="N116" s="12" t="n">
        <v>22</v>
      </c>
      <c r="O116" s="12" t="n">
        <v>387</v>
      </c>
      <c r="P116" s="16" t="n">
        <f aca="false">O116/3</f>
        <v>129</v>
      </c>
      <c r="Q116" s="17" t="str">
        <f aca="false">INT(O116/3)&amp;"."&amp;MOD(O116,3)</f>
        <v>129.0</v>
      </c>
      <c r="R116" s="12" t="n">
        <v>108</v>
      </c>
      <c r="S116" s="12" t="n">
        <v>73</v>
      </c>
      <c r="T116" s="12" t="n">
        <v>65</v>
      </c>
      <c r="U116" s="12" t="n">
        <v>11</v>
      </c>
      <c r="V116" s="12" t="n">
        <v>53</v>
      </c>
      <c r="W116" s="12" t="n">
        <v>144</v>
      </c>
      <c r="X116" s="12" t="n">
        <v>2</v>
      </c>
      <c r="Y116" s="18" t="n">
        <f aca="false">IF(O116=0,0,T116*27/O116)</f>
        <v>4.53488372093023</v>
      </c>
      <c r="Z116" s="18" t="n">
        <f aca="false">IF(P116=0,0,(V116+R116)/P116)</f>
        <v>1.24806201550388</v>
      </c>
      <c r="AA116" s="18" t="n">
        <f aca="false">IF(O116=0,0,W116*27/O116)</f>
        <v>10.046511627907</v>
      </c>
      <c r="AB116" s="18" t="n">
        <f aca="false">IF(O116=0,0,V116*27/O116)</f>
        <v>3.69767441860465</v>
      </c>
      <c r="AC116" s="18" t="n">
        <f aca="false">IF(V116=0,0,W116/V116)</f>
        <v>2.71698113207547</v>
      </c>
      <c r="AD116" s="18" t="n">
        <f aca="false">IF(P116=0,0,(13*U116+3*(V116+X116)-2*W116)/P116+INDEX(球季參數!$C$2:$C$4,MATCH($A116,球季參數!$A$2:$A$4,0)))</f>
        <v>3.28503875968992</v>
      </c>
      <c r="AE116" s="11" t="n">
        <f aca="false">IF(P116&gt;=INDEX(球季參數!$F$2:$F$4,MATCH($A116,球季參數!$A$2:$A$4,0)),1,0)</f>
        <v>0</v>
      </c>
    </row>
    <row r="117" customFormat="false" ht="15" hidden="false" customHeight="false" outlineLevel="0" collapsed="false">
      <c r="A117" s="5" t="n">
        <v>2024</v>
      </c>
      <c r="B117" s="7" t="s">
        <v>947</v>
      </c>
      <c r="C117" s="10" t="str">
        <f aca="false">INDEX(球員主檔!$B$2:$B$749,MATCH($B117,球員主檔!$A$2:$A$749,0))</f>
        <v>Konrad Alcorn</v>
      </c>
      <c r="D117" s="7" t="s">
        <v>388</v>
      </c>
      <c r="E117" s="10" t="str">
        <f aca="false">INDEX(球隊主檔!$C$2:$C$31,MATCH($D117,球隊主檔!$A$2:$A$31,0))</f>
        <v>休士頓太空人</v>
      </c>
      <c r="F117" s="10" t="str">
        <f aca="false">INDEX(球隊主檔!$D$2:$D$31,MATCH($D117,球隊主檔!$A$2:$A$31,0))</f>
        <v>美聯</v>
      </c>
      <c r="G117" s="7" t="s">
        <v>507</v>
      </c>
      <c r="H117" s="11" t="n">
        <f aca="false">INT((DATE($A117,7,1)-INDEX(球員主檔!$G$2:$G$749,MATCH($B117,球員主檔!$A$2:$A$749,0)))/365.25)</f>
        <v>34</v>
      </c>
      <c r="I117" s="12" t="n">
        <v>1</v>
      </c>
      <c r="J117" s="12" t="n">
        <v>3</v>
      </c>
      <c r="K117" s="12" t="n">
        <v>4</v>
      </c>
      <c r="L117" s="12" t="n">
        <v>33</v>
      </c>
      <c r="M117" s="12" t="n">
        <v>52</v>
      </c>
      <c r="N117" s="12" t="n">
        <v>0</v>
      </c>
      <c r="O117" s="12" t="n">
        <v>144</v>
      </c>
      <c r="P117" s="16" t="n">
        <f aca="false">O117/3</f>
        <v>48</v>
      </c>
      <c r="Q117" s="17" t="str">
        <f aca="false">INT(O117/3)&amp;"."&amp;MOD(O117,3)</f>
        <v>48.0</v>
      </c>
      <c r="R117" s="12" t="n">
        <v>43</v>
      </c>
      <c r="S117" s="12" t="n">
        <v>27</v>
      </c>
      <c r="T117" s="12" t="n">
        <v>25</v>
      </c>
      <c r="U117" s="12" t="n">
        <v>7</v>
      </c>
      <c r="V117" s="12" t="n">
        <v>16</v>
      </c>
      <c r="W117" s="12" t="n">
        <v>45</v>
      </c>
      <c r="X117" s="12" t="n">
        <v>1</v>
      </c>
      <c r="Y117" s="18" t="n">
        <f aca="false">IF(O117=0,0,T117*27/O117)</f>
        <v>4.6875</v>
      </c>
      <c r="Z117" s="18" t="n">
        <f aca="false">IF(P117=0,0,(V117+R117)/P117)</f>
        <v>1.22916666666667</v>
      </c>
      <c r="AA117" s="18" t="n">
        <f aca="false">IF(O117=0,0,W117*27/O117)</f>
        <v>8.4375</v>
      </c>
      <c r="AB117" s="18" t="n">
        <f aca="false">IF(O117=0,0,V117*27/O117)</f>
        <v>3</v>
      </c>
      <c r="AC117" s="18" t="n">
        <f aca="false">IF(V117=0,0,W117/V117)</f>
        <v>2.8125</v>
      </c>
      <c r="AD117" s="18" t="n">
        <f aca="false">IF(P117=0,0,(13*U117+3*(V117+X117)-2*W117)/P117+INDEX(球季參數!$C$2:$C$4,MATCH($A117,球季參數!$A$2:$A$4,0)))</f>
        <v>4.21333333333333</v>
      </c>
      <c r="AE117" s="11" t="n">
        <f aca="false">IF(P117&gt;=INDEX(球季參數!$F$2:$F$4,MATCH($A117,球季參數!$A$2:$A$4,0)),1,0)</f>
        <v>0</v>
      </c>
    </row>
    <row r="118" customFormat="false" ht="15" hidden="false" customHeight="false" outlineLevel="0" collapsed="false">
      <c r="A118" s="5" t="n">
        <v>2024</v>
      </c>
      <c r="B118" s="7" t="s">
        <v>949</v>
      </c>
      <c r="C118" s="10" t="str">
        <f aca="false">INDEX(球員主檔!$B$2:$B$749,MATCH($B118,球員主檔!$A$2:$A$749,0))</f>
        <v>Cassius Haverford</v>
      </c>
      <c r="D118" s="7" t="s">
        <v>388</v>
      </c>
      <c r="E118" s="10" t="str">
        <f aca="false">INDEX(球隊主檔!$C$2:$C$31,MATCH($D118,球隊主檔!$A$2:$A$31,0))</f>
        <v>休士頓太空人</v>
      </c>
      <c r="F118" s="10" t="str">
        <f aca="false">INDEX(球隊主檔!$D$2:$D$31,MATCH($D118,球隊主檔!$A$2:$A$31,0))</f>
        <v>美聯</v>
      </c>
      <c r="G118" s="7" t="s">
        <v>507</v>
      </c>
      <c r="H118" s="11" t="n">
        <f aca="false">INT((DATE($A118,7,1)-INDEX(球員主檔!$G$2:$G$749,MATCH($B118,球員主檔!$A$2:$A$749,0)))/365.25)</f>
        <v>32</v>
      </c>
      <c r="I118" s="12" t="n">
        <v>2</v>
      </c>
      <c r="J118" s="12" t="n">
        <v>4</v>
      </c>
      <c r="K118" s="12" t="n">
        <v>2</v>
      </c>
      <c r="L118" s="12" t="n">
        <v>22</v>
      </c>
      <c r="M118" s="12" t="n">
        <v>53</v>
      </c>
      <c r="N118" s="12" t="n">
        <v>0</v>
      </c>
      <c r="O118" s="12" t="n">
        <v>167</v>
      </c>
      <c r="P118" s="16" t="n">
        <f aca="false">O118/3</f>
        <v>55.6666666666667</v>
      </c>
      <c r="Q118" s="17" t="str">
        <f aca="false">INT(O118/3)&amp;"."&amp;MOD(O118,3)</f>
        <v>55.2</v>
      </c>
      <c r="R118" s="12" t="n">
        <v>50</v>
      </c>
      <c r="S118" s="12" t="n">
        <v>28</v>
      </c>
      <c r="T118" s="12" t="n">
        <v>27</v>
      </c>
      <c r="U118" s="12" t="n">
        <v>10</v>
      </c>
      <c r="V118" s="12" t="n">
        <v>9</v>
      </c>
      <c r="W118" s="12" t="n">
        <v>61</v>
      </c>
      <c r="X118" s="12" t="n">
        <v>3</v>
      </c>
      <c r="Y118" s="18" t="n">
        <f aca="false">IF(O118=0,0,T118*27/O118)</f>
        <v>4.36526946107784</v>
      </c>
      <c r="Z118" s="18" t="n">
        <f aca="false">IF(P118=0,0,(V118+R118)/P118)</f>
        <v>1.05988023952096</v>
      </c>
      <c r="AA118" s="18" t="n">
        <f aca="false">IF(O118=0,0,W118*27/O118)</f>
        <v>9.8622754491018</v>
      </c>
      <c r="AB118" s="18" t="n">
        <f aca="false">IF(O118=0,0,V118*27/O118)</f>
        <v>1.45508982035928</v>
      </c>
      <c r="AC118" s="18" t="n">
        <f aca="false">IF(V118=0,0,W118/V118)</f>
        <v>6.77777777777778</v>
      </c>
      <c r="AD118" s="18" t="n">
        <f aca="false">IF(P118=0,0,(13*U118+3*(V118+X118)-2*W118)/P118+INDEX(球季參數!$C$2:$C$4,MATCH($A118,球季參數!$A$2:$A$4,0)))</f>
        <v>3.92041916167665</v>
      </c>
      <c r="AE118" s="11" t="n">
        <f aca="false">IF(P118&gt;=INDEX(球季參數!$F$2:$F$4,MATCH($A118,球季參數!$A$2:$A$4,0)),1,0)</f>
        <v>0</v>
      </c>
    </row>
    <row r="119" customFormat="false" ht="15" hidden="false" customHeight="false" outlineLevel="0" collapsed="false">
      <c r="A119" s="5" t="n">
        <v>2024</v>
      </c>
      <c r="B119" s="7" t="s">
        <v>951</v>
      </c>
      <c r="C119" s="10" t="str">
        <f aca="false">INDEX(球員主檔!$B$2:$B$749,MATCH($B119,球員主檔!$A$2:$A$749,0))</f>
        <v>Everett Yoshinaga</v>
      </c>
      <c r="D119" s="7" t="s">
        <v>388</v>
      </c>
      <c r="E119" s="10" t="str">
        <f aca="false">INDEX(球隊主檔!$C$2:$C$31,MATCH($D119,球隊主檔!$A$2:$A$31,0))</f>
        <v>休士頓太空人</v>
      </c>
      <c r="F119" s="10" t="str">
        <f aca="false">INDEX(球隊主檔!$D$2:$D$31,MATCH($D119,球隊主檔!$A$2:$A$31,0))</f>
        <v>美聯</v>
      </c>
      <c r="G119" s="7" t="s">
        <v>507</v>
      </c>
      <c r="H119" s="11" t="n">
        <f aca="false">INT((DATE($A119,7,1)-INDEX(球員主檔!$G$2:$G$749,MATCH($B119,球員主檔!$A$2:$A$749,0)))/365.25)</f>
        <v>28</v>
      </c>
      <c r="I119" s="12" t="n">
        <v>3</v>
      </c>
      <c r="J119" s="12" t="n">
        <v>0</v>
      </c>
      <c r="K119" s="12" t="n">
        <v>4</v>
      </c>
      <c r="L119" s="12" t="n">
        <v>6</v>
      </c>
      <c r="M119" s="12" t="n">
        <v>59</v>
      </c>
      <c r="N119" s="12" t="n">
        <v>0</v>
      </c>
      <c r="O119" s="12" t="n">
        <v>199</v>
      </c>
      <c r="P119" s="16" t="n">
        <f aca="false">O119/3</f>
        <v>66.3333333333333</v>
      </c>
      <c r="Q119" s="17" t="str">
        <f aca="false">INT(O119/3)&amp;"."&amp;MOD(O119,3)</f>
        <v>66.1</v>
      </c>
      <c r="R119" s="12" t="n">
        <v>55</v>
      </c>
      <c r="S119" s="12" t="n">
        <v>33</v>
      </c>
      <c r="T119" s="12" t="n">
        <v>30</v>
      </c>
      <c r="U119" s="12" t="n">
        <v>10</v>
      </c>
      <c r="V119" s="12" t="n">
        <v>22</v>
      </c>
      <c r="W119" s="12" t="n">
        <v>91</v>
      </c>
      <c r="X119" s="12" t="n">
        <v>1</v>
      </c>
      <c r="Y119" s="18" t="n">
        <f aca="false">IF(O119=0,0,T119*27/O119)</f>
        <v>4.07035175879397</v>
      </c>
      <c r="Z119" s="18" t="n">
        <f aca="false">IF(P119=0,0,(V119+R119)/P119)</f>
        <v>1.1608040201005</v>
      </c>
      <c r="AA119" s="18" t="n">
        <f aca="false">IF(O119=0,0,W119*27/O119)</f>
        <v>12.3467336683417</v>
      </c>
      <c r="AB119" s="18" t="n">
        <f aca="false">IF(O119=0,0,V119*27/O119)</f>
        <v>2.98492462311558</v>
      </c>
      <c r="AC119" s="18" t="n">
        <f aca="false">IF(V119=0,0,W119/V119)</f>
        <v>4.13636363636364</v>
      </c>
      <c r="AD119" s="18" t="n">
        <f aca="false">IF(P119=0,0,(13*U119+3*(V119+X119)-2*W119)/P119+INDEX(球季參數!$C$2:$C$4,MATCH($A119,球季參數!$A$2:$A$4,0)))</f>
        <v>3.38628140703518</v>
      </c>
      <c r="AE119" s="11" t="n">
        <f aca="false">IF(P119&gt;=INDEX(球季參數!$F$2:$F$4,MATCH($A119,球季參數!$A$2:$A$4,0)),1,0)</f>
        <v>0</v>
      </c>
    </row>
    <row r="120" customFormat="false" ht="15" hidden="false" customHeight="false" outlineLevel="0" collapsed="false">
      <c r="A120" s="5" t="n">
        <v>2024</v>
      </c>
      <c r="B120" s="7" t="s">
        <v>953</v>
      </c>
      <c r="C120" s="10" t="str">
        <f aca="false">INDEX(球員主檔!$B$2:$B$749,MATCH($B120,球員主檔!$A$2:$A$749,0))</f>
        <v>Dashiell Castellón</v>
      </c>
      <c r="D120" s="7" t="s">
        <v>388</v>
      </c>
      <c r="E120" s="10" t="str">
        <f aca="false">INDEX(球隊主檔!$C$2:$C$31,MATCH($D120,球隊主檔!$A$2:$A$31,0))</f>
        <v>休士頓太空人</v>
      </c>
      <c r="F120" s="10" t="str">
        <f aca="false">INDEX(球隊主檔!$D$2:$D$31,MATCH($D120,球隊主檔!$A$2:$A$31,0))</f>
        <v>美聯</v>
      </c>
      <c r="G120" s="7" t="s">
        <v>507</v>
      </c>
      <c r="H120" s="11" t="n">
        <f aca="false">INT((DATE($A120,7,1)-INDEX(球員主檔!$G$2:$G$749,MATCH($B120,球員主檔!$A$2:$A$749,0)))/365.25)</f>
        <v>34</v>
      </c>
      <c r="I120" s="12" t="n">
        <v>8</v>
      </c>
      <c r="J120" s="12" t="n">
        <v>6</v>
      </c>
      <c r="K120" s="12" t="n">
        <v>0</v>
      </c>
      <c r="L120" s="12" t="n">
        <v>34</v>
      </c>
      <c r="M120" s="12" t="n">
        <v>70</v>
      </c>
      <c r="N120" s="12" t="n">
        <v>0</v>
      </c>
      <c r="O120" s="12" t="n">
        <v>187</v>
      </c>
      <c r="P120" s="16" t="n">
        <f aca="false">O120/3</f>
        <v>62.3333333333333</v>
      </c>
      <c r="Q120" s="17" t="str">
        <f aca="false">INT(O120/3)&amp;"."&amp;MOD(O120,3)</f>
        <v>62.1</v>
      </c>
      <c r="R120" s="12" t="n">
        <v>51</v>
      </c>
      <c r="S120" s="12" t="n">
        <v>29</v>
      </c>
      <c r="T120" s="12" t="n">
        <v>28</v>
      </c>
      <c r="U120" s="12" t="n">
        <v>8</v>
      </c>
      <c r="V120" s="12" t="n">
        <v>9</v>
      </c>
      <c r="W120" s="12" t="n">
        <v>63</v>
      </c>
      <c r="X120" s="12" t="n">
        <v>3</v>
      </c>
      <c r="Y120" s="18" t="n">
        <f aca="false">IF(O120=0,0,T120*27/O120)</f>
        <v>4.0427807486631</v>
      </c>
      <c r="Z120" s="18" t="n">
        <f aca="false">IF(P120=0,0,(V120+R120)/P120)</f>
        <v>0.962566844919786</v>
      </c>
      <c r="AA120" s="18" t="n">
        <f aca="false">IF(O120=0,0,W120*27/O120)</f>
        <v>9.09625668449198</v>
      </c>
      <c r="AB120" s="18" t="n">
        <f aca="false">IF(O120=0,0,V120*27/O120)</f>
        <v>1.29946524064171</v>
      </c>
      <c r="AC120" s="18" t="n">
        <f aca="false">IF(V120=0,0,W120/V120)</f>
        <v>7</v>
      </c>
      <c r="AD120" s="18" t="n">
        <f aca="false">IF(P120=0,0,(13*U120+3*(V120+X120)-2*W120)/P120+INDEX(球季參數!$C$2:$C$4,MATCH($A120,球季參數!$A$2:$A$4,0)))</f>
        <v>3.35459893048128</v>
      </c>
      <c r="AE120" s="11" t="n">
        <f aca="false">IF(P120&gt;=INDEX(球季參數!$F$2:$F$4,MATCH($A120,球季參數!$A$2:$A$4,0)),1,0)</f>
        <v>0</v>
      </c>
    </row>
    <row r="121" customFormat="false" ht="15" hidden="false" customHeight="false" outlineLevel="0" collapsed="false">
      <c r="A121" s="5" t="n">
        <v>2024</v>
      </c>
      <c r="B121" s="7" t="s">
        <v>955</v>
      </c>
      <c r="C121" s="10" t="str">
        <f aca="false">INDEX(球員主檔!$B$2:$B$749,MATCH($B121,球員主檔!$A$2:$A$749,0))</f>
        <v>Jedidiah Arceneaux</v>
      </c>
      <c r="D121" s="7" t="s">
        <v>388</v>
      </c>
      <c r="E121" s="10" t="str">
        <f aca="false">INDEX(球隊主檔!$C$2:$C$31,MATCH($D121,球隊主檔!$A$2:$A$31,0))</f>
        <v>休士頓太空人</v>
      </c>
      <c r="F121" s="10" t="str">
        <f aca="false">INDEX(球隊主檔!$D$2:$D$31,MATCH($D121,球隊主檔!$A$2:$A$31,0))</f>
        <v>美聯</v>
      </c>
      <c r="G121" s="7" t="s">
        <v>507</v>
      </c>
      <c r="H121" s="11" t="n">
        <f aca="false">INT((DATE($A121,7,1)-INDEX(球員主檔!$G$2:$G$749,MATCH($B121,球員主檔!$A$2:$A$749,0)))/365.25)</f>
        <v>23</v>
      </c>
      <c r="I121" s="12" t="n">
        <v>0</v>
      </c>
      <c r="J121" s="12" t="n">
        <v>6</v>
      </c>
      <c r="K121" s="12" t="n">
        <v>4</v>
      </c>
      <c r="L121" s="12" t="n">
        <v>22</v>
      </c>
      <c r="M121" s="12" t="n">
        <v>53</v>
      </c>
      <c r="N121" s="12" t="n">
        <v>0</v>
      </c>
      <c r="O121" s="12" t="n">
        <v>156</v>
      </c>
      <c r="P121" s="16" t="n">
        <f aca="false">O121/3</f>
        <v>52</v>
      </c>
      <c r="Q121" s="17" t="str">
        <f aca="false">INT(O121/3)&amp;"."&amp;MOD(O121,3)</f>
        <v>52.0</v>
      </c>
      <c r="R121" s="12" t="n">
        <v>42</v>
      </c>
      <c r="S121" s="12" t="n">
        <v>20</v>
      </c>
      <c r="T121" s="12" t="n">
        <v>20</v>
      </c>
      <c r="U121" s="12" t="n">
        <v>9</v>
      </c>
      <c r="V121" s="12" t="n">
        <v>21</v>
      </c>
      <c r="W121" s="12" t="n">
        <v>51</v>
      </c>
      <c r="X121" s="12" t="n">
        <v>1</v>
      </c>
      <c r="Y121" s="18" t="n">
        <f aca="false">IF(O121=0,0,T121*27/O121)</f>
        <v>3.46153846153846</v>
      </c>
      <c r="Z121" s="18" t="n">
        <f aca="false">IF(P121=0,0,(V121+R121)/P121)</f>
        <v>1.21153846153846</v>
      </c>
      <c r="AA121" s="18" t="n">
        <f aca="false">IF(O121=0,0,W121*27/O121)</f>
        <v>8.82692307692308</v>
      </c>
      <c r="AB121" s="18" t="n">
        <f aca="false">IF(O121=0,0,V121*27/O121)</f>
        <v>3.63461538461538</v>
      </c>
      <c r="AC121" s="18" t="n">
        <f aca="false">IF(V121=0,0,W121/V121)</f>
        <v>2.42857142857143</v>
      </c>
      <c r="AD121" s="18" t="n">
        <f aca="false">IF(P121=0,0,(13*U121+3*(V121+X121)-2*W121)/P121+INDEX(球季參數!$C$2:$C$4,MATCH($A121,球季參數!$A$2:$A$4,0)))</f>
        <v>4.68769230769231</v>
      </c>
      <c r="AE121" s="11" t="n">
        <f aca="false">IF(P121&gt;=INDEX(球季參數!$F$2:$F$4,MATCH($A121,球季參數!$A$2:$A$4,0)),1,0)</f>
        <v>0</v>
      </c>
    </row>
    <row r="122" customFormat="false" ht="15" hidden="false" customHeight="false" outlineLevel="0" collapsed="false">
      <c r="A122" s="5" t="n">
        <v>2024</v>
      </c>
      <c r="B122" s="7" t="s">
        <v>977</v>
      </c>
      <c r="C122" s="10" t="str">
        <f aca="false">INDEX(球員主檔!$B$2:$B$749,MATCH($B122,球員主檔!$A$2:$A$749,0))</f>
        <v>Cassius Ravenscroft</v>
      </c>
      <c r="D122" s="7" t="s">
        <v>392</v>
      </c>
      <c r="E122" s="10" t="str">
        <f aca="false">INDEX(球隊主檔!$C$2:$C$31,MATCH($D122,球隊主檔!$A$2:$A$31,0))</f>
        <v>洛杉磯天使</v>
      </c>
      <c r="F122" s="10" t="str">
        <f aca="false">INDEX(球隊主檔!$D$2:$D$31,MATCH($D122,球隊主檔!$A$2:$A$31,0))</f>
        <v>美聯</v>
      </c>
      <c r="G122" s="7" t="s">
        <v>496</v>
      </c>
      <c r="H122" s="11" t="n">
        <f aca="false">INT((DATE($A122,7,1)-INDEX(球員主檔!$G$2:$G$749,MATCH($B122,球員主檔!$A$2:$A$749,0)))/365.25)</f>
        <v>28</v>
      </c>
      <c r="I122" s="12" t="n">
        <v>12</v>
      </c>
      <c r="J122" s="12" t="n">
        <v>7</v>
      </c>
      <c r="K122" s="12" t="n">
        <v>0</v>
      </c>
      <c r="L122" s="12" t="n">
        <v>0</v>
      </c>
      <c r="M122" s="12" t="n">
        <v>25</v>
      </c>
      <c r="N122" s="12" t="n">
        <v>25</v>
      </c>
      <c r="O122" s="12" t="n">
        <v>437</v>
      </c>
      <c r="P122" s="16" t="n">
        <f aca="false">O122/3</f>
        <v>145.666666666667</v>
      </c>
      <c r="Q122" s="17" t="str">
        <f aca="false">INT(O122/3)&amp;"."&amp;MOD(O122,3)</f>
        <v>145.2</v>
      </c>
      <c r="R122" s="12" t="n">
        <v>113</v>
      </c>
      <c r="S122" s="12" t="n">
        <v>57</v>
      </c>
      <c r="T122" s="12" t="n">
        <v>51</v>
      </c>
      <c r="U122" s="12" t="n">
        <v>23</v>
      </c>
      <c r="V122" s="12" t="n">
        <v>58</v>
      </c>
      <c r="W122" s="12" t="n">
        <v>163</v>
      </c>
      <c r="X122" s="12" t="n">
        <v>7</v>
      </c>
      <c r="Y122" s="18" t="n">
        <f aca="false">IF(O122=0,0,T122*27/O122)</f>
        <v>3.15102974828375</v>
      </c>
      <c r="Z122" s="18" t="n">
        <f aca="false">IF(P122=0,0,(V122+R122)/P122)</f>
        <v>1.17391304347826</v>
      </c>
      <c r="AA122" s="18" t="n">
        <f aca="false">IF(O122=0,0,W122*27/O122)</f>
        <v>10.070938215103</v>
      </c>
      <c r="AB122" s="18" t="n">
        <f aca="false">IF(O122=0,0,V122*27/O122)</f>
        <v>3.58352402745995</v>
      </c>
      <c r="AC122" s="18" t="n">
        <f aca="false">IF(V122=0,0,W122/V122)</f>
        <v>2.81034482758621</v>
      </c>
      <c r="AD122" s="18" t="n">
        <f aca="false">IF(P122=0,0,(13*U122+3*(V122+X122)-2*W122)/P122+INDEX(球季參數!$C$2:$C$4,MATCH($A122,球季參數!$A$2:$A$4,0)))</f>
        <v>4.2833180778032</v>
      </c>
      <c r="AE122" s="11" t="n">
        <f aca="false">IF(P122&gt;=INDEX(球季參數!$F$2:$F$4,MATCH($A122,球季參數!$A$2:$A$4,0)),1,0)</f>
        <v>0</v>
      </c>
    </row>
    <row r="123" customFormat="false" ht="15" hidden="false" customHeight="false" outlineLevel="0" collapsed="false">
      <c r="A123" s="5" t="n">
        <v>2024</v>
      </c>
      <c r="B123" s="7" t="s">
        <v>979</v>
      </c>
      <c r="C123" s="10" t="str">
        <f aca="false">INDEX(球員主檔!$B$2:$B$749,MATCH($B123,球員主檔!$A$2:$A$749,0))</f>
        <v>Joaquín Whitmore</v>
      </c>
      <c r="D123" s="7" t="s">
        <v>392</v>
      </c>
      <c r="E123" s="10" t="str">
        <f aca="false">INDEX(球隊主檔!$C$2:$C$31,MATCH($D123,球隊主檔!$A$2:$A$31,0))</f>
        <v>洛杉磯天使</v>
      </c>
      <c r="F123" s="10" t="str">
        <f aca="false">INDEX(球隊主檔!$D$2:$D$31,MATCH($D123,球隊主檔!$A$2:$A$31,0))</f>
        <v>美聯</v>
      </c>
      <c r="G123" s="7" t="s">
        <v>496</v>
      </c>
      <c r="H123" s="11" t="n">
        <f aca="false">INT((DATE($A123,7,1)-INDEX(球員主檔!$G$2:$G$749,MATCH($B123,球員主檔!$A$2:$A$749,0)))/365.25)</f>
        <v>25</v>
      </c>
      <c r="I123" s="12" t="n">
        <v>9</v>
      </c>
      <c r="J123" s="12" t="n">
        <v>6</v>
      </c>
      <c r="K123" s="12" t="n">
        <v>0</v>
      </c>
      <c r="L123" s="12" t="n">
        <v>0</v>
      </c>
      <c r="M123" s="12" t="n">
        <v>26</v>
      </c>
      <c r="N123" s="12" t="n">
        <v>26</v>
      </c>
      <c r="O123" s="12" t="n">
        <v>460</v>
      </c>
      <c r="P123" s="16" t="n">
        <f aca="false">O123/3</f>
        <v>153.333333333333</v>
      </c>
      <c r="Q123" s="17" t="str">
        <f aca="false">INT(O123/3)&amp;"."&amp;MOD(O123,3)</f>
        <v>153.1</v>
      </c>
      <c r="R123" s="12" t="n">
        <v>128</v>
      </c>
      <c r="S123" s="12" t="n">
        <v>68</v>
      </c>
      <c r="T123" s="12" t="n">
        <v>61</v>
      </c>
      <c r="U123" s="12" t="n">
        <v>12</v>
      </c>
      <c r="V123" s="12" t="n">
        <v>57</v>
      </c>
      <c r="W123" s="12" t="n">
        <v>111</v>
      </c>
      <c r="X123" s="12" t="n">
        <v>6</v>
      </c>
      <c r="Y123" s="18" t="n">
        <f aca="false">IF(O123=0,0,T123*27/O123)</f>
        <v>3.5804347826087</v>
      </c>
      <c r="Z123" s="18" t="n">
        <f aca="false">IF(P123=0,0,(V123+R123)/P123)</f>
        <v>1.20652173913043</v>
      </c>
      <c r="AA123" s="18" t="n">
        <f aca="false">IF(O123=0,0,W123*27/O123)</f>
        <v>6.51521739130435</v>
      </c>
      <c r="AB123" s="18" t="n">
        <f aca="false">IF(O123=0,0,V123*27/O123)</f>
        <v>3.34565217391304</v>
      </c>
      <c r="AC123" s="18" t="n">
        <f aca="false">IF(V123=0,0,W123/V123)</f>
        <v>1.94736842105263</v>
      </c>
      <c r="AD123" s="18" t="n">
        <f aca="false">IF(P123=0,0,(13*U123+3*(V123+X123)-2*W123)/P123+INDEX(球季參數!$C$2:$C$4,MATCH($A123,球季參數!$A$2:$A$4,0)))</f>
        <v>3.93217391304348</v>
      </c>
      <c r="AE123" s="11" t="n">
        <f aca="false">IF(P123&gt;=INDEX(球季參數!$F$2:$F$4,MATCH($A123,球季參數!$A$2:$A$4,0)),1,0)</f>
        <v>0</v>
      </c>
    </row>
    <row r="124" customFormat="false" ht="15" hidden="false" customHeight="false" outlineLevel="0" collapsed="false">
      <c r="A124" s="5" t="n">
        <v>2024</v>
      </c>
      <c r="B124" s="7" t="s">
        <v>981</v>
      </c>
      <c r="C124" s="10" t="str">
        <f aca="false">INDEX(球員主檔!$B$2:$B$749,MATCH($B124,球員主檔!$A$2:$A$749,0))</f>
        <v>Minjae Cavanaugh</v>
      </c>
      <c r="D124" s="7" t="s">
        <v>392</v>
      </c>
      <c r="E124" s="10" t="str">
        <f aca="false">INDEX(球隊主檔!$C$2:$C$31,MATCH($D124,球隊主檔!$A$2:$A$31,0))</f>
        <v>洛杉磯天使</v>
      </c>
      <c r="F124" s="10" t="str">
        <f aca="false">INDEX(球隊主檔!$D$2:$D$31,MATCH($D124,球隊主檔!$A$2:$A$31,0))</f>
        <v>美聯</v>
      </c>
      <c r="G124" s="7" t="s">
        <v>496</v>
      </c>
      <c r="H124" s="11" t="n">
        <f aca="false">INT((DATE($A124,7,1)-INDEX(球員主檔!$G$2:$G$749,MATCH($B124,球員主檔!$A$2:$A$749,0)))/365.25)</f>
        <v>34</v>
      </c>
      <c r="I124" s="12" t="n">
        <v>8</v>
      </c>
      <c r="J124" s="12" t="n">
        <v>5</v>
      </c>
      <c r="K124" s="12" t="n">
        <v>0</v>
      </c>
      <c r="L124" s="12" t="n">
        <v>0</v>
      </c>
      <c r="M124" s="12" t="n">
        <v>21</v>
      </c>
      <c r="N124" s="12" t="n">
        <v>21</v>
      </c>
      <c r="O124" s="12" t="n">
        <v>316</v>
      </c>
      <c r="P124" s="16" t="n">
        <f aca="false">O124/3</f>
        <v>105.333333333333</v>
      </c>
      <c r="Q124" s="17" t="str">
        <f aca="false">INT(O124/3)&amp;"."&amp;MOD(O124,3)</f>
        <v>105.1</v>
      </c>
      <c r="R124" s="12" t="n">
        <v>80</v>
      </c>
      <c r="S124" s="12" t="n">
        <v>42</v>
      </c>
      <c r="T124" s="12" t="n">
        <v>42</v>
      </c>
      <c r="U124" s="12" t="n">
        <v>10</v>
      </c>
      <c r="V124" s="12" t="n">
        <v>39</v>
      </c>
      <c r="W124" s="12" t="n">
        <v>89</v>
      </c>
      <c r="X124" s="12" t="n">
        <v>2</v>
      </c>
      <c r="Y124" s="18" t="n">
        <f aca="false">IF(O124=0,0,T124*27/O124)</f>
        <v>3.58860759493671</v>
      </c>
      <c r="Z124" s="18" t="n">
        <f aca="false">IF(P124=0,0,(V124+R124)/P124)</f>
        <v>1.12974683544304</v>
      </c>
      <c r="AA124" s="18" t="n">
        <f aca="false">IF(O124=0,0,W124*27/O124)</f>
        <v>7.60443037974684</v>
      </c>
      <c r="AB124" s="18" t="n">
        <f aca="false">IF(O124=0,0,V124*27/O124)</f>
        <v>3.33227848101266</v>
      </c>
      <c r="AC124" s="18" t="n">
        <f aca="false">IF(V124=0,0,W124/V124)</f>
        <v>2.28205128205128</v>
      </c>
      <c r="AD124" s="18" t="n">
        <f aca="false">IF(P124=0,0,(13*U124+3*(V124+X124)-2*W124)/P124+INDEX(球季參數!$C$2:$C$4,MATCH($A124,球季參數!$A$2:$A$4,0)))</f>
        <v>3.8420253164557</v>
      </c>
      <c r="AE124" s="11" t="n">
        <f aca="false">IF(P124&gt;=INDEX(球季參數!$F$2:$F$4,MATCH($A124,球季參數!$A$2:$A$4,0)),1,0)</f>
        <v>0</v>
      </c>
    </row>
    <row r="125" customFormat="false" ht="15" hidden="false" customHeight="false" outlineLevel="0" collapsed="false">
      <c r="A125" s="5" t="n">
        <v>2024</v>
      </c>
      <c r="B125" s="7" t="s">
        <v>983</v>
      </c>
      <c r="C125" s="10" t="str">
        <f aca="false">INDEX(球員主檔!$B$2:$B$749,MATCH($B125,球員主檔!$A$2:$A$749,0))</f>
        <v>Thaddeus Dubois</v>
      </c>
      <c r="D125" s="7" t="s">
        <v>392</v>
      </c>
      <c r="E125" s="10" t="str">
        <f aca="false">INDEX(球隊主檔!$C$2:$C$31,MATCH($D125,球隊主檔!$A$2:$A$31,0))</f>
        <v>洛杉磯天使</v>
      </c>
      <c r="F125" s="10" t="str">
        <f aca="false">INDEX(球隊主檔!$D$2:$D$31,MATCH($D125,球隊主檔!$A$2:$A$31,0))</f>
        <v>美聯</v>
      </c>
      <c r="G125" s="7" t="s">
        <v>496</v>
      </c>
      <c r="H125" s="11" t="n">
        <f aca="false">INT((DATE($A125,7,1)-INDEX(球員主檔!$G$2:$G$749,MATCH($B125,球員主檔!$A$2:$A$749,0)))/365.25)</f>
        <v>33</v>
      </c>
      <c r="I125" s="12" t="n">
        <v>12</v>
      </c>
      <c r="J125" s="12" t="n">
        <v>3</v>
      </c>
      <c r="K125" s="12" t="n">
        <v>0</v>
      </c>
      <c r="L125" s="12" t="n">
        <v>0</v>
      </c>
      <c r="M125" s="12" t="n">
        <v>27</v>
      </c>
      <c r="N125" s="12" t="n">
        <v>27</v>
      </c>
      <c r="O125" s="12" t="n">
        <v>456</v>
      </c>
      <c r="P125" s="16" t="n">
        <f aca="false">O125/3</f>
        <v>152</v>
      </c>
      <c r="Q125" s="17" t="str">
        <f aca="false">INT(O125/3)&amp;"."&amp;MOD(O125,3)</f>
        <v>152.0</v>
      </c>
      <c r="R125" s="12" t="n">
        <v>110</v>
      </c>
      <c r="S125" s="12" t="n">
        <v>38</v>
      </c>
      <c r="T125" s="12" t="n">
        <v>34</v>
      </c>
      <c r="U125" s="12" t="n">
        <v>23</v>
      </c>
      <c r="V125" s="12" t="n">
        <v>46</v>
      </c>
      <c r="W125" s="12" t="n">
        <v>133</v>
      </c>
      <c r="X125" s="12" t="n">
        <v>3</v>
      </c>
      <c r="Y125" s="18" t="n">
        <f aca="false">IF(O125=0,0,T125*27/O125)</f>
        <v>2.01315789473684</v>
      </c>
      <c r="Z125" s="18" t="n">
        <f aca="false">IF(P125=0,0,(V125+R125)/P125)</f>
        <v>1.02631578947368</v>
      </c>
      <c r="AA125" s="18" t="n">
        <f aca="false">IF(O125=0,0,W125*27/O125)</f>
        <v>7.875</v>
      </c>
      <c r="AB125" s="18" t="n">
        <f aca="false">IF(O125=0,0,V125*27/O125)</f>
        <v>2.72368421052632</v>
      </c>
      <c r="AC125" s="18" t="n">
        <f aca="false">IF(V125=0,0,W125/V125)</f>
        <v>2.89130434782609</v>
      </c>
      <c r="AD125" s="18" t="n">
        <f aca="false">IF(P125=0,0,(13*U125+3*(V125+X125)-2*W125)/P125+INDEX(球季參數!$C$2:$C$4,MATCH($A125,球季參數!$A$2:$A$4,0)))</f>
        <v>4.31421052631579</v>
      </c>
      <c r="AE125" s="11" t="n">
        <f aca="false">IF(P125&gt;=INDEX(球季參數!$F$2:$F$4,MATCH($A125,球季參數!$A$2:$A$4,0)),1,0)</f>
        <v>0</v>
      </c>
    </row>
    <row r="126" customFormat="false" ht="15" hidden="false" customHeight="false" outlineLevel="0" collapsed="false">
      <c r="A126" s="5" t="n">
        <v>2024</v>
      </c>
      <c r="B126" s="7" t="s">
        <v>985</v>
      </c>
      <c r="C126" s="10" t="str">
        <f aca="false">INDEX(球員主檔!$B$2:$B$749,MATCH($B126,球員主檔!$A$2:$A$749,0))</f>
        <v>Matthias Yarbrough</v>
      </c>
      <c r="D126" s="7" t="s">
        <v>392</v>
      </c>
      <c r="E126" s="10" t="str">
        <f aca="false">INDEX(球隊主檔!$C$2:$C$31,MATCH($D126,球隊主檔!$A$2:$A$31,0))</f>
        <v>洛杉磯天使</v>
      </c>
      <c r="F126" s="10" t="str">
        <f aca="false">INDEX(球隊主檔!$D$2:$D$31,MATCH($D126,球隊主檔!$A$2:$A$31,0))</f>
        <v>美聯</v>
      </c>
      <c r="G126" s="7" t="s">
        <v>496</v>
      </c>
      <c r="H126" s="11" t="n">
        <f aca="false">INT((DATE($A126,7,1)-INDEX(球員主檔!$G$2:$G$749,MATCH($B126,球員主檔!$A$2:$A$749,0)))/365.25)</f>
        <v>24</v>
      </c>
      <c r="I126" s="12" t="n">
        <v>12</v>
      </c>
      <c r="J126" s="12" t="n">
        <v>9</v>
      </c>
      <c r="K126" s="12" t="n">
        <v>0</v>
      </c>
      <c r="L126" s="12" t="n">
        <v>0</v>
      </c>
      <c r="M126" s="12" t="n">
        <v>30</v>
      </c>
      <c r="N126" s="12" t="n">
        <v>30</v>
      </c>
      <c r="O126" s="12" t="n">
        <v>518</v>
      </c>
      <c r="P126" s="16" t="n">
        <f aca="false">O126/3</f>
        <v>172.666666666667</v>
      </c>
      <c r="Q126" s="17" t="str">
        <f aca="false">INT(O126/3)&amp;"."&amp;MOD(O126,3)</f>
        <v>172.2</v>
      </c>
      <c r="R126" s="12" t="n">
        <v>143</v>
      </c>
      <c r="S126" s="12" t="n">
        <v>93</v>
      </c>
      <c r="T126" s="12" t="n">
        <v>90</v>
      </c>
      <c r="U126" s="12" t="n">
        <v>12</v>
      </c>
      <c r="V126" s="12" t="n">
        <v>58</v>
      </c>
      <c r="W126" s="12" t="n">
        <v>175</v>
      </c>
      <c r="X126" s="12" t="n">
        <v>7</v>
      </c>
      <c r="Y126" s="18" t="n">
        <f aca="false">IF(O126=0,0,T126*27/O126)</f>
        <v>4.69111969111969</v>
      </c>
      <c r="Z126" s="18" t="n">
        <f aca="false">IF(P126=0,0,(V126+R126)/P126)</f>
        <v>1.16409266409266</v>
      </c>
      <c r="AA126" s="18" t="n">
        <f aca="false">IF(O126=0,0,W126*27/O126)</f>
        <v>9.12162162162162</v>
      </c>
      <c r="AB126" s="18" t="n">
        <f aca="false">IF(O126=0,0,V126*27/O126)</f>
        <v>3.02316602316602</v>
      </c>
      <c r="AC126" s="18" t="n">
        <f aca="false">IF(V126=0,0,W126/V126)</f>
        <v>3.01724137931034</v>
      </c>
      <c r="AD126" s="18" t="n">
        <f aca="false">IF(P126=0,0,(13*U126+3*(V126+X126)-2*W126)/P126+INDEX(球季參數!$C$2:$C$4,MATCH($A126,球季參數!$A$2:$A$4,0)))</f>
        <v>3.13579150579151</v>
      </c>
      <c r="AE126" s="11" t="n">
        <f aca="false">IF(P126&gt;=INDEX(球季參數!$F$2:$F$4,MATCH($A126,球季參數!$A$2:$A$4,0)),1,0)</f>
        <v>1</v>
      </c>
    </row>
    <row r="127" customFormat="false" ht="15" hidden="false" customHeight="false" outlineLevel="0" collapsed="false">
      <c r="A127" s="5" t="n">
        <v>2024</v>
      </c>
      <c r="B127" s="7" t="s">
        <v>987</v>
      </c>
      <c r="C127" s="10" t="str">
        <f aca="false">INDEX(球員主檔!$B$2:$B$749,MATCH($B127,球員主檔!$A$2:$A$749,0))</f>
        <v>Porter Quiroga</v>
      </c>
      <c r="D127" s="7" t="s">
        <v>392</v>
      </c>
      <c r="E127" s="10" t="str">
        <f aca="false">INDEX(球隊主檔!$C$2:$C$31,MATCH($D127,球隊主檔!$A$2:$A$31,0))</f>
        <v>洛杉磯天使</v>
      </c>
      <c r="F127" s="10" t="str">
        <f aca="false">INDEX(球隊主檔!$D$2:$D$31,MATCH($D127,球隊主檔!$A$2:$A$31,0))</f>
        <v>美聯</v>
      </c>
      <c r="G127" s="7" t="s">
        <v>507</v>
      </c>
      <c r="H127" s="11" t="n">
        <f aca="false">INT((DATE($A127,7,1)-INDEX(球員主檔!$G$2:$G$749,MATCH($B127,球員主檔!$A$2:$A$749,0)))/365.25)</f>
        <v>24</v>
      </c>
      <c r="I127" s="12" t="n">
        <v>2</v>
      </c>
      <c r="J127" s="12" t="n">
        <v>3</v>
      </c>
      <c r="K127" s="12" t="n">
        <v>4</v>
      </c>
      <c r="L127" s="12" t="n">
        <v>6</v>
      </c>
      <c r="M127" s="12" t="n">
        <v>53</v>
      </c>
      <c r="N127" s="12" t="n">
        <v>0</v>
      </c>
      <c r="O127" s="12" t="n">
        <v>146</v>
      </c>
      <c r="P127" s="16" t="n">
        <f aca="false">O127/3</f>
        <v>48.6666666666667</v>
      </c>
      <c r="Q127" s="17" t="str">
        <f aca="false">INT(O127/3)&amp;"."&amp;MOD(O127,3)</f>
        <v>48.2</v>
      </c>
      <c r="R127" s="12" t="n">
        <v>53</v>
      </c>
      <c r="S127" s="12" t="n">
        <v>37</v>
      </c>
      <c r="T127" s="12" t="n">
        <v>35</v>
      </c>
      <c r="U127" s="12" t="n">
        <v>3</v>
      </c>
      <c r="V127" s="12" t="n">
        <v>17</v>
      </c>
      <c r="W127" s="12" t="n">
        <v>48</v>
      </c>
      <c r="X127" s="12" t="n">
        <v>2</v>
      </c>
      <c r="Y127" s="18" t="n">
        <f aca="false">IF(O127=0,0,T127*27/O127)</f>
        <v>6.47260273972603</v>
      </c>
      <c r="Z127" s="18" t="n">
        <f aca="false">IF(P127=0,0,(V127+R127)/P127)</f>
        <v>1.43835616438356</v>
      </c>
      <c r="AA127" s="18" t="n">
        <f aca="false">IF(O127=0,0,W127*27/O127)</f>
        <v>8.87671232876712</v>
      </c>
      <c r="AB127" s="18" t="n">
        <f aca="false">IF(O127=0,0,V127*27/O127)</f>
        <v>3.14383561643836</v>
      </c>
      <c r="AC127" s="18" t="n">
        <f aca="false">IF(V127=0,0,W127/V127)</f>
        <v>2.82352941176471</v>
      </c>
      <c r="AD127" s="18" t="n">
        <f aca="false">IF(P127=0,0,(13*U127+3*(V127+X127)-2*W127)/P127+INDEX(球季參數!$C$2:$C$4,MATCH($A127,球季參數!$A$2:$A$4,0)))</f>
        <v>3.13</v>
      </c>
      <c r="AE127" s="11" t="n">
        <f aca="false">IF(P127&gt;=INDEX(球季參數!$F$2:$F$4,MATCH($A127,球季參數!$A$2:$A$4,0)),1,0)</f>
        <v>0</v>
      </c>
    </row>
    <row r="128" customFormat="false" ht="15" hidden="false" customHeight="false" outlineLevel="0" collapsed="false">
      <c r="A128" s="5" t="n">
        <v>2024</v>
      </c>
      <c r="B128" s="7" t="s">
        <v>989</v>
      </c>
      <c r="C128" s="10" t="str">
        <f aca="false">INDEX(球員主檔!$B$2:$B$749,MATCH($B128,球員主檔!$A$2:$A$749,0))</f>
        <v>Desmond Esquivel</v>
      </c>
      <c r="D128" s="7" t="s">
        <v>392</v>
      </c>
      <c r="E128" s="10" t="str">
        <f aca="false">INDEX(球隊主檔!$C$2:$C$31,MATCH($D128,球隊主檔!$A$2:$A$31,0))</f>
        <v>洛杉磯天使</v>
      </c>
      <c r="F128" s="10" t="str">
        <f aca="false">INDEX(球隊主檔!$D$2:$D$31,MATCH($D128,球隊主檔!$A$2:$A$31,0))</f>
        <v>美聯</v>
      </c>
      <c r="G128" s="7" t="s">
        <v>507</v>
      </c>
      <c r="H128" s="11" t="n">
        <f aca="false">INT((DATE($A128,7,1)-INDEX(球員主檔!$G$2:$G$749,MATCH($B128,球員主檔!$A$2:$A$749,0)))/365.25)</f>
        <v>29</v>
      </c>
      <c r="I128" s="12" t="n">
        <v>3</v>
      </c>
      <c r="J128" s="12" t="n">
        <v>0</v>
      </c>
      <c r="K128" s="12" t="n">
        <v>3</v>
      </c>
      <c r="L128" s="12" t="n">
        <v>7</v>
      </c>
      <c r="M128" s="12" t="n">
        <v>62</v>
      </c>
      <c r="N128" s="12" t="n">
        <v>0</v>
      </c>
      <c r="O128" s="12" t="n">
        <v>164</v>
      </c>
      <c r="P128" s="16" t="n">
        <f aca="false">O128/3</f>
        <v>54.6666666666667</v>
      </c>
      <c r="Q128" s="17" t="str">
        <f aca="false">INT(O128/3)&amp;"."&amp;MOD(O128,3)</f>
        <v>54.2</v>
      </c>
      <c r="R128" s="12" t="n">
        <v>45</v>
      </c>
      <c r="S128" s="12" t="n">
        <v>28</v>
      </c>
      <c r="T128" s="12" t="n">
        <v>28</v>
      </c>
      <c r="U128" s="12" t="n">
        <v>9</v>
      </c>
      <c r="V128" s="12" t="n">
        <v>14</v>
      </c>
      <c r="W128" s="12" t="n">
        <v>44</v>
      </c>
      <c r="X128" s="12" t="n">
        <v>1</v>
      </c>
      <c r="Y128" s="18" t="n">
        <f aca="false">IF(O128=0,0,T128*27/O128)</f>
        <v>4.60975609756098</v>
      </c>
      <c r="Z128" s="18" t="n">
        <f aca="false">IF(P128=0,0,(V128+R128)/P128)</f>
        <v>1.07926829268293</v>
      </c>
      <c r="AA128" s="18" t="n">
        <f aca="false">IF(O128=0,0,W128*27/O128)</f>
        <v>7.24390243902439</v>
      </c>
      <c r="AB128" s="18" t="n">
        <f aca="false">IF(O128=0,0,V128*27/O128)</f>
        <v>2.30487804878049</v>
      </c>
      <c r="AC128" s="18" t="n">
        <f aca="false">IF(V128=0,0,W128/V128)</f>
        <v>3.14285714285714</v>
      </c>
      <c r="AD128" s="18" t="n">
        <f aca="false">IF(P128=0,0,(13*U128+3*(V128+X128)-2*W128)/P128+INDEX(球季參數!$C$2:$C$4,MATCH($A128,球季參數!$A$2:$A$4,0)))</f>
        <v>4.48365853658537</v>
      </c>
      <c r="AE128" s="11" t="n">
        <f aca="false">IF(P128&gt;=INDEX(球季參數!$F$2:$F$4,MATCH($A128,球季參數!$A$2:$A$4,0)),1,0)</f>
        <v>0</v>
      </c>
    </row>
    <row r="129" customFormat="false" ht="15" hidden="false" customHeight="false" outlineLevel="0" collapsed="false">
      <c r="A129" s="5" t="n">
        <v>2024</v>
      </c>
      <c r="B129" s="7" t="s">
        <v>991</v>
      </c>
      <c r="C129" s="10" t="str">
        <f aca="false">INDEX(球員主檔!$B$2:$B$749,MATCH($B129,球員主檔!$A$2:$A$749,0))</f>
        <v>Wendell Iwasaki</v>
      </c>
      <c r="D129" s="7" t="s">
        <v>392</v>
      </c>
      <c r="E129" s="10" t="str">
        <f aca="false">INDEX(球隊主檔!$C$2:$C$31,MATCH($D129,球隊主檔!$A$2:$A$31,0))</f>
        <v>洛杉磯天使</v>
      </c>
      <c r="F129" s="10" t="str">
        <f aca="false">INDEX(球隊主檔!$D$2:$D$31,MATCH($D129,球隊主檔!$A$2:$A$31,0))</f>
        <v>美聯</v>
      </c>
      <c r="G129" s="7" t="s">
        <v>507</v>
      </c>
      <c r="H129" s="11" t="n">
        <f aca="false">INT((DATE($A129,7,1)-INDEX(球員主檔!$G$2:$G$749,MATCH($B129,球員主檔!$A$2:$A$749,0)))/365.25)</f>
        <v>25</v>
      </c>
      <c r="I129" s="12" t="n">
        <v>9</v>
      </c>
      <c r="J129" s="12" t="n">
        <v>0</v>
      </c>
      <c r="K129" s="12" t="n">
        <v>3</v>
      </c>
      <c r="L129" s="12" t="n">
        <v>31</v>
      </c>
      <c r="M129" s="12" t="n">
        <v>71</v>
      </c>
      <c r="N129" s="12" t="n">
        <v>0</v>
      </c>
      <c r="O129" s="12" t="n">
        <v>196</v>
      </c>
      <c r="P129" s="16" t="n">
        <f aca="false">O129/3</f>
        <v>65.3333333333333</v>
      </c>
      <c r="Q129" s="17" t="str">
        <f aca="false">INT(O129/3)&amp;"."&amp;MOD(O129,3)</f>
        <v>65.1</v>
      </c>
      <c r="R129" s="12" t="n">
        <v>52</v>
      </c>
      <c r="S129" s="12" t="n">
        <v>29</v>
      </c>
      <c r="T129" s="12" t="n">
        <v>26</v>
      </c>
      <c r="U129" s="12" t="n">
        <v>10</v>
      </c>
      <c r="V129" s="12" t="n">
        <v>13</v>
      </c>
      <c r="W129" s="12" t="n">
        <v>51</v>
      </c>
      <c r="X129" s="12" t="n">
        <v>2</v>
      </c>
      <c r="Y129" s="18" t="n">
        <f aca="false">IF(O129=0,0,T129*27/O129)</f>
        <v>3.58163265306122</v>
      </c>
      <c r="Z129" s="18" t="n">
        <f aca="false">IF(P129=0,0,(V129+R129)/P129)</f>
        <v>0.994897959183674</v>
      </c>
      <c r="AA129" s="18" t="n">
        <f aca="false">IF(O129=0,0,W129*27/O129)</f>
        <v>7.02551020408163</v>
      </c>
      <c r="AB129" s="18" t="n">
        <f aca="false">IF(O129=0,0,V129*27/O129)</f>
        <v>1.79081632653061</v>
      </c>
      <c r="AC129" s="18" t="n">
        <f aca="false">IF(V129=0,0,W129/V129)</f>
        <v>3.92307692307692</v>
      </c>
      <c r="AD129" s="18" t="n">
        <f aca="false">IF(P129=0,0,(13*U129+3*(V129+X129)-2*W129)/P129+INDEX(球季參數!$C$2:$C$4,MATCH($A129,球季參數!$A$2:$A$4,0)))</f>
        <v>4.24734693877551</v>
      </c>
      <c r="AE129" s="11" t="n">
        <f aca="false">IF(P129&gt;=INDEX(球季參數!$F$2:$F$4,MATCH($A129,球季參數!$A$2:$A$4,0)),1,0)</f>
        <v>0</v>
      </c>
    </row>
    <row r="130" customFormat="false" ht="15" hidden="false" customHeight="false" outlineLevel="0" collapsed="false">
      <c r="A130" s="5" t="n">
        <v>2024</v>
      </c>
      <c r="B130" s="7" t="s">
        <v>993</v>
      </c>
      <c r="C130" s="10" t="str">
        <f aca="false">INDEX(球員主檔!$B$2:$B$749,MATCH($B130,球員主檔!$A$2:$A$749,0))</f>
        <v>Porter Engelhardt</v>
      </c>
      <c r="D130" s="7" t="s">
        <v>392</v>
      </c>
      <c r="E130" s="10" t="str">
        <f aca="false">INDEX(球隊主檔!$C$2:$C$31,MATCH($D130,球隊主檔!$A$2:$A$31,0))</f>
        <v>洛杉磯天使</v>
      </c>
      <c r="F130" s="10" t="str">
        <f aca="false">INDEX(球隊主檔!$D$2:$D$31,MATCH($D130,球隊主檔!$A$2:$A$31,0))</f>
        <v>美聯</v>
      </c>
      <c r="G130" s="7" t="s">
        <v>507</v>
      </c>
      <c r="H130" s="11" t="n">
        <f aca="false">INT((DATE($A130,7,1)-INDEX(球員主檔!$G$2:$G$749,MATCH($B130,球員主檔!$A$2:$A$749,0)))/365.25)</f>
        <v>27</v>
      </c>
      <c r="I130" s="12" t="n">
        <v>7</v>
      </c>
      <c r="J130" s="12" t="n">
        <v>0</v>
      </c>
      <c r="K130" s="12" t="n">
        <v>6</v>
      </c>
      <c r="L130" s="12" t="n">
        <v>9</v>
      </c>
      <c r="M130" s="12" t="n">
        <v>53</v>
      </c>
      <c r="N130" s="12" t="n">
        <v>0</v>
      </c>
      <c r="O130" s="12" t="n">
        <v>143</v>
      </c>
      <c r="P130" s="16" t="n">
        <f aca="false">O130/3</f>
        <v>47.6666666666667</v>
      </c>
      <c r="Q130" s="17" t="str">
        <f aca="false">INT(O130/3)&amp;"."&amp;MOD(O130,3)</f>
        <v>47.2</v>
      </c>
      <c r="R130" s="12" t="n">
        <v>35</v>
      </c>
      <c r="S130" s="12" t="n">
        <v>13</v>
      </c>
      <c r="T130" s="12" t="n">
        <v>13</v>
      </c>
      <c r="U130" s="12" t="n">
        <v>5</v>
      </c>
      <c r="V130" s="12" t="n">
        <v>18</v>
      </c>
      <c r="W130" s="12" t="n">
        <v>48</v>
      </c>
      <c r="X130" s="12" t="n">
        <v>2</v>
      </c>
      <c r="Y130" s="18" t="n">
        <f aca="false">IF(O130=0,0,T130*27/O130)</f>
        <v>2.45454545454545</v>
      </c>
      <c r="Z130" s="18" t="n">
        <f aca="false">IF(P130=0,0,(V130+R130)/P130)</f>
        <v>1.11188811188811</v>
      </c>
      <c r="AA130" s="18" t="n">
        <f aca="false">IF(O130=0,0,W130*27/O130)</f>
        <v>9.06293706293706</v>
      </c>
      <c r="AB130" s="18" t="n">
        <f aca="false">IF(O130=0,0,V130*27/O130)</f>
        <v>3.3986013986014</v>
      </c>
      <c r="AC130" s="18" t="n">
        <f aca="false">IF(V130=0,0,W130/V130)</f>
        <v>2.66666666666667</v>
      </c>
      <c r="AD130" s="18" t="n">
        <f aca="false">IF(P130=0,0,(13*U130+3*(V130+X130)-2*W130)/P130+INDEX(球季參數!$C$2:$C$4,MATCH($A130,球季參數!$A$2:$A$4,0)))</f>
        <v>3.73839160839161</v>
      </c>
      <c r="AE130" s="11" t="n">
        <f aca="false">IF(P130&gt;=INDEX(球季參數!$F$2:$F$4,MATCH($A130,球季參數!$A$2:$A$4,0)),1,0)</f>
        <v>0</v>
      </c>
    </row>
    <row r="131" customFormat="false" ht="15" hidden="false" customHeight="false" outlineLevel="0" collapsed="false">
      <c r="A131" s="5" t="n">
        <v>2024</v>
      </c>
      <c r="B131" s="7" t="s">
        <v>995</v>
      </c>
      <c r="C131" s="10" t="str">
        <f aca="false">INDEX(球員主檔!$B$2:$B$749,MATCH($B131,球員主檔!$A$2:$A$749,0))</f>
        <v>Garrison Whitmore</v>
      </c>
      <c r="D131" s="7" t="s">
        <v>392</v>
      </c>
      <c r="E131" s="10" t="str">
        <f aca="false">INDEX(球隊主檔!$C$2:$C$31,MATCH($D131,球隊主檔!$A$2:$A$31,0))</f>
        <v>洛杉磯天使</v>
      </c>
      <c r="F131" s="10" t="str">
        <f aca="false">INDEX(球隊主檔!$D$2:$D$31,MATCH($D131,球隊主檔!$A$2:$A$31,0))</f>
        <v>美聯</v>
      </c>
      <c r="G131" s="7" t="s">
        <v>507</v>
      </c>
      <c r="H131" s="11" t="n">
        <f aca="false">INT((DATE($A131,7,1)-INDEX(球員主檔!$G$2:$G$749,MATCH($B131,球員主檔!$A$2:$A$749,0)))/365.25)</f>
        <v>26</v>
      </c>
      <c r="I131" s="12" t="n">
        <v>5</v>
      </c>
      <c r="J131" s="12" t="n">
        <v>1</v>
      </c>
      <c r="K131" s="12" t="n">
        <v>2</v>
      </c>
      <c r="L131" s="12" t="n">
        <v>11</v>
      </c>
      <c r="M131" s="12" t="n">
        <v>45</v>
      </c>
      <c r="N131" s="12" t="n">
        <v>0</v>
      </c>
      <c r="O131" s="12" t="n">
        <v>152</v>
      </c>
      <c r="P131" s="16" t="n">
        <f aca="false">O131/3</f>
        <v>50.6666666666667</v>
      </c>
      <c r="Q131" s="17" t="str">
        <f aca="false">INT(O131/3)&amp;"."&amp;MOD(O131,3)</f>
        <v>50.2</v>
      </c>
      <c r="R131" s="12" t="n">
        <v>43</v>
      </c>
      <c r="S131" s="12" t="n">
        <v>22</v>
      </c>
      <c r="T131" s="12" t="n">
        <v>21</v>
      </c>
      <c r="U131" s="12" t="n">
        <v>6</v>
      </c>
      <c r="V131" s="12" t="n">
        <v>16</v>
      </c>
      <c r="W131" s="12" t="n">
        <v>51</v>
      </c>
      <c r="X131" s="12" t="n">
        <v>1</v>
      </c>
      <c r="Y131" s="18" t="n">
        <f aca="false">IF(O131=0,0,T131*27/O131)</f>
        <v>3.73026315789474</v>
      </c>
      <c r="Z131" s="18" t="n">
        <f aca="false">IF(P131=0,0,(V131+R131)/P131)</f>
        <v>1.16447368421053</v>
      </c>
      <c r="AA131" s="18" t="n">
        <f aca="false">IF(O131=0,0,W131*27/O131)</f>
        <v>9.05921052631579</v>
      </c>
      <c r="AB131" s="18" t="n">
        <f aca="false">IF(O131=0,0,V131*27/O131)</f>
        <v>2.84210526315789</v>
      </c>
      <c r="AC131" s="18" t="n">
        <f aca="false">IF(V131=0,0,W131/V131)</f>
        <v>3.1875</v>
      </c>
      <c r="AD131" s="18" t="n">
        <f aca="false">IF(P131=0,0,(13*U131+3*(V131+X131)-2*W131)/P131+INDEX(球季參數!$C$2:$C$4,MATCH($A131,球季參數!$A$2:$A$4,0)))</f>
        <v>3.66289473684211</v>
      </c>
      <c r="AE131" s="11" t="n">
        <f aca="false">IF(P131&gt;=INDEX(球季參數!$F$2:$F$4,MATCH($A131,球季參數!$A$2:$A$4,0)),1,0)</f>
        <v>0</v>
      </c>
    </row>
    <row r="132" customFormat="false" ht="15" hidden="false" customHeight="false" outlineLevel="0" collapsed="false">
      <c r="A132" s="5" t="n">
        <v>2024</v>
      </c>
      <c r="B132" s="7" t="s">
        <v>1017</v>
      </c>
      <c r="C132" s="10" t="str">
        <f aca="false">INDEX(球員主檔!$B$2:$B$749,MATCH($B132,球員主檔!$A$2:$A$749,0))</f>
        <v>Camilo Montalvo</v>
      </c>
      <c r="D132" s="7" t="s">
        <v>396</v>
      </c>
      <c r="E132" s="10" t="str">
        <f aca="false">INDEX(球隊主檔!$C$2:$C$31,MATCH($D132,球隊主檔!$A$2:$A$31,0))</f>
        <v>西雅圖水手</v>
      </c>
      <c r="F132" s="10" t="str">
        <f aca="false">INDEX(球隊主檔!$D$2:$D$31,MATCH($D132,球隊主檔!$A$2:$A$31,0))</f>
        <v>美聯</v>
      </c>
      <c r="G132" s="7" t="s">
        <v>496</v>
      </c>
      <c r="H132" s="11" t="n">
        <f aca="false">INT((DATE($A132,7,1)-INDEX(球員主檔!$G$2:$G$749,MATCH($B132,球員主檔!$A$2:$A$749,0)))/365.25)</f>
        <v>30</v>
      </c>
      <c r="I132" s="12" t="n">
        <v>16</v>
      </c>
      <c r="J132" s="12" t="n">
        <v>7</v>
      </c>
      <c r="K132" s="12" t="n">
        <v>0</v>
      </c>
      <c r="L132" s="12" t="n">
        <v>0</v>
      </c>
      <c r="M132" s="12" t="n">
        <v>31</v>
      </c>
      <c r="N132" s="12" t="n">
        <v>31</v>
      </c>
      <c r="O132" s="12" t="n">
        <v>553</v>
      </c>
      <c r="P132" s="16" t="n">
        <f aca="false">O132/3</f>
        <v>184.333333333333</v>
      </c>
      <c r="Q132" s="17" t="str">
        <f aca="false">INT(O132/3)&amp;"."&amp;MOD(O132,3)</f>
        <v>184.1</v>
      </c>
      <c r="R132" s="12" t="n">
        <v>146</v>
      </c>
      <c r="S132" s="12" t="n">
        <v>92</v>
      </c>
      <c r="T132" s="12" t="n">
        <v>84</v>
      </c>
      <c r="U132" s="12" t="n">
        <v>19</v>
      </c>
      <c r="V132" s="12" t="n">
        <v>80</v>
      </c>
      <c r="W132" s="12" t="n">
        <v>203</v>
      </c>
      <c r="X132" s="12" t="n">
        <v>9</v>
      </c>
      <c r="Y132" s="18" t="n">
        <f aca="false">IF(O132=0,0,T132*27/O132)</f>
        <v>4.10126582278481</v>
      </c>
      <c r="Z132" s="18" t="n">
        <f aca="false">IF(P132=0,0,(V132+R132)/P132)</f>
        <v>1.22603978300181</v>
      </c>
      <c r="AA132" s="18" t="n">
        <f aca="false">IF(O132=0,0,W132*27/O132)</f>
        <v>9.91139240506329</v>
      </c>
      <c r="AB132" s="18" t="n">
        <f aca="false">IF(O132=0,0,V132*27/O132)</f>
        <v>3.90596745027125</v>
      </c>
      <c r="AC132" s="18" t="n">
        <f aca="false">IF(V132=0,0,W132/V132)</f>
        <v>2.5375</v>
      </c>
      <c r="AD132" s="18" t="n">
        <f aca="false">IF(P132=0,0,(13*U132+3*(V132+X132)-2*W132)/P132+INDEX(球季參數!$C$2:$C$4,MATCH($A132,球季參數!$A$2:$A$4,0)))</f>
        <v>3.71589511754069</v>
      </c>
      <c r="AE132" s="11" t="n">
        <f aca="false">IF(P132&gt;=INDEX(球季參數!$F$2:$F$4,MATCH($A132,球季參數!$A$2:$A$4,0)),1,0)</f>
        <v>1</v>
      </c>
    </row>
    <row r="133" customFormat="false" ht="15" hidden="false" customHeight="false" outlineLevel="0" collapsed="false">
      <c r="A133" s="5" t="n">
        <v>2024</v>
      </c>
      <c r="B133" s="7" t="s">
        <v>1019</v>
      </c>
      <c r="C133" s="10" t="str">
        <f aca="false">INDEX(球員主檔!$B$2:$B$749,MATCH($B133,球員主檔!$A$2:$A$749,0))</f>
        <v>Esteban Fontaine</v>
      </c>
      <c r="D133" s="7" t="s">
        <v>396</v>
      </c>
      <c r="E133" s="10" t="str">
        <f aca="false">INDEX(球隊主檔!$C$2:$C$31,MATCH($D133,球隊主檔!$A$2:$A$31,0))</f>
        <v>西雅圖水手</v>
      </c>
      <c r="F133" s="10" t="str">
        <f aca="false">INDEX(球隊主檔!$D$2:$D$31,MATCH($D133,球隊主檔!$A$2:$A$31,0))</f>
        <v>美聯</v>
      </c>
      <c r="G133" s="7" t="s">
        <v>496</v>
      </c>
      <c r="H133" s="11" t="n">
        <f aca="false">INT((DATE($A133,7,1)-INDEX(球員主檔!$G$2:$G$749,MATCH($B133,球員主檔!$A$2:$A$749,0)))/365.25)</f>
        <v>31</v>
      </c>
      <c r="I133" s="12" t="n">
        <v>8</v>
      </c>
      <c r="J133" s="12" t="n">
        <v>7</v>
      </c>
      <c r="K133" s="12" t="n">
        <v>0</v>
      </c>
      <c r="L133" s="12" t="n">
        <v>0</v>
      </c>
      <c r="M133" s="12" t="n">
        <v>26</v>
      </c>
      <c r="N133" s="12" t="n">
        <v>26</v>
      </c>
      <c r="O133" s="12" t="n">
        <v>432</v>
      </c>
      <c r="P133" s="16" t="n">
        <f aca="false">O133/3</f>
        <v>144</v>
      </c>
      <c r="Q133" s="17" t="str">
        <f aca="false">INT(O133/3)&amp;"."&amp;MOD(O133,3)</f>
        <v>144.0</v>
      </c>
      <c r="R133" s="12" t="n">
        <v>115</v>
      </c>
      <c r="S133" s="12" t="n">
        <v>72</v>
      </c>
      <c r="T133" s="12" t="n">
        <v>67</v>
      </c>
      <c r="U133" s="12" t="n">
        <v>21</v>
      </c>
      <c r="V133" s="12" t="n">
        <v>64</v>
      </c>
      <c r="W133" s="12" t="n">
        <v>150</v>
      </c>
      <c r="X133" s="12" t="n">
        <v>2</v>
      </c>
      <c r="Y133" s="18" t="n">
        <f aca="false">IF(O133=0,0,T133*27/O133)</f>
        <v>4.1875</v>
      </c>
      <c r="Z133" s="18" t="n">
        <f aca="false">IF(P133=0,0,(V133+R133)/P133)</f>
        <v>1.24305555555556</v>
      </c>
      <c r="AA133" s="18" t="n">
        <f aca="false">IF(O133=0,0,W133*27/O133)</f>
        <v>9.375</v>
      </c>
      <c r="AB133" s="18" t="n">
        <f aca="false">IF(O133=0,0,V133*27/O133)</f>
        <v>4</v>
      </c>
      <c r="AC133" s="18" t="n">
        <f aca="false">IF(V133=0,0,W133/V133)</f>
        <v>2.34375</v>
      </c>
      <c r="AD133" s="18" t="n">
        <f aca="false">IF(P133=0,0,(13*U133+3*(V133+X133)-2*W133)/P133+INDEX(球季參數!$C$2:$C$4,MATCH($A133,球季參數!$A$2:$A$4,0)))</f>
        <v>4.3175</v>
      </c>
      <c r="AE133" s="11" t="n">
        <f aca="false">IF(P133&gt;=INDEX(球季參數!$F$2:$F$4,MATCH($A133,球季參數!$A$2:$A$4,0)),1,0)</f>
        <v>0</v>
      </c>
    </row>
    <row r="134" customFormat="false" ht="15" hidden="false" customHeight="false" outlineLevel="0" collapsed="false">
      <c r="A134" s="5" t="n">
        <v>2024</v>
      </c>
      <c r="B134" s="7" t="s">
        <v>1021</v>
      </c>
      <c r="C134" s="10" t="str">
        <f aca="false">INDEX(球員主檔!$B$2:$B$749,MATCH($B134,球員主檔!$A$2:$A$749,0))</f>
        <v>Garrison Vandermeer</v>
      </c>
      <c r="D134" s="7" t="s">
        <v>396</v>
      </c>
      <c r="E134" s="10" t="str">
        <f aca="false">INDEX(球隊主檔!$C$2:$C$31,MATCH($D134,球隊主檔!$A$2:$A$31,0))</f>
        <v>西雅圖水手</v>
      </c>
      <c r="F134" s="10" t="str">
        <f aca="false">INDEX(球隊主檔!$D$2:$D$31,MATCH($D134,球隊主檔!$A$2:$A$31,0))</f>
        <v>美聯</v>
      </c>
      <c r="G134" s="7" t="s">
        <v>496</v>
      </c>
      <c r="H134" s="11" t="n">
        <f aca="false">INT((DATE($A134,7,1)-INDEX(球員主檔!$G$2:$G$749,MATCH($B134,球員主檔!$A$2:$A$749,0)))/365.25)</f>
        <v>23</v>
      </c>
      <c r="I134" s="12" t="n">
        <v>13</v>
      </c>
      <c r="J134" s="12" t="n">
        <v>7</v>
      </c>
      <c r="K134" s="12" t="n">
        <v>0</v>
      </c>
      <c r="L134" s="12" t="n">
        <v>0</v>
      </c>
      <c r="M134" s="12" t="n">
        <v>27</v>
      </c>
      <c r="N134" s="12" t="n">
        <v>27</v>
      </c>
      <c r="O134" s="12" t="n">
        <v>455</v>
      </c>
      <c r="P134" s="16" t="n">
        <f aca="false">O134/3</f>
        <v>151.666666666667</v>
      </c>
      <c r="Q134" s="17" t="str">
        <f aca="false">INT(O134/3)&amp;"."&amp;MOD(O134,3)</f>
        <v>151.2</v>
      </c>
      <c r="R134" s="12" t="n">
        <v>118</v>
      </c>
      <c r="S134" s="12" t="n">
        <v>68</v>
      </c>
      <c r="T134" s="12" t="n">
        <v>63</v>
      </c>
      <c r="U134" s="12" t="n">
        <v>31</v>
      </c>
      <c r="V134" s="12" t="n">
        <v>37</v>
      </c>
      <c r="W134" s="12" t="n">
        <v>142</v>
      </c>
      <c r="X134" s="12" t="n">
        <v>3</v>
      </c>
      <c r="Y134" s="18" t="n">
        <f aca="false">IF(O134=0,0,T134*27/O134)</f>
        <v>3.73846153846154</v>
      </c>
      <c r="Z134" s="18" t="n">
        <f aca="false">IF(P134=0,0,(V134+R134)/P134)</f>
        <v>1.02197802197802</v>
      </c>
      <c r="AA134" s="18" t="n">
        <f aca="false">IF(O134=0,0,W134*27/O134)</f>
        <v>8.42637362637363</v>
      </c>
      <c r="AB134" s="18" t="n">
        <f aca="false">IF(O134=0,0,V134*27/O134)</f>
        <v>2.1956043956044</v>
      </c>
      <c r="AC134" s="18" t="n">
        <f aca="false">IF(V134=0,0,W134/V134)</f>
        <v>3.83783783783784</v>
      </c>
      <c r="AD134" s="18" t="n">
        <f aca="false">IF(P134=0,0,(13*U134+3*(V134+X134)-2*W134)/P134+INDEX(球季參數!$C$2:$C$4,MATCH($A134,球季參數!$A$2:$A$4,0)))</f>
        <v>4.70582417582418</v>
      </c>
      <c r="AE134" s="11" t="n">
        <f aca="false">IF(P134&gt;=INDEX(球季參數!$F$2:$F$4,MATCH($A134,球季參數!$A$2:$A$4,0)),1,0)</f>
        <v>0</v>
      </c>
    </row>
    <row r="135" customFormat="false" ht="15" hidden="false" customHeight="false" outlineLevel="0" collapsed="false">
      <c r="A135" s="5" t="n">
        <v>2024</v>
      </c>
      <c r="B135" s="7" t="s">
        <v>1023</v>
      </c>
      <c r="C135" s="10" t="str">
        <f aca="false">INDEX(球員主檔!$B$2:$B$749,MATCH($B135,球員主檔!$A$2:$A$749,0))</f>
        <v>Wendell Arceneaux</v>
      </c>
      <c r="D135" s="7" t="s">
        <v>396</v>
      </c>
      <c r="E135" s="10" t="str">
        <f aca="false">INDEX(球隊主檔!$C$2:$C$31,MATCH($D135,球隊主檔!$A$2:$A$31,0))</f>
        <v>西雅圖水手</v>
      </c>
      <c r="F135" s="10" t="str">
        <f aca="false">INDEX(球隊主檔!$D$2:$D$31,MATCH($D135,球隊主檔!$A$2:$A$31,0))</f>
        <v>美聯</v>
      </c>
      <c r="G135" s="7" t="s">
        <v>496</v>
      </c>
      <c r="H135" s="11" t="n">
        <f aca="false">INT((DATE($A135,7,1)-INDEX(球員主檔!$G$2:$G$749,MATCH($B135,球員主檔!$A$2:$A$749,0)))/365.25)</f>
        <v>31</v>
      </c>
      <c r="I135" s="12" t="n">
        <v>12</v>
      </c>
      <c r="J135" s="12" t="n">
        <v>7</v>
      </c>
      <c r="K135" s="12" t="n">
        <v>0</v>
      </c>
      <c r="L135" s="12" t="n">
        <v>0</v>
      </c>
      <c r="M135" s="12" t="n">
        <v>30</v>
      </c>
      <c r="N135" s="12" t="n">
        <v>30</v>
      </c>
      <c r="O135" s="12" t="n">
        <v>443</v>
      </c>
      <c r="P135" s="16" t="n">
        <f aca="false">O135/3</f>
        <v>147.666666666667</v>
      </c>
      <c r="Q135" s="17" t="str">
        <f aca="false">INT(O135/3)&amp;"."&amp;MOD(O135,3)</f>
        <v>147.2</v>
      </c>
      <c r="R135" s="12" t="n">
        <v>131</v>
      </c>
      <c r="S135" s="12" t="n">
        <v>82</v>
      </c>
      <c r="T135" s="12" t="n">
        <v>74</v>
      </c>
      <c r="U135" s="12" t="n">
        <v>19</v>
      </c>
      <c r="V135" s="12" t="n">
        <v>96</v>
      </c>
      <c r="W135" s="12" t="n">
        <v>118</v>
      </c>
      <c r="X135" s="12" t="n">
        <v>5</v>
      </c>
      <c r="Y135" s="18" t="n">
        <f aca="false">IF(O135=0,0,T135*27/O135)</f>
        <v>4.51015801354402</v>
      </c>
      <c r="Z135" s="18" t="n">
        <f aca="false">IF(P135=0,0,(V135+R135)/P135)</f>
        <v>1.5372460496614</v>
      </c>
      <c r="AA135" s="18" t="n">
        <f aca="false">IF(O135=0,0,W135*27/O135)</f>
        <v>7.19187358916479</v>
      </c>
      <c r="AB135" s="18" t="n">
        <f aca="false">IF(O135=0,0,V135*27/O135)</f>
        <v>5.8510158013544</v>
      </c>
      <c r="AC135" s="18" t="n">
        <f aca="false">IF(V135=0,0,W135/V135)</f>
        <v>1.22916666666667</v>
      </c>
      <c r="AD135" s="18" t="n">
        <f aca="false">IF(P135=0,0,(13*U135+3*(V135+X135)-2*W135)/P135+INDEX(球季參數!$C$2:$C$4,MATCH($A135,球季參數!$A$2:$A$4,0)))</f>
        <v>5.25641083521445</v>
      </c>
      <c r="AE135" s="11" t="n">
        <f aca="false">IF(P135&gt;=INDEX(球季參數!$F$2:$F$4,MATCH($A135,球季參數!$A$2:$A$4,0)),1,0)</f>
        <v>0</v>
      </c>
    </row>
    <row r="136" customFormat="false" ht="15" hidden="false" customHeight="false" outlineLevel="0" collapsed="false">
      <c r="A136" s="5" t="n">
        <v>2024</v>
      </c>
      <c r="B136" s="7" t="s">
        <v>1025</v>
      </c>
      <c r="C136" s="10" t="str">
        <f aca="false">INDEX(球員主檔!$B$2:$B$749,MATCH($B136,球員主檔!$A$2:$A$749,0))</f>
        <v>Osvaldo Larrabee</v>
      </c>
      <c r="D136" s="7" t="s">
        <v>396</v>
      </c>
      <c r="E136" s="10" t="str">
        <f aca="false">INDEX(球隊主檔!$C$2:$C$31,MATCH($D136,球隊主檔!$A$2:$A$31,0))</f>
        <v>西雅圖水手</v>
      </c>
      <c r="F136" s="10" t="str">
        <f aca="false">INDEX(球隊主檔!$D$2:$D$31,MATCH($D136,球隊主檔!$A$2:$A$31,0))</f>
        <v>美聯</v>
      </c>
      <c r="G136" s="7" t="s">
        <v>496</v>
      </c>
      <c r="H136" s="11" t="n">
        <f aca="false">INT((DATE($A136,7,1)-INDEX(球員主檔!$G$2:$G$749,MATCH($B136,球員主檔!$A$2:$A$749,0)))/365.25)</f>
        <v>29</v>
      </c>
      <c r="I136" s="12" t="n">
        <v>6</v>
      </c>
      <c r="J136" s="12" t="n">
        <v>2</v>
      </c>
      <c r="K136" s="12" t="n">
        <v>0</v>
      </c>
      <c r="L136" s="12" t="n">
        <v>0</v>
      </c>
      <c r="M136" s="12" t="n">
        <v>12</v>
      </c>
      <c r="N136" s="12" t="n">
        <v>12</v>
      </c>
      <c r="O136" s="12" t="n">
        <v>196</v>
      </c>
      <c r="P136" s="16" t="n">
        <f aca="false">O136/3</f>
        <v>65.3333333333333</v>
      </c>
      <c r="Q136" s="17" t="str">
        <f aca="false">INT(O136/3)&amp;"."&amp;MOD(O136,3)</f>
        <v>65.1</v>
      </c>
      <c r="R136" s="12" t="n">
        <v>52</v>
      </c>
      <c r="S136" s="12" t="n">
        <v>23</v>
      </c>
      <c r="T136" s="12" t="n">
        <v>23</v>
      </c>
      <c r="U136" s="12" t="n">
        <v>6</v>
      </c>
      <c r="V136" s="12" t="n">
        <v>21</v>
      </c>
      <c r="W136" s="12" t="n">
        <v>77</v>
      </c>
      <c r="X136" s="12" t="n">
        <v>2</v>
      </c>
      <c r="Y136" s="18" t="n">
        <f aca="false">IF(O136=0,0,T136*27/O136)</f>
        <v>3.16836734693878</v>
      </c>
      <c r="Z136" s="18" t="n">
        <f aca="false">IF(P136=0,0,(V136+R136)/P136)</f>
        <v>1.11734693877551</v>
      </c>
      <c r="AA136" s="18" t="n">
        <f aca="false">IF(O136=0,0,W136*27/O136)</f>
        <v>10.6071428571429</v>
      </c>
      <c r="AB136" s="18" t="n">
        <f aca="false">IF(O136=0,0,V136*27/O136)</f>
        <v>2.89285714285714</v>
      </c>
      <c r="AC136" s="18" t="n">
        <f aca="false">IF(V136=0,0,W136/V136)</f>
        <v>3.66666666666667</v>
      </c>
      <c r="AD136" s="18" t="n">
        <f aca="false">IF(P136=0,0,(13*U136+3*(V136+X136)-2*W136)/P136+INDEX(球季參數!$C$2:$C$4,MATCH($A136,球季參數!$A$2:$A$4,0)))</f>
        <v>3.02285714285714</v>
      </c>
      <c r="AE136" s="11" t="n">
        <f aca="false">IF(P136&gt;=INDEX(球季參數!$F$2:$F$4,MATCH($A136,球季參數!$A$2:$A$4,0)),1,0)</f>
        <v>0</v>
      </c>
    </row>
    <row r="137" customFormat="false" ht="15" hidden="false" customHeight="false" outlineLevel="0" collapsed="false">
      <c r="A137" s="5" t="n">
        <v>2024</v>
      </c>
      <c r="B137" s="7" t="s">
        <v>1027</v>
      </c>
      <c r="C137" s="10" t="str">
        <f aca="false">INDEX(球員主檔!$B$2:$B$749,MATCH($B137,球員主檔!$A$2:$A$749,0))</f>
        <v>Desmond Ferreira</v>
      </c>
      <c r="D137" s="7" t="s">
        <v>396</v>
      </c>
      <c r="E137" s="10" t="str">
        <f aca="false">INDEX(球隊主檔!$C$2:$C$31,MATCH($D137,球隊主檔!$A$2:$A$31,0))</f>
        <v>西雅圖水手</v>
      </c>
      <c r="F137" s="10" t="str">
        <f aca="false">INDEX(球隊主檔!$D$2:$D$31,MATCH($D137,球隊主檔!$A$2:$A$31,0))</f>
        <v>美聯</v>
      </c>
      <c r="G137" s="7" t="s">
        <v>507</v>
      </c>
      <c r="H137" s="11" t="n">
        <f aca="false">INT((DATE($A137,7,1)-INDEX(球員主檔!$G$2:$G$749,MATCH($B137,球員主檔!$A$2:$A$749,0)))/365.25)</f>
        <v>27</v>
      </c>
      <c r="I137" s="12" t="n">
        <v>7</v>
      </c>
      <c r="J137" s="12" t="n">
        <v>6</v>
      </c>
      <c r="K137" s="12" t="n">
        <v>5</v>
      </c>
      <c r="L137" s="12" t="n">
        <v>33</v>
      </c>
      <c r="M137" s="12" t="n">
        <v>71</v>
      </c>
      <c r="N137" s="12" t="n">
        <v>0</v>
      </c>
      <c r="O137" s="12" t="n">
        <v>208</v>
      </c>
      <c r="P137" s="16" t="n">
        <f aca="false">O137/3</f>
        <v>69.3333333333333</v>
      </c>
      <c r="Q137" s="17" t="str">
        <f aca="false">INT(O137/3)&amp;"."&amp;MOD(O137,3)</f>
        <v>69.1</v>
      </c>
      <c r="R137" s="12" t="n">
        <v>57</v>
      </c>
      <c r="S137" s="12" t="n">
        <v>36</v>
      </c>
      <c r="T137" s="12" t="n">
        <v>34</v>
      </c>
      <c r="U137" s="12" t="n">
        <v>6</v>
      </c>
      <c r="V137" s="12" t="n">
        <v>27</v>
      </c>
      <c r="W137" s="12" t="n">
        <v>97</v>
      </c>
      <c r="X137" s="12" t="n">
        <v>3</v>
      </c>
      <c r="Y137" s="18" t="n">
        <f aca="false">IF(O137=0,0,T137*27/O137)</f>
        <v>4.41346153846154</v>
      </c>
      <c r="Z137" s="18" t="n">
        <f aca="false">IF(P137=0,0,(V137+R137)/P137)</f>
        <v>1.21153846153846</v>
      </c>
      <c r="AA137" s="18" t="n">
        <f aca="false">IF(O137=0,0,W137*27/O137)</f>
        <v>12.5913461538462</v>
      </c>
      <c r="AB137" s="18" t="n">
        <f aca="false">IF(O137=0,0,V137*27/O137)</f>
        <v>3.50480769230769</v>
      </c>
      <c r="AC137" s="18" t="n">
        <f aca="false">IF(V137=0,0,W137/V137)</f>
        <v>3.59259259259259</v>
      </c>
      <c r="AD137" s="18" t="n">
        <f aca="false">IF(P137=0,0,(13*U137+3*(V137+X137)-2*W137)/P137+INDEX(球季參數!$C$2:$C$4,MATCH($A137,球季參數!$A$2:$A$4,0)))</f>
        <v>2.755</v>
      </c>
      <c r="AE137" s="11" t="n">
        <f aca="false">IF(P137&gt;=INDEX(球季參數!$F$2:$F$4,MATCH($A137,球季參數!$A$2:$A$4,0)),1,0)</f>
        <v>0</v>
      </c>
    </row>
    <row r="138" customFormat="false" ht="15" hidden="false" customHeight="false" outlineLevel="0" collapsed="false">
      <c r="A138" s="5" t="n">
        <v>2024</v>
      </c>
      <c r="B138" s="7" t="s">
        <v>1029</v>
      </c>
      <c r="C138" s="10" t="str">
        <f aca="false">INDEX(球員主檔!$B$2:$B$749,MATCH($B138,球員主檔!$A$2:$A$749,0))</f>
        <v>Ulises Ostrowski</v>
      </c>
      <c r="D138" s="7" t="s">
        <v>396</v>
      </c>
      <c r="E138" s="10" t="str">
        <f aca="false">INDEX(球隊主檔!$C$2:$C$31,MATCH($D138,球隊主檔!$A$2:$A$31,0))</f>
        <v>西雅圖水手</v>
      </c>
      <c r="F138" s="10" t="str">
        <f aca="false">INDEX(球隊主檔!$D$2:$D$31,MATCH($D138,球隊主檔!$A$2:$A$31,0))</f>
        <v>美聯</v>
      </c>
      <c r="G138" s="7" t="s">
        <v>507</v>
      </c>
      <c r="H138" s="11" t="n">
        <f aca="false">INT((DATE($A138,7,1)-INDEX(球員主檔!$G$2:$G$749,MATCH($B138,球員主檔!$A$2:$A$749,0)))/365.25)</f>
        <v>27</v>
      </c>
      <c r="I138" s="12" t="n">
        <v>9</v>
      </c>
      <c r="J138" s="12" t="n">
        <v>5</v>
      </c>
      <c r="K138" s="12" t="n">
        <v>6</v>
      </c>
      <c r="L138" s="12" t="n">
        <v>22</v>
      </c>
      <c r="M138" s="12" t="n">
        <v>65</v>
      </c>
      <c r="N138" s="12" t="n">
        <v>0</v>
      </c>
      <c r="O138" s="12" t="n">
        <v>198</v>
      </c>
      <c r="P138" s="16" t="n">
        <f aca="false">O138/3</f>
        <v>66</v>
      </c>
      <c r="Q138" s="17" t="str">
        <f aca="false">INT(O138/3)&amp;"."&amp;MOD(O138,3)</f>
        <v>66.0</v>
      </c>
      <c r="R138" s="12" t="n">
        <v>59</v>
      </c>
      <c r="S138" s="12" t="n">
        <v>37</v>
      </c>
      <c r="T138" s="12" t="n">
        <v>33</v>
      </c>
      <c r="U138" s="12" t="n">
        <v>6</v>
      </c>
      <c r="V138" s="12" t="n">
        <v>22</v>
      </c>
      <c r="W138" s="12" t="n">
        <v>65</v>
      </c>
      <c r="X138" s="12" t="n">
        <v>3</v>
      </c>
      <c r="Y138" s="18" t="n">
        <f aca="false">IF(O138=0,0,T138*27/O138)</f>
        <v>4.5</v>
      </c>
      <c r="Z138" s="18" t="n">
        <f aca="false">IF(P138=0,0,(V138+R138)/P138)</f>
        <v>1.22727272727273</v>
      </c>
      <c r="AA138" s="18" t="n">
        <f aca="false">IF(O138=0,0,W138*27/O138)</f>
        <v>8.86363636363636</v>
      </c>
      <c r="AB138" s="18" t="n">
        <f aca="false">IF(O138=0,0,V138*27/O138)</f>
        <v>3</v>
      </c>
      <c r="AC138" s="18" t="n">
        <f aca="false">IF(V138=0,0,W138/V138)</f>
        <v>2.95454545454545</v>
      </c>
      <c r="AD138" s="18" t="n">
        <f aca="false">IF(P138=0,0,(13*U138+3*(V138+X138)-2*W138)/P138+INDEX(球季參數!$C$2:$C$4,MATCH($A138,球季參數!$A$2:$A$4,0)))</f>
        <v>3.47848484848485</v>
      </c>
      <c r="AE138" s="11" t="n">
        <f aca="false">IF(P138&gt;=INDEX(球季參數!$F$2:$F$4,MATCH($A138,球季參數!$A$2:$A$4,0)),1,0)</f>
        <v>0</v>
      </c>
    </row>
    <row r="139" customFormat="false" ht="15" hidden="false" customHeight="false" outlineLevel="0" collapsed="false">
      <c r="A139" s="5" t="n">
        <v>2024</v>
      </c>
      <c r="B139" s="7" t="s">
        <v>1031</v>
      </c>
      <c r="C139" s="10" t="str">
        <f aca="false">INDEX(球員主檔!$B$2:$B$749,MATCH($B139,球員主檔!$A$2:$A$749,0))</f>
        <v>Osvaldo Hargreaves</v>
      </c>
      <c r="D139" s="7" t="s">
        <v>396</v>
      </c>
      <c r="E139" s="10" t="str">
        <f aca="false">INDEX(球隊主檔!$C$2:$C$31,MATCH($D139,球隊主檔!$A$2:$A$31,0))</f>
        <v>西雅圖水手</v>
      </c>
      <c r="F139" s="10" t="str">
        <f aca="false">INDEX(球隊主檔!$D$2:$D$31,MATCH($D139,球隊主檔!$A$2:$A$31,0))</f>
        <v>美聯</v>
      </c>
      <c r="G139" s="7" t="s">
        <v>507</v>
      </c>
      <c r="H139" s="11" t="n">
        <f aca="false">INT((DATE($A139,7,1)-INDEX(球員主檔!$G$2:$G$749,MATCH($B139,球員主檔!$A$2:$A$749,0)))/365.25)</f>
        <v>26</v>
      </c>
      <c r="I139" s="12" t="n">
        <v>2</v>
      </c>
      <c r="J139" s="12" t="n">
        <v>7</v>
      </c>
      <c r="K139" s="12" t="n">
        <v>3</v>
      </c>
      <c r="L139" s="12" t="n">
        <v>12</v>
      </c>
      <c r="M139" s="12" t="n">
        <v>72</v>
      </c>
      <c r="N139" s="12" t="n">
        <v>0</v>
      </c>
      <c r="O139" s="12" t="n">
        <v>206</v>
      </c>
      <c r="P139" s="16" t="n">
        <f aca="false">O139/3</f>
        <v>68.6666666666667</v>
      </c>
      <c r="Q139" s="17" t="str">
        <f aca="false">INT(O139/3)&amp;"."&amp;MOD(O139,3)</f>
        <v>68.2</v>
      </c>
      <c r="R139" s="12" t="n">
        <v>55</v>
      </c>
      <c r="S139" s="12" t="n">
        <v>38</v>
      </c>
      <c r="T139" s="12" t="n">
        <v>34</v>
      </c>
      <c r="U139" s="12" t="n">
        <v>9</v>
      </c>
      <c r="V139" s="12" t="n">
        <v>24</v>
      </c>
      <c r="W139" s="12" t="n">
        <v>73</v>
      </c>
      <c r="X139" s="12" t="n">
        <v>4</v>
      </c>
      <c r="Y139" s="18" t="n">
        <f aca="false">IF(O139=0,0,T139*27/O139)</f>
        <v>4.45631067961165</v>
      </c>
      <c r="Z139" s="18" t="n">
        <f aca="false">IF(P139=0,0,(V139+R139)/P139)</f>
        <v>1.1504854368932</v>
      </c>
      <c r="AA139" s="18" t="n">
        <f aca="false">IF(O139=0,0,W139*27/O139)</f>
        <v>9.56796116504854</v>
      </c>
      <c r="AB139" s="18" t="n">
        <f aca="false">IF(O139=0,0,V139*27/O139)</f>
        <v>3.14563106796117</v>
      </c>
      <c r="AC139" s="18" t="n">
        <f aca="false">IF(V139=0,0,W139/V139)</f>
        <v>3.04166666666667</v>
      </c>
      <c r="AD139" s="18" t="n">
        <f aca="false">IF(P139=0,0,(13*U139+3*(V139+X139)-2*W139)/P139+INDEX(球季參數!$C$2:$C$4,MATCH($A139,球季參數!$A$2:$A$4,0)))</f>
        <v>3.93097087378641</v>
      </c>
      <c r="AE139" s="11" t="n">
        <f aca="false">IF(P139&gt;=INDEX(球季參數!$F$2:$F$4,MATCH($A139,球季參數!$A$2:$A$4,0)),1,0)</f>
        <v>0</v>
      </c>
    </row>
    <row r="140" customFormat="false" ht="15" hidden="false" customHeight="false" outlineLevel="0" collapsed="false">
      <c r="A140" s="5" t="n">
        <v>2024</v>
      </c>
      <c r="B140" s="7" t="s">
        <v>1033</v>
      </c>
      <c r="C140" s="10" t="str">
        <f aca="false">INDEX(球員主檔!$B$2:$B$749,MATCH($B140,球員主檔!$A$2:$A$749,0))</f>
        <v>Desmond Dunmore</v>
      </c>
      <c r="D140" s="7" t="s">
        <v>396</v>
      </c>
      <c r="E140" s="10" t="str">
        <f aca="false">INDEX(球隊主檔!$C$2:$C$31,MATCH($D140,球隊主檔!$A$2:$A$31,0))</f>
        <v>西雅圖水手</v>
      </c>
      <c r="F140" s="10" t="str">
        <f aca="false">INDEX(球隊主檔!$D$2:$D$31,MATCH($D140,球隊主檔!$A$2:$A$31,0))</f>
        <v>美聯</v>
      </c>
      <c r="G140" s="7" t="s">
        <v>507</v>
      </c>
      <c r="H140" s="11" t="n">
        <f aca="false">INT((DATE($A140,7,1)-INDEX(球員主檔!$G$2:$G$749,MATCH($B140,球員主檔!$A$2:$A$749,0)))/365.25)</f>
        <v>27</v>
      </c>
      <c r="I140" s="12" t="n">
        <v>3</v>
      </c>
      <c r="J140" s="12" t="n">
        <v>0</v>
      </c>
      <c r="K140" s="12" t="n">
        <v>0</v>
      </c>
      <c r="L140" s="12" t="n">
        <v>19</v>
      </c>
      <c r="M140" s="12" t="n">
        <v>51</v>
      </c>
      <c r="N140" s="12" t="n">
        <v>0</v>
      </c>
      <c r="O140" s="12" t="n">
        <v>164</v>
      </c>
      <c r="P140" s="16" t="n">
        <f aca="false">O140/3</f>
        <v>54.6666666666667</v>
      </c>
      <c r="Q140" s="17" t="str">
        <f aca="false">INT(O140/3)&amp;"."&amp;MOD(O140,3)</f>
        <v>54.2</v>
      </c>
      <c r="R140" s="12" t="n">
        <v>41</v>
      </c>
      <c r="S140" s="12" t="n">
        <v>20</v>
      </c>
      <c r="T140" s="12" t="n">
        <v>20</v>
      </c>
      <c r="U140" s="12" t="n">
        <v>6</v>
      </c>
      <c r="V140" s="12" t="n">
        <v>24</v>
      </c>
      <c r="W140" s="12" t="n">
        <v>71</v>
      </c>
      <c r="X140" s="12" t="n">
        <v>2</v>
      </c>
      <c r="Y140" s="18" t="n">
        <f aca="false">IF(O140=0,0,T140*27/O140)</f>
        <v>3.29268292682927</v>
      </c>
      <c r="Z140" s="18" t="n">
        <f aca="false">IF(P140=0,0,(V140+R140)/P140)</f>
        <v>1.1890243902439</v>
      </c>
      <c r="AA140" s="18" t="n">
        <f aca="false">IF(O140=0,0,W140*27/O140)</f>
        <v>11.6890243902439</v>
      </c>
      <c r="AB140" s="18" t="n">
        <f aca="false">IF(O140=0,0,V140*27/O140)</f>
        <v>3.95121951219512</v>
      </c>
      <c r="AC140" s="18" t="n">
        <f aca="false">IF(V140=0,0,W140/V140)</f>
        <v>2.95833333333333</v>
      </c>
      <c r="AD140" s="18" t="n">
        <f aca="false">IF(P140=0,0,(13*U140+3*(V140+X140)-2*W140)/P140+INDEX(球季參數!$C$2:$C$4,MATCH($A140,球季參數!$A$2:$A$4,0)))</f>
        <v>3.38609756097561</v>
      </c>
      <c r="AE140" s="11" t="n">
        <f aca="false">IF(P140&gt;=INDEX(球季參數!$F$2:$F$4,MATCH($A140,球季參數!$A$2:$A$4,0)),1,0)</f>
        <v>0</v>
      </c>
    </row>
    <row r="141" customFormat="false" ht="15" hidden="false" customHeight="false" outlineLevel="0" collapsed="false">
      <c r="A141" s="5" t="n">
        <v>2024</v>
      </c>
      <c r="B141" s="7" t="s">
        <v>1035</v>
      </c>
      <c r="C141" s="10" t="str">
        <f aca="false">INDEX(球員主檔!$B$2:$B$749,MATCH($B141,球員主檔!$A$2:$A$749,0))</f>
        <v>Sawyer Ulloa</v>
      </c>
      <c r="D141" s="7" t="s">
        <v>396</v>
      </c>
      <c r="E141" s="10" t="str">
        <f aca="false">INDEX(球隊主檔!$C$2:$C$31,MATCH($D141,球隊主檔!$A$2:$A$31,0))</f>
        <v>西雅圖水手</v>
      </c>
      <c r="F141" s="10" t="str">
        <f aca="false">INDEX(球隊主檔!$D$2:$D$31,MATCH($D141,球隊主檔!$A$2:$A$31,0))</f>
        <v>美聯</v>
      </c>
      <c r="G141" s="7" t="s">
        <v>507</v>
      </c>
      <c r="H141" s="11" t="n">
        <f aca="false">INT((DATE($A141,7,1)-INDEX(球員主檔!$G$2:$G$749,MATCH($B141,球員主檔!$A$2:$A$749,0)))/365.25)</f>
        <v>34</v>
      </c>
      <c r="I141" s="12" t="n">
        <v>7</v>
      </c>
      <c r="J141" s="12" t="n">
        <v>1</v>
      </c>
      <c r="K141" s="12" t="n">
        <v>0</v>
      </c>
      <c r="L141" s="12" t="n">
        <v>25</v>
      </c>
      <c r="M141" s="12" t="n">
        <v>47</v>
      </c>
      <c r="N141" s="12" t="n">
        <v>0</v>
      </c>
      <c r="O141" s="12" t="n">
        <v>155</v>
      </c>
      <c r="P141" s="16" t="n">
        <f aca="false">O141/3</f>
        <v>51.6666666666667</v>
      </c>
      <c r="Q141" s="17" t="str">
        <f aca="false">INT(O141/3)&amp;"."&amp;MOD(O141,3)</f>
        <v>51.2</v>
      </c>
      <c r="R141" s="12" t="n">
        <v>45</v>
      </c>
      <c r="S141" s="12" t="n">
        <v>28</v>
      </c>
      <c r="T141" s="12" t="n">
        <v>25</v>
      </c>
      <c r="U141" s="12" t="n">
        <v>6</v>
      </c>
      <c r="V141" s="12" t="n">
        <v>16</v>
      </c>
      <c r="W141" s="12" t="n">
        <v>42</v>
      </c>
      <c r="X141" s="12" t="n">
        <v>2</v>
      </c>
      <c r="Y141" s="18" t="n">
        <f aca="false">IF(O141=0,0,T141*27/O141)</f>
        <v>4.35483870967742</v>
      </c>
      <c r="Z141" s="18" t="n">
        <f aca="false">IF(P141=0,0,(V141+R141)/P141)</f>
        <v>1.18064516129032</v>
      </c>
      <c r="AA141" s="18" t="n">
        <f aca="false">IF(O141=0,0,W141*27/O141)</f>
        <v>7.31612903225807</v>
      </c>
      <c r="AB141" s="18" t="n">
        <f aca="false">IF(O141=0,0,V141*27/O141)</f>
        <v>2.78709677419355</v>
      </c>
      <c r="AC141" s="18" t="n">
        <f aca="false">IF(V141=0,0,W141/V141)</f>
        <v>2.625</v>
      </c>
      <c r="AD141" s="18" t="n">
        <f aca="false">IF(P141=0,0,(13*U141+3*(V141+X141)-2*W141)/P141+INDEX(球季參數!$C$2:$C$4,MATCH($A141,球季參數!$A$2:$A$4,0)))</f>
        <v>4.05903225806452</v>
      </c>
      <c r="AE141" s="11" t="n">
        <f aca="false">IF(P141&gt;=INDEX(球季參數!$F$2:$F$4,MATCH($A141,球季參數!$A$2:$A$4,0)),1,0)</f>
        <v>0</v>
      </c>
    </row>
    <row r="142" customFormat="false" ht="15" hidden="false" customHeight="false" outlineLevel="0" collapsed="false">
      <c r="A142" s="5" t="n">
        <v>2024</v>
      </c>
      <c r="B142" s="7" t="s">
        <v>1057</v>
      </c>
      <c r="C142" s="10" t="str">
        <f aca="false">INDEX(球員主檔!$B$2:$B$749,MATCH($B142,球員主檔!$A$2:$A$749,0))</f>
        <v>Ulises Ulloa</v>
      </c>
      <c r="D142" s="7" t="s">
        <v>400</v>
      </c>
      <c r="E142" s="10" t="str">
        <f aca="false">INDEX(球隊主檔!$C$2:$C$31,MATCH($D142,球隊主檔!$A$2:$A$31,0))</f>
        <v>德州遊騎兵</v>
      </c>
      <c r="F142" s="10" t="str">
        <f aca="false">INDEX(球隊主檔!$D$2:$D$31,MATCH($D142,球隊主檔!$A$2:$A$31,0))</f>
        <v>美聯</v>
      </c>
      <c r="G142" s="7" t="s">
        <v>496</v>
      </c>
      <c r="H142" s="11" t="n">
        <f aca="false">INT((DATE($A142,7,1)-INDEX(球員主檔!$G$2:$G$749,MATCH($B142,球員主檔!$A$2:$A$749,0)))/365.25)</f>
        <v>28</v>
      </c>
      <c r="I142" s="12" t="n">
        <v>11</v>
      </c>
      <c r="J142" s="12" t="n">
        <v>6</v>
      </c>
      <c r="K142" s="12" t="n">
        <v>0</v>
      </c>
      <c r="L142" s="12" t="n">
        <v>0</v>
      </c>
      <c r="M142" s="12" t="n">
        <v>27</v>
      </c>
      <c r="N142" s="12" t="n">
        <v>27</v>
      </c>
      <c r="O142" s="12" t="n">
        <v>480</v>
      </c>
      <c r="P142" s="16" t="n">
        <f aca="false">O142/3</f>
        <v>160</v>
      </c>
      <c r="Q142" s="17" t="str">
        <f aca="false">INT(O142/3)&amp;"."&amp;MOD(O142,3)</f>
        <v>160.0</v>
      </c>
      <c r="R142" s="12" t="n">
        <v>126</v>
      </c>
      <c r="S142" s="12" t="n">
        <v>69</v>
      </c>
      <c r="T142" s="12" t="n">
        <v>67</v>
      </c>
      <c r="U142" s="12" t="n">
        <v>26</v>
      </c>
      <c r="V142" s="12" t="n">
        <v>77</v>
      </c>
      <c r="W142" s="12" t="n">
        <v>115</v>
      </c>
      <c r="X142" s="12" t="n">
        <v>7</v>
      </c>
      <c r="Y142" s="18" t="n">
        <f aca="false">IF(O142=0,0,T142*27/O142)</f>
        <v>3.76875</v>
      </c>
      <c r="Z142" s="18" t="n">
        <f aca="false">IF(P142=0,0,(V142+R142)/P142)</f>
        <v>1.26875</v>
      </c>
      <c r="AA142" s="18" t="n">
        <f aca="false">IF(O142=0,0,W142*27/O142)</f>
        <v>6.46875</v>
      </c>
      <c r="AB142" s="18" t="n">
        <f aca="false">IF(O142=0,0,V142*27/O142)</f>
        <v>4.33125</v>
      </c>
      <c r="AC142" s="18" t="n">
        <f aca="false">IF(V142=0,0,W142/V142)</f>
        <v>1.49350649350649</v>
      </c>
      <c r="AD142" s="18" t="n">
        <f aca="false">IF(P142=0,0,(13*U142+3*(V142+X142)-2*W142)/P142+INDEX(球季參數!$C$2:$C$4,MATCH($A142,球季參數!$A$2:$A$4,0)))</f>
        <v>5.38</v>
      </c>
      <c r="AE142" s="11" t="n">
        <f aca="false">IF(P142&gt;=INDEX(球季參數!$F$2:$F$4,MATCH($A142,球季參數!$A$2:$A$4,0)),1,0)</f>
        <v>0</v>
      </c>
    </row>
    <row r="143" customFormat="false" ht="15" hidden="false" customHeight="false" outlineLevel="0" collapsed="false">
      <c r="A143" s="5" t="n">
        <v>2024</v>
      </c>
      <c r="B143" s="7" t="s">
        <v>1059</v>
      </c>
      <c r="C143" s="10" t="str">
        <f aca="false">INDEX(球員主檔!$B$2:$B$749,MATCH($B143,球員主檔!$A$2:$A$749,0))</f>
        <v>Landon Mbeki</v>
      </c>
      <c r="D143" s="7" t="s">
        <v>400</v>
      </c>
      <c r="E143" s="10" t="str">
        <f aca="false">INDEX(球隊主檔!$C$2:$C$31,MATCH($D143,球隊主檔!$A$2:$A$31,0))</f>
        <v>德州遊騎兵</v>
      </c>
      <c r="F143" s="10" t="str">
        <f aca="false">INDEX(球隊主檔!$D$2:$D$31,MATCH($D143,球隊主檔!$A$2:$A$31,0))</f>
        <v>美聯</v>
      </c>
      <c r="G143" s="7" t="s">
        <v>496</v>
      </c>
      <c r="H143" s="11" t="n">
        <f aca="false">INT((DATE($A143,7,1)-INDEX(球員主檔!$G$2:$G$749,MATCH($B143,球員主檔!$A$2:$A$749,0)))/365.25)</f>
        <v>23</v>
      </c>
      <c r="I143" s="12" t="n">
        <v>10</v>
      </c>
      <c r="J143" s="12" t="n">
        <v>10</v>
      </c>
      <c r="K143" s="12" t="n">
        <v>0</v>
      </c>
      <c r="L143" s="12" t="n">
        <v>0</v>
      </c>
      <c r="M143" s="12" t="n">
        <v>29</v>
      </c>
      <c r="N143" s="12" t="n">
        <v>29</v>
      </c>
      <c r="O143" s="12" t="n">
        <v>519</v>
      </c>
      <c r="P143" s="16" t="n">
        <f aca="false">O143/3</f>
        <v>173</v>
      </c>
      <c r="Q143" s="17" t="str">
        <f aca="false">INT(O143/3)&amp;"."&amp;MOD(O143,3)</f>
        <v>173.0</v>
      </c>
      <c r="R143" s="12" t="n">
        <v>146</v>
      </c>
      <c r="S143" s="12" t="n">
        <v>100</v>
      </c>
      <c r="T143" s="12" t="n">
        <v>91</v>
      </c>
      <c r="U143" s="12" t="n">
        <v>33</v>
      </c>
      <c r="V143" s="12" t="n">
        <v>47</v>
      </c>
      <c r="W143" s="12" t="n">
        <v>127</v>
      </c>
      <c r="X143" s="12" t="n">
        <v>8</v>
      </c>
      <c r="Y143" s="18" t="n">
        <f aca="false">IF(O143=0,0,T143*27/O143)</f>
        <v>4.73410404624277</v>
      </c>
      <c r="Z143" s="18" t="n">
        <f aca="false">IF(P143=0,0,(V143+R143)/P143)</f>
        <v>1.11560693641619</v>
      </c>
      <c r="AA143" s="18" t="n">
        <f aca="false">IF(O143=0,0,W143*27/O143)</f>
        <v>6.60693641618497</v>
      </c>
      <c r="AB143" s="18" t="n">
        <f aca="false">IF(O143=0,0,V143*27/O143)</f>
        <v>2.44508670520231</v>
      </c>
      <c r="AC143" s="18" t="n">
        <f aca="false">IF(V143=0,0,W143/V143)</f>
        <v>2.70212765957447</v>
      </c>
      <c r="AD143" s="18" t="n">
        <f aca="false">IF(P143=0,0,(13*U143+3*(V143+X143)-2*W143)/P143+INDEX(球季參數!$C$2:$C$4,MATCH($A143,球季參數!$A$2:$A$4,0)))</f>
        <v>5.09531791907514</v>
      </c>
      <c r="AE143" s="11" t="n">
        <f aca="false">IF(P143&gt;=INDEX(球季參數!$F$2:$F$4,MATCH($A143,球季參數!$A$2:$A$4,0)),1,0)</f>
        <v>1</v>
      </c>
    </row>
    <row r="144" customFormat="false" ht="15" hidden="false" customHeight="false" outlineLevel="0" collapsed="false">
      <c r="A144" s="5" t="n">
        <v>2024</v>
      </c>
      <c r="B144" s="7" t="s">
        <v>1061</v>
      </c>
      <c r="C144" s="10" t="str">
        <f aca="false">INDEX(球員主檔!$B$2:$B$749,MATCH($B144,球員主檔!$A$2:$A$749,0))</f>
        <v>Tobias Eberhardt</v>
      </c>
      <c r="D144" s="7" t="s">
        <v>400</v>
      </c>
      <c r="E144" s="10" t="str">
        <f aca="false">INDEX(球隊主檔!$C$2:$C$31,MATCH($D144,球隊主檔!$A$2:$A$31,0))</f>
        <v>德州遊騎兵</v>
      </c>
      <c r="F144" s="10" t="str">
        <f aca="false">INDEX(球隊主檔!$D$2:$D$31,MATCH($D144,球隊主檔!$A$2:$A$31,0))</f>
        <v>美聯</v>
      </c>
      <c r="G144" s="7" t="s">
        <v>496</v>
      </c>
      <c r="H144" s="11" t="n">
        <f aca="false">INT((DATE($A144,7,1)-INDEX(球員主檔!$G$2:$G$749,MATCH($B144,球員主檔!$A$2:$A$749,0)))/365.25)</f>
        <v>23</v>
      </c>
      <c r="I144" s="12" t="n">
        <v>9</v>
      </c>
      <c r="J144" s="12" t="n">
        <v>9</v>
      </c>
      <c r="K144" s="12" t="n">
        <v>0</v>
      </c>
      <c r="L144" s="12" t="n">
        <v>0</v>
      </c>
      <c r="M144" s="12" t="n">
        <v>31</v>
      </c>
      <c r="N144" s="12" t="n">
        <v>31</v>
      </c>
      <c r="O144" s="12" t="n">
        <v>518</v>
      </c>
      <c r="P144" s="16" t="n">
        <f aca="false">O144/3</f>
        <v>172.666666666667</v>
      </c>
      <c r="Q144" s="17" t="str">
        <f aca="false">INT(O144/3)&amp;"."&amp;MOD(O144,3)</f>
        <v>172.2</v>
      </c>
      <c r="R144" s="12" t="n">
        <v>162</v>
      </c>
      <c r="S144" s="12" t="n">
        <v>95</v>
      </c>
      <c r="T144" s="12" t="n">
        <v>92</v>
      </c>
      <c r="U144" s="12" t="n">
        <v>21</v>
      </c>
      <c r="V144" s="12" t="n">
        <v>66</v>
      </c>
      <c r="W144" s="12" t="n">
        <v>189</v>
      </c>
      <c r="X144" s="12" t="n">
        <v>4</v>
      </c>
      <c r="Y144" s="18" t="n">
        <f aca="false">IF(O144=0,0,T144*27/O144)</f>
        <v>4.7953667953668</v>
      </c>
      <c r="Z144" s="18" t="n">
        <f aca="false">IF(P144=0,0,(V144+R144)/P144)</f>
        <v>1.32046332046332</v>
      </c>
      <c r="AA144" s="18" t="n">
        <f aca="false">IF(O144=0,0,W144*27/O144)</f>
        <v>9.85135135135135</v>
      </c>
      <c r="AB144" s="18" t="n">
        <f aca="false">IF(O144=0,0,V144*27/O144)</f>
        <v>3.44015444015444</v>
      </c>
      <c r="AC144" s="18" t="n">
        <f aca="false">IF(V144=0,0,W144/V144)</f>
        <v>2.86363636363636</v>
      </c>
      <c r="AD144" s="18" t="n">
        <f aca="false">IF(P144=0,0,(13*U144+3*(V144+X144)-2*W144)/P144+INDEX(球季參數!$C$2:$C$4,MATCH($A144,球季參數!$A$2:$A$4,0)))</f>
        <v>3.73810810810811</v>
      </c>
      <c r="AE144" s="11" t="n">
        <f aca="false">IF(P144&gt;=INDEX(球季參數!$F$2:$F$4,MATCH($A144,球季參數!$A$2:$A$4,0)),1,0)</f>
        <v>1</v>
      </c>
    </row>
    <row r="145" customFormat="false" ht="15" hidden="false" customHeight="false" outlineLevel="0" collapsed="false">
      <c r="A145" s="5" t="n">
        <v>2024</v>
      </c>
      <c r="B145" s="7" t="s">
        <v>1063</v>
      </c>
      <c r="C145" s="10" t="str">
        <f aca="false">INDEX(球員主檔!$B$2:$B$749,MATCH($B145,球員主檔!$A$2:$A$749,0))</f>
        <v>Camilo Paszkiewicz</v>
      </c>
      <c r="D145" s="7" t="s">
        <v>400</v>
      </c>
      <c r="E145" s="10" t="str">
        <f aca="false">INDEX(球隊主檔!$C$2:$C$31,MATCH($D145,球隊主檔!$A$2:$A$31,0))</f>
        <v>德州遊騎兵</v>
      </c>
      <c r="F145" s="10" t="str">
        <f aca="false">INDEX(球隊主檔!$D$2:$D$31,MATCH($D145,球隊主檔!$A$2:$A$31,0))</f>
        <v>美聯</v>
      </c>
      <c r="G145" s="7" t="s">
        <v>496</v>
      </c>
      <c r="H145" s="11" t="n">
        <f aca="false">INT((DATE($A145,7,1)-INDEX(球員主檔!$G$2:$G$749,MATCH($B145,球員主檔!$A$2:$A$749,0)))/365.25)</f>
        <v>31</v>
      </c>
      <c r="I145" s="12" t="n">
        <v>13</v>
      </c>
      <c r="J145" s="12" t="n">
        <v>11</v>
      </c>
      <c r="K145" s="12" t="n">
        <v>0</v>
      </c>
      <c r="L145" s="12" t="n">
        <v>0</v>
      </c>
      <c r="M145" s="12" t="n">
        <v>33</v>
      </c>
      <c r="N145" s="12" t="n">
        <v>33</v>
      </c>
      <c r="O145" s="12" t="n">
        <v>579</v>
      </c>
      <c r="P145" s="16" t="n">
        <f aca="false">O145/3</f>
        <v>193</v>
      </c>
      <c r="Q145" s="17" t="str">
        <f aca="false">INT(O145/3)&amp;"."&amp;MOD(O145,3)</f>
        <v>193.0</v>
      </c>
      <c r="R145" s="12" t="n">
        <v>172</v>
      </c>
      <c r="S145" s="12" t="n">
        <v>105</v>
      </c>
      <c r="T145" s="12" t="n">
        <v>99</v>
      </c>
      <c r="U145" s="12" t="n">
        <v>20</v>
      </c>
      <c r="V145" s="12" t="n">
        <v>54</v>
      </c>
      <c r="W145" s="12" t="n">
        <v>148</v>
      </c>
      <c r="X145" s="12" t="n">
        <v>8</v>
      </c>
      <c r="Y145" s="18" t="n">
        <f aca="false">IF(O145=0,0,T145*27/O145)</f>
        <v>4.61658031088083</v>
      </c>
      <c r="Z145" s="18" t="n">
        <f aca="false">IF(P145=0,0,(V145+R145)/P145)</f>
        <v>1.17098445595855</v>
      </c>
      <c r="AA145" s="18" t="n">
        <f aca="false">IF(O145=0,0,W145*27/O145)</f>
        <v>6.90155440414508</v>
      </c>
      <c r="AB145" s="18" t="n">
        <f aca="false">IF(O145=0,0,V145*27/O145)</f>
        <v>2.51813471502591</v>
      </c>
      <c r="AC145" s="18" t="n">
        <f aca="false">IF(V145=0,0,W145/V145)</f>
        <v>2.74074074074074</v>
      </c>
      <c r="AD145" s="18" t="n">
        <f aca="false">IF(P145=0,0,(13*U145+3*(V145+X145)-2*W145)/P145+INDEX(球季參數!$C$2:$C$4,MATCH($A145,球季參數!$A$2:$A$4,0)))</f>
        <v>3.90720207253886</v>
      </c>
      <c r="AE145" s="11" t="n">
        <f aca="false">IF(P145&gt;=INDEX(球季參數!$F$2:$F$4,MATCH($A145,球季參數!$A$2:$A$4,0)),1,0)</f>
        <v>1</v>
      </c>
    </row>
    <row r="146" customFormat="false" ht="15" hidden="false" customHeight="false" outlineLevel="0" collapsed="false">
      <c r="A146" s="5" t="n">
        <v>2024</v>
      </c>
      <c r="B146" s="7" t="s">
        <v>1065</v>
      </c>
      <c r="C146" s="10" t="str">
        <f aca="false">INDEX(球員主檔!$B$2:$B$749,MATCH($B146,球員主檔!$A$2:$A$749,0))</f>
        <v>Dorian Halloway</v>
      </c>
      <c r="D146" s="7" t="s">
        <v>400</v>
      </c>
      <c r="E146" s="10" t="str">
        <f aca="false">INDEX(球隊主檔!$C$2:$C$31,MATCH($D146,球隊主檔!$A$2:$A$31,0))</f>
        <v>德州遊騎兵</v>
      </c>
      <c r="F146" s="10" t="str">
        <f aca="false">INDEX(球隊主檔!$D$2:$D$31,MATCH($D146,球隊主檔!$A$2:$A$31,0))</f>
        <v>美聯</v>
      </c>
      <c r="G146" s="7" t="s">
        <v>496</v>
      </c>
      <c r="H146" s="11" t="n">
        <f aca="false">INT((DATE($A146,7,1)-INDEX(球員主檔!$G$2:$G$749,MATCH($B146,球員主檔!$A$2:$A$749,0)))/365.25)</f>
        <v>28</v>
      </c>
      <c r="I146" s="12" t="n">
        <v>10</v>
      </c>
      <c r="J146" s="12" t="n">
        <v>8</v>
      </c>
      <c r="K146" s="12" t="n">
        <v>0</v>
      </c>
      <c r="L146" s="12" t="n">
        <v>0</v>
      </c>
      <c r="M146" s="12" t="n">
        <v>26</v>
      </c>
      <c r="N146" s="12" t="n">
        <v>26</v>
      </c>
      <c r="O146" s="12" t="n">
        <v>430</v>
      </c>
      <c r="P146" s="16" t="n">
        <f aca="false">O146/3</f>
        <v>143.333333333333</v>
      </c>
      <c r="Q146" s="17" t="str">
        <f aca="false">INT(O146/3)&amp;"."&amp;MOD(O146,3)</f>
        <v>143.1</v>
      </c>
      <c r="R146" s="12" t="n">
        <v>130</v>
      </c>
      <c r="S146" s="12" t="n">
        <v>87</v>
      </c>
      <c r="T146" s="12" t="n">
        <v>80</v>
      </c>
      <c r="U146" s="12" t="n">
        <v>25</v>
      </c>
      <c r="V146" s="12" t="n">
        <v>76</v>
      </c>
      <c r="W146" s="12" t="n">
        <v>142</v>
      </c>
      <c r="X146" s="12" t="n">
        <v>6</v>
      </c>
      <c r="Y146" s="18" t="n">
        <f aca="false">IF(O146=0,0,T146*27/O146)</f>
        <v>5.02325581395349</v>
      </c>
      <c r="Z146" s="18" t="n">
        <f aca="false">IF(P146=0,0,(V146+R146)/P146)</f>
        <v>1.43720930232558</v>
      </c>
      <c r="AA146" s="18" t="n">
        <f aca="false">IF(O146=0,0,W146*27/O146)</f>
        <v>8.91627906976744</v>
      </c>
      <c r="AB146" s="18" t="n">
        <f aca="false">IF(O146=0,0,V146*27/O146)</f>
        <v>4.77209302325581</v>
      </c>
      <c r="AC146" s="18" t="n">
        <f aca="false">IF(V146=0,0,W146/V146)</f>
        <v>1.86842105263158</v>
      </c>
      <c r="AD146" s="18" t="n">
        <f aca="false">IF(P146=0,0,(13*U146+3*(V146+X146)-2*W146)/P146+INDEX(球季參數!$C$2:$C$4,MATCH($A146,球季參數!$A$2:$A$4,0)))</f>
        <v>5.13232558139535</v>
      </c>
      <c r="AE146" s="11" t="n">
        <f aca="false">IF(P146&gt;=INDEX(球季參數!$F$2:$F$4,MATCH($A146,球季參數!$A$2:$A$4,0)),1,0)</f>
        <v>0</v>
      </c>
    </row>
    <row r="147" customFormat="false" ht="15" hidden="false" customHeight="false" outlineLevel="0" collapsed="false">
      <c r="A147" s="5" t="n">
        <v>2024</v>
      </c>
      <c r="B147" s="7" t="s">
        <v>1067</v>
      </c>
      <c r="C147" s="10" t="str">
        <f aca="false">INDEX(球員主檔!$B$2:$B$749,MATCH($B147,球員主檔!$A$2:$A$749,0))</f>
        <v>Osvaldo Vandermeer</v>
      </c>
      <c r="D147" s="7" t="s">
        <v>400</v>
      </c>
      <c r="E147" s="10" t="str">
        <f aca="false">INDEX(球隊主檔!$C$2:$C$31,MATCH($D147,球隊主檔!$A$2:$A$31,0))</f>
        <v>德州遊騎兵</v>
      </c>
      <c r="F147" s="10" t="str">
        <f aca="false">INDEX(球隊主檔!$D$2:$D$31,MATCH($D147,球隊主檔!$A$2:$A$31,0))</f>
        <v>美聯</v>
      </c>
      <c r="G147" s="7" t="s">
        <v>507</v>
      </c>
      <c r="H147" s="11" t="n">
        <f aca="false">INT((DATE($A147,7,1)-INDEX(球員主檔!$G$2:$G$749,MATCH($B147,球員主檔!$A$2:$A$749,0)))/365.25)</f>
        <v>24</v>
      </c>
      <c r="I147" s="12" t="n">
        <v>0</v>
      </c>
      <c r="J147" s="12" t="n">
        <v>3</v>
      </c>
      <c r="K147" s="12" t="n">
        <v>16</v>
      </c>
      <c r="L147" s="12" t="n">
        <v>2</v>
      </c>
      <c r="M147" s="12" t="n">
        <v>72</v>
      </c>
      <c r="N147" s="12" t="n">
        <v>0</v>
      </c>
      <c r="O147" s="12" t="n">
        <v>189</v>
      </c>
      <c r="P147" s="16" t="n">
        <f aca="false">O147/3</f>
        <v>63</v>
      </c>
      <c r="Q147" s="17" t="str">
        <f aca="false">INT(O147/3)&amp;"."&amp;MOD(O147,3)</f>
        <v>63.0</v>
      </c>
      <c r="R147" s="12" t="n">
        <v>56</v>
      </c>
      <c r="S147" s="12" t="n">
        <v>28</v>
      </c>
      <c r="T147" s="12" t="n">
        <v>28</v>
      </c>
      <c r="U147" s="12" t="n">
        <v>6</v>
      </c>
      <c r="V147" s="12" t="n">
        <v>15</v>
      </c>
      <c r="W147" s="12" t="n">
        <v>86</v>
      </c>
      <c r="X147" s="12" t="n">
        <v>2</v>
      </c>
      <c r="Y147" s="18" t="n">
        <f aca="false">IF(O147=0,0,T147*27/O147)</f>
        <v>4</v>
      </c>
      <c r="Z147" s="18" t="n">
        <f aca="false">IF(P147=0,0,(V147+R147)/P147)</f>
        <v>1.12698412698413</v>
      </c>
      <c r="AA147" s="18" t="n">
        <f aca="false">IF(O147=0,0,W147*27/O147)</f>
        <v>12.2857142857143</v>
      </c>
      <c r="AB147" s="18" t="n">
        <f aca="false">IF(O147=0,0,V147*27/O147)</f>
        <v>2.14285714285714</v>
      </c>
      <c r="AC147" s="18" t="n">
        <f aca="false">IF(V147=0,0,W147/V147)</f>
        <v>5.73333333333333</v>
      </c>
      <c r="AD147" s="18" t="n">
        <f aca="false">IF(P147=0,0,(13*U147+3*(V147+X147)-2*W147)/P147+INDEX(球季參數!$C$2:$C$4,MATCH($A147,球季參數!$A$2:$A$4,0)))</f>
        <v>2.44746031746032</v>
      </c>
      <c r="AE147" s="11" t="n">
        <f aca="false">IF(P147&gt;=INDEX(球季參數!$F$2:$F$4,MATCH($A147,球季參數!$A$2:$A$4,0)),1,0)</f>
        <v>0</v>
      </c>
    </row>
    <row r="148" customFormat="false" ht="15" hidden="false" customHeight="false" outlineLevel="0" collapsed="false">
      <c r="A148" s="5" t="n">
        <v>2024</v>
      </c>
      <c r="B148" s="7" t="s">
        <v>1069</v>
      </c>
      <c r="C148" s="10" t="str">
        <f aca="false">INDEX(球員主檔!$B$2:$B$749,MATCH($B148,球員主檔!$A$2:$A$749,0))</f>
        <v>Oakley Yoshinaga</v>
      </c>
      <c r="D148" s="7" t="s">
        <v>400</v>
      </c>
      <c r="E148" s="10" t="str">
        <f aca="false">INDEX(球隊主檔!$C$2:$C$31,MATCH($D148,球隊主檔!$A$2:$A$31,0))</f>
        <v>德州遊騎兵</v>
      </c>
      <c r="F148" s="10" t="str">
        <f aca="false">INDEX(球隊主檔!$D$2:$D$31,MATCH($D148,球隊主檔!$A$2:$A$31,0))</f>
        <v>美聯</v>
      </c>
      <c r="G148" s="7" t="s">
        <v>507</v>
      </c>
      <c r="H148" s="11" t="n">
        <f aca="false">INT((DATE($A148,7,1)-INDEX(球員主檔!$G$2:$G$749,MATCH($B148,球員主檔!$A$2:$A$749,0)))/365.25)</f>
        <v>32</v>
      </c>
      <c r="I148" s="12" t="n">
        <v>8</v>
      </c>
      <c r="J148" s="12" t="n">
        <v>1</v>
      </c>
      <c r="K148" s="12" t="n">
        <v>6</v>
      </c>
      <c r="L148" s="12" t="n">
        <v>7</v>
      </c>
      <c r="M148" s="12" t="n">
        <v>52</v>
      </c>
      <c r="N148" s="12" t="n">
        <v>0</v>
      </c>
      <c r="O148" s="12" t="n">
        <v>136</v>
      </c>
      <c r="P148" s="16" t="n">
        <f aca="false">O148/3</f>
        <v>45.3333333333333</v>
      </c>
      <c r="Q148" s="17" t="str">
        <f aca="false">INT(O148/3)&amp;"."&amp;MOD(O148,3)</f>
        <v>45.1</v>
      </c>
      <c r="R148" s="12" t="n">
        <v>39</v>
      </c>
      <c r="S148" s="12" t="n">
        <v>21</v>
      </c>
      <c r="T148" s="12" t="n">
        <v>21</v>
      </c>
      <c r="U148" s="12" t="n">
        <v>6</v>
      </c>
      <c r="V148" s="12" t="n">
        <v>14</v>
      </c>
      <c r="W148" s="12" t="n">
        <v>49</v>
      </c>
      <c r="X148" s="12" t="n">
        <v>2</v>
      </c>
      <c r="Y148" s="18" t="n">
        <f aca="false">IF(O148=0,0,T148*27/O148)</f>
        <v>4.16911764705882</v>
      </c>
      <c r="Z148" s="18" t="n">
        <f aca="false">IF(P148=0,0,(V148+R148)/P148)</f>
        <v>1.16911764705882</v>
      </c>
      <c r="AA148" s="18" t="n">
        <f aca="false">IF(O148=0,0,W148*27/O148)</f>
        <v>9.72794117647059</v>
      </c>
      <c r="AB148" s="18" t="n">
        <f aca="false">IF(O148=0,0,V148*27/O148)</f>
        <v>2.77941176470588</v>
      </c>
      <c r="AC148" s="18" t="n">
        <f aca="false">IF(V148=0,0,W148/V148)</f>
        <v>3.5</v>
      </c>
      <c r="AD148" s="18" t="n">
        <f aca="false">IF(P148=0,0,(13*U148+3*(V148+X148)-2*W148)/P148+INDEX(球季參數!$C$2:$C$4,MATCH($A148,球季參數!$A$2:$A$4,0)))</f>
        <v>3.74764705882353</v>
      </c>
      <c r="AE148" s="11" t="n">
        <f aca="false">IF(P148&gt;=INDEX(球季參數!$F$2:$F$4,MATCH($A148,球季參數!$A$2:$A$4,0)),1,0)</f>
        <v>0</v>
      </c>
    </row>
    <row r="149" customFormat="false" ht="15" hidden="false" customHeight="false" outlineLevel="0" collapsed="false">
      <c r="A149" s="5" t="n">
        <v>2024</v>
      </c>
      <c r="B149" s="7" t="s">
        <v>1071</v>
      </c>
      <c r="C149" s="10" t="str">
        <f aca="false">INDEX(球員主檔!$B$2:$B$749,MATCH($B149,球員主檔!$A$2:$A$749,0))</f>
        <v>Alonso Paszkiewicz</v>
      </c>
      <c r="D149" s="7" t="s">
        <v>400</v>
      </c>
      <c r="E149" s="10" t="str">
        <f aca="false">INDEX(球隊主檔!$C$2:$C$31,MATCH($D149,球隊主檔!$A$2:$A$31,0))</f>
        <v>德州遊騎兵</v>
      </c>
      <c r="F149" s="10" t="str">
        <f aca="false">INDEX(球隊主檔!$D$2:$D$31,MATCH($D149,球隊主檔!$A$2:$A$31,0))</f>
        <v>美聯</v>
      </c>
      <c r="G149" s="7" t="s">
        <v>507</v>
      </c>
      <c r="H149" s="11" t="n">
        <f aca="false">INT((DATE($A149,7,1)-INDEX(球員主檔!$G$2:$G$749,MATCH($B149,球員主檔!$A$2:$A$749,0)))/365.25)</f>
        <v>25</v>
      </c>
      <c r="I149" s="12" t="n">
        <v>5</v>
      </c>
      <c r="J149" s="12" t="n">
        <v>8</v>
      </c>
      <c r="K149" s="12" t="n">
        <v>4</v>
      </c>
      <c r="L149" s="12" t="n">
        <v>26</v>
      </c>
      <c r="M149" s="12" t="n">
        <v>42</v>
      </c>
      <c r="N149" s="12" t="n">
        <v>0</v>
      </c>
      <c r="O149" s="12" t="n">
        <v>137</v>
      </c>
      <c r="P149" s="16" t="n">
        <f aca="false">O149/3</f>
        <v>45.6666666666667</v>
      </c>
      <c r="Q149" s="17" t="str">
        <f aca="false">INT(O149/3)&amp;"."&amp;MOD(O149,3)</f>
        <v>45.2</v>
      </c>
      <c r="R149" s="12" t="n">
        <v>36</v>
      </c>
      <c r="S149" s="12" t="n">
        <v>17</v>
      </c>
      <c r="T149" s="12" t="n">
        <v>15</v>
      </c>
      <c r="U149" s="12" t="n">
        <v>4</v>
      </c>
      <c r="V149" s="12" t="n">
        <v>14</v>
      </c>
      <c r="W149" s="12" t="n">
        <v>58</v>
      </c>
      <c r="X149" s="12" t="n">
        <v>1</v>
      </c>
      <c r="Y149" s="18" t="n">
        <f aca="false">IF(O149=0,0,T149*27/O149)</f>
        <v>2.95620437956204</v>
      </c>
      <c r="Z149" s="18" t="n">
        <f aca="false">IF(P149=0,0,(V149+R149)/P149)</f>
        <v>1.09489051094891</v>
      </c>
      <c r="AA149" s="18" t="n">
        <f aca="false">IF(O149=0,0,W149*27/O149)</f>
        <v>11.4306569343066</v>
      </c>
      <c r="AB149" s="18" t="n">
        <f aca="false">IF(O149=0,0,V149*27/O149)</f>
        <v>2.75912408759124</v>
      </c>
      <c r="AC149" s="18" t="n">
        <f aca="false">IF(V149=0,0,W149/V149)</f>
        <v>4.14285714285714</v>
      </c>
      <c r="AD149" s="18" t="n">
        <f aca="false">IF(P149=0,0,(13*U149+3*(V149+X149)-2*W149)/P149+INDEX(球季參數!$C$2:$C$4,MATCH($A149,球季參數!$A$2:$A$4,0)))</f>
        <v>2.71394160583942</v>
      </c>
      <c r="AE149" s="11" t="n">
        <f aca="false">IF(P149&gt;=INDEX(球季參數!$F$2:$F$4,MATCH($A149,球季參數!$A$2:$A$4,0)),1,0)</f>
        <v>0</v>
      </c>
    </row>
    <row r="150" customFormat="false" ht="15" hidden="false" customHeight="false" outlineLevel="0" collapsed="false">
      <c r="A150" s="5" t="n">
        <v>2024</v>
      </c>
      <c r="B150" s="7" t="s">
        <v>1073</v>
      </c>
      <c r="C150" s="10" t="str">
        <f aca="false">INDEX(球員主檔!$B$2:$B$749,MATCH($B150,球員主檔!$A$2:$A$749,0))</f>
        <v>Jedidiah Oyelaran</v>
      </c>
      <c r="D150" s="7" t="s">
        <v>400</v>
      </c>
      <c r="E150" s="10" t="str">
        <f aca="false">INDEX(球隊主檔!$C$2:$C$31,MATCH($D150,球隊主檔!$A$2:$A$31,0))</f>
        <v>德州遊騎兵</v>
      </c>
      <c r="F150" s="10" t="str">
        <f aca="false">INDEX(球隊主檔!$D$2:$D$31,MATCH($D150,球隊主檔!$A$2:$A$31,0))</f>
        <v>美聯</v>
      </c>
      <c r="G150" s="7" t="s">
        <v>507</v>
      </c>
      <c r="H150" s="11" t="n">
        <f aca="false">INT((DATE($A150,7,1)-INDEX(球員主檔!$G$2:$G$749,MATCH($B150,球員主檔!$A$2:$A$749,0)))/365.25)</f>
        <v>27</v>
      </c>
      <c r="I150" s="12" t="n">
        <v>3</v>
      </c>
      <c r="J150" s="12" t="n">
        <v>2</v>
      </c>
      <c r="K150" s="12" t="n">
        <v>6</v>
      </c>
      <c r="L150" s="12" t="n">
        <v>7</v>
      </c>
      <c r="M150" s="12" t="n">
        <v>55</v>
      </c>
      <c r="N150" s="12" t="n">
        <v>0</v>
      </c>
      <c r="O150" s="12" t="n">
        <v>145</v>
      </c>
      <c r="P150" s="16" t="n">
        <f aca="false">O150/3</f>
        <v>48.3333333333333</v>
      </c>
      <c r="Q150" s="17" t="str">
        <f aca="false">INT(O150/3)&amp;"."&amp;MOD(O150,3)</f>
        <v>48.1</v>
      </c>
      <c r="R150" s="12" t="n">
        <v>38</v>
      </c>
      <c r="S150" s="12" t="n">
        <v>22</v>
      </c>
      <c r="T150" s="12" t="n">
        <v>21</v>
      </c>
      <c r="U150" s="12" t="n">
        <v>5</v>
      </c>
      <c r="V150" s="12" t="n">
        <v>16</v>
      </c>
      <c r="W150" s="12" t="n">
        <v>60</v>
      </c>
      <c r="X150" s="12" t="n">
        <v>2</v>
      </c>
      <c r="Y150" s="18" t="n">
        <f aca="false">IF(O150=0,0,T150*27/O150)</f>
        <v>3.91034482758621</v>
      </c>
      <c r="Z150" s="18" t="n">
        <f aca="false">IF(P150=0,0,(V150+R150)/P150)</f>
        <v>1.11724137931034</v>
      </c>
      <c r="AA150" s="18" t="n">
        <f aca="false">IF(O150=0,0,W150*27/O150)</f>
        <v>11.1724137931034</v>
      </c>
      <c r="AB150" s="18" t="n">
        <f aca="false">IF(O150=0,0,V150*27/O150)</f>
        <v>2.97931034482759</v>
      </c>
      <c r="AC150" s="18" t="n">
        <f aca="false">IF(V150=0,0,W150/V150)</f>
        <v>3.75</v>
      </c>
      <c r="AD150" s="18" t="n">
        <f aca="false">IF(P150=0,0,(13*U150+3*(V150+X150)-2*W150)/P150+INDEX(球季參數!$C$2:$C$4,MATCH($A150,球季參數!$A$2:$A$4,0)))</f>
        <v>3.10931034482759</v>
      </c>
      <c r="AE150" s="11" t="n">
        <f aca="false">IF(P150&gt;=INDEX(球季參數!$F$2:$F$4,MATCH($A150,球季參數!$A$2:$A$4,0)),1,0)</f>
        <v>0</v>
      </c>
    </row>
    <row r="151" customFormat="false" ht="15" hidden="false" customHeight="false" outlineLevel="0" collapsed="false">
      <c r="A151" s="5" t="n">
        <v>2024</v>
      </c>
      <c r="B151" s="7" t="s">
        <v>1075</v>
      </c>
      <c r="C151" s="10" t="str">
        <f aca="false">INDEX(球員主檔!$B$2:$B$749,MATCH($B151,球員主檔!$A$2:$A$749,0))</f>
        <v>Camilo Tanabe</v>
      </c>
      <c r="D151" s="7" t="s">
        <v>400</v>
      </c>
      <c r="E151" s="10" t="str">
        <f aca="false">INDEX(球隊主檔!$C$2:$C$31,MATCH($D151,球隊主檔!$A$2:$A$31,0))</f>
        <v>德州遊騎兵</v>
      </c>
      <c r="F151" s="10" t="str">
        <f aca="false">INDEX(球隊主檔!$D$2:$D$31,MATCH($D151,球隊主檔!$A$2:$A$31,0))</f>
        <v>美聯</v>
      </c>
      <c r="G151" s="7" t="s">
        <v>507</v>
      </c>
      <c r="H151" s="11" t="n">
        <f aca="false">INT((DATE($A151,7,1)-INDEX(球員主檔!$G$2:$G$749,MATCH($B151,球員主檔!$A$2:$A$749,0)))/365.25)</f>
        <v>22</v>
      </c>
      <c r="I151" s="12" t="n">
        <v>9</v>
      </c>
      <c r="J151" s="12" t="n">
        <v>2</v>
      </c>
      <c r="K151" s="12" t="n">
        <v>5</v>
      </c>
      <c r="L151" s="12" t="n">
        <v>32</v>
      </c>
      <c r="M151" s="12" t="n">
        <v>50</v>
      </c>
      <c r="N151" s="12" t="n">
        <v>0</v>
      </c>
      <c r="O151" s="12" t="n">
        <v>160</v>
      </c>
      <c r="P151" s="16" t="n">
        <f aca="false">O151/3</f>
        <v>53.3333333333333</v>
      </c>
      <c r="Q151" s="17" t="str">
        <f aca="false">INT(O151/3)&amp;"."&amp;MOD(O151,3)</f>
        <v>53.1</v>
      </c>
      <c r="R151" s="12" t="n">
        <v>46</v>
      </c>
      <c r="S151" s="12" t="n">
        <v>26</v>
      </c>
      <c r="T151" s="12" t="n">
        <v>25</v>
      </c>
      <c r="U151" s="12" t="n">
        <v>7</v>
      </c>
      <c r="V151" s="12" t="n">
        <v>11</v>
      </c>
      <c r="W151" s="12" t="n">
        <v>59</v>
      </c>
      <c r="X151" s="12" t="n">
        <v>3</v>
      </c>
      <c r="Y151" s="18" t="n">
        <f aca="false">IF(O151=0,0,T151*27/O151)</f>
        <v>4.21875</v>
      </c>
      <c r="Z151" s="18" t="n">
        <f aca="false">IF(P151=0,0,(V151+R151)/P151)</f>
        <v>1.06875</v>
      </c>
      <c r="AA151" s="18" t="n">
        <f aca="false">IF(O151=0,0,W151*27/O151)</f>
        <v>9.95625</v>
      </c>
      <c r="AB151" s="18" t="n">
        <f aca="false">IF(O151=0,0,V151*27/O151)</f>
        <v>1.85625</v>
      </c>
      <c r="AC151" s="18" t="n">
        <f aca="false">IF(V151=0,0,W151/V151)</f>
        <v>5.36363636363636</v>
      </c>
      <c r="AD151" s="18" t="n">
        <f aca="false">IF(P151=0,0,(13*U151+3*(V151+X151)-2*W151)/P151+INDEX(球季參數!$C$2:$C$4,MATCH($A151,球季參數!$A$2:$A$4,0)))</f>
        <v>3.41125</v>
      </c>
      <c r="AE151" s="11" t="n">
        <f aca="false">IF(P151&gt;=INDEX(球季參數!$F$2:$F$4,MATCH($A151,球季參數!$A$2:$A$4,0)),1,0)</f>
        <v>0</v>
      </c>
    </row>
    <row r="152" customFormat="false" ht="15" hidden="false" customHeight="false" outlineLevel="0" collapsed="false">
      <c r="A152" s="5" t="n">
        <v>2024</v>
      </c>
      <c r="B152" s="7" t="s">
        <v>1097</v>
      </c>
      <c r="C152" s="10" t="str">
        <f aca="false">INDEX(球員主檔!$B$2:$B$749,MATCH($B152,球員主檔!$A$2:$A$749,0))</f>
        <v>Hugo Castellón</v>
      </c>
      <c r="D152" s="7" t="s">
        <v>404</v>
      </c>
      <c r="E152" s="10" t="str">
        <f aca="false">INDEX(球隊主檔!$C$2:$C$31,MATCH($D152,球隊主檔!$A$2:$A$31,0))</f>
        <v>亞特蘭大勇士</v>
      </c>
      <c r="F152" s="10" t="str">
        <f aca="false">INDEX(球隊主檔!$D$2:$D$31,MATCH($D152,球隊主檔!$A$2:$A$31,0))</f>
        <v>國聯</v>
      </c>
      <c r="G152" s="7" t="s">
        <v>496</v>
      </c>
      <c r="H152" s="11" t="n">
        <f aca="false">INT((DATE($A152,7,1)-INDEX(球員主檔!$G$2:$G$749,MATCH($B152,球員主檔!$A$2:$A$749,0)))/365.25)</f>
        <v>30</v>
      </c>
      <c r="I152" s="12" t="n">
        <v>8</v>
      </c>
      <c r="J152" s="12" t="n">
        <v>6</v>
      </c>
      <c r="K152" s="12" t="n">
        <v>0</v>
      </c>
      <c r="L152" s="12" t="n">
        <v>0</v>
      </c>
      <c r="M152" s="12" t="n">
        <v>25</v>
      </c>
      <c r="N152" s="12" t="n">
        <v>25</v>
      </c>
      <c r="O152" s="12" t="n">
        <v>398</v>
      </c>
      <c r="P152" s="16" t="n">
        <f aca="false">O152/3</f>
        <v>132.666666666667</v>
      </c>
      <c r="Q152" s="17" t="str">
        <f aca="false">INT(O152/3)&amp;"."&amp;MOD(O152,3)</f>
        <v>132.2</v>
      </c>
      <c r="R152" s="12" t="n">
        <v>111</v>
      </c>
      <c r="S152" s="12" t="n">
        <v>63</v>
      </c>
      <c r="T152" s="12" t="n">
        <v>63</v>
      </c>
      <c r="U152" s="12" t="n">
        <v>16</v>
      </c>
      <c r="V152" s="12" t="n">
        <v>77</v>
      </c>
      <c r="W152" s="12" t="n">
        <v>113</v>
      </c>
      <c r="X152" s="12" t="n">
        <v>5</v>
      </c>
      <c r="Y152" s="18" t="n">
        <f aca="false">IF(O152=0,0,T152*27/O152)</f>
        <v>4.27386934673367</v>
      </c>
      <c r="Z152" s="18" t="n">
        <f aca="false">IF(P152=0,0,(V152+R152)/P152)</f>
        <v>1.41708542713568</v>
      </c>
      <c r="AA152" s="18" t="n">
        <f aca="false">IF(O152=0,0,W152*27/O152)</f>
        <v>7.66582914572864</v>
      </c>
      <c r="AB152" s="18" t="n">
        <f aca="false">IF(O152=0,0,V152*27/O152)</f>
        <v>5.22361809045226</v>
      </c>
      <c r="AC152" s="18" t="n">
        <f aca="false">IF(V152=0,0,W152/V152)</f>
        <v>1.46753246753247</v>
      </c>
      <c r="AD152" s="18" t="n">
        <f aca="false">IF(P152=0,0,(13*U152+3*(V152+X152)-2*W152)/P152+INDEX(球季參數!$C$2:$C$4,MATCH($A152,球季參數!$A$2:$A$4,0)))</f>
        <v>4.84859296482412</v>
      </c>
      <c r="AE152" s="11" t="n">
        <f aca="false">IF(P152&gt;=INDEX(球季參數!$F$2:$F$4,MATCH($A152,球季參數!$A$2:$A$4,0)),1,0)</f>
        <v>0</v>
      </c>
    </row>
    <row r="153" customFormat="false" ht="15" hidden="false" customHeight="false" outlineLevel="0" collapsed="false">
      <c r="A153" s="5" t="n">
        <v>2024</v>
      </c>
      <c r="B153" s="7" t="s">
        <v>1099</v>
      </c>
      <c r="C153" s="10" t="str">
        <f aca="false">INDEX(球員主檔!$B$2:$B$749,MATCH($B153,球員主檔!$A$2:$A$749,0))</f>
        <v>Joaquín Kiriakis</v>
      </c>
      <c r="D153" s="7" t="s">
        <v>404</v>
      </c>
      <c r="E153" s="10" t="str">
        <f aca="false">INDEX(球隊主檔!$C$2:$C$31,MATCH($D153,球隊主檔!$A$2:$A$31,0))</f>
        <v>亞特蘭大勇士</v>
      </c>
      <c r="F153" s="10" t="str">
        <f aca="false">INDEX(球隊主檔!$D$2:$D$31,MATCH($D153,球隊主檔!$A$2:$A$31,0))</f>
        <v>國聯</v>
      </c>
      <c r="G153" s="7" t="s">
        <v>496</v>
      </c>
      <c r="H153" s="11" t="n">
        <f aca="false">INT((DATE($A153,7,1)-INDEX(球員主檔!$G$2:$G$749,MATCH($B153,球員主檔!$A$2:$A$749,0)))/365.25)</f>
        <v>25</v>
      </c>
      <c r="I153" s="12" t="n">
        <v>10</v>
      </c>
      <c r="J153" s="12" t="n">
        <v>8</v>
      </c>
      <c r="K153" s="12" t="n">
        <v>0</v>
      </c>
      <c r="L153" s="12" t="n">
        <v>0</v>
      </c>
      <c r="M153" s="12" t="n">
        <v>27</v>
      </c>
      <c r="N153" s="12" t="n">
        <v>27</v>
      </c>
      <c r="O153" s="12" t="n">
        <v>405</v>
      </c>
      <c r="P153" s="16" t="n">
        <f aca="false">O153/3</f>
        <v>135</v>
      </c>
      <c r="Q153" s="17" t="str">
        <f aca="false">INT(O153/3)&amp;"."&amp;MOD(O153,3)</f>
        <v>135.0</v>
      </c>
      <c r="R153" s="12" t="n">
        <v>118</v>
      </c>
      <c r="S153" s="12" t="n">
        <v>66</v>
      </c>
      <c r="T153" s="12" t="n">
        <v>64</v>
      </c>
      <c r="U153" s="12" t="n">
        <v>18</v>
      </c>
      <c r="V153" s="12" t="n">
        <v>65</v>
      </c>
      <c r="W153" s="12" t="n">
        <v>147</v>
      </c>
      <c r="X153" s="12" t="n">
        <v>5</v>
      </c>
      <c r="Y153" s="18" t="n">
        <f aca="false">IF(O153=0,0,T153*27/O153)</f>
        <v>4.26666666666667</v>
      </c>
      <c r="Z153" s="18" t="n">
        <f aca="false">IF(P153=0,0,(V153+R153)/P153)</f>
        <v>1.35555555555556</v>
      </c>
      <c r="AA153" s="18" t="n">
        <f aca="false">IF(O153=0,0,W153*27/O153)</f>
        <v>9.8</v>
      </c>
      <c r="AB153" s="18" t="n">
        <f aca="false">IF(O153=0,0,V153*27/O153)</f>
        <v>4.33333333333333</v>
      </c>
      <c r="AC153" s="18" t="n">
        <f aca="false">IF(V153=0,0,W153/V153)</f>
        <v>2.26153846153846</v>
      </c>
      <c r="AD153" s="18" t="n">
        <f aca="false">IF(P153=0,0,(13*U153+3*(V153+X153)-2*W153)/P153+INDEX(球季參數!$C$2:$C$4,MATCH($A153,球季參數!$A$2:$A$4,0)))</f>
        <v>4.24111111111111</v>
      </c>
      <c r="AE153" s="11" t="n">
        <f aca="false">IF(P153&gt;=INDEX(球季參數!$F$2:$F$4,MATCH($A153,球季參數!$A$2:$A$4,0)),1,0)</f>
        <v>0</v>
      </c>
    </row>
    <row r="154" customFormat="false" ht="15" hidden="false" customHeight="false" outlineLevel="0" collapsed="false">
      <c r="A154" s="5" t="n">
        <v>2024</v>
      </c>
      <c r="B154" s="7" t="s">
        <v>1101</v>
      </c>
      <c r="C154" s="10" t="str">
        <f aca="false">INDEX(球員主檔!$B$2:$B$749,MATCH($B154,球員主檔!$A$2:$A$749,0))</f>
        <v>Haruto Wexford</v>
      </c>
      <c r="D154" s="7" t="s">
        <v>404</v>
      </c>
      <c r="E154" s="10" t="str">
        <f aca="false">INDEX(球隊主檔!$C$2:$C$31,MATCH($D154,球隊主檔!$A$2:$A$31,0))</f>
        <v>亞特蘭大勇士</v>
      </c>
      <c r="F154" s="10" t="str">
        <f aca="false">INDEX(球隊主檔!$D$2:$D$31,MATCH($D154,球隊主檔!$A$2:$A$31,0))</f>
        <v>國聯</v>
      </c>
      <c r="G154" s="7" t="s">
        <v>496</v>
      </c>
      <c r="H154" s="11" t="n">
        <f aca="false">INT((DATE($A154,7,1)-INDEX(球員主檔!$G$2:$G$749,MATCH($B154,球員主檔!$A$2:$A$749,0)))/365.25)</f>
        <v>26</v>
      </c>
      <c r="I154" s="12" t="n">
        <v>12</v>
      </c>
      <c r="J154" s="12" t="n">
        <v>7</v>
      </c>
      <c r="K154" s="12" t="n">
        <v>0</v>
      </c>
      <c r="L154" s="12" t="n">
        <v>0</v>
      </c>
      <c r="M154" s="12" t="n">
        <v>27</v>
      </c>
      <c r="N154" s="12" t="n">
        <v>27</v>
      </c>
      <c r="O154" s="12" t="n">
        <v>492</v>
      </c>
      <c r="P154" s="16" t="n">
        <f aca="false">O154/3</f>
        <v>164</v>
      </c>
      <c r="Q154" s="17" t="str">
        <f aca="false">INT(O154/3)&amp;"."&amp;MOD(O154,3)</f>
        <v>164.0</v>
      </c>
      <c r="R154" s="12" t="n">
        <v>145</v>
      </c>
      <c r="S154" s="12" t="n">
        <v>72</v>
      </c>
      <c r="T154" s="12" t="n">
        <v>71</v>
      </c>
      <c r="U154" s="12" t="n">
        <v>17</v>
      </c>
      <c r="V154" s="12" t="n">
        <v>34</v>
      </c>
      <c r="W154" s="12" t="n">
        <v>167</v>
      </c>
      <c r="X154" s="12" t="n">
        <v>10</v>
      </c>
      <c r="Y154" s="18" t="n">
        <f aca="false">IF(O154=0,0,T154*27/O154)</f>
        <v>3.89634146341463</v>
      </c>
      <c r="Z154" s="18" t="n">
        <f aca="false">IF(P154=0,0,(V154+R154)/P154)</f>
        <v>1.09146341463415</v>
      </c>
      <c r="AA154" s="18" t="n">
        <f aca="false">IF(O154=0,0,W154*27/O154)</f>
        <v>9.16463414634146</v>
      </c>
      <c r="AB154" s="18" t="n">
        <f aca="false">IF(O154=0,0,V154*27/O154)</f>
        <v>1.86585365853659</v>
      </c>
      <c r="AC154" s="18" t="n">
        <f aca="false">IF(V154=0,0,W154/V154)</f>
        <v>4.91176470588235</v>
      </c>
      <c r="AD154" s="18" t="n">
        <f aca="false">IF(P154=0,0,(13*U154+3*(V154+X154)-2*W154)/P154+INDEX(球季參數!$C$2:$C$4,MATCH($A154,球季參數!$A$2:$A$4,0)))</f>
        <v>3.24585365853659</v>
      </c>
      <c r="AE154" s="11" t="n">
        <f aca="false">IF(P154&gt;=INDEX(球季參數!$F$2:$F$4,MATCH($A154,球季參數!$A$2:$A$4,0)),1,0)</f>
        <v>1</v>
      </c>
    </row>
    <row r="155" customFormat="false" ht="15" hidden="false" customHeight="false" outlineLevel="0" collapsed="false">
      <c r="A155" s="5" t="n">
        <v>2024</v>
      </c>
      <c r="B155" s="7" t="s">
        <v>1103</v>
      </c>
      <c r="C155" s="10" t="str">
        <f aca="false">INDEX(球員主檔!$B$2:$B$749,MATCH($B155,球員主檔!$A$2:$A$749,0))</f>
        <v>Quentin Wexford</v>
      </c>
      <c r="D155" s="7" t="s">
        <v>404</v>
      </c>
      <c r="E155" s="10" t="str">
        <f aca="false">INDEX(球隊主檔!$C$2:$C$31,MATCH($D155,球隊主檔!$A$2:$A$31,0))</f>
        <v>亞特蘭大勇士</v>
      </c>
      <c r="F155" s="10" t="str">
        <f aca="false">INDEX(球隊主檔!$D$2:$D$31,MATCH($D155,球隊主檔!$A$2:$A$31,0))</f>
        <v>國聯</v>
      </c>
      <c r="G155" s="7" t="s">
        <v>496</v>
      </c>
      <c r="H155" s="11" t="n">
        <f aca="false">INT((DATE($A155,7,1)-INDEX(球員主檔!$G$2:$G$749,MATCH($B155,球員主檔!$A$2:$A$749,0)))/365.25)</f>
        <v>26</v>
      </c>
      <c r="I155" s="12" t="n">
        <v>4</v>
      </c>
      <c r="J155" s="12" t="n">
        <v>1</v>
      </c>
      <c r="K155" s="12" t="n">
        <v>0</v>
      </c>
      <c r="L155" s="12" t="n">
        <v>0</v>
      </c>
      <c r="M155" s="12" t="n">
        <v>8</v>
      </c>
      <c r="N155" s="12" t="n">
        <v>8</v>
      </c>
      <c r="O155" s="12" t="n">
        <v>150</v>
      </c>
      <c r="P155" s="16" t="n">
        <f aca="false">O155/3</f>
        <v>50</v>
      </c>
      <c r="Q155" s="17" t="str">
        <f aca="false">INT(O155/3)&amp;"."&amp;MOD(O155,3)</f>
        <v>50.0</v>
      </c>
      <c r="R155" s="12" t="n">
        <v>39</v>
      </c>
      <c r="S155" s="12" t="n">
        <v>22</v>
      </c>
      <c r="T155" s="12" t="n">
        <v>21</v>
      </c>
      <c r="U155" s="12" t="n">
        <v>7</v>
      </c>
      <c r="V155" s="12" t="n">
        <v>24</v>
      </c>
      <c r="W155" s="12" t="n">
        <v>31</v>
      </c>
      <c r="X155" s="12" t="n">
        <v>1</v>
      </c>
      <c r="Y155" s="18" t="n">
        <f aca="false">IF(O155=0,0,T155*27/O155)</f>
        <v>3.78</v>
      </c>
      <c r="Z155" s="18" t="n">
        <f aca="false">IF(P155=0,0,(V155+R155)/P155)</f>
        <v>1.26</v>
      </c>
      <c r="AA155" s="18" t="n">
        <f aca="false">IF(O155=0,0,W155*27/O155)</f>
        <v>5.58</v>
      </c>
      <c r="AB155" s="18" t="n">
        <f aca="false">IF(O155=0,0,V155*27/O155)</f>
        <v>4.32</v>
      </c>
      <c r="AC155" s="18" t="n">
        <f aca="false">IF(V155=0,0,W155/V155)</f>
        <v>1.29166666666667</v>
      </c>
      <c r="AD155" s="18" t="n">
        <f aca="false">IF(P155=0,0,(13*U155+3*(V155+X155)-2*W155)/P155+INDEX(球季參數!$C$2:$C$4,MATCH($A155,球季參數!$A$2:$A$4,0)))</f>
        <v>5.21</v>
      </c>
      <c r="AE155" s="11" t="n">
        <f aca="false">IF(P155&gt;=INDEX(球季參數!$F$2:$F$4,MATCH($A155,球季參數!$A$2:$A$4,0)),1,0)</f>
        <v>0</v>
      </c>
    </row>
    <row r="156" customFormat="false" ht="15" hidden="false" customHeight="false" outlineLevel="0" collapsed="false">
      <c r="A156" s="5" t="n">
        <v>2024</v>
      </c>
      <c r="B156" s="7" t="s">
        <v>1105</v>
      </c>
      <c r="C156" s="10" t="str">
        <f aca="false">INDEX(球員主檔!$B$2:$B$749,MATCH($B156,球員主檔!$A$2:$A$749,0))</f>
        <v>Camilo Marchetti</v>
      </c>
      <c r="D156" s="7" t="s">
        <v>404</v>
      </c>
      <c r="E156" s="10" t="str">
        <f aca="false">INDEX(球隊主檔!$C$2:$C$31,MATCH($D156,球隊主檔!$A$2:$A$31,0))</f>
        <v>亞特蘭大勇士</v>
      </c>
      <c r="F156" s="10" t="str">
        <f aca="false">INDEX(球隊主檔!$D$2:$D$31,MATCH($D156,球隊主檔!$A$2:$A$31,0))</f>
        <v>國聯</v>
      </c>
      <c r="G156" s="7" t="s">
        <v>496</v>
      </c>
      <c r="H156" s="11" t="n">
        <f aca="false">INT((DATE($A156,7,1)-INDEX(球員主檔!$G$2:$G$749,MATCH($B156,球員主檔!$A$2:$A$749,0)))/365.25)</f>
        <v>28</v>
      </c>
      <c r="I156" s="12" t="n">
        <v>7</v>
      </c>
      <c r="J156" s="12" t="n">
        <v>3</v>
      </c>
      <c r="K156" s="12" t="n">
        <v>0</v>
      </c>
      <c r="L156" s="12" t="n">
        <v>0</v>
      </c>
      <c r="M156" s="12" t="n">
        <v>15</v>
      </c>
      <c r="N156" s="12" t="n">
        <v>15</v>
      </c>
      <c r="O156" s="12" t="n">
        <v>283</v>
      </c>
      <c r="P156" s="16" t="n">
        <f aca="false">O156/3</f>
        <v>94.3333333333333</v>
      </c>
      <c r="Q156" s="17" t="str">
        <f aca="false">INT(O156/3)&amp;"."&amp;MOD(O156,3)</f>
        <v>94.1</v>
      </c>
      <c r="R156" s="12" t="n">
        <v>78</v>
      </c>
      <c r="S156" s="12" t="n">
        <v>41</v>
      </c>
      <c r="T156" s="12" t="n">
        <v>41</v>
      </c>
      <c r="U156" s="12" t="n">
        <v>9</v>
      </c>
      <c r="V156" s="12" t="n">
        <v>41</v>
      </c>
      <c r="W156" s="12" t="n">
        <v>70</v>
      </c>
      <c r="X156" s="12" t="n">
        <v>4</v>
      </c>
      <c r="Y156" s="18" t="n">
        <f aca="false">IF(O156=0,0,T156*27/O156)</f>
        <v>3.91166077738516</v>
      </c>
      <c r="Z156" s="18" t="n">
        <f aca="false">IF(P156=0,0,(V156+R156)/P156)</f>
        <v>1.26148409893993</v>
      </c>
      <c r="AA156" s="18" t="n">
        <f aca="false">IF(O156=0,0,W156*27/O156)</f>
        <v>6.67844522968198</v>
      </c>
      <c r="AB156" s="18" t="n">
        <f aca="false">IF(O156=0,0,V156*27/O156)</f>
        <v>3.91166077738516</v>
      </c>
      <c r="AC156" s="18" t="n">
        <f aca="false">IF(V156=0,0,W156/V156)</f>
        <v>1.70731707317073</v>
      </c>
      <c r="AD156" s="18" t="n">
        <f aca="false">IF(P156=0,0,(13*U156+3*(V156+X156)-2*W156)/P156+INDEX(球季參數!$C$2:$C$4,MATCH($A156,球季參數!$A$2:$A$4,0)))</f>
        <v>4.31727915194346</v>
      </c>
      <c r="AE156" s="11" t="n">
        <f aca="false">IF(P156&gt;=INDEX(球季參數!$F$2:$F$4,MATCH($A156,球季參數!$A$2:$A$4,0)),1,0)</f>
        <v>0</v>
      </c>
    </row>
    <row r="157" customFormat="false" ht="15" hidden="false" customHeight="false" outlineLevel="0" collapsed="false">
      <c r="A157" s="5" t="n">
        <v>2024</v>
      </c>
      <c r="B157" s="7" t="s">
        <v>1107</v>
      </c>
      <c r="C157" s="10" t="str">
        <f aca="false">INDEX(球員主檔!$B$2:$B$749,MATCH($B157,球員主檔!$A$2:$A$749,0))</f>
        <v>Osvaldo Lindquist</v>
      </c>
      <c r="D157" s="7" t="s">
        <v>404</v>
      </c>
      <c r="E157" s="10" t="str">
        <f aca="false">INDEX(球隊主檔!$C$2:$C$31,MATCH($D157,球隊主檔!$A$2:$A$31,0))</f>
        <v>亞特蘭大勇士</v>
      </c>
      <c r="F157" s="10" t="str">
        <f aca="false">INDEX(球隊主檔!$D$2:$D$31,MATCH($D157,球隊主檔!$A$2:$A$31,0))</f>
        <v>國聯</v>
      </c>
      <c r="G157" s="7" t="s">
        <v>507</v>
      </c>
      <c r="H157" s="11" t="n">
        <f aca="false">INT((DATE($A157,7,1)-INDEX(球員主檔!$G$2:$G$749,MATCH($B157,球員主檔!$A$2:$A$749,0)))/365.25)</f>
        <v>26</v>
      </c>
      <c r="I157" s="12" t="n">
        <v>6</v>
      </c>
      <c r="J157" s="12" t="n">
        <v>6</v>
      </c>
      <c r="K157" s="12" t="n">
        <v>18</v>
      </c>
      <c r="L157" s="12" t="n">
        <v>2</v>
      </c>
      <c r="M157" s="12" t="n">
        <v>64</v>
      </c>
      <c r="N157" s="12" t="n">
        <v>0</v>
      </c>
      <c r="O157" s="12" t="n">
        <v>200</v>
      </c>
      <c r="P157" s="16" t="n">
        <f aca="false">O157/3</f>
        <v>66.6666666666667</v>
      </c>
      <c r="Q157" s="17" t="str">
        <f aca="false">INT(O157/3)&amp;"."&amp;MOD(O157,3)</f>
        <v>66.2</v>
      </c>
      <c r="R157" s="12" t="n">
        <v>54</v>
      </c>
      <c r="S157" s="12" t="n">
        <v>32</v>
      </c>
      <c r="T157" s="12" t="n">
        <v>29</v>
      </c>
      <c r="U157" s="12" t="n">
        <v>8</v>
      </c>
      <c r="V157" s="12" t="n">
        <v>25</v>
      </c>
      <c r="W157" s="12" t="n">
        <v>62</v>
      </c>
      <c r="X157" s="12" t="n">
        <v>1</v>
      </c>
      <c r="Y157" s="18" t="n">
        <f aca="false">IF(O157=0,0,T157*27/O157)</f>
        <v>3.915</v>
      </c>
      <c r="Z157" s="18" t="n">
        <f aca="false">IF(P157=0,0,(V157+R157)/P157)</f>
        <v>1.185</v>
      </c>
      <c r="AA157" s="18" t="n">
        <f aca="false">IF(O157=0,0,W157*27/O157)</f>
        <v>8.37</v>
      </c>
      <c r="AB157" s="18" t="n">
        <f aca="false">IF(O157=0,0,V157*27/O157)</f>
        <v>3.375</v>
      </c>
      <c r="AC157" s="18" t="n">
        <f aca="false">IF(V157=0,0,W157/V157)</f>
        <v>2.48</v>
      </c>
      <c r="AD157" s="18" t="n">
        <f aca="false">IF(P157=0,0,(13*U157+3*(V157+X157)-2*W157)/P157+INDEX(球季參數!$C$2:$C$4,MATCH($A157,球季參數!$A$2:$A$4,0)))</f>
        <v>4</v>
      </c>
      <c r="AE157" s="11" t="n">
        <f aca="false">IF(P157&gt;=INDEX(球季參數!$F$2:$F$4,MATCH($A157,球季參數!$A$2:$A$4,0)),1,0)</f>
        <v>0</v>
      </c>
    </row>
    <row r="158" customFormat="false" ht="15" hidden="false" customHeight="false" outlineLevel="0" collapsed="false">
      <c r="A158" s="5" t="n">
        <v>2024</v>
      </c>
      <c r="B158" s="7" t="s">
        <v>1109</v>
      </c>
      <c r="C158" s="10" t="str">
        <f aca="false">INDEX(球員主檔!$B$2:$B$749,MATCH($B158,球員主檔!$A$2:$A$749,0))</f>
        <v>Lucien Blackwood</v>
      </c>
      <c r="D158" s="7" t="s">
        <v>404</v>
      </c>
      <c r="E158" s="10" t="str">
        <f aca="false">INDEX(球隊主檔!$C$2:$C$31,MATCH($D158,球隊主檔!$A$2:$A$31,0))</f>
        <v>亞特蘭大勇士</v>
      </c>
      <c r="F158" s="10" t="str">
        <f aca="false">INDEX(球隊主檔!$D$2:$D$31,MATCH($D158,球隊主檔!$A$2:$A$31,0))</f>
        <v>國聯</v>
      </c>
      <c r="G158" s="7" t="s">
        <v>507</v>
      </c>
      <c r="H158" s="11" t="n">
        <f aca="false">INT((DATE($A158,7,1)-INDEX(球員主檔!$G$2:$G$749,MATCH($B158,球員主檔!$A$2:$A$749,0)))/365.25)</f>
        <v>30</v>
      </c>
      <c r="I158" s="12" t="n">
        <v>8</v>
      </c>
      <c r="J158" s="12" t="n">
        <v>3</v>
      </c>
      <c r="K158" s="12" t="n">
        <v>4</v>
      </c>
      <c r="L158" s="12" t="n">
        <v>17</v>
      </c>
      <c r="M158" s="12" t="n">
        <v>62</v>
      </c>
      <c r="N158" s="12" t="n">
        <v>0</v>
      </c>
      <c r="O158" s="12" t="n">
        <v>205</v>
      </c>
      <c r="P158" s="16" t="n">
        <f aca="false">O158/3</f>
        <v>68.3333333333333</v>
      </c>
      <c r="Q158" s="17" t="str">
        <f aca="false">INT(O158/3)&amp;"."&amp;MOD(O158,3)</f>
        <v>68.1</v>
      </c>
      <c r="R158" s="12" t="n">
        <v>56</v>
      </c>
      <c r="S158" s="12" t="n">
        <v>31</v>
      </c>
      <c r="T158" s="12" t="n">
        <v>28</v>
      </c>
      <c r="U158" s="12" t="n">
        <v>11</v>
      </c>
      <c r="V158" s="12" t="n">
        <v>19</v>
      </c>
      <c r="W158" s="12" t="n">
        <v>68</v>
      </c>
      <c r="X158" s="12" t="n">
        <v>1</v>
      </c>
      <c r="Y158" s="18" t="n">
        <f aca="false">IF(O158=0,0,T158*27/O158)</f>
        <v>3.68780487804878</v>
      </c>
      <c r="Z158" s="18" t="n">
        <f aca="false">IF(P158=0,0,(V158+R158)/P158)</f>
        <v>1.09756097560976</v>
      </c>
      <c r="AA158" s="18" t="n">
        <f aca="false">IF(O158=0,0,W158*27/O158)</f>
        <v>8.95609756097561</v>
      </c>
      <c r="AB158" s="18" t="n">
        <f aca="false">IF(O158=0,0,V158*27/O158)</f>
        <v>2.50243902439024</v>
      </c>
      <c r="AC158" s="18" t="n">
        <f aca="false">IF(V158=0,0,W158/V158)</f>
        <v>3.57894736842105</v>
      </c>
      <c r="AD158" s="18" t="n">
        <f aca="false">IF(P158=0,0,(13*U158+3*(V158+X158)-2*W158)/P158+INDEX(球季參數!$C$2:$C$4,MATCH($A158,球季參數!$A$2:$A$4,0)))</f>
        <v>4.11048780487805</v>
      </c>
      <c r="AE158" s="11" t="n">
        <f aca="false">IF(P158&gt;=INDEX(球季參數!$F$2:$F$4,MATCH($A158,球季參數!$A$2:$A$4,0)),1,0)</f>
        <v>0</v>
      </c>
    </row>
    <row r="159" customFormat="false" ht="15" hidden="false" customHeight="false" outlineLevel="0" collapsed="false">
      <c r="A159" s="5" t="n">
        <v>2024</v>
      </c>
      <c r="B159" s="7" t="s">
        <v>1111</v>
      </c>
      <c r="C159" s="10" t="str">
        <f aca="false">INDEX(球員主檔!$B$2:$B$749,MATCH($B159,球員主檔!$A$2:$A$749,0))</f>
        <v>Augustin Marchetti</v>
      </c>
      <c r="D159" s="7" t="s">
        <v>404</v>
      </c>
      <c r="E159" s="10" t="str">
        <f aca="false">INDEX(球隊主檔!$C$2:$C$31,MATCH($D159,球隊主檔!$A$2:$A$31,0))</f>
        <v>亞特蘭大勇士</v>
      </c>
      <c r="F159" s="10" t="str">
        <f aca="false">INDEX(球隊主檔!$D$2:$D$31,MATCH($D159,球隊主檔!$A$2:$A$31,0))</f>
        <v>國聯</v>
      </c>
      <c r="G159" s="7" t="s">
        <v>507</v>
      </c>
      <c r="H159" s="11" t="n">
        <f aca="false">INT((DATE($A159,7,1)-INDEX(球員主檔!$G$2:$G$749,MATCH($B159,球員主檔!$A$2:$A$749,0)))/365.25)</f>
        <v>32</v>
      </c>
      <c r="I159" s="12" t="n">
        <v>4</v>
      </c>
      <c r="J159" s="12" t="n">
        <v>6</v>
      </c>
      <c r="K159" s="12" t="n">
        <v>3</v>
      </c>
      <c r="L159" s="12" t="n">
        <v>8</v>
      </c>
      <c r="M159" s="12" t="n">
        <v>42</v>
      </c>
      <c r="N159" s="12" t="n">
        <v>0</v>
      </c>
      <c r="O159" s="12" t="n">
        <v>138</v>
      </c>
      <c r="P159" s="16" t="n">
        <f aca="false">O159/3</f>
        <v>46</v>
      </c>
      <c r="Q159" s="17" t="str">
        <f aca="false">INT(O159/3)&amp;"."&amp;MOD(O159,3)</f>
        <v>46.0</v>
      </c>
      <c r="R159" s="12" t="n">
        <v>32</v>
      </c>
      <c r="S159" s="12" t="n">
        <v>16</v>
      </c>
      <c r="T159" s="12" t="n">
        <v>15</v>
      </c>
      <c r="U159" s="12" t="n">
        <v>4</v>
      </c>
      <c r="V159" s="12" t="n">
        <v>10</v>
      </c>
      <c r="W159" s="12" t="n">
        <v>44</v>
      </c>
      <c r="X159" s="12" t="n">
        <v>3</v>
      </c>
      <c r="Y159" s="18" t="n">
        <f aca="false">IF(O159=0,0,T159*27/O159)</f>
        <v>2.93478260869565</v>
      </c>
      <c r="Z159" s="18" t="n">
        <f aca="false">IF(P159=0,0,(V159+R159)/P159)</f>
        <v>0.91304347826087</v>
      </c>
      <c r="AA159" s="18" t="n">
        <f aca="false">IF(O159=0,0,W159*27/O159)</f>
        <v>8.60869565217391</v>
      </c>
      <c r="AB159" s="18" t="n">
        <f aca="false">IF(O159=0,0,V159*27/O159)</f>
        <v>1.95652173913043</v>
      </c>
      <c r="AC159" s="18" t="n">
        <f aca="false">IF(V159=0,0,W159/V159)</f>
        <v>4.4</v>
      </c>
      <c r="AD159" s="18" t="n">
        <f aca="false">IF(P159=0,0,(13*U159+3*(V159+X159)-2*W159)/P159+INDEX(球季參數!$C$2:$C$4,MATCH($A159,球季參數!$A$2:$A$4,0)))</f>
        <v>3.19521739130435</v>
      </c>
      <c r="AE159" s="11" t="n">
        <f aca="false">IF(P159&gt;=INDEX(球季參數!$F$2:$F$4,MATCH($A159,球季參數!$A$2:$A$4,0)),1,0)</f>
        <v>0</v>
      </c>
    </row>
    <row r="160" customFormat="false" ht="15" hidden="false" customHeight="false" outlineLevel="0" collapsed="false">
      <c r="A160" s="5" t="n">
        <v>2024</v>
      </c>
      <c r="B160" s="7" t="s">
        <v>1113</v>
      </c>
      <c r="C160" s="10" t="str">
        <f aca="false">INDEX(球員主檔!$B$2:$B$749,MATCH($B160,球員主檔!$A$2:$A$749,0))</f>
        <v>Ignacio Redmayne</v>
      </c>
      <c r="D160" s="7" t="s">
        <v>404</v>
      </c>
      <c r="E160" s="10" t="str">
        <f aca="false">INDEX(球隊主檔!$C$2:$C$31,MATCH($D160,球隊主檔!$A$2:$A$31,0))</f>
        <v>亞特蘭大勇士</v>
      </c>
      <c r="F160" s="10" t="str">
        <f aca="false">INDEX(球隊主檔!$D$2:$D$31,MATCH($D160,球隊主檔!$A$2:$A$31,0))</f>
        <v>國聯</v>
      </c>
      <c r="G160" s="7" t="s">
        <v>507</v>
      </c>
      <c r="H160" s="11" t="n">
        <f aca="false">INT((DATE($A160,7,1)-INDEX(球員主檔!$G$2:$G$749,MATCH($B160,球員主檔!$A$2:$A$749,0)))/365.25)</f>
        <v>28</v>
      </c>
      <c r="I160" s="12" t="n">
        <v>9</v>
      </c>
      <c r="J160" s="12" t="n">
        <v>8</v>
      </c>
      <c r="K160" s="12" t="n">
        <v>4</v>
      </c>
      <c r="L160" s="12" t="n">
        <v>20</v>
      </c>
      <c r="M160" s="12" t="n">
        <v>38</v>
      </c>
      <c r="N160" s="12" t="n">
        <v>0</v>
      </c>
      <c r="O160" s="12" t="n">
        <v>110</v>
      </c>
      <c r="P160" s="16" t="n">
        <f aca="false">O160/3</f>
        <v>36.6666666666667</v>
      </c>
      <c r="Q160" s="17" t="str">
        <f aca="false">INT(O160/3)&amp;"."&amp;MOD(O160,3)</f>
        <v>36.2</v>
      </c>
      <c r="R160" s="12" t="n">
        <v>27</v>
      </c>
      <c r="S160" s="12" t="n">
        <v>11</v>
      </c>
      <c r="T160" s="12" t="n">
        <v>11</v>
      </c>
      <c r="U160" s="12" t="n">
        <v>6</v>
      </c>
      <c r="V160" s="12" t="n">
        <v>10</v>
      </c>
      <c r="W160" s="12" t="n">
        <v>43</v>
      </c>
      <c r="X160" s="12" t="n">
        <v>1</v>
      </c>
      <c r="Y160" s="18" t="n">
        <f aca="false">IF(O160=0,0,T160*27/O160)</f>
        <v>2.7</v>
      </c>
      <c r="Z160" s="18" t="n">
        <f aca="false">IF(P160=0,0,(V160+R160)/P160)</f>
        <v>1.00909090909091</v>
      </c>
      <c r="AA160" s="18" t="n">
        <f aca="false">IF(O160=0,0,W160*27/O160)</f>
        <v>10.5545454545455</v>
      </c>
      <c r="AB160" s="18" t="n">
        <f aca="false">IF(O160=0,0,V160*27/O160)</f>
        <v>2.45454545454545</v>
      </c>
      <c r="AC160" s="18" t="n">
        <f aca="false">IF(V160=0,0,W160/V160)</f>
        <v>4.3</v>
      </c>
      <c r="AD160" s="18" t="n">
        <f aca="false">IF(P160=0,0,(13*U160+3*(V160+X160)-2*W160)/P160+INDEX(球季參數!$C$2:$C$4,MATCH($A160,球季參數!$A$2:$A$4,0)))</f>
        <v>3.81181818181818</v>
      </c>
      <c r="AE160" s="11" t="n">
        <f aca="false">IF(P160&gt;=INDEX(球季參數!$F$2:$F$4,MATCH($A160,球季參數!$A$2:$A$4,0)),1,0)</f>
        <v>0</v>
      </c>
    </row>
    <row r="161" customFormat="false" ht="15" hidden="false" customHeight="false" outlineLevel="0" collapsed="false">
      <c r="A161" s="5" t="n">
        <v>2024</v>
      </c>
      <c r="B161" s="7" t="s">
        <v>1115</v>
      </c>
      <c r="C161" s="10" t="str">
        <f aca="false">INDEX(球員主檔!$B$2:$B$749,MATCH($B161,球員主檔!$A$2:$A$749,0))</f>
        <v>Garrison Haverford</v>
      </c>
      <c r="D161" s="7" t="s">
        <v>404</v>
      </c>
      <c r="E161" s="10" t="str">
        <f aca="false">INDEX(球隊主檔!$C$2:$C$31,MATCH($D161,球隊主檔!$A$2:$A$31,0))</f>
        <v>亞特蘭大勇士</v>
      </c>
      <c r="F161" s="10" t="str">
        <f aca="false">INDEX(球隊主檔!$D$2:$D$31,MATCH($D161,球隊主檔!$A$2:$A$31,0))</f>
        <v>國聯</v>
      </c>
      <c r="G161" s="7" t="s">
        <v>507</v>
      </c>
      <c r="H161" s="11" t="n">
        <f aca="false">INT((DATE($A161,7,1)-INDEX(球員主檔!$G$2:$G$749,MATCH($B161,球員主檔!$A$2:$A$749,0)))/365.25)</f>
        <v>30</v>
      </c>
      <c r="I161" s="12" t="n">
        <v>7</v>
      </c>
      <c r="J161" s="12" t="n">
        <v>0</v>
      </c>
      <c r="K161" s="12" t="n">
        <v>6</v>
      </c>
      <c r="L161" s="12" t="n">
        <v>11</v>
      </c>
      <c r="M161" s="12" t="n">
        <v>39</v>
      </c>
      <c r="N161" s="12" t="n">
        <v>0</v>
      </c>
      <c r="O161" s="12" t="n">
        <v>120</v>
      </c>
      <c r="P161" s="16" t="n">
        <f aca="false">O161/3</f>
        <v>40</v>
      </c>
      <c r="Q161" s="17" t="str">
        <f aca="false">INT(O161/3)&amp;"."&amp;MOD(O161,3)</f>
        <v>40.0</v>
      </c>
      <c r="R161" s="12" t="n">
        <v>34</v>
      </c>
      <c r="S161" s="12" t="n">
        <v>17</v>
      </c>
      <c r="T161" s="12" t="n">
        <v>16</v>
      </c>
      <c r="U161" s="12" t="n">
        <v>3</v>
      </c>
      <c r="V161" s="12" t="n">
        <v>12</v>
      </c>
      <c r="W161" s="12" t="n">
        <v>44</v>
      </c>
      <c r="X161" s="12" t="n">
        <v>2</v>
      </c>
      <c r="Y161" s="18" t="n">
        <f aca="false">IF(O161=0,0,T161*27/O161)</f>
        <v>3.6</v>
      </c>
      <c r="Z161" s="18" t="n">
        <f aca="false">IF(P161=0,0,(V161+R161)/P161)</f>
        <v>1.15</v>
      </c>
      <c r="AA161" s="18" t="n">
        <f aca="false">IF(O161=0,0,W161*27/O161)</f>
        <v>9.9</v>
      </c>
      <c r="AB161" s="18" t="n">
        <f aca="false">IF(O161=0,0,V161*27/O161)</f>
        <v>2.7</v>
      </c>
      <c r="AC161" s="18" t="n">
        <f aca="false">IF(V161=0,0,W161/V161)</f>
        <v>3.66666666666667</v>
      </c>
      <c r="AD161" s="18" t="n">
        <f aca="false">IF(P161=0,0,(13*U161+3*(V161+X161)-2*W161)/P161+INDEX(球季參數!$C$2:$C$4,MATCH($A161,球季參數!$A$2:$A$4,0)))</f>
        <v>2.955</v>
      </c>
      <c r="AE161" s="11" t="n">
        <f aca="false">IF(P161&gt;=INDEX(球季參數!$F$2:$F$4,MATCH($A161,球季參數!$A$2:$A$4,0)),1,0)</f>
        <v>0</v>
      </c>
    </row>
    <row r="162" customFormat="false" ht="15" hidden="false" customHeight="false" outlineLevel="0" collapsed="false">
      <c r="A162" s="5" t="n">
        <v>2024</v>
      </c>
      <c r="B162" s="7" t="s">
        <v>1137</v>
      </c>
      <c r="C162" s="10" t="str">
        <f aca="false">INDEX(球員主檔!$B$2:$B$749,MATCH($B162,球員主檔!$A$2:$A$749,0))</f>
        <v>Oakley Wexford</v>
      </c>
      <c r="D162" s="7" t="s">
        <v>410</v>
      </c>
      <c r="E162" s="10" t="str">
        <f aca="false">INDEX(球隊主檔!$C$2:$C$31,MATCH($D162,球隊主檔!$A$2:$A$31,0))</f>
        <v>邁阿密馬林魚</v>
      </c>
      <c r="F162" s="10" t="str">
        <f aca="false">INDEX(球隊主檔!$D$2:$D$31,MATCH($D162,球隊主檔!$A$2:$A$31,0))</f>
        <v>國聯</v>
      </c>
      <c r="G162" s="7" t="s">
        <v>496</v>
      </c>
      <c r="H162" s="11" t="n">
        <f aca="false">INT((DATE($A162,7,1)-INDEX(球員主檔!$G$2:$G$749,MATCH($B162,球員主檔!$A$2:$A$749,0)))/365.25)</f>
        <v>25</v>
      </c>
      <c r="I162" s="12" t="n">
        <v>11</v>
      </c>
      <c r="J162" s="12" t="n">
        <v>8</v>
      </c>
      <c r="K162" s="12" t="n">
        <v>0</v>
      </c>
      <c r="L162" s="12" t="n">
        <v>0</v>
      </c>
      <c r="M162" s="12" t="n">
        <v>31</v>
      </c>
      <c r="N162" s="12" t="n">
        <v>31</v>
      </c>
      <c r="O162" s="12" t="n">
        <v>473</v>
      </c>
      <c r="P162" s="16" t="n">
        <f aca="false">O162/3</f>
        <v>157.666666666667</v>
      </c>
      <c r="Q162" s="17" t="str">
        <f aca="false">INT(O162/3)&amp;"."&amp;MOD(O162,3)</f>
        <v>157.2</v>
      </c>
      <c r="R162" s="12" t="n">
        <v>134</v>
      </c>
      <c r="S162" s="12" t="n">
        <v>78</v>
      </c>
      <c r="T162" s="12" t="n">
        <v>76</v>
      </c>
      <c r="U162" s="12" t="n">
        <v>22</v>
      </c>
      <c r="V162" s="12" t="n">
        <v>87</v>
      </c>
      <c r="W162" s="12" t="n">
        <v>141</v>
      </c>
      <c r="X162" s="12" t="n">
        <v>7</v>
      </c>
      <c r="Y162" s="18" t="n">
        <f aca="false">IF(O162=0,0,T162*27/O162)</f>
        <v>4.33826638477801</v>
      </c>
      <c r="Z162" s="18" t="n">
        <f aca="false">IF(P162=0,0,(V162+R162)/P162)</f>
        <v>1.40169133192389</v>
      </c>
      <c r="AA162" s="18" t="n">
        <f aca="false">IF(O162=0,0,W162*27/O162)</f>
        <v>8.04862579281184</v>
      </c>
      <c r="AB162" s="18" t="n">
        <f aca="false">IF(O162=0,0,V162*27/O162)</f>
        <v>4.9661733615222</v>
      </c>
      <c r="AC162" s="18" t="n">
        <f aca="false">IF(V162=0,0,W162/V162)</f>
        <v>1.62068965517241</v>
      </c>
      <c r="AD162" s="18" t="n">
        <f aca="false">IF(P162=0,0,(13*U162+3*(V162+X162)-2*W162)/P162+INDEX(球季參數!$C$2:$C$4,MATCH($A162,球季參數!$A$2:$A$4,0)))</f>
        <v>4.94395348837209</v>
      </c>
      <c r="AE162" s="11" t="n">
        <f aca="false">IF(P162&gt;=INDEX(球季參數!$F$2:$F$4,MATCH($A162,球季參數!$A$2:$A$4,0)),1,0)</f>
        <v>0</v>
      </c>
    </row>
    <row r="163" customFormat="false" ht="15" hidden="false" customHeight="false" outlineLevel="0" collapsed="false">
      <c r="A163" s="5" t="n">
        <v>2024</v>
      </c>
      <c r="B163" s="7" t="s">
        <v>1139</v>
      </c>
      <c r="C163" s="10" t="str">
        <f aca="false">INDEX(球員主檔!$B$2:$B$749,MATCH($B163,球員主檔!$A$2:$A$749,0))</f>
        <v>Augustin Nordstrom</v>
      </c>
      <c r="D163" s="7" t="s">
        <v>410</v>
      </c>
      <c r="E163" s="10" t="str">
        <f aca="false">INDEX(球隊主檔!$C$2:$C$31,MATCH($D163,球隊主檔!$A$2:$A$31,0))</f>
        <v>邁阿密馬林魚</v>
      </c>
      <c r="F163" s="10" t="str">
        <f aca="false">INDEX(球隊主檔!$D$2:$D$31,MATCH($D163,球隊主檔!$A$2:$A$31,0))</f>
        <v>國聯</v>
      </c>
      <c r="G163" s="7" t="s">
        <v>496</v>
      </c>
      <c r="H163" s="11" t="n">
        <f aca="false">INT((DATE($A163,7,1)-INDEX(球員主檔!$G$2:$G$749,MATCH($B163,球員主檔!$A$2:$A$749,0)))/365.25)</f>
        <v>33</v>
      </c>
      <c r="I163" s="12" t="n">
        <v>9</v>
      </c>
      <c r="J163" s="12" t="n">
        <v>7</v>
      </c>
      <c r="K163" s="12" t="n">
        <v>0</v>
      </c>
      <c r="L163" s="12" t="n">
        <v>0</v>
      </c>
      <c r="M163" s="12" t="n">
        <v>24</v>
      </c>
      <c r="N163" s="12" t="n">
        <v>24</v>
      </c>
      <c r="O163" s="12" t="n">
        <v>377</v>
      </c>
      <c r="P163" s="16" t="n">
        <f aca="false">O163/3</f>
        <v>125.666666666667</v>
      </c>
      <c r="Q163" s="17" t="str">
        <f aca="false">INT(O163/3)&amp;"."&amp;MOD(O163,3)</f>
        <v>125.2</v>
      </c>
      <c r="R163" s="12" t="n">
        <v>123</v>
      </c>
      <c r="S163" s="12" t="n">
        <v>73</v>
      </c>
      <c r="T163" s="12" t="n">
        <v>72</v>
      </c>
      <c r="U163" s="12" t="n">
        <v>19</v>
      </c>
      <c r="V163" s="12" t="n">
        <v>55</v>
      </c>
      <c r="W163" s="12" t="n">
        <v>103</v>
      </c>
      <c r="X163" s="12" t="n">
        <v>5</v>
      </c>
      <c r="Y163" s="18" t="n">
        <f aca="false">IF(O163=0,0,T163*27/O163)</f>
        <v>5.15649867374005</v>
      </c>
      <c r="Z163" s="18" t="n">
        <f aca="false">IF(P163=0,0,(V163+R163)/P163)</f>
        <v>1.41644562334218</v>
      </c>
      <c r="AA163" s="18" t="n">
        <f aca="false">IF(O163=0,0,W163*27/O163)</f>
        <v>7.37665782493369</v>
      </c>
      <c r="AB163" s="18" t="n">
        <f aca="false">IF(O163=0,0,V163*27/O163)</f>
        <v>3.93899204244032</v>
      </c>
      <c r="AC163" s="18" t="n">
        <f aca="false">IF(V163=0,0,W163/V163)</f>
        <v>1.87272727272727</v>
      </c>
      <c r="AD163" s="18" t="n">
        <f aca="false">IF(P163=0,0,(13*U163+3*(V163+X163)-2*W163)/P163+INDEX(球季參數!$C$2:$C$4,MATCH($A163,球季參數!$A$2:$A$4,0)))</f>
        <v>4.88862068965517</v>
      </c>
      <c r="AE163" s="11" t="n">
        <f aca="false">IF(P163&gt;=INDEX(球季參數!$F$2:$F$4,MATCH($A163,球季參數!$A$2:$A$4,0)),1,0)</f>
        <v>0</v>
      </c>
    </row>
    <row r="164" customFormat="false" ht="15" hidden="false" customHeight="false" outlineLevel="0" collapsed="false">
      <c r="A164" s="5" t="n">
        <v>2024</v>
      </c>
      <c r="B164" s="7" t="s">
        <v>1141</v>
      </c>
      <c r="C164" s="10" t="str">
        <f aca="false">INDEX(球員主檔!$B$2:$B$749,MATCH($B164,球員主檔!$A$2:$A$749,0))</f>
        <v>Benedikt Zamarripa</v>
      </c>
      <c r="D164" s="7" t="s">
        <v>410</v>
      </c>
      <c r="E164" s="10" t="str">
        <f aca="false">INDEX(球隊主檔!$C$2:$C$31,MATCH($D164,球隊主檔!$A$2:$A$31,0))</f>
        <v>邁阿密馬林魚</v>
      </c>
      <c r="F164" s="10" t="str">
        <f aca="false">INDEX(球隊主檔!$D$2:$D$31,MATCH($D164,球隊主檔!$A$2:$A$31,0))</f>
        <v>國聯</v>
      </c>
      <c r="G164" s="7" t="s">
        <v>496</v>
      </c>
      <c r="H164" s="11" t="n">
        <f aca="false">INT((DATE($A164,7,1)-INDEX(球員主檔!$G$2:$G$749,MATCH($B164,球員主檔!$A$2:$A$749,0)))/365.25)</f>
        <v>30</v>
      </c>
      <c r="I164" s="12" t="n">
        <v>4</v>
      </c>
      <c r="J164" s="12" t="n">
        <v>4</v>
      </c>
      <c r="K164" s="12" t="n">
        <v>0</v>
      </c>
      <c r="L164" s="12" t="n">
        <v>0</v>
      </c>
      <c r="M164" s="12" t="n">
        <v>14</v>
      </c>
      <c r="N164" s="12" t="n">
        <v>14</v>
      </c>
      <c r="O164" s="12" t="n">
        <v>224</v>
      </c>
      <c r="P164" s="16" t="n">
        <f aca="false">O164/3</f>
        <v>74.6666666666667</v>
      </c>
      <c r="Q164" s="17" t="str">
        <f aca="false">INT(O164/3)&amp;"."&amp;MOD(O164,3)</f>
        <v>74.2</v>
      </c>
      <c r="R164" s="12" t="n">
        <v>61</v>
      </c>
      <c r="S164" s="12" t="n">
        <v>38</v>
      </c>
      <c r="T164" s="12" t="n">
        <v>38</v>
      </c>
      <c r="U164" s="12" t="n">
        <v>8</v>
      </c>
      <c r="V164" s="12" t="n">
        <v>29</v>
      </c>
      <c r="W164" s="12" t="n">
        <v>89</v>
      </c>
      <c r="X164" s="12" t="n">
        <v>3</v>
      </c>
      <c r="Y164" s="18" t="n">
        <f aca="false">IF(O164=0,0,T164*27/O164)</f>
        <v>4.58035714285714</v>
      </c>
      <c r="Z164" s="18" t="n">
        <f aca="false">IF(P164=0,0,(V164+R164)/P164)</f>
        <v>1.20535714285714</v>
      </c>
      <c r="AA164" s="18" t="n">
        <f aca="false">IF(O164=0,0,W164*27/O164)</f>
        <v>10.7276785714286</v>
      </c>
      <c r="AB164" s="18" t="n">
        <f aca="false">IF(O164=0,0,V164*27/O164)</f>
        <v>3.49553571428571</v>
      </c>
      <c r="AC164" s="18" t="n">
        <f aca="false">IF(V164=0,0,W164/V164)</f>
        <v>3.06896551724138</v>
      </c>
      <c r="AD164" s="18" t="n">
        <f aca="false">IF(P164=0,0,(13*U164+3*(V164+X164)-2*W164)/P164+INDEX(球季參數!$C$2:$C$4,MATCH($A164,球季參數!$A$2:$A$4,0)))</f>
        <v>3.42464285714286</v>
      </c>
      <c r="AE164" s="11" t="n">
        <f aca="false">IF(P164&gt;=INDEX(球季參數!$F$2:$F$4,MATCH($A164,球季參數!$A$2:$A$4,0)),1,0)</f>
        <v>0</v>
      </c>
    </row>
    <row r="165" customFormat="false" ht="15" hidden="false" customHeight="false" outlineLevel="0" collapsed="false">
      <c r="A165" s="5" t="n">
        <v>2024</v>
      </c>
      <c r="B165" s="7" t="s">
        <v>1143</v>
      </c>
      <c r="C165" s="10" t="str">
        <f aca="false">INDEX(球員主檔!$B$2:$B$749,MATCH($B165,球員主檔!$A$2:$A$749,0))</f>
        <v>Minjae Esquivel</v>
      </c>
      <c r="D165" s="7" t="s">
        <v>410</v>
      </c>
      <c r="E165" s="10" t="str">
        <f aca="false">INDEX(球隊主檔!$C$2:$C$31,MATCH($D165,球隊主檔!$A$2:$A$31,0))</f>
        <v>邁阿密馬林魚</v>
      </c>
      <c r="F165" s="10" t="str">
        <f aca="false">INDEX(球隊主檔!$D$2:$D$31,MATCH($D165,球隊主檔!$A$2:$A$31,0))</f>
        <v>國聯</v>
      </c>
      <c r="G165" s="7" t="s">
        <v>496</v>
      </c>
      <c r="H165" s="11" t="n">
        <f aca="false">INT((DATE($A165,7,1)-INDEX(球員主檔!$G$2:$G$749,MATCH($B165,球員主檔!$A$2:$A$749,0)))/365.25)</f>
        <v>23</v>
      </c>
      <c r="I165" s="12" t="n">
        <v>10</v>
      </c>
      <c r="J165" s="12" t="n">
        <v>9</v>
      </c>
      <c r="K165" s="12" t="n">
        <v>0</v>
      </c>
      <c r="L165" s="12" t="n">
        <v>0</v>
      </c>
      <c r="M165" s="12" t="n">
        <v>29</v>
      </c>
      <c r="N165" s="12" t="n">
        <v>29</v>
      </c>
      <c r="O165" s="12" t="n">
        <v>456</v>
      </c>
      <c r="P165" s="16" t="n">
        <f aca="false">O165/3</f>
        <v>152</v>
      </c>
      <c r="Q165" s="17" t="str">
        <f aca="false">INT(O165/3)&amp;"."&amp;MOD(O165,3)</f>
        <v>152.0</v>
      </c>
      <c r="R165" s="12" t="n">
        <v>121</v>
      </c>
      <c r="S165" s="12" t="n">
        <v>76</v>
      </c>
      <c r="T165" s="12" t="n">
        <v>74</v>
      </c>
      <c r="U165" s="12" t="n">
        <v>15</v>
      </c>
      <c r="V165" s="12" t="n">
        <v>46</v>
      </c>
      <c r="W165" s="12" t="n">
        <v>102</v>
      </c>
      <c r="X165" s="12" t="n">
        <v>6</v>
      </c>
      <c r="Y165" s="18" t="n">
        <f aca="false">IF(O165=0,0,T165*27/O165)</f>
        <v>4.38157894736842</v>
      </c>
      <c r="Z165" s="18" t="n">
        <f aca="false">IF(P165=0,0,(V165+R165)/P165)</f>
        <v>1.09868421052632</v>
      </c>
      <c r="AA165" s="18" t="n">
        <f aca="false">IF(O165=0,0,W165*27/O165)</f>
        <v>6.03947368421053</v>
      </c>
      <c r="AB165" s="18" t="n">
        <f aca="false">IF(O165=0,0,V165*27/O165)</f>
        <v>2.72368421052632</v>
      </c>
      <c r="AC165" s="18" t="n">
        <f aca="false">IF(V165=0,0,W165/V165)</f>
        <v>2.21739130434783</v>
      </c>
      <c r="AD165" s="18" t="n">
        <f aca="false">IF(P165=0,0,(13*U165+3*(V165+X165)-2*W165)/P165+INDEX(球季參數!$C$2:$C$4,MATCH($A165,球季參數!$A$2:$A$4,0)))</f>
        <v>4.0971052631579</v>
      </c>
      <c r="AE165" s="11" t="n">
        <f aca="false">IF(P165&gt;=INDEX(球季參數!$F$2:$F$4,MATCH($A165,球季參數!$A$2:$A$4,0)),1,0)</f>
        <v>0</v>
      </c>
    </row>
    <row r="166" customFormat="false" ht="15" hidden="false" customHeight="false" outlineLevel="0" collapsed="false">
      <c r="A166" s="5" t="n">
        <v>2024</v>
      </c>
      <c r="B166" s="7" t="s">
        <v>1145</v>
      </c>
      <c r="C166" s="10" t="str">
        <f aca="false">INDEX(球員主檔!$B$2:$B$749,MATCH($B166,球員主檔!$A$2:$A$749,0))</f>
        <v>Ronin Zielinski</v>
      </c>
      <c r="D166" s="7" t="s">
        <v>410</v>
      </c>
      <c r="E166" s="10" t="str">
        <f aca="false">INDEX(球隊主檔!$C$2:$C$31,MATCH($D166,球隊主檔!$A$2:$A$31,0))</f>
        <v>邁阿密馬林魚</v>
      </c>
      <c r="F166" s="10" t="str">
        <f aca="false">INDEX(球隊主檔!$D$2:$D$31,MATCH($D166,球隊主檔!$A$2:$A$31,0))</f>
        <v>國聯</v>
      </c>
      <c r="G166" s="7" t="s">
        <v>496</v>
      </c>
      <c r="H166" s="11" t="n">
        <f aca="false">INT((DATE($A166,7,1)-INDEX(球員主檔!$G$2:$G$749,MATCH($B166,球員主檔!$A$2:$A$749,0)))/365.25)</f>
        <v>30</v>
      </c>
      <c r="I166" s="12" t="n">
        <v>8</v>
      </c>
      <c r="J166" s="12" t="n">
        <v>5</v>
      </c>
      <c r="K166" s="12" t="n">
        <v>0</v>
      </c>
      <c r="L166" s="12" t="n">
        <v>0</v>
      </c>
      <c r="M166" s="12" t="n">
        <v>18</v>
      </c>
      <c r="N166" s="12" t="n">
        <v>18</v>
      </c>
      <c r="O166" s="12" t="n">
        <v>316</v>
      </c>
      <c r="P166" s="16" t="n">
        <f aca="false">O166/3</f>
        <v>105.333333333333</v>
      </c>
      <c r="Q166" s="17" t="str">
        <f aca="false">INT(O166/3)&amp;"."&amp;MOD(O166,3)</f>
        <v>105.1</v>
      </c>
      <c r="R166" s="12" t="n">
        <v>93</v>
      </c>
      <c r="S166" s="12" t="n">
        <v>51</v>
      </c>
      <c r="T166" s="12" t="n">
        <v>49</v>
      </c>
      <c r="U166" s="12" t="n">
        <v>10</v>
      </c>
      <c r="V166" s="12" t="n">
        <v>32</v>
      </c>
      <c r="W166" s="12" t="n">
        <v>71</v>
      </c>
      <c r="X166" s="12" t="n">
        <v>6</v>
      </c>
      <c r="Y166" s="18" t="n">
        <f aca="false">IF(O166=0,0,T166*27/O166)</f>
        <v>4.18670886075949</v>
      </c>
      <c r="Z166" s="18" t="n">
        <f aca="false">IF(P166=0,0,(V166+R166)/P166)</f>
        <v>1.18670886075949</v>
      </c>
      <c r="AA166" s="18" t="n">
        <f aca="false">IF(O166=0,0,W166*27/O166)</f>
        <v>6.06645569620253</v>
      </c>
      <c r="AB166" s="18" t="n">
        <f aca="false">IF(O166=0,0,V166*27/O166)</f>
        <v>2.73417721518987</v>
      </c>
      <c r="AC166" s="18" t="n">
        <f aca="false">IF(V166=0,0,W166/V166)</f>
        <v>2.21875</v>
      </c>
      <c r="AD166" s="18" t="n">
        <f aca="false">IF(P166=0,0,(13*U166+3*(V166+X166)-2*W166)/P166+INDEX(球季參數!$C$2:$C$4,MATCH($A166,球季參數!$A$2:$A$4,0)))</f>
        <v>4.09835443037975</v>
      </c>
      <c r="AE166" s="11" t="n">
        <f aca="false">IF(P166&gt;=INDEX(球季參數!$F$2:$F$4,MATCH($A166,球季參數!$A$2:$A$4,0)),1,0)</f>
        <v>0</v>
      </c>
    </row>
    <row r="167" customFormat="false" ht="15" hidden="false" customHeight="false" outlineLevel="0" collapsed="false">
      <c r="A167" s="5" t="n">
        <v>2024</v>
      </c>
      <c r="B167" s="7" t="s">
        <v>1147</v>
      </c>
      <c r="C167" s="10" t="str">
        <f aca="false">INDEX(球員主檔!$B$2:$B$749,MATCH($B167,球員主檔!$A$2:$A$749,0))</f>
        <v>Cassius Wainwright</v>
      </c>
      <c r="D167" s="7" t="s">
        <v>410</v>
      </c>
      <c r="E167" s="10" t="str">
        <f aca="false">INDEX(球隊主檔!$C$2:$C$31,MATCH($D167,球隊主檔!$A$2:$A$31,0))</f>
        <v>邁阿密馬林魚</v>
      </c>
      <c r="F167" s="10" t="str">
        <f aca="false">INDEX(球隊主檔!$D$2:$D$31,MATCH($D167,球隊主檔!$A$2:$A$31,0))</f>
        <v>國聯</v>
      </c>
      <c r="G167" s="7" t="s">
        <v>507</v>
      </c>
      <c r="H167" s="11" t="n">
        <f aca="false">INT((DATE($A167,7,1)-INDEX(球員主檔!$G$2:$G$749,MATCH($B167,球員主檔!$A$2:$A$749,0)))/365.25)</f>
        <v>30</v>
      </c>
      <c r="I167" s="12" t="n">
        <v>0</v>
      </c>
      <c r="J167" s="12" t="n">
        <v>6</v>
      </c>
      <c r="K167" s="12" t="n">
        <v>5</v>
      </c>
      <c r="L167" s="12" t="n">
        <v>34</v>
      </c>
      <c r="M167" s="12" t="n">
        <v>66</v>
      </c>
      <c r="N167" s="12" t="n">
        <v>0</v>
      </c>
      <c r="O167" s="12" t="n">
        <v>218</v>
      </c>
      <c r="P167" s="16" t="n">
        <f aca="false">O167/3</f>
        <v>72.6666666666667</v>
      </c>
      <c r="Q167" s="17" t="str">
        <f aca="false">INT(O167/3)&amp;"."&amp;MOD(O167,3)</f>
        <v>72.2</v>
      </c>
      <c r="R167" s="12" t="n">
        <v>64</v>
      </c>
      <c r="S167" s="12" t="n">
        <v>42</v>
      </c>
      <c r="T167" s="12" t="n">
        <v>41</v>
      </c>
      <c r="U167" s="12" t="n">
        <v>5</v>
      </c>
      <c r="V167" s="12" t="n">
        <v>27</v>
      </c>
      <c r="W167" s="12" t="n">
        <v>67</v>
      </c>
      <c r="X167" s="12" t="n">
        <v>2</v>
      </c>
      <c r="Y167" s="18" t="n">
        <f aca="false">IF(O167=0,0,T167*27/O167)</f>
        <v>5.07798165137615</v>
      </c>
      <c r="Z167" s="18" t="n">
        <f aca="false">IF(P167=0,0,(V167+R167)/P167)</f>
        <v>1.25229357798165</v>
      </c>
      <c r="AA167" s="18" t="n">
        <f aca="false">IF(O167=0,0,W167*27/O167)</f>
        <v>8.29816513761468</v>
      </c>
      <c r="AB167" s="18" t="n">
        <f aca="false">IF(O167=0,0,V167*27/O167)</f>
        <v>3.34403669724771</v>
      </c>
      <c r="AC167" s="18" t="n">
        <f aca="false">IF(V167=0,0,W167/V167)</f>
        <v>2.48148148148148</v>
      </c>
      <c r="AD167" s="18" t="n">
        <f aca="false">IF(P167=0,0,(13*U167+3*(V167+X167)-2*W167)/P167+INDEX(球季參數!$C$2:$C$4,MATCH($A167,球季參數!$A$2:$A$4,0)))</f>
        <v>3.37770642201835</v>
      </c>
      <c r="AE167" s="11" t="n">
        <f aca="false">IF(P167&gt;=INDEX(球季參數!$F$2:$F$4,MATCH($A167,球季參數!$A$2:$A$4,0)),1,0)</f>
        <v>0</v>
      </c>
    </row>
    <row r="168" customFormat="false" ht="15" hidden="false" customHeight="false" outlineLevel="0" collapsed="false">
      <c r="A168" s="5" t="n">
        <v>2024</v>
      </c>
      <c r="B168" s="7" t="s">
        <v>1149</v>
      </c>
      <c r="C168" s="10" t="str">
        <f aca="false">INDEX(球員主檔!$B$2:$B$749,MATCH($B168,球員主檔!$A$2:$A$749,0))</f>
        <v>Bernardo Fontaine</v>
      </c>
      <c r="D168" s="7" t="s">
        <v>410</v>
      </c>
      <c r="E168" s="10" t="str">
        <f aca="false">INDEX(球隊主檔!$C$2:$C$31,MATCH($D168,球隊主檔!$A$2:$A$31,0))</f>
        <v>邁阿密馬林魚</v>
      </c>
      <c r="F168" s="10" t="str">
        <f aca="false">INDEX(球隊主檔!$D$2:$D$31,MATCH($D168,球隊主檔!$A$2:$A$31,0))</f>
        <v>國聯</v>
      </c>
      <c r="G168" s="7" t="s">
        <v>507</v>
      </c>
      <c r="H168" s="11" t="n">
        <f aca="false">INT((DATE($A168,7,1)-INDEX(球員主檔!$G$2:$G$749,MATCH($B168,球員主檔!$A$2:$A$749,0)))/365.25)</f>
        <v>26</v>
      </c>
      <c r="I168" s="12" t="n">
        <v>5</v>
      </c>
      <c r="J168" s="12" t="n">
        <v>5</v>
      </c>
      <c r="K168" s="12" t="n">
        <v>2</v>
      </c>
      <c r="L168" s="12" t="n">
        <v>16</v>
      </c>
      <c r="M168" s="12" t="n">
        <v>42</v>
      </c>
      <c r="N168" s="12" t="n">
        <v>0</v>
      </c>
      <c r="O168" s="12" t="n">
        <v>114</v>
      </c>
      <c r="P168" s="16" t="n">
        <f aca="false">O168/3</f>
        <v>38</v>
      </c>
      <c r="Q168" s="17" t="str">
        <f aca="false">INT(O168/3)&amp;"."&amp;MOD(O168,3)</f>
        <v>38.0</v>
      </c>
      <c r="R168" s="12" t="n">
        <v>28</v>
      </c>
      <c r="S168" s="12" t="n">
        <v>15</v>
      </c>
      <c r="T168" s="12" t="n">
        <v>14</v>
      </c>
      <c r="U168" s="12" t="n">
        <v>5</v>
      </c>
      <c r="V168" s="12" t="n">
        <v>10</v>
      </c>
      <c r="W168" s="12" t="n">
        <v>26</v>
      </c>
      <c r="X168" s="12" t="n">
        <v>2</v>
      </c>
      <c r="Y168" s="18" t="n">
        <f aca="false">IF(O168=0,0,T168*27/O168)</f>
        <v>3.31578947368421</v>
      </c>
      <c r="Z168" s="18" t="n">
        <f aca="false">IF(P168=0,0,(V168+R168)/P168)</f>
        <v>1</v>
      </c>
      <c r="AA168" s="18" t="n">
        <f aca="false">IF(O168=0,0,W168*27/O168)</f>
        <v>6.15789473684211</v>
      </c>
      <c r="AB168" s="18" t="n">
        <f aca="false">IF(O168=0,0,V168*27/O168)</f>
        <v>2.36842105263158</v>
      </c>
      <c r="AC168" s="18" t="n">
        <f aca="false">IF(V168=0,0,W168/V168)</f>
        <v>2.6</v>
      </c>
      <c r="AD168" s="18" t="n">
        <f aca="false">IF(P168=0,0,(13*U168+3*(V168+X168)-2*W168)/P168+INDEX(球季參數!$C$2:$C$4,MATCH($A168,球季參數!$A$2:$A$4,0)))</f>
        <v>4.41947368421053</v>
      </c>
      <c r="AE168" s="11" t="n">
        <f aca="false">IF(P168&gt;=INDEX(球季參數!$F$2:$F$4,MATCH($A168,球季參數!$A$2:$A$4,0)),1,0)</f>
        <v>0</v>
      </c>
    </row>
    <row r="169" customFormat="false" ht="15" hidden="false" customHeight="false" outlineLevel="0" collapsed="false">
      <c r="A169" s="5" t="n">
        <v>2024</v>
      </c>
      <c r="B169" s="7" t="s">
        <v>1151</v>
      </c>
      <c r="C169" s="10" t="str">
        <f aca="false">INDEX(球員主檔!$B$2:$B$749,MATCH($B169,球員主檔!$A$2:$A$749,0))</f>
        <v>Rintaro Castellón</v>
      </c>
      <c r="D169" s="7" t="s">
        <v>410</v>
      </c>
      <c r="E169" s="10" t="str">
        <f aca="false">INDEX(球隊主檔!$C$2:$C$31,MATCH($D169,球隊主檔!$A$2:$A$31,0))</f>
        <v>邁阿密馬林魚</v>
      </c>
      <c r="F169" s="10" t="str">
        <f aca="false">INDEX(球隊主檔!$D$2:$D$31,MATCH($D169,球隊主檔!$A$2:$A$31,0))</f>
        <v>國聯</v>
      </c>
      <c r="G169" s="7" t="s">
        <v>507</v>
      </c>
      <c r="H169" s="11" t="n">
        <f aca="false">INT((DATE($A169,7,1)-INDEX(球員主檔!$G$2:$G$749,MATCH($B169,球員主檔!$A$2:$A$749,0)))/365.25)</f>
        <v>32</v>
      </c>
      <c r="I169" s="12" t="n">
        <v>8</v>
      </c>
      <c r="J169" s="12" t="n">
        <v>4</v>
      </c>
      <c r="K169" s="12" t="n">
        <v>2</v>
      </c>
      <c r="L169" s="12" t="n">
        <v>28</v>
      </c>
      <c r="M169" s="12" t="n">
        <v>43</v>
      </c>
      <c r="N169" s="12" t="n">
        <v>0</v>
      </c>
      <c r="O169" s="12" t="n">
        <v>115</v>
      </c>
      <c r="P169" s="16" t="n">
        <f aca="false">O169/3</f>
        <v>38.3333333333333</v>
      </c>
      <c r="Q169" s="17" t="str">
        <f aca="false">INT(O169/3)&amp;"."&amp;MOD(O169,3)</f>
        <v>38.1</v>
      </c>
      <c r="R169" s="12" t="n">
        <v>32</v>
      </c>
      <c r="S169" s="12" t="n">
        <v>19</v>
      </c>
      <c r="T169" s="12" t="n">
        <v>17</v>
      </c>
      <c r="U169" s="12" t="n">
        <v>3</v>
      </c>
      <c r="V169" s="12" t="n">
        <v>8</v>
      </c>
      <c r="W169" s="12" t="n">
        <v>43</v>
      </c>
      <c r="X169" s="12" t="n">
        <v>1</v>
      </c>
      <c r="Y169" s="18" t="n">
        <f aca="false">IF(O169=0,0,T169*27/O169)</f>
        <v>3.99130434782609</v>
      </c>
      <c r="Z169" s="18" t="n">
        <f aca="false">IF(P169=0,0,(V169+R169)/P169)</f>
        <v>1.04347826086957</v>
      </c>
      <c r="AA169" s="18" t="n">
        <f aca="false">IF(O169=0,0,W169*27/O169)</f>
        <v>10.095652173913</v>
      </c>
      <c r="AB169" s="18" t="n">
        <f aca="false">IF(O169=0,0,V169*27/O169)</f>
        <v>1.87826086956522</v>
      </c>
      <c r="AC169" s="18" t="n">
        <f aca="false">IF(V169=0,0,W169/V169)</f>
        <v>5.375</v>
      </c>
      <c r="AD169" s="18" t="n">
        <f aca="false">IF(P169=0,0,(13*U169+3*(V169+X169)-2*W169)/P169+INDEX(球季參數!$C$2:$C$4,MATCH($A169,球季參數!$A$2:$A$4,0)))</f>
        <v>2.60826086956522</v>
      </c>
      <c r="AE169" s="11" t="n">
        <f aca="false">IF(P169&gt;=INDEX(球季參數!$F$2:$F$4,MATCH($A169,球季參數!$A$2:$A$4,0)),1,0)</f>
        <v>0</v>
      </c>
    </row>
    <row r="170" customFormat="false" ht="15" hidden="false" customHeight="false" outlineLevel="0" collapsed="false">
      <c r="A170" s="5" t="n">
        <v>2024</v>
      </c>
      <c r="B170" s="7" t="s">
        <v>1153</v>
      </c>
      <c r="C170" s="10" t="str">
        <f aca="false">INDEX(球員主檔!$B$2:$B$749,MATCH($B170,球員主檔!$A$2:$A$749,0))</f>
        <v>Soren Vandermeer</v>
      </c>
      <c r="D170" s="7" t="s">
        <v>410</v>
      </c>
      <c r="E170" s="10" t="str">
        <f aca="false">INDEX(球隊主檔!$C$2:$C$31,MATCH($D170,球隊主檔!$A$2:$A$31,0))</f>
        <v>邁阿密馬林魚</v>
      </c>
      <c r="F170" s="10" t="str">
        <f aca="false">INDEX(球隊主檔!$D$2:$D$31,MATCH($D170,球隊主檔!$A$2:$A$31,0))</f>
        <v>國聯</v>
      </c>
      <c r="G170" s="7" t="s">
        <v>507</v>
      </c>
      <c r="H170" s="11" t="n">
        <f aca="false">INT((DATE($A170,7,1)-INDEX(球員主檔!$G$2:$G$749,MATCH($B170,球員主檔!$A$2:$A$749,0)))/365.25)</f>
        <v>26</v>
      </c>
      <c r="I170" s="12" t="n">
        <v>7</v>
      </c>
      <c r="J170" s="12" t="n">
        <v>2</v>
      </c>
      <c r="K170" s="12" t="n">
        <v>2</v>
      </c>
      <c r="L170" s="12" t="n">
        <v>15</v>
      </c>
      <c r="M170" s="12" t="n">
        <v>57</v>
      </c>
      <c r="N170" s="12" t="n">
        <v>0</v>
      </c>
      <c r="O170" s="12" t="n">
        <v>153</v>
      </c>
      <c r="P170" s="16" t="n">
        <f aca="false">O170/3</f>
        <v>51</v>
      </c>
      <c r="Q170" s="17" t="str">
        <f aca="false">INT(O170/3)&amp;"."&amp;MOD(O170,3)</f>
        <v>51.0</v>
      </c>
      <c r="R170" s="12" t="n">
        <v>40</v>
      </c>
      <c r="S170" s="12" t="n">
        <v>17</v>
      </c>
      <c r="T170" s="12" t="n">
        <v>17</v>
      </c>
      <c r="U170" s="12" t="n">
        <v>7</v>
      </c>
      <c r="V170" s="12" t="n">
        <v>9</v>
      </c>
      <c r="W170" s="12" t="n">
        <v>62</v>
      </c>
      <c r="X170" s="12" t="n">
        <v>3</v>
      </c>
      <c r="Y170" s="18" t="n">
        <f aca="false">IF(O170=0,0,T170*27/O170)</f>
        <v>3</v>
      </c>
      <c r="Z170" s="18" t="n">
        <f aca="false">IF(P170=0,0,(V170+R170)/P170)</f>
        <v>0.96078431372549</v>
      </c>
      <c r="AA170" s="18" t="n">
        <f aca="false">IF(O170=0,0,W170*27/O170)</f>
        <v>10.9411764705882</v>
      </c>
      <c r="AB170" s="18" t="n">
        <f aca="false">IF(O170=0,0,V170*27/O170)</f>
        <v>1.58823529411765</v>
      </c>
      <c r="AC170" s="18" t="n">
        <f aca="false">IF(V170=0,0,W170/V170)</f>
        <v>6.88888888888889</v>
      </c>
      <c r="AD170" s="18" t="n">
        <f aca="false">IF(P170=0,0,(13*U170+3*(V170+X170)-2*W170)/P170+INDEX(球季參數!$C$2:$C$4,MATCH($A170,球季參數!$A$2:$A$4,0)))</f>
        <v>3.18882352941176</v>
      </c>
      <c r="AE170" s="11" t="n">
        <f aca="false">IF(P170&gt;=INDEX(球季參數!$F$2:$F$4,MATCH($A170,球季參數!$A$2:$A$4,0)),1,0)</f>
        <v>0</v>
      </c>
    </row>
    <row r="171" customFormat="false" ht="15" hidden="false" customHeight="false" outlineLevel="0" collapsed="false">
      <c r="A171" s="5" t="n">
        <v>2024</v>
      </c>
      <c r="B171" s="7" t="s">
        <v>1155</v>
      </c>
      <c r="C171" s="10" t="str">
        <f aca="false">INDEX(球員主檔!$B$2:$B$749,MATCH($B171,球員主檔!$A$2:$A$749,0))</f>
        <v>Griffin Engelhardt</v>
      </c>
      <c r="D171" s="7" t="s">
        <v>410</v>
      </c>
      <c r="E171" s="10" t="str">
        <f aca="false">INDEX(球隊主檔!$C$2:$C$31,MATCH($D171,球隊主檔!$A$2:$A$31,0))</f>
        <v>邁阿密馬林魚</v>
      </c>
      <c r="F171" s="10" t="str">
        <f aca="false">INDEX(球隊主檔!$D$2:$D$31,MATCH($D171,球隊主檔!$A$2:$A$31,0))</f>
        <v>國聯</v>
      </c>
      <c r="G171" s="7" t="s">
        <v>507</v>
      </c>
      <c r="H171" s="11" t="n">
        <f aca="false">INT((DATE($A171,7,1)-INDEX(球員主檔!$G$2:$G$749,MATCH($B171,球員主檔!$A$2:$A$749,0)))/365.25)</f>
        <v>28</v>
      </c>
      <c r="I171" s="12" t="n">
        <v>0</v>
      </c>
      <c r="J171" s="12" t="n">
        <v>3</v>
      </c>
      <c r="K171" s="12" t="n">
        <v>3</v>
      </c>
      <c r="L171" s="12" t="n">
        <v>2</v>
      </c>
      <c r="M171" s="12" t="n">
        <v>60</v>
      </c>
      <c r="N171" s="12" t="n">
        <v>0</v>
      </c>
      <c r="O171" s="12" t="n">
        <v>191</v>
      </c>
      <c r="P171" s="16" t="n">
        <f aca="false">O171/3</f>
        <v>63.6666666666667</v>
      </c>
      <c r="Q171" s="17" t="str">
        <f aca="false">INT(O171/3)&amp;"."&amp;MOD(O171,3)</f>
        <v>63.2</v>
      </c>
      <c r="R171" s="12" t="n">
        <v>49</v>
      </c>
      <c r="S171" s="12" t="n">
        <v>21</v>
      </c>
      <c r="T171" s="12" t="n">
        <v>19</v>
      </c>
      <c r="U171" s="12" t="n">
        <v>9</v>
      </c>
      <c r="V171" s="12" t="n">
        <v>17</v>
      </c>
      <c r="W171" s="12" t="n">
        <v>78</v>
      </c>
      <c r="X171" s="12" t="n">
        <v>1</v>
      </c>
      <c r="Y171" s="18" t="n">
        <f aca="false">IF(O171=0,0,T171*27/O171)</f>
        <v>2.68586387434555</v>
      </c>
      <c r="Z171" s="18" t="n">
        <f aca="false">IF(P171=0,0,(V171+R171)/P171)</f>
        <v>1.03664921465969</v>
      </c>
      <c r="AA171" s="18" t="n">
        <f aca="false">IF(O171=0,0,W171*27/O171)</f>
        <v>11.0261780104712</v>
      </c>
      <c r="AB171" s="18" t="n">
        <f aca="false">IF(O171=0,0,V171*27/O171)</f>
        <v>2.40314136125654</v>
      </c>
      <c r="AC171" s="18" t="n">
        <f aca="false">IF(V171=0,0,W171/V171)</f>
        <v>4.58823529411765</v>
      </c>
      <c r="AD171" s="18" t="n">
        <f aca="false">IF(P171=0,0,(13*U171+3*(V171+X171)-2*W171)/P171+INDEX(球季參數!$C$2:$C$4,MATCH($A171,球季參數!$A$2:$A$4,0)))</f>
        <v>3.36560209424084</v>
      </c>
      <c r="AE171" s="11" t="n">
        <f aca="false">IF(P171&gt;=INDEX(球季參數!$F$2:$F$4,MATCH($A171,球季參數!$A$2:$A$4,0)),1,0)</f>
        <v>0</v>
      </c>
    </row>
    <row r="172" customFormat="false" ht="15" hidden="false" customHeight="false" outlineLevel="0" collapsed="false">
      <c r="A172" s="5" t="n">
        <v>2024</v>
      </c>
      <c r="B172" s="7" t="s">
        <v>1177</v>
      </c>
      <c r="C172" s="10" t="str">
        <f aca="false">INDEX(球員主檔!$B$2:$B$749,MATCH($B172,球員主檔!$A$2:$A$749,0))</f>
        <v>Camilo Tremblay</v>
      </c>
      <c r="D172" s="7" t="s">
        <v>414</v>
      </c>
      <c r="E172" s="10" t="str">
        <f aca="false">INDEX(球隊主檔!$C$2:$C$31,MATCH($D172,球隊主檔!$A$2:$A$31,0))</f>
        <v>紐約大都會</v>
      </c>
      <c r="F172" s="10" t="str">
        <f aca="false">INDEX(球隊主檔!$D$2:$D$31,MATCH($D172,球隊主檔!$A$2:$A$31,0))</f>
        <v>國聯</v>
      </c>
      <c r="G172" s="7" t="s">
        <v>496</v>
      </c>
      <c r="H172" s="11" t="n">
        <f aca="false">INT((DATE($A172,7,1)-INDEX(球員主檔!$G$2:$G$749,MATCH($B172,球員主檔!$A$2:$A$749,0)))/365.25)</f>
        <v>32</v>
      </c>
      <c r="I172" s="12" t="n">
        <v>8</v>
      </c>
      <c r="J172" s="12" t="n">
        <v>8</v>
      </c>
      <c r="K172" s="12" t="n">
        <v>0</v>
      </c>
      <c r="L172" s="12" t="n">
        <v>0</v>
      </c>
      <c r="M172" s="12" t="n">
        <v>24</v>
      </c>
      <c r="N172" s="12" t="n">
        <v>24</v>
      </c>
      <c r="O172" s="12" t="n">
        <v>447</v>
      </c>
      <c r="P172" s="16" t="n">
        <f aca="false">O172/3</f>
        <v>149</v>
      </c>
      <c r="Q172" s="17" t="str">
        <f aca="false">INT(O172/3)&amp;"."&amp;MOD(O172,3)</f>
        <v>149.0</v>
      </c>
      <c r="R172" s="12" t="n">
        <v>141</v>
      </c>
      <c r="S172" s="12" t="n">
        <v>91</v>
      </c>
      <c r="T172" s="12" t="n">
        <v>82</v>
      </c>
      <c r="U172" s="12" t="n">
        <v>21</v>
      </c>
      <c r="V172" s="12" t="n">
        <v>50</v>
      </c>
      <c r="W172" s="12" t="n">
        <v>126</v>
      </c>
      <c r="X172" s="12" t="n">
        <v>5</v>
      </c>
      <c r="Y172" s="18" t="n">
        <f aca="false">IF(O172=0,0,T172*27/O172)</f>
        <v>4.95302013422819</v>
      </c>
      <c r="Z172" s="18" t="n">
        <f aca="false">IF(P172=0,0,(V172+R172)/P172)</f>
        <v>1.28187919463087</v>
      </c>
      <c r="AA172" s="18" t="n">
        <f aca="false">IF(O172=0,0,W172*27/O172)</f>
        <v>7.61073825503356</v>
      </c>
      <c r="AB172" s="18" t="n">
        <f aca="false">IF(O172=0,0,V172*27/O172)</f>
        <v>3.02013422818792</v>
      </c>
      <c r="AC172" s="18" t="n">
        <f aca="false">IF(V172=0,0,W172/V172)</f>
        <v>2.52</v>
      </c>
      <c r="AD172" s="18" t="n">
        <f aca="false">IF(P172=0,0,(13*U172+3*(V172+X172)-2*W172)/P172+INDEX(球季參數!$C$2:$C$4,MATCH($A172,球季參數!$A$2:$A$4,0)))</f>
        <v>4.37832214765101</v>
      </c>
      <c r="AE172" s="11" t="n">
        <f aca="false">IF(P172&gt;=INDEX(球季參數!$F$2:$F$4,MATCH($A172,球季參數!$A$2:$A$4,0)),1,0)</f>
        <v>0</v>
      </c>
    </row>
    <row r="173" customFormat="false" ht="15" hidden="false" customHeight="false" outlineLevel="0" collapsed="false">
      <c r="A173" s="5" t="n">
        <v>2024</v>
      </c>
      <c r="B173" s="7" t="s">
        <v>1179</v>
      </c>
      <c r="C173" s="10" t="str">
        <f aca="false">INDEX(球員主檔!$B$2:$B$749,MATCH($B173,球員主檔!$A$2:$A$749,0))</f>
        <v>Alonso Ulloa</v>
      </c>
      <c r="D173" s="7" t="s">
        <v>414</v>
      </c>
      <c r="E173" s="10" t="str">
        <f aca="false">INDEX(球隊主檔!$C$2:$C$31,MATCH($D173,球隊主檔!$A$2:$A$31,0))</f>
        <v>紐約大都會</v>
      </c>
      <c r="F173" s="10" t="str">
        <f aca="false">INDEX(球隊主檔!$D$2:$D$31,MATCH($D173,球隊主檔!$A$2:$A$31,0))</f>
        <v>國聯</v>
      </c>
      <c r="G173" s="7" t="s">
        <v>496</v>
      </c>
      <c r="H173" s="11" t="n">
        <f aca="false">INT((DATE($A173,7,1)-INDEX(球員主檔!$G$2:$G$749,MATCH($B173,球員主檔!$A$2:$A$749,0)))/365.25)</f>
        <v>26</v>
      </c>
      <c r="I173" s="12" t="n">
        <v>7</v>
      </c>
      <c r="J173" s="12" t="n">
        <v>4</v>
      </c>
      <c r="K173" s="12" t="n">
        <v>0</v>
      </c>
      <c r="L173" s="12" t="n">
        <v>0</v>
      </c>
      <c r="M173" s="12" t="n">
        <v>21</v>
      </c>
      <c r="N173" s="12" t="n">
        <v>21</v>
      </c>
      <c r="O173" s="12" t="n">
        <v>344</v>
      </c>
      <c r="P173" s="16" t="n">
        <f aca="false">O173/3</f>
        <v>114.666666666667</v>
      </c>
      <c r="Q173" s="17" t="str">
        <f aca="false">INT(O173/3)&amp;"."&amp;MOD(O173,3)</f>
        <v>114.2</v>
      </c>
      <c r="R173" s="12" t="n">
        <v>93</v>
      </c>
      <c r="S173" s="12" t="n">
        <v>48</v>
      </c>
      <c r="T173" s="12" t="n">
        <v>47</v>
      </c>
      <c r="U173" s="12" t="n">
        <v>22</v>
      </c>
      <c r="V173" s="12" t="n">
        <v>35</v>
      </c>
      <c r="W173" s="12" t="n">
        <v>93</v>
      </c>
      <c r="X173" s="12" t="n">
        <v>3</v>
      </c>
      <c r="Y173" s="18" t="n">
        <f aca="false">IF(O173=0,0,T173*27/O173)</f>
        <v>3.68895348837209</v>
      </c>
      <c r="Z173" s="18" t="n">
        <f aca="false">IF(P173=0,0,(V173+R173)/P173)</f>
        <v>1.11627906976744</v>
      </c>
      <c r="AA173" s="18" t="n">
        <f aca="false">IF(O173=0,0,W173*27/O173)</f>
        <v>7.29941860465116</v>
      </c>
      <c r="AB173" s="18" t="n">
        <f aca="false">IF(O173=0,0,V173*27/O173)</f>
        <v>2.74709302325581</v>
      </c>
      <c r="AC173" s="18" t="n">
        <f aca="false">IF(V173=0,0,W173/V173)</f>
        <v>2.65714285714286</v>
      </c>
      <c r="AD173" s="18" t="n">
        <f aca="false">IF(P173=0,0,(13*U173+3*(V173+X173)-2*W173)/P173+INDEX(球季參數!$C$2:$C$4,MATCH($A173,球季參數!$A$2:$A$4,0)))</f>
        <v>4.99627906976744</v>
      </c>
      <c r="AE173" s="11" t="n">
        <f aca="false">IF(P173&gt;=INDEX(球季參數!$F$2:$F$4,MATCH($A173,球季參數!$A$2:$A$4,0)),1,0)</f>
        <v>0</v>
      </c>
    </row>
    <row r="174" customFormat="false" ht="15" hidden="false" customHeight="false" outlineLevel="0" collapsed="false">
      <c r="A174" s="5" t="n">
        <v>2024</v>
      </c>
      <c r="B174" s="7" t="s">
        <v>1181</v>
      </c>
      <c r="C174" s="10" t="str">
        <f aca="false">INDEX(球員主檔!$B$2:$B$749,MATCH($B174,球員主檔!$A$2:$A$749,0))</f>
        <v>Matthias Whitmore</v>
      </c>
      <c r="D174" s="7" t="s">
        <v>414</v>
      </c>
      <c r="E174" s="10" t="str">
        <f aca="false">INDEX(球隊主檔!$C$2:$C$31,MATCH($D174,球隊主檔!$A$2:$A$31,0))</f>
        <v>紐約大都會</v>
      </c>
      <c r="F174" s="10" t="str">
        <f aca="false">INDEX(球隊主檔!$D$2:$D$31,MATCH($D174,球隊主檔!$A$2:$A$31,0))</f>
        <v>國聯</v>
      </c>
      <c r="G174" s="7" t="s">
        <v>496</v>
      </c>
      <c r="H174" s="11" t="n">
        <f aca="false">INT((DATE($A174,7,1)-INDEX(球員主檔!$G$2:$G$749,MATCH($B174,球員主檔!$A$2:$A$749,0)))/365.25)</f>
        <v>28</v>
      </c>
      <c r="I174" s="12" t="n">
        <v>12</v>
      </c>
      <c r="J174" s="12" t="n">
        <v>6</v>
      </c>
      <c r="K174" s="12" t="n">
        <v>0</v>
      </c>
      <c r="L174" s="12" t="n">
        <v>0</v>
      </c>
      <c r="M174" s="12" t="n">
        <v>25</v>
      </c>
      <c r="N174" s="12" t="n">
        <v>25</v>
      </c>
      <c r="O174" s="12" t="n">
        <v>473</v>
      </c>
      <c r="P174" s="16" t="n">
        <f aca="false">O174/3</f>
        <v>157.666666666667</v>
      </c>
      <c r="Q174" s="17" t="str">
        <f aca="false">INT(O174/3)&amp;"."&amp;MOD(O174,3)</f>
        <v>157.2</v>
      </c>
      <c r="R174" s="12" t="n">
        <v>124</v>
      </c>
      <c r="S174" s="12" t="n">
        <v>84</v>
      </c>
      <c r="T174" s="12" t="n">
        <v>74</v>
      </c>
      <c r="U174" s="12" t="n">
        <v>19</v>
      </c>
      <c r="V174" s="12" t="n">
        <v>48</v>
      </c>
      <c r="W174" s="12" t="n">
        <v>128</v>
      </c>
      <c r="X174" s="12" t="n">
        <v>5</v>
      </c>
      <c r="Y174" s="18" t="n">
        <f aca="false">IF(O174=0,0,T174*27/O174)</f>
        <v>4.22410147991543</v>
      </c>
      <c r="Z174" s="18" t="n">
        <f aca="false">IF(P174=0,0,(V174+R174)/P174)</f>
        <v>1.09090909090909</v>
      </c>
      <c r="AA174" s="18" t="n">
        <f aca="false">IF(O174=0,0,W174*27/O174)</f>
        <v>7.30655391120507</v>
      </c>
      <c r="AB174" s="18" t="n">
        <f aca="false">IF(O174=0,0,V174*27/O174)</f>
        <v>2.7399577167019</v>
      </c>
      <c r="AC174" s="18" t="n">
        <f aca="false">IF(V174=0,0,W174/V174)</f>
        <v>2.66666666666667</v>
      </c>
      <c r="AD174" s="18" t="n">
        <f aca="false">IF(P174=0,0,(13*U174+3*(V174+X174)-2*W174)/P174+INDEX(球季參數!$C$2:$C$4,MATCH($A174,球季參數!$A$2:$A$4,0)))</f>
        <v>4.08137420718816</v>
      </c>
      <c r="AE174" s="11" t="n">
        <f aca="false">IF(P174&gt;=INDEX(球季參數!$F$2:$F$4,MATCH($A174,球季參數!$A$2:$A$4,0)),1,0)</f>
        <v>0</v>
      </c>
    </row>
    <row r="175" customFormat="false" ht="15" hidden="false" customHeight="false" outlineLevel="0" collapsed="false">
      <c r="A175" s="5" t="n">
        <v>2024</v>
      </c>
      <c r="B175" s="7" t="s">
        <v>1183</v>
      </c>
      <c r="C175" s="10" t="str">
        <f aca="false">INDEX(球員主檔!$B$2:$B$749,MATCH($B175,球員主檔!$A$2:$A$749,0))</f>
        <v>Wyatt Castellón</v>
      </c>
      <c r="D175" s="7" t="s">
        <v>414</v>
      </c>
      <c r="E175" s="10" t="str">
        <f aca="false">INDEX(球隊主檔!$C$2:$C$31,MATCH($D175,球隊主檔!$A$2:$A$31,0))</f>
        <v>紐約大都會</v>
      </c>
      <c r="F175" s="10" t="str">
        <f aca="false">INDEX(球隊主檔!$D$2:$D$31,MATCH($D175,球隊主檔!$A$2:$A$31,0))</f>
        <v>國聯</v>
      </c>
      <c r="G175" s="7" t="s">
        <v>496</v>
      </c>
      <c r="H175" s="11" t="n">
        <f aca="false">INT((DATE($A175,7,1)-INDEX(球員主檔!$G$2:$G$749,MATCH($B175,球員主檔!$A$2:$A$749,0)))/365.25)</f>
        <v>23</v>
      </c>
      <c r="I175" s="12" t="n">
        <v>9</v>
      </c>
      <c r="J175" s="12" t="n">
        <v>16</v>
      </c>
      <c r="K175" s="12" t="n">
        <v>0</v>
      </c>
      <c r="L175" s="12" t="n">
        <v>0</v>
      </c>
      <c r="M175" s="12" t="n">
        <v>33</v>
      </c>
      <c r="N175" s="12" t="n">
        <v>33</v>
      </c>
      <c r="O175" s="12" t="n">
        <v>485</v>
      </c>
      <c r="P175" s="16" t="n">
        <f aca="false">O175/3</f>
        <v>161.666666666667</v>
      </c>
      <c r="Q175" s="17" t="str">
        <f aca="false">INT(O175/3)&amp;"."&amp;MOD(O175,3)</f>
        <v>161.2</v>
      </c>
      <c r="R175" s="12" t="n">
        <v>169</v>
      </c>
      <c r="S175" s="12" t="n">
        <v>115</v>
      </c>
      <c r="T175" s="12" t="n">
        <v>107</v>
      </c>
      <c r="U175" s="12" t="n">
        <v>31</v>
      </c>
      <c r="V175" s="12" t="n">
        <v>61</v>
      </c>
      <c r="W175" s="12" t="n">
        <v>104</v>
      </c>
      <c r="X175" s="12" t="n">
        <v>4</v>
      </c>
      <c r="Y175" s="18" t="n">
        <f aca="false">IF(O175=0,0,T175*27/O175)</f>
        <v>5.95670103092784</v>
      </c>
      <c r="Z175" s="18" t="n">
        <f aca="false">IF(P175=0,0,(V175+R175)/P175)</f>
        <v>1.42268041237113</v>
      </c>
      <c r="AA175" s="18" t="n">
        <f aca="false">IF(O175=0,0,W175*27/O175)</f>
        <v>5.78969072164948</v>
      </c>
      <c r="AB175" s="18" t="n">
        <f aca="false">IF(O175=0,0,V175*27/O175)</f>
        <v>3.39587628865979</v>
      </c>
      <c r="AC175" s="18" t="n">
        <f aca="false">IF(V175=0,0,W175/V175)</f>
        <v>1.70491803278689</v>
      </c>
      <c r="AD175" s="18" t="n">
        <f aca="false">IF(P175=0,0,(13*U175+3*(V175+X175)-2*W175)/P175+INDEX(球季參數!$C$2:$C$4,MATCH($A175,球季參數!$A$2:$A$4,0)))</f>
        <v>5.54237113402062</v>
      </c>
      <c r="AE175" s="11" t="n">
        <f aca="false">IF(P175&gt;=INDEX(球季參數!$F$2:$F$4,MATCH($A175,球季參數!$A$2:$A$4,0)),1,0)</f>
        <v>0</v>
      </c>
    </row>
    <row r="176" customFormat="false" ht="15" hidden="false" customHeight="false" outlineLevel="0" collapsed="false">
      <c r="A176" s="5" t="n">
        <v>2024</v>
      </c>
      <c r="B176" s="7" t="s">
        <v>1185</v>
      </c>
      <c r="C176" s="10" t="str">
        <f aca="false">INDEX(球員主檔!$B$2:$B$749,MATCH($B176,球員主檔!$A$2:$A$749,0))</f>
        <v>Percival Garrity</v>
      </c>
      <c r="D176" s="7" t="s">
        <v>414</v>
      </c>
      <c r="E176" s="10" t="str">
        <f aca="false">INDEX(球隊主檔!$C$2:$C$31,MATCH($D176,球隊主檔!$A$2:$A$31,0))</f>
        <v>紐約大都會</v>
      </c>
      <c r="F176" s="10" t="str">
        <f aca="false">INDEX(球隊主檔!$D$2:$D$31,MATCH($D176,球隊主檔!$A$2:$A$31,0))</f>
        <v>國聯</v>
      </c>
      <c r="G176" s="7" t="s">
        <v>496</v>
      </c>
      <c r="H176" s="11" t="n">
        <f aca="false">INT((DATE($A176,7,1)-INDEX(球員主檔!$G$2:$G$749,MATCH($B176,球員主檔!$A$2:$A$749,0)))/365.25)</f>
        <v>29</v>
      </c>
      <c r="I176" s="12" t="n">
        <v>8</v>
      </c>
      <c r="J176" s="12" t="n">
        <v>3</v>
      </c>
      <c r="K176" s="12" t="n">
        <v>0</v>
      </c>
      <c r="L176" s="12" t="n">
        <v>0</v>
      </c>
      <c r="M176" s="12" t="n">
        <v>17</v>
      </c>
      <c r="N176" s="12" t="n">
        <v>17</v>
      </c>
      <c r="O176" s="12" t="n">
        <v>277</v>
      </c>
      <c r="P176" s="16" t="n">
        <f aca="false">O176/3</f>
        <v>92.3333333333333</v>
      </c>
      <c r="Q176" s="17" t="str">
        <f aca="false">INT(O176/3)&amp;"."&amp;MOD(O176,3)</f>
        <v>92.1</v>
      </c>
      <c r="R176" s="12" t="n">
        <v>72</v>
      </c>
      <c r="S176" s="12" t="n">
        <v>30</v>
      </c>
      <c r="T176" s="12" t="n">
        <v>30</v>
      </c>
      <c r="U176" s="12" t="n">
        <v>5</v>
      </c>
      <c r="V176" s="12" t="n">
        <v>25</v>
      </c>
      <c r="W176" s="12" t="n">
        <v>66</v>
      </c>
      <c r="X176" s="12" t="n">
        <v>3</v>
      </c>
      <c r="Y176" s="18" t="n">
        <f aca="false">IF(O176=0,0,T176*27/O176)</f>
        <v>2.92418772563177</v>
      </c>
      <c r="Z176" s="18" t="n">
        <f aca="false">IF(P176=0,0,(V176+R176)/P176)</f>
        <v>1.05054151624549</v>
      </c>
      <c r="AA176" s="18" t="n">
        <f aca="false">IF(O176=0,0,W176*27/O176)</f>
        <v>6.43321299638989</v>
      </c>
      <c r="AB176" s="18" t="n">
        <f aca="false">IF(O176=0,0,V176*27/O176)</f>
        <v>2.43682310469314</v>
      </c>
      <c r="AC176" s="18" t="n">
        <f aca="false">IF(V176=0,0,W176/V176)</f>
        <v>2.64</v>
      </c>
      <c r="AD176" s="18" t="n">
        <f aca="false">IF(P176=0,0,(13*U176+3*(V176+X176)-2*W176)/P176+INDEX(球季參數!$C$2:$C$4,MATCH($A176,球季參數!$A$2:$A$4,0)))</f>
        <v>3.3141155234657</v>
      </c>
      <c r="AE176" s="11" t="n">
        <f aca="false">IF(P176&gt;=INDEX(球季參數!$F$2:$F$4,MATCH($A176,球季參數!$A$2:$A$4,0)),1,0)</f>
        <v>0</v>
      </c>
    </row>
    <row r="177" customFormat="false" ht="15" hidden="false" customHeight="false" outlineLevel="0" collapsed="false">
      <c r="A177" s="5" t="n">
        <v>2024</v>
      </c>
      <c r="B177" s="7" t="s">
        <v>1187</v>
      </c>
      <c r="C177" s="10" t="str">
        <f aca="false">INDEX(球員主檔!$B$2:$B$749,MATCH($B177,球員主檔!$A$2:$A$749,0))</f>
        <v>Soren Villalobos</v>
      </c>
      <c r="D177" s="7" t="s">
        <v>414</v>
      </c>
      <c r="E177" s="10" t="str">
        <f aca="false">INDEX(球隊主檔!$C$2:$C$31,MATCH($D177,球隊主檔!$A$2:$A$31,0))</f>
        <v>紐約大都會</v>
      </c>
      <c r="F177" s="10" t="str">
        <f aca="false">INDEX(球隊主檔!$D$2:$D$31,MATCH($D177,球隊主檔!$A$2:$A$31,0))</f>
        <v>國聯</v>
      </c>
      <c r="G177" s="7" t="s">
        <v>507</v>
      </c>
      <c r="H177" s="11" t="n">
        <f aca="false">INT((DATE($A177,7,1)-INDEX(球員主檔!$G$2:$G$749,MATCH($B177,球員主檔!$A$2:$A$749,0)))/365.25)</f>
        <v>23</v>
      </c>
      <c r="I177" s="12" t="n">
        <v>6</v>
      </c>
      <c r="J177" s="12" t="n">
        <v>3</v>
      </c>
      <c r="K177" s="12" t="n">
        <v>45</v>
      </c>
      <c r="L177" s="12" t="n">
        <v>0</v>
      </c>
      <c r="M177" s="12" t="n">
        <v>54</v>
      </c>
      <c r="N177" s="12" t="n">
        <v>0</v>
      </c>
      <c r="O177" s="12" t="n">
        <v>140</v>
      </c>
      <c r="P177" s="16" t="n">
        <f aca="false">O177/3</f>
        <v>46.6666666666667</v>
      </c>
      <c r="Q177" s="17" t="str">
        <f aca="false">INT(O177/3)&amp;"."&amp;MOD(O177,3)</f>
        <v>46.2</v>
      </c>
      <c r="R177" s="12" t="n">
        <v>34</v>
      </c>
      <c r="S177" s="12" t="n">
        <v>14</v>
      </c>
      <c r="T177" s="12" t="n">
        <v>14</v>
      </c>
      <c r="U177" s="12" t="n">
        <v>6</v>
      </c>
      <c r="V177" s="12" t="n">
        <v>13</v>
      </c>
      <c r="W177" s="12" t="n">
        <v>49</v>
      </c>
      <c r="X177" s="12" t="n">
        <v>1</v>
      </c>
      <c r="Y177" s="18" t="n">
        <f aca="false">IF(O177=0,0,T177*27/O177)</f>
        <v>2.7</v>
      </c>
      <c r="Z177" s="18" t="n">
        <f aca="false">IF(P177=0,0,(V177+R177)/P177)</f>
        <v>1.00714285714286</v>
      </c>
      <c r="AA177" s="18" t="n">
        <f aca="false">IF(O177=0,0,W177*27/O177)</f>
        <v>9.45</v>
      </c>
      <c r="AB177" s="18" t="n">
        <f aca="false">IF(O177=0,0,V177*27/O177)</f>
        <v>2.50714285714286</v>
      </c>
      <c r="AC177" s="18" t="n">
        <f aca="false">IF(V177=0,0,W177/V177)</f>
        <v>3.76923076923077</v>
      </c>
      <c r="AD177" s="18" t="n">
        <f aca="false">IF(P177=0,0,(13*U177+3*(V177+X177)-2*W177)/P177+INDEX(球季參數!$C$2:$C$4,MATCH($A177,球季參數!$A$2:$A$4,0)))</f>
        <v>3.60142857142857</v>
      </c>
      <c r="AE177" s="11" t="n">
        <f aca="false">IF(P177&gt;=INDEX(球季參數!$F$2:$F$4,MATCH($A177,球季參數!$A$2:$A$4,0)),1,0)</f>
        <v>0</v>
      </c>
    </row>
    <row r="178" customFormat="false" ht="15" hidden="false" customHeight="false" outlineLevel="0" collapsed="false">
      <c r="A178" s="5" t="n">
        <v>2024</v>
      </c>
      <c r="B178" s="7" t="s">
        <v>1189</v>
      </c>
      <c r="C178" s="10" t="str">
        <f aca="false">INDEX(球員主檔!$B$2:$B$749,MATCH($B178,球員主檔!$A$2:$A$749,0))</f>
        <v>Isaias Thorsby</v>
      </c>
      <c r="D178" s="7" t="s">
        <v>414</v>
      </c>
      <c r="E178" s="10" t="str">
        <f aca="false">INDEX(球隊主檔!$C$2:$C$31,MATCH($D178,球隊主檔!$A$2:$A$31,0))</f>
        <v>紐約大都會</v>
      </c>
      <c r="F178" s="10" t="str">
        <f aca="false">INDEX(球隊主檔!$D$2:$D$31,MATCH($D178,球隊主檔!$A$2:$A$31,0))</f>
        <v>國聯</v>
      </c>
      <c r="G178" s="7" t="s">
        <v>507</v>
      </c>
      <c r="H178" s="11" t="n">
        <f aca="false">INT((DATE($A178,7,1)-INDEX(球員主檔!$G$2:$G$749,MATCH($B178,球員主檔!$A$2:$A$749,0)))/365.25)</f>
        <v>24</v>
      </c>
      <c r="I178" s="12" t="n">
        <v>0</v>
      </c>
      <c r="J178" s="12" t="n">
        <v>3</v>
      </c>
      <c r="K178" s="12" t="n">
        <v>6</v>
      </c>
      <c r="L178" s="12" t="n">
        <v>13</v>
      </c>
      <c r="M178" s="12" t="n">
        <v>70</v>
      </c>
      <c r="N178" s="12" t="n">
        <v>0</v>
      </c>
      <c r="O178" s="12" t="n">
        <v>191</v>
      </c>
      <c r="P178" s="16" t="n">
        <f aca="false">O178/3</f>
        <v>63.6666666666667</v>
      </c>
      <c r="Q178" s="17" t="str">
        <f aca="false">INT(O178/3)&amp;"."&amp;MOD(O178,3)</f>
        <v>63.2</v>
      </c>
      <c r="R178" s="12" t="n">
        <v>50</v>
      </c>
      <c r="S178" s="12" t="n">
        <v>30</v>
      </c>
      <c r="T178" s="12" t="n">
        <v>27</v>
      </c>
      <c r="U178" s="12" t="n">
        <v>8</v>
      </c>
      <c r="V178" s="12" t="n">
        <v>30</v>
      </c>
      <c r="W178" s="12" t="n">
        <v>51</v>
      </c>
      <c r="X178" s="12" t="n">
        <v>1</v>
      </c>
      <c r="Y178" s="18" t="n">
        <f aca="false">IF(O178=0,0,T178*27/O178)</f>
        <v>3.81675392670157</v>
      </c>
      <c r="Z178" s="18" t="n">
        <f aca="false">IF(P178=0,0,(V178+R178)/P178)</f>
        <v>1.2565445026178</v>
      </c>
      <c r="AA178" s="18" t="n">
        <f aca="false">IF(O178=0,0,W178*27/O178)</f>
        <v>7.20942408376963</v>
      </c>
      <c r="AB178" s="18" t="n">
        <f aca="false">IF(O178=0,0,V178*27/O178)</f>
        <v>4.24083769633508</v>
      </c>
      <c r="AC178" s="18" t="n">
        <f aca="false">IF(V178=0,0,W178/V178)</f>
        <v>1.7</v>
      </c>
      <c r="AD178" s="18" t="n">
        <f aca="false">IF(P178=0,0,(13*U178+3*(V178+X178)-2*W178)/P178+INDEX(球季參數!$C$2:$C$4,MATCH($A178,球季參數!$A$2:$A$4,0)))</f>
        <v>4.62214659685864</v>
      </c>
      <c r="AE178" s="11" t="n">
        <f aca="false">IF(P178&gt;=INDEX(球季參數!$F$2:$F$4,MATCH($A178,球季參數!$A$2:$A$4,0)),1,0)</f>
        <v>0</v>
      </c>
    </row>
    <row r="179" customFormat="false" ht="15" hidden="false" customHeight="false" outlineLevel="0" collapsed="false">
      <c r="A179" s="5" t="n">
        <v>2024</v>
      </c>
      <c r="B179" s="7" t="s">
        <v>1191</v>
      </c>
      <c r="C179" s="10" t="str">
        <f aca="false">INDEX(球員主檔!$B$2:$B$749,MATCH($B179,球員主檔!$A$2:$A$749,0))</f>
        <v>Niklas Ibarra</v>
      </c>
      <c r="D179" s="7" t="s">
        <v>414</v>
      </c>
      <c r="E179" s="10" t="str">
        <f aca="false">INDEX(球隊主檔!$C$2:$C$31,MATCH($D179,球隊主檔!$A$2:$A$31,0))</f>
        <v>紐約大都會</v>
      </c>
      <c r="F179" s="10" t="str">
        <f aca="false">INDEX(球隊主檔!$D$2:$D$31,MATCH($D179,球隊主檔!$A$2:$A$31,0))</f>
        <v>國聯</v>
      </c>
      <c r="G179" s="7" t="s">
        <v>507</v>
      </c>
      <c r="H179" s="11" t="n">
        <f aca="false">INT((DATE($A179,7,1)-INDEX(球員主檔!$G$2:$G$749,MATCH($B179,球員主檔!$A$2:$A$749,0)))/365.25)</f>
        <v>27</v>
      </c>
      <c r="I179" s="12" t="n">
        <v>9</v>
      </c>
      <c r="J179" s="12" t="n">
        <v>4</v>
      </c>
      <c r="K179" s="12" t="n">
        <v>0</v>
      </c>
      <c r="L179" s="12" t="n">
        <v>28</v>
      </c>
      <c r="M179" s="12" t="n">
        <v>64</v>
      </c>
      <c r="N179" s="12" t="n">
        <v>0</v>
      </c>
      <c r="O179" s="12" t="n">
        <v>216</v>
      </c>
      <c r="P179" s="16" t="n">
        <f aca="false">O179/3</f>
        <v>72</v>
      </c>
      <c r="Q179" s="17" t="str">
        <f aca="false">INT(O179/3)&amp;"."&amp;MOD(O179,3)</f>
        <v>72.0</v>
      </c>
      <c r="R179" s="12" t="n">
        <v>64</v>
      </c>
      <c r="S179" s="12" t="n">
        <v>42</v>
      </c>
      <c r="T179" s="12" t="n">
        <v>37</v>
      </c>
      <c r="U179" s="12" t="n">
        <v>12</v>
      </c>
      <c r="V179" s="12" t="n">
        <v>14</v>
      </c>
      <c r="W179" s="12" t="n">
        <v>62</v>
      </c>
      <c r="X179" s="12" t="n">
        <v>2</v>
      </c>
      <c r="Y179" s="18" t="n">
        <f aca="false">IF(O179=0,0,T179*27/O179)</f>
        <v>4.625</v>
      </c>
      <c r="Z179" s="18" t="n">
        <f aca="false">IF(P179=0,0,(V179+R179)/P179)</f>
        <v>1.08333333333333</v>
      </c>
      <c r="AA179" s="18" t="n">
        <f aca="false">IF(O179=0,0,W179*27/O179)</f>
        <v>7.75</v>
      </c>
      <c r="AB179" s="18" t="n">
        <f aca="false">IF(O179=0,0,V179*27/O179)</f>
        <v>1.75</v>
      </c>
      <c r="AC179" s="18" t="n">
        <f aca="false">IF(V179=0,0,W179/V179)</f>
        <v>4.42857142857143</v>
      </c>
      <c r="AD179" s="18" t="n">
        <f aca="false">IF(P179=0,0,(13*U179+3*(V179+X179)-2*W179)/P179+INDEX(球季參數!$C$2:$C$4,MATCH($A179,球季參數!$A$2:$A$4,0)))</f>
        <v>4.24111111111111</v>
      </c>
      <c r="AE179" s="11" t="n">
        <f aca="false">IF(P179&gt;=INDEX(球季參數!$F$2:$F$4,MATCH($A179,球季參數!$A$2:$A$4,0)),1,0)</f>
        <v>0</v>
      </c>
    </row>
    <row r="180" customFormat="false" ht="15" hidden="false" customHeight="false" outlineLevel="0" collapsed="false">
      <c r="A180" s="5" t="n">
        <v>2024</v>
      </c>
      <c r="B180" s="7" t="s">
        <v>1193</v>
      </c>
      <c r="C180" s="10" t="str">
        <f aca="false">INDEX(球員主檔!$B$2:$B$749,MATCH($B180,球員主檔!$A$2:$A$749,0))</f>
        <v>Sousuke Ravenscroft</v>
      </c>
      <c r="D180" s="7" t="s">
        <v>414</v>
      </c>
      <c r="E180" s="10" t="str">
        <f aca="false">INDEX(球隊主檔!$C$2:$C$31,MATCH($D180,球隊主檔!$A$2:$A$31,0))</f>
        <v>紐約大都會</v>
      </c>
      <c r="F180" s="10" t="str">
        <f aca="false">INDEX(球隊主檔!$D$2:$D$31,MATCH($D180,球隊主檔!$A$2:$A$31,0))</f>
        <v>國聯</v>
      </c>
      <c r="G180" s="7" t="s">
        <v>507</v>
      </c>
      <c r="H180" s="11" t="n">
        <f aca="false">INT((DATE($A180,7,1)-INDEX(球員主檔!$G$2:$G$749,MATCH($B180,球員主檔!$A$2:$A$749,0)))/365.25)</f>
        <v>31</v>
      </c>
      <c r="I180" s="12" t="n">
        <v>0</v>
      </c>
      <c r="J180" s="12" t="n">
        <v>3</v>
      </c>
      <c r="K180" s="12" t="n">
        <v>6</v>
      </c>
      <c r="L180" s="12" t="n">
        <v>9</v>
      </c>
      <c r="M180" s="12" t="n">
        <v>59</v>
      </c>
      <c r="N180" s="12" t="n">
        <v>0</v>
      </c>
      <c r="O180" s="12" t="n">
        <v>193</v>
      </c>
      <c r="P180" s="16" t="n">
        <f aca="false">O180/3</f>
        <v>64.3333333333333</v>
      </c>
      <c r="Q180" s="17" t="str">
        <f aca="false">INT(O180/3)&amp;"."&amp;MOD(O180,3)</f>
        <v>64.1</v>
      </c>
      <c r="R180" s="12" t="n">
        <v>45</v>
      </c>
      <c r="S180" s="12" t="n">
        <v>20</v>
      </c>
      <c r="T180" s="12" t="n">
        <v>20</v>
      </c>
      <c r="U180" s="12" t="n">
        <v>10</v>
      </c>
      <c r="V180" s="12" t="n">
        <v>26</v>
      </c>
      <c r="W180" s="12" t="n">
        <v>68</v>
      </c>
      <c r="X180" s="12" t="n">
        <v>3</v>
      </c>
      <c r="Y180" s="18" t="n">
        <f aca="false">IF(O180=0,0,T180*27/O180)</f>
        <v>2.7979274611399</v>
      </c>
      <c r="Z180" s="18" t="n">
        <f aca="false">IF(P180=0,0,(V180+R180)/P180)</f>
        <v>1.10362694300518</v>
      </c>
      <c r="AA180" s="18" t="n">
        <f aca="false">IF(O180=0,0,W180*27/O180)</f>
        <v>9.51295336787565</v>
      </c>
      <c r="AB180" s="18" t="n">
        <f aca="false">IF(O180=0,0,V180*27/O180)</f>
        <v>3.63730569948187</v>
      </c>
      <c r="AC180" s="18" t="n">
        <f aca="false">IF(V180=0,0,W180/V180)</f>
        <v>2.61538461538462</v>
      </c>
      <c r="AD180" s="18" t="n">
        <f aca="false">IF(P180=0,0,(13*U180+3*(V180+X180)-2*W180)/P180+INDEX(球季參數!$C$2:$C$4,MATCH($A180,球季參數!$A$2:$A$4,0)))</f>
        <v>4.38906735751295</v>
      </c>
      <c r="AE180" s="11" t="n">
        <f aca="false">IF(P180&gt;=INDEX(球季參數!$F$2:$F$4,MATCH($A180,球季參數!$A$2:$A$4,0)),1,0)</f>
        <v>0</v>
      </c>
    </row>
    <row r="181" customFormat="false" ht="15" hidden="false" customHeight="false" outlineLevel="0" collapsed="false">
      <c r="A181" s="5" t="n">
        <v>2024</v>
      </c>
      <c r="B181" s="7" t="s">
        <v>1195</v>
      </c>
      <c r="C181" s="10" t="str">
        <f aca="false">INDEX(球員主檔!$B$2:$B$749,MATCH($B181,球員主檔!$A$2:$A$749,0))</f>
        <v>Ronin Ulloa</v>
      </c>
      <c r="D181" s="7" t="s">
        <v>414</v>
      </c>
      <c r="E181" s="10" t="str">
        <f aca="false">INDEX(球隊主檔!$C$2:$C$31,MATCH($D181,球隊主檔!$A$2:$A$31,0))</f>
        <v>紐約大都會</v>
      </c>
      <c r="F181" s="10" t="str">
        <f aca="false">INDEX(球隊主檔!$D$2:$D$31,MATCH($D181,球隊主檔!$A$2:$A$31,0))</f>
        <v>國聯</v>
      </c>
      <c r="G181" s="7" t="s">
        <v>507</v>
      </c>
      <c r="H181" s="11" t="n">
        <f aca="false">INT((DATE($A181,7,1)-INDEX(球員主檔!$G$2:$G$749,MATCH($B181,球員主檔!$A$2:$A$749,0)))/365.25)</f>
        <v>35</v>
      </c>
      <c r="I181" s="12" t="n">
        <v>6</v>
      </c>
      <c r="J181" s="12" t="n">
        <v>2</v>
      </c>
      <c r="K181" s="12" t="n">
        <v>0</v>
      </c>
      <c r="L181" s="12" t="n">
        <v>31</v>
      </c>
      <c r="M181" s="12" t="n">
        <v>61</v>
      </c>
      <c r="N181" s="12" t="n">
        <v>0</v>
      </c>
      <c r="O181" s="12" t="n">
        <v>190</v>
      </c>
      <c r="P181" s="16" t="n">
        <f aca="false">O181/3</f>
        <v>63.3333333333333</v>
      </c>
      <c r="Q181" s="17" t="str">
        <f aca="false">INT(O181/3)&amp;"."&amp;MOD(O181,3)</f>
        <v>63.1</v>
      </c>
      <c r="R181" s="12" t="n">
        <v>46</v>
      </c>
      <c r="S181" s="12" t="n">
        <v>25</v>
      </c>
      <c r="T181" s="12" t="n">
        <v>23</v>
      </c>
      <c r="U181" s="12" t="n">
        <v>8</v>
      </c>
      <c r="V181" s="12" t="n">
        <v>15</v>
      </c>
      <c r="W181" s="12" t="n">
        <v>65</v>
      </c>
      <c r="X181" s="12" t="n">
        <v>2</v>
      </c>
      <c r="Y181" s="18" t="n">
        <f aca="false">IF(O181=0,0,T181*27/O181)</f>
        <v>3.26842105263158</v>
      </c>
      <c r="Z181" s="18" t="n">
        <f aca="false">IF(P181=0,0,(V181+R181)/P181)</f>
        <v>0.963157894736842</v>
      </c>
      <c r="AA181" s="18" t="n">
        <f aca="false">IF(O181=0,0,W181*27/O181)</f>
        <v>9.23684210526316</v>
      </c>
      <c r="AB181" s="18" t="n">
        <f aca="false">IF(O181=0,0,V181*27/O181)</f>
        <v>2.13157894736842</v>
      </c>
      <c r="AC181" s="18" t="n">
        <f aca="false">IF(V181=0,0,W181/V181)</f>
        <v>4.33333333333333</v>
      </c>
      <c r="AD181" s="18" t="n">
        <f aca="false">IF(P181=0,0,(13*U181+3*(V181+X181)-2*W181)/P181+INDEX(球季參數!$C$2:$C$4,MATCH($A181,球季參數!$A$2:$A$4,0)))</f>
        <v>3.52473684210526</v>
      </c>
      <c r="AE181" s="11" t="n">
        <f aca="false">IF(P181&gt;=INDEX(球季參數!$F$2:$F$4,MATCH($A181,球季參數!$A$2:$A$4,0)),1,0)</f>
        <v>0</v>
      </c>
    </row>
    <row r="182" customFormat="false" ht="15" hidden="false" customHeight="false" outlineLevel="0" collapsed="false">
      <c r="A182" s="5" t="n">
        <v>2024</v>
      </c>
      <c r="B182" s="7" t="s">
        <v>1217</v>
      </c>
      <c r="C182" s="10" t="str">
        <f aca="false">INDEX(球員主檔!$B$2:$B$749,MATCH($B182,球員主檔!$A$2:$A$749,0))</f>
        <v>Ignacio Goddard</v>
      </c>
      <c r="D182" s="7" t="s">
        <v>418</v>
      </c>
      <c r="E182" s="10" t="str">
        <f aca="false">INDEX(球隊主檔!$C$2:$C$31,MATCH($D182,球隊主檔!$A$2:$A$31,0))</f>
        <v>費城費城人</v>
      </c>
      <c r="F182" s="10" t="str">
        <f aca="false">INDEX(球隊主檔!$D$2:$D$31,MATCH($D182,球隊主檔!$A$2:$A$31,0))</f>
        <v>國聯</v>
      </c>
      <c r="G182" s="7" t="s">
        <v>496</v>
      </c>
      <c r="H182" s="11" t="n">
        <f aca="false">INT((DATE($A182,7,1)-INDEX(球員主檔!$G$2:$G$749,MATCH($B182,球員主檔!$A$2:$A$749,0)))/365.25)</f>
        <v>26</v>
      </c>
      <c r="I182" s="12" t="n">
        <v>7</v>
      </c>
      <c r="J182" s="12" t="n">
        <v>14</v>
      </c>
      <c r="K182" s="12" t="n">
        <v>0</v>
      </c>
      <c r="L182" s="12" t="n">
        <v>0</v>
      </c>
      <c r="M182" s="12" t="n">
        <v>29</v>
      </c>
      <c r="N182" s="12" t="n">
        <v>29</v>
      </c>
      <c r="O182" s="12" t="n">
        <v>445</v>
      </c>
      <c r="P182" s="16" t="n">
        <f aca="false">O182/3</f>
        <v>148.333333333333</v>
      </c>
      <c r="Q182" s="17" t="str">
        <f aca="false">INT(O182/3)&amp;"."&amp;MOD(O182,3)</f>
        <v>148.1</v>
      </c>
      <c r="R182" s="12" t="n">
        <v>150</v>
      </c>
      <c r="S182" s="12" t="n">
        <v>119</v>
      </c>
      <c r="T182" s="12" t="n">
        <v>107</v>
      </c>
      <c r="U182" s="12" t="n">
        <v>29</v>
      </c>
      <c r="V182" s="12" t="n">
        <v>37</v>
      </c>
      <c r="W182" s="12" t="n">
        <v>94</v>
      </c>
      <c r="X182" s="12" t="n">
        <v>5</v>
      </c>
      <c r="Y182" s="18" t="n">
        <f aca="false">IF(O182=0,0,T182*27/O182)</f>
        <v>6.49213483146067</v>
      </c>
      <c r="Z182" s="18" t="n">
        <f aca="false">IF(P182=0,0,(V182+R182)/P182)</f>
        <v>1.26067415730337</v>
      </c>
      <c r="AA182" s="18" t="n">
        <f aca="false">IF(O182=0,0,W182*27/O182)</f>
        <v>5.70337078651685</v>
      </c>
      <c r="AB182" s="18" t="n">
        <f aca="false">IF(O182=0,0,V182*27/O182)</f>
        <v>2.24494382022472</v>
      </c>
      <c r="AC182" s="18" t="n">
        <f aca="false">IF(V182=0,0,W182/V182)</f>
        <v>2.54054054054054</v>
      </c>
      <c r="AD182" s="18" t="n">
        <f aca="false">IF(P182=0,0,(13*U182+3*(V182+X182)-2*W182)/P182+INDEX(球季參數!$C$2:$C$4,MATCH($A182,球季參數!$A$2:$A$4,0)))</f>
        <v>5.25359550561798</v>
      </c>
      <c r="AE182" s="11" t="n">
        <f aca="false">IF(P182&gt;=INDEX(球季參數!$F$2:$F$4,MATCH($A182,球季參數!$A$2:$A$4,0)),1,0)</f>
        <v>0</v>
      </c>
    </row>
    <row r="183" customFormat="false" ht="15" hidden="false" customHeight="false" outlineLevel="0" collapsed="false">
      <c r="A183" s="5" t="n">
        <v>2024</v>
      </c>
      <c r="B183" s="7" t="s">
        <v>1219</v>
      </c>
      <c r="C183" s="10" t="str">
        <f aca="false">INDEX(球員主檔!$B$2:$B$749,MATCH($B183,球員主檔!$A$2:$A$749,0))</f>
        <v>Leandro Underhill</v>
      </c>
      <c r="D183" s="7" t="s">
        <v>418</v>
      </c>
      <c r="E183" s="10" t="str">
        <f aca="false">INDEX(球隊主檔!$C$2:$C$31,MATCH($D183,球隊主檔!$A$2:$A$31,0))</f>
        <v>費城費城人</v>
      </c>
      <c r="F183" s="10" t="str">
        <f aca="false">INDEX(球隊主檔!$D$2:$D$31,MATCH($D183,球隊主檔!$A$2:$A$31,0))</f>
        <v>國聯</v>
      </c>
      <c r="G183" s="7" t="s">
        <v>496</v>
      </c>
      <c r="H183" s="11" t="n">
        <f aca="false">INT((DATE($A183,7,1)-INDEX(球員主檔!$G$2:$G$749,MATCH($B183,球員主檔!$A$2:$A$749,0)))/365.25)</f>
        <v>24</v>
      </c>
      <c r="I183" s="12" t="n">
        <v>5</v>
      </c>
      <c r="J183" s="12" t="n">
        <v>7</v>
      </c>
      <c r="K183" s="12" t="n">
        <v>0</v>
      </c>
      <c r="L183" s="12" t="n">
        <v>0</v>
      </c>
      <c r="M183" s="12" t="n">
        <v>17</v>
      </c>
      <c r="N183" s="12" t="n">
        <v>17</v>
      </c>
      <c r="O183" s="12" t="n">
        <v>248</v>
      </c>
      <c r="P183" s="16" t="n">
        <f aca="false">O183/3</f>
        <v>82.6666666666667</v>
      </c>
      <c r="Q183" s="17" t="str">
        <f aca="false">INT(O183/3)&amp;"."&amp;MOD(O183,3)</f>
        <v>82.2</v>
      </c>
      <c r="R183" s="12" t="n">
        <v>76</v>
      </c>
      <c r="S183" s="12" t="n">
        <v>59</v>
      </c>
      <c r="T183" s="12" t="n">
        <v>52</v>
      </c>
      <c r="U183" s="12" t="n">
        <v>10</v>
      </c>
      <c r="V183" s="12" t="n">
        <v>17</v>
      </c>
      <c r="W183" s="12" t="n">
        <v>76</v>
      </c>
      <c r="X183" s="12" t="n">
        <v>4</v>
      </c>
      <c r="Y183" s="18" t="n">
        <f aca="false">IF(O183=0,0,T183*27/O183)</f>
        <v>5.66129032258065</v>
      </c>
      <c r="Z183" s="18" t="n">
        <f aca="false">IF(P183=0,0,(V183+R183)/P183)</f>
        <v>1.125</v>
      </c>
      <c r="AA183" s="18" t="n">
        <f aca="false">IF(O183=0,0,W183*27/O183)</f>
        <v>8.2741935483871</v>
      </c>
      <c r="AB183" s="18" t="n">
        <f aca="false">IF(O183=0,0,V183*27/O183)</f>
        <v>1.8508064516129</v>
      </c>
      <c r="AC183" s="18" t="n">
        <f aca="false">IF(V183=0,0,W183/V183)</f>
        <v>4.47058823529412</v>
      </c>
      <c r="AD183" s="18" t="n">
        <f aca="false">IF(P183=0,0,(13*U183+3*(V183+X183)-2*W183)/P183+INDEX(球季參數!$C$2:$C$4,MATCH($A183,球季參數!$A$2:$A$4,0)))</f>
        <v>3.62596774193548</v>
      </c>
      <c r="AE183" s="11" t="n">
        <f aca="false">IF(P183&gt;=INDEX(球季參數!$F$2:$F$4,MATCH($A183,球季參數!$A$2:$A$4,0)),1,0)</f>
        <v>0</v>
      </c>
    </row>
    <row r="184" customFormat="false" ht="15" hidden="false" customHeight="false" outlineLevel="0" collapsed="false">
      <c r="A184" s="5" t="n">
        <v>2024</v>
      </c>
      <c r="B184" s="7" t="s">
        <v>1221</v>
      </c>
      <c r="C184" s="10" t="str">
        <f aca="false">INDEX(球員主檔!$B$2:$B$749,MATCH($B184,球員主檔!$A$2:$A$749,0))</f>
        <v>Yusuke Oyelaran</v>
      </c>
      <c r="D184" s="7" t="s">
        <v>418</v>
      </c>
      <c r="E184" s="10" t="str">
        <f aca="false">INDEX(球隊主檔!$C$2:$C$31,MATCH($D184,球隊主檔!$A$2:$A$31,0))</f>
        <v>費城費城人</v>
      </c>
      <c r="F184" s="10" t="str">
        <f aca="false">INDEX(球隊主檔!$D$2:$D$31,MATCH($D184,球隊主檔!$A$2:$A$31,0))</f>
        <v>國聯</v>
      </c>
      <c r="G184" s="7" t="s">
        <v>496</v>
      </c>
      <c r="H184" s="11" t="n">
        <f aca="false">INT((DATE($A184,7,1)-INDEX(球員主檔!$G$2:$G$749,MATCH($B184,球員主檔!$A$2:$A$749,0)))/365.25)</f>
        <v>34</v>
      </c>
      <c r="I184" s="12" t="n">
        <v>18</v>
      </c>
      <c r="J184" s="12" t="n">
        <v>7</v>
      </c>
      <c r="K184" s="12" t="n">
        <v>0</v>
      </c>
      <c r="L184" s="12" t="n">
        <v>0</v>
      </c>
      <c r="M184" s="12" t="n">
        <v>32</v>
      </c>
      <c r="N184" s="12" t="n">
        <v>32</v>
      </c>
      <c r="O184" s="12" t="n">
        <v>563</v>
      </c>
      <c r="P184" s="16" t="n">
        <f aca="false">O184/3</f>
        <v>187.666666666667</v>
      </c>
      <c r="Q184" s="17" t="str">
        <f aca="false">INT(O184/3)&amp;"."&amp;MOD(O184,3)</f>
        <v>187.2</v>
      </c>
      <c r="R184" s="12" t="n">
        <v>154</v>
      </c>
      <c r="S184" s="12" t="n">
        <v>81</v>
      </c>
      <c r="T184" s="12" t="n">
        <v>73</v>
      </c>
      <c r="U184" s="12" t="n">
        <v>36</v>
      </c>
      <c r="V184" s="12" t="n">
        <v>50</v>
      </c>
      <c r="W184" s="12" t="n">
        <v>135</v>
      </c>
      <c r="X184" s="12" t="n">
        <v>11</v>
      </c>
      <c r="Y184" s="18" t="n">
        <f aca="false">IF(O184=0,0,T184*27/O184)</f>
        <v>3.50088809946714</v>
      </c>
      <c r="Z184" s="18" t="n">
        <f aca="false">IF(P184=0,0,(V184+R184)/P184)</f>
        <v>1.08703374777975</v>
      </c>
      <c r="AA184" s="18" t="n">
        <f aca="false">IF(O184=0,0,W184*27/O184)</f>
        <v>6.47424511545293</v>
      </c>
      <c r="AB184" s="18" t="n">
        <f aca="false">IF(O184=0,0,V184*27/O184)</f>
        <v>2.39786856127886</v>
      </c>
      <c r="AC184" s="18" t="n">
        <f aca="false">IF(V184=0,0,W184/V184)</f>
        <v>2.7</v>
      </c>
      <c r="AD184" s="18" t="n">
        <f aca="false">IF(P184=0,0,(13*U184+3*(V184+X184)-2*W184)/P184+INDEX(球季參數!$C$2:$C$4,MATCH($A184,球季參數!$A$2:$A$4,0)))</f>
        <v>5.16019538188277</v>
      </c>
      <c r="AE184" s="11" t="n">
        <f aca="false">IF(P184&gt;=INDEX(球季參數!$F$2:$F$4,MATCH($A184,球季參數!$A$2:$A$4,0)),1,0)</f>
        <v>1</v>
      </c>
    </row>
    <row r="185" customFormat="false" ht="15" hidden="false" customHeight="false" outlineLevel="0" collapsed="false">
      <c r="A185" s="5" t="n">
        <v>2024</v>
      </c>
      <c r="B185" s="7" t="s">
        <v>1223</v>
      </c>
      <c r="C185" s="10" t="str">
        <f aca="false">INDEX(球員主檔!$B$2:$B$749,MATCH($B185,球員主檔!$A$2:$A$749,0))</f>
        <v>Benedikt Mbeki</v>
      </c>
      <c r="D185" s="7" t="s">
        <v>418</v>
      </c>
      <c r="E185" s="10" t="str">
        <f aca="false">INDEX(球隊主檔!$C$2:$C$31,MATCH($D185,球隊主檔!$A$2:$A$31,0))</f>
        <v>費城費城人</v>
      </c>
      <c r="F185" s="10" t="str">
        <f aca="false">INDEX(球隊主檔!$D$2:$D$31,MATCH($D185,球隊主檔!$A$2:$A$31,0))</f>
        <v>國聯</v>
      </c>
      <c r="G185" s="7" t="s">
        <v>496</v>
      </c>
      <c r="H185" s="11" t="n">
        <f aca="false">INT((DATE($A185,7,1)-INDEX(球員主檔!$G$2:$G$749,MATCH($B185,球員主檔!$A$2:$A$749,0)))/365.25)</f>
        <v>26</v>
      </c>
      <c r="I185" s="12" t="n">
        <v>9</v>
      </c>
      <c r="J185" s="12" t="n">
        <v>5</v>
      </c>
      <c r="K185" s="12" t="n">
        <v>0</v>
      </c>
      <c r="L185" s="12" t="n">
        <v>0</v>
      </c>
      <c r="M185" s="12" t="n">
        <v>21</v>
      </c>
      <c r="N185" s="12" t="n">
        <v>21</v>
      </c>
      <c r="O185" s="12" t="n">
        <v>371</v>
      </c>
      <c r="P185" s="16" t="n">
        <f aca="false">O185/3</f>
        <v>123.666666666667</v>
      </c>
      <c r="Q185" s="17" t="str">
        <f aca="false">INT(O185/3)&amp;"."&amp;MOD(O185,3)</f>
        <v>123.2</v>
      </c>
      <c r="R185" s="12" t="n">
        <v>111</v>
      </c>
      <c r="S185" s="12" t="n">
        <v>61</v>
      </c>
      <c r="T185" s="12" t="n">
        <v>61</v>
      </c>
      <c r="U185" s="12" t="n">
        <v>22</v>
      </c>
      <c r="V185" s="12" t="n">
        <v>31</v>
      </c>
      <c r="W185" s="12" t="n">
        <v>154</v>
      </c>
      <c r="X185" s="12" t="n">
        <v>5</v>
      </c>
      <c r="Y185" s="18" t="n">
        <f aca="false">IF(O185=0,0,T185*27/O185)</f>
        <v>4.43935309973046</v>
      </c>
      <c r="Z185" s="18" t="n">
        <f aca="false">IF(P185=0,0,(V185+R185)/P185)</f>
        <v>1.14824797843666</v>
      </c>
      <c r="AA185" s="18" t="n">
        <f aca="false">IF(O185=0,0,W185*27/O185)</f>
        <v>11.2075471698113</v>
      </c>
      <c r="AB185" s="18" t="n">
        <f aca="false">IF(O185=0,0,V185*27/O185)</f>
        <v>2.25606469002695</v>
      </c>
      <c r="AC185" s="18" t="n">
        <f aca="false">IF(V185=0,0,W185/V185)</f>
        <v>4.96774193548387</v>
      </c>
      <c r="AD185" s="18" t="n">
        <f aca="false">IF(P185=0,0,(13*U185+3*(V185+X185)-2*W185)/P185+INDEX(球季參數!$C$2:$C$4,MATCH($A185,球季參數!$A$2:$A$4,0)))</f>
        <v>3.82541778975741</v>
      </c>
      <c r="AE185" s="11" t="n">
        <f aca="false">IF(P185&gt;=INDEX(球季參數!$F$2:$F$4,MATCH($A185,球季參數!$A$2:$A$4,0)),1,0)</f>
        <v>0</v>
      </c>
    </row>
    <row r="186" customFormat="false" ht="15" hidden="false" customHeight="false" outlineLevel="0" collapsed="false">
      <c r="A186" s="5" t="n">
        <v>2024</v>
      </c>
      <c r="B186" s="7" t="s">
        <v>1225</v>
      </c>
      <c r="C186" s="10" t="str">
        <f aca="false">INDEX(球員主檔!$B$2:$B$749,MATCH($B186,球員主檔!$A$2:$A$749,0))</f>
        <v>Ulises Nordstrom</v>
      </c>
      <c r="D186" s="7" t="s">
        <v>418</v>
      </c>
      <c r="E186" s="10" t="str">
        <f aca="false">INDEX(球隊主檔!$C$2:$C$31,MATCH($D186,球隊主檔!$A$2:$A$31,0))</f>
        <v>費城費城人</v>
      </c>
      <c r="F186" s="10" t="str">
        <f aca="false">INDEX(球隊主檔!$D$2:$D$31,MATCH($D186,球隊主檔!$A$2:$A$31,0))</f>
        <v>國聯</v>
      </c>
      <c r="G186" s="7" t="s">
        <v>496</v>
      </c>
      <c r="H186" s="11" t="n">
        <f aca="false">INT((DATE($A186,7,1)-INDEX(球員主檔!$G$2:$G$749,MATCH($B186,球員主檔!$A$2:$A$749,0)))/365.25)</f>
        <v>32</v>
      </c>
      <c r="I186" s="12" t="n">
        <v>8</v>
      </c>
      <c r="J186" s="12" t="n">
        <v>9</v>
      </c>
      <c r="K186" s="12" t="n">
        <v>0</v>
      </c>
      <c r="L186" s="12" t="n">
        <v>0</v>
      </c>
      <c r="M186" s="12" t="n">
        <v>26</v>
      </c>
      <c r="N186" s="12" t="n">
        <v>26</v>
      </c>
      <c r="O186" s="12" t="n">
        <v>379</v>
      </c>
      <c r="P186" s="16" t="n">
        <f aca="false">O186/3</f>
        <v>126.333333333333</v>
      </c>
      <c r="Q186" s="17" t="str">
        <f aca="false">INT(O186/3)&amp;"."&amp;MOD(O186,3)</f>
        <v>126.1</v>
      </c>
      <c r="R186" s="12" t="n">
        <v>117</v>
      </c>
      <c r="S186" s="12" t="n">
        <v>87</v>
      </c>
      <c r="T186" s="12" t="n">
        <v>82</v>
      </c>
      <c r="U186" s="12" t="n">
        <v>22</v>
      </c>
      <c r="V186" s="12" t="n">
        <v>38</v>
      </c>
      <c r="W186" s="12" t="n">
        <v>111</v>
      </c>
      <c r="X186" s="12" t="n">
        <v>6</v>
      </c>
      <c r="Y186" s="18" t="n">
        <f aca="false">IF(O186=0,0,T186*27/O186)</f>
        <v>5.84168865435356</v>
      </c>
      <c r="Z186" s="18" t="n">
        <f aca="false">IF(P186=0,0,(V186+R186)/P186)</f>
        <v>1.22691292875989</v>
      </c>
      <c r="AA186" s="18" t="n">
        <f aca="false">IF(O186=0,0,W186*27/O186)</f>
        <v>7.90765171503958</v>
      </c>
      <c r="AB186" s="18" t="n">
        <f aca="false">IF(O186=0,0,V186*27/O186)</f>
        <v>2.70712401055409</v>
      </c>
      <c r="AC186" s="18" t="n">
        <f aca="false">IF(V186=0,0,W186/V186)</f>
        <v>2.92105263157895</v>
      </c>
      <c r="AD186" s="18" t="n">
        <f aca="false">IF(P186=0,0,(13*U186+3*(V186+X186)-2*W186)/P186+INDEX(球季參數!$C$2:$C$4,MATCH($A186,球季參數!$A$2:$A$4,0)))</f>
        <v>4.68145118733509</v>
      </c>
      <c r="AE186" s="11" t="n">
        <f aca="false">IF(P186&gt;=INDEX(球季參數!$F$2:$F$4,MATCH($A186,球季參數!$A$2:$A$4,0)),1,0)</f>
        <v>0</v>
      </c>
    </row>
    <row r="187" customFormat="false" ht="15" hidden="false" customHeight="false" outlineLevel="0" collapsed="false">
      <c r="A187" s="5" t="n">
        <v>2024</v>
      </c>
      <c r="B187" s="7" t="s">
        <v>1227</v>
      </c>
      <c r="C187" s="10" t="str">
        <f aca="false">INDEX(球員主檔!$B$2:$B$749,MATCH($B187,球員主檔!$A$2:$A$749,0))</f>
        <v>Jasper Delacroix</v>
      </c>
      <c r="D187" s="7" t="s">
        <v>418</v>
      </c>
      <c r="E187" s="10" t="str">
        <f aca="false">INDEX(球隊主檔!$C$2:$C$31,MATCH($D187,球隊主檔!$A$2:$A$31,0))</f>
        <v>費城費城人</v>
      </c>
      <c r="F187" s="10" t="str">
        <f aca="false">INDEX(球隊主檔!$D$2:$D$31,MATCH($D187,球隊主檔!$A$2:$A$31,0))</f>
        <v>國聯</v>
      </c>
      <c r="G187" s="7" t="s">
        <v>507</v>
      </c>
      <c r="H187" s="11" t="n">
        <f aca="false">INT((DATE($A187,7,1)-INDEX(球員主檔!$G$2:$G$749,MATCH($B187,球員主檔!$A$2:$A$749,0)))/365.25)</f>
        <v>24</v>
      </c>
      <c r="I187" s="12" t="n">
        <v>7</v>
      </c>
      <c r="J187" s="12" t="n">
        <v>5</v>
      </c>
      <c r="K187" s="12" t="n">
        <v>35</v>
      </c>
      <c r="L187" s="12" t="n">
        <v>2</v>
      </c>
      <c r="M187" s="12" t="n">
        <v>42</v>
      </c>
      <c r="N187" s="12" t="n">
        <v>0</v>
      </c>
      <c r="O187" s="12" t="n">
        <v>135</v>
      </c>
      <c r="P187" s="16" t="n">
        <f aca="false">O187/3</f>
        <v>45</v>
      </c>
      <c r="Q187" s="17" t="str">
        <f aca="false">INT(O187/3)&amp;"."&amp;MOD(O187,3)</f>
        <v>45.0</v>
      </c>
      <c r="R187" s="12" t="n">
        <v>27</v>
      </c>
      <c r="S187" s="12" t="n">
        <v>10</v>
      </c>
      <c r="T187" s="12" t="n">
        <v>10</v>
      </c>
      <c r="U187" s="12" t="n">
        <v>3</v>
      </c>
      <c r="V187" s="12" t="n">
        <v>13</v>
      </c>
      <c r="W187" s="12" t="n">
        <v>47</v>
      </c>
      <c r="X187" s="12" t="n">
        <v>2</v>
      </c>
      <c r="Y187" s="18" t="n">
        <f aca="false">IF(O187=0,0,T187*27/O187)</f>
        <v>2</v>
      </c>
      <c r="Z187" s="18" t="n">
        <f aca="false">IF(P187=0,0,(V187+R187)/P187)</f>
        <v>0.888888888888889</v>
      </c>
      <c r="AA187" s="18" t="n">
        <f aca="false">IF(O187=0,0,W187*27/O187)</f>
        <v>9.4</v>
      </c>
      <c r="AB187" s="18" t="n">
        <f aca="false">IF(O187=0,0,V187*27/O187)</f>
        <v>2.6</v>
      </c>
      <c r="AC187" s="18" t="n">
        <f aca="false">IF(V187=0,0,W187/V187)</f>
        <v>3.61538461538462</v>
      </c>
      <c r="AD187" s="18" t="n">
        <f aca="false">IF(P187=0,0,(13*U187+3*(V187+X187)-2*W187)/P187+INDEX(球季參數!$C$2:$C$4,MATCH($A187,球季參數!$A$2:$A$4,0)))</f>
        <v>2.90777777777778</v>
      </c>
      <c r="AE187" s="11" t="n">
        <f aca="false">IF(P187&gt;=INDEX(球季參數!$F$2:$F$4,MATCH($A187,球季參數!$A$2:$A$4,0)),1,0)</f>
        <v>0</v>
      </c>
    </row>
    <row r="188" customFormat="false" ht="15" hidden="false" customHeight="false" outlineLevel="0" collapsed="false">
      <c r="A188" s="5" t="n">
        <v>2024</v>
      </c>
      <c r="B188" s="7" t="s">
        <v>1229</v>
      </c>
      <c r="C188" s="10" t="str">
        <f aca="false">INDEX(球員主檔!$B$2:$B$749,MATCH($B188,球員主檔!$A$2:$A$749,0))</f>
        <v>Minjae Nordstrom</v>
      </c>
      <c r="D188" s="7" t="s">
        <v>418</v>
      </c>
      <c r="E188" s="10" t="str">
        <f aca="false">INDEX(球隊主檔!$C$2:$C$31,MATCH($D188,球隊主檔!$A$2:$A$31,0))</f>
        <v>費城費城人</v>
      </c>
      <c r="F188" s="10" t="str">
        <f aca="false">INDEX(球隊主檔!$D$2:$D$31,MATCH($D188,球隊主檔!$A$2:$A$31,0))</f>
        <v>國聯</v>
      </c>
      <c r="G188" s="7" t="s">
        <v>507</v>
      </c>
      <c r="H188" s="11" t="n">
        <f aca="false">INT((DATE($A188,7,1)-INDEX(球員主檔!$G$2:$G$749,MATCH($B188,球員主檔!$A$2:$A$749,0)))/365.25)</f>
        <v>33</v>
      </c>
      <c r="I188" s="12" t="n">
        <v>5</v>
      </c>
      <c r="J188" s="12" t="n">
        <v>4</v>
      </c>
      <c r="K188" s="12" t="n">
        <v>0</v>
      </c>
      <c r="L188" s="12" t="n">
        <v>13</v>
      </c>
      <c r="M188" s="12" t="n">
        <v>56</v>
      </c>
      <c r="N188" s="12" t="n">
        <v>0</v>
      </c>
      <c r="O188" s="12" t="n">
        <v>160</v>
      </c>
      <c r="P188" s="16" t="n">
        <f aca="false">O188/3</f>
        <v>53.3333333333333</v>
      </c>
      <c r="Q188" s="17" t="str">
        <f aca="false">INT(O188/3)&amp;"."&amp;MOD(O188,3)</f>
        <v>53.1</v>
      </c>
      <c r="R188" s="12" t="n">
        <v>47</v>
      </c>
      <c r="S188" s="12" t="n">
        <v>28</v>
      </c>
      <c r="T188" s="12" t="n">
        <v>25</v>
      </c>
      <c r="U188" s="12" t="n">
        <v>11</v>
      </c>
      <c r="V188" s="12" t="n">
        <v>27</v>
      </c>
      <c r="W188" s="12" t="n">
        <v>51</v>
      </c>
      <c r="X188" s="12" t="n">
        <v>3</v>
      </c>
      <c r="Y188" s="18" t="n">
        <f aca="false">IF(O188=0,0,T188*27/O188)</f>
        <v>4.21875</v>
      </c>
      <c r="Z188" s="18" t="n">
        <f aca="false">IF(P188=0,0,(V188+R188)/P188)</f>
        <v>1.3875</v>
      </c>
      <c r="AA188" s="18" t="n">
        <f aca="false">IF(O188=0,0,W188*27/O188)</f>
        <v>8.60625</v>
      </c>
      <c r="AB188" s="18" t="n">
        <f aca="false">IF(O188=0,0,V188*27/O188)</f>
        <v>4.55625</v>
      </c>
      <c r="AC188" s="18" t="n">
        <f aca="false">IF(V188=0,0,W188/V188)</f>
        <v>1.88888888888889</v>
      </c>
      <c r="AD188" s="18" t="n">
        <f aca="false">IF(P188=0,0,(13*U188+3*(V188+X188)-2*W188)/P188+INDEX(球季參數!$C$2:$C$4,MATCH($A188,球季參數!$A$2:$A$4,0)))</f>
        <v>5.58625</v>
      </c>
      <c r="AE188" s="11" t="n">
        <f aca="false">IF(P188&gt;=INDEX(球季參數!$F$2:$F$4,MATCH($A188,球季參數!$A$2:$A$4,0)),1,0)</f>
        <v>0</v>
      </c>
    </row>
    <row r="189" customFormat="false" ht="15" hidden="false" customHeight="false" outlineLevel="0" collapsed="false">
      <c r="A189" s="5" t="n">
        <v>2024</v>
      </c>
      <c r="B189" s="7" t="s">
        <v>1231</v>
      </c>
      <c r="C189" s="10" t="str">
        <f aca="false">INDEX(球員主檔!$B$2:$B$749,MATCH($B189,球員主檔!$A$2:$A$749,0))</f>
        <v>Tobias Ravenscroft</v>
      </c>
      <c r="D189" s="7" t="s">
        <v>418</v>
      </c>
      <c r="E189" s="10" t="str">
        <f aca="false">INDEX(球隊主檔!$C$2:$C$31,MATCH($D189,球隊主檔!$A$2:$A$31,0))</f>
        <v>費城費城人</v>
      </c>
      <c r="F189" s="10" t="str">
        <f aca="false">INDEX(球隊主檔!$D$2:$D$31,MATCH($D189,球隊主檔!$A$2:$A$31,0))</f>
        <v>國聯</v>
      </c>
      <c r="G189" s="7" t="s">
        <v>507</v>
      </c>
      <c r="H189" s="11" t="n">
        <f aca="false">INT((DATE($A189,7,1)-INDEX(球員主檔!$G$2:$G$749,MATCH($B189,球員主檔!$A$2:$A$749,0)))/365.25)</f>
        <v>27</v>
      </c>
      <c r="I189" s="12" t="n">
        <v>8</v>
      </c>
      <c r="J189" s="12" t="n">
        <v>6</v>
      </c>
      <c r="K189" s="12" t="n">
        <v>3</v>
      </c>
      <c r="L189" s="12" t="n">
        <v>15</v>
      </c>
      <c r="M189" s="12" t="n">
        <v>72</v>
      </c>
      <c r="N189" s="12" t="n">
        <v>0</v>
      </c>
      <c r="O189" s="12" t="n">
        <v>219</v>
      </c>
      <c r="P189" s="16" t="n">
        <f aca="false">O189/3</f>
        <v>73</v>
      </c>
      <c r="Q189" s="17" t="str">
        <f aca="false">INT(O189/3)&amp;"."&amp;MOD(O189,3)</f>
        <v>73.0</v>
      </c>
      <c r="R189" s="12" t="n">
        <v>64</v>
      </c>
      <c r="S189" s="12" t="n">
        <v>34</v>
      </c>
      <c r="T189" s="12" t="n">
        <v>32</v>
      </c>
      <c r="U189" s="12" t="n">
        <v>8</v>
      </c>
      <c r="V189" s="12" t="n">
        <v>20</v>
      </c>
      <c r="W189" s="12" t="n">
        <v>87</v>
      </c>
      <c r="X189" s="12" t="n">
        <v>4</v>
      </c>
      <c r="Y189" s="18" t="n">
        <f aca="false">IF(O189=0,0,T189*27/O189)</f>
        <v>3.94520547945205</v>
      </c>
      <c r="Z189" s="18" t="n">
        <f aca="false">IF(P189=0,0,(V189+R189)/P189)</f>
        <v>1.15068493150685</v>
      </c>
      <c r="AA189" s="18" t="n">
        <f aca="false">IF(O189=0,0,W189*27/O189)</f>
        <v>10.7260273972603</v>
      </c>
      <c r="AB189" s="18" t="n">
        <f aca="false">IF(O189=0,0,V189*27/O189)</f>
        <v>2.46575342465753</v>
      </c>
      <c r="AC189" s="18" t="n">
        <f aca="false">IF(V189=0,0,W189/V189)</f>
        <v>4.35</v>
      </c>
      <c r="AD189" s="18" t="n">
        <f aca="false">IF(P189=0,0,(13*U189+3*(V189+X189)-2*W189)/P189+INDEX(球季參數!$C$2:$C$4,MATCH($A189,球季參數!$A$2:$A$4,0)))</f>
        <v>3.15739726027397</v>
      </c>
      <c r="AE189" s="11" t="n">
        <f aca="false">IF(P189&gt;=INDEX(球季參數!$F$2:$F$4,MATCH($A189,球季參數!$A$2:$A$4,0)),1,0)</f>
        <v>0</v>
      </c>
    </row>
    <row r="190" customFormat="false" ht="15" hidden="false" customHeight="false" outlineLevel="0" collapsed="false">
      <c r="A190" s="5" t="n">
        <v>2024</v>
      </c>
      <c r="B190" s="7" t="s">
        <v>1233</v>
      </c>
      <c r="C190" s="10" t="str">
        <f aca="false">INDEX(球員主檔!$B$2:$B$749,MATCH($B190,球員主檔!$A$2:$A$749,0))</f>
        <v>Leandro Kowalczyk</v>
      </c>
      <c r="D190" s="7" t="s">
        <v>418</v>
      </c>
      <c r="E190" s="10" t="str">
        <f aca="false">INDEX(球隊主檔!$C$2:$C$31,MATCH($D190,球隊主檔!$A$2:$A$31,0))</f>
        <v>費城費城人</v>
      </c>
      <c r="F190" s="10" t="str">
        <f aca="false">INDEX(球隊主檔!$D$2:$D$31,MATCH($D190,球隊主檔!$A$2:$A$31,0))</f>
        <v>國聯</v>
      </c>
      <c r="G190" s="7" t="s">
        <v>507</v>
      </c>
      <c r="H190" s="11" t="n">
        <f aca="false">INT((DATE($A190,7,1)-INDEX(球員主檔!$G$2:$G$749,MATCH($B190,球員主檔!$A$2:$A$749,0)))/365.25)</f>
        <v>34</v>
      </c>
      <c r="I190" s="12" t="n">
        <v>1</v>
      </c>
      <c r="J190" s="12" t="n">
        <v>4</v>
      </c>
      <c r="K190" s="12" t="n">
        <v>5</v>
      </c>
      <c r="L190" s="12" t="n">
        <v>27</v>
      </c>
      <c r="M190" s="12" t="n">
        <v>62</v>
      </c>
      <c r="N190" s="12" t="n">
        <v>0</v>
      </c>
      <c r="O190" s="12" t="n">
        <v>210</v>
      </c>
      <c r="P190" s="16" t="n">
        <f aca="false">O190/3</f>
        <v>70</v>
      </c>
      <c r="Q190" s="17" t="str">
        <f aca="false">INT(O190/3)&amp;"."&amp;MOD(O190,3)</f>
        <v>70.0</v>
      </c>
      <c r="R190" s="12" t="n">
        <v>55</v>
      </c>
      <c r="S190" s="12" t="n">
        <v>33</v>
      </c>
      <c r="T190" s="12" t="n">
        <v>31</v>
      </c>
      <c r="U190" s="12" t="n">
        <v>10</v>
      </c>
      <c r="V190" s="12" t="n">
        <v>23</v>
      </c>
      <c r="W190" s="12" t="n">
        <v>52</v>
      </c>
      <c r="X190" s="12" t="n">
        <v>1</v>
      </c>
      <c r="Y190" s="18" t="n">
        <f aca="false">IF(O190=0,0,T190*27/O190)</f>
        <v>3.98571428571429</v>
      </c>
      <c r="Z190" s="18" t="n">
        <f aca="false">IF(P190=0,0,(V190+R190)/P190)</f>
        <v>1.11428571428571</v>
      </c>
      <c r="AA190" s="18" t="n">
        <f aca="false">IF(O190=0,0,W190*27/O190)</f>
        <v>6.68571428571429</v>
      </c>
      <c r="AB190" s="18" t="n">
        <f aca="false">IF(O190=0,0,V190*27/O190)</f>
        <v>2.95714285714286</v>
      </c>
      <c r="AC190" s="18" t="n">
        <f aca="false">IF(V190=0,0,W190/V190)</f>
        <v>2.26086956521739</v>
      </c>
      <c r="AD190" s="18" t="n">
        <f aca="false">IF(P190=0,0,(13*U190+3*(V190+X190)-2*W190)/P190+INDEX(球季參數!$C$2:$C$4,MATCH($A190,球季參數!$A$2:$A$4,0)))</f>
        <v>4.53</v>
      </c>
      <c r="AE190" s="11" t="n">
        <f aca="false">IF(P190&gt;=INDEX(球季參數!$F$2:$F$4,MATCH($A190,球季參數!$A$2:$A$4,0)),1,0)</f>
        <v>0</v>
      </c>
    </row>
    <row r="191" customFormat="false" ht="15" hidden="false" customHeight="false" outlineLevel="0" collapsed="false">
      <c r="A191" s="5" t="n">
        <v>2024</v>
      </c>
      <c r="B191" s="7" t="s">
        <v>1235</v>
      </c>
      <c r="C191" s="10" t="str">
        <f aca="false">INDEX(球員主檔!$B$2:$B$749,MATCH($B191,球員主檔!$A$2:$A$749,0))</f>
        <v>Vicente Stroheim</v>
      </c>
      <c r="D191" s="7" t="s">
        <v>418</v>
      </c>
      <c r="E191" s="10" t="str">
        <f aca="false">INDEX(球隊主檔!$C$2:$C$31,MATCH($D191,球隊主檔!$A$2:$A$31,0))</f>
        <v>費城費城人</v>
      </c>
      <c r="F191" s="10" t="str">
        <f aca="false">INDEX(球隊主檔!$D$2:$D$31,MATCH($D191,球隊主檔!$A$2:$A$31,0))</f>
        <v>國聯</v>
      </c>
      <c r="G191" s="7" t="s">
        <v>507</v>
      </c>
      <c r="H191" s="11" t="n">
        <f aca="false">INT((DATE($A191,7,1)-INDEX(球員主檔!$G$2:$G$749,MATCH($B191,球員主檔!$A$2:$A$749,0)))/365.25)</f>
        <v>29</v>
      </c>
      <c r="I191" s="12" t="n">
        <v>6</v>
      </c>
      <c r="J191" s="12" t="n">
        <v>4</v>
      </c>
      <c r="K191" s="12" t="n">
        <v>0</v>
      </c>
      <c r="L191" s="12" t="n">
        <v>34</v>
      </c>
      <c r="M191" s="12" t="n">
        <v>70</v>
      </c>
      <c r="N191" s="12" t="n">
        <v>0</v>
      </c>
      <c r="O191" s="12" t="n">
        <v>230</v>
      </c>
      <c r="P191" s="16" t="n">
        <f aca="false">O191/3</f>
        <v>76.6666666666667</v>
      </c>
      <c r="Q191" s="17" t="str">
        <f aca="false">INT(O191/3)&amp;"."&amp;MOD(O191,3)</f>
        <v>76.2</v>
      </c>
      <c r="R191" s="12" t="n">
        <v>55</v>
      </c>
      <c r="S191" s="12" t="n">
        <v>29</v>
      </c>
      <c r="T191" s="12" t="n">
        <v>26</v>
      </c>
      <c r="U191" s="12" t="n">
        <v>16</v>
      </c>
      <c r="V191" s="12" t="n">
        <v>25</v>
      </c>
      <c r="W191" s="12" t="n">
        <v>63</v>
      </c>
      <c r="X191" s="12" t="n">
        <v>3</v>
      </c>
      <c r="Y191" s="18" t="n">
        <f aca="false">IF(O191=0,0,T191*27/O191)</f>
        <v>3.05217391304348</v>
      </c>
      <c r="Z191" s="18" t="n">
        <f aca="false">IF(P191=0,0,(V191+R191)/P191)</f>
        <v>1.04347826086957</v>
      </c>
      <c r="AA191" s="18" t="n">
        <f aca="false">IF(O191=0,0,W191*27/O191)</f>
        <v>7.39565217391304</v>
      </c>
      <c r="AB191" s="18" t="n">
        <f aca="false">IF(O191=0,0,V191*27/O191)</f>
        <v>2.93478260869565</v>
      </c>
      <c r="AC191" s="18" t="n">
        <f aca="false">IF(V191=0,0,W191/V191)</f>
        <v>2.52</v>
      </c>
      <c r="AD191" s="18" t="n">
        <f aca="false">IF(P191=0,0,(13*U191+3*(V191+X191)-2*W191)/P191+INDEX(球季參數!$C$2:$C$4,MATCH($A191,球季參數!$A$2:$A$4,0)))</f>
        <v>5.29521739130435</v>
      </c>
      <c r="AE191" s="11" t="n">
        <f aca="false">IF(P191&gt;=INDEX(球季參數!$F$2:$F$4,MATCH($A191,球季參數!$A$2:$A$4,0)),1,0)</f>
        <v>0</v>
      </c>
    </row>
    <row r="192" customFormat="false" ht="15" hidden="false" customHeight="false" outlineLevel="0" collapsed="false">
      <c r="A192" s="5" t="n">
        <v>2024</v>
      </c>
      <c r="B192" s="7" t="s">
        <v>1257</v>
      </c>
      <c r="C192" s="10" t="str">
        <f aca="false">INDEX(球員主檔!$B$2:$B$749,MATCH($B192,球員主檔!$A$2:$A$749,0))</f>
        <v>Osvaldo Nakagawa</v>
      </c>
      <c r="D192" s="7" t="s">
        <v>422</v>
      </c>
      <c r="E192" s="10" t="str">
        <f aca="false">INDEX(球隊主檔!$C$2:$C$31,MATCH($D192,球隊主檔!$A$2:$A$31,0))</f>
        <v>華盛頓國民</v>
      </c>
      <c r="F192" s="10" t="str">
        <f aca="false">INDEX(球隊主檔!$D$2:$D$31,MATCH($D192,球隊主檔!$A$2:$A$31,0))</f>
        <v>國聯</v>
      </c>
      <c r="G192" s="7" t="s">
        <v>496</v>
      </c>
      <c r="H192" s="11" t="n">
        <f aca="false">INT((DATE($A192,7,1)-INDEX(球員主檔!$G$2:$G$749,MATCH($B192,球員主檔!$A$2:$A$749,0)))/365.25)</f>
        <v>31</v>
      </c>
      <c r="I192" s="12" t="n">
        <v>5</v>
      </c>
      <c r="J192" s="12" t="n">
        <v>2</v>
      </c>
      <c r="K192" s="12" t="n">
        <v>0</v>
      </c>
      <c r="L192" s="12" t="n">
        <v>0</v>
      </c>
      <c r="M192" s="12" t="n">
        <v>11</v>
      </c>
      <c r="N192" s="12" t="n">
        <v>11</v>
      </c>
      <c r="O192" s="12" t="n">
        <v>169</v>
      </c>
      <c r="P192" s="16" t="n">
        <f aca="false">O192/3</f>
        <v>56.3333333333333</v>
      </c>
      <c r="Q192" s="17" t="str">
        <f aca="false">INT(O192/3)&amp;"."&amp;MOD(O192,3)</f>
        <v>56.1</v>
      </c>
      <c r="R192" s="12" t="n">
        <v>47</v>
      </c>
      <c r="S192" s="12" t="n">
        <v>23</v>
      </c>
      <c r="T192" s="12" t="n">
        <v>23</v>
      </c>
      <c r="U192" s="12" t="n">
        <v>4</v>
      </c>
      <c r="V192" s="12" t="n">
        <v>20</v>
      </c>
      <c r="W192" s="12" t="n">
        <v>43</v>
      </c>
      <c r="X192" s="12" t="n">
        <v>1</v>
      </c>
      <c r="Y192" s="18" t="n">
        <f aca="false">IF(O192=0,0,T192*27/O192)</f>
        <v>3.67455621301775</v>
      </c>
      <c r="Z192" s="18" t="n">
        <f aca="false">IF(P192=0,0,(V192+R192)/P192)</f>
        <v>1.18934911242604</v>
      </c>
      <c r="AA192" s="18" t="n">
        <f aca="false">IF(O192=0,0,W192*27/O192)</f>
        <v>6.8698224852071</v>
      </c>
      <c r="AB192" s="18" t="n">
        <f aca="false">IF(O192=0,0,V192*27/O192)</f>
        <v>3.19526627218935</v>
      </c>
      <c r="AC192" s="18" t="n">
        <f aca="false">IF(V192=0,0,W192/V192)</f>
        <v>2.15</v>
      </c>
      <c r="AD192" s="18" t="n">
        <f aca="false">IF(P192=0,0,(13*U192+3*(V192+X192)-2*W192)/P192+INDEX(球季參數!$C$2:$C$4,MATCH($A192,球季參數!$A$2:$A$4,0)))</f>
        <v>3.64479289940828</v>
      </c>
      <c r="AE192" s="11" t="n">
        <f aca="false">IF(P192&gt;=INDEX(球季參數!$F$2:$F$4,MATCH($A192,球季參數!$A$2:$A$4,0)),1,0)</f>
        <v>0</v>
      </c>
    </row>
    <row r="193" customFormat="false" ht="15" hidden="false" customHeight="false" outlineLevel="0" collapsed="false">
      <c r="A193" s="5" t="n">
        <v>2024</v>
      </c>
      <c r="B193" s="7" t="s">
        <v>1259</v>
      </c>
      <c r="C193" s="10" t="str">
        <f aca="false">INDEX(球員主檔!$B$2:$B$749,MATCH($B193,球員主檔!$A$2:$A$749,0))</f>
        <v>Thaddeus Nakagawa</v>
      </c>
      <c r="D193" s="7" t="s">
        <v>422</v>
      </c>
      <c r="E193" s="10" t="str">
        <f aca="false">INDEX(球隊主檔!$C$2:$C$31,MATCH($D193,球隊主檔!$A$2:$A$31,0))</f>
        <v>華盛頓國民</v>
      </c>
      <c r="F193" s="10" t="str">
        <f aca="false">INDEX(球隊主檔!$D$2:$D$31,MATCH($D193,球隊主檔!$A$2:$A$31,0))</f>
        <v>國聯</v>
      </c>
      <c r="G193" s="7" t="s">
        <v>496</v>
      </c>
      <c r="H193" s="11" t="n">
        <f aca="false">INT((DATE($A193,7,1)-INDEX(球員主檔!$G$2:$G$749,MATCH($B193,球員主檔!$A$2:$A$749,0)))/365.25)</f>
        <v>32</v>
      </c>
      <c r="I193" s="12" t="n">
        <v>10</v>
      </c>
      <c r="J193" s="12" t="n">
        <v>9</v>
      </c>
      <c r="K193" s="12" t="n">
        <v>0</v>
      </c>
      <c r="L193" s="12" t="n">
        <v>0</v>
      </c>
      <c r="M193" s="12" t="n">
        <v>26</v>
      </c>
      <c r="N193" s="12" t="n">
        <v>26</v>
      </c>
      <c r="O193" s="12" t="n">
        <v>380</v>
      </c>
      <c r="P193" s="16" t="n">
        <f aca="false">O193/3</f>
        <v>126.666666666667</v>
      </c>
      <c r="Q193" s="17" t="str">
        <f aca="false">INT(O193/3)&amp;"."&amp;MOD(O193,3)</f>
        <v>126.2</v>
      </c>
      <c r="R193" s="12" t="n">
        <v>122</v>
      </c>
      <c r="S193" s="12" t="n">
        <v>84</v>
      </c>
      <c r="T193" s="12" t="n">
        <v>75</v>
      </c>
      <c r="U193" s="12" t="n">
        <v>9</v>
      </c>
      <c r="V193" s="12" t="n">
        <v>36</v>
      </c>
      <c r="W193" s="12" t="n">
        <v>126</v>
      </c>
      <c r="X193" s="12" t="n">
        <v>4</v>
      </c>
      <c r="Y193" s="18" t="n">
        <f aca="false">IF(O193=0,0,T193*27/O193)</f>
        <v>5.32894736842105</v>
      </c>
      <c r="Z193" s="18" t="n">
        <f aca="false">IF(P193=0,0,(V193+R193)/P193)</f>
        <v>1.24736842105263</v>
      </c>
      <c r="AA193" s="18" t="n">
        <f aca="false">IF(O193=0,0,W193*27/O193)</f>
        <v>8.95263157894737</v>
      </c>
      <c r="AB193" s="18" t="n">
        <f aca="false">IF(O193=0,0,V193*27/O193)</f>
        <v>2.55789473684211</v>
      </c>
      <c r="AC193" s="18" t="n">
        <f aca="false">IF(V193=0,0,W193/V193)</f>
        <v>3.5</v>
      </c>
      <c r="AD193" s="18" t="n">
        <f aca="false">IF(P193=0,0,(13*U193+3*(V193+X193)-2*W193)/P193+INDEX(球季參數!$C$2:$C$4,MATCH($A193,球季參數!$A$2:$A$4,0)))</f>
        <v>3.01157894736842</v>
      </c>
      <c r="AE193" s="11" t="n">
        <f aca="false">IF(P193&gt;=INDEX(球季參數!$F$2:$F$4,MATCH($A193,球季參數!$A$2:$A$4,0)),1,0)</f>
        <v>0</v>
      </c>
    </row>
    <row r="194" customFormat="false" ht="15" hidden="false" customHeight="false" outlineLevel="0" collapsed="false">
      <c r="A194" s="5" t="n">
        <v>2024</v>
      </c>
      <c r="B194" s="7" t="s">
        <v>1261</v>
      </c>
      <c r="C194" s="10" t="str">
        <f aca="false">INDEX(球員主檔!$B$2:$B$749,MATCH($B194,球員主檔!$A$2:$A$749,0))</f>
        <v>Soren Brightwell</v>
      </c>
      <c r="D194" s="7" t="s">
        <v>422</v>
      </c>
      <c r="E194" s="10" t="str">
        <f aca="false">INDEX(球隊主檔!$C$2:$C$31,MATCH($D194,球隊主檔!$A$2:$A$31,0))</f>
        <v>華盛頓國民</v>
      </c>
      <c r="F194" s="10" t="str">
        <f aca="false">INDEX(球隊主檔!$D$2:$D$31,MATCH($D194,球隊主檔!$A$2:$A$31,0))</f>
        <v>國聯</v>
      </c>
      <c r="G194" s="7" t="s">
        <v>496</v>
      </c>
      <c r="H194" s="11" t="n">
        <f aca="false">INT((DATE($A194,7,1)-INDEX(球員主檔!$G$2:$G$749,MATCH($B194,球員主檔!$A$2:$A$749,0)))/365.25)</f>
        <v>30</v>
      </c>
      <c r="I194" s="12" t="n">
        <v>15</v>
      </c>
      <c r="J194" s="12" t="n">
        <v>9</v>
      </c>
      <c r="K194" s="12" t="n">
        <v>0</v>
      </c>
      <c r="L194" s="12" t="n">
        <v>0</v>
      </c>
      <c r="M194" s="12" t="n">
        <v>33</v>
      </c>
      <c r="N194" s="12" t="n">
        <v>33</v>
      </c>
      <c r="O194" s="12" t="n">
        <v>480</v>
      </c>
      <c r="P194" s="16" t="n">
        <f aca="false">O194/3</f>
        <v>160</v>
      </c>
      <c r="Q194" s="17" t="str">
        <f aca="false">INT(O194/3)&amp;"."&amp;MOD(O194,3)</f>
        <v>160.0</v>
      </c>
      <c r="R194" s="12" t="n">
        <v>140</v>
      </c>
      <c r="S194" s="12" t="n">
        <v>78</v>
      </c>
      <c r="T194" s="12" t="n">
        <v>75</v>
      </c>
      <c r="U194" s="12" t="n">
        <v>11</v>
      </c>
      <c r="V194" s="12" t="n">
        <v>65</v>
      </c>
      <c r="W194" s="12" t="n">
        <v>157</v>
      </c>
      <c r="X194" s="12" t="n">
        <v>6</v>
      </c>
      <c r="Y194" s="18" t="n">
        <f aca="false">IF(O194=0,0,T194*27/O194)</f>
        <v>4.21875</v>
      </c>
      <c r="Z194" s="18" t="n">
        <f aca="false">IF(P194=0,0,(V194+R194)/P194)</f>
        <v>1.28125</v>
      </c>
      <c r="AA194" s="18" t="n">
        <f aca="false">IF(O194=0,0,W194*27/O194)</f>
        <v>8.83125</v>
      </c>
      <c r="AB194" s="18" t="n">
        <f aca="false">IF(O194=0,0,V194*27/O194)</f>
        <v>3.65625</v>
      </c>
      <c r="AC194" s="18" t="n">
        <f aca="false">IF(V194=0,0,W194/V194)</f>
        <v>2.41538461538462</v>
      </c>
      <c r="AD194" s="18" t="n">
        <f aca="false">IF(P194=0,0,(13*U194+3*(V194+X194)-2*W194)/P194+INDEX(球季參數!$C$2:$C$4,MATCH($A194,球季參數!$A$2:$A$4,0)))</f>
        <v>3.3925</v>
      </c>
      <c r="AE194" s="11" t="n">
        <f aca="false">IF(P194&gt;=INDEX(球季參數!$F$2:$F$4,MATCH($A194,球季參數!$A$2:$A$4,0)),1,0)</f>
        <v>0</v>
      </c>
    </row>
    <row r="195" customFormat="false" ht="15" hidden="false" customHeight="false" outlineLevel="0" collapsed="false">
      <c r="A195" s="5" t="n">
        <v>2024</v>
      </c>
      <c r="B195" s="7" t="s">
        <v>1263</v>
      </c>
      <c r="C195" s="10" t="str">
        <f aca="false">INDEX(球員主檔!$B$2:$B$749,MATCH($B195,球員主檔!$A$2:$A$749,0))</f>
        <v>Ronin Hargreaves</v>
      </c>
      <c r="D195" s="7" t="s">
        <v>422</v>
      </c>
      <c r="E195" s="10" t="str">
        <f aca="false">INDEX(球隊主檔!$C$2:$C$31,MATCH($D195,球隊主檔!$A$2:$A$31,0))</f>
        <v>華盛頓國民</v>
      </c>
      <c r="F195" s="10" t="str">
        <f aca="false">INDEX(球隊主檔!$D$2:$D$31,MATCH($D195,球隊主檔!$A$2:$A$31,0))</f>
        <v>國聯</v>
      </c>
      <c r="G195" s="7" t="s">
        <v>496</v>
      </c>
      <c r="H195" s="11" t="n">
        <f aca="false">INT((DATE($A195,7,1)-INDEX(球員主檔!$G$2:$G$749,MATCH($B195,球員主檔!$A$2:$A$749,0)))/365.25)</f>
        <v>29</v>
      </c>
      <c r="I195" s="12" t="n">
        <v>3</v>
      </c>
      <c r="J195" s="12" t="n">
        <v>4</v>
      </c>
      <c r="K195" s="12" t="n">
        <v>0</v>
      </c>
      <c r="L195" s="12" t="n">
        <v>0</v>
      </c>
      <c r="M195" s="12" t="n">
        <v>11</v>
      </c>
      <c r="N195" s="12" t="n">
        <v>11</v>
      </c>
      <c r="O195" s="12" t="n">
        <v>183</v>
      </c>
      <c r="P195" s="16" t="n">
        <f aca="false">O195/3</f>
        <v>61</v>
      </c>
      <c r="Q195" s="17" t="str">
        <f aca="false">INT(O195/3)&amp;"."&amp;MOD(O195,3)</f>
        <v>61.0</v>
      </c>
      <c r="R195" s="12" t="n">
        <v>59</v>
      </c>
      <c r="S195" s="12" t="n">
        <v>38</v>
      </c>
      <c r="T195" s="12" t="n">
        <v>36</v>
      </c>
      <c r="U195" s="12" t="n">
        <v>11</v>
      </c>
      <c r="V195" s="12" t="n">
        <v>20</v>
      </c>
      <c r="W195" s="12" t="n">
        <v>57</v>
      </c>
      <c r="X195" s="12" t="n">
        <v>3</v>
      </c>
      <c r="Y195" s="18" t="n">
        <f aca="false">IF(O195=0,0,T195*27/O195)</f>
        <v>5.31147540983607</v>
      </c>
      <c r="Z195" s="18" t="n">
        <f aca="false">IF(P195=0,0,(V195+R195)/P195)</f>
        <v>1.29508196721311</v>
      </c>
      <c r="AA195" s="18" t="n">
        <f aca="false">IF(O195=0,0,W195*27/O195)</f>
        <v>8.40983606557377</v>
      </c>
      <c r="AB195" s="18" t="n">
        <f aca="false">IF(O195=0,0,V195*27/O195)</f>
        <v>2.95081967213115</v>
      </c>
      <c r="AC195" s="18" t="n">
        <f aca="false">IF(V195=0,0,W195/V195)</f>
        <v>2.85</v>
      </c>
      <c r="AD195" s="18" t="n">
        <f aca="false">IF(P195=0,0,(13*U195+3*(V195+X195)-2*W195)/P195+INDEX(球季參數!$C$2:$C$4,MATCH($A195,球季參數!$A$2:$A$4,0)))</f>
        <v>4.73655737704918</v>
      </c>
      <c r="AE195" s="11" t="n">
        <f aca="false">IF(P195&gt;=INDEX(球季參數!$F$2:$F$4,MATCH($A195,球季參數!$A$2:$A$4,0)),1,0)</f>
        <v>0</v>
      </c>
    </row>
    <row r="196" customFormat="false" ht="15" hidden="false" customHeight="false" outlineLevel="0" collapsed="false">
      <c r="A196" s="5" t="n">
        <v>2024</v>
      </c>
      <c r="B196" s="7" t="s">
        <v>1265</v>
      </c>
      <c r="C196" s="10" t="str">
        <f aca="false">INDEX(球員主檔!$B$2:$B$749,MATCH($B196,球員主檔!$A$2:$A$749,0))</f>
        <v>Alonso Goddard</v>
      </c>
      <c r="D196" s="7" t="s">
        <v>422</v>
      </c>
      <c r="E196" s="10" t="str">
        <f aca="false">INDEX(球隊主檔!$C$2:$C$31,MATCH($D196,球隊主檔!$A$2:$A$31,0))</f>
        <v>華盛頓國民</v>
      </c>
      <c r="F196" s="10" t="str">
        <f aca="false">INDEX(球隊主檔!$D$2:$D$31,MATCH($D196,球隊主檔!$A$2:$A$31,0))</f>
        <v>國聯</v>
      </c>
      <c r="G196" s="7" t="s">
        <v>496</v>
      </c>
      <c r="H196" s="11" t="n">
        <f aca="false">INT((DATE($A196,7,1)-INDEX(球員主檔!$G$2:$G$749,MATCH($B196,球員主檔!$A$2:$A$749,0)))/365.25)</f>
        <v>26</v>
      </c>
      <c r="I196" s="12" t="n">
        <v>15</v>
      </c>
      <c r="J196" s="12" t="n">
        <v>6</v>
      </c>
      <c r="K196" s="12" t="n">
        <v>0</v>
      </c>
      <c r="L196" s="12" t="n">
        <v>0</v>
      </c>
      <c r="M196" s="12" t="n">
        <v>29</v>
      </c>
      <c r="N196" s="12" t="n">
        <v>29</v>
      </c>
      <c r="O196" s="12" t="n">
        <v>544</v>
      </c>
      <c r="P196" s="16" t="n">
        <f aca="false">O196/3</f>
        <v>181.333333333333</v>
      </c>
      <c r="Q196" s="17" t="str">
        <f aca="false">INT(O196/3)&amp;"."&amp;MOD(O196,3)</f>
        <v>181.1</v>
      </c>
      <c r="R196" s="12" t="n">
        <v>137</v>
      </c>
      <c r="S196" s="12" t="n">
        <v>84</v>
      </c>
      <c r="T196" s="12" t="n">
        <v>77</v>
      </c>
      <c r="U196" s="12" t="n">
        <v>18</v>
      </c>
      <c r="V196" s="12" t="n">
        <v>56</v>
      </c>
      <c r="W196" s="12" t="n">
        <v>270</v>
      </c>
      <c r="X196" s="12" t="n">
        <v>3</v>
      </c>
      <c r="Y196" s="18" t="n">
        <f aca="false">IF(O196=0,0,T196*27/O196)</f>
        <v>3.82169117647059</v>
      </c>
      <c r="Z196" s="18" t="n">
        <f aca="false">IF(P196=0,0,(V196+R196)/P196)</f>
        <v>1.06433823529412</v>
      </c>
      <c r="AA196" s="18" t="n">
        <f aca="false">IF(O196=0,0,W196*27/O196)</f>
        <v>13.4007352941176</v>
      </c>
      <c r="AB196" s="18" t="n">
        <f aca="false">IF(O196=0,0,V196*27/O196)</f>
        <v>2.77941176470588</v>
      </c>
      <c r="AC196" s="18" t="n">
        <f aca="false">IF(V196=0,0,W196/V196)</f>
        <v>4.82142857142857</v>
      </c>
      <c r="AD196" s="18" t="n">
        <f aca="false">IF(P196=0,0,(13*U196+3*(V196+X196)-2*W196)/P196+INDEX(球季參數!$C$2:$C$4,MATCH($A196,球季參數!$A$2:$A$4,0)))</f>
        <v>2.41860294117647</v>
      </c>
      <c r="AE196" s="11" t="n">
        <f aca="false">IF(P196&gt;=INDEX(球季參數!$F$2:$F$4,MATCH($A196,球季參數!$A$2:$A$4,0)),1,0)</f>
        <v>1</v>
      </c>
    </row>
    <row r="197" customFormat="false" ht="15" hidden="false" customHeight="false" outlineLevel="0" collapsed="false">
      <c r="A197" s="5" t="n">
        <v>2024</v>
      </c>
      <c r="B197" s="7" t="s">
        <v>1267</v>
      </c>
      <c r="C197" s="10" t="str">
        <f aca="false">INDEX(球員主檔!$B$2:$B$749,MATCH($B197,球員主檔!$A$2:$A$749,0))</f>
        <v>Ignacio Cavanaugh</v>
      </c>
      <c r="D197" s="7" t="s">
        <v>422</v>
      </c>
      <c r="E197" s="10" t="str">
        <f aca="false">INDEX(球隊主檔!$C$2:$C$31,MATCH($D197,球隊主檔!$A$2:$A$31,0))</f>
        <v>華盛頓國民</v>
      </c>
      <c r="F197" s="10" t="str">
        <f aca="false">INDEX(球隊主檔!$D$2:$D$31,MATCH($D197,球隊主檔!$A$2:$A$31,0))</f>
        <v>國聯</v>
      </c>
      <c r="G197" s="7" t="s">
        <v>507</v>
      </c>
      <c r="H197" s="11" t="n">
        <f aca="false">INT((DATE($A197,7,1)-INDEX(球員主檔!$G$2:$G$749,MATCH($B197,球員主檔!$A$2:$A$749,0)))/365.25)</f>
        <v>25</v>
      </c>
      <c r="I197" s="12" t="n">
        <v>7</v>
      </c>
      <c r="J197" s="12" t="n">
        <v>2</v>
      </c>
      <c r="K197" s="12" t="n">
        <v>26</v>
      </c>
      <c r="L197" s="12" t="n">
        <v>2</v>
      </c>
      <c r="M197" s="12" t="n">
        <v>73</v>
      </c>
      <c r="N197" s="12" t="n">
        <v>0</v>
      </c>
      <c r="O197" s="12" t="n">
        <v>209</v>
      </c>
      <c r="P197" s="16" t="n">
        <f aca="false">O197/3</f>
        <v>69.6666666666667</v>
      </c>
      <c r="Q197" s="17" t="str">
        <f aca="false">INT(O197/3)&amp;"."&amp;MOD(O197,3)</f>
        <v>69.2</v>
      </c>
      <c r="R197" s="12" t="n">
        <v>57</v>
      </c>
      <c r="S197" s="12" t="n">
        <v>29</v>
      </c>
      <c r="T197" s="12" t="n">
        <v>26</v>
      </c>
      <c r="U197" s="12" t="n">
        <v>6</v>
      </c>
      <c r="V197" s="12" t="n">
        <v>24</v>
      </c>
      <c r="W197" s="12" t="n">
        <v>96</v>
      </c>
      <c r="X197" s="12" t="n">
        <v>2</v>
      </c>
      <c r="Y197" s="18" t="n">
        <f aca="false">IF(O197=0,0,T197*27/O197)</f>
        <v>3.35885167464115</v>
      </c>
      <c r="Z197" s="18" t="n">
        <f aca="false">IF(P197=0,0,(V197+R197)/P197)</f>
        <v>1.16267942583732</v>
      </c>
      <c r="AA197" s="18" t="n">
        <f aca="false">IF(O197=0,0,W197*27/O197)</f>
        <v>12.4019138755981</v>
      </c>
      <c r="AB197" s="18" t="n">
        <f aca="false">IF(O197=0,0,V197*27/O197)</f>
        <v>3.10047846889952</v>
      </c>
      <c r="AC197" s="18" t="n">
        <f aca="false">IF(V197=0,0,W197/V197)</f>
        <v>4</v>
      </c>
      <c r="AD197" s="18" t="n">
        <f aca="false">IF(P197=0,0,(13*U197+3*(V197+X197)-2*W197)/P197+INDEX(球季參數!$C$2:$C$4,MATCH($A197,球季參數!$A$2:$A$4,0)))</f>
        <v>2.61325358851675</v>
      </c>
      <c r="AE197" s="11" t="n">
        <f aca="false">IF(P197&gt;=INDEX(球季參數!$F$2:$F$4,MATCH($A197,球季參數!$A$2:$A$4,0)),1,0)</f>
        <v>0</v>
      </c>
    </row>
    <row r="198" customFormat="false" ht="15" hidden="false" customHeight="false" outlineLevel="0" collapsed="false">
      <c r="A198" s="5" t="n">
        <v>2024</v>
      </c>
      <c r="B198" s="7" t="s">
        <v>1269</v>
      </c>
      <c r="C198" s="10" t="str">
        <f aca="false">INDEX(球員主檔!$B$2:$B$749,MATCH($B198,球員主檔!$A$2:$A$749,0))</f>
        <v>Jedidiah Gallimore</v>
      </c>
      <c r="D198" s="7" t="s">
        <v>422</v>
      </c>
      <c r="E198" s="10" t="str">
        <f aca="false">INDEX(球隊主檔!$C$2:$C$31,MATCH($D198,球隊主檔!$A$2:$A$31,0))</f>
        <v>華盛頓國民</v>
      </c>
      <c r="F198" s="10" t="str">
        <f aca="false">INDEX(球隊主檔!$D$2:$D$31,MATCH($D198,球隊主檔!$A$2:$A$31,0))</f>
        <v>國聯</v>
      </c>
      <c r="G198" s="7" t="s">
        <v>507</v>
      </c>
      <c r="H198" s="11" t="n">
        <f aca="false">INT((DATE($A198,7,1)-INDEX(球員主檔!$G$2:$G$749,MATCH($B198,球員主檔!$A$2:$A$749,0)))/365.25)</f>
        <v>28</v>
      </c>
      <c r="I198" s="12" t="n">
        <v>7</v>
      </c>
      <c r="J198" s="12" t="n">
        <v>0</v>
      </c>
      <c r="K198" s="12" t="n">
        <v>2</v>
      </c>
      <c r="L198" s="12" t="n">
        <v>2</v>
      </c>
      <c r="M198" s="12" t="n">
        <v>42</v>
      </c>
      <c r="N198" s="12" t="n">
        <v>0</v>
      </c>
      <c r="O198" s="12" t="n">
        <v>115</v>
      </c>
      <c r="P198" s="16" t="n">
        <f aca="false">O198/3</f>
        <v>38.3333333333333</v>
      </c>
      <c r="Q198" s="17" t="str">
        <f aca="false">INT(O198/3)&amp;"."&amp;MOD(O198,3)</f>
        <v>38.1</v>
      </c>
      <c r="R198" s="12" t="n">
        <v>32</v>
      </c>
      <c r="S198" s="12" t="n">
        <v>15</v>
      </c>
      <c r="T198" s="12" t="n">
        <v>15</v>
      </c>
      <c r="U198" s="12" t="n">
        <v>4</v>
      </c>
      <c r="V198" s="12" t="n">
        <v>12</v>
      </c>
      <c r="W198" s="12" t="n">
        <v>41</v>
      </c>
      <c r="X198" s="12" t="n">
        <v>2</v>
      </c>
      <c r="Y198" s="18" t="n">
        <f aca="false">IF(O198=0,0,T198*27/O198)</f>
        <v>3.52173913043478</v>
      </c>
      <c r="Z198" s="18" t="n">
        <f aca="false">IF(P198=0,0,(V198+R198)/P198)</f>
        <v>1.14782608695652</v>
      </c>
      <c r="AA198" s="18" t="n">
        <f aca="false">IF(O198=0,0,W198*27/O198)</f>
        <v>9.62608695652174</v>
      </c>
      <c r="AB198" s="18" t="n">
        <f aca="false">IF(O198=0,0,V198*27/O198)</f>
        <v>2.81739130434783</v>
      </c>
      <c r="AC198" s="18" t="n">
        <f aca="false">IF(V198=0,0,W198/V198)</f>
        <v>3.41666666666667</v>
      </c>
      <c r="AD198" s="18" t="n">
        <f aca="false">IF(P198=0,0,(13*U198+3*(V198+X198)-2*W198)/P198+INDEX(球季參數!$C$2:$C$4,MATCH($A198,球季參數!$A$2:$A$4,0)))</f>
        <v>3.44304347826087</v>
      </c>
      <c r="AE198" s="11" t="n">
        <f aca="false">IF(P198&gt;=INDEX(球季參數!$F$2:$F$4,MATCH($A198,球季參數!$A$2:$A$4,0)),1,0)</f>
        <v>0</v>
      </c>
    </row>
    <row r="199" customFormat="false" ht="15" hidden="false" customHeight="false" outlineLevel="0" collapsed="false">
      <c r="A199" s="5" t="n">
        <v>2024</v>
      </c>
      <c r="B199" s="7" t="s">
        <v>1271</v>
      </c>
      <c r="C199" s="10" t="str">
        <f aca="false">INDEX(球員主檔!$B$2:$B$749,MATCH($B199,球員主檔!$A$2:$A$749,0))</f>
        <v>Rhett Kiriakis</v>
      </c>
      <c r="D199" s="7" t="s">
        <v>422</v>
      </c>
      <c r="E199" s="10" t="str">
        <f aca="false">INDEX(球隊主檔!$C$2:$C$31,MATCH($D199,球隊主檔!$A$2:$A$31,0))</f>
        <v>華盛頓國民</v>
      </c>
      <c r="F199" s="10" t="str">
        <f aca="false">INDEX(球隊主檔!$D$2:$D$31,MATCH($D199,球隊主檔!$A$2:$A$31,0))</f>
        <v>國聯</v>
      </c>
      <c r="G199" s="7" t="s">
        <v>507</v>
      </c>
      <c r="H199" s="11" t="n">
        <f aca="false">INT((DATE($A199,7,1)-INDEX(球員主檔!$G$2:$G$749,MATCH($B199,球員主檔!$A$2:$A$749,0)))/365.25)</f>
        <v>30</v>
      </c>
      <c r="I199" s="12" t="n">
        <v>8</v>
      </c>
      <c r="J199" s="12" t="n">
        <v>7</v>
      </c>
      <c r="K199" s="12" t="n">
        <v>0</v>
      </c>
      <c r="L199" s="12" t="n">
        <v>14</v>
      </c>
      <c r="M199" s="12" t="n">
        <v>70</v>
      </c>
      <c r="N199" s="12" t="n">
        <v>0</v>
      </c>
      <c r="O199" s="12" t="n">
        <v>221</v>
      </c>
      <c r="P199" s="16" t="n">
        <f aca="false">O199/3</f>
        <v>73.6666666666667</v>
      </c>
      <c r="Q199" s="17" t="str">
        <f aca="false">INT(O199/3)&amp;"."&amp;MOD(O199,3)</f>
        <v>73.2</v>
      </c>
      <c r="R199" s="12" t="n">
        <v>50</v>
      </c>
      <c r="S199" s="12" t="n">
        <v>19</v>
      </c>
      <c r="T199" s="12" t="n">
        <v>18</v>
      </c>
      <c r="U199" s="12" t="n">
        <v>8</v>
      </c>
      <c r="V199" s="12" t="n">
        <v>30</v>
      </c>
      <c r="W199" s="12" t="n">
        <v>51</v>
      </c>
      <c r="X199" s="12" t="n">
        <v>4</v>
      </c>
      <c r="Y199" s="18" t="n">
        <f aca="false">IF(O199=0,0,T199*27/O199)</f>
        <v>2.19909502262443</v>
      </c>
      <c r="Z199" s="18" t="n">
        <f aca="false">IF(P199=0,0,(V199+R199)/P199)</f>
        <v>1.08597285067873</v>
      </c>
      <c r="AA199" s="18" t="n">
        <f aca="false">IF(O199=0,0,W199*27/O199)</f>
        <v>6.23076923076923</v>
      </c>
      <c r="AB199" s="18" t="n">
        <f aca="false">IF(O199=0,0,V199*27/O199)</f>
        <v>3.66515837104072</v>
      </c>
      <c r="AC199" s="18" t="n">
        <f aca="false">IF(V199=0,0,W199/V199)</f>
        <v>1.7</v>
      </c>
      <c r="AD199" s="18" t="n">
        <f aca="false">IF(P199=0,0,(13*U199+3*(V199+X199)-2*W199)/P199+INDEX(球季參數!$C$2:$C$4,MATCH($A199,球季參數!$A$2:$A$4,0)))</f>
        <v>4.54176470588235</v>
      </c>
      <c r="AE199" s="11" t="n">
        <f aca="false">IF(P199&gt;=INDEX(球季參數!$F$2:$F$4,MATCH($A199,球季參數!$A$2:$A$4,0)),1,0)</f>
        <v>0</v>
      </c>
    </row>
    <row r="200" customFormat="false" ht="15" hidden="false" customHeight="false" outlineLevel="0" collapsed="false">
      <c r="A200" s="5" t="n">
        <v>2024</v>
      </c>
      <c r="B200" s="7" t="s">
        <v>1273</v>
      </c>
      <c r="C200" s="10" t="str">
        <f aca="false">INDEX(球員主檔!$B$2:$B$749,MATCH($B200,球員主檔!$A$2:$A$749,0))</f>
        <v>Mateo Haverford</v>
      </c>
      <c r="D200" s="7" t="s">
        <v>422</v>
      </c>
      <c r="E200" s="10" t="str">
        <f aca="false">INDEX(球隊主檔!$C$2:$C$31,MATCH($D200,球隊主檔!$A$2:$A$31,0))</f>
        <v>華盛頓國民</v>
      </c>
      <c r="F200" s="10" t="str">
        <f aca="false">INDEX(球隊主檔!$D$2:$D$31,MATCH($D200,球隊主檔!$A$2:$A$31,0))</f>
        <v>國聯</v>
      </c>
      <c r="G200" s="7" t="s">
        <v>507</v>
      </c>
      <c r="H200" s="11" t="n">
        <f aca="false">INT((DATE($A200,7,1)-INDEX(球員主檔!$G$2:$G$749,MATCH($B200,球員主檔!$A$2:$A$749,0)))/365.25)</f>
        <v>34</v>
      </c>
      <c r="I200" s="12" t="n">
        <v>6</v>
      </c>
      <c r="J200" s="12" t="n">
        <v>6</v>
      </c>
      <c r="K200" s="12" t="n">
        <v>5</v>
      </c>
      <c r="L200" s="12" t="n">
        <v>8</v>
      </c>
      <c r="M200" s="12" t="n">
        <v>73</v>
      </c>
      <c r="N200" s="12" t="n">
        <v>0</v>
      </c>
      <c r="O200" s="12" t="n">
        <v>212</v>
      </c>
      <c r="P200" s="16" t="n">
        <f aca="false">O200/3</f>
        <v>70.6666666666667</v>
      </c>
      <c r="Q200" s="17" t="str">
        <f aca="false">INT(O200/3)&amp;"."&amp;MOD(O200,3)</f>
        <v>70.2</v>
      </c>
      <c r="R200" s="12" t="n">
        <v>74</v>
      </c>
      <c r="S200" s="12" t="n">
        <v>54</v>
      </c>
      <c r="T200" s="12" t="n">
        <v>49</v>
      </c>
      <c r="U200" s="12" t="n">
        <v>5</v>
      </c>
      <c r="V200" s="12" t="n">
        <v>21</v>
      </c>
      <c r="W200" s="12" t="n">
        <v>54</v>
      </c>
      <c r="X200" s="12" t="n">
        <v>4</v>
      </c>
      <c r="Y200" s="18" t="n">
        <f aca="false">IF(O200=0,0,T200*27/O200)</f>
        <v>6.24056603773585</v>
      </c>
      <c r="Z200" s="18" t="n">
        <f aca="false">IF(P200=0,0,(V200+R200)/P200)</f>
        <v>1.34433962264151</v>
      </c>
      <c r="AA200" s="18" t="n">
        <f aca="false">IF(O200=0,0,W200*27/O200)</f>
        <v>6.87735849056604</v>
      </c>
      <c r="AB200" s="18" t="n">
        <f aca="false">IF(O200=0,0,V200*27/O200)</f>
        <v>2.67452830188679</v>
      </c>
      <c r="AC200" s="18" t="n">
        <f aca="false">IF(V200=0,0,W200/V200)</f>
        <v>2.57142857142857</v>
      </c>
      <c r="AD200" s="18" t="n">
        <f aca="false">IF(P200=0,0,(13*U200+3*(V200+X200)-2*W200)/P200+INDEX(球季參數!$C$2:$C$4,MATCH($A200,球季參數!$A$2:$A$4,0)))</f>
        <v>3.58283018867925</v>
      </c>
      <c r="AE200" s="11" t="n">
        <f aca="false">IF(P200&gt;=INDEX(球季參數!$F$2:$F$4,MATCH($A200,球季參數!$A$2:$A$4,0)),1,0)</f>
        <v>0</v>
      </c>
    </row>
    <row r="201" customFormat="false" ht="15" hidden="false" customHeight="false" outlineLevel="0" collapsed="false">
      <c r="A201" s="5" t="n">
        <v>2024</v>
      </c>
      <c r="B201" s="7" t="s">
        <v>1275</v>
      </c>
      <c r="C201" s="10" t="str">
        <f aca="false">INDEX(球員主檔!$B$2:$B$749,MATCH($B201,球員主檔!$A$2:$A$749,0))</f>
        <v>Dimitri Vasquez</v>
      </c>
      <c r="D201" s="7" t="s">
        <v>422</v>
      </c>
      <c r="E201" s="10" t="str">
        <f aca="false">INDEX(球隊主檔!$C$2:$C$31,MATCH($D201,球隊主檔!$A$2:$A$31,0))</f>
        <v>華盛頓國民</v>
      </c>
      <c r="F201" s="10" t="str">
        <f aca="false">INDEX(球隊主檔!$D$2:$D$31,MATCH($D201,球隊主檔!$A$2:$A$31,0))</f>
        <v>國聯</v>
      </c>
      <c r="G201" s="7" t="s">
        <v>507</v>
      </c>
      <c r="H201" s="11" t="n">
        <f aca="false">INT((DATE($A201,7,1)-INDEX(球員主檔!$G$2:$G$749,MATCH($B201,球員主檔!$A$2:$A$749,0)))/365.25)</f>
        <v>22</v>
      </c>
      <c r="I201" s="12" t="n">
        <v>1</v>
      </c>
      <c r="J201" s="12" t="n">
        <v>8</v>
      </c>
      <c r="K201" s="12" t="n">
        <v>1</v>
      </c>
      <c r="L201" s="12" t="n">
        <v>26</v>
      </c>
      <c r="M201" s="12" t="n">
        <v>76</v>
      </c>
      <c r="N201" s="12" t="n">
        <v>0</v>
      </c>
      <c r="O201" s="12" t="n">
        <v>229</v>
      </c>
      <c r="P201" s="16" t="n">
        <f aca="false">O201/3</f>
        <v>76.3333333333333</v>
      </c>
      <c r="Q201" s="17" t="str">
        <f aca="false">INT(O201/3)&amp;"."&amp;MOD(O201,3)</f>
        <v>76.1</v>
      </c>
      <c r="R201" s="12" t="n">
        <v>77</v>
      </c>
      <c r="S201" s="12" t="n">
        <v>49</v>
      </c>
      <c r="T201" s="12" t="n">
        <v>47</v>
      </c>
      <c r="U201" s="12" t="n">
        <v>7</v>
      </c>
      <c r="V201" s="12" t="n">
        <v>33</v>
      </c>
      <c r="W201" s="12" t="n">
        <v>83</v>
      </c>
      <c r="X201" s="12" t="n">
        <v>3</v>
      </c>
      <c r="Y201" s="18" t="n">
        <f aca="false">IF(O201=0,0,T201*27/O201)</f>
        <v>5.54148471615721</v>
      </c>
      <c r="Z201" s="18" t="n">
        <f aca="false">IF(P201=0,0,(V201+R201)/P201)</f>
        <v>1.4410480349345</v>
      </c>
      <c r="AA201" s="18" t="n">
        <f aca="false">IF(O201=0,0,W201*27/O201)</f>
        <v>9.78602620087336</v>
      </c>
      <c r="AB201" s="18" t="n">
        <f aca="false">IF(O201=0,0,V201*27/O201)</f>
        <v>3.89082969432314</v>
      </c>
      <c r="AC201" s="18" t="n">
        <f aca="false">IF(V201=0,0,W201/V201)</f>
        <v>2.51515151515152</v>
      </c>
      <c r="AD201" s="18" t="n">
        <f aca="false">IF(P201=0,0,(13*U201+3*(V201+X201)-2*W201)/P201+INDEX(球季參數!$C$2:$C$4,MATCH($A201,球季參數!$A$2:$A$4,0)))</f>
        <v>3.56231441048035</v>
      </c>
      <c r="AE201" s="11" t="n">
        <f aca="false">IF(P201&gt;=INDEX(球季參數!$F$2:$F$4,MATCH($A201,球季參數!$A$2:$A$4,0)),1,0)</f>
        <v>0</v>
      </c>
    </row>
    <row r="202" customFormat="false" ht="15" hidden="false" customHeight="false" outlineLevel="0" collapsed="false">
      <c r="A202" s="5" t="n">
        <v>2024</v>
      </c>
      <c r="B202" s="7" t="s">
        <v>1297</v>
      </c>
      <c r="C202" s="10" t="str">
        <f aca="false">INDEX(球員主檔!$B$2:$B$749,MATCH($B202,球員主檔!$A$2:$A$749,0))</f>
        <v>Nolan Mbeki</v>
      </c>
      <c r="D202" s="7" t="s">
        <v>426</v>
      </c>
      <c r="E202" s="10" t="str">
        <f aca="false">INDEX(球隊主檔!$C$2:$C$31,MATCH($D202,球隊主檔!$A$2:$A$31,0))</f>
        <v>芝加哥小熊</v>
      </c>
      <c r="F202" s="10" t="str">
        <f aca="false">INDEX(球隊主檔!$D$2:$D$31,MATCH($D202,球隊主檔!$A$2:$A$31,0))</f>
        <v>國聯</v>
      </c>
      <c r="G202" s="7" t="s">
        <v>496</v>
      </c>
      <c r="H202" s="11" t="n">
        <f aca="false">INT((DATE($A202,7,1)-INDEX(球員主檔!$G$2:$G$749,MATCH($B202,球員主檔!$A$2:$A$749,0)))/365.25)</f>
        <v>26</v>
      </c>
      <c r="I202" s="12" t="n">
        <v>11</v>
      </c>
      <c r="J202" s="12" t="n">
        <v>3</v>
      </c>
      <c r="K202" s="12" t="n">
        <v>0</v>
      </c>
      <c r="L202" s="12" t="n">
        <v>0</v>
      </c>
      <c r="M202" s="12" t="n">
        <v>25</v>
      </c>
      <c r="N202" s="12" t="n">
        <v>25</v>
      </c>
      <c r="O202" s="12" t="n">
        <v>456</v>
      </c>
      <c r="P202" s="16" t="n">
        <f aca="false">O202/3</f>
        <v>152</v>
      </c>
      <c r="Q202" s="17" t="str">
        <f aca="false">INT(O202/3)&amp;"."&amp;MOD(O202,3)</f>
        <v>152.0</v>
      </c>
      <c r="R202" s="12" t="n">
        <v>101</v>
      </c>
      <c r="S202" s="12" t="n">
        <v>48</v>
      </c>
      <c r="T202" s="12" t="n">
        <v>43</v>
      </c>
      <c r="U202" s="12" t="n">
        <v>11</v>
      </c>
      <c r="V202" s="12" t="n">
        <v>17</v>
      </c>
      <c r="W202" s="12" t="n">
        <v>152</v>
      </c>
      <c r="X202" s="12" t="n">
        <v>2</v>
      </c>
      <c r="Y202" s="18" t="n">
        <f aca="false">IF(O202=0,0,T202*27/O202)</f>
        <v>2.54605263157895</v>
      </c>
      <c r="Z202" s="18" t="n">
        <f aca="false">IF(P202=0,0,(V202+R202)/P202)</f>
        <v>0.776315789473684</v>
      </c>
      <c r="AA202" s="18" t="n">
        <f aca="false">IF(O202=0,0,W202*27/O202)</f>
        <v>9</v>
      </c>
      <c r="AB202" s="18" t="n">
        <f aca="false">IF(O202=0,0,V202*27/O202)</f>
        <v>1.00657894736842</v>
      </c>
      <c r="AC202" s="18" t="n">
        <f aca="false">IF(V202=0,0,W202/V202)</f>
        <v>8.94117647058824</v>
      </c>
      <c r="AD202" s="18" t="n">
        <f aca="false">IF(P202=0,0,(13*U202+3*(V202+X202)-2*W202)/P202+INDEX(球季參數!$C$2:$C$4,MATCH($A202,球季參數!$A$2:$A$4,0)))</f>
        <v>2.44578947368421</v>
      </c>
      <c r="AE202" s="11" t="n">
        <f aca="false">IF(P202&gt;=INDEX(球季參數!$F$2:$F$4,MATCH($A202,球季參數!$A$2:$A$4,0)),1,0)</f>
        <v>0</v>
      </c>
    </row>
    <row r="203" customFormat="false" ht="15" hidden="false" customHeight="false" outlineLevel="0" collapsed="false">
      <c r="A203" s="5" t="n">
        <v>2024</v>
      </c>
      <c r="B203" s="7" t="s">
        <v>1299</v>
      </c>
      <c r="C203" s="10" t="str">
        <f aca="false">INDEX(球員主檔!$B$2:$B$749,MATCH($B203,球員主檔!$A$2:$A$749,0))</f>
        <v>Benedikt Dubois</v>
      </c>
      <c r="D203" s="7" t="s">
        <v>426</v>
      </c>
      <c r="E203" s="10" t="str">
        <f aca="false">INDEX(球隊主檔!$C$2:$C$31,MATCH($D203,球隊主檔!$A$2:$A$31,0))</f>
        <v>芝加哥小熊</v>
      </c>
      <c r="F203" s="10" t="str">
        <f aca="false">INDEX(球隊主檔!$D$2:$D$31,MATCH($D203,球隊主檔!$A$2:$A$31,0))</f>
        <v>國聯</v>
      </c>
      <c r="G203" s="7" t="s">
        <v>496</v>
      </c>
      <c r="H203" s="11" t="n">
        <f aca="false">INT((DATE($A203,7,1)-INDEX(球員主檔!$G$2:$G$749,MATCH($B203,球員主檔!$A$2:$A$749,0)))/365.25)</f>
        <v>24</v>
      </c>
      <c r="I203" s="12" t="n">
        <v>7</v>
      </c>
      <c r="J203" s="12" t="n">
        <v>3</v>
      </c>
      <c r="K203" s="12" t="n">
        <v>0</v>
      </c>
      <c r="L203" s="12" t="n">
        <v>0</v>
      </c>
      <c r="M203" s="12" t="n">
        <v>14</v>
      </c>
      <c r="N203" s="12" t="n">
        <v>14</v>
      </c>
      <c r="O203" s="12" t="n">
        <v>210</v>
      </c>
      <c r="P203" s="16" t="n">
        <f aca="false">O203/3</f>
        <v>70</v>
      </c>
      <c r="Q203" s="17" t="str">
        <f aca="false">INT(O203/3)&amp;"."&amp;MOD(O203,3)</f>
        <v>70.0</v>
      </c>
      <c r="R203" s="12" t="n">
        <v>53</v>
      </c>
      <c r="S203" s="12" t="n">
        <v>28</v>
      </c>
      <c r="T203" s="12" t="n">
        <v>28</v>
      </c>
      <c r="U203" s="12" t="n">
        <v>8</v>
      </c>
      <c r="V203" s="12" t="n">
        <v>15</v>
      </c>
      <c r="W203" s="12" t="n">
        <v>63</v>
      </c>
      <c r="X203" s="12" t="n">
        <v>3</v>
      </c>
      <c r="Y203" s="18" t="n">
        <f aca="false">IF(O203=0,0,T203*27/O203)</f>
        <v>3.6</v>
      </c>
      <c r="Z203" s="18" t="n">
        <f aca="false">IF(P203=0,0,(V203+R203)/P203)</f>
        <v>0.971428571428571</v>
      </c>
      <c r="AA203" s="18" t="n">
        <f aca="false">IF(O203=0,0,W203*27/O203)</f>
        <v>8.1</v>
      </c>
      <c r="AB203" s="18" t="n">
        <f aca="false">IF(O203=0,0,V203*27/O203)</f>
        <v>1.92857142857143</v>
      </c>
      <c r="AC203" s="18" t="n">
        <f aca="false">IF(V203=0,0,W203/V203)</f>
        <v>4.2</v>
      </c>
      <c r="AD203" s="18" t="n">
        <f aca="false">IF(P203=0,0,(13*U203+3*(V203+X203)-2*W203)/P203+INDEX(球季參數!$C$2:$C$4,MATCH($A203,球季參數!$A$2:$A$4,0)))</f>
        <v>3.58714285714286</v>
      </c>
      <c r="AE203" s="11" t="n">
        <f aca="false">IF(P203&gt;=INDEX(球季參數!$F$2:$F$4,MATCH($A203,球季參數!$A$2:$A$4,0)),1,0)</f>
        <v>0</v>
      </c>
    </row>
    <row r="204" customFormat="false" ht="15" hidden="false" customHeight="false" outlineLevel="0" collapsed="false">
      <c r="A204" s="5" t="n">
        <v>2024</v>
      </c>
      <c r="B204" s="7" t="s">
        <v>1301</v>
      </c>
      <c r="C204" s="10" t="str">
        <f aca="false">INDEX(球員主檔!$B$2:$B$749,MATCH($B204,球員主檔!$A$2:$A$749,0))</f>
        <v>Kellan Oyelaran</v>
      </c>
      <c r="D204" s="7" t="s">
        <v>426</v>
      </c>
      <c r="E204" s="10" t="str">
        <f aca="false">INDEX(球隊主檔!$C$2:$C$31,MATCH($D204,球隊主檔!$A$2:$A$31,0))</f>
        <v>芝加哥小熊</v>
      </c>
      <c r="F204" s="10" t="str">
        <f aca="false">INDEX(球隊主檔!$D$2:$D$31,MATCH($D204,球隊主檔!$A$2:$A$31,0))</f>
        <v>國聯</v>
      </c>
      <c r="G204" s="7" t="s">
        <v>496</v>
      </c>
      <c r="H204" s="11" t="n">
        <f aca="false">INT((DATE($A204,7,1)-INDEX(球員主檔!$G$2:$G$749,MATCH($B204,球員主檔!$A$2:$A$749,0)))/365.25)</f>
        <v>28</v>
      </c>
      <c r="I204" s="12" t="n">
        <v>8</v>
      </c>
      <c r="J204" s="12" t="n">
        <v>7</v>
      </c>
      <c r="K204" s="12" t="n">
        <v>0</v>
      </c>
      <c r="L204" s="12" t="n">
        <v>0</v>
      </c>
      <c r="M204" s="12" t="n">
        <v>25</v>
      </c>
      <c r="N204" s="12" t="n">
        <v>25</v>
      </c>
      <c r="O204" s="12" t="n">
        <v>434</v>
      </c>
      <c r="P204" s="16" t="n">
        <f aca="false">O204/3</f>
        <v>144.666666666667</v>
      </c>
      <c r="Q204" s="17" t="str">
        <f aca="false">INT(O204/3)&amp;"."&amp;MOD(O204,3)</f>
        <v>144.2</v>
      </c>
      <c r="R204" s="12" t="n">
        <v>126</v>
      </c>
      <c r="S204" s="12" t="n">
        <v>69</v>
      </c>
      <c r="T204" s="12" t="n">
        <v>67</v>
      </c>
      <c r="U204" s="12" t="n">
        <v>15</v>
      </c>
      <c r="V204" s="12" t="n">
        <v>33</v>
      </c>
      <c r="W204" s="12" t="n">
        <v>149</v>
      </c>
      <c r="X204" s="12" t="n">
        <v>3</v>
      </c>
      <c r="Y204" s="18" t="n">
        <f aca="false">IF(O204=0,0,T204*27/O204)</f>
        <v>4.16820276497696</v>
      </c>
      <c r="Z204" s="18" t="n">
        <f aca="false">IF(P204=0,0,(V204+R204)/P204)</f>
        <v>1.09907834101383</v>
      </c>
      <c r="AA204" s="18" t="n">
        <f aca="false">IF(O204=0,0,W204*27/O204)</f>
        <v>9.26958525345622</v>
      </c>
      <c r="AB204" s="18" t="n">
        <f aca="false">IF(O204=0,0,V204*27/O204)</f>
        <v>2.05299539170507</v>
      </c>
      <c r="AC204" s="18" t="n">
        <f aca="false">IF(V204=0,0,W204/V204)</f>
        <v>4.51515151515152</v>
      </c>
      <c r="AD204" s="18" t="n">
        <f aca="false">IF(P204=0,0,(13*U204+3*(V204+X204)-2*W204)/P204+INDEX(球季參數!$C$2:$C$4,MATCH($A204,球季參數!$A$2:$A$4,0)))</f>
        <v>3.16456221198157</v>
      </c>
      <c r="AE204" s="11" t="n">
        <f aca="false">IF(P204&gt;=INDEX(球季參數!$F$2:$F$4,MATCH($A204,球季參數!$A$2:$A$4,0)),1,0)</f>
        <v>0</v>
      </c>
    </row>
    <row r="205" customFormat="false" ht="15" hidden="false" customHeight="false" outlineLevel="0" collapsed="false">
      <c r="A205" s="5" t="n">
        <v>2024</v>
      </c>
      <c r="B205" s="7" t="s">
        <v>1303</v>
      </c>
      <c r="C205" s="10" t="str">
        <f aca="false">INDEX(球員主檔!$B$2:$B$749,MATCH($B205,球員主檔!$A$2:$A$749,0))</f>
        <v>Wyatt Lindquist</v>
      </c>
      <c r="D205" s="7" t="s">
        <v>426</v>
      </c>
      <c r="E205" s="10" t="str">
        <f aca="false">INDEX(球隊主檔!$C$2:$C$31,MATCH($D205,球隊主檔!$A$2:$A$31,0))</f>
        <v>芝加哥小熊</v>
      </c>
      <c r="F205" s="10" t="str">
        <f aca="false">INDEX(球隊主檔!$D$2:$D$31,MATCH($D205,球隊主檔!$A$2:$A$31,0))</f>
        <v>國聯</v>
      </c>
      <c r="G205" s="7" t="s">
        <v>496</v>
      </c>
      <c r="H205" s="11" t="n">
        <f aca="false">INT((DATE($A205,7,1)-INDEX(球員主檔!$G$2:$G$749,MATCH($B205,球員主檔!$A$2:$A$749,0)))/365.25)</f>
        <v>26</v>
      </c>
      <c r="I205" s="12" t="n">
        <v>10</v>
      </c>
      <c r="J205" s="12" t="n">
        <v>8</v>
      </c>
      <c r="K205" s="12" t="n">
        <v>0</v>
      </c>
      <c r="L205" s="12" t="n">
        <v>0</v>
      </c>
      <c r="M205" s="12" t="n">
        <v>31</v>
      </c>
      <c r="N205" s="12" t="n">
        <v>31</v>
      </c>
      <c r="O205" s="12" t="n">
        <v>516</v>
      </c>
      <c r="P205" s="16" t="n">
        <f aca="false">O205/3</f>
        <v>172</v>
      </c>
      <c r="Q205" s="17" t="str">
        <f aca="false">INT(O205/3)&amp;"."&amp;MOD(O205,3)</f>
        <v>172.0</v>
      </c>
      <c r="R205" s="12" t="n">
        <v>150</v>
      </c>
      <c r="S205" s="12" t="n">
        <v>92</v>
      </c>
      <c r="T205" s="12" t="n">
        <v>82</v>
      </c>
      <c r="U205" s="12" t="n">
        <v>19</v>
      </c>
      <c r="V205" s="12" t="n">
        <v>39</v>
      </c>
      <c r="W205" s="12" t="n">
        <v>180</v>
      </c>
      <c r="X205" s="12" t="n">
        <v>2</v>
      </c>
      <c r="Y205" s="18" t="n">
        <f aca="false">IF(O205=0,0,T205*27/O205)</f>
        <v>4.2906976744186</v>
      </c>
      <c r="Z205" s="18" t="n">
        <f aca="false">IF(P205=0,0,(V205+R205)/P205)</f>
        <v>1.09883720930233</v>
      </c>
      <c r="AA205" s="18" t="n">
        <f aca="false">IF(O205=0,0,W205*27/O205)</f>
        <v>9.41860465116279</v>
      </c>
      <c r="AB205" s="18" t="n">
        <f aca="false">IF(O205=0,0,V205*27/O205)</f>
        <v>2.0406976744186</v>
      </c>
      <c r="AC205" s="18" t="n">
        <f aca="false">IF(V205=0,0,W205/V205)</f>
        <v>4.61538461538462</v>
      </c>
      <c r="AD205" s="18" t="n">
        <f aca="false">IF(P205=0,0,(13*U205+3*(V205+X205)-2*W205)/P205+INDEX(球季參數!$C$2:$C$4,MATCH($A205,球季參數!$A$2:$A$4,0)))</f>
        <v>3.18813953488372</v>
      </c>
      <c r="AE205" s="11" t="n">
        <f aca="false">IF(P205&gt;=INDEX(球季參數!$F$2:$F$4,MATCH($A205,球季參數!$A$2:$A$4,0)),1,0)</f>
        <v>1</v>
      </c>
    </row>
    <row r="206" customFormat="false" ht="15" hidden="false" customHeight="false" outlineLevel="0" collapsed="false">
      <c r="A206" s="5" t="n">
        <v>2024</v>
      </c>
      <c r="B206" s="7" t="s">
        <v>1305</v>
      </c>
      <c r="C206" s="10" t="str">
        <f aca="false">INDEX(球員主檔!$B$2:$B$749,MATCH($B206,球員主檔!$A$2:$A$749,0))</f>
        <v>Elias Yarbrough</v>
      </c>
      <c r="D206" s="7" t="s">
        <v>426</v>
      </c>
      <c r="E206" s="10" t="str">
        <f aca="false">INDEX(球隊主檔!$C$2:$C$31,MATCH($D206,球隊主檔!$A$2:$A$31,0))</f>
        <v>芝加哥小熊</v>
      </c>
      <c r="F206" s="10" t="str">
        <f aca="false">INDEX(球隊主檔!$D$2:$D$31,MATCH($D206,球隊主檔!$A$2:$A$31,0))</f>
        <v>國聯</v>
      </c>
      <c r="G206" s="7" t="s">
        <v>496</v>
      </c>
      <c r="H206" s="11" t="n">
        <f aca="false">INT((DATE($A206,7,1)-INDEX(球員主檔!$G$2:$G$749,MATCH($B206,球員主檔!$A$2:$A$749,0)))/365.25)</f>
        <v>24</v>
      </c>
      <c r="I206" s="12" t="n">
        <v>6</v>
      </c>
      <c r="J206" s="12" t="n">
        <v>11</v>
      </c>
      <c r="K206" s="12" t="n">
        <v>0</v>
      </c>
      <c r="L206" s="12" t="n">
        <v>0</v>
      </c>
      <c r="M206" s="12" t="n">
        <v>26</v>
      </c>
      <c r="N206" s="12" t="n">
        <v>26</v>
      </c>
      <c r="O206" s="12" t="n">
        <v>494</v>
      </c>
      <c r="P206" s="16" t="n">
        <f aca="false">O206/3</f>
        <v>164.666666666667</v>
      </c>
      <c r="Q206" s="17" t="str">
        <f aca="false">INT(O206/3)&amp;"."&amp;MOD(O206,3)</f>
        <v>164.2</v>
      </c>
      <c r="R206" s="12" t="n">
        <v>148</v>
      </c>
      <c r="S206" s="12" t="n">
        <v>106</v>
      </c>
      <c r="T206" s="12" t="n">
        <v>105</v>
      </c>
      <c r="U206" s="12" t="n">
        <v>17</v>
      </c>
      <c r="V206" s="12" t="n">
        <v>35</v>
      </c>
      <c r="W206" s="12" t="n">
        <v>127</v>
      </c>
      <c r="X206" s="12" t="n">
        <v>4</v>
      </c>
      <c r="Y206" s="18" t="n">
        <f aca="false">IF(O206=0,0,T206*27/O206)</f>
        <v>5.73886639676113</v>
      </c>
      <c r="Z206" s="18" t="n">
        <f aca="false">IF(P206=0,0,(V206+R206)/P206)</f>
        <v>1.11133603238866</v>
      </c>
      <c r="AA206" s="18" t="n">
        <f aca="false">IF(O206=0,0,W206*27/O206)</f>
        <v>6.9412955465587</v>
      </c>
      <c r="AB206" s="18" t="n">
        <f aca="false">IF(O206=0,0,V206*27/O206)</f>
        <v>1.91295546558704</v>
      </c>
      <c r="AC206" s="18" t="n">
        <f aca="false">IF(V206=0,0,W206/V206)</f>
        <v>3.62857142857143</v>
      </c>
      <c r="AD206" s="18" t="n">
        <f aca="false">IF(P206=0,0,(13*U206+3*(V206+X206)-2*W206)/P206+INDEX(球季參數!$C$2:$C$4,MATCH($A206,球季參數!$A$2:$A$4,0)))</f>
        <v>3.64012145748988</v>
      </c>
      <c r="AE206" s="11" t="n">
        <f aca="false">IF(P206&gt;=INDEX(球季參數!$F$2:$F$4,MATCH($A206,球季參數!$A$2:$A$4,0)),1,0)</f>
        <v>1</v>
      </c>
    </row>
    <row r="207" customFormat="false" ht="15" hidden="false" customHeight="false" outlineLevel="0" collapsed="false">
      <c r="A207" s="5" t="n">
        <v>2024</v>
      </c>
      <c r="B207" s="7" t="s">
        <v>1307</v>
      </c>
      <c r="C207" s="10" t="str">
        <f aca="false">INDEX(球員主檔!$B$2:$B$749,MATCH($B207,球員主檔!$A$2:$A$749,0))</f>
        <v>Seonwoo Kiriakis</v>
      </c>
      <c r="D207" s="7" t="s">
        <v>426</v>
      </c>
      <c r="E207" s="10" t="str">
        <f aca="false">INDEX(球隊主檔!$C$2:$C$31,MATCH($D207,球隊主檔!$A$2:$A$31,0))</f>
        <v>芝加哥小熊</v>
      </c>
      <c r="F207" s="10" t="str">
        <f aca="false">INDEX(球隊主檔!$D$2:$D$31,MATCH($D207,球隊主檔!$A$2:$A$31,0))</f>
        <v>國聯</v>
      </c>
      <c r="G207" s="7" t="s">
        <v>507</v>
      </c>
      <c r="H207" s="11" t="n">
        <f aca="false">INT((DATE($A207,7,1)-INDEX(球員主檔!$G$2:$G$749,MATCH($B207,球員主檔!$A$2:$A$749,0)))/365.25)</f>
        <v>25</v>
      </c>
      <c r="I207" s="12" t="n">
        <v>1</v>
      </c>
      <c r="J207" s="12" t="n">
        <v>1</v>
      </c>
      <c r="K207" s="12" t="n">
        <v>30</v>
      </c>
      <c r="L207" s="12" t="n">
        <v>4</v>
      </c>
      <c r="M207" s="12" t="n">
        <v>60</v>
      </c>
      <c r="N207" s="12" t="n">
        <v>0</v>
      </c>
      <c r="O207" s="12" t="n">
        <v>169</v>
      </c>
      <c r="P207" s="16" t="n">
        <f aca="false">O207/3</f>
        <v>56.3333333333333</v>
      </c>
      <c r="Q207" s="17" t="str">
        <f aca="false">INT(O207/3)&amp;"."&amp;MOD(O207,3)</f>
        <v>56.1</v>
      </c>
      <c r="R207" s="12" t="n">
        <v>44</v>
      </c>
      <c r="S207" s="12" t="n">
        <v>22</v>
      </c>
      <c r="T207" s="12" t="n">
        <v>20</v>
      </c>
      <c r="U207" s="12" t="n">
        <v>5</v>
      </c>
      <c r="V207" s="12" t="n">
        <v>23</v>
      </c>
      <c r="W207" s="12" t="n">
        <v>79</v>
      </c>
      <c r="X207" s="12" t="n">
        <v>2</v>
      </c>
      <c r="Y207" s="18" t="n">
        <f aca="false">IF(O207=0,0,T207*27/O207)</f>
        <v>3.19526627218935</v>
      </c>
      <c r="Z207" s="18" t="n">
        <f aca="false">IF(P207=0,0,(V207+R207)/P207)</f>
        <v>1.18934911242604</v>
      </c>
      <c r="AA207" s="18" t="n">
        <f aca="false">IF(O207=0,0,W207*27/O207)</f>
        <v>12.6213017751479</v>
      </c>
      <c r="AB207" s="18" t="n">
        <f aca="false">IF(O207=0,0,V207*27/O207)</f>
        <v>3.67455621301775</v>
      </c>
      <c r="AC207" s="18" t="n">
        <f aca="false">IF(V207=0,0,W207/V207)</f>
        <v>3.43478260869565</v>
      </c>
      <c r="AD207" s="18" t="n">
        <f aca="false">IF(P207=0,0,(13*U207+3*(V207+X207)-2*W207)/P207+INDEX(球季參數!$C$2:$C$4,MATCH($A207,球季參數!$A$2:$A$4,0)))</f>
        <v>2.81047337278107</v>
      </c>
      <c r="AE207" s="11" t="n">
        <f aca="false">IF(P207&gt;=INDEX(球季參數!$F$2:$F$4,MATCH($A207,球季參數!$A$2:$A$4,0)),1,0)</f>
        <v>0</v>
      </c>
    </row>
    <row r="208" customFormat="false" ht="15" hidden="false" customHeight="false" outlineLevel="0" collapsed="false">
      <c r="A208" s="5" t="n">
        <v>2024</v>
      </c>
      <c r="B208" s="7" t="s">
        <v>1309</v>
      </c>
      <c r="C208" s="10" t="str">
        <f aca="false">INDEX(球員主檔!$B$2:$B$749,MATCH($B208,球員主檔!$A$2:$A$749,0))</f>
        <v>Dorian Esquivel</v>
      </c>
      <c r="D208" s="7" t="s">
        <v>426</v>
      </c>
      <c r="E208" s="10" t="str">
        <f aca="false">INDEX(球隊主檔!$C$2:$C$31,MATCH($D208,球隊主檔!$A$2:$A$31,0))</f>
        <v>芝加哥小熊</v>
      </c>
      <c r="F208" s="10" t="str">
        <f aca="false">INDEX(球隊主檔!$D$2:$D$31,MATCH($D208,球隊主檔!$A$2:$A$31,0))</f>
        <v>國聯</v>
      </c>
      <c r="G208" s="7" t="s">
        <v>507</v>
      </c>
      <c r="H208" s="11" t="n">
        <f aca="false">INT((DATE($A208,7,1)-INDEX(球員主檔!$G$2:$G$749,MATCH($B208,球員主檔!$A$2:$A$749,0)))/365.25)</f>
        <v>22</v>
      </c>
      <c r="I208" s="12" t="n">
        <v>9</v>
      </c>
      <c r="J208" s="12" t="n">
        <v>3</v>
      </c>
      <c r="K208" s="12" t="n">
        <v>4</v>
      </c>
      <c r="L208" s="12" t="n">
        <v>9</v>
      </c>
      <c r="M208" s="12" t="n">
        <v>63</v>
      </c>
      <c r="N208" s="12" t="n">
        <v>0</v>
      </c>
      <c r="O208" s="12" t="n">
        <v>164</v>
      </c>
      <c r="P208" s="16" t="n">
        <f aca="false">O208/3</f>
        <v>54.6666666666667</v>
      </c>
      <c r="Q208" s="17" t="str">
        <f aca="false">INT(O208/3)&amp;"."&amp;MOD(O208,3)</f>
        <v>54.2</v>
      </c>
      <c r="R208" s="12" t="n">
        <v>51</v>
      </c>
      <c r="S208" s="12" t="n">
        <v>29</v>
      </c>
      <c r="T208" s="12" t="n">
        <v>28</v>
      </c>
      <c r="U208" s="12" t="n">
        <v>5</v>
      </c>
      <c r="V208" s="12" t="n">
        <v>37</v>
      </c>
      <c r="W208" s="12" t="n">
        <v>56</v>
      </c>
      <c r="X208" s="12" t="n">
        <v>3</v>
      </c>
      <c r="Y208" s="18" t="n">
        <f aca="false">IF(O208=0,0,T208*27/O208)</f>
        <v>4.60975609756098</v>
      </c>
      <c r="Z208" s="18" t="n">
        <f aca="false">IF(P208=0,0,(V208+R208)/P208)</f>
        <v>1.60975609756098</v>
      </c>
      <c r="AA208" s="18" t="n">
        <f aca="false">IF(O208=0,0,W208*27/O208)</f>
        <v>9.21951219512195</v>
      </c>
      <c r="AB208" s="18" t="n">
        <f aca="false">IF(O208=0,0,V208*27/O208)</f>
        <v>6.09146341463415</v>
      </c>
      <c r="AC208" s="18" t="n">
        <f aca="false">IF(V208=0,0,W208/V208)</f>
        <v>1.51351351351351</v>
      </c>
      <c r="AD208" s="18" t="n">
        <f aca="false">IF(P208=0,0,(13*U208+3*(V208+X208)-2*W208)/P208+INDEX(球季參數!$C$2:$C$4,MATCH($A208,球季參數!$A$2:$A$4,0)))</f>
        <v>4.46536585365854</v>
      </c>
      <c r="AE208" s="11" t="n">
        <f aca="false">IF(P208&gt;=INDEX(球季參數!$F$2:$F$4,MATCH($A208,球季參數!$A$2:$A$4,0)),1,0)</f>
        <v>0</v>
      </c>
    </row>
    <row r="209" customFormat="false" ht="15" hidden="false" customHeight="false" outlineLevel="0" collapsed="false">
      <c r="A209" s="5" t="n">
        <v>2024</v>
      </c>
      <c r="B209" s="7" t="s">
        <v>1311</v>
      </c>
      <c r="C209" s="10" t="str">
        <f aca="false">INDEX(球員主檔!$B$2:$B$749,MATCH($B209,球員主檔!$A$2:$A$749,0))</f>
        <v>Hugo Kestrel</v>
      </c>
      <c r="D209" s="7" t="s">
        <v>426</v>
      </c>
      <c r="E209" s="10" t="str">
        <f aca="false">INDEX(球隊主檔!$C$2:$C$31,MATCH($D209,球隊主檔!$A$2:$A$31,0))</f>
        <v>芝加哥小熊</v>
      </c>
      <c r="F209" s="10" t="str">
        <f aca="false">INDEX(球隊主檔!$D$2:$D$31,MATCH($D209,球隊主檔!$A$2:$A$31,0))</f>
        <v>國聯</v>
      </c>
      <c r="G209" s="7" t="s">
        <v>507</v>
      </c>
      <c r="H209" s="11" t="n">
        <f aca="false">INT((DATE($A209,7,1)-INDEX(球員主檔!$G$2:$G$749,MATCH($B209,球員主檔!$A$2:$A$749,0)))/365.25)</f>
        <v>29</v>
      </c>
      <c r="I209" s="12" t="n">
        <v>6</v>
      </c>
      <c r="J209" s="12" t="n">
        <v>1</v>
      </c>
      <c r="K209" s="12" t="n">
        <v>5</v>
      </c>
      <c r="L209" s="12" t="n">
        <v>6</v>
      </c>
      <c r="M209" s="12" t="n">
        <v>76</v>
      </c>
      <c r="N209" s="12" t="n">
        <v>0</v>
      </c>
      <c r="O209" s="12" t="n">
        <v>226</v>
      </c>
      <c r="P209" s="16" t="n">
        <f aca="false">O209/3</f>
        <v>75.3333333333333</v>
      </c>
      <c r="Q209" s="17" t="str">
        <f aca="false">INT(O209/3)&amp;"."&amp;MOD(O209,3)</f>
        <v>75.1</v>
      </c>
      <c r="R209" s="12" t="n">
        <v>57</v>
      </c>
      <c r="S209" s="12" t="n">
        <v>36</v>
      </c>
      <c r="T209" s="12" t="n">
        <v>32</v>
      </c>
      <c r="U209" s="12" t="n">
        <v>9</v>
      </c>
      <c r="V209" s="12" t="n">
        <v>22</v>
      </c>
      <c r="W209" s="12" t="n">
        <v>116</v>
      </c>
      <c r="X209" s="12" t="n">
        <v>3</v>
      </c>
      <c r="Y209" s="18" t="n">
        <f aca="false">IF(O209=0,0,T209*27/O209)</f>
        <v>3.82300884955752</v>
      </c>
      <c r="Z209" s="18" t="n">
        <f aca="false">IF(P209=0,0,(V209+R209)/P209)</f>
        <v>1.04867256637168</v>
      </c>
      <c r="AA209" s="18" t="n">
        <f aca="false">IF(O209=0,0,W209*27/O209)</f>
        <v>13.858407079646</v>
      </c>
      <c r="AB209" s="18" t="n">
        <f aca="false">IF(O209=0,0,V209*27/O209)</f>
        <v>2.6283185840708</v>
      </c>
      <c r="AC209" s="18" t="n">
        <f aca="false">IF(V209=0,0,W209/V209)</f>
        <v>5.27272727272727</v>
      </c>
      <c r="AD209" s="18" t="n">
        <f aca="false">IF(P209=0,0,(13*U209+3*(V209+X209)-2*W209)/P209+INDEX(球季參數!$C$2:$C$4,MATCH($A209,球季參數!$A$2:$A$4,0)))</f>
        <v>2.59902654867257</v>
      </c>
      <c r="AE209" s="11" t="n">
        <f aca="false">IF(P209&gt;=INDEX(球季參數!$F$2:$F$4,MATCH($A209,球季參數!$A$2:$A$4,0)),1,0)</f>
        <v>0</v>
      </c>
    </row>
    <row r="210" customFormat="false" ht="15" hidden="false" customHeight="false" outlineLevel="0" collapsed="false">
      <c r="A210" s="5" t="n">
        <v>2024</v>
      </c>
      <c r="B210" s="7" t="s">
        <v>1313</v>
      </c>
      <c r="C210" s="10" t="str">
        <f aca="false">INDEX(球員主檔!$B$2:$B$749,MATCH($B210,球員主檔!$A$2:$A$749,0))</f>
        <v>Lucien Mbeki</v>
      </c>
      <c r="D210" s="7" t="s">
        <v>426</v>
      </c>
      <c r="E210" s="10" t="str">
        <f aca="false">INDEX(球隊主檔!$C$2:$C$31,MATCH($D210,球隊主檔!$A$2:$A$31,0))</f>
        <v>芝加哥小熊</v>
      </c>
      <c r="F210" s="10" t="str">
        <f aca="false">INDEX(球隊主檔!$D$2:$D$31,MATCH($D210,球隊主檔!$A$2:$A$31,0))</f>
        <v>國聯</v>
      </c>
      <c r="G210" s="7" t="s">
        <v>507</v>
      </c>
      <c r="H210" s="11" t="n">
        <f aca="false">INT((DATE($A210,7,1)-INDEX(球員主檔!$G$2:$G$749,MATCH($B210,球員主檔!$A$2:$A$749,0)))/365.25)</f>
        <v>25</v>
      </c>
      <c r="I210" s="12" t="n">
        <v>5</v>
      </c>
      <c r="J210" s="12" t="n">
        <v>4</v>
      </c>
      <c r="K210" s="12" t="n">
        <v>5</v>
      </c>
      <c r="L210" s="12" t="n">
        <v>25</v>
      </c>
      <c r="M210" s="12" t="n">
        <v>76</v>
      </c>
      <c r="N210" s="12" t="n">
        <v>0</v>
      </c>
      <c r="O210" s="12" t="n">
        <v>230</v>
      </c>
      <c r="P210" s="16" t="n">
        <f aca="false">O210/3</f>
        <v>76.6666666666667</v>
      </c>
      <c r="Q210" s="17" t="str">
        <f aca="false">INT(O210/3)&amp;"."&amp;MOD(O210,3)</f>
        <v>76.2</v>
      </c>
      <c r="R210" s="12" t="n">
        <v>59</v>
      </c>
      <c r="S210" s="12" t="n">
        <v>34</v>
      </c>
      <c r="T210" s="12" t="n">
        <v>33</v>
      </c>
      <c r="U210" s="12" t="n">
        <v>13</v>
      </c>
      <c r="V210" s="12" t="n">
        <v>32</v>
      </c>
      <c r="W210" s="12" t="n">
        <v>105</v>
      </c>
      <c r="X210" s="12" t="n">
        <v>4</v>
      </c>
      <c r="Y210" s="18" t="n">
        <f aca="false">IF(O210=0,0,T210*27/O210)</f>
        <v>3.87391304347826</v>
      </c>
      <c r="Z210" s="18" t="n">
        <f aca="false">IF(P210=0,0,(V210+R210)/P210)</f>
        <v>1.18695652173913</v>
      </c>
      <c r="AA210" s="18" t="n">
        <f aca="false">IF(O210=0,0,W210*27/O210)</f>
        <v>12.3260869565217</v>
      </c>
      <c r="AB210" s="18" t="n">
        <f aca="false">IF(O210=0,0,V210*27/O210)</f>
        <v>3.75652173913044</v>
      </c>
      <c r="AC210" s="18" t="n">
        <f aca="false">IF(V210=0,0,W210/V210)</f>
        <v>3.28125</v>
      </c>
      <c r="AD210" s="18" t="n">
        <f aca="false">IF(P210=0,0,(13*U210+3*(V210+X210)-2*W210)/P210+INDEX(球季參數!$C$2:$C$4,MATCH($A210,球季參數!$A$2:$A$4,0)))</f>
        <v>4.00391304347826</v>
      </c>
      <c r="AE210" s="11" t="n">
        <f aca="false">IF(P210&gt;=INDEX(球季參數!$F$2:$F$4,MATCH($A210,球季參數!$A$2:$A$4,0)),1,0)</f>
        <v>0</v>
      </c>
    </row>
    <row r="211" customFormat="false" ht="15" hidden="false" customHeight="false" outlineLevel="0" collapsed="false">
      <c r="A211" s="5" t="n">
        <v>2024</v>
      </c>
      <c r="B211" s="7" t="s">
        <v>1315</v>
      </c>
      <c r="C211" s="10" t="str">
        <f aca="false">INDEX(球員主檔!$B$2:$B$749,MATCH($B211,球員主檔!$A$2:$A$749,0))</f>
        <v>Hugo Haverford</v>
      </c>
      <c r="D211" s="7" t="s">
        <v>426</v>
      </c>
      <c r="E211" s="10" t="str">
        <f aca="false">INDEX(球隊主檔!$C$2:$C$31,MATCH($D211,球隊主檔!$A$2:$A$31,0))</f>
        <v>芝加哥小熊</v>
      </c>
      <c r="F211" s="10" t="str">
        <f aca="false">INDEX(球隊主檔!$D$2:$D$31,MATCH($D211,球隊主檔!$A$2:$A$31,0))</f>
        <v>國聯</v>
      </c>
      <c r="G211" s="7" t="s">
        <v>507</v>
      </c>
      <c r="H211" s="11" t="n">
        <f aca="false">INT((DATE($A211,7,1)-INDEX(球員主檔!$G$2:$G$749,MATCH($B211,球員主檔!$A$2:$A$749,0)))/365.25)</f>
        <v>27</v>
      </c>
      <c r="I211" s="12" t="n">
        <v>0</v>
      </c>
      <c r="J211" s="12" t="n">
        <v>1</v>
      </c>
      <c r="K211" s="12" t="n">
        <v>2</v>
      </c>
      <c r="L211" s="12" t="n">
        <v>23</v>
      </c>
      <c r="M211" s="12" t="n">
        <v>63</v>
      </c>
      <c r="N211" s="12" t="n">
        <v>0</v>
      </c>
      <c r="O211" s="12" t="n">
        <v>210</v>
      </c>
      <c r="P211" s="16" t="n">
        <f aca="false">O211/3</f>
        <v>70</v>
      </c>
      <c r="Q211" s="17" t="str">
        <f aca="false">INT(O211/3)&amp;"."&amp;MOD(O211,3)</f>
        <v>70.0</v>
      </c>
      <c r="R211" s="12" t="n">
        <v>69</v>
      </c>
      <c r="S211" s="12" t="n">
        <v>47</v>
      </c>
      <c r="T211" s="12" t="n">
        <v>43</v>
      </c>
      <c r="U211" s="12" t="n">
        <v>11</v>
      </c>
      <c r="V211" s="12" t="n">
        <v>26</v>
      </c>
      <c r="W211" s="12" t="n">
        <v>79</v>
      </c>
      <c r="X211" s="12" t="n">
        <v>2</v>
      </c>
      <c r="Y211" s="18" t="n">
        <f aca="false">IF(O211=0,0,T211*27/O211)</f>
        <v>5.52857142857143</v>
      </c>
      <c r="Z211" s="18" t="n">
        <f aca="false">IF(P211=0,0,(V211+R211)/P211)</f>
        <v>1.35714285714286</v>
      </c>
      <c r="AA211" s="18" t="n">
        <f aca="false">IF(O211=0,0,W211*27/O211)</f>
        <v>10.1571428571429</v>
      </c>
      <c r="AB211" s="18" t="n">
        <f aca="false">IF(O211=0,0,V211*27/O211)</f>
        <v>3.34285714285714</v>
      </c>
      <c r="AC211" s="18" t="n">
        <f aca="false">IF(V211=0,0,W211/V211)</f>
        <v>3.03846153846154</v>
      </c>
      <c r="AD211" s="18" t="n">
        <f aca="false">IF(P211=0,0,(13*U211+3*(V211+X211)-2*W211)/P211+INDEX(球季參數!$C$2:$C$4,MATCH($A211,球季參數!$A$2:$A$4,0)))</f>
        <v>4.11571428571429</v>
      </c>
      <c r="AE211" s="11" t="n">
        <f aca="false">IF(P211&gt;=INDEX(球季參數!$F$2:$F$4,MATCH($A211,球季參數!$A$2:$A$4,0)),1,0)</f>
        <v>0</v>
      </c>
    </row>
    <row r="212" customFormat="false" ht="15" hidden="false" customHeight="false" outlineLevel="0" collapsed="false">
      <c r="A212" s="5" t="n">
        <v>2024</v>
      </c>
      <c r="B212" s="7" t="s">
        <v>1337</v>
      </c>
      <c r="C212" s="10" t="str">
        <f aca="false">INDEX(球員主檔!$B$2:$B$749,MATCH($B212,球員主檔!$A$2:$A$749,0))</f>
        <v>Lucien Jovanović</v>
      </c>
      <c r="D212" s="7" t="s">
        <v>430</v>
      </c>
      <c r="E212" s="10" t="str">
        <f aca="false">INDEX(球隊主檔!$C$2:$C$31,MATCH($D212,球隊主檔!$A$2:$A$31,0))</f>
        <v>辛辛那提紅人</v>
      </c>
      <c r="F212" s="10" t="str">
        <f aca="false">INDEX(球隊主檔!$D$2:$D$31,MATCH($D212,球隊主檔!$A$2:$A$31,0))</f>
        <v>國聯</v>
      </c>
      <c r="G212" s="7" t="s">
        <v>496</v>
      </c>
      <c r="H212" s="11" t="n">
        <f aca="false">INT((DATE($A212,7,1)-INDEX(球員主檔!$G$2:$G$749,MATCH($B212,球員主檔!$A$2:$A$749,0)))/365.25)</f>
        <v>25</v>
      </c>
      <c r="I212" s="12" t="n">
        <v>9</v>
      </c>
      <c r="J212" s="12" t="n">
        <v>9</v>
      </c>
      <c r="K212" s="12" t="n">
        <v>0</v>
      </c>
      <c r="L212" s="12" t="n">
        <v>0</v>
      </c>
      <c r="M212" s="12" t="n">
        <v>25</v>
      </c>
      <c r="N212" s="12" t="n">
        <v>25</v>
      </c>
      <c r="O212" s="12" t="n">
        <v>408</v>
      </c>
      <c r="P212" s="16" t="n">
        <f aca="false">O212/3</f>
        <v>136</v>
      </c>
      <c r="Q212" s="17" t="str">
        <f aca="false">INT(O212/3)&amp;"."&amp;MOD(O212,3)</f>
        <v>136.0</v>
      </c>
      <c r="R212" s="12" t="n">
        <v>126</v>
      </c>
      <c r="S212" s="12" t="n">
        <v>93</v>
      </c>
      <c r="T212" s="12" t="n">
        <v>84</v>
      </c>
      <c r="U212" s="12" t="n">
        <v>11</v>
      </c>
      <c r="V212" s="12" t="n">
        <v>60</v>
      </c>
      <c r="W212" s="12" t="n">
        <v>90</v>
      </c>
      <c r="X212" s="12" t="n">
        <v>4</v>
      </c>
      <c r="Y212" s="18" t="n">
        <f aca="false">IF(O212=0,0,T212*27/O212)</f>
        <v>5.55882352941176</v>
      </c>
      <c r="Z212" s="18" t="n">
        <f aca="false">IF(P212=0,0,(V212+R212)/P212)</f>
        <v>1.36764705882353</v>
      </c>
      <c r="AA212" s="18" t="n">
        <f aca="false">IF(O212=0,0,W212*27/O212)</f>
        <v>5.95588235294118</v>
      </c>
      <c r="AB212" s="18" t="n">
        <f aca="false">IF(O212=0,0,V212*27/O212)</f>
        <v>3.97058823529412</v>
      </c>
      <c r="AC212" s="18" t="n">
        <f aca="false">IF(V212=0,0,W212/V212)</f>
        <v>1.5</v>
      </c>
      <c r="AD212" s="18" t="n">
        <f aca="false">IF(P212=0,0,(13*U212+3*(V212+X212)-2*W212)/P212+INDEX(球季參數!$C$2:$C$4,MATCH($A212,球季參數!$A$2:$A$4,0)))</f>
        <v>4.26970588235294</v>
      </c>
      <c r="AE212" s="11" t="n">
        <f aca="false">IF(P212&gt;=INDEX(球季參數!$F$2:$F$4,MATCH($A212,球季參數!$A$2:$A$4,0)),1,0)</f>
        <v>0</v>
      </c>
    </row>
    <row r="213" customFormat="false" ht="15" hidden="false" customHeight="false" outlineLevel="0" collapsed="false">
      <c r="A213" s="5" t="n">
        <v>2024</v>
      </c>
      <c r="B213" s="7" t="s">
        <v>1339</v>
      </c>
      <c r="C213" s="10" t="str">
        <f aca="false">INDEX(球員主檔!$B$2:$B$749,MATCH($B213,球員主檔!$A$2:$A$749,0))</f>
        <v>Tobias Gallimore</v>
      </c>
      <c r="D213" s="7" t="s">
        <v>430</v>
      </c>
      <c r="E213" s="10" t="str">
        <f aca="false">INDEX(球隊主檔!$C$2:$C$31,MATCH($D213,球隊主檔!$A$2:$A$31,0))</f>
        <v>辛辛那提紅人</v>
      </c>
      <c r="F213" s="10" t="str">
        <f aca="false">INDEX(球隊主檔!$D$2:$D$31,MATCH($D213,球隊主檔!$A$2:$A$31,0))</f>
        <v>國聯</v>
      </c>
      <c r="G213" s="7" t="s">
        <v>496</v>
      </c>
      <c r="H213" s="11" t="n">
        <f aca="false">INT((DATE($A213,7,1)-INDEX(球員主檔!$G$2:$G$749,MATCH($B213,球員主檔!$A$2:$A$749,0)))/365.25)</f>
        <v>33</v>
      </c>
      <c r="I213" s="12" t="n">
        <v>11</v>
      </c>
      <c r="J213" s="12" t="n">
        <v>6</v>
      </c>
      <c r="K213" s="12" t="n">
        <v>0</v>
      </c>
      <c r="L213" s="12" t="n">
        <v>0</v>
      </c>
      <c r="M213" s="12" t="n">
        <v>27</v>
      </c>
      <c r="N213" s="12" t="n">
        <v>27</v>
      </c>
      <c r="O213" s="12" t="n">
        <v>484</v>
      </c>
      <c r="P213" s="16" t="n">
        <f aca="false">O213/3</f>
        <v>161.333333333333</v>
      </c>
      <c r="Q213" s="17" t="str">
        <f aca="false">INT(O213/3)&amp;"."&amp;MOD(O213,3)</f>
        <v>161.1</v>
      </c>
      <c r="R213" s="12" t="n">
        <v>119</v>
      </c>
      <c r="S213" s="12" t="n">
        <v>63</v>
      </c>
      <c r="T213" s="12" t="n">
        <v>60</v>
      </c>
      <c r="U213" s="12" t="n">
        <v>20</v>
      </c>
      <c r="V213" s="12" t="n">
        <v>50</v>
      </c>
      <c r="W213" s="12" t="n">
        <v>169</v>
      </c>
      <c r="X213" s="12" t="n">
        <v>4</v>
      </c>
      <c r="Y213" s="18" t="n">
        <f aca="false">IF(O213=0,0,T213*27/O213)</f>
        <v>3.34710743801653</v>
      </c>
      <c r="Z213" s="18" t="n">
        <f aca="false">IF(P213=0,0,(V213+R213)/P213)</f>
        <v>1.04752066115702</v>
      </c>
      <c r="AA213" s="18" t="n">
        <f aca="false">IF(O213=0,0,W213*27/O213)</f>
        <v>9.42768595041322</v>
      </c>
      <c r="AB213" s="18" t="n">
        <f aca="false">IF(O213=0,0,V213*27/O213)</f>
        <v>2.78925619834711</v>
      </c>
      <c r="AC213" s="18" t="n">
        <f aca="false">IF(V213=0,0,W213/V213)</f>
        <v>3.38</v>
      </c>
      <c r="AD213" s="18" t="n">
        <f aca="false">IF(P213=0,0,(13*U213+3*(V213+X213)-2*W213)/P213+INDEX(球季參數!$C$2:$C$4,MATCH($A213,球季參數!$A$2:$A$4,0)))</f>
        <v>3.65066115702479</v>
      </c>
      <c r="AE213" s="11" t="n">
        <f aca="false">IF(P213&gt;=INDEX(球季參數!$F$2:$F$4,MATCH($A213,球季參數!$A$2:$A$4,0)),1,0)</f>
        <v>0</v>
      </c>
    </row>
    <row r="214" customFormat="false" ht="15" hidden="false" customHeight="false" outlineLevel="0" collapsed="false">
      <c r="A214" s="5" t="n">
        <v>2024</v>
      </c>
      <c r="B214" s="7" t="s">
        <v>1341</v>
      </c>
      <c r="C214" s="10" t="str">
        <f aca="false">INDEX(球員主檔!$B$2:$B$749,MATCH($B214,球員主檔!$A$2:$A$749,0))</f>
        <v>Rhett Ingersoll</v>
      </c>
      <c r="D214" s="7" t="s">
        <v>430</v>
      </c>
      <c r="E214" s="10" t="str">
        <f aca="false">INDEX(球隊主檔!$C$2:$C$31,MATCH($D214,球隊主檔!$A$2:$A$31,0))</f>
        <v>辛辛那提紅人</v>
      </c>
      <c r="F214" s="10" t="str">
        <f aca="false">INDEX(球隊主檔!$D$2:$D$31,MATCH($D214,球隊主檔!$A$2:$A$31,0))</f>
        <v>國聯</v>
      </c>
      <c r="G214" s="7" t="s">
        <v>496</v>
      </c>
      <c r="H214" s="11" t="n">
        <f aca="false">INT((DATE($A214,7,1)-INDEX(球員主檔!$G$2:$G$749,MATCH($B214,球員主檔!$A$2:$A$749,0)))/365.25)</f>
        <v>23</v>
      </c>
      <c r="I214" s="12" t="n">
        <v>11</v>
      </c>
      <c r="J214" s="12" t="n">
        <v>6</v>
      </c>
      <c r="K214" s="12" t="n">
        <v>0</v>
      </c>
      <c r="L214" s="12" t="n">
        <v>0</v>
      </c>
      <c r="M214" s="12" t="n">
        <v>30</v>
      </c>
      <c r="N214" s="12" t="n">
        <v>30</v>
      </c>
      <c r="O214" s="12" t="n">
        <v>486</v>
      </c>
      <c r="P214" s="16" t="n">
        <f aca="false">O214/3</f>
        <v>162</v>
      </c>
      <c r="Q214" s="17" t="str">
        <f aca="false">INT(O214/3)&amp;"."&amp;MOD(O214,3)</f>
        <v>162.0</v>
      </c>
      <c r="R214" s="12" t="n">
        <v>132</v>
      </c>
      <c r="S214" s="12" t="n">
        <v>70</v>
      </c>
      <c r="T214" s="12" t="n">
        <v>65</v>
      </c>
      <c r="U214" s="12" t="n">
        <v>15</v>
      </c>
      <c r="V214" s="12" t="n">
        <v>45</v>
      </c>
      <c r="W214" s="12" t="n">
        <v>146</v>
      </c>
      <c r="X214" s="12" t="n">
        <v>2</v>
      </c>
      <c r="Y214" s="18" t="n">
        <f aca="false">IF(O214=0,0,T214*27/O214)</f>
        <v>3.61111111111111</v>
      </c>
      <c r="Z214" s="18" t="n">
        <f aca="false">IF(P214=0,0,(V214+R214)/P214)</f>
        <v>1.09259259259259</v>
      </c>
      <c r="AA214" s="18" t="n">
        <f aca="false">IF(O214=0,0,W214*27/O214)</f>
        <v>8.11111111111111</v>
      </c>
      <c r="AB214" s="18" t="n">
        <f aca="false">IF(O214=0,0,V214*27/O214)</f>
        <v>2.5</v>
      </c>
      <c r="AC214" s="18" t="n">
        <f aca="false">IF(V214=0,0,W214/V214)</f>
        <v>3.24444444444444</v>
      </c>
      <c r="AD214" s="18" t="n">
        <f aca="false">IF(P214=0,0,(13*U214+3*(V214+X214)-2*W214)/P214+INDEX(球季參數!$C$2:$C$4,MATCH($A214,球季參數!$A$2:$A$4,0)))</f>
        <v>3.4016049382716</v>
      </c>
      <c r="AE214" s="11" t="n">
        <f aca="false">IF(P214&gt;=INDEX(球季參數!$F$2:$F$4,MATCH($A214,球季參數!$A$2:$A$4,0)),1,0)</f>
        <v>1</v>
      </c>
    </row>
    <row r="215" customFormat="false" ht="15" hidden="false" customHeight="false" outlineLevel="0" collapsed="false">
      <c r="A215" s="5" t="n">
        <v>2024</v>
      </c>
      <c r="B215" s="7" t="s">
        <v>1343</v>
      </c>
      <c r="C215" s="10" t="str">
        <f aca="false">INDEX(球員主檔!$B$2:$B$749,MATCH($B215,球員主檔!$A$2:$A$749,0))</f>
        <v>Lorenzo Wexford</v>
      </c>
      <c r="D215" s="7" t="s">
        <v>430</v>
      </c>
      <c r="E215" s="10" t="str">
        <f aca="false">INDEX(球隊主檔!$C$2:$C$31,MATCH($D215,球隊主檔!$A$2:$A$31,0))</f>
        <v>辛辛那提紅人</v>
      </c>
      <c r="F215" s="10" t="str">
        <f aca="false">INDEX(球隊主檔!$D$2:$D$31,MATCH($D215,球隊主檔!$A$2:$A$31,0))</f>
        <v>國聯</v>
      </c>
      <c r="G215" s="7" t="s">
        <v>496</v>
      </c>
      <c r="H215" s="11" t="n">
        <f aca="false">INT((DATE($A215,7,1)-INDEX(球員主檔!$G$2:$G$749,MATCH($B215,球員主檔!$A$2:$A$749,0)))/365.25)</f>
        <v>35</v>
      </c>
      <c r="I215" s="12" t="n">
        <v>4</v>
      </c>
      <c r="J215" s="12" t="n">
        <v>3</v>
      </c>
      <c r="K215" s="12" t="n">
        <v>0</v>
      </c>
      <c r="L215" s="12" t="n">
        <v>0</v>
      </c>
      <c r="M215" s="12" t="n">
        <v>11</v>
      </c>
      <c r="N215" s="12" t="n">
        <v>11</v>
      </c>
      <c r="O215" s="12" t="n">
        <v>205</v>
      </c>
      <c r="P215" s="16" t="n">
        <f aca="false">O215/3</f>
        <v>68.3333333333333</v>
      </c>
      <c r="Q215" s="17" t="str">
        <f aca="false">INT(O215/3)&amp;"."&amp;MOD(O215,3)</f>
        <v>68.1</v>
      </c>
      <c r="R215" s="12" t="n">
        <v>60</v>
      </c>
      <c r="S215" s="12" t="n">
        <v>39</v>
      </c>
      <c r="T215" s="12" t="n">
        <v>35</v>
      </c>
      <c r="U215" s="12" t="n">
        <v>11</v>
      </c>
      <c r="V215" s="12" t="n">
        <v>23</v>
      </c>
      <c r="W215" s="12" t="n">
        <v>54</v>
      </c>
      <c r="X215" s="12" t="n">
        <v>2</v>
      </c>
      <c r="Y215" s="18" t="n">
        <f aca="false">IF(O215=0,0,T215*27/O215)</f>
        <v>4.60975609756098</v>
      </c>
      <c r="Z215" s="18" t="n">
        <f aca="false">IF(P215=0,0,(V215+R215)/P215)</f>
        <v>1.21463414634146</v>
      </c>
      <c r="AA215" s="18" t="n">
        <f aca="false">IF(O215=0,0,W215*27/O215)</f>
        <v>7.11219512195122</v>
      </c>
      <c r="AB215" s="18" t="n">
        <f aca="false">IF(O215=0,0,V215*27/O215)</f>
        <v>3.02926829268293</v>
      </c>
      <c r="AC215" s="18" t="n">
        <f aca="false">IF(V215=0,0,W215/V215)</f>
        <v>2.34782608695652</v>
      </c>
      <c r="AD215" s="18" t="n">
        <f aca="false">IF(P215=0,0,(13*U215+3*(V215+X215)-2*W215)/P215+INDEX(球季參數!$C$2:$C$4,MATCH($A215,球季參數!$A$2:$A$4,0)))</f>
        <v>4.73975609756098</v>
      </c>
      <c r="AE215" s="11" t="n">
        <f aca="false">IF(P215&gt;=INDEX(球季參數!$F$2:$F$4,MATCH($A215,球季參數!$A$2:$A$4,0)),1,0)</f>
        <v>0</v>
      </c>
    </row>
    <row r="216" customFormat="false" ht="15" hidden="false" customHeight="false" outlineLevel="0" collapsed="false">
      <c r="A216" s="5" t="n">
        <v>2024</v>
      </c>
      <c r="B216" s="7" t="s">
        <v>1345</v>
      </c>
      <c r="C216" s="10" t="str">
        <f aca="false">INDEX(球員主檔!$B$2:$B$749,MATCH($B216,球員主檔!$A$2:$A$749,0))</f>
        <v>Caspian Larrabee</v>
      </c>
      <c r="D216" s="7" t="s">
        <v>430</v>
      </c>
      <c r="E216" s="10" t="str">
        <f aca="false">INDEX(球隊主檔!$C$2:$C$31,MATCH($D216,球隊主檔!$A$2:$A$31,0))</f>
        <v>辛辛那提紅人</v>
      </c>
      <c r="F216" s="10" t="str">
        <f aca="false">INDEX(球隊主檔!$D$2:$D$31,MATCH($D216,球隊主檔!$A$2:$A$31,0))</f>
        <v>國聯</v>
      </c>
      <c r="G216" s="7" t="s">
        <v>496</v>
      </c>
      <c r="H216" s="11" t="n">
        <f aca="false">INT((DATE($A216,7,1)-INDEX(球員主檔!$G$2:$G$749,MATCH($B216,球員主檔!$A$2:$A$749,0)))/365.25)</f>
        <v>23</v>
      </c>
      <c r="I216" s="12" t="n">
        <v>4</v>
      </c>
      <c r="J216" s="12" t="n">
        <v>3</v>
      </c>
      <c r="K216" s="12" t="n">
        <v>0</v>
      </c>
      <c r="L216" s="12" t="n">
        <v>0</v>
      </c>
      <c r="M216" s="12" t="n">
        <v>10</v>
      </c>
      <c r="N216" s="12" t="n">
        <v>10</v>
      </c>
      <c r="O216" s="12" t="n">
        <v>145</v>
      </c>
      <c r="P216" s="16" t="n">
        <f aca="false">O216/3</f>
        <v>48.3333333333333</v>
      </c>
      <c r="Q216" s="17" t="str">
        <f aca="false">INT(O216/3)&amp;"."&amp;MOD(O216,3)</f>
        <v>48.1</v>
      </c>
      <c r="R216" s="12" t="n">
        <v>42</v>
      </c>
      <c r="S216" s="12" t="n">
        <v>26</v>
      </c>
      <c r="T216" s="12" t="n">
        <v>25</v>
      </c>
      <c r="U216" s="12" t="n">
        <v>7</v>
      </c>
      <c r="V216" s="12" t="n">
        <v>22</v>
      </c>
      <c r="W216" s="12" t="n">
        <v>31</v>
      </c>
      <c r="X216" s="12" t="n">
        <v>2</v>
      </c>
      <c r="Y216" s="18" t="n">
        <f aca="false">IF(O216=0,0,T216*27/O216)</f>
        <v>4.6551724137931</v>
      </c>
      <c r="Z216" s="18" t="n">
        <f aca="false">IF(P216=0,0,(V216+R216)/P216)</f>
        <v>1.32413793103448</v>
      </c>
      <c r="AA216" s="18" t="n">
        <f aca="false">IF(O216=0,0,W216*27/O216)</f>
        <v>5.77241379310345</v>
      </c>
      <c r="AB216" s="18" t="n">
        <f aca="false">IF(O216=0,0,V216*27/O216)</f>
        <v>4.09655172413793</v>
      </c>
      <c r="AC216" s="18" t="n">
        <f aca="false">IF(V216=0,0,W216/V216)</f>
        <v>1.40909090909091</v>
      </c>
      <c r="AD216" s="18" t="n">
        <f aca="false">IF(P216=0,0,(13*U216+3*(V216+X216)-2*W216)/P216+INDEX(球季參數!$C$2:$C$4,MATCH($A216,球季參數!$A$2:$A$4,0)))</f>
        <v>5.21965517241379</v>
      </c>
      <c r="AE216" s="11" t="n">
        <f aca="false">IF(P216&gt;=INDEX(球季參數!$F$2:$F$4,MATCH($A216,球季參數!$A$2:$A$4,0)),1,0)</f>
        <v>0</v>
      </c>
    </row>
    <row r="217" customFormat="false" ht="15" hidden="false" customHeight="false" outlineLevel="0" collapsed="false">
      <c r="A217" s="5" t="n">
        <v>2024</v>
      </c>
      <c r="B217" s="7" t="s">
        <v>1347</v>
      </c>
      <c r="C217" s="10" t="str">
        <f aca="false">INDEX(球員主檔!$B$2:$B$749,MATCH($B217,球員主檔!$A$2:$A$749,0))</f>
        <v>Leandro Blackwood</v>
      </c>
      <c r="D217" s="7" t="s">
        <v>430</v>
      </c>
      <c r="E217" s="10" t="str">
        <f aca="false">INDEX(球隊主檔!$C$2:$C$31,MATCH($D217,球隊主檔!$A$2:$A$31,0))</f>
        <v>辛辛那提紅人</v>
      </c>
      <c r="F217" s="10" t="str">
        <f aca="false">INDEX(球隊主檔!$D$2:$D$31,MATCH($D217,球隊主檔!$A$2:$A$31,0))</f>
        <v>國聯</v>
      </c>
      <c r="G217" s="7" t="s">
        <v>507</v>
      </c>
      <c r="H217" s="11" t="n">
        <f aca="false">INT((DATE($A217,7,1)-INDEX(球員主檔!$G$2:$G$749,MATCH($B217,球員主檔!$A$2:$A$749,0)))/365.25)</f>
        <v>25</v>
      </c>
      <c r="I217" s="12" t="n">
        <v>4</v>
      </c>
      <c r="J217" s="12" t="n">
        <v>0</v>
      </c>
      <c r="K217" s="12" t="n">
        <v>19</v>
      </c>
      <c r="L217" s="12" t="n">
        <v>4</v>
      </c>
      <c r="M217" s="12" t="n">
        <v>65</v>
      </c>
      <c r="N217" s="12" t="n">
        <v>0</v>
      </c>
      <c r="O217" s="12" t="n">
        <v>211</v>
      </c>
      <c r="P217" s="16" t="n">
        <f aca="false">O217/3</f>
        <v>70.3333333333333</v>
      </c>
      <c r="Q217" s="17" t="str">
        <f aca="false">INT(O217/3)&amp;"."&amp;MOD(O217,3)</f>
        <v>70.1</v>
      </c>
      <c r="R217" s="12" t="n">
        <v>54</v>
      </c>
      <c r="S217" s="12" t="n">
        <v>29</v>
      </c>
      <c r="T217" s="12" t="n">
        <v>27</v>
      </c>
      <c r="U217" s="12" t="n">
        <v>10</v>
      </c>
      <c r="V217" s="12" t="n">
        <v>20</v>
      </c>
      <c r="W217" s="12" t="n">
        <v>70</v>
      </c>
      <c r="X217" s="12" t="n">
        <v>2</v>
      </c>
      <c r="Y217" s="18" t="n">
        <f aca="false">IF(O217=0,0,T217*27/O217)</f>
        <v>3.45497630331754</v>
      </c>
      <c r="Z217" s="18" t="n">
        <f aca="false">IF(P217=0,0,(V217+R217)/P217)</f>
        <v>1.0521327014218</v>
      </c>
      <c r="AA217" s="18" t="n">
        <f aca="false">IF(O217=0,0,W217*27/O217)</f>
        <v>8.95734597156398</v>
      </c>
      <c r="AB217" s="18" t="n">
        <f aca="false">IF(O217=0,0,V217*27/O217)</f>
        <v>2.55924170616114</v>
      </c>
      <c r="AC217" s="18" t="n">
        <f aca="false">IF(V217=0,0,W217/V217)</f>
        <v>3.5</v>
      </c>
      <c r="AD217" s="18" t="n">
        <f aca="false">IF(P217=0,0,(13*U217+3*(V217+X217)-2*W217)/P217+INDEX(球季參數!$C$2:$C$4,MATCH($A217,球季參數!$A$2:$A$4,0)))</f>
        <v>3.92620853080569</v>
      </c>
      <c r="AE217" s="11" t="n">
        <f aca="false">IF(P217&gt;=INDEX(球季參數!$F$2:$F$4,MATCH($A217,球季參數!$A$2:$A$4,0)),1,0)</f>
        <v>0</v>
      </c>
    </row>
    <row r="218" customFormat="false" ht="15" hidden="false" customHeight="false" outlineLevel="0" collapsed="false">
      <c r="A218" s="5" t="n">
        <v>2024</v>
      </c>
      <c r="B218" s="7" t="s">
        <v>1349</v>
      </c>
      <c r="C218" s="10" t="str">
        <f aca="false">INDEX(球員主檔!$B$2:$B$749,MATCH($B218,球員主檔!$A$2:$A$749,0))</f>
        <v>Rhett Pellerin</v>
      </c>
      <c r="D218" s="7" t="s">
        <v>430</v>
      </c>
      <c r="E218" s="10" t="str">
        <f aca="false">INDEX(球隊主檔!$C$2:$C$31,MATCH($D218,球隊主檔!$A$2:$A$31,0))</f>
        <v>辛辛那提紅人</v>
      </c>
      <c r="F218" s="10" t="str">
        <f aca="false">INDEX(球隊主檔!$D$2:$D$31,MATCH($D218,球隊主檔!$A$2:$A$31,0))</f>
        <v>國聯</v>
      </c>
      <c r="G218" s="7" t="s">
        <v>507</v>
      </c>
      <c r="H218" s="11" t="n">
        <f aca="false">INT((DATE($A218,7,1)-INDEX(球員主檔!$G$2:$G$749,MATCH($B218,球員主檔!$A$2:$A$749,0)))/365.25)</f>
        <v>33</v>
      </c>
      <c r="I218" s="12" t="n">
        <v>8</v>
      </c>
      <c r="J218" s="12" t="n">
        <v>7</v>
      </c>
      <c r="K218" s="12" t="n">
        <v>3</v>
      </c>
      <c r="L218" s="12" t="n">
        <v>33</v>
      </c>
      <c r="M218" s="12" t="n">
        <v>71</v>
      </c>
      <c r="N218" s="12" t="n">
        <v>0</v>
      </c>
      <c r="O218" s="12" t="n">
        <v>235</v>
      </c>
      <c r="P218" s="16" t="n">
        <f aca="false">O218/3</f>
        <v>78.3333333333333</v>
      </c>
      <c r="Q218" s="17" t="str">
        <f aca="false">INT(O218/3)&amp;"."&amp;MOD(O218,3)</f>
        <v>78.1</v>
      </c>
      <c r="R218" s="12" t="n">
        <v>72</v>
      </c>
      <c r="S218" s="12" t="n">
        <v>49</v>
      </c>
      <c r="T218" s="12" t="n">
        <v>44</v>
      </c>
      <c r="U218" s="12" t="n">
        <v>9</v>
      </c>
      <c r="V218" s="12" t="n">
        <v>20</v>
      </c>
      <c r="W218" s="12" t="n">
        <v>68</v>
      </c>
      <c r="X218" s="12" t="n">
        <v>3</v>
      </c>
      <c r="Y218" s="18" t="n">
        <f aca="false">IF(O218=0,0,T218*27/O218)</f>
        <v>5.05531914893617</v>
      </c>
      <c r="Z218" s="18" t="n">
        <f aca="false">IF(P218=0,0,(V218+R218)/P218)</f>
        <v>1.17446808510638</v>
      </c>
      <c r="AA218" s="18" t="n">
        <f aca="false">IF(O218=0,0,W218*27/O218)</f>
        <v>7.81276595744681</v>
      </c>
      <c r="AB218" s="18" t="n">
        <f aca="false">IF(O218=0,0,V218*27/O218)</f>
        <v>2.29787234042553</v>
      </c>
      <c r="AC218" s="18" t="n">
        <f aca="false">IF(V218=0,0,W218/V218)</f>
        <v>3.4</v>
      </c>
      <c r="AD218" s="18" t="n">
        <f aca="false">IF(P218=0,0,(13*U218+3*(V218+X218)-2*W218)/P218+INDEX(球季參數!$C$2:$C$4,MATCH($A218,球季參數!$A$2:$A$4,0)))</f>
        <v>3.76829787234043</v>
      </c>
      <c r="AE218" s="11" t="n">
        <f aca="false">IF(P218&gt;=INDEX(球季參數!$F$2:$F$4,MATCH($A218,球季參數!$A$2:$A$4,0)),1,0)</f>
        <v>0</v>
      </c>
    </row>
    <row r="219" customFormat="false" ht="15" hidden="false" customHeight="false" outlineLevel="0" collapsed="false">
      <c r="A219" s="5" t="n">
        <v>2024</v>
      </c>
      <c r="B219" s="7" t="s">
        <v>1351</v>
      </c>
      <c r="C219" s="10" t="str">
        <f aca="false">INDEX(球員主檔!$B$2:$B$749,MATCH($B219,球員主檔!$A$2:$A$749,0))</f>
        <v>Percival Uchendu</v>
      </c>
      <c r="D219" s="7" t="s">
        <v>430</v>
      </c>
      <c r="E219" s="10" t="str">
        <f aca="false">INDEX(球隊主檔!$C$2:$C$31,MATCH($D219,球隊主檔!$A$2:$A$31,0))</f>
        <v>辛辛那提紅人</v>
      </c>
      <c r="F219" s="10" t="str">
        <f aca="false">INDEX(球隊主檔!$D$2:$D$31,MATCH($D219,球隊主檔!$A$2:$A$31,0))</f>
        <v>國聯</v>
      </c>
      <c r="G219" s="7" t="s">
        <v>507</v>
      </c>
      <c r="H219" s="11" t="n">
        <f aca="false">INT((DATE($A219,7,1)-INDEX(球員主檔!$G$2:$G$749,MATCH($B219,球員主檔!$A$2:$A$749,0)))/365.25)</f>
        <v>27</v>
      </c>
      <c r="I219" s="12" t="n">
        <v>8</v>
      </c>
      <c r="J219" s="12" t="n">
        <v>5</v>
      </c>
      <c r="K219" s="12" t="n">
        <v>6</v>
      </c>
      <c r="L219" s="12" t="n">
        <v>23</v>
      </c>
      <c r="M219" s="12" t="n">
        <v>68</v>
      </c>
      <c r="N219" s="12" t="n">
        <v>0</v>
      </c>
      <c r="O219" s="12" t="n">
        <v>191</v>
      </c>
      <c r="P219" s="16" t="n">
        <f aca="false">O219/3</f>
        <v>63.6666666666667</v>
      </c>
      <c r="Q219" s="17" t="str">
        <f aca="false">INT(O219/3)&amp;"."&amp;MOD(O219,3)</f>
        <v>63.2</v>
      </c>
      <c r="R219" s="12" t="n">
        <v>50</v>
      </c>
      <c r="S219" s="12" t="n">
        <v>20</v>
      </c>
      <c r="T219" s="12" t="n">
        <v>20</v>
      </c>
      <c r="U219" s="12" t="n">
        <v>6</v>
      </c>
      <c r="V219" s="12" t="n">
        <v>17</v>
      </c>
      <c r="W219" s="12" t="n">
        <v>79</v>
      </c>
      <c r="X219" s="12" t="n">
        <v>3</v>
      </c>
      <c r="Y219" s="18" t="n">
        <f aca="false">IF(O219=0,0,T219*27/O219)</f>
        <v>2.82722513089005</v>
      </c>
      <c r="Z219" s="18" t="n">
        <f aca="false">IF(P219=0,0,(V219+R219)/P219)</f>
        <v>1.05235602094241</v>
      </c>
      <c r="AA219" s="18" t="n">
        <f aca="false">IF(O219=0,0,W219*27/O219)</f>
        <v>11.1675392670157</v>
      </c>
      <c r="AB219" s="18" t="n">
        <f aca="false">IF(O219=0,0,V219*27/O219)</f>
        <v>2.40314136125654</v>
      </c>
      <c r="AC219" s="18" t="n">
        <f aca="false">IF(V219=0,0,W219/V219)</f>
        <v>4.64705882352941</v>
      </c>
      <c r="AD219" s="18" t="n">
        <f aca="false">IF(P219=0,0,(13*U219+3*(V219+X219)-2*W219)/P219+INDEX(球季參數!$C$2:$C$4,MATCH($A219,球季參數!$A$2:$A$4,0)))</f>
        <v>2.81586387434555</v>
      </c>
      <c r="AE219" s="11" t="n">
        <f aca="false">IF(P219&gt;=INDEX(球季參數!$F$2:$F$4,MATCH($A219,球季參數!$A$2:$A$4,0)),1,0)</f>
        <v>0</v>
      </c>
    </row>
    <row r="220" customFormat="false" ht="15" hidden="false" customHeight="false" outlineLevel="0" collapsed="false">
      <c r="A220" s="5" t="n">
        <v>2024</v>
      </c>
      <c r="B220" s="7" t="s">
        <v>1353</v>
      </c>
      <c r="C220" s="10" t="str">
        <f aca="false">INDEX(球員主檔!$B$2:$B$749,MATCH($B220,球員主檔!$A$2:$A$749,0))</f>
        <v>Garrison Uchendu</v>
      </c>
      <c r="D220" s="7" t="s">
        <v>430</v>
      </c>
      <c r="E220" s="10" t="str">
        <f aca="false">INDEX(球隊主檔!$C$2:$C$31,MATCH($D220,球隊主檔!$A$2:$A$31,0))</f>
        <v>辛辛那提紅人</v>
      </c>
      <c r="F220" s="10" t="str">
        <f aca="false">INDEX(球隊主檔!$D$2:$D$31,MATCH($D220,球隊主檔!$A$2:$A$31,0))</f>
        <v>國聯</v>
      </c>
      <c r="G220" s="7" t="s">
        <v>507</v>
      </c>
      <c r="H220" s="11" t="n">
        <f aca="false">INT((DATE($A220,7,1)-INDEX(球員主檔!$G$2:$G$749,MATCH($B220,球員主檔!$A$2:$A$749,0)))/365.25)</f>
        <v>29</v>
      </c>
      <c r="I220" s="12" t="n">
        <v>7</v>
      </c>
      <c r="J220" s="12" t="n">
        <v>0</v>
      </c>
      <c r="K220" s="12" t="n">
        <v>4</v>
      </c>
      <c r="L220" s="12" t="n">
        <v>3</v>
      </c>
      <c r="M220" s="12" t="n">
        <v>71</v>
      </c>
      <c r="N220" s="12" t="n">
        <v>0</v>
      </c>
      <c r="O220" s="12" t="n">
        <v>211</v>
      </c>
      <c r="P220" s="16" t="n">
        <f aca="false">O220/3</f>
        <v>70.3333333333333</v>
      </c>
      <c r="Q220" s="17" t="str">
        <f aca="false">INT(O220/3)&amp;"."&amp;MOD(O220,3)</f>
        <v>70.1</v>
      </c>
      <c r="R220" s="12" t="n">
        <v>50</v>
      </c>
      <c r="S220" s="12" t="n">
        <v>27</v>
      </c>
      <c r="T220" s="12" t="n">
        <v>25</v>
      </c>
      <c r="U220" s="12" t="n">
        <v>8</v>
      </c>
      <c r="V220" s="12" t="n">
        <v>19</v>
      </c>
      <c r="W220" s="12" t="n">
        <v>69</v>
      </c>
      <c r="X220" s="12" t="n">
        <v>4</v>
      </c>
      <c r="Y220" s="18" t="n">
        <f aca="false">IF(O220=0,0,T220*27/O220)</f>
        <v>3.19905213270142</v>
      </c>
      <c r="Z220" s="18" t="n">
        <f aca="false">IF(P220=0,0,(V220+R220)/P220)</f>
        <v>0.981042654028436</v>
      </c>
      <c r="AA220" s="18" t="n">
        <f aca="false">IF(O220=0,0,W220*27/O220)</f>
        <v>8.82938388625592</v>
      </c>
      <c r="AB220" s="18" t="n">
        <f aca="false">IF(O220=0,0,V220*27/O220)</f>
        <v>2.43127962085308</v>
      </c>
      <c r="AC220" s="18" t="n">
        <f aca="false">IF(V220=0,0,W220/V220)</f>
        <v>3.63157894736842</v>
      </c>
      <c r="AD220" s="18" t="n">
        <f aca="false">IF(P220=0,0,(13*U220+3*(V220+X220)-2*W220)/P220+INDEX(球季參數!$C$2:$C$4,MATCH($A220,球季參數!$A$2:$A$4,0)))</f>
        <v>3.62763033175355</v>
      </c>
      <c r="AE220" s="11" t="n">
        <f aca="false">IF(P220&gt;=INDEX(球季參數!$F$2:$F$4,MATCH($A220,球季參數!$A$2:$A$4,0)),1,0)</f>
        <v>0</v>
      </c>
    </row>
    <row r="221" customFormat="false" ht="15" hidden="false" customHeight="false" outlineLevel="0" collapsed="false">
      <c r="A221" s="5" t="n">
        <v>2024</v>
      </c>
      <c r="B221" s="7" t="s">
        <v>1355</v>
      </c>
      <c r="C221" s="10" t="str">
        <f aca="false">INDEX(球員主檔!$B$2:$B$749,MATCH($B221,球員主檔!$A$2:$A$749,0))</f>
        <v>Osvaldo Fairbanks</v>
      </c>
      <c r="D221" s="7" t="s">
        <v>430</v>
      </c>
      <c r="E221" s="10" t="str">
        <f aca="false">INDEX(球隊主檔!$C$2:$C$31,MATCH($D221,球隊主檔!$A$2:$A$31,0))</f>
        <v>辛辛那提紅人</v>
      </c>
      <c r="F221" s="10" t="str">
        <f aca="false">INDEX(球隊主檔!$D$2:$D$31,MATCH($D221,球隊主檔!$A$2:$A$31,0))</f>
        <v>國聯</v>
      </c>
      <c r="G221" s="7" t="s">
        <v>507</v>
      </c>
      <c r="H221" s="11" t="n">
        <f aca="false">INT((DATE($A221,7,1)-INDEX(球員主檔!$G$2:$G$749,MATCH($B221,球員主檔!$A$2:$A$749,0)))/365.25)</f>
        <v>30</v>
      </c>
      <c r="I221" s="12" t="n">
        <v>4</v>
      </c>
      <c r="J221" s="12" t="n">
        <v>6</v>
      </c>
      <c r="K221" s="12" t="n">
        <v>3</v>
      </c>
      <c r="L221" s="12" t="n">
        <v>12</v>
      </c>
      <c r="M221" s="12" t="n">
        <v>53</v>
      </c>
      <c r="N221" s="12" t="n">
        <v>0</v>
      </c>
      <c r="O221" s="12" t="n">
        <v>177</v>
      </c>
      <c r="P221" s="16" t="n">
        <f aca="false">O221/3</f>
        <v>59</v>
      </c>
      <c r="Q221" s="17" t="str">
        <f aca="false">INT(O221/3)&amp;"."&amp;MOD(O221,3)</f>
        <v>59.0</v>
      </c>
      <c r="R221" s="12" t="n">
        <v>50</v>
      </c>
      <c r="S221" s="12" t="n">
        <v>28</v>
      </c>
      <c r="T221" s="12" t="n">
        <v>27</v>
      </c>
      <c r="U221" s="12" t="n">
        <v>12</v>
      </c>
      <c r="V221" s="12" t="n">
        <v>18</v>
      </c>
      <c r="W221" s="12" t="n">
        <v>43</v>
      </c>
      <c r="X221" s="12" t="n">
        <v>1</v>
      </c>
      <c r="Y221" s="18" t="n">
        <f aca="false">IF(O221=0,0,T221*27/O221)</f>
        <v>4.11864406779661</v>
      </c>
      <c r="Z221" s="18" t="n">
        <f aca="false">IF(P221=0,0,(V221+R221)/P221)</f>
        <v>1.15254237288136</v>
      </c>
      <c r="AA221" s="18" t="n">
        <f aca="false">IF(O221=0,0,W221*27/O221)</f>
        <v>6.55932203389831</v>
      </c>
      <c r="AB221" s="18" t="n">
        <f aca="false">IF(O221=0,0,V221*27/O221)</f>
        <v>2.74576271186441</v>
      </c>
      <c r="AC221" s="18" t="n">
        <f aca="false">IF(V221=0,0,W221/V221)</f>
        <v>2.38888888888889</v>
      </c>
      <c r="AD221" s="18" t="n">
        <f aca="false">IF(P221=0,0,(13*U221+3*(V221+X221)-2*W221)/P221+INDEX(球季參數!$C$2:$C$4,MATCH($A221,球季參數!$A$2:$A$4,0)))</f>
        <v>5.28254237288136</v>
      </c>
      <c r="AE221" s="11" t="n">
        <f aca="false">IF(P221&gt;=INDEX(球季參數!$F$2:$F$4,MATCH($A221,球季參數!$A$2:$A$4,0)),1,0)</f>
        <v>0</v>
      </c>
    </row>
    <row r="222" customFormat="false" ht="15" hidden="false" customHeight="false" outlineLevel="0" collapsed="false">
      <c r="A222" s="5" t="n">
        <v>2024</v>
      </c>
      <c r="B222" s="7" t="s">
        <v>1377</v>
      </c>
      <c r="C222" s="10" t="str">
        <f aca="false">INDEX(球員主檔!$B$2:$B$749,MATCH($B222,球員主檔!$A$2:$A$749,0))</f>
        <v>Vicente Blackwood</v>
      </c>
      <c r="D222" s="7" t="s">
        <v>434</v>
      </c>
      <c r="E222" s="10" t="str">
        <f aca="false">INDEX(球隊主檔!$C$2:$C$31,MATCH($D222,球隊主檔!$A$2:$A$31,0))</f>
        <v>密爾瓦基釀酒人</v>
      </c>
      <c r="F222" s="10" t="str">
        <f aca="false">INDEX(球隊主檔!$D$2:$D$31,MATCH($D222,球隊主檔!$A$2:$A$31,0))</f>
        <v>國聯</v>
      </c>
      <c r="G222" s="7" t="s">
        <v>496</v>
      </c>
      <c r="H222" s="11" t="n">
        <f aca="false">INT((DATE($A222,7,1)-INDEX(球員主檔!$G$2:$G$749,MATCH($B222,球員主檔!$A$2:$A$749,0)))/365.25)</f>
        <v>28</v>
      </c>
      <c r="I222" s="12" t="n">
        <v>10</v>
      </c>
      <c r="J222" s="12" t="n">
        <v>5</v>
      </c>
      <c r="K222" s="12" t="n">
        <v>0</v>
      </c>
      <c r="L222" s="12" t="n">
        <v>0</v>
      </c>
      <c r="M222" s="12" t="n">
        <v>21</v>
      </c>
      <c r="N222" s="12" t="n">
        <v>21</v>
      </c>
      <c r="O222" s="12" t="n">
        <v>336</v>
      </c>
      <c r="P222" s="16" t="n">
        <f aca="false">O222/3</f>
        <v>112</v>
      </c>
      <c r="Q222" s="17" t="str">
        <f aca="false">INT(O222/3)&amp;"."&amp;MOD(O222,3)</f>
        <v>112.0</v>
      </c>
      <c r="R222" s="12" t="n">
        <v>93</v>
      </c>
      <c r="S222" s="12" t="n">
        <v>50</v>
      </c>
      <c r="T222" s="12" t="n">
        <v>47</v>
      </c>
      <c r="U222" s="12" t="n">
        <v>21</v>
      </c>
      <c r="V222" s="12" t="n">
        <v>33</v>
      </c>
      <c r="W222" s="12" t="n">
        <v>138</v>
      </c>
      <c r="X222" s="12" t="n">
        <v>4</v>
      </c>
      <c r="Y222" s="18" t="n">
        <f aca="false">IF(O222=0,0,T222*27/O222)</f>
        <v>3.77678571428571</v>
      </c>
      <c r="Z222" s="18" t="n">
        <f aca="false">IF(P222=0,0,(V222+R222)/P222)</f>
        <v>1.125</v>
      </c>
      <c r="AA222" s="18" t="n">
        <f aca="false">IF(O222=0,0,W222*27/O222)</f>
        <v>11.0892857142857</v>
      </c>
      <c r="AB222" s="18" t="n">
        <f aca="false">IF(O222=0,0,V222*27/O222)</f>
        <v>2.65178571428571</v>
      </c>
      <c r="AC222" s="18" t="n">
        <f aca="false">IF(V222=0,0,W222/V222)</f>
        <v>4.18181818181818</v>
      </c>
      <c r="AD222" s="18" t="n">
        <f aca="false">IF(P222=0,0,(13*U222+3*(V222+X222)-2*W222)/P222+INDEX(球季參數!$C$2:$C$4,MATCH($A222,球季參數!$A$2:$A$4,0)))</f>
        <v>4.09428571428571</v>
      </c>
      <c r="AE222" s="11" t="n">
        <f aca="false">IF(P222&gt;=INDEX(球季參數!$F$2:$F$4,MATCH($A222,球季參數!$A$2:$A$4,0)),1,0)</f>
        <v>0</v>
      </c>
    </row>
    <row r="223" customFormat="false" ht="15" hidden="false" customHeight="false" outlineLevel="0" collapsed="false">
      <c r="A223" s="5" t="n">
        <v>2024</v>
      </c>
      <c r="B223" s="7" t="s">
        <v>1379</v>
      </c>
      <c r="C223" s="10" t="str">
        <f aca="false">INDEX(球員主檔!$B$2:$B$749,MATCH($B223,球員主檔!$A$2:$A$749,0))</f>
        <v>Ulises Okafor</v>
      </c>
      <c r="D223" s="7" t="s">
        <v>434</v>
      </c>
      <c r="E223" s="10" t="str">
        <f aca="false">INDEX(球隊主檔!$C$2:$C$31,MATCH($D223,球隊主檔!$A$2:$A$31,0))</f>
        <v>密爾瓦基釀酒人</v>
      </c>
      <c r="F223" s="10" t="str">
        <f aca="false">INDEX(球隊主檔!$D$2:$D$31,MATCH($D223,球隊主檔!$A$2:$A$31,0))</f>
        <v>國聯</v>
      </c>
      <c r="G223" s="7" t="s">
        <v>496</v>
      </c>
      <c r="H223" s="11" t="n">
        <f aca="false">INT((DATE($A223,7,1)-INDEX(球員主檔!$G$2:$G$749,MATCH($B223,球員主檔!$A$2:$A$749,0)))/365.25)</f>
        <v>27</v>
      </c>
      <c r="I223" s="12" t="n">
        <v>8</v>
      </c>
      <c r="J223" s="12" t="n">
        <v>8</v>
      </c>
      <c r="K223" s="12" t="n">
        <v>0</v>
      </c>
      <c r="L223" s="12" t="n">
        <v>0</v>
      </c>
      <c r="M223" s="12" t="n">
        <v>26</v>
      </c>
      <c r="N223" s="12" t="n">
        <v>26</v>
      </c>
      <c r="O223" s="12" t="n">
        <v>437</v>
      </c>
      <c r="P223" s="16" t="n">
        <f aca="false">O223/3</f>
        <v>145.666666666667</v>
      </c>
      <c r="Q223" s="17" t="str">
        <f aca="false">INT(O223/3)&amp;"."&amp;MOD(O223,3)</f>
        <v>145.2</v>
      </c>
      <c r="R223" s="12" t="n">
        <v>143</v>
      </c>
      <c r="S223" s="12" t="n">
        <v>90</v>
      </c>
      <c r="T223" s="12" t="n">
        <v>90</v>
      </c>
      <c r="U223" s="12" t="n">
        <v>17</v>
      </c>
      <c r="V223" s="12" t="n">
        <v>47</v>
      </c>
      <c r="W223" s="12" t="n">
        <v>230</v>
      </c>
      <c r="X223" s="12" t="n">
        <v>5</v>
      </c>
      <c r="Y223" s="18" t="n">
        <f aca="false">IF(O223=0,0,T223*27/O223)</f>
        <v>5.56064073226545</v>
      </c>
      <c r="Z223" s="18" t="n">
        <f aca="false">IF(P223=0,0,(V223+R223)/P223)</f>
        <v>1.30434782608696</v>
      </c>
      <c r="AA223" s="18" t="n">
        <f aca="false">IF(O223=0,0,W223*27/O223)</f>
        <v>14.2105263157895</v>
      </c>
      <c r="AB223" s="18" t="n">
        <f aca="false">IF(O223=0,0,V223*27/O223)</f>
        <v>2.90389016018307</v>
      </c>
      <c r="AC223" s="18" t="n">
        <f aca="false">IF(V223=0,0,W223/V223)</f>
        <v>4.8936170212766</v>
      </c>
      <c r="AD223" s="18" t="n">
        <f aca="false">IF(P223=0,0,(13*U223+3*(V223+X223)-2*W223)/P223+INDEX(球季參數!$C$2:$C$4,MATCH($A223,球季參數!$A$2:$A$4,0)))</f>
        <v>2.56020594965675</v>
      </c>
      <c r="AE223" s="11" t="n">
        <f aca="false">IF(P223&gt;=INDEX(球季參數!$F$2:$F$4,MATCH($A223,球季參數!$A$2:$A$4,0)),1,0)</f>
        <v>0</v>
      </c>
    </row>
    <row r="224" customFormat="false" ht="15" hidden="false" customHeight="false" outlineLevel="0" collapsed="false">
      <c r="A224" s="5" t="n">
        <v>2024</v>
      </c>
      <c r="B224" s="7" t="s">
        <v>1381</v>
      </c>
      <c r="C224" s="10" t="str">
        <f aca="false">INDEX(球員主檔!$B$2:$B$749,MATCH($B224,球員主檔!$A$2:$A$749,0))</f>
        <v>Augustin Iwasaki</v>
      </c>
      <c r="D224" s="7" t="s">
        <v>434</v>
      </c>
      <c r="E224" s="10" t="str">
        <f aca="false">INDEX(球隊主檔!$C$2:$C$31,MATCH($D224,球隊主檔!$A$2:$A$31,0))</f>
        <v>密爾瓦基釀酒人</v>
      </c>
      <c r="F224" s="10" t="str">
        <f aca="false">INDEX(球隊主檔!$D$2:$D$31,MATCH($D224,球隊主檔!$A$2:$A$31,0))</f>
        <v>國聯</v>
      </c>
      <c r="G224" s="7" t="s">
        <v>496</v>
      </c>
      <c r="H224" s="11" t="n">
        <f aca="false">INT((DATE($A224,7,1)-INDEX(球員主檔!$G$2:$G$749,MATCH($B224,球員主檔!$A$2:$A$749,0)))/365.25)</f>
        <v>25</v>
      </c>
      <c r="I224" s="12" t="n">
        <v>13</v>
      </c>
      <c r="J224" s="12" t="n">
        <v>5</v>
      </c>
      <c r="K224" s="12" t="n">
        <v>0</v>
      </c>
      <c r="L224" s="12" t="n">
        <v>0</v>
      </c>
      <c r="M224" s="12" t="n">
        <v>27</v>
      </c>
      <c r="N224" s="12" t="n">
        <v>27</v>
      </c>
      <c r="O224" s="12" t="n">
        <v>448</v>
      </c>
      <c r="P224" s="16" t="n">
        <f aca="false">O224/3</f>
        <v>149.333333333333</v>
      </c>
      <c r="Q224" s="17" t="str">
        <f aca="false">INT(O224/3)&amp;"."&amp;MOD(O224,3)</f>
        <v>149.1</v>
      </c>
      <c r="R224" s="12" t="n">
        <v>117</v>
      </c>
      <c r="S224" s="12" t="n">
        <v>61</v>
      </c>
      <c r="T224" s="12" t="n">
        <v>59</v>
      </c>
      <c r="U224" s="12" t="n">
        <v>9</v>
      </c>
      <c r="V224" s="12" t="n">
        <v>28</v>
      </c>
      <c r="W224" s="12" t="n">
        <v>191</v>
      </c>
      <c r="X224" s="12" t="n">
        <v>7</v>
      </c>
      <c r="Y224" s="18" t="n">
        <f aca="false">IF(O224=0,0,T224*27/O224)</f>
        <v>3.55580357142857</v>
      </c>
      <c r="Z224" s="18" t="n">
        <f aca="false">IF(P224=0,0,(V224+R224)/P224)</f>
        <v>0.970982142857143</v>
      </c>
      <c r="AA224" s="18" t="n">
        <f aca="false">IF(O224=0,0,W224*27/O224)</f>
        <v>11.5111607142857</v>
      </c>
      <c r="AB224" s="18" t="n">
        <f aca="false">IF(O224=0,0,V224*27/O224)</f>
        <v>1.6875</v>
      </c>
      <c r="AC224" s="18" t="n">
        <f aca="false">IF(V224=0,0,W224/V224)</f>
        <v>6.82142857142857</v>
      </c>
      <c r="AD224" s="18" t="n">
        <f aca="false">IF(P224=0,0,(13*U224+3*(V224+X224)-2*W224)/P224+INDEX(球季參數!$C$2:$C$4,MATCH($A224,球季參數!$A$2:$A$4,0)))</f>
        <v>2.05857142857143</v>
      </c>
      <c r="AE224" s="11" t="n">
        <f aca="false">IF(P224&gt;=INDEX(球季參數!$F$2:$F$4,MATCH($A224,球季參數!$A$2:$A$4,0)),1,0)</f>
        <v>0</v>
      </c>
    </row>
    <row r="225" customFormat="false" ht="15" hidden="false" customHeight="false" outlineLevel="0" collapsed="false">
      <c r="A225" s="5" t="n">
        <v>2024</v>
      </c>
      <c r="B225" s="7" t="s">
        <v>1383</v>
      </c>
      <c r="C225" s="10" t="str">
        <f aca="false">INDEX(球員主檔!$B$2:$B$749,MATCH($B225,球員主檔!$A$2:$A$749,0))</f>
        <v>Emilio Lemieux</v>
      </c>
      <c r="D225" s="7" t="s">
        <v>434</v>
      </c>
      <c r="E225" s="10" t="str">
        <f aca="false">INDEX(球隊主檔!$C$2:$C$31,MATCH($D225,球隊主檔!$A$2:$A$31,0))</f>
        <v>密爾瓦基釀酒人</v>
      </c>
      <c r="F225" s="10" t="str">
        <f aca="false">INDEX(球隊主檔!$D$2:$D$31,MATCH($D225,球隊主檔!$A$2:$A$31,0))</f>
        <v>國聯</v>
      </c>
      <c r="G225" s="7" t="s">
        <v>496</v>
      </c>
      <c r="H225" s="11" t="n">
        <f aca="false">INT((DATE($A225,7,1)-INDEX(球員主檔!$G$2:$G$749,MATCH($B225,球員主檔!$A$2:$A$749,0)))/365.25)</f>
        <v>24</v>
      </c>
      <c r="I225" s="12" t="n">
        <v>11</v>
      </c>
      <c r="J225" s="12" t="n">
        <v>9</v>
      </c>
      <c r="K225" s="12" t="n">
        <v>0</v>
      </c>
      <c r="L225" s="12" t="n">
        <v>0</v>
      </c>
      <c r="M225" s="12" t="n">
        <v>26</v>
      </c>
      <c r="N225" s="12" t="n">
        <v>26</v>
      </c>
      <c r="O225" s="12" t="n">
        <v>387</v>
      </c>
      <c r="P225" s="16" t="n">
        <f aca="false">O225/3</f>
        <v>129</v>
      </c>
      <c r="Q225" s="17" t="str">
        <f aca="false">INT(O225/3)&amp;"."&amp;MOD(O225,3)</f>
        <v>129.0</v>
      </c>
      <c r="R225" s="12" t="n">
        <v>107</v>
      </c>
      <c r="S225" s="12" t="n">
        <v>66</v>
      </c>
      <c r="T225" s="12" t="n">
        <v>60</v>
      </c>
      <c r="U225" s="12" t="n">
        <v>20</v>
      </c>
      <c r="V225" s="12" t="n">
        <v>44</v>
      </c>
      <c r="W225" s="12" t="n">
        <v>115</v>
      </c>
      <c r="X225" s="12" t="n">
        <v>7</v>
      </c>
      <c r="Y225" s="18" t="n">
        <f aca="false">IF(O225=0,0,T225*27/O225)</f>
        <v>4.18604651162791</v>
      </c>
      <c r="Z225" s="18" t="n">
        <f aca="false">IF(P225=0,0,(V225+R225)/P225)</f>
        <v>1.17054263565891</v>
      </c>
      <c r="AA225" s="18" t="n">
        <f aca="false">IF(O225=0,0,W225*27/O225)</f>
        <v>8.02325581395349</v>
      </c>
      <c r="AB225" s="18" t="n">
        <f aca="false">IF(O225=0,0,V225*27/O225)</f>
        <v>3.06976744186047</v>
      </c>
      <c r="AC225" s="18" t="n">
        <f aca="false">IF(V225=0,0,W225/V225)</f>
        <v>2.61363636363636</v>
      </c>
      <c r="AD225" s="18" t="n">
        <f aca="false">IF(P225=0,0,(13*U225+3*(V225+X225)-2*W225)/P225+INDEX(球季參數!$C$2:$C$4,MATCH($A225,球季參數!$A$2:$A$4,0)))</f>
        <v>4.54860465116279</v>
      </c>
      <c r="AE225" s="11" t="n">
        <f aca="false">IF(P225&gt;=INDEX(球季參數!$F$2:$F$4,MATCH($A225,球季參數!$A$2:$A$4,0)),1,0)</f>
        <v>0</v>
      </c>
    </row>
    <row r="226" customFormat="false" ht="15" hidden="false" customHeight="false" outlineLevel="0" collapsed="false">
      <c r="A226" s="5" t="n">
        <v>2024</v>
      </c>
      <c r="B226" s="7" t="s">
        <v>1385</v>
      </c>
      <c r="C226" s="10" t="str">
        <f aca="false">INDEX(球員主檔!$B$2:$B$749,MATCH($B226,球員主檔!$A$2:$A$749,0))</f>
        <v>Joaquín Underhill</v>
      </c>
      <c r="D226" s="7" t="s">
        <v>434</v>
      </c>
      <c r="E226" s="10" t="str">
        <f aca="false">INDEX(球隊主檔!$C$2:$C$31,MATCH($D226,球隊主檔!$A$2:$A$31,0))</f>
        <v>密爾瓦基釀酒人</v>
      </c>
      <c r="F226" s="10" t="str">
        <f aca="false">INDEX(球隊主檔!$D$2:$D$31,MATCH($D226,球隊主檔!$A$2:$A$31,0))</f>
        <v>國聯</v>
      </c>
      <c r="G226" s="7" t="s">
        <v>496</v>
      </c>
      <c r="H226" s="11" t="n">
        <f aca="false">INT((DATE($A226,7,1)-INDEX(球員主檔!$G$2:$G$749,MATCH($B226,球員主檔!$A$2:$A$749,0)))/365.25)</f>
        <v>26</v>
      </c>
      <c r="I226" s="12" t="n">
        <v>5</v>
      </c>
      <c r="J226" s="12" t="n">
        <v>2</v>
      </c>
      <c r="K226" s="12" t="n">
        <v>0</v>
      </c>
      <c r="L226" s="12" t="n">
        <v>0</v>
      </c>
      <c r="M226" s="12" t="n">
        <v>13</v>
      </c>
      <c r="N226" s="12" t="n">
        <v>13</v>
      </c>
      <c r="O226" s="12" t="n">
        <v>223</v>
      </c>
      <c r="P226" s="16" t="n">
        <f aca="false">O226/3</f>
        <v>74.3333333333333</v>
      </c>
      <c r="Q226" s="17" t="str">
        <f aca="false">INT(O226/3)&amp;"."&amp;MOD(O226,3)</f>
        <v>74.1</v>
      </c>
      <c r="R226" s="12" t="n">
        <v>55</v>
      </c>
      <c r="S226" s="12" t="n">
        <v>22</v>
      </c>
      <c r="T226" s="12" t="n">
        <v>20</v>
      </c>
      <c r="U226" s="12" t="n">
        <v>13</v>
      </c>
      <c r="V226" s="12" t="n">
        <v>33</v>
      </c>
      <c r="W226" s="12" t="n">
        <v>69</v>
      </c>
      <c r="X226" s="12" t="n">
        <v>3</v>
      </c>
      <c r="Y226" s="18" t="n">
        <f aca="false">IF(O226=0,0,T226*27/O226)</f>
        <v>2.42152466367713</v>
      </c>
      <c r="Z226" s="18" t="n">
        <f aca="false">IF(P226=0,0,(V226+R226)/P226)</f>
        <v>1.18385650224215</v>
      </c>
      <c r="AA226" s="18" t="n">
        <f aca="false">IF(O226=0,0,W226*27/O226)</f>
        <v>8.3542600896861</v>
      </c>
      <c r="AB226" s="18" t="n">
        <f aca="false">IF(O226=0,0,V226*27/O226)</f>
        <v>3.99551569506727</v>
      </c>
      <c r="AC226" s="18" t="n">
        <f aca="false">IF(V226=0,0,W226/V226)</f>
        <v>2.09090909090909</v>
      </c>
      <c r="AD226" s="18" t="n">
        <f aca="false">IF(P226=0,0,(13*U226+3*(V226+X226)-2*W226)/P226+INDEX(球季參數!$C$2:$C$4,MATCH($A226,球季參數!$A$2:$A$4,0)))</f>
        <v>4.99995515695067</v>
      </c>
      <c r="AE226" s="11" t="n">
        <f aca="false">IF(P226&gt;=INDEX(球季參數!$F$2:$F$4,MATCH($A226,球季參數!$A$2:$A$4,0)),1,0)</f>
        <v>0</v>
      </c>
    </row>
    <row r="227" customFormat="false" ht="15" hidden="false" customHeight="false" outlineLevel="0" collapsed="false">
      <c r="A227" s="5" t="n">
        <v>2024</v>
      </c>
      <c r="B227" s="7" t="s">
        <v>1387</v>
      </c>
      <c r="C227" s="10" t="str">
        <f aca="false">INDEX(球員主檔!$B$2:$B$749,MATCH($B227,球員主檔!$A$2:$A$749,0))</f>
        <v>Tristan Garrity</v>
      </c>
      <c r="D227" s="7" t="s">
        <v>434</v>
      </c>
      <c r="E227" s="10" t="str">
        <f aca="false">INDEX(球隊主檔!$C$2:$C$31,MATCH($D227,球隊主檔!$A$2:$A$31,0))</f>
        <v>密爾瓦基釀酒人</v>
      </c>
      <c r="F227" s="10" t="str">
        <f aca="false">INDEX(球隊主檔!$D$2:$D$31,MATCH($D227,球隊主檔!$A$2:$A$31,0))</f>
        <v>國聯</v>
      </c>
      <c r="G227" s="7" t="s">
        <v>507</v>
      </c>
      <c r="H227" s="11" t="n">
        <f aca="false">INT((DATE($A227,7,1)-INDEX(球員主檔!$G$2:$G$749,MATCH($B227,球員主檔!$A$2:$A$749,0)))/365.25)</f>
        <v>26</v>
      </c>
      <c r="I227" s="12" t="n">
        <v>5</v>
      </c>
      <c r="J227" s="12" t="n">
        <v>2</v>
      </c>
      <c r="K227" s="12" t="n">
        <v>39</v>
      </c>
      <c r="L227" s="12" t="n">
        <v>2</v>
      </c>
      <c r="M227" s="12" t="n">
        <v>60</v>
      </c>
      <c r="N227" s="12" t="n">
        <v>0</v>
      </c>
      <c r="O227" s="12" t="n">
        <v>164</v>
      </c>
      <c r="P227" s="16" t="n">
        <f aca="false">O227/3</f>
        <v>54.6666666666667</v>
      </c>
      <c r="Q227" s="17" t="str">
        <f aca="false">INT(O227/3)&amp;"."&amp;MOD(O227,3)</f>
        <v>54.2</v>
      </c>
      <c r="R227" s="12" t="n">
        <v>42</v>
      </c>
      <c r="S227" s="12" t="n">
        <v>26</v>
      </c>
      <c r="T227" s="12" t="n">
        <v>24</v>
      </c>
      <c r="U227" s="12" t="n">
        <v>8</v>
      </c>
      <c r="V227" s="12" t="n">
        <v>16</v>
      </c>
      <c r="W227" s="12" t="n">
        <v>64</v>
      </c>
      <c r="X227" s="12" t="n">
        <v>3</v>
      </c>
      <c r="Y227" s="18" t="n">
        <f aca="false">IF(O227=0,0,T227*27/O227)</f>
        <v>3.95121951219512</v>
      </c>
      <c r="Z227" s="18" t="n">
        <f aca="false">IF(P227=0,0,(V227+R227)/P227)</f>
        <v>1.0609756097561</v>
      </c>
      <c r="AA227" s="18" t="n">
        <f aca="false">IF(O227=0,0,W227*27/O227)</f>
        <v>10.5365853658537</v>
      </c>
      <c r="AB227" s="18" t="n">
        <f aca="false">IF(O227=0,0,V227*27/O227)</f>
        <v>2.63414634146341</v>
      </c>
      <c r="AC227" s="18" t="n">
        <f aca="false">IF(V227=0,0,W227/V227)</f>
        <v>4</v>
      </c>
      <c r="AD227" s="18" t="n">
        <f aca="false">IF(P227=0,0,(13*U227+3*(V227+X227)-2*W227)/P227+INDEX(球季參數!$C$2:$C$4,MATCH($A227,球季參數!$A$2:$A$4,0)))</f>
        <v>3.73365853658537</v>
      </c>
      <c r="AE227" s="11" t="n">
        <f aca="false">IF(P227&gt;=INDEX(球季參數!$F$2:$F$4,MATCH($A227,球季參數!$A$2:$A$4,0)),1,0)</f>
        <v>0</v>
      </c>
    </row>
    <row r="228" customFormat="false" ht="15" hidden="false" customHeight="false" outlineLevel="0" collapsed="false">
      <c r="A228" s="5" t="n">
        <v>2024</v>
      </c>
      <c r="B228" s="7" t="s">
        <v>1389</v>
      </c>
      <c r="C228" s="10" t="str">
        <f aca="false">INDEX(球員主檔!$B$2:$B$749,MATCH($B228,球員主檔!$A$2:$A$749,0))</f>
        <v>Emilio Dubois</v>
      </c>
      <c r="D228" s="7" t="s">
        <v>434</v>
      </c>
      <c r="E228" s="10" t="str">
        <f aca="false">INDEX(球隊主檔!$C$2:$C$31,MATCH($D228,球隊主檔!$A$2:$A$31,0))</f>
        <v>密爾瓦基釀酒人</v>
      </c>
      <c r="F228" s="10" t="str">
        <f aca="false">INDEX(球隊主檔!$D$2:$D$31,MATCH($D228,球隊主檔!$A$2:$A$31,0))</f>
        <v>國聯</v>
      </c>
      <c r="G228" s="7" t="s">
        <v>507</v>
      </c>
      <c r="H228" s="11" t="n">
        <f aca="false">INT((DATE($A228,7,1)-INDEX(球員主檔!$G$2:$G$749,MATCH($B228,球員主檔!$A$2:$A$749,0)))/365.25)</f>
        <v>28</v>
      </c>
      <c r="I228" s="12" t="n">
        <v>4</v>
      </c>
      <c r="J228" s="12" t="n">
        <v>5</v>
      </c>
      <c r="K228" s="12" t="n">
        <v>1</v>
      </c>
      <c r="L228" s="12" t="n">
        <v>19</v>
      </c>
      <c r="M228" s="12" t="n">
        <v>75</v>
      </c>
      <c r="N228" s="12" t="n">
        <v>0</v>
      </c>
      <c r="O228" s="12" t="n">
        <v>201</v>
      </c>
      <c r="P228" s="16" t="n">
        <f aca="false">O228/3</f>
        <v>67</v>
      </c>
      <c r="Q228" s="17" t="str">
        <f aca="false">INT(O228/3)&amp;"."&amp;MOD(O228,3)</f>
        <v>67.0</v>
      </c>
      <c r="R228" s="12" t="n">
        <v>49</v>
      </c>
      <c r="S228" s="12" t="n">
        <v>23</v>
      </c>
      <c r="T228" s="12" t="n">
        <v>21</v>
      </c>
      <c r="U228" s="12" t="n">
        <v>8</v>
      </c>
      <c r="V228" s="12" t="n">
        <v>27</v>
      </c>
      <c r="W228" s="12" t="n">
        <v>73</v>
      </c>
      <c r="X228" s="12" t="n">
        <v>4</v>
      </c>
      <c r="Y228" s="18" t="n">
        <f aca="false">IF(O228=0,0,T228*27/O228)</f>
        <v>2.82089552238806</v>
      </c>
      <c r="Z228" s="18" t="n">
        <f aca="false">IF(P228=0,0,(V228+R228)/P228)</f>
        <v>1.13432835820896</v>
      </c>
      <c r="AA228" s="18" t="n">
        <f aca="false">IF(O228=0,0,W228*27/O228)</f>
        <v>9.80597014925373</v>
      </c>
      <c r="AB228" s="18" t="n">
        <f aca="false">IF(O228=0,0,V228*27/O228)</f>
        <v>3.62686567164179</v>
      </c>
      <c r="AC228" s="18" t="n">
        <f aca="false">IF(V228=0,0,W228/V228)</f>
        <v>2.7037037037037</v>
      </c>
      <c r="AD228" s="18" t="n">
        <f aca="false">IF(P228=0,0,(13*U228+3*(V228+X228)-2*W228)/P228+INDEX(球季參數!$C$2:$C$4,MATCH($A228,球季參數!$A$2:$A$4,0)))</f>
        <v>3.89119402985075</v>
      </c>
      <c r="AE228" s="11" t="n">
        <f aca="false">IF(P228&gt;=INDEX(球季參數!$F$2:$F$4,MATCH($A228,球季參數!$A$2:$A$4,0)),1,0)</f>
        <v>0</v>
      </c>
    </row>
    <row r="229" customFormat="false" ht="15" hidden="false" customHeight="false" outlineLevel="0" collapsed="false">
      <c r="A229" s="5" t="n">
        <v>2024</v>
      </c>
      <c r="B229" s="7" t="s">
        <v>1391</v>
      </c>
      <c r="C229" s="10" t="str">
        <f aca="false">INDEX(球員主檔!$B$2:$B$749,MATCH($B229,球員主檔!$A$2:$A$749,0))</f>
        <v>Barrett Rasmussen</v>
      </c>
      <c r="D229" s="7" t="s">
        <v>434</v>
      </c>
      <c r="E229" s="10" t="str">
        <f aca="false">INDEX(球隊主檔!$C$2:$C$31,MATCH($D229,球隊主檔!$A$2:$A$31,0))</f>
        <v>密爾瓦基釀酒人</v>
      </c>
      <c r="F229" s="10" t="str">
        <f aca="false">INDEX(球隊主檔!$D$2:$D$31,MATCH($D229,球隊主檔!$A$2:$A$31,0))</f>
        <v>國聯</v>
      </c>
      <c r="G229" s="7" t="s">
        <v>507</v>
      </c>
      <c r="H229" s="11" t="n">
        <f aca="false">INT((DATE($A229,7,1)-INDEX(球員主檔!$G$2:$G$749,MATCH($B229,球員主檔!$A$2:$A$749,0)))/365.25)</f>
        <v>24</v>
      </c>
      <c r="I229" s="12" t="n">
        <v>5</v>
      </c>
      <c r="J229" s="12" t="n">
        <v>4</v>
      </c>
      <c r="K229" s="12" t="n">
        <v>6</v>
      </c>
      <c r="L229" s="12" t="n">
        <v>25</v>
      </c>
      <c r="M229" s="12" t="n">
        <v>64</v>
      </c>
      <c r="N229" s="12" t="n">
        <v>0</v>
      </c>
      <c r="O229" s="12" t="n">
        <v>200</v>
      </c>
      <c r="P229" s="16" t="n">
        <f aca="false">O229/3</f>
        <v>66.6666666666667</v>
      </c>
      <c r="Q229" s="17" t="str">
        <f aca="false">INT(O229/3)&amp;"."&amp;MOD(O229,3)</f>
        <v>66.2</v>
      </c>
      <c r="R229" s="12" t="n">
        <v>55</v>
      </c>
      <c r="S229" s="12" t="n">
        <v>37</v>
      </c>
      <c r="T229" s="12" t="n">
        <v>33</v>
      </c>
      <c r="U229" s="12" t="n">
        <v>10</v>
      </c>
      <c r="V229" s="12" t="n">
        <v>14</v>
      </c>
      <c r="W229" s="12" t="n">
        <v>79</v>
      </c>
      <c r="X229" s="12" t="n">
        <v>3</v>
      </c>
      <c r="Y229" s="18" t="n">
        <f aca="false">IF(O229=0,0,T229*27/O229)</f>
        <v>4.455</v>
      </c>
      <c r="Z229" s="18" t="n">
        <f aca="false">IF(P229=0,0,(V229+R229)/P229)</f>
        <v>1.035</v>
      </c>
      <c r="AA229" s="18" t="n">
        <f aca="false">IF(O229=0,0,W229*27/O229)</f>
        <v>10.665</v>
      </c>
      <c r="AB229" s="18" t="n">
        <f aca="false">IF(O229=0,0,V229*27/O229)</f>
        <v>1.89</v>
      </c>
      <c r="AC229" s="18" t="n">
        <f aca="false">IF(V229=0,0,W229/V229)</f>
        <v>5.64285714285714</v>
      </c>
      <c r="AD229" s="18" t="n">
        <f aca="false">IF(P229=0,0,(13*U229+3*(V229+X229)-2*W229)/P229+INDEX(球季參數!$C$2:$C$4,MATCH($A229,球季參數!$A$2:$A$4,0)))</f>
        <v>3.475</v>
      </c>
      <c r="AE229" s="11" t="n">
        <f aca="false">IF(P229&gt;=INDEX(球季參數!$F$2:$F$4,MATCH($A229,球季參數!$A$2:$A$4,0)),1,0)</f>
        <v>0</v>
      </c>
    </row>
    <row r="230" customFormat="false" ht="15" hidden="false" customHeight="false" outlineLevel="0" collapsed="false">
      <c r="A230" s="5" t="n">
        <v>2024</v>
      </c>
      <c r="B230" s="7" t="s">
        <v>1393</v>
      </c>
      <c r="C230" s="10" t="str">
        <f aca="false">INDEX(球員主檔!$B$2:$B$749,MATCH($B230,球員主檔!$A$2:$A$749,0))</f>
        <v>Percival Ravenscroft</v>
      </c>
      <c r="D230" s="7" t="s">
        <v>434</v>
      </c>
      <c r="E230" s="10" t="str">
        <f aca="false">INDEX(球隊主檔!$C$2:$C$31,MATCH($D230,球隊主檔!$A$2:$A$31,0))</f>
        <v>密爾瓦基釀酒人</v>
      </c>
      <c r="F230" s="10" t="str">
        <f aca="false">INDEX(球隊主檔!$D$2:$D$31,MATCH($D230,球隊主檔!$A$2:$A$31,0))</f>
        <v>國聯</v>
      </c>
      <c r="G230" s="7" t="s">
        <v>507</v>
      </c>
      <c r="H230" s="11" t="n">
        <f aca="false">INT((DATE($A230,7,1)-INDEX(球員主檔!$G$2:$G$749,MATCH($B230,球員主檔!$A$2:$A$749,0)))/365.25)</f>
        <v>34</v>
      </c>
      <c r="I230" s="12" t="n">
        <v>3</v>
      </c>
      <c r="J230" s="12" t="n">
        <v>3</v>
      </c>
      <c r="K230" s="12" t="n">
        <v>1</v>
      </c>
      <c r="L230" s="12" t="n">
        <v>13</v>
      </c>
      <c r="M230" s="12" t="n">
        <v>70</v>
      </c>
      <c r="N230" s="12" t="n">
        <v>0</v>
      </c>
      <c r="O230" s="12" t="n">
        <v>198</v>
      </c>
      <c r="P230" s="16" t="n">
        <f aca="false">O230/3</f>
        <v>66</v>
      </c>
      <c r="Q230" s="17" t="str">
        <f aca="false">INT(O230/3)&amp;"."&amp;MOD(O230,3)</f>
        <v>66.0</v>
      </c>
      <c r="R230" s="12" t="n">
        <v>56</v>
      </c>
      <c r="S230" s="12" t="n">
        <v>36</v>
      </c>
      <c r="T230" s="12" t="n">
        <v>32</v>
      </c>
      <c r="U230" s="12" t="n">
        <v>4</v>
      </c>
      <c r="V230" s="12" t="n">
        <v>28</v>
      </c>
      <c r="W230" s="12" t="n">
        <v>85</v>
      </c>
      <c r="X230" s="12" t="n">
        <v>3</v>
      </c>
      <c r="Y230" s="18" t="n">
        <f aca="false">IF(O230=0,0,T230*27/O230)</f>
        <v>4.36363636363636</v>
      </c>
      <c r="Z230" s="18" t="n">
        <f aca="false">IF(P230=0,0,(V230+R230)/P230)</f>
        <v>1.27272727272727</v>
      </c>
      <c r="AA230" s="18" t="n">
        <f aca="false">IF(O230=0,0,W230*27/O230)</f>
        <v>11.5909090909091</v>
      </c>
      <c r="AB230" s="18" t="n">
        <f aca="false">IF(O230=0,0,V230*27/O230)</f>
        <v>3.81818181818182</v>
      </c>
      <c r="AC230" s="18" t="n">
        <f aca="false">IF(V230=0,0,W230/V230)</f>
        <v>3.03571428571429</v>
      </c>
      <c r="AD230" s="18" t="n">
        <f aca="false">IF(P230=0,0,(13*U230+3*(V230+X230)-2*W230)/P230+INDEX(球季參數!$C$2:$C$4,MATCH($A230,球季參數!$A$2:$A$4,0)))</f>
        <v>2.75121212121212</v>
      </c>
      <c r="AE230" s="11" t="n">
        <f aca="false">IF(P230&gt;=INDEX(球季參數!$F$2:$F$4,MATCH($A230,球季參數!$A$2:$A$4,0)),1,0)</f>
        <v>0</v>
      </c>
    </row>
    <row r="231" customFormat="false" ht="15" hidden="false" customHeight="false" outlineLevel="0" collapsed="false">
      <c r="A231" s="5" t="n">
        <v>2024</v>
      </c>
      <c r="B231" s="7" t="s">
        <v>1395</v>
      </c>
      <c r="C231" s="10" t="str">
        <f aca="false">INDEX(球員主檔!$B$2:$B$749,MATCH($B231,球員主檔!$A$2:$A$749,0))</f>
        <v>Benedikt Jovanović</v>
      </c>
      <c r="D231" s="7" t="s">
        <v>434</v>
      </c>
      <c r="E231" s="10" t="str">
        <f aca="false">INDEX(球隊主檔!$C$2:$C$31,MATCH($D231,球隊主檔!$A$2:$A$31,0))</f>
        <v>密爾瓦基釀酒人</v>
      </c>
      <c r="F231" s="10" t="str">
        <f aca="false">INDEX(球隊主檔!$D$2:$D$31,MATCH($D231,球隊主檔!$A$2:$A$31,0))</f>
        <v>國聯</v>
      </c>
      <c r="G231" s="7" t="s">
        <v>507</v>
      </c>
      <c r="H231" s="11" t="n">
        <f aca="false">INT((DATE($A231,7,1)-INDEX(球員主檔!$G$2:$G$749,MATCH($B231,球員主檔!$A$2:$A$749,0)))/365.25)</f>
        <v>27</v>
      </c>
      <c r="I231" s="12" t="n">
        <v>5</v>
      </c>
      <c r="J231" s="12" t="n">
        <v>8</v>
      </c>
      <c r="K231" s="12" t="n">
        <v>1</v>
      </c>
      <c r="L231" s="12" t="n">
        <v>3</v>
      </c>
      <c r="M231" s="12" t="n">
        <v>69</v>
      </c>
      <c r="N231" s="12" t="n">
        <v>0</v>
      </c>
      <c r="O231" s="12" t="n">
        <v>186</v>
      </c>
      <c r="P231" s="16" t="n">
        <f aca="false">O231/3</f>
        <v>62</v>
      </c>
      <c r="Q231" s="17" t="str">
        <f aca="false">INT(O231/3)&amp;"."&amp;MOD(O231,3)</f>
        <v>62.0</v>
      </c>
      <c r="R231" s="12" t="n">
        <v>46</v>
      </c>
      <c r="S231" s="12" t="n">
        <v>25</v>
      </c>
      <c r="T231" s="12" t="n">
        <v>24</v>
      </c>
      <c r="U231" s="12" t="n">
        <v>12</v>
      </c>
      <c r="V231" s="12" t="n">
        <v>18</v>
      </c>
      <c r="W231" s="12" t="n">
        <v>51</v>
      </c>
      <c r="X231" s="12" t="n">
        <v>3</v>
      </c>
      <c r="Y231" s="18" t="n">
        <f aca="false">IF(O231=0,0,T231*27/O231)</f>
        <v>3.48387096774194</v>
      </c>
      <c r="Z231" s="18" t="n">
        <f aca="false">IF(P231=0,0,(V231+R231)/P231)</f>
        <v>1.03225806451613</v>
      </c>
      <c r="AA231" s="18" t="n">
        <f aca="false">IF(O231=0,0,W231*27/O231)</f>
        <v>7.40322580645161</v>
      </c>
      <c r="AB231" s="18" t="n">
        <f aca="false">IF(O231=0,0,V231*27/O231)</f>
        <v>2.61290322580645</v>
      </c>
      <c r="AC231" s="18" t="n">
        <f aca="false">IF(V231=0,0,W231/V231)</f>
        <v>2.83333333333333</v>
      </c>
      <c r="AD231" s="18" t="n">
        <f aca="false">IF(P231=0,0,(13*U231+3*(V231+X231)-2*W231)/P231+INDEX(球季參數!$C$2:$C$4,MATCH($A231,球季參數!$A$2:$A$4,0)))</f>
        <v>5.01709677419355</v>
      </c>
      <c r="AE231" s="11" t="n">
        <f aca="false">IF(P231&gt;=INDEX(球季參數!$F$2:$F$4,MATCH($A231,球季參數!$A$2:$A$4,0)),1,0)</f>
        <v>0</v>
      </c>
    </row>
    <row r="232" customFormat="false" ht="15" hidden="false" customHeight="false" outlineLevel="0" collapsed="false">
      <c r="A232" s="5" t="n">
        <v>2024</v>
      </c>
      <c r="B232" s="7" t="s">
        <v>1417</v>
      </c>
      <c r="C232" s="10" t="str">
        <f aca="false">INDEX(球員主檔!$B$2:$B$749,MATCH($B232,球員主檔!$A$2:$A$749,0))</f>
        <v>Wyatt Larrabee</v>
      </c>
      <c r="D232" s="7" t="s">
        <v>438</v>
      </c>
      <c r="E232" s="10" t="str">
        <f aca="false">INDEX(球隊主檔!$C$2:$C$31,MATCH($D232,球隊主檔!$A$2:$A$31,0))</f>
        <v>匹茲堡海盜</v>
      </c>
      <c r="F232" s="10" t="str">
        <f aca="false">INDEX(球隊主檔!$D$2:$D$31,MATCH($D232,球隊主檔!$A$2:$A$31,0))</f>
        <v>國聯</v>
      </c>
      <c r="G232" s="7" t="s">
        <v>496</v>
      </c>
      <c r="H232" s="11" t="n">
        <f aca="false">INT((DATE($A232,7,1)-INDEX(球員主檔!$G$2:$G$749,MATCH($B232,球員主檔!$A$2:$A$749,0)))/365.25)</f>
        <v>25</v>
      </c>
      <c r="I232" s="12" t="n">
        <v>5</v>
      </c>
      <c r="J232" s="12" t="n">
        <v>2</v>
      </c>
      <c r="K232" s="12" t="n">
        <v>0</v>
      </c>
      <c r="L232" s="12" t="n">
        <v>0</v>
      </c>
      <c r="M232" s="12" t="n">
        <v>10</v>
      </c>
      <c r="N232" s="12" t="n">
        <v>10</v>
      </c>
      <c r="O232" s="12" t="n">
        <v>191</v>
      </c>
      <c r="P232" s="16" t="n">
        <f aca="false">O232/3</f>
        <v>63.6666666666667</v>
      </c>
      <c r="Q232" s="17" t="str">
        <f aca="false">INT(O232/3)&amp;"."&amp;MOD(O232,3)</f>
        <v>63.2</v>
      </c>
      <c r="R232" s="12" t="n">
        <v>48</v>
      </c>
      <c r="S232" s="12" t="n">
        <v>24</v>
      </c>
      <c r="T232" s="12" t="n">
        <v>23</v>
      </c>
      <c r="U232" s="12" t="n">
        <v>8</v>
      </c>
      <c r="V232" s="12" t="n">
        <v>15</v>
      </c>
      <c r="W232" s="12" t="n">
        <v>69</v>
      </c>
      <c r="X232" s="12" t="n">
        <v>2</v>
      </c>
      <c r="Y232" s="18" t="n">
        <f aca="false">IF(O232=0,0,T232*27/O232)</f>
        <v>3.25130890052356</v>
      </c>
      <c r="Z232" s="18" t="n">
        <f aca="false">IF(P232=0,0,(V232+R232)/P232)</f>
        <v>0.989528795811518</v>
      </c>
      <c r="AA232" s="18" t="n">
        <f aca="false">IF(O232=0,0,W232*27/O232)</f>
        <v>9.75392670157068</v>
      </c>
      <c r="AB232" s="18" t="n">
        <f aca="false">IF(O232=0,0,V232*27/O232)</f>
        <v>2.12041884816754</v>
      </c>
      <c r="AC232" s="18" t="n">
        <f aca="false">IF(V232=0,0,W232/V232)</f>
        <v>4.6</v>
      </c>
      <c r="AD232" s="18" t="n">
        <f aca="false">IF(P232=0,0,(13*U232+3*(V232+X232)-2*W232)/P232+INDEX(球季參數!$C$2:$C$4,MATCH($A232,球季參數!$A$2:$A$4,0)))</f>
        <v>3.39701570680628</v>
      </c>
      <c r="AE232" s="11" t="n">
        <f aca="false">IF(P232&gt;=INDEX(球季參數!$F$2:$F$4,MATCH($A232,球季參數!$A$2:$A$4,0)),1,0)</f>
        <v>0</v>
      </c>
    </row>
    <row r="233" customFormat="false" ht="15" hidden="false" customHeight="false" outlineLevel="0" collapsed="false">
      <c r="A233" s="5" t="n">
        <v>2024</v>
      </c>
      <c r="B233" s="7" t="s">
        <v>1419</v>
      </c>
      <c r="C233" s="10" t="str">
        <f aca="false">INDEX(球員主檔!$B$2:$B$749,MATCH($B233,球員主檔!$A$2:$A$749,0))</f>
        <v>Oakley Ibarra</v>
      </c>
      <c r="D233" s="7" t="s">
        <v>438</v>
      </c>
      <c r="E233" s="10" t="str">
        <f aca="false">INDEX(球隊主檔!$C$2:$C$31,MATCH($D233,球隊主檔!$A$2:$A$31,0))</f>
        <v>匹茲堡海盜</v>
      </c>
      <c r="F233" s="10" t="str">
        <f aca="false">INDEX(球隊主檔!$D$2:$D$31,MATCH($D233,球隊主檔!$A$2:$A$31,0))</f>
        <v>國聯</v>
      </c>
      <c r="G233" s="7" t="s">
        <v>496</v>
      </c>
      <c r="H233" s="11" t="n">
        <f aca="false">INT((DATE($A233,7,1)-INDEX(球員主檔!$G$2:$G$749,MATCH($B233,球員主檔!$A$2:$A$749,0)))/365.25)</f>
        <v>25</v>
      </c>
      <c r="I233" s="12" t="n">
        <v>9</v>
      </c>
      <c r="J233" s="12" t="n">
        <v>6</v>
      </c>
      <c r="K233" s="12" t="n">
        <v>0</v>
      </c>
      <c r="L233" s="12" t="n">
        <v>0</v>
      </c>
      <c r="M233" s="12" t="n">
        <v>21</v>
      </c>
      <c r="N233" s="12" t="n">
        <v>21</v>
      </c>
      <c r="O233" s="12" t="n">
        <v>322</v>
      </c>
      <c r="P233" s="16" t="n">
        <f aca="false">O233/3</f>
        <v>107.333333333333</v>
      </c>
      <c r="Q233" s="17" t="str">
        <f aca="false">INT(O233/3)&amp;"."&amp;MOD(O233,3)</f>
        <v>107.1</v>
      </c>
      <c r="R233" s="12" t="n">
        <v>83</v>
      </c>
      <c r="S233" s="12" t="n">
        <v>47</v>
      </c>
      <c r="T233" s="12" t="n">
        <v>46</v>
      </c>
      <c r="U233" s="12" t="n">
        <v>17</v>
      </c>
      <c r="V233" s="12" t="n">
        <v>45</v>
      </c>
      <c r="W233" s="12" t="n">
        <v>121</v>
      </c>
      <c r="X233" s="12" t="n">
        <v>2</v>
      </c>
      <c r="Y233" s="18" t="n">
        <f aca="false">IF(O233=0,0,T233*27/O233)</f>
        <v>3.85714285714286</v>
      </c>
      <c r="Z233" s="18" t="n">
        <f aca="false">IF(P233=0,0,(V233+R233)/P233)</f>
        <v>1.19254658385093</v>
      </c>
      <c r="AA233" s="18" t="n">
        <f aca="false">IF(O233=0,0,W233*27/O233)</f>
        <v>10.1459627329193</v>
      </c>
      <c r="AB233" s="18" t="n">
        <f aca="false">IF(O233=0,0,V233*27/O233)</f>
        <v>3.77329192546584</v>
      </c>
      <c r="AC233" s="18" t="n">
        <f aca="false">IF(V233=0,0,W233/V233)</f>
        <v>2.68888888888889</v>
      </c>
      <c r="AD233" s="18" t="n">
        <f aca="false">IF(P233=0,0,(13*U233+3*(V233+X233)-2*W233)/P233+INDEX(球季參數!$C$2:$C$4,MATCH($A233,球季參數!$A$2:$A$4,0)))</f>
        <v>4.24801242236025</v>
      </c>
      <c r="AE233" s="11" t="n">
        <f aca="false">IF(P233&gt;=INDEX(球季參數!$F$2:$F$4,MATCH($A233,球季參數!$A$2:$A$4,0)),1,0)</f>
        <v>0</v>
      </c>
    </row>
    <row r="234" customFormat="false" ht="15" hidden="false" customHeight="false" outlineLevel="0" collapsed="false">
      <c r="A234" s="5" t="n">
        <v>2024</v>
      </c>
      <c r="B234" s="7" t="s">
        <v>1421</v>
      </c>
      <c r="C234" s="10" t="str">
        <f aca="false">INDEX(球員主檔!$B$2:$B$749,MATCH($B234,球員主檔!$A$2:$A$749,0))</f>
        <v>Ronin Rasmussen</v>
      </c>
      <c r="D234" s="7" t="s">
        <v>438</v>
      </c>
      <c r="E234" s="10" t="str">
        <f aca="false">INDEX(球隊主檔!$C$2:$C$31,MATCH($D234,球隊主檔!$A$2:$A$31,0))</f>
        <v>匹茲堡海盜</v>
      </c>
      <c r="F234" s="10" t="str">
        <f aca="false">INDEX(球隊主檔!$D$2:$D$31,MATCH($D234,球隊主檔!$A$2:$A$31,0))</f>
        <v>國聯</v>
      </c>
      <c r="G234" s="7" t="s">
        <v>496</v>
      </c>
      <c r="H234" s="11" t="n">
        <f aca="false">INT((DATE($A234,7,1)-INDEX(球員主檔!$G$2:$G$749,MATCH($B234,球員主檔!$A$2:$A$749,0)))/365.25)</f>
        <v>29</v>
      </c>
      <c r="I234" s="12" t="n">
        <v>9</v>
      </c>
      <c r="J234" s="12" t="n">
        <v>8</v>
      </c>
      <c r="K234" s="12" t="n">
        <v>0</v>
      </c>
      <c r="L234" s="12" t="n">
        <v>0</v>
      </c>
      <c r="M234" s="12" t="n">
        <v>26</v>
      </c>
      <c r="N234" s="12" t="n">
        <v>26</v>
      </c>
      <c r="O234" s="12" t="n">
        <v>397</v>
      </c>
      <c r="P234" s="16" t="n">
        <f aca="false">O234/3</f>
        <v>132.333333333333</v>
      </c>
      <c r="Q234" s="17" t="str">
        <f aca="false">INT(O234/3)&amp;"."&amp;MOD(O234,3)</f>
        <v>132.1</v>
      </c>
      <c r="R234" s="12" t="n">
        <v>125</v>
      </c>
      <c r="S234" s="12" t="n">
        <v>72</v>
      </c>
      <c r="T234" s="12" t="n">
        <v>71</v>
      </c>
      <c r="U234" s="12" t="n">
        <v>17</v>
      </c>
      <c r="V234" s="12" t="n">
        <v>43</v>
      </c>
      <c r="W234" s="12" t="n">
        <v>119</v>
      </c>
      <c r="X234" s="12" t="n">
        <v>4</v>
      </c>
      <c r="Y234" s="18" t="n">
        <f aca="false">IF(O234=0,0,T234*27/O234)</f>
        <v>4.8287153652393</v>
      </c>
      <c r="Z234" s="18" t="n">
        <f aca="false">IF(P234=0,0,(V234+R234)/P234)</f>
        <v>1.26952141057935</v>
      </c>
      <c r="AA234" s="18" t="n">
        <f aca="false">IF(O234=0,0,W234*27/O234)</f>
        <v>8.09319899244333</v>
      </c>
      <c r="AB234" s="18" t="n">
        <f aca="false">IF(O234=0,0,V234*27/O234)</f>
        <v>2.92443324937028</v>
      </c>
      <c r="AC234" s="18" t="n">
        <f aca="false">IF(V234=0,0,W234/V234)</f>
        <v>2.76744186046512</v>
      </c>
      <c r="AD234" s="18" t="n">
        <f aca="false">IF(P234=0,0,(13*U234+3*(V234+X234)-2*W234)/P234+INDEX(球季參數!$C$2:$C$4,MATCH($A234,球季參數!$A$2:$A$4,0)))</f>
        <v>4.06702770780856</v>
      </c>
      <c r="AE234" s="11" t="n">
        <f aca="false">IF(P234&gt;=INDEX(球季參數!$F$2:$F$4,MATCH($A234,球季參數!$A$2:$A$4,0)),1,0)</f>
        <v>0</v>
      </c>
    </row>
    <row r="235" customFormat="false" ht="15" hidden="false" customHeight="false" outlineLevel="0" collapsed="false">
      <c r="A235" s="5" t="n">
        <v>2024</v>
      </c>
      <c r="B235" s="7" t="s">
        <v>1423</v>
      </c>
      <c r="C235" s="10" t="str">
        <f aca="false">INDEX(球員主檔!$B$2:$B$749,MATCH($B235,球員主檔!$A$2:$A$749,0))</f>
        <v>Dashiell Stroheim</v>
      </c>
      <c r="D235" s="7" t="s">
        <v>438</v>
      </c>
      <c r="E235" s="10" t="str">
        <f aca="false">INDEX(球隊主檔!$C$2:$C$31,MATCH($D235,球隊主檔!$A$2:$A$31,0))</f>
        <v>匹茲堡海盜</v>
      </c>
      <c r="F235" s="10" t="str">
        <f aca="false">INDEX(球隊主檔!$D$2:$D$31,MATCH($D235,球隊主檔!$A$2:$A$31,0))</f>
        <v>國聯</v>
      </c>
      <c r="G235" s="7" t="s">
        <v>496</v>
      </c>
      <c r="H235" s="11" t="n">
        <f aca="false">INT((DATE($A235,7,1)-INDEX(球員主檔!$G$2:$G$749,MATCH($B235,球員主檔!$A$2:$A$749,0)))/365.25)</f>
        <v>29</v>
      </c>
      <c r="I235" s="12" t="n">
        <v>8</v>
      </c>
      <c r="J235" s="12" t="n">
        <v>10</v>
      </c>
      <c r="K235" s="12" t="n">
        <v>0</v>
      </c>
      <c r="L235" s="12" t="n">
        <v>0</v>
      </c>
      <c r="M235" s="12" t="n">
        <v>24</v>
      </c>
      <c r="N235" s="12" t="n">
        <v>24</v>
      </c>
      <c r="O235" s="12" t="n">
        <v>394</v>
      </c>
      <c r="P235" s="16" t="n">
        <f aca="false">O235/3</f>
        <v>131.333333333333</v>
      </c>
      <c r="Q235" s="17" t="str">
        <f aca="false">INT(O235/3)&amp;"."&amp;MOD(O235,3)</f>
        <v>131.1</v>
      </c>
      <c r="R235" s="12" t="n">
        <v>121</v>
      </c>
      <c r="S235" s="12" t="n">
        <v>87</v>
      </c>
      <c r="T235" s="12" t="n">
        <v>79</v>
      </c>
      <c r="U235" s="12" t="n">
        <v>15</v>
      </c>
      <c r="V235" s="12" t="n">
        <v>46</v>
      </c>
      <c r="W235" s="12" t="n">
        <v>130</v>
      </c>
      <c r="X235" s="12" t="n">
        <v>2</v>
      </c>
      <c r="Y235" s="18" t="n">
        <f aca="false">IF(O235=0,0,T235*27/O235)</f>
        <v>5.41370558375635</v>
      </c>
      <c r="Z235" s="18" t="n">
        <f aca="false">IF(P235=0,0,(V235+R235)/P235)</f>
        <v>1.27157360406091</v>
      </c>
      <c r="AA235" s="18" t="n">
        <f aca="false">IF(O235=0,0,W235*27/O235)</f>
        <v>8.90862944162437</v>
      </c>
      <c r="AB235" s="18" t="n">
        <f aca="false">IF(O235=0,0,V235*27/O235)</f>
        <v>3.15228426395939</v>
      </c>
      <c r="AC235" s="18" t="n">
        <f aca="false">IF(V235=0,0,W235/V235)</f>
        <v>2.82608695652174</v>
      </c>
      <c r="AD235" s="18" t="n">
        <f aca="false">IF(P235=0,0,(13*U235+3*(V235+X235)-2*W235)/P235+INDEX(球季參數!$C$2:$C$4,MATCH($A235,球季參數!$A$2:$A$4,0)))</f>
        <v>3.73152284263959</v>
      </c>
      <c r="AE235" s="11" t="n">
        <f aca="false">IF(P235&gt;=INDEX(球季參數!$F$2:$F$4,MATCH($A235,球季參數!$A$2:$A$4,0)),1,0)</f>
        <v>0</v>
      </c>
    </row>
    <row r="236" customFormat="false" ht="15" hidden="false" customHeight="false" outlineLevel="0" collapsed="false">
      <c r="A236" s="5" t="n">
        <v>2024</v>
      </c>
      <c r="B236" s="7" t="s">
        <v>1425</v>
      </c>
      <c r="C236" s="10" t="str">
        <f aca="false">INDEX(球員主檔!$B$2:$B$749,MATCH($B236,球員主檔!$A$2:$A$749,0))</f>
        <v>Minjae Sorrentino</v>
      </c>
      <c r="D236" s="7" t="s">
        <v>438</v>
      </c>
      <c r="E236" s="10" t="str">
        <f aca="false">INDEX(球隊主檔!$C$2:$C$31,MATCH($D236,球隊主檔!$A$2:$A$31,0))</f>
        <v>匹茲堡海盜</v>
      </c>
      <c r="F236" s="10" t="str">
        <f aca="false">INDEX(球隊主檔!$D$2:$D$31,MATCH($D236,球隊主檔!$A$2:$A$31,0))</f>
        <v>國聯</v>
      </c>
      <c r="G236" s="7" t="s">
        <v>496</v>
      </c>
      <c r="H236" s="11" t="n">
        <f aca="false">INT((DATE($A236,7,1)-INDEX(球員主檔!$G$2:$G$749,MATCH($B236,球員主檔!$A$2:$A$749,0)))/365.25)</f>
        <v>30</v>
      </c>
      <c r="I236" s="12" t="n">
        <v>16</v>
      </c>
      <c r="J236" s="12" t="n">
        <v>8</v>
      </c>
      <c r="K236" s="12" t="n">
        <v>0</v>
      </c>
      <c r="L236" s="12" t="n">
        <v>0</v>
      </c>
      <c r="M236" s="12" t="n">
        <v>32</v>
      </c>
      <c r="N236" s="12" t="n">
        <v>32</v>
      </c>
      <c r="O236" s="12" t="n">
        <v>496</v>
      </c>
      <c r="P236" s="16" t="n">
        <f aca="false">O236/3</f>
        <v>165.333333333333</v>
      </c>
      <c r="Q236" s="17" t="str">
        <f aca="false">INT(O236/3)&amp;"."&amp;MOD(O236,3)</f>
        <v>165.1</v>
      </c>
      <c r="R236" s="12" t="n">
        <v>135</v>
      </c>
      <c r="S236" s="12" t="n">
        <v>77</v>
      </c>
      <c r="T236" s="12" t="n">
        <v>69</v>
      </c>
      <c r="U236" s="12" t="n">
        <v>30</v>
      </c>
      <c r="V236" s="12" t="n">
        <v>57</v>
      </c>
      <c r="W236" s="12" t="n">
        <v>198</v>
      </c>
      <c r="X236" s="12" t="n">
        <v>9</v>
      </c>
      <c r="Y236" s="18" t="n">
        <f aca="false">IF(O236=0,0,T236*27/O236)</f>
        <v>3.75604838709677</v>
      </c>
      <c r="Z236" s="18" t="n">
        <f aca="false">IF(P236=0,0,(V236+R236)/P236)</f>
        <v>1.16129032258065</v>
      </c>
      <c r="AA236" s="18" t="n">
        <f aca="false">IF(O236=0,0,W236*27/O236)</f>
        <v>10.7782258064516</v>
      </c>
      <c r="AB236" s="18" t="n">
        <f aca="false">IF(O236=0,0,V236*27/O236)</f>
        <v>3.10282258064516</v>
      </c>
      <c r="AC236" s="18" t="n">
        <f aca="false">IF(V236=0,0,W236/V236)</f>
        <v>3.47368421052632</v>
      </c>
      <c r="AD236" s="18" t="n">
        <f aca="false">IF(P236=0,0,(13*U236+3*(V236+X236)-2*W236)/P236+INDEX(球季參數!$C$2:$C$4,MATCH($A236,球季參數!$A$2:$A$4,0)))</f>
        <v>4.29129032258065</v>
      </c>
      <c r="AE236" s="11" t="n">
        <f aca="false">IF(P236&gt;=INDEX(球季參數!$F$2:$F$4,MATCH($A236,球季參數!$A$2:$A$4,0)),1,0)</f>
        <v>1</v>
      </c>
    </row>
    <row r="237" customFormat="false" ht="15" hidden="false" customHeight="false" outlineLevel="0" collapsed="false">
      <c r="A237" s="5" t="n">
        <v>2024</v>
      </c>
      <c r="B237" s="7" t="s">
        <v>1427</v>
      </c>
      <c r="C237" s="10" t="str">
        <f aca="false">INDEX(球員主檔!$B$2:$B$749,MATCH($B237,球員主檔!$A$2:$A$749,0))</f>
        <v>Camilo Prendergast</v>
      </c>
      <c r="D237" s="7" t="s">
        <v>438</v>
      </c>
      <c r="E237" s="10" t="str">
        <f aca="false">INDEX(球隊主檔!$C$2:$C$31,MATCH($D237,球隊主檔!$A$2:$A$31,0))</f>
        <v>匹茲堡海盜</v>
      </c>
      <c r="F237" s="10" t="str">
        <f aca="false">INDEX(球隊主檔!$D$2:$D$31,MATCH($D237,球隊主檔!$A$2:$A$31,0))</f>
        <v>國聯</v>
      </c>
      <c r="G237" s="7" t="s">
        <v>507</v>
      </c>
      <c r="H237" s="11" t="n">
        <f aca="false">INT((DATE($A237,7,1)-INDEX(球員主檔!$G$2:$G$749,MATCH($B237,球員主檔!$A$2:$A$749,0)))/365.25)</f>
        <v>28</v>
      </c>
      <c r="I237" s="12" t="n">
        <v>9</v>
      </c>
      <c r="J237" s="12" t="n">
        <v>5</v>
      </c>
      <c r="K237" s="12" t="n">
        <v>40</v>
      </c>
      <c r="L237" s="12" t="n">
        <v>1</v>
      </c>
      <c r="M237" s="12" t="n">
        <v>47</v>
      </c>
      <c r="N237" s="12" t="n">
        <v>0</v>
      </c>
      <c r="O237" s="12" t="n">
        <v>151</v>
      </c>
      <c r="P237" s="16" t="n">
        <f aca="false">O237/3</f>
        <v>50.3333333333333</v>
      </c>
      <c r="Q237" s="17" t="str">
        <f aca="false">INT(O237/3)&amp;"."&amp;MOD(O237,3)</f>
        <v>50.1</v>
      </c>
      <c r="R237" s="12" t="n">
        <v>41</v>
      </c>
      <c r="S237" s="12" t="n">
        <v>23</v>
      </c>
      <c r="T237" s="12" t="n">
        <v>22</v>
      </c>
      <c r="U237" s="12" t="n">
        <v>5</v>
      </c>
      <c r="V237" s="12" t="n">
        <v>18</v>
      </c>
      <c r="W237" s="12" t="n">
        <v>35</v>
      </c>
      <c r="X237" s="12" t="n">
        <v>1</v>
      </c>
      <c r="Y237" s="18" t="n">
        <f aca="false">IF(O237=0,0,T237*27/O237)</f>
        <v>3.93377483443709</v>
      </c>
      <c r="Z237" s="18" t="n">
        <f aca="false">IF(P237=0,0,(V237+R237)/P237)</f>
        <v>1.17218543046358</v>
      </c>
      <c r="AA237" s="18" t="n">
        <f aca="false">IF(O237=0,0,W237*27/O237)</f>
        <v>6.25827814569536</v>
      </c>
      <c r="AB237" s="18" t="n">
        <f aca="false">IF(O237=0,0,V237*27/O237)</f>
        <v>3.21854304635762</v>
      </c>
      <c r="AC237" s="18" t="n">
        <f aca="false">IF(V237=0,0,W237/V237)</f>
        <v>1.94444444444444</v>
      </c>
      <c r="AD237" s="18" t="n">
        <f aca="false">IF(P237=0,0,(13*U237+3*(V237+X237)-2*W237)/P237+INDEX(球季參數!$C$2:$C$4,MATCH($A237,球季參數!$A$2:$A$4,0)))</f>
        <v>4.16311258278146</v>
      </c>
      <c r="AE237" s="11" t="n">
        <f aca="false">IF(P237&gt;=INDEX(球季參數!$F$2:$F$4,MATCH($A237,球季參數!$A$2:$A$4,0)),1,0)</f>
        <v>0</v>
      </c>
    </row>
    <row r="238" customFormat="false" ht="15" hidden="false" customHeight="false" outlineLevel="0" collapsed="false">
      <c r="A238" s="5" t="n">
        <v>2024</v>
      </c>
      <c r="B238" s="7" t="s">
        <v>1429</v>
      </c>
      <c r="C238" s="10" t="str">
        <f aca="false">INDEX(球員主檔!$B$2:$B$749,MATCH($B238,球員主檔!$A$2:$A$749,0))</f>
        <v>Matthias Rasmussen</v>
      </c>
      <c r="D238" s="7" t="s">
        <v>438</v>
      </c>
      <c r="E238" s="10" t="str">
        <f aca="false">INDEX(球隊主檔!$C$2:$C$31,MATCH($D238,球隊主檔!$A$2:$A$31,0))</f>
        <v>匹茲堡海盜</v>
      </c>
      <c r="F238" s="10" t="str">
        <f aca="false">INDEX(球隊主檔!$D$2:$D$31,MATCH($D238,球隊主檔!$A$2:$A$31,0))</f>
        <v>國聯</v>
      </c>
      <c r="G238" s="7" t="s">
        <v>507</v>
      </c>
      <c r="H238" s="11" t="n">
        <f aca="false">INT((DATE($A238,7,1)-INDEX(球員主檔!$G$2:$G$749,MATCH($B238,球員主檔!$A$2:$A$749,0)))/365.25)</f>
        <v>32</v>
      </c>
      <c r="I238" s="12" t="n">
        <v>1</v>
      </c>
      <c r="J238" s="12" t="n">
        <v>8</v>
      </c>
      <c r="K238" s="12" t="n">
        <v>6</v>
      </c>
      <c r="L238" s="12" t="n">
        <v>4</v>
      </c>
      <c r="M238" s="12" t="n">
        <v>71</v>
      </c>
      <c r="N238" s="12" t="n">
        <v>0</v>
      </c>
      <c r="O238" s="12" t="n">
        <v>202</v>
      </c>
      <c r="P238" s="16" t="n">
        <f aca="false">O238/3</f>
        <v>67.3333333333333</v>
      </c>
      <c r="Q238" s="17" t="str">
        <f aca="false">INT(O238/3)&amp;"."&amp;MOD(O238,3)</f>
        <v>67.1</v>
      </c>
      <c r="R238" s="12" t="n">
        <v>58</v>
      </c>
      <c r="S238" s="12" t="n">
        <v>35</v>
      </c>
      <c r="T238" s="12" t="n">
        <v>34</v>
      </c>
      <c r="U238" s="12" t="n">
        <v>8</v>
      </c>
      <c r="V238" s="12" t="n">
        <v>16</v>
      </c>
      <c r="W238" s="12" t="n">
        <v>76</v>
      </c>
      <c r="X238" s="12" t="n">
        <v>3</v>
      </c>
      <c r="Y238" s="18" t="n">
        <f aca="false">IF(O238=0,0,T238*27/O238)</f>
        <v>4.54455445544554</v>
      </c>
      <c r="Z238" s="18" t="n">
        <f aca="false">IF(P238=0,0,(V238+R238)/P238)</f>
        <v>1.0990099009901</v>
      </c>
      <c r="AA238" s="18" t="n">
        <f aca="false">IF(O238=0,0,W238*27/O238)</f>
        <v>10.1584158415842</v>
      </c>
      <c r="AB238" s="18" t="n">
        <f aca="false">IF(O238=0,0,V238*27/O238)</f>
        <v>2.13861386138614</v>
      </c>
      <c r="AC238" s="18" t="n">
        <f aca="false">IF(V238=0,0,W238/V238)</f>
        <v>4.75</v>
      </c>
      <c r="AD238" s="18" t="n">
        <f aca="false">IF(P238=0,0,(13*U238+3*(V238+X238)-2*W238)/P238+INDEX(球季參數!$C$2:$C$4,MATCH($A238,球季參數!$A$2:$A$4,0)))</f>
        <v>3.26366336633663</v>
      </c>
      <c r="AE238" s="11" t="n">
        <f aca="false">IF(P238&gt;=INDEX(球季參數!$F$2:$F$4,MATCH($A238,球季參數!$A$2:$A$4,0)),1,0)</f>
        <v>0</v>
      </c>
    </row>
    <row r="239" customFormat="false" ht="15" hidden="false" customHeight="false" outlineLevel="0" collapsed="false">
      <c r="A239" s="5" t="n">
        <v>2024</v>
      </c>
      <c r="B239" s="7" t="s">
        <v>1431</v>
      </c>
      <c r="C239" s="10" t="str">
        <f aca="false">INDEX(球員主檔!$B$2:$B$749,MATCH($B239,球員主檔!$A$2:$A$749,0))</f>
        <v>Zane Brightwell</v>
      </c>
      <c r="D239" s="7" t="s">
        <v>438</v>
      </c>
      <c r="E239" s="10" t="str">
        <f aca="false">INDEX(球隊主檔!$C$2:$C$31,MATCH($D239,球隊主檔!$A$2:$A$31,0))</f>
        <v>匹茲堡海盜</v>
      </c>
      <c r="F239" s="10" t="str">
        <f aca="false">INDEX(球隊主檔!$D$2:$D$31,MATCH($D239,球隊主檔!$A$2:$A$31,0))</f>
        <v>國聯</v>
      </c>
      <c r="G239" s="7" t="s">
        <v>507</v>
      </c>
      <c r="H239" s="11" t="n">
        <f aca="false">INT((DATE($A239,7,1)-INDEX(球員主檔!$G$2:$G$749,MATCH($B239,球員主檔!$A$2:$A$749,0)))/365.25)</f>
        <v>25</v>
      </c>
      <c r="I239" s="12" t="n">
        <v>9</v>
      </c>
      <c r="J239" s="12" t="n">
        <v>5</v>
      </c>
      <c r="K239" s="12" t="n">
        <v>3</v>
      </c>
      <c r="L239" s="12" t="n">
        <v>10</v>
      </c>
      <c r="M239" s="12" t="n">
        <v>69</v>
      </c>
      <c r="N239" s="12" t="n">
        <v>0</v>
      </c>
      <c r="O239" s="12" t="n">
        <v>209</v>
      </c>
      <c r="P239" s="16" t="n">
        <f aca="false">O239/3</f>
        <v>69.6666666666667</v>
      </c>
      <c r="Q239" s="17" t="str">
        <f aca="false">INT(O239/3)&amp;"."&amp;MOD(O239,3)</f>
        <v>69.2</v>
      </c>
      <c r="R239" s="12" t="n">
        <v>61</v>
      </c>
      <c r="S239" s="12" t="n">
        <v>37</v>
      </c>
      <c r="T239" s="12" t="n">
        <v>36</v>
      </c>
      <c r="U239" s="12" t="n">
        <v>13</v>
      </c>
      <c r="V239" s="12" t="n">
        <v>23</v>
      </c>
      <c r="W239" s="12" t="n">
        <v>89</v>
      </c>
      <c r="X239" s="12" t="n">
        <v>3</v>
      </c>
      <c r="Y239" s="18" t="n">
        <f aca="false">IF(O239=0,0,T239*27/O239)</f>
        <v>4.65071770334928</v>
      </c>
      <c r="Z239" s="18" t="n">
        <f aca="false">IF(P239=0,0,(V239+R239)/P239)</f>
        <v>1.20574162679426</v>
      </c>
      <c r="AA239" s="18" t="n">
        <f aca="false">IF(O239=0,0,W239*27/O239)</f>
        <v>11.4976076555024</v>
      </c>
      <c r="AB239" s="18" t="n">
        <f aca="false">IF(O239=0,0,V239*27/O239)</f>
        <v>2.97129186602871</v>
      </c>
      <c r="AC239" s="18" t="n">
        <f aca="false">IF(V239=0,0,W239/V239)</f>
        <v>3.8695652173913</v>
      </c>
      <c r="AD239" s="18" t="n">
        <f aca="false">IF(P239=0,0,(13*U239+3*(V239+X239)-2*W239)/P239+INDEX(球季參數!$C$2:$C$4,MATCH($A239,球季參數!$A$2:$A$4,0)))</f>
        <v>4.12043062200957</v>
      </c>
      <c r="AE239" s="11" t="n">
        <f aca="false">IF(P239&gt;=INDEX(球季參數!$F$2:$F$4,MATCH($A239,球季參數!$A$2:$A$4,0)),1,0)</f>
        <v>0</v>
      </c>
    </row>
    <row r="240" customFormat="false" ht="15" hidden="false" customHeight="false" outlineLevel="0" collapsed="false">
      <c r="A240" s="5" t="n">
        <v>2024</v>
      </c>
      <c r="B240" s="7" t="s">
        <v>1433</v>
      </c>
      <c r="C240" s="10" t="str">
        <f aca="false">INDEX(球員主檔!$B$2:$B$749,MATCH($B240,球員主檔!$A$2:$A$749,0))</f>
        <v>Silas Wexford</v>
      </c>
      <c r="D240" s="7" t="s">
        <v>438</v>
      </c>
      <c r="E240" s="10" t="str">
        <f aca="false">INDEX(球隊主檔!$C$2:$C$31,MATCH($D240,球隊主檔!$A$2:$A$31,0))</f>
        <v>匹茲堡海盜</v>
      </c>
      <c r="F240" s="10" t="str">
        <f aca="false">INDEX(球隊主檔!$D$2:$D$31,MATCH($D240,球隊主檔!$A$2:$A$31,0))</f>
        <v>國聯</v>
      </c>
      <c r="G240" s="7" t="s">
        <v>507</v>
      </c>
      <c r="H240" s="11" t="n">
        <f aca="false">INT((DATE($A240,7,1)-INDEX(球員主檔!$G$2:$G$749,MATCH($B240,球員主檔!$A$2:$A$749,0)))/365.25)</f>
        <v>27</v>
      </c>
      <c r="I240" s="12" t="n">
        <v>3</v>
      </c>
      <c r="J240" s="12" t="n">
        <v>5</v>
      </c>
      <c r="K240" s="12" t="n">
        <v>1</v>
      </c>
      <c r="L240" s="12" t="n">
        <v>11</v>
      </c>
      <c r="M240" s="12" t="n">
        <v>59</v>
      </c>
      <c r="N240" s="12" t="n">
        <v>0</v>
      </c>
      <c r="O240" s="12" t="n">
        <v>156</v>
      </c>
      <c r="P240" s="16" t="n">
        <f aca="false">O240/3</f>
        <v>52</v>
      </c>
      <c r="Q240" s="17" t="str">
        <f aca="false">INT(O240/3)&amp;"."&amp;MOD(O240,3)</f>
        <v>52.0</v>
      </c>
      <c r="R240" s="12" t="n">
        <v>40</v>
      </c>
      <c r="S240" s="12" t="n">
        <v>18</v>
      </c>
      <c r="T240" s="12" t="n">
        <v>18</v>
      </c>
      <c r="U240" s="12" t="n">
        <v>11</v>
      </c>
      <c r="V240" s="12" t="n">
        <v>20</v>
      </c>
      <c r="W240" s="12" t="n">
        <v>66</v>
      </c>
      <c r="X240" s="12" t="n">
        <v>3</v>
      </c>
      <c r="Y240" s="18" t="n">
        <f aca="false">IF(O240=0,0,T240*27/O240)</f>
        <v>3.11538461538462</v>
      </c>
      <c r="Z240" s="18" t="n">
        <f aca="false">IF(P240=0,0,(V240+R240)/P240)</f>
        <v>1.15384615384615</v>
      </c>
      <c r="AA240" s="18" t="n">
        <f aca="false">IF(O240=0,0,W240*27/O240)</f>
        <v>11.4230769230769</v>
      </c>
      <c r="AB240" s="18" t="n">
        <f aca="false">IF(O240=0,0,V240*27/O240)</f>
        <v>3.46153846153846</v>
      </c>
      <c r="AC240" s="18" t="n">
        <f aca="false">IF(V240=0,0,W240/V240)</f>
        <v>3.3</v>
      </c>
      <c r="AD240" s="18" t="n">
        <f aca="false">IF(P240=0,0,(13*U240+3*(V240+X240)-2*W240)/P240+INDEX(球季參數!$C$2:$C$4,MATCH($A240,球季參數!$A$2:$A$4,0)))</f>
        <v>4.66846153846154</v>
      </c>
      <c r="AE240" s="11" t="n">
        <f aca="false">IF(P240&gt;=INDEX(球季參數!$F$2:$F$4,MATCH($A240,球季參數!$A$2:$A$4,0)),1,0)</f>
        <v>0</v>
      </c>
    </row>
    <row r="241" customFormat="false" ht="15" hidden="false" customHeight="false" outlineLevel="0" collapsed="false">
      <c r="A241" s="5" t="n">
        <v>2024</v>
      </c>
      <c r="B241" s="7" t="s">
        <v>1435</v>
      </c>
      <c r="C241" s="10" t="str">
        <f aca="false">INDEX(球員主檔!$B$2:$B$749,MATCH($B241,球員主檔!$A$2:$A$749,0))</f>
        <v>Lucien Fairbanks</v>
      </c>
      <c r="D241" s="7" t="s">
        <v>438</v>
      </c>
      <c r="E241" s="10" t="str">
        <f aca="false">INDEX(球隊主檔!$C$2:$C$31,MATCH($D241,球隊主檔!$A$2:$A$31,0))</f>
        <v>匹茲堡海盜</v>
      </c>
      <c r="F241" s="10" t="str">
        <f aca="false">INDEX(球隊主檔!$D$2:$D$31,MATCH($D241,球隊主檔!$A$2:$A$31,0))</f>
        <v>國聯</v>
      </c>
      <c r="G241" s="7" t="s">
        <v>507</v>
      </c>
      <c r="H241" s="11" t="n">
        <f aca="false">INT((DATE($A241,7,1)-INDEX(球員主檔!$G$2:$G$749,MATCH($B241,球員主檔!$A$2:$A$749,0)))/365.25)</f>
        <v>26</v>
      </c>
      <c r="I241" s="12" t="n">
        <v>6</v>
      </c>
      <c r="J241" s="12" t="n">
        <v>5</v>
      </c>
      <c r="K241" s="12" t="n">
        <v>5</v>
      </c>
      <c r="L241" s="12" t="n">
        <v>22</v>
      </c>
      <c r="M241" s="12" t="n">
        <v>60</v>
      </c>
      <c r="N241" s="12" t="n">
        <v>0</v>
      </c>
      <c r="O241" s="12" t="n">
        <v>200</v>
      </c>
      <c r="P241" s="16" t="n">
        <f aca="false">O241/3</f>
        <v>66.6666666666667</v>
      </c>
      <c r="Q241" s="17" t="str">
        <f aca="false">INT(O241/3)&amp;"."&amp;MOD(O241,3)</f>
        <v>66.2</v>
      </c>
      <c r="R241" s="12" t="n">
        <v>48</v>
      </c>
      <c r="S241" s="12" t="n">
        <v>27</v>
      </c>
      <c r="T241" s="12" t="n">
        <v>24</v>
      </c>
      <c r="U241" s="12" t="n">
        <v>5</v>
      </c>
      <c r="V241" s="12" t="n">
        <v>20</v>
      </c>
      <c r="W241" s="12" t="n">
        <v>82</v>
      </c>
      <c r="X241" s="12" t="n">
        <v>1</v>
      </c>
      <c r="Y241" s="18" t="n">
        <f aca="false">IF(O241=0,0,T241*27/O241)</f>
        <v>3.24</v>
      </c>
      <c r="Z241" s="18" t="n">
        <f aca="false">IF(P241=0,0,(V241+R241)/P241)</f>
        <v>1.02</v>
      </c>
      <c r="AA241" s="18" t="n">
        <f aca="false">IF(O241=0,0,W241*27/O241)</f>
        <v>11.07</v>
      </c>
      <c r="AB241" s="18" t="n">
        <f aca="false">IF(O241=0,0,V241*27/O241)</f>
        <v>2.7</v>
      </c>
      <c r="AC241" s="18" t="n">
        <f aca="false">IF(V241=0,0,W241/V241)</f>
        <v>4.1</v>
      </c>
      <c r="AD241" s="18" t="n">
        <f aca="false">IF(P241=0,0,(13*U241+3*(V241+X241)-2*W241)/P241+INDEX(球季參數!$C$2:$C$4,MATCH($A241,球季參數!$A$2:$A$4,0)))</f>
        <v>2.59</v>
      </c>
      <c r="AE241" s="11" t="n">
        <f aca="false">IF(P241&gt;=INDEX(球季參數!$F$2:$F$4,MATCH($A241,球季參數!$A$2:$A$4,0)),1,0)</f>
        <v>0</v>
      </c>
    </row>
    <row r="242" customFormat="false" ht="15" hidden="false" customHeight="false" outlineLevel="0" collapsed="false">
      <c r="A242" s="5" t="n">
        <v>2024</v>
      </c>
      <c r="B242" s="7" t="s">
        <v>1457</v>
      </c>
      <c r="C242" s="10" t="str">
        <f aca="false">INDEX(球員主檔!$B$2:$B$749,MATCH($B242,球員主檔!$A$2:$A$749,0))</f>
        <v>Thiago Castellón</v>
      </c>
      <c r="D242" s="7" t="s">
        <v>442</v>
      </c>
      <c r="E242" s="10" t="str">
        <f aca="false">INDEX(球隊主檔!$C$2:$C$31,MATCH($D242,球隊主檔!$A$2:$A$31,0))</f>
        <v>聖路易紅雀</v>
      </c>
      <c r="F242" s="10" t="str">
        <f aca="false">INDEX(球隊主檔!$D$2:$D$31,MATCH($D242,球隊主檔!$A$2:$A$31,0))</f>
        <v>國聯</v>
      </c>
      <c r="G242" s="7" t="s">
        <v>496</v>
      </c>
      <c r="H242" s="11" t="n">
        <f aca="false">INT((DATE($A242,7,1)-INDEX(球員主檔!$G$2:$G$749,MATCH($B242,球員主檔!$A$2:$A$749,0)))/365.25)</f>
        <v>24</v>
      </c>
      <c r="I242" s="12" t="n">
        <v>8</v>
      </c>
      <c r="J242" s="12" t="n">
        <v>4</v>
      </c>
      <c r="K242" s="12" t="n">
        <v>0</v>
      </c>
      <c r="L242" s="12" t="n">
        <v>0</v>
      </c>
      <c r="M242" s="12" t="n">
        <v>18</v>
      </c>
      <c r="N242" s="12" t="n">
        <v>18</v>
      </c>
      <c r="O242" s="12" t="n">
        <v>296</v>
      </c>
      <c r="P242" s="16" t="n">
        <f aca="false">O242/3</f>
        <v>98.6666666666667</v>
      </c>
      <c r="Q242" s="17" t="str">
        <f aca="false">INT(O242/3)&amp;"."&amp;MOD(O242,3)</f>
        <v>98.2</v>
      </c>
      <c r="R242" s="12" t="n">
        <v>80</v>
      </c>
      <c r="S242" s="12" t="n">
        <v>42</v>
      </c>
      <c r="T242" s="12" t="n">
        <v>37</v>
      </c>
      <c r="U242" s="12" t="n">
        <v>9</v>
      </c>
      <c r="V242" s="12" t="n">
        <v>12</v>
      </c>
      <c r="W242" s="12" t="n">
        <v>120</v>
      </c>
      <c r="X242" s="12" t="n">
        <v>4</v>
      </c>
      <c r="Y242" s="18" t="n">
        <f aca="false">IF(O242=0,0,T242*27/O242)</f>
        <v>3.375</v>
      </c>
      <c r="Z242" s="18" t="n">
        <f aca="false">IF(P242=0,0,(V242+R242)/P242)</f>
        <v>0.932432432432432</v>
      </c>
      <c r="AA242" s="18" t="n">
        <f aca="false">IF(O242=0,0,W242*27/O242)</f>
        <v>10.9459459459459</v>
      </c>
      <c r="AB242" s="18" t="n">
        <f aca="false">IF(O242=0,0,V242*27/O242)</f>
        <v>1.09459459459459</v>
      </c>
      <c r="AC242" s="18" t="n">
        <f aca="false">IF(V242=0,0,W242/V242)</f>
        <v>10</v>
      </c>
      <c r="AD242" s="18" t="n">
        <f aca="false">IF(P242=0,0,(13*U242+3*(V242+X242)-2*W242)/P242+INDEX(球季參數!$C$2:$C$4,MATCH($A242,球季參數!$A$2:$A$4,0)))</f>
        <v>2.36986486486487</v>
      </c>
      <c r="AE242" s="11" t="n">
        <f aca="false">IF(P242&gt;=INDEX(球季參數!$F$2:$F$4,MATCH($A242,球季參數!$A$2:$A$4,0)),1,0)</f>
        <v>0</v>
      </c>
    </row>
    <row r="243" customFormat="false" ht="15" hidden="false" customHeight="false" outlineLevel="0" collapsed="false">
      <c r="A243" s="5" t="n">
        <v>2024</v>
      </c>
      <c r="B243" s="7" t="s">
        <v>1459</v>
      </c>
      <c r="C243" s="10" t="str">
        <f aca="false">INDEX(球員主檔!$B$2:$B$749,MATCH($B243,球員主檔!$A$2:$A$749,0))</f>
        <v>Ulises Hargreaves</v>
      </c>
      <c r="D243" s="7" t="s">
        <v>442</v>
      </c>
      <c r="E243" s="10" t="str">
        <f aca="false">INDEX(球隊主檔!$C$2:$C$31,MATCH($D243,球隊主檔!$A$2:$A$31,0))</f>
        <v>聖路易紅雀</v>
      </c>
      <c r="F243" s="10" t="str">
        <f aca="false">INDEX(球隊主檔!$D$2:$D$31,MATCH($D243,球隊主檔!$A$2:$A$31,0))</f>
        <v>國聯</v>
      </c>
      <c r="G243" s="7" t="s">
        <v>496</v>
      </c>
      <c r="H243" s="11" t="n">
        <f aca="false">INT((DATE($A243,7,1)-INDEX(球員主檔!$G$2:$G$749,MATCH($B243,球員主檔!$A$2:$A$749,0)))/365.25)</f>
        <v>33</v>
      </c>
      <c r="I243" s="12" t="n">
        <v>7</v>
      </c>
      <c r="J243" s="12" t="n">
        <v>8</v>
      </c>
      <c r="K243" s="12" t="n">
        <v>0</v>
      </c>
      <c r="L243" s="12" t="n">
        <v>0</v>
      </c>
      <c r="M243" s="12" t="n">
        <v>27</v>
      </c>
      <c r="N243" s="12" t="n">
        <v>27</v>
      </c>
      <c r="O243" s="12" t="n">
        <v>442</v>
      </c>
      <c r="P243" s="16" t="n">
        <f aca="false">O243/3</f>
        <v>147.333333333333</v>
      </c>
      <c r="Q243" s="17" t="str">
        <f aca="false">INT(O243/3)&amp;"."&amp;MOD(O243,3)</f>
        <v>147.1</v>
      </c>
      <c r="R243" s="12" t="n">
        <v>138</v>
      </c>
      <c r="S243" s="12" t="n">
        <v>87</v>
      </c>
      <c r="T243" s="12" t="n">
        <v>80</v>
      </c>
      <c r="U243" s="12" t="n">
        <v>28</v>
      </c>
      <c r="V243" s="12" t="n">
        <v>70</v>
      </c>
      <c r="W243" s="12" t="n">
        <v>155</v>
      </c>
      <c r="X243" s="12" t="n">
        <v>7</v>
      </c>
      <c r="Y243" s="18" t="n">
        <f aca="false">IF(O243=0,0,T243*27/O243)</f>
        <v>4.8868778280543</v>
      </c>
      <c r="Z243" s="18" t="n">
        <f aca="false">IF(P243=0,0,(V243+R243)/P243)</f>
        <v>1.41176470588235</v>
      </c>
      <c r="AA243" s="18" t="n">
        <f aca="false">IF(O243=0,0,W243*27/O243)</f>
        <v>9.4683257918552</v>
      </c>
      <c r="AB243" s="18" t="n">
        <f aca="false">IF(O243=0,0,V243*27/O243)</f>
        <v>4.27601809954751</v>
      </c>
      <c r="AC243" s="18" t="n">
        <f aca="false">IF(V243=0,0,W243/V243)</f>
        <v>2.21428571428571</v>
      </c>
      <c r="AD243" s="18" t="n">
        <f aca="false">IF(P243=0,0,(13*U243+3*(V243+X243)-2*W243)/P243+INDEX(球季參數!$C$2:$C$4,MATCH($A243,球季參數!$A$2:$A$4,0)))</f>
        <v>5.06438914027149</v>
      </c>
      <c r="AE243" s="11" t="n">
        <f aca="false">IF(P243&gt;=INDEX(球季參數!$F$2:$F$4,MATCH($A243,球季參數!$A$2:$A$4,0)),1,0)</f>
        <v>0</v>
      </c>
    </row>
    <row r="244" customFormat="false" ht="15" hidden="false" customHeight="false" outlineLevel="0" collapsed="false">
      <c r="A244" s="5" t="n">
        <v>2024</v>
      </c>
      <c r="B244" s="7" t="s">
        <v>1461</v>
      </c>
      <c r="C244" s="10" t="str">
        <f aca="false">INDEX(球員主檔!$B$2:$B$749,MATCH($B244,球員主檔!$A$2:$A$749,0))</f>
        <v>Ulises Garrity</v>
      </c>
      <c r="D244" s="7" t="s">
        <v>442</v>
      </c>
      <c r="E244" s="10" t="str">
        <f aca="false">INDEX(球隊主檔!$C$2:$C$31,MATCH($D244,球隊主檔!$A$2:$A$31,0))</f>
        <v>聖路易紅雀</v>
      </c>
      <c r="F244" s="10" t="str">
        <f aca="false">INDEX(球隊主檔!$D$2:$D$31,MATCH($D244,球隊主檔!$A$2:$A$31,0))</f>
        <v>國聯</v>
      </c>
      <c r="G244" s="7" t="s">
        <v>496</v>
      </c>
      <c r="H244" s="11" t="n">
        <f aca="false">INT((DATE($A244,7,1)-INDEX(球員主檔!$G$2:$G$749,MATCH($B244,球員主檔!$A$2:$A$749,0)))/365.25)</f>
        <v>33</v>
      </c>
      <c r="I244" s="12" t="n">
        <v>13</v>
      </c>
      <c r="J244" s="12" t="n">
        <v>11</v>
      </c>
      <c r="K244" s="12" t="n">
        <v>0</v>
      </c>
      <c r="L244" s="12" t="n">
        <v>0</v>
      </c>
      <c r="M244" s="12" t="n">
        <v>32</v>
      </c>
      <c r="N244" s="12" t="n">
        <v>32</v>
      </c>
      <c r="O244" s="12" t="n">
        <v>480</v>
      </c>
      <c r="P244" s="16" t="n">
        <f aca="false">O244/3</f>
        <v>160</v>
      </c>
      <c r="Q244" s="17" t="str">
        <f aca="false">INT(O244/3)&amp;"."&amp;MOD(O244,3)</f>
        <v>160.0</v>
      </c>
      <c r="R244" s="12" t="n">
        <v>144</v>
      </c>
      <c r="S244" s="12" t="n">
        <v>95</v>
      </c>
      <c r="T244" s="12" t="n">
        <v>86</v>
      </c>
      <c r="U244" s="12" t="n">
        <v>32</v>
      </c>
      <c r="V244" s="12" t="n">
        <v>78</v>
      </c>
      <c r="W244" s="12" t="n">
        <v>162</v>
      </c>
      <c r="X244" s="12" t="n">
        <v>3</v>
      </c>
      <c r="Y244" s="18" t="n">
        <f aca="false">IF(O244=0,0,T244*27/O244)</f>
        <v>4.8375</v>
      </c>
      <c r="Z244" s="18" t="n">
        <f aca="false">IF(P244=0,0,(V244+R244)/P244)</f>
        <v>1.3875</v>
      </c>
      <c r="AA244" s="18" t="n">
        <f aca="false">IF(O244=0,0,W244*27/O244)</f>
        <v>9.1125</v>
      </c>
      <c r="AB244" s="18" t="n">
        <f aca="false">IF(O244=0,0,V244*27/O244)</f>
        <v>4.3875</v>
      </c>
      <c r="AC244" s="18" t="n">
        <f aca="false">IF(V244=0,0,W244/V244)</f>
        <v>2.07692307692308</v>
      </c>
      <c r="AD244" s="18" t="n">
        <f aca="false">IF(P244=0,0,(13*U244+3*(V244+X244)-2*W244)/P244+INDEX(球季參數!$C$2:$C$4,MATCH($A244,球季參數!$A$2:$A$4,0)))</f>
        <v>5.22375</v>
      </c>
      <c r="AE244" s="11" t="n">
        <f aca="false">IF(P244&gt;=INDEX(球季參數!$F$2:$F$4,MATCH($A244,球季參數!$A$2:$A$4,0)),1,0)</f>
        <v>0</v>
      </c>
    </row>
    <row r="245" customFormat="false" ht="15" hidden="false" customHeight="false" outlineLevel="0" collapsed="false">
      <c r="A245" s="5" t="n">
        <v>2024</v>
      </c>
      <c r="B245" s="7" t="s">
        <v>1463</v>
      </c>
      <c r="C245" s="10" t="str">
        <f aca="false">INDEX(球員主檔!$B$2:$B$749,MATCH($B245,球員主檔!$A$2:$A$749,0))</f>
        <v>Dorian Rasmussen</v>
      </c>
      <c r="D245" s="7" t="s">
        <v>442</v>
      </c>
      <c r="E245" s="10" t="str">
        <f aca="false">INDEX(球隊主檔!$C$2:$C$31,MATCH($D245,球隊主檔!$A$2:$A$31,0))</f>
        <v>聖路易紅雀</v>
      </c>
      <c r="F245" s="10" t="str">
        <f aca="false">INDEX(球隊主檔!$D$2:$D$31,MATCH($D245,球隊主檔!$A$2:$A$31,0))</f>
        <v>國聯</v>
      </c>
      <c r="G245" s="7" t="s">
        <v>496</v>
      </c>
      <c r="H245" s="11" t="n">
        <f aca="false">INT((DATE($A245,7,1)-INDEX(球員主檔!$G$2:$G$749,MATCH($B245,球員主檔!$A$2:$A$749,0)))/365.25)</f>
        <v>26</v>
      </c>
      <c r="I245" s="12" t="n">
        <v>13</v>
      </c>
      <c r="J245" s="12" t="n">
        <v>4</v>
      </c>
      <c r="K245" s="12" t="n">
        <v>0</v>
      </c>
      <c r="L245" s="12" t="n">
        <v>0</v>
      </c>
      <c r="M245" s="12" t="n">
        <v>26</v>
      </c>
      <c r="N245" s="12" t="n">
        <v>26</v>
      </c>
      <c r="O245" s="12" t="n">
        <v>411</v>
      </c>
      <c r="P245" s="16" t="n">
        <f aca="false">O245/3</f>
        <v>137</v>
      </c>
      <c r="Q245" s="17" t="str">
        <f aca="false">INT(O245/3)&amp;"."&amp;MOD(O245,3)</f>
        <v>137.0</v>
      </c>
      <c r="R245" s="12" t="n">
        <v>104</v>
      </c>
      <c r="S245" s="12" t="n">
        <v>50</v>
      </c>
      <c r="T245" s="12" t="n">
        <v>45</v>
      </c>
      <c r="U245" s="12" t="n">
        <v>14</v>
      </c>
      <c r="V245" s="12" t="n">
        <v>37</v>
      </c>
      <c r="W245" s="12" t="n">
        <v>135</v>
      </c>
      <c r="X245" s="12" t="n">
        <v>4</v>
      </c>
      <c r="Y245" s="18" t="n">
        <f aca="false">IF(O245=0,0,T245*27/O245)</f>
        <v>2.95620437956204</v>
      </c>
      <c r="Z245" s="18" t="n">
        <f aca="false">IF(P245=0,0,(V245+R245)/P245)</f>
        <v>1.02919708029197</v>
      </c>
      <c r="AA245" s="18" t="n">
        <f aca="false">IF(O245=0,0,W245*27/O245)</f>
        <v>8.86861313868613</v>
      </c>
      <c r="AB245" s="18" t="n">
        <f aca="false">IF(O245=0,0,V245*27/O245)</f>
        <v>2.43065693430657</v>
      </c>
      <c r="AC245" s="18" t="n">
        <f aca="false">IF(V245=0,0,W245/V245)</f>
        <v>3.64864864864865</v>
      </c>
      <c r="AD245" s="18" t="n">
        <f aca="false">IF(P245=0,0,(13*U245+3*(V245+X245)-2*W245)/P245+INDEX(球季參數!$C$2:$C$4,MATCH($A245,球季參數!$A$2:$A$4,0)))</f>
        <v>3.38547445255474</v>
      </c>
      <c r="AE245" s="11" t="n">
        <f aca="false">IF(P245&gt;=INDEX(球季參數!$F$2:$F$4,MATCH($A245,球季參數!$A$2:$A$4,0)),1,0)</f>
        <v>0</v>
      </c>
    </row>
    <row r="246" customFormat="false" ht="15" hidden="false" customHeight="false" outlineLevel="0" collapsed="false">
      <c r="A246" s="5" t="n">
        <v>2024</v>
      </c>
      <c r="B246" s="7" t="s">
        <v>1465</v>
      </c>
      <c r="C246" s="10" t="str">
        <f aca="false">INDEX(球員主檔!$B$2:$B$749,MATCH($B246,球員主檔!$A$2:$A$749,0))</f>
        <v>Minjae Stroheim</v>
      </c>
      <c r="D246" s="7" t="s">
        <v>442</v>
      </c>
      <c r="E246" s="10" t="str">
        <f aca="false">INDEX(球隊主檔!$C$2:$C$31,MATCH($D246,球隊主檔!$A$2:$A$31,0))</f>
        <v>聖路易紅雀</v>
      </c>
      <c r="F246" s="10" t="str">
        <f aca="false">INDEX(球隊主檔!$D$2:$D$31,MATCH($D246,球隊主檔!$A$2:$A$31,0))</f>
        <v>國聯</v>
      </c>
      <c r="G246" s="7" t="s">
        <v>496</v>
      </c>
      <c r="H246" s="11" t="n">
        <f aca="false">INT((DATE($A246,7,1)-INDEX(球員主檔!$G$2:$G$749,MATCH($B246,球員主檔!$A$2:$A$749,0)))/365.25)</f>
        <v>29</v>
      </c>
      <c r="I246" s="12" t="n">
        <v>13</v>
      </c>
      <c r="J246" s="12" t="n">
        <v>5</v>
      </c>
      <c r="K246" s="12" t="n">
        <v>0</v>
      </c>
      <c r="L246" s="12" t="n">
        <v>0</v>
      </c>
      <c r="M246" s="12" t="n">
        <v>33</v>
      </c>
      <c r="N246" s="12" t="n">
        <v>33</v>
      </c>
      <c r="O246" s="12" t="n">
        <v>526</v>
      </c>
      <c r="P246" s="16" t="n">
        <f aca="false">O246/3</f>
        <v>175.333333333333</v>
      </c>
      <c r="Q246" s="17" t="str">
        <f aca="false">INT(O246/3)&amp;"."&amp;MOD(O246,3)</f>
        <v>175.1</v>
      </c>
      <c r="R246" s="12" t="n">
        <v>137</v>
      </c>
      <c r="S246" s="12" t="n">
        <v>74</v>
      </c>
      <c r="T246" s="12" t="n">
        <v>68</v>
      </c>
      <c r="U246" s="12" t="n">
        <v>20</v>
      </c>
      <c r="V246" s="12" t="n">
        <v>48</v>
      </c>
      <c r="W246" s="12" t="n">
        <v>225</v>
      </c>
      <c r="X246" s="12" t="n">
        <v>6</v>
      </c>
      <c r="Y246" s="18" t="n">
        <f aca="false">IF(O246=0,0,T246*27/O246)</f>
        <v>3.49049429657795</v>
      </c>
      <c r="Z246" s="18" t="n">
        <f aca="false">IF(P246=0,0,(V246+R246)/P246)</f>
        <v>1.05513307984791</v>
      </c>
      <c r="AA246" s="18" t="n">
        <f aca="false">IF(O246=0,0,W246*27/O246)</f>
        <v>11.5494296577947</v>
      </c>
      <c r="AB246" s="18" t="n">
        <f aca="false">IF(O246=0,0,V246*27/O246)</f>
        <v>2.4638783269962</v>
      </c>
      <c r="AC246" s="18" t="n">
        <f aca="false">IF(V246=0,0,W246/V246)</f>
        <v>4.6875</v>
      </c>
      <c r="AD246" s="18" t="n">
        <f aca="false">IF(P246=0,0,(13*U246+3*(V246+X246)-2*W246)/P246+INDEX(球季參數!$C$2:$C$4,MATCH($A246,球季參數!$A$2:$A$4,0)))</f>
        <v>2.97030418250951</v>
      </c>
      <c r="AE246" s="11" t="n">
        <f aca="false">IF(P246&gt;=INDEX(球季參數!$F$2:$F$4,MATCH($A246,球季參數!$A$2:$A$4,0)),1,0)</f>
        <v>1</v>
      </c>
    </row>
    <row r="247" customFormat="false" ht="15" hidden="false" customHeight="false" outlineLevel="0" collapsed="false">
      <c r="A247" s="5" t="n">
        <v>2024</v>
      </c>
      <c r="B247" s="7" t="s">
        <v>1467</v>
      </c>
      <c r="C247" s="10" t="str">
        <f aca="false">INDEX(球員主檔!$B$2:$B$749,MATCH($B247,球員主檔!$A$2:$A$749,0))</f>
        <v>Augustin Mbeki</v>
      </c>
      <c r="D247" s="7" t="s">
        <v>442</v>
      </c>
      <c r="E247" s="10" t="str">
        <f aca="false">INDEX(球隊主檔!$C$2:$C$31,MATCH($D247,球隊主檔!$A$2:$A$31,0))</f>
        <v>聖路易紅雀</v>
      </c>
      <c r="F247" s="10" t="str">
        <f aca="false">INDEX(球隊主檔!$D$2:$D$31,MATCH($D247,球隊主檔!$A$2:$A$31,0))</f>
        <v>國聯</v>
      </c>
      <c r="G247" s="7" t="s">
        <v>507</v>
      </c>
      <c r="H247" s="11" t="n">
        <f aca="false">INT((DATE($A247,7,1)-INDEX(球員主檔!$G$2:$G$749,MATCH($B247,球員主檔!$A$2:$A$749,0)))/365.25)</f>
        <v>27</v>
      </c>
      <c r="I247" s="12" t="n">
        <v>8</v>
      </c>
      <c r="J247" s="12" t="n">
        <v>4</v>
      </c>
      <c r="K247" s="12" t="n">
        <v>1</v>
      </c>
      <c r="L247" s="12" t="n">
        <v>7</v>
      </c>
      <c r="M247" s="12" t="n">
        <v>55</v>
      </c>
      <c r="N247" s="12" t="n">
        <v>0</v>
      </c>
      <c r="O247" s="12" t="n">
        <v>169</v>
      </c>
      <c r="P247" s="16" t="n">
        <f aca="false">O247/3</f>
        <v>56.3333333333333</v>
      </c>
      <c r="Q247" s="17" t="str">
        <f aca="false">INT(O247/3)&amp;"."&amp;MOD(O247,3)</f>
        <v>56.1</v>
      </c>
      <c r="R247" s="12" t="n">
        <v>59</v>
      </c>
      <c r="S247" s="12" t="n">
        <v>43</v>
      </c>
      <c r="T247" s="12" t="n">
        <v>40</v>
      </c>
      <c r="U247" s="12" t="n">
        <v>8</v>
      </c>
      <c r="V247" s="12" t="n">
        <v>22</v>
      </c>
      <c r="W247" s="12" t="n">
        <v>71</v>
      </c>
      <c r="X247" s="12" t="n">
        <v>1</v>
      </c>
      <c r="Y247" s="18" t="n">
        <f aca="false">IF(O247=0,0,T247*27/O247)</f>
        <v>6.3905325443787</v>
      </c>
      <c r="Z247" s="18" t="n">
        <f aca="false">IF(P247=0,0,(V247+R247)/P247)</f>
        <v>1.43786982248521</v>
      </c>
      <c r="AA247" s="18" t="n">
        <f aca="false">IF(O247=0,0,W247*27/O247)</f>
        <v>11.3431952662722</v>
      </c>
      <c r="AB247" s="18" t="n">
        <f aca="false">IF(O247=0,0,V247*27/O247)</f>
        <v>3.51479289940828</v>
      </c>
      <c r="AC247" s="18" t="n">
        <f aca="false">IF(V247=0,0,W247/V247)</f>
        <v>3.22727272727273</v>
      </c>
      <c r="AD247" s="18" t="n">
        <f aca="false">IF(P247=0,0,(13*U247+3*(V247+X247)-2*W247)/P247+INDEX(球季參數!$C$2:$C$4,MATCH($A247,球季參數!$A$2:$A$4,0)))</f>
        <v>3.68029585798817</v>
      </c>
      <c r="AE247" s="11" t="n">
        <f aca="false">IF(P247&gt;=INDEX(球季參數!$F$2:$F$4,MATCH($A247,球季參數!$A$2:$A$4,0)),1,0)</f>
        <v>0</v>
      </c>
    </row>
    <row r="248" customFormat="false" ht="15" hidden="false" customHeight="false" outlineLevel="0" collapsed="false">
      <c r="A248" s="5" t="n">
        <v>2024</v>
      </c>
      <c r="B248" s="7" t="s">
        <v>1469</v>
      </c>
      <c r="C248" s="10" t="str">
        <f aca="false">INDEX(球員主檔!$B$2:$B$749,MATCH($B248,球員主檔!$A$2:$A$749,0))</f>
        <v>Barrett Engelhardt</v>
      </c>
      <c r="D248" s="7" t="s">
        <v>442</v>
      </c>
      <c r="E248" s="10" t="str">
        <f aca="false">INDEX(球隊主檔!$C$2:$C$31,MATCH($D248,球隊主檔!$A$2:$A$31,0))</f>
        <v>聖路易紅雀</v>
      </c>
      <c r="F248" s="10" t="str">
        <f aca="false">INDEX(球隊主檔!$D$2:$D$31,MATCH($D248,球隊主檔!$A$2:$A$31,0))</f>
        <v>國聯</v>
      </c>
      <c r="G248" s="7" t="s">
        <v>507</v>
      </c>
      <c r="H248" s="11" t="n">
        <f aca="false">INT((DATE($A248,7,1)-INDEX(球員主檔!$G$2:$G$749,MATCH($B248,球員主檔!$A$2:$A$749,0)))/365.25)</f>
        <v>27</v>
      </c>
      <c r="I248" s="12" t="n">
        <v>4</v>
      </c>
      <c r="J248" s="12" t="n">
        <v>0</v>
      </c>
      <c r="K248" s="12" t="n">
        <v>2</v>
      </c>
      <c r="L248" s="12" t="n">
        <v>32</v>
      </c>
      <c r="M248" s="12" t="n">
        <v>43</v>
      </c>
      <c r="N248" s="12" t="n">
        <v>0</v>
      </c>
      <c r="O248" s="12" t="n">
        <v>126</v>
      </c>
      <c r="P248" s="16" t="n">
        <f aca="false">O248/3</f>
        <v>42</v>
      </c>
      <c r="Q248" s="17" t="str">
        <f aca="false">INT(O248/3)&amp;"."&amp;MOD(O248,3)</f>
        <v>42.0</v>
      </c>
      <c r="R248" s="12" t="n">
        <v>35</v>
      </c>
      <c r="S248" s="12" t="n">
        <v>22</v>
      </c>
      <c r="T248" s="12" t="n">
        <v>21</v>
      </c>
      <c r="U248" s="12" t="n">
        <v>4</v>
      </c>
      <c r="V248" s="12" t="n">
        <v>12</v>
      </c>
      <c r="W248" s="12" t="n">
        <v>58</v>
      </c>
      <c r="X248" s="12" t="n">
        <v>2</v>
      </c>
      <c r="Y248" s="18" t="n">
        <f aca="false">IF(O248=0,0,T248*27/O248)</f>
        <v>4.5</v>
      </c>
      <c r="Z248" s="18" t="n">
        <f aca="false">IF(P248=0,0,(V248+R248)/P248)</f>
        <v>1.11904761904762</v>
      </c>
      <c r="AA248" s="18" t="n">
        <f aca="false">IF(O248=0,0,W248*27/O248)</f>
        <v>12.4285714285714</v>
      </c>
      <c r="AB248" s="18" t="n">
        <f aca="false">IF(O248=0,0,V248*27/O248)</f>
        <v>2.57142857142857</v>
      </c>
      <c r="AC248" s="18" t="n">
        <f aca="false">IF(V248=0,0,W248/V248)</f>
        <v>4.83333333333333</v>
      </c>
      <c r="AD248" s="18" t="n">
        <f aca="false">IF(P248=0,0,(13*U248+3*(V248+X248)-2*W248)/P248+INDEX(球季參數!$C$2:$C$4,MATCH($A248,球季參數!$A$2:$A$4,0)))</f>
        <v>2.60619047619048</v>
      </c>
      <c r="AE248" s="11" t="n">
        <f aca="false">IF(P248&gt;=INDEX(球季參數!$F$2:$F$4,MATCH($A248,球季參數!$A$2:$A$4,0)),1,0)</f>
        <v>0</v>
      </c>
    </row>
    <row r="249" customFormat="false" ht="15" hidden="false" customHeight="false" outlineLevel="0" collapsed="false">
      <c r="A249" s="5" t="n">
        <v>2024</v>
      </c>
      <c r="B249" s="7" t="s">
        <v>1471</v>
      </c>
      <c r="C249" s="10" t="str">
        <f aca="false">INDEX(球員主檔!$B$2:$B$749,MATCH($B249,球員主檔!$A$2:$A$749,0))</f>
        <v>Caspian Zielinski</v>
      </c>
      <c r="D249" s="7" t="s">
        <v>442</v>
      </c>
      <c r="E249" s="10" t="str">
        <f aca="false">INDEX(球隊主檔!$C$2:$C$31,MATCH($D249,球隊主檔!$A$2:$A$31,0))</f>
        <v>聖路易紅雀</v>
      </c>
      <c r="F249" s="10" t="str">
        <f aca="false">INDEX(球隊主檔!$D$2:$D$31,MATCH($D249,球隊主檔!$A$2:$A$31,0))</f>
        <v>國聯</v>
      </c>
      <c r="G249" s="7" t="s">
        <v>507</v>
      </c>
      <c r="H249" s="11" t="n">
        <f aca="false">INT((DATE($A249,7,1)-INDEX(球員主檔!$G$2:$G$749,MATCH($B249,球員主檔!$A$2:$A$749,0)))/365.25)</f>
        <v>26</v>
      </c>
      <c r="I249" s="12" t="n">
        <v>5</v>
      </c>
      <c r="J249" s="12" t="n">
        <v>4</v>
      </c>
      <c r="K249" s="12" t="n">
        <v>1</v>
      </c>
      <c r="L249" s="12" t="n">
        <v>17</v>
      </c>
      <c r="M249" s="12" t="n">
        <v>41</v>
      </c>
      <c r="N249" s="12" t="n">
        <v>0</v>
      </c>
      <c r="O249" s="12" t="n">
        <v>126</v>
      </c>
      <c r="P249" s="16" t="n">
        <f aca="false">O249/3</f>
        <v>42</v>
      </c>
      <c r="Q249" s="17" t="str">
        <f aca="false">INT(O249/3)&amp;"."&amp;MOD(O249,3)</f>
        <v>42.0</v>
      </c>
      <c r="R249" s="12" t="n">
        <v>28</v>
      </c>
      <c r="S249" s="12" t="n">
        <v>13</v>
      </c>
      <c r="T249" s="12" t="n">
        <v>13</v>
      </c>
      <c r="U249" s="12" t="n">
        <v>6</v>
      </c>
      <c r="V249" s="12" t="n">
        <v>18</v>
      </c>
      <c r="W249" s="12" t="n">
        <v>43</v>
      </c>
      <c r="X249" s="12" t="n">
        <v>1</v>
      </c>
      <c r="Y249" s="18" t="n">
        <f aca="false">IF(O249=0,0,T249*27/O249)</f>
        <v>2.78571428571429</v>
      </c>
      <c r="Z249" s="18" t="n">
        <f aca="false">IF(P249=0,0,(V249+R249)/P249)</f>
        <v>1.0952380952381</v>
      </c>
      <c r="AA249" s="18" t="n">
        <f aca="false">IF(O249=0,0,W249*27/O249)</f>
        <v>9.21428571428571</v>
      </c>
      <c r="AB249" s="18" t="n">
        <f aca="false">IF(O249=0,0,V249*27/O249)</f>
        <v>3.85714285714286</v>
      </c>
      <c r="AC249" s="18" t="n">
        <f aca="false">IF(V249=0,0,W249/V249)</f>
        <v>2.38888888888889</v>
      </c>
      <c r="AD249" s="18" t="n">
        <f aca="false">IF(P249=0,0,(13*U249+3*(V249+X249)-2*W249)/P249+INDEX(球季參數!$C$2:$C$4,MATCH($A249,球季參數!$A$2:$A$4,0)))</f>
        <v>4.29666666666667</v>
      </c>
      <c r="AE249" s="11" t="n">
        <f aca="false">IF(P249&gt;=INDEX(球季參數!$F$2:$F$4,MATCH($A249,球季參數!$A$2:$A$4,0)),1,0)</f>
        <v>0</v>
      </c>
    </row>
    <row r="250" customFormat="false" ht="15" hidden="false" customHeight="false" outlineLevel="0" collapsed="false">
      <c r="A250" s="5" t="n">
        <v>2024</v>
      </c>
      <c r="B250" s="7" t="s">
        <v>1473</v>
      </c>
      <c r="C250" s="10" t="str">
        <f aca="false">INDEX(球員主檔!$B$2:$B$749,MATCH($B250,球員主檔!$A$2:$A$749,0))</f>
        <v>Nolan Prendergast</v>
      </c>
      <c r="D250" s="7" t="s">
        <v>442</v>
      </c>
      <c r="E250" s="10" t="str">
        <f aca="false">INDEX(球隊主檔!$C$2:$C$31,MATCH($D250,球隊主檔!$A$2:$A$31,0))</f>
        <v>聖路易紅雀</v>
      </c>
      <c r="F250" s="10" t="str">
        <f aca="false">INDEX(球隊主檔!$D$2:$D$31,MATCH($D250,球隊主檔!$A$2:$A$31,0))</f>
        <v>國聯</v>
      </c>
      <c r="G250" s="7" t="s">
        <v>507</v>
      </c>
      <c r="H250" s="11" t="n">
        <f aca="false">INT((DATE($A250,7,1)-INDEX(球員主檔!$G$2:$G$749,MATCH($B250,球員主檔!$A$2:$A$749,0)))/365.25)</f>
        <v>25</v>
      </c>
      <c r="I250" s="12" t="n">
        <v>5</v>
      </c>
      <c r="J250" s="12" t="n">
        <v>7</v>
      </c>
      <c r="K250" s="12" t="n">
        <v>1</v>
      </c>
      <c r="L250" s="12" t="n">
        <v>24</v>
      </c>
      <c r="M250" s="12" t="n">
        <v>62</v>
      </c>
      <c r="N250" s="12" t="n">
        <v>0</v>
      </c>
      <c r="O250" s="12" t="n">
        <v>168</v>
      </c>
      <c r="P250" s="16" t="n">
        <f aca="false">O250/3</f>
        <v>56</v>
      </c>
      <c r="Q250" s="17" t="str">
        <f aca="false">INT(O250/3)&amp;"."&amp;MOD(O250,3)</f>
        <v>56.0</v>
      </c>
      <c r="R250" s="12" t="n">
        <v>45</v>
      </c>
      <c r="S250" s="12" t="n">
        <v>30</v>
      </c>
      <c r="T250" s="12" t="n">
        <v>27</v>
      </c>
      <c r="U250" s="12" t="n">
        <v>10</v>
      </c>
      <c r="V250" s="12" t="n">
        <v>23</v>
      </c>
      <c r="W250" s="12" t="n">
        <v>63</v>
      </c>
      <c r="X250" s="12" t="n">
        <v>1</v>
      </c>
      <c r="Y250" s="18" t="n">
        <f aca="false">IF(O250=0,0,T250*27/O250)</f>
        <v>4.33928571428571</v>
      </c>
      <c r="Z250" s="18" t="n">
        <f aca="false">IF(P250=0,0,(V250+R250)/P250)</f>
        <v>1.21428571428571</v>
      </c>
      <c r="AA250" s="18" t="n">
        <f aca="false">IF(O250=0,0,W250*27/O250)</f>
        <v>10.125</v>
      </c>
      <c r="AB250" s="18" t="n">
        <f aca="false">IF(O250=0,0,V250*27/O250)</f>
        <v>3.69642857142857</v>
      </c>
      <c r="AC250" s="18" t="n">
        <f aca="false">IF(V250=0,0,W250/V250)</f>
        <v>2.73913043478261</v>
      </c>
      <c r="AD250" s="18" t="n">
        <f aca="false">IF(P250=0,0,(13*U250+3*(V250+X250)-2*W250)/P250+INDEX(球季參數!$C$2:$C$4,MATCH($A250,球季參數!$A$2:$A$4,0)))</f>
        <v>4.48714285714286</v>
      </c>
      <c r="AE250" s="11" t="n">
        <f aca="false">IF(P250&gt;=INDEX(球季參數!$F$2:$F$4,MATCH($A250,球季參數!$A$2:$A$4,0)),1,0)</f>
        <v>0</v>
      </c>
    </row>
    <row r="251" customFormat="false" ht="15" hidden="false" customHeight="false" outlineLevel="0" collapsed="false">
      <c r="A251" s="5" t="n">
        <v>2024</v>
      </c>
      <c r="B251" s="7" t="s">
        <v>1475</v>
      </c>
      <c r="C251" s="10" t="str">
        <f aca="false">INDEX(球員主檔!$B$2:$B$749,MATCH($B251,球員主檔!$A$2:$A$749,0))</f>
        <v>Quentin Yoshinaga</v>
      </c>
      <c r="D251" s="7" t="s">
        <v>442</v>
      </c>
      <c r="E251" s="10" t="str">
        <f aca="false">INDEX(球隊主檔!$C$2:$C$31,MATCH($D251,球隊主檔!$A$2:$A$31,0))</f>
        <v>聖路易紅雀</v>
      </c>
      <c r="F251" s="10" t="str">
        <f aca="false">INDEX(球隊主檔!$D$2:$D$31,MATCH($D251,球隊主檔!$A$2:$A$31,0))</f>
        <v>國聯</v>
      </c>
      <c r="G251" s="7" t="s">
        <v>507</v>
      </c>
      <c r="H251" s="11" t="n">
        <f aca="false">INT((DATE($A251,7,1)-INDEX(球員主檔!$G$2:$G$749,MATCH($B251,球員主檔!$A$2:$A$749,0)))/365.25)</f>
        <v>32</v>
      </c>
      <c r="I251" s="12" t="n">
        <v>9</v>
      </c>
      <c r="J251" s="12" t="n">
        <v>7</v>
      </c>
      <c r="K251" s="12" t="n">
        <v>6</v>
      </c>
      <c r="L251" s="12" t="n">
        <v>3</v>
      </c>
      <c r="M251" s="12" t="n">
        <v>57</v>
      </c>
      <c r="N251" s="12" t="n">
        <v>0</v>
      </c>
      <c r="O251" s="12" t="n">
        <v>152</v>
      </c>
      <c r="P251" s="16" t="n">
        <f aca="false">O251/3</f>
        <v>50.6666666666667</v>
      </c>
      <c r="Q251" s="17" t="str">
        <f aca="false">INT(O251/3)&amp;"."&amp;MOD(O251,3)</f>
        <v>50.2</v>
      </c>
      <c r="R251" s="12" t="n">
        <v>44</v>
      </c>
      <c r="S251" s="12" t="n">
        <v>24</v>
      </c>
      <c r="T251" s="12" t="n">
        <v>23</v>
      </c>
      <c r="U251" s="12" t="n">
        <v>5</v>
      </c>
      <c r="V251" s="12" t="n">
        <v>17</v>
      </c>
      <c r="W251" s="12" t="n">
        <v>61</v>
      </c>
      <c r="X251" s="12" t="n">
        <v>1</v>
      </c>
      <c r="Y251" s="18" t="n">
        <f aca="false">IF(O251=0,0,T251*27/O251)</f>
        <v>4.08552631578947</v>
      </c>
      <c r="Z251" s="18" t="n">
        <f aca="false">IF(P251=0,0,(V251+R251)/P251)</f>
        <v>1.20394736842105</v>
      </c>
      <c r="AA251" s="18" t="n">
        <f aca="false">IF(O251=0,0,W251*27/O251)</f>
        <v>10.8355263157895</v>
      </c>
      <c r="AB251" s="18" t="n">
        <f aca="false">IF(O251=0,0,V251*27/O251)</f>
        <v>3.01973684210526</v>
      </c>
      <c r="AC251" s="18" t="n">
        <f aca="false">IF(V251=0,0,W251/V251)</f>
        <v>3.58823529411765</v>
      </c>
      <c r="AD251" s="18" t="n">
        <f aca="false">IF(P251=0,0,(13*U251+3*(V251+X251)-2*W251)/P251+INDEX(球季參數!$C$2:$C$4,MATCH($A251,球季參數!$A$2:$A$4,0)))</f>
        <v>3.07078947368421</v>
      </c>
      <c r="AE251" s="11" t="n">
        <f aca="false">IF(P251&gt;=INDEX(球季參數!$F$2:$F$4,MATCH($A251,球季參數!$A$2:$A$4,0)),1,0)</f>
        <v>0</v>
      </c>
    </row>
    <row r="252" customFormat="false" ht="15" hidden="false" customHeight="false" outlineLevel="0" collapsed="false">
      <c r="A252" s="5" t="n">
        <v>2024</v>
      </c>
      <c r="B252" s="7" t="s">
        <v>1497</v>
      </c>
      <c r="C252" s="10" t="str">
        <f aca="false">INDEX(球員主檔!$B$2:$B$749,MATCH($B252,球員主檔!$A$2:$A$749,0))</f>
        <v>Ulises Nakagawa</v>
      </c>
      <c r="D252" s="7" t="s">
        <v>446</v>
      </c>
      <c r="E252" s="10" t="str">
        <f aca="false">INDEX(球隊主檔!$C$2:$C$31,MATCH($D252,球隊主檔!$A$2:$A$31,0))</f>
        <v>亞利桑那響尾蛇</v>
      </c>
      <c r="F252" s="10" t="str">
        <f aca="false">INDEX(球隊主檔!$D$2:$D$31,MATCH($D252,球隊主檔!$A$2:$A$31,0))</f>
        <v>國聯</v>
      </c>
      <c r="G252" s="7" t="s">
        <v>496</v>
      </c>
      <c r="H252" s="11" t="n">
        <f aca="false">INT((DATE($A252,7,1)-INDEX(球員主檔!$G$2:$G$749,MATCH($B252,球員主檔!$A$2:$A$749,0)))/365.25)</f>
        <v>23</v>
      </c>
      <c r="I252" s="12" t="n">
        <v>13</v>
      </c>
      <c r="J252" s="12" t="n">
        <v>6</v>
      </c>
      <c r="K252" s="12" t="n">
        <v>0</v>
      </c>
      <c r="L252" s="12" t="n">
        <v>0</v>
      </c>
      <c r="M252" s="12" t="n">
        <v>25</v>
      </c>
      <c r="N252" s="12" t="n">
        <v>25</v>
      </c>
      <c r="O252" s="12" t="n">
        <v>384</v>
      </c>
      <c r="P252" s="16" t="n">
        <f aca="false">O252/3</f>
        <v>128</v>
      </c>
      <c r="Q252" s="17" t="str">
        <f aca="false">INT(O252/3)&amp;"."&amp;MOD(O252,3)</f>
        <v>128.0</v>
      </c>
      <c r="R252" s="12" t="n">
        <v>107</v>
      </c>
      <c r="S252" s="12" t="n">
        <v>57</v>
      </c>
      <c r="T252" s="12" t="n">
        <v>56</v>
      </c>
      <c r="U252" s="12" t="n">
        <v>20</v>
      </c>
      <c r="V252" s="12" t="n">
        <v>44</v>
      </c>
      <c r="W252" s="12" t="n">
        <v>162</v>
      </c>
      <c r="X252" s="12" t="n">
        <v>3</v>
      </c>
      <c r="Y252" s="18" t="n">
        <f aca="false">IF(O252=0,0,T252*27/O252)</f>
        <v>3.9375</v>
      </c>
      <c r="Z252" s="18" t="n">
        <f aca="false">IF(P252=0,0,(V252+R252)/P252)</f>
        <v>1.1796875</v>
      </c>
      <c r="AA252" s="18" t="n">
        <f aca="false">IF(O252=0,0,W252*27/O252)</f>
        <v>11.390625</v>
      </c>
      <c r="AB252" s="18" t="n">
        <f aca="false">IF(O252=0,0,V252*27/O252)</f>
        <v>3.09375</v>
      </c>
      <c r="AC252" s="18" t="n">
        <f aca="false">IF(V252=0,0,W252/V252)</f>
        <v>3.68181818181818</v>
      </c>
      <c r="AD252" s="18" t="n">
        <f aca="false">IF(P252=0,0,(13*U252+3*(V252+X252)-2*W252)/P252+INDEX(球季參數!$C$2:$C$4,MATCH($A252,球季參數!$A$2:$A$4,0)))</f>
        <v>3.7315625</v>
      </c>
      <c r="AE252" s="11" t="n">
        <f aca="false">IF(P252&gt;=INDEX(球季參數!$F$2:$F$4,MATCH($A252,球季參數!$A$2:$A$4,0)),1,0)</f>
        <v>0</v>
      </c>
    </row>
    <row r="253" customFormat="false" ht="15" hidden="false" customHeight="false" outlineLevel="0" collapsed="false">
      <c r="A253" s="5" t="n">
        <v>2024</v>
      </c>
      <c r="B253" s="7" t="s">
        <v>1499</v>
      </c>
      <c r="C253" s="10" t="str">
        <f aca="false">INDEX(球員主檔!$B$2:$B$749,MATCH($B253,球員主檔!$A$2:$A$749,0))</f>
        <v>Oakley Sorrentino</v>
      </c>
      <c r="D253" s="7" t="s">
        <v>446</v>
      </c>
      <c r="E253" s="10" t="str">
        <f aca="false">INDEX(球隊主檔!$C$2:$C$31,MATCH($D253,球隊主檔!$A$2:$A$31,0))</f>
        <v>亞利桑那響尾蛇</v>
      </c>
      <c r="F253" s="10" t="str">
        <f aca="false">INDEX(球隊主檔!$D$2:$D$31,MATCH($D253,球隊主檔!$A$2:$A$31,0))</f>
        <v>國聯</v>
      </c>
      <c r="G253" s="7" t="s">
        <v>496</v>
      </c>
      <c r="H253" s="11" t="n">
        <f aca="false">INT((DATE($A253,7,1)-INDEX(球員主檔!$G$2:$G$749,MATCH($B253,球員主檔!$A$2:$A$749,0)))/365.25)</f>
        <v>35</v>
      </c>
      <c r="I253" s="12" t="n">
        <v>2</v>
      </c>
      <c r="J253" s="12" t="n">
        <v>7</v>
      </c>
      <c r="K253" s="12" t="n">
        <v>0</v>
      </c>
      <c r="L253" s="12" t="n">
        <v>0</v>
      </c>
      <c r="M253" s="12" t="n">
        <v>16</v>
      </c>
      <c r="N253" s="12" t="n">
        <v>16</v>
      </c>
      <c r="O253" s="12" t="n">
        <v>287</v>
      </c>
      <c r="P253" s="16" t="n">
        <f aca="false">O253/3</f>
        <v>95.6666666666667</v>
      </c>
      <c r="Q253" s="17" t="str">
        <f aca="false">INT(O253/3)&amp;"."&amp;MOD(O253,3)</f>
        <v>95.2</v>
      </c>
      <c r="R253" s="12" t="n">
        <v>114</v>
      </c>
      <c r="S253" s="12" t="n">
        <v>85</v>
      </c>
      <c r="T253" s="12" t="n">
        <v>85</v>
      </c>
      <c r="U253" s="12" t="n">
        <v>11</v>
      </c>
      <c r="V253" s="12" t="n">
        <v>35</v>
      </c>
      <c r="W253" s="12" t="n">
        <v>57</v>
      </c>
      <c r="X253" s="12" t="n">
        <v>4</v>
      </c>
      <c r="Y253" s="18" t="n">
        <f aca="false">IF(O253=0,0,T253*27/O253)</f>
        <v>7.99651567944251</v>
      </c>
      <c r="Z253" s="18" t="n">
        <f aca="false">IF(P253=0,0,(V253+R253)/P253)</f>
        <v>1.55749128919861</v>
      </c>
      <c r="AA253" s="18" t="n">
        <f aca="false">IF(O253=0,0,W253*27/O253)</f>
        <v>5.36236933797909</v>
      </c>
      <c r="AB253" s="18" t="n">
        <f aca="false">IF(O253=0,0,V253*27/O253)</f>
        <v>3.29268292682927</v>
      </c>
      <c r="AC253" s="18" t="n">
        <f aca="false">IF(V253=0,0,W253/V253)</f>
        <v>1.62857142857143</v>
      </c>
      <c r="AD253" s="18" t="n">
        <f aca="false">IF(P253=0,0,(13*U253+3*(V253+X253)-2*W253)/P253+INDEX(球季參數!$C$2:$C$4,MATCH($A253,球季參數!$A$2:$A$4,0)))</f>
        <v>4.65613240418118</v>
      </c>
      <c r="AE253" s="11" t="n">
        <f aca="false">IF(P253&gt;=INDEX(球季參數!$F$2:$F$4,MATCH($A253,球季參數!$A$2:$A$4,0)),1,0)</f>
        <v>0</v>
      </c>
    </row>
    <row r="254" customFormat="false" ht="15" hidden="false" customHeight="false" outlineLevel="0" collapsed="false">
      <c r="A254" s="5" t="n">
        <v>2024</v>
      </c>
      <c r="B254" s="7" t="s">
        <v>1501</v>
      </c>
      <c r="C254" s="10" t="str">
        <f aca="false">INDEX(球員主檔!$B$2:$B$749,MATCH($B254,球員主檔!$A$2:$A$749,0))</f>
        <v>Percival Engelhardt</v>
      </c>
      <c r="D254" s="7" t="s">
        <v>446</v>
      </c>
      <c r="E254" s="10" t="str">
        <f aca="false">INDEX(球隊主檔!$C$2:$C$31,MATCH($D254,球隊主檔!$A$2:$A$31,0))</f>
        <v>亞利桑那響尾蛇</v>
      </c>
      <c r="F254" s="10" t="str">
        <f aca="false">INDEX(球隊主檔!$D$2:$D$31,MATCH($D254,球隊主檔!$A$2:$A$31,0))</f>
        <v>國聯</v>
      </c>
      <c r="G254" s="7" t="s">
        <v>496</v>
      </c>
      <c r="H254" s="11" t="n">
        <f aca="false">INT((DATE($A254,7,1)-INDEX(球員主檔!$G$2:$G$749,MATCH($B254,球員主檔!$A$2:$A$749,0)))/365.25)</f>
        <v>29</v>
      </c>
      <c r="I254" s="12" t="n">
        <v>13</v>
      </c>
      <c r="J254" s="12" t="n">
        <v>5</v>
      </c>
      <c r="K254" s="12" t="n">
        <v>0</v>
      </c>
      <c r="L254" s="12" t="n">
        <v>0</v>
      </c>
      <c r="M254" s="12" t="n">
        <v>25</v>
      </c>
      <c r="N254" s="12" t="n">
        <v>25</v>
      </c>
      <c r="O254" s="12" t="n">
        <v>470</v>
      </c>
      <c r="P254" s="16" t="n">
        <f aca="false">O254/3</f>
        <v>156.666666666667</v>
      </c>
      <c r="Q254" s="17" t="str">
        <f aca="false">INT(O254/3)&amp;"."&amp;MOD(O254,3)</f>
        <v>156.2</v>
      </c>
      <c r="R254" s="12" t="n">
        <v>124</v>
      </c>
      <c r="S254" s="12" t="n">
        <v>61</v>
      </c>
      <c r="T254" s="12" t="n">
        <v>55</v>
      </c>
      <c r="U254" s="12" t="n">
        <v>18</v>
      </c>
      <c r="V254" s="12" t="n">
        <v>53</v>
      </c>
      <c r="W254" s="12" t="n">
        <v>203</v>
      </c>
      <c r="X254" s="12" t="n">
        <v>8</v>
      </c>
      <c r="Y254" s="18" t="n">
        <f aca="false">IF(O254=0,0,T254*27/O254)</f>
        <v>3.15957446808511</v>
      </c>
      <c r="Z254" s="18" t="n">
        <f aca="false">IF(P254=0,0,(V254+R254)/P254)</f>
        <v>1.12978723404255</v>
      </c>
      <c r="AA254" s="18" t="n">
        <f aca="false">IF(O254=0,0,W254*27/O254)</f>
        <v>11.6617021276596</v>
      </c>
      <c r="AB254" s="18" t="n">
        <f aca="false">IF(O254=0,0,V254*27/O254)</f>
        <v>3.04468085106383</v>
      </c>
      <c r="AC254" s="18" t="n">
        <f aca="false">IF(V254=0,0,W254/V254)</f>
        <v>3.83018867924528</v>
      </c>
      <c r="AD254" s="18" t="n">
        <f aca="false">IF(P254=0,0,(13*U254+3*(V254+X254)-2*W254)/P254+INDEX(球季參數!$C$2:$C$4,MATCH($A254,球季參數!$A$2:$A$4,0)))</f>
        <v>3.20021276595745</v>
      </c>
      <c r="AE254" s="11" t="n">
        <f aca="false">IF(P254&gt;=INDEX(球季參數!$F$2:$F$4,MATCH($A254,球季參數!$A$2:$A$4,0)),1,0)</f>
        <v>0</v>
      </c>
    </row>
    <row r="255" customFormat="false" ht="15" hidden="false" customHeight="false" outlineLevel="0" collapsed="false">
      <c r="A255" s="5" t="n">
        <v>2024</v>
      </c>
      <c r="B255" s="7" t="s">
        <v>1503</v>
      </c>
      <c r="C255" s="10" t="str">
        <f aca="false">INDEX(球員主檔!$B$2:$B$749,MATCH($B255,球員主檔!$A$2:$A$749,0))</f>
        <v>Ignacio Jaramillo</v>
      </c>
      <c r="D255" s="7" t="s">
        <v>446</v>
      </c>
      <c r="E255" s="10" t="str">
        <f aca="false">INDEX(球隊主檔!$C$2:$C$31,MATCH($D255,球隊主檔!$A$2:$A$31,0))</f>
        <v>亞利桑那響尾蛇</v>
      </c>
      <c r="F255" s="10" t="str">
        <f aca="false">INDEX(球隊主檔!$D$2:$D$31,MATCH($D255,球隊主檔!$A$2:$A$31,0))</f>
        <v>國聯</v>
      </c>
      <c r="G255" s="7" t="s">
        <v>496</v>
      </c>
      <c r="H255" s="11" t="n">
        <f aca="false">INT((DATE($A255,7,1)-INDEX(球員主檔!$G$2:$G$749,MATCH($B255,球員主檔!$A$2:$A$749,0)))/365.25)</f>
        <v>25</v>
      </c>
      <c r="I255" s="12" t="n">
        <v>4</v>
      </c>
      <c r="J255" s="12" t="n">
        <v>2</v>
      </c>
      <c r="K255" s="12" t="n">
        <v>0</v>
      </c>
      <c r="L255" s="12" t="n">
        <v>0</v>
      </c>
      <c r="M255" s="12" t="n">
        <v>8</v>
      </c>
      <c r="N255" s="12" t="n">
        <v>8</v>
      </c>
      <c r="O255" s="12" t="n">
        <v>128</v>
      </c>
      <c r="P255" s="16" t="n">
        <f aca="false">O255/3</f>
        <v>42.6666666666667</v>
      </c>
      <c r="Q255" s="17" t="str">
        <f aca="false">INT(O255/3)&amp;"."&amp;MOD(O255,3)</f>
        <v>42.2</v>
      </c>
      <c r="R255" s="12" t="n">
        <v>32</v>
      </c>
      <c r="S255" s="12" t="n">
        <v>17</v>
      </c>
      <c r="T255" s="12" t="n">
        <v>17</v>
      </c>
      <c r="U255" s="12" t="n">
        <v>8</v>
      </c>
      <c r="V255" s="12" t="n">
        <v>15</v>
      </c>
      <c r="W255" s="12" t="n">
        <v>47</v>
      </c>
      <c r="X255" s="12" t="n">
        <v>3</v>
      </c>
      <c r="Y255" s="18" t="n">
        <f aca="false">IF(O255=0,0,T255*27/O255)</f>
        <v>3.5859375</v>
      </c>
      <c r="Z255" s="18" t="n">
        <f aca="false">IF(P255=0,0,(V255+R255)/P255)</f>
        <v>1.1015625</v>
      </c>
      <c r="AA255" s="18" t="n">
        <f aca="false">IF(O255=0,0,W255*27/O255)</f>
        <v>9.9140625</v>
      </c>
      <c r="AB255" s="18" t="n">
        <f aca="false">IF(O255=0,0,V255*27/O255)</f>
        <v>3.1640625</v>
      </c>
      <c r="AC255" s="18" t="n">
        <f aca="false">IF(V255=0,0,W255/V255)</f>
        <v>3.13333333333333</v>
      </c>
      <c r="AD255" s="18" t="n">
        <f aca="false">IF(P255=0,0,(13*U255+3*(V255+X255)-2*W255)/P255+INDEX(球季參數!$C$2:$C$4,MATCH($A255,球季參數!$A$2:$A$4,0)))</f>
        <v>4.63</v>
      </c>
      <c r="AE255" s="11" t="n">
        <f aca="false">IF(P255&gt;=INDEX(球季參數!$F$2:$F$4,MATCH($A255,球季參數!$A$2:$A$4,0)),1,0)</f>
        <v>0</v>
      </c>
    </row>
    <row r="256" customFormat="false" ht="15" hidden="false" customHeight="false" outlineLevel="0" collapsed="false">
      <c r="A256" s="5" t="n">
        <v>2024</v>
      </c>
      <c r="B256" s="7" t="s">
        <v>1505</v>
      </c>
      <c r="C256" s="10" t="str">
        <f aca="false">INDEX(球員主檔!$B$2:$B$749,MATCH($B256,球員主檔!$A$2:$A$749,0))</f>
        <v>Griffin Ashworth</v>
      </c>
      <c r="D256" s="7" t="s">
        <v>446</v>
      </c>
      <c r="E256" s="10" t="str">
        <f aca="false">INDEX(球隊主檔!$C$2:$C$31,MATCH($D256,球隊主檔!$A$2:$A$31,0))</f>
        <v>亞利桑那響尾蛇</v>
      </c>
      <c r="F256" s="10" t="str">
        <f aca="false">INDEX(球隊主檔!$D$2:$D$31,MATCH($D256,球隊主檔!$A$2:$A$31,0))</f>
        <v>國聯</v>
      </c>
      <c r="G256" s="7" t="s">
        <v>496</v>
      </c>
      <c r="H256" s="11" t="n">
        <f aca="false">INT((DATE($A256,7,1)-INDEX(球員主檔!$G$2:$G$749,MATCH($B256,球員主檔!$A$2:$A$749,0)))/365.25)</f>
        <v>28</v>
      </c>
      <c r="I256" s="12" t="n">
        <v>15</v>
      </c>
      <c r="J256" s="12" t="n">
        <v>8</v>
      </c>
      <c r="K256" s="12" t="n">
        <v>0</v>
      </c>
      <c r="L256" s="12" t="n">
        <v>0</v>
      </c>
      <c r="M256" s="12" t="n">
        <v>33</v>
      </c>
      <c r="N256" s="12" t="n">
        <v>33</v>
      </c>
      <c r="O256" s="12" t="n">
        <v>541</v>
      </c>
      <c r="P256" s="16" t="n">
        <f aca="false">O256/3</f>
        <v>180.333333333333</v>
      </c>
      <c r="Q256" s="17" t="str">
        <f aca="false">INT(O256/3)&amp;"."&amp;MOD(O256,3)</f>
        <v>180.1</v>
      </c>
      <c r="R256" s="12" t="n">
        <v>138</v>
      </c>
      <c r="S256" s="12" t="n">
        <v>85</v>
      </c>
      <c r="T256" s="12" t="n">
        <v>77</v>
      </c>
      <c r="U256" s="12" t="n">
        <v>15</v>
      </c>
      <c r="V256" s="12" t="n">
        <v>36</v>
      </c>
      <c r="W256" s="12" t="n">
        <v>240</v>
      </c>
      <c r="X256" s="12" t="n">
        <v>4</v>
      </c>
      <c r="Y256" s="18" t="n">
        <f aca="false">IF(O256=0,0,T256*27/O256)</f>
        <v>3.84288354898336</v>
      </c>
      <c r="Z256" s="18" t="n">
        <f aca="false">IF(P256=0,0,(V256+R256)/P256)</f>
        <v>0.964879852125693</v>
      </c>
      <c r="AA256" s="18" t="n">
        <f aca="false">IF(O256=0,0,W256*27/O256)</f>
        <v>11.9778188539741</v>
      </c>
      <c r="AB256" s="18" t="n">
        <f aca="false">IF(O256=0,0,V256*27/O256)</f>
        <v>1.79667282809612</v>
      </c>
      <c r="AC256" s="18" t="n">
        <f aca="false">IF(V256=0,0,W256/V256)</f>
        <v>6.66666666666667</v>
      </c>
      <c r="AD256" s="18" t="n">
        <f aca="false">IF(P256=0,0,(13*U256+3*(V256+X256)-2*W256)/P256+INDEX(球季參數!$C$2:$C$4,MATCH($A256,球季參數!$A$2:$A$4,0)))</f>
        <v>2.21502772643253</v>
      </c>
      <c r="AE256" s="11" t="n">
        <f aca="false">IF(P256&gt;=INDEX(球季參數!$F$2:$F$4,MATCH($A256,球季參數!$A$2:$A$4,0)),1,0)</f>
        <v>1</v>
      </c>
    </row>
    <row r="257" customFormat="false" ht="15" hidden="false" customHeight="false" outlineLevel="0" collapsed="false">
      <c r="A257" s="5" t="n">
        <v>2024</v>
      </c>
      <c r="B257" s="7" t="s">
        <v>1507</v>
      </c>
      <c r="C257" s="10" t="str">
        <f aca="false">INDEX(球員主檔!$B$2:$B$749,MATCH($B257,球員主檔!$A$2:$A$749,0))</f>
        <v>Matthias Dubois</v>
      </c>
      <c r="D257" s="7" t="s">
        <v>446</v>
      </c>
      <c r="E257" s="10" t="str">
        <f aca="false">INDEX(球隊主檔!$C$2:$C$31,MATCH($D257,球隊主檔!$A$2:$A$31,0))</f>
        <v>亞利桑那響尾蛇</v>
      </c>
      <c r="F257" s="10" t="str">
        <f aca="false">INDEX(球隊主檔!$D$2:$D$31,MATCH($D257,球隊主檔!$A$2:$A$31,0))</f>
        <v>國聯</v>
      </c>
      <c r="G257" s="7" t="s">
        <v>507</v>
      </c>
      <c r="H257" s="11" t="n">
        <f aca="false">INT((DATE($A257,7,1)-INDEX(球員主檔!$G$2:$G$749,MATCH($B257,球員主檔!$A$2:$A$749,0)))/365.25)</f>
        <v>28</v>
      </c>
      <c r="I257" s="12" t="n">
        <v>5</v>
      </c>
      <c r="J257" s="12" t="n">
        <v>8</v>
      </c>
      <c r="K257" s="12" t="n">
        <v>16</v>
      </c>
      <c r="L257" s="12" t="n">
        <v>1</v>
      </c>
      <c r="M257" s="12" t="n">
        <v>39</v>
      </c>
      <c r="N257" s="12" t="n">
        <v>0</v>
      </c>
      <c r="O257" s="12" t="n">
        <v>132</v>
      </c>
      <c r="P257" s="16" t="n">
        <f aca="false">O257/3</f>
        <v>44</v>
      </c>
      <c r="Q257" s="17" t="str">
        <f aca="false">INT(O257/3)&amp;"."&amp;MOD(O257,3)</f>
        <v>44.0</v>
      </c>
      <c r="R257" s="12" t="n">
        <v>33</v>
      </c>
      <c r="S257" s="12" t="n">
        <v>15</v>
      </c>
      <c r="T257" s="12" t="n">
        <v>14</v>
      </c>
      <c r="U257" s="12" t="n">
        <v>9</v>
      </c>
      <c r="V257" s="12" t="n">
        <v>12</v>
      </c>
      <c r="W257" s="12" t="n">
        <v>62</v>
      </c>
      <c r="X257" s="12" t="n">
        <v>1</v>
      </c>
      <c r="Y257" s="18" t="n">
        <f aca="false">IF(O257=0,0,T257*27/O257)</f>
        <v>2.86363636363636</v>
      </c>
      <c r="Z257" s="18" t="n">
        <f aca="false">IF(P257=0,0,(V257+R257)/P257)</f>
        <v>1.02272727272727</v>
      </c>
      <c r="AA257" s="18" t="n">
        <f aca="false">IF(O257=0,0,W257*27/O257)</f>
        <v>12.6818181818182</v>
      </c>
      <c r="AB257" s="18" t="n">
        <f aca="false">IF(O257=0,0,V257*27/O257)</f>
        <v>2.45454545454545</v>
      </c>
      <c r="AC257" s="18" t="n">
        <f aca="false">IF(V257=0,0,W257/V257)</f>
        <v>5.16666666666667</v>
      </c>
      <c r="AD257" s="18" t="n">
        <f aca="false">IF(P257=0,0,(13*U257+3*(V257+X257)-2*W257)/P257+INDEX(球季參數!$C$2:$C$4,MATCH($A257,球季參數!$A$2:$A$4,0)))</f>
        <v>3.85727272727273</v>
      </c>
      <c r="AE257" s="11" t="n">
        <f aca="false">IF(P257&gt;=INDEX(球季參數!$F$2:$F$4,MATCH($A257,球季參數!$A$2:$A$4,0)),1,0)</f>
        <v>0</v>
      </c>
    </row>
    <row r="258" customFormat="false" ht="15" hidden="false" customHeight="false" outlineLevel="0" collapsed="false">
      <c r="A258" s="5" t="n">
        <v>2024</v>
      </c>
      <c r="B258" s="7" t="s">
        <v>1509</v>
      </c>
      <c r="C258" s="10" t="str">
        <f aca="false">INDEX(球員主檔!$B$2:$B$749,MATCH($B258,球員主檔!$A$2:$A$749,0))</f>
        <v>Vicente Marchetti</v>
      </c>
      <c r="D258" s="7" t="s">
        <v>446</v>
      </c>
      <c r="E258" s="10" t="str">
        <f aca="false">INDEX(球隊主檔!$C$2:$C$31,MATCH($D258,球隊主檔!$A$2:$A$31,0))</f>
        <v>亞利桑那響尾蛇</v>
      </c>
      <c r="F258" s="10" t="str">
        <f aca="false">INDEX(球隊主檔!$D$2:$D$31,MATCH($D258,球隊主檔!$A$2:$A$31,0))</f>
        <v>國聯</v>
      </c>
      <c r="G258" s="7" t="s">
        <v>507</v>
      </c>
      <c r="H258" s="11" t="n">
        <f aca="false">INT((DATE($A258,7,1)-INDEX(球員主檔!$G$2:$G$749,MATCH($B258,球員主檔!$A$2:$A$749,0)))/365.25)</f>
        <v>28</v>
      </c>
      <c r="I258" s="12" t="n">
        <v>6</v>
      </c>
      <c r="J258" s="12" t="n">
        <v>3</v>
      </c>
      <c r="K258" s="12" t="n">
        <v>4</v>
      </c>
      <c r="L258" s="12" t="n">
        <v>30</v>
      </c>
      <c r="M258" s="12" t="n">
        <v>68</v>
      </c>
      <c r="N258" s="12" t="n">
        <v>0</v>
      </c>
      <c r="O258" s="12" t="n">
        <v>209</v>
      </c>
      <c r="P258" s="16" t="n">
        <f aca="false">O258/3</f>
        <v>69.6666666666667</v>
      </c>
      <c r="Q258" s="17" t="str">
        <f aca="false">INT(O258/3)&amp;"."&amp;MOD(O258,3)</f>
        <v>69.2</v>
      </c>
      <c r="R258" s="12" t="n">
        <v>61</v>
      </c>
      <c r="S258" s="12" t="n">
        <v>41</v>
      </c>
      <c r="T258" s="12" t="n">
        <v>40</v>
      </c>
      <c r="U258" s="12" t="n">
        <v>8</v>
      </c>
      <c r="V258" s="12" t="n">
        <v>8</v>
      </c>
      <c r="W258" s="12" t="n">
        <v>92</v>
      </c>
      <c r="X258" s="12" t="n">
        <v>3</v>
      </c>
      <c r="Y258" s="18" t="n">
        <f aca="false">IF(O258=0,0,T258*27/O258)</f>
        <v>5.16746411483254</v>
      </c>
      <c r="Z258" s="18" t="n">
        <f aca="false">IF(P258=0,0,(V258+R258)/P258)</f>
        <v>0.990430622009569</v>
      </c>
      <c r="AA258" s="18" t="n">
        <f aca="false">IF(O258=0,0,W258*27/O258)</f>
        <v>11.8851674641148</v>
      </c>
      <c r="AB258" s="18" t="n">
        <f aca="false">IF(O258=0,0,V258*27/O258)</f>
        <v>1.03349282296651</v>
      </c>
      <c r="AC258" s="18" t="n">
        <f aca="false">IF(V258=0,0,W258/V258)</f>
        <v>11.5</v>
      </c>
      <c r="AD258" s="18" t="n">
        <f aca="false">IF(P258=0,0,(13*U258+3*(V258+X258)-2*W258)/P258+INDEX(球季參數!$C$2:$C$4,MATCH($A258,球季參數!$A$2:$A$4,0)))</f>
        <v>2.45535885167464</v>
      </c>
      <c r="AE258" s="11" t="n">
        <f aca="false">IF(P258&gt;=INDEX(球季參數!$F$2:$F$4,MATCH($A258,球季參數!$A$2:$A$4,0)),1,0)</f>
        <v>0</v>
      </c>
    </row>
    <row r="259" customFormat="false" ht="15" hidden="false" customHeight="false" outlineLevel="0" collapsed="false">
      <c r="A259" s="5" t="n">
        <v>2024</v>
      </c>
      <c r="B259" s="7" t="s">
        <v>1511</v>
      </c>
      <c r="C259" s="10" t="str">
        <f aca="false">INDEX(球員主檔!$B$2:$B$749,MATCH($B259,球員主檔!$A$2:$A$749,0))</f>
        <v>Joaquín Vasquez</v>
      </c>
      <c r="D259" s="7" t="s">
        <v>446</v>
      </c>
      <c r="E259" s="10" t="str">
        <f aca="false">INDEX(球隊主檔!$C$2:$C$31,MATCH($D259,球隊主檔!$A$2:$A$31,0))</f>
        <v>亞利桑那響尾蛇</v>
      </c>
      <c r="F259" s="10" t="str">
        <f aca="false">INDEX(球隊主檔!$D$2:$D$31,MATCH($D259,球隊主檔!$A$2:$A$31,0))</f>
        <v>國聯</v>
      </c>
      <c r="G259" s="7" t="s">
        <v>507</v>
      </c>
      <c r="H259" s="11" t="n">
        <f aca="false">INT((DATE($A259,7,1)-INDEX(球員主檔!$G$2:$G$749,MATCH($B259,球員主檔!$A$2:$A$749,0)))/365.25)</f>
        <v>30</v>
      </c>
      <c r="I259" s="12" t="n">
        <v>8</v>
      </c>
      <c r="J259" s="12" t="n">
        <v>8</v>
      </c>
      <c r="K259" s="12" t="n">
        <v>1</v>
      </c>
      <c r="L259" s="12" t="n">
        <v>7</v>
      </c>
      <c r="M259" s="12" t="n">
        <v>56</v>
      </c>
      <c r="N259" s="12" t="n">
        <v>0</v>
      </c>
      <c r="O259" s="12" t="n">
        <v>152</v>
      </c>
      <c r="P259" s="16" t="n">
        <f aca="false">O259/3</f>
        <v>50.6666666666667</v>
      </c>
      <c r="Q259" s="17" t="str">
        <f aca="false">INT(O259/3)&amp;"."&amp;MOD(O259,3)</f>
        <v>50.2</v>
      </c>
      <c r="R259" s="12" t="n">
        <v>39</v>
      </c>
      <c r="S259" s="12" t="n">
        <v>17</v>
      </c>
      <c r="T259" s="12" t="n">
        <v>17</v>
      </c>
      <c r="U259" s="12" t="n">
        <v>10</v>
      </c>
      <c r="V259" s="12" t="n">
        <v>16</v>
      </c>
      <c r="W259" s="12" t="n">
        <v>39</v>
      </c>
      <c r="X259" s="12" t="n">
        <v>2</v>
      </c>
      <c r="Y259" s="18" t="n">
        <f aca="false">IF(O259=0,0,T259*27/O259)</f>
        <v>3.01973684210526</v>
      </c>
      <c r="Z259" s="18" t="n">
        <f aca="false">IF(P259=0,0,(V259+R259)/P259)</f>
        <v>1.08552631578947</v>
      </c>
      <c r="AA259" s="18" t="n">
        <f aca="false">IF(O259=0,0,W259*27/O259)</f>
        <v>6.92763157894737</v>
      </c>
      <c r="AB259" s="18" t="n">
        <f aca="false">IF(O259=0,0,V259*27/O259)</f>
        <v>2.84210526315789</v>
      </c>
      <c r="AC259" s="18" t="n">
        <f aca="false">IF(V259=0,0,W259/V259)</f>
        <v>2.4375</v>
      </c>
      <c r="AD259" s="18" t="n">
        <f aca="false">IF(P259=0,0,(13*U259+3*(V259+X259)-2*W259)/P259+INDEX(球季參數!$C$2:$C$4,MATCH($A259,球季參數!$A$2:$A$4,0)))</f>
        <v>5.2221052631579</v>
      </c>
      <c r="AE259" s="11" t="n">
        <f aca="false">IF(P259&gt;=INDEX(球季參數!$F$2:$F$4,MATCH($A259,球季參數!$A$2:$A$4,0)),1,0)</f>
        <v>0</v>
      </c>
    </row>
    <row r="260" customFormat="false" ht="15" hidden="false" customHeight="false" outlineLevel="0" collapsed="false">
      <c r="A260" s="5" t="n">
        <v>2024</v>
      </c>
      <c r="B260" s="7" t="s">
        <v>1513</v>
      </c>
      <c r="C260" s="10" t="str">
        <f aca="false">INDEX(球員主檔!$B$2:$B$749,MATCH($B260,球員主檔!$A$2:$A$749,0))</f>
        <v>Zane Marchetti</v>
      </c>
      <c r="D260" s="7" t="s">
        <v>446</v>
      </c>
      <c r="E260" s="10" t="str">
        <f aca="false">INDEX(球隊主檔!$C$2:$C$31,MATCH($D260,球隊主檔!$A$2:$A$31,0))</f>
        <v>亞利桑那響尾蛇</v>
      </c>
      <c r="F260" s="10" t="str">
        <f aca="false">INDEX(球隊主檔!$D$2:$D$31,MATCH($D260,球隊主檔!$A$2:$A$31,0))</f>
        <v>國聯</v>
      </c>
      <c r="G260" s="7" t="s">
        <v>507</v>
      </c>
      <c r="H260" s="11" t="n">
        <f aca="false">INT((DATE($A260,7,1)-INDEX(球員主檔!$G$2:$G$749,MATCH($B260,球員主檔!$A$2:$A$749,0)))/365.25)</f>
        <v>28</v>
      </c>
      <c r="I260" s="12" t="n">
        <v>1</v>
      </c>
      <c r="J260" s="12" t="n">
        <v>7</v>
      </c>
      <c r="K260" s="12" t="n">
        <v>0</v>
      </c>
      <c r="L260" s="12" t="n">
        <v>22</v>
      </c>
      <c r="M260" s="12" t="n">
        <v>74</v>
      </c>
      <c r="N260" s="12" t="n">
        <v>0</v>
      </c>
      <c r="O260" s="12" t="n">
        <v>197</v>
      </c>
      <c r="P260" s="16" t="n">
        <f aca="false">O260/3</f>
        <v>65.6666666666667</v>
      </c>
      <c r="Q260" s="17" t="str">
        <f aca="false">INT(O260/3)&amp;"."&amp;MOD(O260,3)</f>
        <v>65.2</v>
      </c>
      <c r="R260" s="12" t="n">
        <v>51</v>
      </c>
      <c r="S260" s="12" t="n">
        <v>24</v>
      </c>
      <c r="T260" s="12" t="n">
        <v>22</v>
      </c>
      <c r="U260" s="12" t="n">
        <v>7</v>
      </c>
      <c r="V260" s="12" t="n">
        <v>26</v>
      </c>
      <c r="W260" s="12" t="n">
        <v>56</v>
      </c>
      <c r="X260" s="12" t="n">
        <v>4</v>
      </c>
      <c r="Y260" s="18" t="n">
        <f aca="false">IF(O260=0,0,T260*27/O260)</f>
        <v>3.01522842639594</v>
      </c>
      <c r="Z260" s="18" t="n">
        <f aca="false">IF(P260=0,0,(V260+R260)/P260)</f>
        <v>1.17258883248731</v>
      </c>
      <c r="AA260" s="18" t="n">
        <f aca="false">IF(O260=0,0,W260*27/O260)</f>
        <v>7.6751269035533</v>
      </c>
      <c r="AB260" s="18" t="n">
        <f aca="false">IF(O260=0,0,V260*27/O260)</f>
        <v>3.56345177664975</v>
      </c>
      <c r="AC260" s="18" t="n">
        <f aca="false">IF(V260=0,0,W260/V260)</f>
        <v>2.15384615384615</v>
      </c>
      <c r="AD260" s="18" t="n">
        <f aca="false">IF(P260=0,0,(13*U260+3*(V260+X260)-2*W260)/P260+INDEX(球季參數!$C$2:$C$4,MATCH($A260,球季參數!$A$2:$A$4,0)))</f>
        <v>4.1807614213198</v>
      </c>
      <c r="AE260" s="11" t="n">
        <f aca="false">IF(P260&gt;=INDEX(球季參數!$F$2:$F$4,MATCH($A260,球季參數!$A$2:$A$4,0)),1,0)</f>
        <v>0</v>
      </c>
    </row>
    <row r="261" customFormat="false" ht="15" hidden="false" customHeight="false" outlineLevel="0" collapsed="false">
      <c r="A261" s="5" t="n">
        <v>2024</v>
      </c>
      <c r="B261" s="7" t="s">
        <v>1515</v>
      </c>
      <c r="C261" s="10" t="str">
        <f aca="false">INDEX(球員主檔!$B$2:$B$749,MATCH($B261,球員主檔!$A$2:$A$749,0))</f>
        <v>Lorenzo Castellón</v>
      </c>
      <c r="D261" s="7" t="s">
        <v>446</v>
      </c>
      <c r="E261" s="10" t="str">
        <f aca="false">INDEX(球隊主檔!$C$2:$C$31,MATCH($D261,球隊主檔!$A$2:$A$31,0))</f>
        <v>亞利桑那響尾蛇</v>
      </c>
      <c r="F261" s="10" t="str">
        <f aca="false">INDEX(球隊主檔!$D$2:$D$31,MATCH($D261,球隊主檔!$A$2:$A$31,0))</f>
        <v>國聯</v>
      </c>
      <c r="G261" s="7" t="s">
        <v>507</v>
      </c>
      <c r="H261" s="11" t="n">
        <f aca="false">INT((DATE($A261,7,1)-INDEX(球員主檔!$G$2:$G$749,MATCH($B261,球員主檔!$A$2:$A$749,0)))/365.25)</f>
        <v>28</v>
      </c>
      <c r="I261" s="12" t="n">
        <v>5</v>
      </c>
      <c r="J261" s="12" t="n">
        <v>8</v>
      </c>
      <c r="K261" s="12" t="n">
        <v>5</v>
      </c>
      <c r="L261" s="12" t="n">
        <v>34</v>
      </c>
      <c r="M261" s="12" t="n">
        <v>58</v>
      </c>
      <c r="N261" s="12" t="n">
        <v>0</v>
      </c>
      <c r="O261" s="12" t="n">
        <v>165</v>
      </c>
      <c r="P261" s="16" t="n">
        <f aca="false">O261/3</f>
        <v>55</v>
      </c>
      <c r="Q261" s="17" t="str">
        <f aca="false">INT(O261/3)&amp;"."&amp;MOD(O261,3)</f>
        <v>55.0</v>
      </c>
      <c r="R261" s="12" t="n">
        <v>45</v>
      </c>
      <c r="S261" s="12" t="n">
        <v>27</v>
      </c>
      <c r="T261" s="12" t="n">
        <v>25</v>
      </c>
      <c r="U261" s="12" t="n">
        <v>9</v>
      </c>
      <c r="V261" s="12" t="n">
        <v>26</v>
      </c>
      <c r="W261" s="12" t="n">
        <v>59</v>
      </c>
      <c r="X261" s="12" t="n">
        <v>2</v>
      </c>
      <c r="Y261" s="18" t="n">
        <f aca="false">IF(O261=0,0,T261*27/O261)</f>
        <v>4.09090909090909</v>
      </c>
      <c r="Z261" s="18" t="n">
        <f aca="false">IF(P261=0,0,(V261+R261)/P261)</f>
        <v>1.29090909090909</v>
      </c>
      <c r="AA261" s="18" t="n">
        <f aca="false">IF(O261=0,0,W261*27/O261)</f>
        <v>9.65454545454545</v>
      </c>
      <c r="AB261" s="18" t="n">
        <f aca="false">IF(O261=0,0,V261*27/O261)</f>
        <v>4.25454545454546</v>
      </c>
      <c r="AC261" s="18" t="n">
        <f aca="false">IF(V261=0,0,W261/V261)</f>
        <v>2.26923076923077</v>
      </c>
      <c r="AD261" s="18" t="n">
        <f aca="false">IF(P261=0,0,(13*U261+3*(V261+X261)-2*W261)/P261+INDEX(球季參數!$C$2:$C$4,MATCH($A261,球季參數!$A$2:$A$4,0)))</f>
        <v>4.63909090909091</v>
      </c>
      <c r="AE261" s="11" t="n">
        <f aca="false">IF(P261&gt;=INDEX(球季參數!$F$2:$F$4,MATCH($A261,球季參數!$A$2:$A$4,0)),1,0)</f>
        <v>0</v>
      </c>
    </row>
    <row r="262" customFormat="false" ht="15" hidden="false" customHeight="false" outlineLevel="0" collapsed="false">
      <c r="A262" s="5" t="n">
        <v>2024</v>
      </c>
      <c r="B262" s="7" t="s">
        <v>1537</v>
      </c>
      <c r="C262" s="10" t="str">
        <f aca="false">INDEX(球員主檔!$B$2:$B$749,MATCH($B262,球員主檔!$A$2:$A$749,0))</f>
        <v>Seonwoo Castellón</v>
      </c>
      <c r="D262" s="7" t="s">
        <v>451</v>
      </c>
      <c r="E262" s="10" t="str">
        <f aca="false">INDEX(球隊主檔!$C$2:$C$31,MATCH($D262,球隊主檔!$A$2:$A$31,0))</f>
        <v>科羅拉多落磯</v>
      </c>
      <c r="F262" s="10" t="str">
        <f aca="false">INDEX(球隊主檔!$D$2:$D$31,MATCH($D262,球隊主檔!$A$2:$A$31,0))</f>
        <v>國聯</v>
      </c>
      <c r="G262" s="7" t="s">
        <v>496</v>
      </c>
      <c r="H262" s="11" t="n">
        <f aca="false">INT((DATE($A262,7,1)-INDEX(球員主檔!$G$2:$G$749,MATCH($B262,球員主檔!$A$2:$A$749,0)))/365.25)</f>
        <v>26</v>
      </c>
      <c r="I262" s="12" t="n">
        <v>9</v>
      </c>
      <c r="J262" s="12" t="n">
        <v>4</v>
      </c>
      <c r="K262" s="12" t="n">
        <v>0</v>
      </c>
      <c r="L262" s="12" t="n">
        <v>0</v>
      </c>
      <c r="M262" s="12" t="n">
        <v>21</v>
      </c>
      <c r="N262" s="12" t="n">
        <v>21</v>
      </c>
      <c r="O262" s="12" t="n">
        <v>352</v>
      </c>
      <c r="P262" s="16" t="n">
        <f aca="false">O262/3</f>
        <v>117.333333333333</v>
      </c>
      <c r="Q262" s="17" t="str">
        <f aca="false">INT(O262/3)&amp;"."&amp;MOD(O262,3)</f>
        <v>117.1</v>
      </c>
      <c r="R262" s="12" t="n">
        <v>101</v>
      </c>
      <c r="S262" s="12" t="n">
        <v>52</v>
      </c>
      <c r="T262" s="12" t="n">
        <v>51</v>
      </c>
      <c r="U262" s="12" t="n">
        <v>11</v>
      </c>
      <c r="V262" s="12" t="n">
        <v>41</v>
      </c>
      <c r="W262" s="12" t="n">
        <v>90</v>
      </c>
      <c r="X262" s="12" t="n">
        <v>6</v>
      </c>
      <c r="Y262" s="18" t="n">
        <f aca="false">IF(O262=0,0,T262*27/O262)</f>
        <v>3.91193181818182</v>
      </c>
      <c r="Z262" s="18" t="n">
        <f aca="false">IF(P262=0,0,(V262+R262)/P262)</f>
        <v>1.21022727272727</v>
      </c>
      <c r="AA262" s="18" t="n">
        <f aca="false">IF(O262=0,0,W262*27/O262)</f>
        <v>6.90340909090909</v>
      </c>
      <c r="AB262" s="18" t="n">
        <f aca="false">IF(O262=0,0,V262*27/O262)</f>
        <v>3.14488636363636</v>
      </c>
      <c r="AC262" s="18" t="n">
        <f aca="false">IF(V262=0,0,W262/V262)</f>
        <v>2.19512195121951</v>
      </c>
      <c r="AD262" s="18" t="n">
        <f aca="false">IF(P262=0,0,(13*U262+3*(V262+X262)-2*W262)/P262+INDEX(球季參數!$C$2:$C$4,MATCH($A262,球季參數!$A$2:$A$4,0)))</f>
        <v>4.01636363636364</v>
      </c>
      <c r="AE262" s="11" t="n">
        <f aca="false">IF(P262&gt;=INDEX(球季參數!$F$2:$F$4,MATCH($A262,球季參數!$A$2:$A$4,0)),1,0)</f>
        <v>0</v>
      </c>
    </row>
    <row r="263" customFormat="false" ht="15" hidden="false" customHeight="false" outlineLevel="0" collapsed="false">
      <c r="A263" s="5" t="n">
        <v>2024</v>
      </c>
      <c r="B263" s="7" t="s">
        <v>1539</v>
      </c>
      <c r="C263" s="10" t="str">
        <f aca="false">INDEX(球員主檔!$B$2:$B$749,MATCH($B263,球員主檔!$A$2:$A$749,0))</f>
        <v>Minjae Underhill</v>
      </c>
      <c r="D263" s="7" t="s">
        <v>451</v>
      </c>
      <c r="E263" s="10" t="str">
        <f aca="false">INDEX(球隊主檔!$C$2:$C$31,MATCH($D263,球隊主檔!$A$2:$A$31,0))</f>
        <v>科羅拉多落磯</v>
      </c>
      <c r="F263" s="10" t="str">
        <f aca="false">INDEX(球隊主檔!$D$2:$D$31,MATCH($D263,球隊主檔!$A$2:$A$31,0))</f>
        <v>國聯</v>
      </c>
      <c r="G263" s="7" t="s">
        <v>496</v>
      </c>
      <c r="H263" s="11" t="n">
        <f aca="false">INT((DATE($A263,7,1)-INDEX(球員主檔!$G$2:$G$749,MATCH($B263,球員主檔!$A$2:$A$749,0)))/365.25)</f>
        <v>26</v>
      </c>
      <c r="I263" s="12" t="n">
        <v>9</v>
      </c>
      <c r="J263" s="12" t="n">
        <v>3</v>
      </c>
      <c r="K263" s="12" t="n">
        <v>0</v>
      </c>
      <c r="L263" s="12" t="n">
        <v>0</v>
      </c>
      <c r="M263" s="12" t="n">
        <v>19</v>
      </c>
      <c r="N263" s="12" t="n">
        <v>19</v>
      </c>
      <c r="O263" s="12" t="n">
        <v>361</v>
      </c>
      <c r="P263" s="16" t="n">
        <f aca="false">O263/3</f>
        <v>120.333333333333</v>
      </c>
      <c r="Q263" s="17" t="str">
        <f aca="false">INT(O263/3)&amp;"."&amp;MOD(O263,3)</f>
        <v>120.1</v>
      </c>
      <c r="R263" s="12" t="n">
        <v>90</v>
      </c>
      <c r="S263" s="12" t="n">
        <v>43</v>
      </c>
      <c r="T263" s="12" t="n">
        <v>39</v>
      </c>
      <c r="U263" s="12" t="n">
        <v>30</v>
      </c>
      <c r="V263" s="12" t="n">
        <v>33</v>
      </c>
      <c r="W263" s="12" t="n">
        <v>120</v>
      </c>
      <c r="X263" s="12" t="n">
        <v>7</v>
      </c>
      <c r="Y263" s="18" t="n">
        <f aca="false">IF(O263=0,0,T263*27/O263)</f>
        <v>2.91689750692521</v>
      </c>
      <c r="Z263" s="18" t="n">
        <f aca="false">IF(P263=0,0,(V263+R263)/P263)</f>
        <v>1.02216066481994</v>
      </c>
      <c r="AA263" s="18" t="n">
        <f aca="false">IF(O263=0,0,W263*27/O263)</f>
        <v>8.97506925207756</v>
      </c>
      <c r="AB263" s="18" t="n">
        <f aca="false">IF(O263=0,0,V263*27/O263)</f>
        <v>2.46814404432133</v>
      </c>
      <c r="AC263" s="18" t="n">
        <f aca="false">IF(V263=0,0,W263/V263)</f>
        <v>3.63636363636364</v>
      </c>
      <c r="AD263" s="18" t="n">
        <f aca="false">IF(P263=0,0,(13*U263+3*(V263+X263)-2*W263)/P263+INDEX(球季參數!$C$2:$C$4,MATCH($A263,球季參數!$A$2:$A$4,0)))</f>
        <v>5.37376731301939</v>
      </c>
      <c r="AE263" s="11" t="n">
        <f aca="false">IF(P263&gt;=INDEX(球季參數!$F$2:$F$4,MATCH($A263,球季參數!$A$2:$A$4,0)),1,0)</f>
        <v>0</v>
      </c>
    </row>
    <row r="264" customFormat="false" ht="15" hidden="false" customHeight="false" outlineLevel="0" collapsed="false">
      <c r="A264" s="5" t="n">
        <v>2024</v>
      </c>
      <c r="B264" s="7" t="s">
        <v>1541</v>
      </c>
      <c r="C264" s="10" t="str">
        <f aca="false">INDEX(球員主檔!$B$2:$B$749,MATCH($B264,球員主檔!$A$2:$A$749,0))</f>
        <v>Silas Vasquez</v>
      </c>
      <c r="D264" s="7" t="s">
        <v>451</v>
      </c>
      <c r="E264" s="10" t="str">
        <f aca="false">INDEX(球隊主檔!$C$2:$C$31,MATCH($D264,球隊主檔!$A$2:$A$31,0))</f>
        <v>科羅拉多落磯</v>
      </c>
      <c r="F264" s="10" t="str">
        <f aca="false">INDEX(球隊主檔!$D$2:$D$31,MATCH($D264,球隊主檔!$A$2:$A$31,0))</f>
        <v>國聯</v>
      </c>
      <c r="G264" s="7" t="s">
        <v>496</v>
      </c>
      <c r="H264" s="11" t="n">
        <f aca="false">INT((DATE($A264,7,1)-INDEX(球員主檔!$G$2:$G$749,MATCH($B264,球員主檔!$A$2:$A$749,0)))/365.25)</f>
        <v>23</v>
      </c>
      <c r="I264" s="12" t="n">
        <v>10</v>
      </c>
      <c r="J264" s="12" t="n">
        <v>5</v>
      </c>
      <c r="K264" s="12" t="n">
        <v>0</v>
      </c>
      <c r="L264" s="12" t="n">
        <v>0</v>
      </c>
      <c r="M264" s="12" t="n">
        <v>21</v>
      </c>
      <c r="N264" s="12" t="n">
        <v>21</v>
      </c>
      <c r="O264" s="12" t="n">
        <v>385</v>
      </c>
      <c r="P264" s="16" t="n">
        <f aca="false">O264/3</f>
        <v>128.333333333333</v>
      </c>
      <c r="Q264" s="17" t="str">
        <f aca="false">INT(O264/3)&amp;"."&amp;MOD(O264,3)</f>
        <v>128.1</v>
      </c>
      <c r="R264" s="12" t="n">
        <v>100</v>
      </c>
      <c r="S264" s="12" t="n">
        <v>42</v>
      </c>
      <c r="T264" s="12" t="n">
        <v>42</v>
      </c>
      <c r="U264" s="12" t="n">
        <v>6</v>
      </c>
      <c r="V264" s="12" t="n">
        <v>64</v>
      </c>
      <c r="W264" s="12" t="n">
        <v>122</v>
      </c>
      <c r="X264" s="12" t="n">
        <v>7</v>
      </c>
      <c r="Y264" s="18" t="n">
        <f aca="false">IF(O264=0,0,T264*27/O264)</f>
        <v>2.94545454545455</v>
      </c>
      <c r="Z264" s="18" t="n">
        <f aca="false">IF(P264=0,0,(V264+R264)/P264)</f>
        <v>1.27792207792208</v>
      </c>
      <c r="AA264" s="18" t="n">
        <f aca="false">IF(O264=0,0,W264*27/O264)</f>
        <v>8.55584415584416</v>
      </c>
      <c r="AB264" s="18" t="n">
        <f aca="false">IF(O264=0,0,V264*27/O264)</f>
        <v>4.48831168831169</v>
      </c>
      <c r="AC264" s="18" t="n">
        <f aca="false">IF(V264=0,0,W264/V264)</f>
        <v>1.90625</v>
      </c>
      <c r="AD264" s="18" t="n">
        <f aca="false">IF(P264=0,0,(13*U264+3*(V264+X264)-2*W264)/P264+INDEX(球季參數!$C$2:$C$4,MATCH($A264,球季參數!$A$2:$A$4,0)))</f>
        <v>3.49623376623377</v>
      </c>
      <c r="AE264" s="11" t="n">
        <f aca="false">IF(P264&gt;=INDEX(球季參數!$F$2:$F$4,MATCH($A264,球季參數!$A$2:$A$4,0)),1,0)</f>
        <v>0</v>
      </c>
    </row>
    <row r="265" customFormat="false" ht="15" hidden="false" customHeight="false" outlineLevel="0" collapsed="false">
      <c r="A265" s="5" t="n">
        <v>2024</v>
      </c>
      <c r="B265" s="7" t="s">
        <v>1543</v>
      </c>
      <c r="C265" s="10" t="str">
        <f aca="false">INDEX(球員主檔!$B$2:$B$749,MATCH($B265,球員主檔!$A$2:$A$749,0))</f>
        <v>Sawyer Yoshinaga</v>
      </c>
      <c r="D265" s="7" t="s">
        <v>451</v>
      </c>
      <c r="E265" s="10" t="str">
        <f aca="false">INDEX(球隊主檔!$C$2:$C$31,MATCH($D265,球隊主檔!$A$2:$A$31,0))</f>
        <v>科羅拉多落磯</v>
      </c>
      <c r="F265" s="10" t="str">
        <f aca="false">INDEX(球隊主檔!$D$2:$D$31,MATCH($D265,球隊主檔!$A$2:$A$31,0))</f>
        <v>國聯</v>
      </c>
      <c r="G265" s="7" t="s">
        <v>496</v>
      </c>
      <c r="H265" s="11" t="n">
        <f aca="false">INT((DATE($A265,7,1)-INDEX(球員主檔!$G$2:$G$749,MATCH($B265,球員主檔!$A$2:$A$749,0)))/365.25)</f>
        <v>27</v>
      </c>
      <c r="I265" s="12" t="n">
        <v>10</v>
      </c>
      <c r="J265" s="12" t="n">
        <v>4</v>
      </c>
      <c r="K265" s="12" t="n">
        <v>0</v>
      </c>
      <c r="L265" s="12" t="n">
        <v>0</v>
      </c>
      <c r="M265" s="12" t="n">
        <v>21</v>
      </c>
      <c r="N265" s="12" t="n">
        <v>21</v>
      </c>
      <c r="O265" s="12" t="n">
        <v>400</v>
      </c>
      <c r="P265" s="16" t="n">
        <f aca="false">O265/3</f>
        <v>133.333333333333</v>
      </c>
      <c r="Q265" s="17" t="str">
        <f aca="false">INT(O265/3)&amp;"."&amp;MOD(O265,3)</f>
        <v>133.1</v>
      </c>
      <c r="R265" s="12" t="n">
        <v>101</v>
      </c>
      <c r="S265" s="12" t="n">
        <v>45</v>
      </c>
      <c r="T265" s="12" t="n">
        <v>43</v>
      </c>
      <c r="U265" s="12" t="n">
        <v>24</v>
      </c>
      <c r="V265" s="12" t="n">
        <v>42</v>
      </c>
      <c r="W265" s="12" t="n">
        <v>138</v>
      </c>
      <c r="X265" s="12" t="n">
        <v>2</v>
      </c>
      <c r="Y265" s="18" t="n">
        <f aca="false">IF(O265=0,0,T265*27/O265)</f>
        <v>2.9025</v>
      </c>
      <c r="Z265" s="18" t="n">
        <f aca="false">IF(P265=0,0,(V265+R265)/P265)</f>
        <v>1.0725</v>
      </c>
      <c r="AA265" s="18" t="n">
        <f aca="false">IF(O265=0,0,W265*27/O265)</f>
        <v>9.315</v>
      </c>
      <c r="AB265" s="18" t="n">
        <f aca="false">IF(O265=0,0,V265*27/O265)</f>
        <v>2.835</v>
      </c>
      <c r="AC265" s="18" t="n">
        <f aca="false">IF(V265=0,0,W265/V265)</f>
        <v>3.28571428571429</v>
      </c>
      <c r="AD265" s="18" t="n">
        <f aca="false">IF(P265=0,0,(13*U265+3*(V265+X265)-2*W265)/P265+INDEX(球季參數!$C$2:$C$4,MATCH($A265,球季參數!$A$2:$A$4,0)))</f>
        <v>4.39</v>
      </c>
      <c r="AE265" s="11" t="n">
        <f aca="false">IF(P265&gt;=INDEX(球季參數!$F$2:$F$4,MATCH($A265,球季參數!$A$2:$A$4,0)),1,0)</f>
        <v>0</v>
      </c>
    </row>
    <row r="266" customFormat="false" ht="15" hidden="false" customHeight="false" outlineLevel="0" collapsed="false">
      <c r="A266" s="5" t="n">
        <v>2024</v>
      </c>
      <c r="B266" s="7" t="s">
        <v>1545</v>
      </c>
      <c r="C266" s="10" t="str">
        <f aca="false">INDEX(球員主檔!$B$2:$B$749,MATCH($B266,球員主檔!$A$2:$A$749,0))</f>
        <v>Wendell Haverford</v>
      </c>
      <c r="D266" s="7" t="s">
        <v>451</v>
      </c>
      <c r="E266" s="10" t="str">
        <f aca="false">INDEX(球隊主檔!$C$2:$C$31,MATCH($D266,球隊主檔!$A$2:$A$31,0))</f>
        <v>科羅拉多落磯</v>
      </c>
      <c r="F266" s="10" t="str">
        <f aca="false">INDEX(球隊主檔!$D$2:$D$31,MATCH($D266,球隊主檔!$A$2:$A$31,0))</f>
        <v>國聯</v>
      </c>
      <c r="G266" s="7" t="s">
        <v>496</v>
      </c>
      <c r="H266" s="11" t="n">
        <f aca="false">INT((DATE($A266,7,1)-INDEX(球員主檔!$G$2:$G$749,MATCH($B266,球員主檔!$A$2:$A$749,0)))/365.25)</f>
        <v>28</v>
      </c>
      <c r="I266" s="12" t="n">
        <v>8</v>
      </c>
      <c r="J266" s="12" t="n">
        <v>5</v>
      </c>
      <c r="K266" s="12" t="n">
        <v>0</v>
      </c>
      <c r="L266" s="12" t="n">
        <v>0</v>
      </c>
      <c r="M266" s="12" t="n">
        <v>21</v>
      </c>
      <c r="N266" s="12" t="n">
        <v>21</v>
      </c>
      <c r="O266" s="12" t="n">
        <v>381</v>
      </c>
      <c r="P266" s="16" t="n">
        <f aca="false">O266/3</f>
        <v>127</v>
      </c>
      <c r="Q266" s="17" t="str">
        <f aca="false">INT(O266/3)&amp;"."&amp;MOD(O266,3)</f>
        <v>127.0</v>
      </c>
      <c r="R266" s="12" t="n">
        <v>106</v>
      </c>
      <c r="S266" s="12" t="n">
        <v>52</v>
      </c>
      <c r="T266" s="12" t="n">
        <v>48</v>
      </c>
      <c r="U266" s="12" t="n">
        <v>5</v>
      </c>
      <c r="V266" s="12" t="n">
        <v>50</v>
      </c>
      <c r="W266" s="12" t="n">
        <v>161</v>
      </c>
      <c r="X266" s="12" t="n">
        <v>7</v>
      </c>
      <c r="Y266" s="18" t="n">
        <f aca="false">IF(O266=0,0,T266*27/O266)</f>
        <v>3.40157480314961</v>
      </c>
      <c r="Z266" s="18" t="n">
        <f aca="false">IF(P266=0,0,(V266+R266)/P266)</f>
        <v>1.22834645669291</v>
      </c>
      <c r="AA266" s="18" t="n">
        <f aca="false">IF(O266=0,0,W266*27/O266)</f>
        <v>11.4094488188976</v>
      </c>
      <c r="AB266" s="18" t="n">
        <f aca="false">IF(O266=0,0,V266*27/O266)</f>
        <v>3.54330708661417</v>
      </c>
      <c r="AC266" s="18" t="n">
        <f aca="false">IF(V266=0,0,W266/V266)</f>
        <v>3.22</v>
      </c>
      <c r="AD266" s="18" t="n">
        <f aca="false">IF(P266=0,0,(13*U266+3*(V266+X266)-2*W266)/P266+INDEX(球季參數!$C$2:$C$4,MATCH($A266,球季參數!$A$2:$A$4,0)))</f>
        <v>2.45283464566929</v>
      </c>
      <c r="AE266" s="11" t="n">
        <f aca="false">IF(P266&gt;=INDEX(球季參數!$F$2:$F$4,MATCH($A266,球季參數!$A$2:$A$4,0)),1,0)</f>
        <v>0</v>
      </c>
    </row>
    <row r="267" customFormat="false" ht="15" hidden="false" customHeight="false" outlineLevel="0" collapsed="false">
      <c r="A267" s="5" t="n">
        <v>2024</v>
      </c>
      <c r="B267" s="7" t="s">
        <v>1547</v>
      </c>
      <c r="C267" s="10" t="str">
        <f aca="false">INDEX(球員主檔!$B$2:$B$749,MATCH($B267,球員主檔!$A$2:$A$749,0))</f>
        <v>Niklas Yarbrough</v>
      </c>
      <c r="D267" s="7" t="s">
        <v>451</v>
      </c>
      <c r="E267" s="10" t="str">
        <f aca="false">INDEX(球隊主檔!$C$2:$C$31,MATCH($D267,球隊主檔!$A$2:$A$31,0))</f>
        <v>科羅拉多落磯</v>
      </c>
      <c r="F267" s="10" t="str">
        <f aca="false">INDEX(球隊主檔!$D$2:$D$31,MATCH($D267,球隊主檔!$A$2:$A$31,0))</f>
        <v>國聯</v>
      </c>
      <c r="G267" s="7" t="s">
        <v>507</v>
      </c>
      <c r="H267" s="11" t="n">
        <f aca="false">INT((DATE($A267,7,1)-INDEX(球員主檔!$G$2:$G$749,MATCH($B267,球員主檔!$A$2:$A$749,0)))/365.25)</f>
        <v>22</v>
      </c>
      <c r="I267" s="12" t="n">
        <v>8</v>
      </c>
      <c r="J267" s="12" t="n">
        <v>3</v>
      </c>
      <c r="K267" s="12" t="n">
        <v>28</v>
      </c>
      <c r="L267" s="12" t="n">
        <v>3</v>
      </c>
      <c r="M267" s="12" t="n">
        <v>50</v>
      </c>
      <c r="N267" s="12" t="n">
        <v>0</v>
      </c>
      <c r="O267" s="12" t="n">
        <v>134</v>
      </c>
      <c r="P267" s="16" t="n">
        <f aca="false">O267/3</f>
        <v>44.6666666666667</v>
      </c>
      <c r="Q267" s="17" t="str">
        <f aca="false">INT(O267/3)&amp;"."&amp;MOD(O267,3)</f>
        <v>44.2</v>
      </c>
      <c r="R267" s="12" t="n">
        <v>34</v>
      </c>
      <c r="S267" s="12" t="n">
        <v>18</v>
      </c>
      <c r="T267" s="12" t="n">
        <v>18</v>
      </c>
      <c r="U267" s="12" t="n">
        <v>9</v>
      </c>
      <c r="V267" s="12" t="n">
        <v>16</v>
      </c>
      <c r="W267" s="12" t="n">
        <v>37</v>
      </c>
      <c r="X267" s="12" t="n">
        <v>1</v>
      </c>
      <c r="Y267" s="18" t="n">
        <f aca="false">IF(O267=0,0,T267*27/O267)</f>
        <v>3.62686567164179</v>
      </c>
      <c r="Z267" s="18" t="n">
        <f aca="false">IF(P267=0,0,(V267+R267)/P267)</f>
        <v>1.11940298507463</v>
      </c>
      <c r="AA267" s="18" t="n">
        <f aca="false">IF(O267=0,0,W267*27/O267)</f>
        <v>7.45522388059702</v>
      </c>
      <c r="AB267" s="18" t="n">
        <f aca="false">IF(O267=0,0,V267*27/O267)</f>
        <v>3.22388059701493</v>
      </c>
      <c r="AC267" s="18" t="n">
        <f aca="false">IF(V267=0,0,W267/V267)</f>
        <v>2.3125</v>
      </c>
      <c r="AD267" s="18" t="n">
        <f aca="false">IF(P267=0,0,(13*U267+3*(V267+X267)-2*W267)/P267+INDEX(球季參數!$C$2:$C$4,MATCH($A267,球季參數!$A$2:$A$4,0)))</f>
        <v>5.2344776119403</v>
      </c>
      <c r="AE267" s="11" t="n">
        <f aca="false">IF(P267&gt;=INDEX(球季參數!$F$2:$F$4,MATCH($A267,球季參數!$A$2:$A$4,0)),1,0)</f>
        <v>0</v>
      </c>
    </row>
    <row r="268" customFormat="false" ht="15" hidden="false" customHeight="false" outlineLevel="0" collapsed="false">
      <c r="A268" s="5" t="n">
        <v>2024</v>
      </c>
      <c r="B268" s="7" t="s">
        <v>1549</v>
      </c>
      <c r="C268" s="10" t="str">
        <f aca="false">INDEX(球員主檔!$B$2:$B$749,MATCH($B268,球員主檔!$A$2:$A$749,0))</f>
        <v>Marcus Villalobos</v>
      </c>
      <c r="D268" s="7" t="s">
        <v>451</v>
      </c>
      <c r="E268" s="10" t="str">
        <f aca="false">INDEX(球隊主檔!$C$2:$C$31,MATCH($D268,球隊主檔!$A$2:$A$31,0))</f>
        <v>科羅拉多落磯</v>
      </c>
      <c r="F268" s="10" t="str">
        <f aca="false">INDEX(球隊主檔!$D$2:$D$31,MATCH($D268,球隊主檔!$A$2:$A$31,0))</f>
        <v>國聯</v>
      </c>
      <c r="G268" s="7" t="s">
        <v>507</v>
      </c>
      <c r="H268" s="11" t="n">
        <f aca="false">INT((DATE($A268,7,1)-INDEX(球員主檔!$G$2:$G$749,MATCH($B268,球員主檔!$A$2:$A$749,0)))/365.25)</f>
        <v>31</v>
      </c>
      <c r="I268" s="12" t="n">
        <v>5</v>
      </c>
      <c r="J268" s="12" t="n">
        <v>5</v>
      </c>
      <c r="K268" s="12" t="n">
        <v>5</v>
      </c>
      <c r="L268" s="12" t="n">
        <v>22</v>
      </c>
      <c r="M268" s="12" t="n">
        <v>49</v>
      </c>
      <c r="N268" s="12" t="n">
        <v>0</v>
      </c>
      <c r="O268" s="12" t="n">
        <v>166</v>
      </c>
      <c r="P268" s="16" t="n">
        <f aca="false">O268/3</f>
        <v>55.3333333333333</v>
      </c>
      <c r="Q268" s="17" t="str">
        <f aca="false">INT(O268/3)&amp;"."&amp;MOD(O268,3)</f>
        <v>55.1</v>
      </c>
      <c r="R268" s="12" t="n">
        <v>41</v>
      </c>
      <c r="S268" s="12" t="n">
        <v>22</v>
      </c>
      <c r="T268" s="12" t="n">
        <v>20</v>
      </c>
      <c r="U268" s="12" t="n">
        <v>9</v>
      </c>
      <c r="V268" s="12" t="n">
        <v>17</v>
      </c>
      <c r="W268" s="12" t="n">
        <v>52</v>
      </c>
      <c r="X268" s="12" t="n">
        <v>2</v>
      </c>
      <c r="Y268" s="18" t="n">
        <f aca="false">IF(O268=0,0,T268*27/O268)</f>
        <v>3.25301204819277</v>
      </c>
      <c r="Z268" s="18" t="n">
        <f aca="false">IF(P268=0,0,(V268+R268)/P268)</f>
        <v>1.04819277108434</v>
      </c>
      <c r="AA268" s="18" t="n">
        <f aca="false">IF(O268=0,0,W268*27/O268)</f>
        <v>8.45783132530121</v>
      </c>
      <c r="AB268" s="18" t="n">
        <f aca="false">IF(O268=0,0,V268*27/O268)</f>
        <v>2.76506024096386</v>
      </c>
      <c r="AC268" s="18" t="n">
        <f aca="false">IF(V268=0,0,W268/V268)</f>
        <v>3.05882352941176</v>
      </c>
      <c r="AD268" s="18" t="n">
        <f aca="false">IF(P268=0,0,(13*U268+3*(V268+X268)-2*W268)/P268+INDEX(球季參數!$C$2:$C$4,MATCH($A268,球季參數!$A$2:$A$4,0)))</f>
        <v>4.39506024096386</v>
      </c>
      <c r="AE268" s="11" t="n">
        <f aca="false">IF(P268&gt;=INDEX(球季參數!$F$2:$F$4,MATCH($A268,球季參數!$A$2:$A$4,0)),1,0)</f>
        <v>0</v>
      </c>
    </row>
    <row r="269" customFormat="false" ht="15" hidden="false" customHeight="false" outlineLevel="0" collapsed="false">
      <c r="A269" s="5" t="n">
        <v>2024</v>
      </c>
      <c r="B269" s="7" t="s">
        <v>1551</v>
      </c>
      <c r="C269" s="10" t="str">
        <f aca="false">INDEX(球員主檔!$B$2:$B$749,MATCH($B269,球員主檔!$A$2:$A$749,0))</f>
        <v>Rowan Beckwith</v>
      </c>
      <c r="D269" s="7" t="s">
        <v>451</v>
      </c>
      <c r="E269" s="10" t="str">
        <f aca="false">INDEX(球隊主檔!$C$2:$C$31,MATCH($D269,球隊主檔!$A$2:$A$31,0))</f>
        <v>科羅拉多落磯</v>
      </c>
      <c r="F269" s="10" t="str">
        <f aca="false">INDEX(球隊主檔!$D$2:$D$31,MATCH($D269,球隊主檔!$A$2:$A$31,0))</f>
        <v>國聯</v>
      </c>
      <c r="G269" s="7" t="s">
        <v>507</v>
      </c>
      <c r="H269" s="11" t="n">
        <f aca="false">INT((DATE($A269,7,1)-INDEX(球員主檔!$G$2:$G$749,MATCH($B269,球員主檔!$A$2:$A$749,0)))/365.25)</f>
        <v>28</v>
      </c>
      <c r="I269" s="12" t="n">
        <v>5</v>
      </c>
      <c r="J269" s="12" t="n">
        <v>5</v>
      </c>
      <c r="K269" s="12" t="n">
        <v>0</v>
      </c>
      <c r="L269" s="12" t="n">
        <v>23</v>
      </c>
      <c r="M269" s="12" t="n">
        <v>38</v>
      </c>
      <c r="N269" s="12" t="n">
        <v>0</v>
      </c>
      <c r="O269" s="12" t="n">
        <v>116</v>
      </c>
      <c r="P269" s="16" t="n">
        <f aca="false">O269/3</f>
        <v>38.6666666666667</v>
      </c>
      <c r="Q269" s="17" t="str">
        <f aca="false">INT(O269/3)&amp;"."&amp;MOD(O269,3)</f>
        <v>38.2</v>
      </c>
      <c r="R269" s="12" t="n">
        <v>27</v>
      </c>
      <c r="S269" s="12" t="n">
        <v>11</v>
      </c>
      <c r="T269" s="12" t="n">
        <v>11</v>
      </c>
      <c r="U269" s="12" t="n">
        <v>4</v>
      </c>
      <c r="V269" s="12" t="n">
        <v>11</v>
      </c>
      <c r="W269" s="12" t="n">
        <v>39</v>
      </c>
      <c r="X269" s="12" t="n">
        <v>2</v>
      </c>
      <c r="Y269" s="18" t="n">
        <f aca="false">IF(O269=0,0,T269*27/O269)</f>
        <v>2.56034482758621</v>
      </c>
      <c r="Z269" s="18" t="n">
        <f aca="false">IF(P269=0,0,(V269+R269)/P269)</f>
        <v>0.982758620689655</v>
      </c>
      <c r="AA269" s="18" t="n">
        <f aca="false">IF(O269=0,0,W269*27/O269)</f>
        <v>9.07758620689655</v>
      </c>
      <c r="AB269" s="18" t="n">
        <f aca="false">IF(O269=0,0,V269*27/O269)</f>
        <v>2.56034482758621</v>
      </c>
      <c r="AC269" s="18" t="n">
        <f aca="false">IF(V269=0,0,W269/V269)</f>
        <v>3.54545454545455</v>
      </c>
      <c r="AD269" s="18" t="n">
        <f aca="false">IF(P269=0,0,(13*U269+3*(V269+X269)-2*W269)/P269+INDEX(球季參數!$C$2:$C$4,MATCH($A269,球季參數!$A$2:$A$4,0)))</f>
        <v>3.46620689655172</v>
      </c>
      <c r="AE269" s="11" t="n">
        <f aca="false">IF(P269&gt;=INDEX(球季參數!$F$2:$F$4,MATCH($A269,球季參數!$A$2:$A$4,0)),1,0)</f>
        <v>0</v>
      </c>
    </row>
    <row r="270" customFormat="false" ht="15" hidden="false" customHeight="false" outlineLevel="0" collapsed="false">
      <c r="A270" s="5" t="n">
        <v>2024</v>
      </c>
      <c r="B270" s="7" t="s">
        <v>1553</v>
      </c>
      <c r="C270" s="10" t="str">
        <f aca="false">INDEX(球員主檔!$B$2:$B$749,MATCH($B270,球員主檔!$A$2:$A$749,0))</f>
        <v>Joaquín Delacroix</v>
      </c>
      <c r="D270" s="7" t="s">
        <v>451</v>
      </c>
      <c r="E270" s="10" t="str">
        <f aca="false">INDEX(球隊主檔!$C$2:$C$31,MATCH($D270,球隊主檔!$A$2:$A$31,0))</f>
        <v>科羅拉多落磯</v>
      </c>
      <c r="F270" s="10" t="str">
        <f aca="false">INDEX(球隊主檔!$D$2:$D$31,MATCH($D270,球隊主檔!$A$2:$A$31,0))</f>
        <v>國聯</v>
      </c>
      <c r="G270" s="7" t="s">
        <v>507</v>
      </c>
      <c r="H270" s="11" t="n">
        <f aca="false">INT((DATE($A270,7,1)-INDEX(球員主檔!$G$2:$G$749,MATCH($B270,球員主檔!$A$2:$A$749,0)))/365.25)</f>
        <v>27</v>
      </c>
      <c r="I270" s="12" t="n">
        <v>1</v>
      </c>
      <c r="J270" s="12" t="n">
        <v>0</v>
      </c>
      <c r="K270" s="12" t="n">
        <v>4</v>
      </c>
      <c r="L270" s="12" t="n">
        <v>25</v>
      </c>
      <c r="M270" s="12" t="n">
        <v>60</v>
      </c>
      <c r="N270" s="12" t="n">
        <v>0</v>
      </c>
      <c r="O270" s="12" t="n">
        <v>182</v>
      </c>
      <c r="P270" s="16" t="n">
        <f aca="false">O270/3</f>
        <v>60.6666666666667</v>
      </c>
      <c r="Q270" s="17" t="str">
        <f aca="false">INT(O270/3)&amp;"."&amp;MOD(O270,3)</f>
        <v>60.2</v>
      </c>
      <c r="R270" s="12" t="n">
        <v>49</v>
      </c>
      <c r="S270" s="12" t="n">
        <v>27</v>
      </c>
      <c r="T270" s="12" t="n">
        <v>26</v>
      </c>
      <c r="U270" s="12" t="n">
        <v>7</v>
      </c>
      <c r="V270" s="12" t="n">
        <v>32</v>
      </c>
      <c r="W270" s="12" t="n">
        <v>88</v>
      </c>
      <c r="X270" s="12" t="n">
        <v>4</v>
      </c>
      <c r="Y270" s="18" t="n">
        <f aca="false">IF(O270=0,0,T270*27/O270)</f>
        <v>3.85714285714286</v>
      </c>
      <c r="Z270" s="18" t="n">
        <f aca="false">IF(P270=0,0,(V270+R270)/P270)</f>
        <v>1.33516483516484</v>
      </c>
      <c r="AA270" s="18" t="n">
        <f aca="false">IF(O270=0,0,W270*27/O270)</f>
        <v>13.0549450549451</v>
      </c>
      <c r="AB270" s="18" t="n">
        <f aca="false">IF(O270=0,0,V270*27/O270)</f>
        <v>4.74725274725275</v>
      </c>
      <c r="AC270" s="18" t="n">
        <f aca="false">IF(V270=0,0,W270/V270)</f>
        <v>2.75</v>
      </c>
      <c r="AD270" s="18" t="n">
        <f aca="false">IF(P270=0,0,(13*U270+3*(V270+X270)-2*W270)/P270+INDEX(球季參數!$C$2:$C$4,MATCH($A270,球季參數!$A$2:$A$4,0)))</f>
        <v>3.50912087912088</v>
      </c>
      <c r="AE270" s="11" t="n">
        <f aca="false">IF(P270&gt;=INDEX(球季參數!$F$2:$F$4,MATCH($A270,球季參數!$A$2:$A$4,0)),1,0)</f>
        <v>0</v>
      </c>
    </row>
    <row r="271" customFormat="false" ht="15" hidden="false" customHeight="false" outlineLevel="0" collapsed="false">
      <c r="A271" s="5" t="n">
        <v>2024</v>
      </c>
      <c r="B271" s="7" t="s">
        <v>1555</v>
      </c>
      <c r="C271" s="10" t="str">
        <f aca="false">INDEX(球員主檔!$B$2:$B$749,MATCH($B271,球員主檔!$A$2:$A$749,0))</f>
        <v>Wyatt Engelhardt</v>
      </c>
      <c r="D271" s="7" t="s">
        <v>451</v>
      </c>
      <c r="E271" s="10" t="str">
        <f aca="false">INDEX(球隊主檔!$C$2:$C$31,MATCH($D271,球隊主檔!$A$2:$A$31,0))</f>
        <v>科羅拉多落磯</v>
      </c>
      <c r="F271" s="10" t="str">
        <f aca="false">INDEX(球隊主檔!$D$2:$D$31,MATCH($D271,球隊主檔!$A$2:$A$31,0))</f>
        <v>國聯</v>
      </c>
      <c r="G271" s="7" t="s">
        <v>507</v>
      </c>
      <c r="H271" s="11" t="n">
        <f aca="false">INT((DATE($A271,7,1)-INDEX(球員主檔!$G$2:$G$749,MATCH($B271,球員主檔!$A$2:$A$749,0)))/365.25)</f>
        <v>24</v>
      </c>
      <c r="I271" s="12" t="n">
        <v>5</v>
      </c>
      <c r="J271" s="12" t="n">
        <v>4</v>
      </c>
      <c r="K271" s="12" t="n">
        <v>3</v>
      </c>
      <c r="L271" s="12" t="n">
        <v>13</v>
      </c>
      <c r="M271" s="12" t="n">
        <v>61</v>
      </c>
      <c r="N271" s="12" t="n">
        <v>0</v>
      </c>
      <c r="O271" s="12" t="n">
        <v>191</v>
      </c>
      <c r="P271" s="16" t="n">
        <f aca="false">O271/3</f>
        <v>63.6666666666667</v>
      </c>
      <c r="Q271" s="17" t="str">
        <f aca="false">INT(O271/3)&amp;"."&amp;MOD(O271,3)</f>
        <v>63.2</v>
      </c>
      <c r="R271" s="12" t="n">
        <v>55</v>
      </c>
      <c r="S271" s="12" t="n">
        <v>32</v>
      </c>
      <c r="T271" s="12" t="n">
        <v>31</v>
      </c>
      <c r="U271" s="12" t="n">
        <v>6</v>
      </c>
      <c r="V271" s="12" t="n">
        <v>27</v>
      </c>
      <c r="W271" s="12" t="n">
        <v>73</v>
      </c>
      <c r="X271" s="12" t="n">
        <v>2</v>
      </c>
      <c r="Y271" s="18" t="n">
        <f aca="false">IF(O271=0,0,T271*27/O271)</f>
        <v>4.38219895287958</v>
      </c>
      <c r="Z271" s="18" t="n">
        <f aca="false">IF(P271=0,0,(V271+R271)/P271)</f>
        <v>1.28795811518325</v>
      </c>
      <c r="AA271" s="18" t="n">
        <f aca="false">IF(O271=0,0,W271*27/O271)</f>
        <v>10.3193717277487</v>
      </c>
      <c r="AB271" s="18" t="n">
        <f aca="false">IF(O271=0,0,V271*27/O271)</f>
        <v>3.81675392670157</v>
      </c>
      <c r="AC271" s="18" t="n">
        <f aca="false">IF(V271=0,0,W271/V271)</f>
        <v>2.7037037037037</v>
      </c>
      <c r="AD271" s="18" t="n">
        <f aca="false">IF(P271=0,0,(13*U271+3*(V271+X271)-2*W271)/P271+INDEX(球季參數!$C$2:$C$4,MATCH($A271,球季參數!$A$2:$A$4,0)))</f>
        <v>3.42842931937173</v>
      </c>
      <c r="AE271" s="11" t="n">
        <f aca="false">IF(P271&gt;=INDEX(球季參數!$F$2:$F$4,MATCH($A271,球季參數!$A$2:$A$4,0)),1,0)</f>
        <v>0</v>
      </c>
    </row>
    <row r="272" customFormat="false" ht="15" hidden="false" customHeight="false" outlineLevel="0" collapsed="false">
      <c r="A272" s="5" t="n">
        <v>2024</v>
      </c>
      <c r="B272" s="7" t="s">
        <v>1577</v>
      </c>
      <c r="C272" s="10" t="str">
        <f aca="false">INDEX(球員主檔!$B$2:$B$749,MATCH($B272,球員主檔!$A$2:$A$749,0))</f>
        <v>Lorenzo Kowalczyk</v>
      </c>
      <c r="D272" s="7" t="s">
        <v>455</v>
      </c>
      <c r="E272" s="10" t="str">
        <f aca="false">INDEX(球隊主檔!$C$2:$C$31,MATCH($D272,球隊主檔!$A$2:$A$31,0))</f>
        <v>洛杉磯道奇</v>
      </c>
      <c r="F272" s="10" t="str">
        <f aca="false">INDEX(球隊主檔!$D$2:$D$31,MATCH($D272,球隊主檔!$A$2:$A$31,0))</f>
        <v>國聯</v>
      </c>
      <c r="G272" s="7" t="s">
        <v>496</v>
      </c>
      <c r="H272" s="11" t="n">
        <f aca="false">INT((DATE($A272,7,1)-INDEX(球員主檔!$G$2:$G$749,MATCH($B272,球員主檔!$A$2:$A$749,0)))/365.25)</f>
        <v>29</v>
      </c>
      <c r="I272" s="12" t="n">
        <v>16</v>
      </c>
      <c r="J272" s="12" t="n">
        <v>4</v>
      </c>
      <c r="K272" s="12" t="n">
        <v>0</v>
      </c>
      <c r="L272" s="12" t="n">
        <v>0</v>
      </c>
      <c r="M272" s="12" t="n">
        <v>30</v>
      </c>
      <c r="N272" s="12" t="n">
        <v>30</v>
      </c>
      <c r="O272" s="12" t="n">
        <v>522</v>
      </c>
      <c r="P272" s="16" t="n">
        <f aca="false">O272/3</f>
        <v>174</v>
      </c>
      <c r="Q272" s="17" t="str">
        <f aca="false">INT(O272/3)&amp;"."&amp;MOD(O272,3)</f>
        <v>174.0</v>
      </c>
      <c r="R272" s="12" t="n">
        <v>136</v>
      </c>
      <c r="S272" s="12" t="n">
        <v>66</v>
      </c>
      <c r="T272" s="12" t="n">
        <v>60</v>
      </c>
      <c r="U272" s="12" t="n">
        <v>18</v>
      </c>
      <c r="V272" s="12" t="n">
        <v>31</v>
      </c>
      <c r="W272" s="12" t="n">
        <v>168</v>
      </c>
      <c r="X272" s="12" t="n">
        <v>8</v>
      </c>
      <c r="Y272" s="18" t="n">
        <f aca="false">IF(O272=0,0,T272*27/O272)</f>
        <v>3.10344827586207</v>
      </c>
      <c r="Z272" s="18" t="n">
        <f aca="false">IF(P272=0,0,(V272+R272)/P272)</f>
        <v>0.959770114942529</v>
      </c>
      <c r="AA272" s="18" t="n">
        <f aca="false">IF(O272=0,0,W272*27/O272)</f>
        <v>8.68965517241379</v>
      </c>
      <c r="AB272" s="18" t="n">
        <f aca="false">IF(O272=0,0,V272*27/O272)</f>
        <v>1.60344827586207</v>
      </c>
      <c r="AC272" s="18" t="n">
        <f aca="false">IF(V272=0,0,W272/V272)</f>
        <v>5.41935483870968</v>
      </c>
      <c r="AD272" s="18" t="n">
        <f aca="false">IF(P272=0,0,(13*U272+3*(V272+X272)-2*W272)/P272+INDEX(球季參數!$C$2:$C$4,MATCH($A272,球季參數!$A$2:$A$4,0)))</f>
        <v>3.21620689655172</v>
      </c>
      <c r="AE272" s="11" t="n">
        <f aca="false">IF(P272&gt;=INDEX(球季參數!$F$2:$F$4,MATCH($A272,球季參數!$A$2:$A$4,0)),1,0)</f>
        <v>1</v>
      </c>
    </row>
    <row r="273" customFormat="false" ht="15" hidden="false" customHeight="false" outlineLevel="0" collapsed="false">
      <c r="A273" s="5" t="n">
        <v>2024</v>
      </c>
      <c r="B273" s="7" t="s">
        <v>1579</v>
      </c>
      <c r="C273" s="10" t="str">
        <f aca="false">INDEX(球員主檔!$B$2:$B$749,MATCH($B273,球員主檔!$A$2:$A$749,0))</f>
        <v>Yusuke Engelhardt</v>
      </c>
      <c r="D273" s="7" t="s">
        <v>455</v>
      </c>
      <c r="E273" s="10" t="str">
        <f aca="false">INDEX(球隊主檔!$C$2:$C$31,MATCH($D273,球隊主檔!$A$2:$A$31,0))</f>
        <v>洛杉磯道奇</v>
      </c>
      <c r="F273" s="10" t="str">
        <f aca="false">INDEX(球隊主檔!$D$2:$D$31,MATCH($D273,球隊主檔!$A$2:$A$31,0))</f>
        <v>國聯</v>
      </c>
      <c r="G273" s="7" t="s">
        <v>496</v>
      </c>
      <c r="H273" s="11" t="n">
        <f aca="false">INT((DATE($A273,7,1)-INDEX(球員主檔!$G$2:$G$749,MATCH($B273,球員主檔!$A$2:$A$749,0)))/365.25)</f>
        <v>24</v>
      </c>
      <c r="I273" s="12" t="n">
        <v>8</v>
      </c>
      <c r="J273" s="12" t="n">
        <v>6</v>
      </c>
      <c r="K273" s="12" t="n">
        <v>0</v>
      </c>
      <c r="L273" s="12" t="n">
        <v>0</v>
      </c>
      <c r="M273" s="12" t="n">
        <v>22</v>
      </c>
      <c r="N273" s="12" t="n">
        <v>22</v>
      </c>
      <c r="O273" s="12" t="n">
        <v>332</v>
      </c>
      <c r="P273" s="16" t="n">
        <f aca="false">O273/3</f>
        <v>110.666666666667</v>
      </c>
      <c r="Q273" s="17" t="str">
        <f aca="false">INT(O273/3)&amp;"."&amp;MOD(O273,3)</f>
        <v>110.2</v>
      </c>
      <c r="R273" s="12" t="n">
        <v>92</v>
      </c>
      <c r="S273" s="12" t="n">
        <v>59</v>
      </c>
      <c r="T273" s="12" t="n">
        <v>57</v>
      </c>
      <c r="U273" s="12" t="n">
        <v>10</v>
      </c>
      <c r="V273" s="12" t="n">
        <v>33</v>
      </c>
      <c r="W273" s="12" t="n">
        <v>119</v>
      </c>
      <c r="X273" s="12" t="n">
        <v>7</v>
      </c>
      <c r="Y273" s="18" t="n">
        <f aca="false">IF(O273=0,0,T273*27/O273)</f>
        <v>4.6355421686747</v>
      </c>
      <c r="Z273" s="18" t="n">
        <f aca="false">IF(P273=0,0,(V273+R273)/P273)</f>
        <v>1.12951807228916</v>
      </c>
      <c r="AA273" s="18" t="n">
        <f aca="false">IF(O273=0,0,W273*27/O273)</f>
        <v>9.6777108433735</v>
      </c>
      <c r="AB273" s="18" t="n">
        <f aca="false">IF(O273=0,0,V273*27/O273)</f>
        <v>2.68373493975904</v>
      </c>
      <c r="AC273" s="18" t="n">
        <f aca="false">IF(V273=0,0,W273/V273)</f>
        <v>3.60606060606061</v>
      </c>
      <c r="AD273" s="18" t="n">
        <f aca="false">IF(P273=0,0,(13*U273+3*(V273+X273)-2*W273)/P273+INDEX(球季參數!$C$2:$C$4,MATCH($A273,球季參數!$A$2:$A$4,0)))</f>
        <v>3.23843373493976</v>
      </c>
      <c r="AE273" s="11" t="n">
        <f aca="false">IF(P273&gt;=INDEX(球季參數!$F$2:$F$4,MATCH($A273,球季參數!$A$2:$A$4,0)),1,0)</f>
        <v>0</v>
      </c>
    </row>
    <row r="274" customFormat="false" ht="15" hidden="false" customHeight="false" outlineLevel="0" collapsed="false">
      <c r="A274" s="5" t="n">
        <v>2024</v>
      </c>
      <c r="B274" s="7" t="s">
        <v>1581</v>
      </c>
      <c r="C274" s="10" t="str">
        <f aca="false">INDEX(球員主檔!$B$2:$B$749,MATCH($B274,球員主檔!$A$2:$A$749,0))</f>
        <v>Konrad Montalvo</v>
      </c>
      <c r="D274" s="7" t="s">
        <v>455</v>
      </c>
      <c r="E274" s="10" t="str">
        <f aca="false">INDEX(球隊主檔!$C$2:$C$31,MATCH($D274,球隊主檔!$A$2:$A$31,0))</f>
        <v>洛杉磯道奇</v>
      </c>
      <c r="F274" s="10" t="str">
        <f aca="false">INDEX(球隊主檔!$D$2:$D$31,MATCH($D274,球隊主檔!$A$2:$A$31,0))</f>
        <v>國聯</v>
      </c>
      <c r="G274" s="7" t="s">
        <v>496</v>
      </c>
      <c r="H274" s="11" t="n">
        <f aca="false">INT((DATE($A274,7,1)-INDEX(球員主檔!$G$2:$G$749,MATCH($B274,球員主檔!$A$2:$A$749,0)))/365.25)</f>
        <v>31</v>
      </c>
      <c r="I274" s="12" t="n">
        <v>11</v>
      </c>
      <c r="J274" s="12" t="n">
        <v>10</v>
      </c>
      <c r="K274" s="12" t="n">
        <v>0</v>
      </c>
      <c r="L274" s="12" t="n">
        <v>0</v>
      </c>
      <c r="M274" s="12" t="n">
        <v>30</v>
      </c>
      <c r="N274" s="12" t="n">
        <v>30</v>
      </c>
      <c r="O274" s="12" t="n">
        <v>559</v>
      </c>
      <c r="P274" s="16" t="n">
        <f aca="false">O274/3</f>
        <v>186.333333333333</v>
      </c>
      <c r="Q274" s="17" t="str">
        <f aca="false">INT(O274/3)&amp;"."&amp;MOD(O274,3)</f>
        <v>186.1</v>
      </c>
      <c r="R274" s="12" t="n">
        <v>160</v>
      </c>
      <c r="S274" s="12" t="n">
        <v>98</v>
      </c>
      <c r="T274" s="12" t="n">
        <v>98</v>
      </c>
      <c r="U274" s="12" t="n">
        <v>19</v>
      </c>
      <c r="V274" s="12" t="n">
        <v>68</v>
      </c>
      <c r="W274" s="12" t="n">
        <v>175</v>
      </c>
      <c r="X274" s="12" t="n">
        <v>7</v>
      </c>
      <c r="Y274" s="18" t="n">
        <f aca="false">IF(O274=0,0,T274*27/O274)</f>
        <v>4.73345259391771</v>
      </c>
      <c r="Z274" s="18" t="n">
        <f aca="false">IF(P274=0,0,(V274+R274)/P274)</f>
        <v>1.22361359570662</v>
      </c>
      <c r="AA274" s="18" t="n">
        <f aca="false">IF(O274=0,0,W274*27/O274)</f>
        <v>8.4525939177102</v>
      </c>
      <c r="AB274" s="18" t="n">
        <f aca="false">IF(O274=0,0,V274*27/O274)</f>
        <v>3.28443649373882</v>
      </c>
      <c r="AC274" s="18" t="n">
        <f aca="false">IF(V274=0,0,W274/V274)</f>
        <v>2.57352941176471</v>
      </c>
      <c r="AD274" s="18" t="n">
        <f aca="false">IF(P274=0,0,(13*U274+3*(V274+X274)-2*W274)/P274+INDEX(球季參數!$C$2:$C$4,MATCH($A274,球季參數!$A$2:$A$4,0)))</f>
        <v>3.78474060822898</v>
      </c>
      <c r="AE274" s="11" t="n">
        <f aca="false">IF(P274&gt;=INDEX(球季參數!$F$2:$F$4,MATCH($A274,球季參數!$A$2:$A$4,0)),1,0)</f>
        <v>1</v>
      </c>
    </row>
    <row r="275" customFormat="false" ht="15" hidden="false" customHeight="false" outlineLevel="0" collapsed="false">
      <c r="A275" s="5" t="n">
        <v>2024</v>
      </c>
      <c r="B275" s="7" t="s">
        <v>1583</v>
      </c>
      <c r="C275" s="10" t="str">
        <f aca="false">INDEX(球員主檔!$B$2:$B$749,MATCH($B275,球員主檔!$A$2:$A$749,0))</f>
        <v>Thiago Marchetti</v>
      </c>
      <c r="D275" s="7" t="s">
        <v>455</v>
      </c>
      <c r="E275" s="10" t="str">
        <f aca="false">INDEX(球隊主檔!$C$2:$C$31,MATCH($D275,球隊主檔!$A$2:$A$31,0))</f>
        <v>洛杉磯道奇</v>
      </c>
      <c r="F275" s="10" t="str">
        <f aca="false">INDEX(球隊主檔!$D$2:$D$31,MATCH($D275,球隊主檔!$A$2:$A$31,0))</f>
        <v>國聯</v>
      </c>
      <c r="G275" s="7" t="s">
        <v>496</v>
      </c>
      <c r="H275" s="11" t="n">
        <f aca="false">INT((DATE($A275,7,1)-INDEX(球員主檔!$G$2:$G$749,MATCH($B275,球員主檔!$A$2:$A$749,0)))/365.25)</f>
        <v>27</v>
      </c>
      <c r="I275" s="12" t="n">
        <v>14</v>
      </c>
      <c r="J275" s="12" t="n">
        <v>8</v>
      </c>
      <c r="K275" s="12" t="n">
        <v>0</v>
      </c>
      <c r="L275" s="12" t="n">
        <v>0</v>
      </c>
      <c r="M275" s="12" t="n">
        <v>33</v>
      </c>
      <c r="N275" s="12" t="n">
        <v>33</v>
      </c>
      <c r="O275" s="12" t="n">
        <v>491</v>
      </c>
      <c r="P275" s="16" t="n">
        <f aca="false">O275/3</f>
        <v>163.666666666667</v>
      </c>
      <c r="Q275" s="17" t="str">
        <f aca="false">INT(O275/3)&amp;"."&amp;MOD(O275,3)</f>
        <v>163.2</v>
      </c>
      <c r="R275" s="12" t="n">
        <v>147</v>
      </c>
      <c r="S275" s="12" t="n">
        <v>79</v>
      </c>
      <c r="T275" s="12" t="n">
        <v>76</v>
      </c>
      <c r="U275" s="12" t="n">
        <v>12</v>
      </c>
      <c r="V275" s="12" t="n">
        <v>33</v>
      </c>
      <c r="W275" s="12" t="n">
        <v>145</v>
      </c>
      <c r="X275" s="12" t="n">
        <v>3</v>
      </c>
      <c r="Y275" s="18" t="n">
        <f aca="false">IF(O275=0,0,T275*27/O275)</f>
        <v>4.17922606924644</v>
      </c>
      <c r="Z275" s="18" t="n">
        <f aca="false">IF(P275=0,0,(V275+R275)/P275)</f>
        <v>1.09979633401222</v>
      </c>
      <c r="AA275" s="18" t="n">
        <f aca="false">IF(O275=0,0,W275*27/O275)</f>
        <v>7.97352342158859</v>
      </c>
      <c r="AB275" s="18" t="n">
        <f aca="false">IF(O275=0,0,V275*27/O275)</f>
        <v>1.81466395112016</v>
      </c>
      <c r="AC275" s="18" t="n">
        <f aca="false">IF(V275=0,0,W275/V275)</f>
        <v>4.39393939393939</v>
      </c>
      <c r="AD275" s="18" t="n">
        <f aca="false">IF(P275=0,0,(13*U275+3*(V275+X275)-2*W275)/P275+INDEX(球季參數!$C$2:$C$4,MATCH($A275,球季參數!$A$2:$A$4,0)))</f>
        <v>2.97114052953157</v>
      </c>
      <c r="AE275" s="11" t="n">
        <f aca="false">IF(P275&gt;=INDEX(球季參數!$F$2:$F$4,MATCH($A275,球季參數!$A$2:$A$4,0)),1,0)</f>
        <v>1</v>
      </c>
    </row>
    <row r="276" customFormat="false" ht="15" hidden="false" customHeight="false" outlineLevel="0" collapsed="false">
      <c r="A276" s="5" t="n">
        <v>2024</v>
      </c>
      <c r="B276" s="7" t="s">
        <v>1585</v>
      </c>
      <c r="C276" s="10" t="str">
        <f aca="false">INDEX(球員主檔!$B$2:$B$749,MATCH($B276,球員主檔!$A$2:$A$749,0))</f>
        <v>Leandro Ashworth</v>
      </c>
      <c r="D276" s="7" t="s">
        <v>455</v>
      </c>
      <c r="E276" s="10" t="str">
        <f aca="false">INDEX(球隊主檔!$C$2:$C$31,MATCH($D276,球隊主檔!$A$2:$A$31,0))</f>
        <v>洛杉磯道奇</v>
      </c>
      <c r="F276" s="10" t="str">
        <f aca="false">INDEX(球隊主檔!$D$2:$D$31,MATCH($D276,球隊主檔!$A$2:$A$31,0))</f>
        <v>國聯</v>
      </c>
      <c r="G276" s="7" t="s">
        <v>496</v>
      </c>
      <c r="H276" s="11" t="n">
        <f aca="false">INT((DATE($A276,7,1)-INDEX(球員主檔!$G$2:$G$749,MATCH($B276,球員主檔!$A$2:$A$749,0)))/365.25)</f>
        <v>31</v>
      </c>
      <c r="I276" s="12" t="n">
        <v>5</v>
      </c>
      <c r="J276" s="12" t="n">
        <v>3</v>
      </c>
      <c r="K276" s="12" t="n">
        <v>0</v>
      </c>
      <c r="L276" s="12" t="n">
        <v>0</v>
      </c>
      <c r="M276" s="12" t="n">
        <v>11</v>
      </c>
      <c r="N276" s="12" t="n">
        <v>11</v>
      </c>
      <c r="O276" s="12" t="n">
        <v>197</v>
      </c>
      <c r="P276" s="16" t="n">
        <f aca="false">O276/3</f>
        <v>65.6666666666667</v>
      </c>
      <c r="Q276" s="17" t="str">
        <f aca="false">INT(O276/3)&amp;"."&amp;MOD(O276,3)</f>
        <v>65.2</v>
      </c>
      <c r="R276" s="12" t="n">
        <v>54</v>
      </c>
      <c r="S276" s="12" t="n">
        <v>35</v>
      </c>
      <c r="T276" s="12" t="n">
        <v>31</v>
      </c>
      <c r="U276" s="12" t="n">
        <v>10</v>
      </c>
      <c r="V276" s="12" t="n">
        <v>17</v>
      </c>
      <c r="W276" s="12" t="n">
        <v>48</v>
      </c>
      <c r="X276" s="12" t="n">
        <v>1</v>
      </c>
      <c r="Y276" s="18" t="n">
        <f aca="false">IF(O276=0,0,T276*27/O276)</f>
        <v>4.24873096446701</v>
      </c>
      <c r="Z276" s="18" t="n">
        <f aca="false">IF(P276=0,0,(V276+R276)/P276)</f>
        <v>1.08121827411168</v>
      </c>
      <c r="AA276" s="18" t="n">
        <f aca="false">IF(O276=0,0,W276*27/O276)</f>
        <v>6.57868020304569</v>
      </c>
      <c r="AB276" s="18" t="n">
        <f aca="false">IF(O276=0,0,V276*27/O276)</f>
        <v>2.32994923857868</v>
      </c>
      <c r="AC276" s="18" t="n">
        <f aca="false">IF(V276=0,0,W276/V276)</f>
        <v>2.82352941176471</v>
      </c>
      <c r="AD276" s="18" t="n">
        <f aca="false">IF(P276=0,0,(13*U276+3*(V276+X276)-2*W276)/P276+INDEX(球季參數!$C$2:$C$4,MATCH($A276,球季參數!$A$2:$A$4,0)))</f>
        <v>4.47010152284264</v>
      </c>
      <c r="AE276" s="11" t="n">
        <f aca="false">IF(P276&gt;=INDEX(球季參數!$F$2:$F$4,MATCH($A276,球季參數!$A$2:$A$4,0)),1,0)</f>
        <v>0</v>
      </c>
    </row>
    <row r="277" customFormat="false" ht="15" hidden="false" customHeight="false" outlineLevel="0" collapsed="false">
      <c r="A277" s="5" t="n">
        <v>2024</v>
      </c>
      <c r="B277" s="7" t="s">
        <v>1587</v>
      </c>
      <c r="C277" s="10" t="str">
        <f aca="false">INDEX(球員主檔!$B$2:$B$749,MATCH($B277,球員主檔!$A$2:$A$749,0))</f>
        <v>Oakley Yarbrough</v>
      </c>
      <c r="D277" s="7" t="s">
        <v>455</v>
      </c>
      <c r="E277" s="10" t="str">
        <f aca="false">INDEX(球隊主檔!$C$2:$C$31,MATCH($D277,球隊主檔!$A$2:$A$31,0))</f>
        <v>洛杉磯道奇</v>
      </c>
      <c r="F277" s="10" t="str">
        <f aca="false">INDEX(球隊主檔!$D$2:$D$31,MATCH($D277,球隊主檔!$A$2:$A$31,0))</f>
        <v>國聯</v>
      </c>
      <c r="G277" s="7" t="s">
        <v>507</v>
      </c>
      <c r="H277" s="11" t="n">
        <f aca="false">INT((DATE($A277,7,1)-INDEX(球員主檔!$G$2:$G$749,MATCH($B277,球員主檔!$A$2:$A$749,0)))/365.25)</f>
        <v>25</v>
      </c>
      <c r="I277" s="12" t="n">
        <v>6</v>
      </c>
      <c r="J277" s="12" t="n">
        <v>4</v>
      </c>
      <c r="K277" s="12" t="n">
        <v>4</v>
      </c>
      <c r="L277" s="12" t="n">
        <v>22</v>
      </c>
      <c r="M277" s="12" t="n">
        <v>54</v>
      </c>
      <c r="N277" s="12" t="n">
        <v>0</v>
      </c>
      <c r="O277" s="12" t="n">
        <v>144</v>
      </c>
      <c r="P277" s="16" t="n">
        <f aca="false">O277/3</f>
        <v>48</v>
      </c>
      <c r="Q277" s="17" t="str">
        <f aca="false">INT(O277/3)&amp;"."&amp;MOD(O277,3)</f>
        <v>48.0</v>
      </c>
      <c r="R277" s="12" t="n">
        <v>45</v>
      </c>
      <c r="S277" s="12" t="n">
        <v>28</v>
      </c>
      <c r="T277" s="12" t="n">
        <v>28</v>
      </c>
      <c r="U277" s="12" t="n">
        <v>9</v>
      </c>
      <c r="V277" s="12" t="n">
        <v>17</v>
      </c>
      <c r="W277" s="12" t="n">
        <v>58</v>
      </c>
      <c r="X277" s="12" t="n">
        <v>1</v>
      </c>
      <c r="Y277" s="18" t="n">
        <f aca="false">IF(O277=0,0,T277*27/O277)</f>
        <v>5.25</v>
      </c>
      <c r="Z277" s="18" t="n">
        <f aca="false">IF(P277=0,0,(V277+R277)/P277)</f>
        <v>1.29166666666667</v>
      </c>
      <c r="AA277" s="18" t="n">
        <f aca="false">IF(O277=0,0,W277*27/O277)</f>
        <v>10.875</v>
      </c>
      <c r="AB277" s="18" t="n">
        <f aca="false">IF(O277=0,0,V277*27/O277)</f>
        <v>3.1875</v>
      </c>
      <c r="AC277" s="18" t="n">
        <f aca="false">IF(V277=0,0,W277/V277)</f>
        <v>3.41176470588235</v>
      </c>
      <c r="AD277" s="18" t="n">
        <f aca="false">IF(P277=0,0,(13*U277+3*(V277+X277)-2*W277)/P277+INDEX(球季參數!$C$2:$C$4,MATCH($A277,球季參數!$A$2:$A$4,0)))</f>
        <v>4.27583333333333</v>
      </c>
      <c r="AE277" s="11" t="n">
        <f aca="false">IF(P277&gt;=INDEX(球季參數!$F$2:$F$4,MATCH($A277,球季參數!$A$2:$A$4,0)),1,0)</f>
        <v>0</v>
      </c>
    </row>
    <row r="278" customFormat="false" ht="15" hidden="false" customHeight="false" outlineLevel="0" collapsed="false">
      <c r="A278" s="5" t="n">
        <v>2024</v>
      </c>
      <c r="B278" s="7" t="s">
        <v>1589</v>
      </c>
      <c r="C278" s="10" t="str">
        <f aca="false">INDEX(球員主檔!$B$2:$B$749,MATCH($B278,球員主檔!$A$2:$A$749,0))</f>
        <v>Lucien Delacroix</v>
      </c>
      <c r="D278" s="7" t="s">
        <v>455</v>
      </c>
      <c r="E278" s="10" t="str">
        <f aca="false">INDEX(球隊主檔!$C$2:$C$31,MATCH($D278,球隊主檔!$A$2:$A$31,0))</f>
        <v>洛杉磯道奇</v>
      </c>
      <c r="F278" s="10" t="str">
        <f aca="false">INDEX(球隊主檔!$D$2:$D$31,MATCH($D278,球隊主檔!$A$2:$A$31,0))</f>
        <v>國聯</v>
      </c>
      <c r="G278" s="7" t="s">
        <v>507</v>
      </c>
      <c r="H278" s="11" t="n">
        <f aca="false">INT((DATE($A278,7,1)-INDEX(球員主檔!$G$2:$G$749,MATCH($B278,球員主檔!$A$2:$A$749,0)))/365.25)</f>
        <v>26</v>
      </c>
      <c r="I278" s="12" t="n">
        <v>2</v>
      </c>
      <c r="J278" s="12" t="n">
        <v>4</v>
      </c>
      <c r="K278" s="12" t="n">
        <v>4</v>
      </c>
      <c r="L278" s="12" t="n">
        <v>23</v>
      </c>
      <c r="M278" s="12" t="n">
        <v>52</v>
      </c>
      <c r="N278" s="12" t="n">
        <v>0</v>
      </c>
      <c r="O278" s="12" t="n">
        <v>146</v>
      </c>
      <c r="P278" s="16" t="n">
        <f aca="false">O278/3</f>
        <v>48.6666666666667</v>
      </c>
      <c r="Q278" s="17" t="str">
        <f aca="false">INT(O278/3)&amp;"."&amp;MOD(O278,3)</f>
        <v>48.2</v>
      </c>
      <c r="R278" s="12" t="n">
        <v>41</v>
      </c>
      <c r="S278" s="12" t="n">
        <v>23</v>
      </c>
      <c r="T278" s="12" t="n">
        <v>21</v>
      </c>
      <c r="U278" s="12" t="n">
        <v>7</v>
      </c>
      <c r="V278" s="12" t="n">
        <v>13</v>
      </c>
      <c r="W278" s="12" t="n">
        <v>50</v>
      </c>
      <c r="X278" s="12" t="n">
        <v>2</v>
      </c>
      <c r="Y278" s="18" t="n">
        <f aca="false">IF(O278=0,0,T278*27/O278)</f>
        <v>3.88356164383562</v>
      </c>
      <c r="Z278" s="18" t="n">
        <f aca="false">IF(P278=0,0,(V278+R278)/P278)</f>
        <v>1.10958904109589</v>
      </c>
      <c r="AA278" s="18" t="n">
        <f aca="false">IF(O278=0,0,W278*27/O278)</f>
        <v>9.24657534246575</v>
      </c>
      <c r="AB278" s="18" t="n">
        <f aca="false">IF(O278=0,0,V278*27/O278)</f>
        <v>2.4041095890411</v>
      </c>
      <c r="AC278" s="18" t="n">
        <f aca="false">IF(V278=0,0,W278/V278)</f>
        <v>3.84615384615385</v>
      </c>
      <c r="AD278" s="18" t="n">
        <f aca="false">IF(P278=0,0,(13*U278+3*(V278+X278)-2*W278)/P278+INDEX(球季參數!$C$2:$C$4,MATCH($A278,球季參數!$A$2:$A$4,0)))</f>
        <v>3.86972602739726</v>
      </c>
      <c r="AE278" s="11" t="n">
        <f aca="false">IF(P278&gt;=INDEX(球季參數!$F$2:$F$4,MATCH($A278,球季參數!$A$2:$A$4,0)),1,0)</f>
        <v>0</v>
      </c>
    </row>
    <row r="279" customFormat="false" ht="15" hidden="false" customHeight="false" outlineLevel="0" collapsed="false">
      <c r="A279" s="5" t="n">
        <v>2024</v>
      </c>
      <c r="B279" s="7" t="s">
        <v>1591</v>
      </c>
      <c r="C279" s="10" t="str">
        <f aca="false">INDEX(球員主檔!$B$2:$B$749,MATCH($B279,球員主檔!$A$2:$A$749,0))</f>
        <v>Kellan Lemieux</v>
      </c>
      <c r="D279" s="7" t="s">
        <v>455</v>
      </c>
      <c r="E279" s="10" t="str">
        <f aca="false">INDEX(球隊主檔!$C$2:$C$31,MATCH($D279,球隊主檔!$A$2:$A$31,0))</f>
        <v>洛杉磯道奇</v>
      </c>
      <c r="F279" s="10" t="str">
        <f aca="false">INDEX(球隊主檔!$D$2:$D$31,MATCH($D279,球隊主檔!$A$2:$A$31,0))</f>
        <v>國聯</v>
      </c>
      <c r="G279" s="7" t="s">
        <v>507</v>
      </c>
      <c r="H279" s="11" t="n">
        <f aca="false">INT((DATE($A279,7,1)-INDEX(球員主檔!$G$2:$G$749,MATCH($B279,球員主檔!$A$2:$A$749,0)))/365.25)</f>
        <v>31</v>
      </c>
      <c r="I279" s="12" t="n">
        <v>6</v>
      </c>
      <c r="J279" s="12" t="n">
        <v>0</v>
      </c>
      <c r="K279" s="12" t="n">
        <v>6</v>
      </c>
      <c r="L279" s="12" t="n">
        <v>7</v>
      </c>
      <c r="M279" s="12" t="n">
        <v>39</v>
      </c>
      <c r="N279" s="12" t="n">
        <v>0</v>
      </c>
      <c r="O279" s="12" t="n">
        <v>119</v>
      </c>
      <c r="P279" s="16" t="n">
        <f aca="false">O279/3</f>
        <v>39.6666666666667</v>
      </c>
      <c r="Q279" s="17" t="str">
        <f aca="false">INT(O279/3)&amp;"."&amp;MOD(O279,3)</f>
        <v>39.2</v>
      </c>
      <c r="R279" s="12" t="n">
        <v>31</v>
      </c>
      <c r="S279" s="12" t="n">
        <v>17</v>
      </c>
      <c r="T279" s="12" t="n">
        <v>16</v>
      </c>
      <c r="U279" s="12" t="n">
        <v>9</v>
      </c>
      <c r="V279" s="12" t="n">
        <v>11</v>
      </c>
      <c r="W279" s="12" t="n">
        <v>33</v>
      </c>
      <c r="X279" s="12" t="n">
        <v>1</v>
      </c>
      <c r="Y279" s="18" t="n">
        <f aca="false">IF(O279=0,0,T279*27/O279)</f>
        <v>3.63025210084034</v>
      </c>
      <c r="Z279" s="18" t="n">
        <f aca="false">IF(P279=0,0,(V279+R279)/P279)</f>
        <v>1.05882352941176</v>
      </c>
      <c r="AA279" s="18" t="n">
        <f aca="false">IF(O279=0,0,W279*27/O279)</f>
        <v>7.48739495798319</v>
      </c>
      <c r="AB279" s="18" t="n">
        <f aca="false">IF(O279=0,0,V279*27/O279)</f>
        <v>2.49579831932773</v>
      </c>
      <c r="AC279" s="18" t="n">
        <f aca="false">IF(V279=0,0,W279/V279)</f>
        <v>3</v>
      </c>
      <c r="AD279" s="18" t="n">
        <f aca="false">IF(P279=0,0,(13*U279+3*(V279+X279)-2*W279)/P279+INDEX(球季參數!$C$2:$C$4,MATCH($A279,球季參數!$A$2:$A$4,0)))</f>
        <v>5.32327731092437</v>
      </c>
      <c r="AE279" s="11" t="n">
        <f aca="false">IF(P279&gt;=INDEX(球季參數!$F$2:$F$4,MATCH($A279,球季參數!$A$2:$A$4,0)),1,0)</f>
        <v>0</v>
      </c>
    </row>
    <row r="280" customFormat="false" ht="15" hidden="false" customHeight="false" outlineLevel="0" collapsed="false">
      <c r="A280" s="5" t="n">
        <v>2024</v>
      </c>
      <c r="B280" s="7" t="s">
        <v>1593</v>
      </c>
      <c r="C280" s="10" t="str">
        <f aca="false">INDEX(球員主檔!$B$2:$B$749,MATCH($B280,球員主檔!$A$2:$A$749,0))</f>
        <v>Bernardo Tremblay</v>
      </c>
      <c r="D280" s="7" t="s">
        <v>455</v>
      </c>
      <c r="E280" s="10" t="str">
        <f aca="false">INDEX(球隊主檔!$C$2:$C$31,MATCH($D280,球隊主檔!$A$2:$A$31,0))</f>
        <v>洛杉磯道奇</v>
      </c>
      <c r="F280" s="10" t="str">
        <f aca="false">INDEX(球隊主檔!$D$2:$D$31,MATCH($D280,球隊主檔!$A$2:$A$31,0))</f>
        <v>國聯</v>
      </c>
      <c r="G280" s="7" t="s">
        <v>507</v>
      </c>
      <c r="H280" s="11" t="n">
        <f aca="false">INT((DATE($A280,7,1)-INDEX(球員主檔!$G$2:$G$749,MATCH($B280,球員主檔!$A$2:$A$749,0)))/365.25)</f>
        <v>32</v>
      </c>
      <c r="I280" s="12" t="n">
        <v>0</v>
      </c>
      <c r="J280" s="12" t="n">
        <v>2</v>
      </c>
      <c r="K280" s="12" t="n">
        <v>3</v>
      </c>
      <c r="L280" s="12" t="n">
        <v>3</v>
      </c>
      <c r="M280" s="12" t="n">
        <v>74</v>
      </c>
      <c r="N280" s="12" t="n">
        <v>0</v>
      </c>
      <c r="O280" s="12" t="n">
        <v>217</v>
      </c>
      <c r="P280" s="16" t="n">
        <f aca="false">O280/3</f>
        <v>72.3333333333333</v>
      </c>
      <c r="Q280" s="17" t="str">
        <f aca="false">INT(O280/3)&amp;"."&amp;MOD(O280,3)</f>
        <v>72.1</v>
      </c>
      <c r="R280" s="12" t="n">
        <v>61</v>
      </c>
      <c r="S280" s="12" t="n">
        <v>33</v>
      </c>
      <c r="T280" s="12" t="n">
        <v>30</v>
      </c>
      <c r="U280" s="12" t="n">
        <v>7</v>
      </c>
      <c r="V280" s="12" t="n">
        <v>22</v>
      </c>
      <c r="W280" s="12" t="n">
        <v>46</v>
      </c>
      <c r="X280" s="12" t="n">
        <v>4</v>
      </c>
      <c r="Y280" s="18" t="n">
        <f aca="false">IF(O280=0,0,T280*27/O280)</f>
        <v>3.73271889400922</v>
      </c>
      <c r="Z280" s="18" t="n">
        <f aca="false">IF(P280=0,0,(V280+R280)/P280)</f>
        <v>1.14746543778802</v>
      </c>
      <c r="AA280" s="18" t="n">
        <f aca="false">IF(O280=0,0,W280*27/O280)</f>
        <v>5.72350230414747</v>
      </c>
      <c r="AB280" s="18" t="n">
        <f aca="false">IF(O280=0,0,V280*27/O280)</f>
        <v>2.73732718894009</v>
      </c>
      <c r="AC280" s="18" t="n">
        <f aca="false">IF(V280=0,0,W280/V280)</f>
        <v>2.09090909090909</v>
      </c>
      <c r="AD280" s="18" t="n">
        <f aca="false">IF(P280=0,0,(13*U280+3*(V280+X280)-2*W280)/P280+INDEX(球季參數!$C$2:$C$4,MATCH($A280,球季參數!$A$2:$A$4,0)))</f>
        <v>4.19451612903226</v>
      </c>
      <c r="AE280" s="11" t="n">
        <f aca="false">IF(P280&gt;=INDEX(球季參數!$F$2:$F$4,MATCH($A280,球季參數!$A$2:$A$4,0)),1,0)</f>
        <v>0</v>
      </c>
    </row>
    <row r="281" customFormat="false" ht="15" hidden="false" customHeight="false" outlineLevel="0" collapsed="false">
      <c r="A281" s="5" t="n">
        <v>2024</v>
      </c>
      <c r="B281" s="7" t="s">
        <v>1595</v>
      </c>
      <c r="C281" s="10" t="str">
        <f aca="false">INDEX(球員主檔!$B$2:$B$749,MATCH($B281,球員主檔!$A$2:$A$749,0))</f>
        <v>Cedric Nakagawa</v>
      </c>
      <c r="D281" s="7" t="s">
        <v>455</v>
      </c>
      <c r="E281" s="10" t="str">
        <f aca="false">INDEX(球隊主檔!$C$2:$C$31,MATCH($D281,球隊主檔!$A$2:$A$31,0))</f>
        <v>洛杉磯道奇</v>
      </c>
      <c r="F281" s="10" t="str">
        <f aca="false">INDEX(球隊主檔!$D$2:$D$31,MATCH($D281,球隊主檔!$A$2:$A$31,0))</f>
        <v>國聯</v>
      </c>
      <c r="G281" s="7" t="s">
        <v>507</v>
      </c>
      <c r="H281" s="11" t="n">
        <f aca="false">INT((DATE($A281,7,1)-INDEX(球員主檔!$G$2:$G$749,MATCH($B281,球員主檔!$A$2:$A$749,0)))/365.25)</f>
        <v>24</v>
      </c>
      <c r="I281" s="12" t="n">
        <v>7</v>
      </c>
      <c r="J281" s="12" t="n">
        <v>7</v>
      </c>
      <c r="K281" s="12" t="n">
        <v>2</v>
      </c>
      <c r="L281" s="12" t="n">
        <v>29</v>
      </c>
      <c r="M281" s="12" t="n">
        <v>40</v>
      </c>
      <c r="N281" s="12" t="n">
        <v>0</v>
      </c>
      <c r="O281" s="12" t="n">
        <v>114</v>
      </c>
      <c r="P281" s="16" t="n">
        <f aca="false">O281/3</f>
        <v>38</v>
      </c>
      <c r="Q281" s="17" t="str">
        <f aca="false">INT(O281/3)&amp;"."&amp;MOD(O281,3)</f>
        <v>38.0</v>
      </c>
      <c r="R281" s="12" t="n">
        <v>33</v>
      </c>
      <c r="S281" s="12" t="n">
        <v>21</v>
      </c>
      <c r="T281" s="12" t="n">
        <v>19</v>
      </c>
      <c r="U281" s="12" t="n">
        <v>3</v>
      </c>
      <c r="V281" s="12" t="n">
        <v>12</v>
      </c>
      <c r="W281" s="12" t="n">
        <v>22</v>
      </c>
      <c r="X281" s="12" t="n">
        <v>2</v>
      </c>
      <c r="Y281" s="18" t="n">
        <f aca="false">IF(O281=0,0,T281*27/O281)</f>
        <v>4.5</v>
      </c>
      <c r="Z281" s="18" t="n">
        <f aca="false">IF(P281=0,0,(V281+R281)/P281)</f>
        <v>1.18421052631579</v>
      </c>
      <c r="AA281" s="18" t="n">
        <f aca="false">IF(O281=0,0,W281*27/O281)</f>
        <v>5.21052631578947</v>
      </c>
      <c r="AB281" s="18" t="n">
        <f aca="false">IF(O281=0,0,V281*27/O281)</f>
        <v>2.84210526315789</v>
      </c>
      <c r="AC281" s="18" t="n">
        <f aca="false">IF(V281=0,0,W281/V281)</f>
        <v>1.83333333333333</v>
      </c>
      <c r="AD281" s="18" t="n">
        <f aca="false">IF(P281=0,0,(13*U281+3*(V281+X281)-2*W281)/P281+INDEX(球季參數!$C$2:$C$4,MATCH($A281,球季參數!$A$2:$A$4,0)))</f>
        <v>4.10368421052632</v>
      </c>
      <c r="AE281" s="11" t="n">
        <f aca="false">IF(P281&gt;=INDEX(球季參數!$F$2:$F$4,MATCH($A281,球季參數!$A$2:$A$4,0)),1,0)</f>
        <v>0</v>
      </c>
    </row>
    <row r="282" customFormat="false" ht="15" hidden="false" customHeight="false" outlineLevel="0" collapsed="false">
      <c r="A282" s="5" t="n">
        <v>2024</v>
      </c>
      <c r="B282" s="7" t="s">
        <v>1617</v>
      </c>
      <c r="C282" s="10" t="str">
        <f aca="false">INDEX(球員主檔!$B$2:$B$749,MATCH($B282,球員主檔!$A$2:$A$749,0))</f>
        <v>Ronin Wainwright</v>
      </c>
      <c r="D282" s="7" t="s">
        <v>459</v>
      </c>
      <c r="E282" s="10" t="str">
        <f aca="false">INDEX(球隊主檔!$C$2:$C$31,MATCH($D282,球隊主檔!$A$2:$A$31,0))</f>
        <v>聖地牙哥教士</v>
      </c>
      <c r="F282" s="10" t="str">
        <f aca="false">INDEX(球隊主檔!$D$2:$D$31,MATCH($D282,球隊主檔!$A$2:$A$31,0))</f>
        <v>國聯</v>
      </c>
      <c r="G282" s="7" t="s">
        <v>496</v>
      </c>
      <c r="H282" s="11" t="n">
        <f aca="false">INT((DATE($A282,7,1)-INDEX(球員主檔!$G$2:$G$749,MATCH($B282,球員主檔!$A$2:$A$749,0)))/365.25)</f>
        <v>22</v>
      </c>
      <c r="I282" s="12" t="n">
        <v>12</v>
      </c>
      <c r="J282" s="12" t="n">
        <v>7</v>
      </c>
      <c r="K282" s="12" t="n">
        <v>0</v>
      </c>
      <c r="L282" s="12" t="n">
        <v>0</v>
      </c>
      <c r="M282" s="12" t="n">
        <v>28</v>
      </c>
      <c r="N282" s="12" t="n">
        <v>28</v>
      </c>
      <c r="O282" s="12" t="n">
        <v>522</v>
      </c>
      <c r="P282" s="16" t="n">
        <f aca="false">O282/3</f>
        <v>174</v>
      </c>
      <c r="Q282" s="17" t="str">
        <f aca="false">INT(O282/3)&amp;"."&amp;MOD(O282,3)</f>
        <v>174.0</v>
      </c>
      <c r="R282" s="12" t="n">
        <v>137</v>
      </c>
      <c r="S282" s="12" t="n">
        <v>78</v>
      </c>
      <c r="T282" s="12" t="n">
        <v>76</v>
      </c>
      <c r="U282" s="12" t="n">
        <v>12</v>
      </c>
      <c r="V282" s="12" t="n">
        <v>49</v>
      </c>
      <c r="W282" s="12" t="n">
        <v>212</v>
      </c>
      <c r="X282" s="12" t="n">
        <v>10</v>
      </c>
      <c r="Y282" s="18" t="n">
        <f aca="false">IF(O282=0,0,T282*27/O282)</f>
        <v>3.93103448275862</v>
      </c>
      <c r="Z282" s="18" t="n">
        <f aca="false">IF(P282=0,0,(V282+R282)/P282)</f>
        <v>1.06896551724138</v>
      </c>
      <c r="AA282" s="18" t="n">
        <f aca="false">IF(O282=0,0,W282*27/O282)</f>
        <v>10.9655172413793</v>
      </c>
      <c r="AB282" s="18" t="n">
        <f aca="false">IF(O282=0,0,V282*27/O282)</f>
        <v>2.53448275862069</v>
      </c>
      <c r="AC282" s="18" t="n">
        <f aca="false">IF(V282=0,0,W282/V282)</f>
        <v>4.3265306122449</v>
      </c>
      <c r="AD282" s="18" t="n">
        <f aca="false">IF(P282=0,0,(13*U282+3*(V282+X282)-2*W282)/P282+INDEX(球季參數!$C$2:$C$4,MATCH($A282,球季參數!$A$2:$A$4,0)))</f>
        <v>2.60701149425287</v>
      </c>
      <c r="AE282" s="11" t="n">
        <f aca="false">IF(P282&gt;=INDEX(球季參數!$F$2:$F$4,MATCH($A282,球季參數!$A$2:$A$4,0)),1,0)</f>
        <v>1</v>
      </c>
    </row>
    <row r="283" customFormat="false" ht="15" hidden="false" customHeight="false" outlineLevel="0" collapsed="false">
      <c r="A283" s="5" t="n">
        <v>2024</v>
      </c>
      <c r="B283" s="7" t="s">
        <v>1619</v>
      </c>
      <c r="C283" s="10" t="str">
        <f aca="false">INDEX(球員主檔!$B$2:$B$749,MATCH($B283,球員主檔!$A$2:$A$749,0))</f>
        <v>Bernardo Esquivel</v>
      </c>
      <c r="D283" s="7" t="s">
        <v>459</v>
      </c>
      <c r="E283" s="10" t="str">
        <f aca="false">INDEX(球隊主檔!$C$2:$C$31,MATCH($D283,球隊主檔!$A$2:$A$31,0))</f>
        <v>聖地牙哥教士</v>
      </c>
      <c r="F283" s="10" t="str">
        <f aca="false">INDEX(球隊主檔!$D$2:$D$31,MATCH($D283,球隊主檔!$A$2:$A$31,0))</f>
        <v>國聯</v>
      </c>
      <c r="G283" s="7" t="s">
        <v>496</v>
      </c>
      <c r="H283" s="11" t="n">
        <f aca="false">INT((DATE($A283,7,1)-INDEX(球員主檔!$G$2:$G$749,MATCH($B283,球員主檔!$A$2:$A$749,0)))/365.25)</f>
        <v>27</v>
      </c>
      <c r="I283" s="12" t="n">
        <v>7</v>
      </c>
      <c r="J283" s="12" t="n">
        <v>5</v>
      </c>
      <c r="K283" s="12" t="n">
        <v>0</v>
      </c>
      <c r="L283" s="12" t="n">
        <v>0</v>
      </c>
      <c r="M283" s="12" t="n">
        <v>16</v>
      </c>
      <c r="N283" s="12" t="n">
        <v>16</v>
      </c>
      <c r="O283" s="12" t="n">
        <v>283</v>
      </c>
      <c r="P283" s="16" t="n">
        <f aca="false">O283/3</f>
        <v>94.3333333333333</v>
      </c>
      <c r="Q283" s="17" t="str">
        <f aca="false">INT(O283/3)&amp;"."&amp;MOD(O283,3)</f>
        <v>94.1</v>
      </c>
      <c r="R283" s="12" t="n">
        <v>81</v>
      </c>
      <c r="S283" s="12" t="n">
        <v>52</v>
      </c>
      <c r="T283" s="12" t="n">
        <v>52</v>
      </c>
      <c r="U283" s="12" t="n">
        <v>17</v>
      </c>
      <c r="V283" s="12" t="n">
        <v>27</v>
      </c>
      <c r="W283" s="12" t="n">
        <v>99</v>
      </c>
      <c r="X283" s="12" t="n">
        <v>4</v>
      </c>
      <c r="Y283" s="18" t="n">
        <f aca="false">IF(O283=0,0,T283*27/O283)</f>
        <v>4.96113074204947</v>
      </c>
      <c r="Z283" s="18" t="n">
        <f aca="false">IF(P283=0,0,(V283+R283)/P283)</f>
        <v>1.14487632508834</v>
      </c>
      <c r="AA283" s="18" t="n">
        <f aca="false">IF(O283=0,0,W283*27/O283)</f>
        <v>9.4452296819788</v>
      </c>
      <c r="AB283" s="18" t="n">
        <f aca="false">IF(O283=0,0,V283*27/O283)</f>
        <v>2.57597173144876</v>
      </c>
      <c r="AC283" s="18" t="n">
        <f aca="false">IF(V283=0,0,W283/V283)</f>
        <v>3.66666666666667</v>
      </c>
      <c r="AD283" s="18" t="n">
        <f aca="false">IF(P283=0,0,(13*U283+3*(V283+X283)-2*W283)/P283+INDEX(球季參數!$C$2:$C$4,MATCH($A283,球季參數!$A$2:$A$4,0)))</f>
        <v>4.35968197879859</v>
      </c>
      <c r="AE283" s="11" t="n">
        <f aca="false">IF(P283&gt;=INDEX(球季參數!$F$2:$F$4,MATCH($A283,球季參數!$A$2:$A$4,0)),1,0)</f>
        <v>0</v>
      </c>
    </row>
    <row r="284" customFormat="false" ht="15" hidden="false" customHeight="false" outlineLevel="0" collapsed="false">
      <c r="A284" s="5" t="n">
        <v>2024</v>
      </c>
      <c r="B284" s="7" t="s">
        <v>1621</v>
      </c>
      <c r="C284" s="10" t="str">
        <f aca="false">INDEX(球員主檔!$B$2:$B$749,MATCH($B284,球員主檔!$A$2:$A$749,0))</f>
        <v>Rintaro Halloway</v>
      </c>
      <c r="D284" s="7" t="s">
        <v>459</v>
      </c>
      <c r="E284" s="10" t="str">
        <f aca="false">INDEX(球隊主檔!$C$2:$C$31,MATCH($D284,球隊主檔!$A$2:$A$31,0))</f>
        <v>聖地牙哥教士</v>
      </c>
      <c r="F284" s="10" t="str">
        <f aca="false">INDEX(球隊主檔!$D$2:$D$31,MATCH($D284,球隊主檔!$A$2:$A$31,0))</f>
        <v>國聯</v>
      </c>
      <c r="G284" s="7" t="s">
        <v>496</v>
      </c>
      <c r="H284" s="11" t="n">
        <f aca="false">INT((DATE($A284,7,1)-INDEX(球員主檔!$G$2:$G$749,MATCH($B284,球員主檔!$A$2:$A$749,0)))/365.25)</f>
        <v>24</v>
      </c>
      <c r="I284" s="12" t="n">
        <v>11</v>
      </c>
      <c r="J284" s="12" t="n">
        <v>6</v>
      </c>
      <c r="K284" s="12" t="n">
        <v>0</v>
      </c>
      <c r="L284" s="12" t="n">
        <v>0</v>
      </c>
      <c r="M284" s="12" t="n">
        <v>28</v>
      </c>
      <c r="N284" s="12" t="n">
        <v>28</v>
      </c>
      <c r="O284" s="12" t="n">
        <v>442</v>
      </c>
      <c r="P284" s="16" t="n">
        <f aca="false">O284/3</f>
        <v>147.333333333333</v>
      </c>
      <c r="Q284" s="17" t="str">
        <f aca="false">INT(O284/3)&amp;"."&amp;MOD(O284,3)</f>
        <v>147.1</v>
      </c>
      <c r="R284" s="12" t="n">
        <v>122</v>
      </c>
      <c r="S284" s="12" t="n">
        <v>75</v>
      </c>
      <c r="T284" s="12" t="n">
        <v>67</v>
      </c>
      <c r="U284" s="12" t="n">
        <v>13</v>
      </c>
      <c r="V284" s="12" t="n">
        <v>69</v>
      </c>
      <c r="W284" s="12" t="n">
        <v>208</v>
      </c>
      <c r="X284" s="12" t="n">
        <v>8</v>
      </c>
      <c r="Y284" s="18" t="n">
        <f aca="false">IF(O284=0,0,T284*27/O284)</f>
        <v>4.09276018099548</v>
      </c>
      <c r="Z284" s="18" t="n">
        <f aca="false">IF(P284=0,0,(V284+R284)/P284)</f>
        <v>1.29638009049774</v>
      </c>
      <c r="AA284" s="18" t="n">
        <f aca="false">IF(O284=0,0,W284*27/O284)</f>
        <v>12.7058823529412</v>
      </c>
      <c r="AB284" s="18" t="n">
        <f aca="false">IF(O284=0,0,V284*27/O284)</f>
        <v>4.21493212669683</v>
      </c>
      <c r="AC284" s="18" t="n">
        <f aca="false">IF(V284=0,0,W284/V284)</f>
        <v>3.01449275362319</v>
      </c>
      <c r="AD284" s="18" t="n">
        <f aca="false">IF(P284=0,0,(13*U284+3*(V284+X284)-2*W284)/P284+INDEX(球季參數!$C$2:$C$4,MATCH($A284,球季參數!$A$2:$A$4,0)))</f>
        <v>3.02140271493213</v>
      </c>
      <c r="AE284" s="11" t="n">
        <f aca="false">IF(P284&gt;=INDEX(球季參數!$F$2:$F$4,MATCH($A284,球季參數!$A$2:$A$4,0)),1,0)</f>
        <v>0</v>
      </c>
    </row>
    <row r="285" customFormat="false" ht="15" hidden="false" customHeight="false" outlineLevel="0" collapsed="false">
      <c r="A285" s="5" t="n">
        <v>2024</v>
      </c>
      <c r="B285" s="7" t="s">
        <v>1623</v>
      </c>
      <c r="C285" s="10" t="str">
        <f aca="false">INDEX(球員主檔!$B$2:$B$749,MATCH($B285,球員主檔!$A$2:$A$749,0))</f>
        <v>Lucien Arceneaux</v>
      </c>
      <c r="D285" s="7" t="s">
        <v>459</v>
      </c>
      <c r="E285" s="10" t="str">
        <f aca="false">INDEX(球隊主檔!$C$2:$C$31,MATCH($D285,球隊主檔!$A$2:$A$31,0))</f>
        <v>聖地牙哥教士</v>
      </c>
      <c r="F285" s="10" t="str">
        <f aca="false">INDEX(球隊主檔!$D$2:$D$31,MATCH($D285,球隊主檔!$A$2:$A$31,0))</f>
        <v>國聯</v>
      </c>
      <c r="G285" s="7" t="s">
        <v>496</v>
      </c>
      <c r="H285" s="11" t="n">
        <f aca="false">INT((DATE($A285,7,1)-INDEX(球員主檔!$G$2:$G$749,MATCH($B285,球員主檔!$A$2:$A$749,0)))/365.25)</f>
        <v>26</v>
      </c>
      <c r="I285" s="12" t="n">
        <v>11</v>
      </c>
      <c r="J285" s="12" t="n">
        <v>7</v>
      </c>
      <c r="K285" s="12" t="n">
        <v>0</v>
      </c>
      <c r="L285" s="12" t="n">
        <v>0</v>
      </c>
      <c r="M285" s="12" t="n">
        <v>28</v>
      </c>
      <c r="N285" s="12" t="n">
        <v>28</v>
      </c>
      <c r="O285" s="12" t="n">
        <v>407</v>
      </c>
      <c r="P285" s="16" t="n">
        <f aca="false">O285/3</f>
        <v>135.666666666667</v>
      </c>
      <c r="Q285" s="17" t="str">
        <f aca="false">INT(O285/3)&amp;"."&amp;MOD(O285,3)</f>
        <v>135.2</v>
      </c>
      <c r="R285" s="12" t="n">
        <v>113</v>
      </c>
      <c r="S285" s="12" t="n">
        <v>79</v>
      </c>
      <c r="T285" s="12" t="n">
        <v>70</v>
      </c>
      <c r="U285" s="12" t="n">
        <v>18</v>
      </c>
      <c r="V285" s="12" t="n">
        <v>23</v>
      </c>
      <c r="W285" s="12" t="n">
        <v>121</v>
      </c>
      <c r="X285" s="12" t="n">
        <v>6</v>
      </c>
      <c r="Y285" s="18" t="n">
        <f aca="false">IF(O285=0,0,T285*27/O285)</f>
        <v>4.64373464373464</v>
      </c>
      <c r="Z285" s="18" t="n">
        <f aca="false">IF(P285=0,0,(V285+R285)/P285)</f>
        <v>1.002457002457</v>
      </c>
      <c r="AA285" s="18" t="n">
        <f aca="false">IF(O285=0,0,W285*27/O285)</f>
        <v>8.02702702702703</v>
      </c>
      <c r="AB285" s="18" t="n">
        <f aca="false">IF(O285=0,0,V285*27/O285)</f>
        <v>1.52579852579853</v>
      </c>
      <c r="AC285" s="18" t="n">
        <f aca="false">IF(V285=0,0,W285/V285)</f>
        <v>5.26086956521739</v>
      </c>
      <c r="AD285" s="18" t="n">
        <f aca="false">IF(P285=0,0,(13*U285+3*(V285+X285)-2*W285)/P285+INDEX(球季參數!$C$2:$C$4,MATCH($A285,球季參數!$A$2:$A$4,0)))</f>
        <v>3.71230958230958</v>
      </c>
      <c r="AE285" s="11" t="n">
        <f aca="false">IF(P285&gt;=INDEX(球季參數!$F$2:$F$4,MATCH($A285,球季參數!$A$2:$A$4,0)),1,0)</f>
        <v>0</v>
      </c>
    </row>
    <row r="286" customFormat="false" ht="15" hidden="false" customHeight="false" outlineLevel="0" collapsed="false">
      <c r="A286" s="5" t="n">
        <v>2024</v>
      </c>
      <c r="B286" s="7" t="s">
        <v>1625</v>
      </c>
      <c r="C286" s="10" t="str">
        <f aca="false">INDEX(球員主檔!$B$2:$B$749,MATCH($B286,球員主檔!$A$2:$A$749,0))</f>
        <v>Marcus Iwasaki</v>
      </c>
      <c r="D286" s="7" t="s">
        <v>459</v>
      </c>
      <c r="E286" s="10" t="str">
        <f aca="false">INDEX(球隊主檔!$C$2:$C$31,MATCH($D286,球隊主檔!$A$2:$A$31,0))</f>
        <v>聖地牙哥教士</v>
      </c>
      <c r="F286" s="10" t="str">
        <f aca="false">INDEX(球隊主檔!$D$2:$D$31,MATCH($D286,球隊主檔!$A$2:$A$31,0))</f>
        <v>國聯</v>
      </c>
      <c r="G286" s="7" t="s">
        <v>496</v>
      </c>
      <c r="H286" s="11" t="n">
        <f aca="false">INT((DATE($A286,7,1)-INDEX(球員主檔!$G$2:$G$749,MATCH($B286,球員主檔!$A$2:$A$749,0)))/365.25)</f>
        <v>26</v>
      </c>
      <c r="I286" s="12" t="n">
        <v>12</v>
      </c>
      <c r="J286" s="12" t="n">
        <v>11</v>
      </c>
      <c r="K286" s="12" t="n">
        <v>0</v>
      </c>
      <c r="L286" s="12" t="n">
        <v>0</v>
      </c>
      <c r="M286" s="12" t="n">
        <v>29</v>
      </c>
      <c r="N286" s="12" t="n">
        <v>29</v>
      </c>
      <c r="O286" s="12" t="n">
        <v>506</v>
      </c>
      <c r="P286" s="16" t="n">
        <f aca="false">O286/3</f>
        <v>168.666666666667</v>
      </c>
      <c r="Q286" s="17" t="str">
        <f aca="false">INT(O286/3)&amp;"."&amp;MOD(O286,3)</f>
        <v>168.2</v>
      </c>
      <c r="R286" s="12" t="n">
        <v>161</v>
      </c>
      <c r="S286" s="12" t="n">
        <v>117</v>
      </c>
      <c r="T286" s="12" t="n">
        <v>107</v>
      </c>
      <c r="U286" s="12" t="n">
        <v>16</v>
      </c>
      <c r="V286" s="12" t="n">
        <v>75</v>
      </c>
      <c r="W286" s="12" t="n">
        <v>195</v>
      </c>
      <c r="X286" s="12" t="n">
        <v>10</v>
      </c>
      <c r="Y286" s="18" t="n">
        <f aca="false">IF(O286=0,0,T286*27/O286)</f>
        <v>5.70948616600791</v>
      </c>
      <c r="Z286" s="18" t="n">
        <f aca="false">IF(P286=0,0,(V286+R286)/P286)</f>
        <v>1.39920948616601</v>
      </c>
      <c r="AA286" s="18" t="n">
        <f aca="false">IF(O286=0,0,W286*27/O286)</f>
        <v>10.405138339921</v>
      </c>
      <c r="AB286" s="18" t="n">
        <f aca="false">IF(O286=0,0,V286*27/O286)</f>
        <v>4.00197628458498</v>
      </c>
      <c r="AC286" s="18" t="n">
        <f aca="false">IF(V286=0,0,W286/V286)</f>
        <v>2.6</v>
      </c>
      <c r="AD286" s="18" t="n">
        <f aca="false">IF(P286=0,0,(13*U286+3*(V286+X286)-2*W286)/P286+INDEX(球季參數!$C$2:$C$4,MATCH($A286,球季參數!$A$2:$A$4,0)))</f>
        <v>3.56280632411067</v>
      </c>
      <c r="AE286" s="11" t="n">
        <f aca="false">IF(P286&gt;=INDEX(球季參數!$F$2:$F$4,MATCH($A286,球季參數!$A$2:$A$4,0)),1,0)</f>
        <v>1</v>
      </c>
    </row>
    <row r="287" customFormat="false" ht="15" hidden="false" customHeight="false" outlineLevel="0" collapsed="false">
      <c r="A287" s="5" t="n">
        <v>2024</v>
      </c>
      <c r="B287" s="7" t="s">
        <v>1627</v>
      </c>
      <c r="C287" s="10" t="str">
        <f aca="false">INDEX(球員主檔!$B$2:$B$749,MATCH($B287,球員主檔!$A$2:$A$749,0))</f>
        <v>Leandro Halloway</v>
      </c>
      <c r="D287" s="7" t="s">
        <v>459</v>
      </c>
      <c r="E287" s="10" t="str">
        <f aca="false">INDEX(球隊主檔!$C$2:$C$31,MATCH($D287,球隊主檔!$A$2:$A$31,0))</f>
        <v>聖地牙哥教士</v>
      </c>
      <c r="F287" s="10" t="str">
        <f aca="false">INDEX(球隊主檔!$D$2:$D$31,MATCH($D287,球隊主檔!$A$2:$A$31,0))</f>
        <v>國聯</v>
      </c>
      <c r="G287" s="7" t="s">
        <v>507</v>
      </c>
      <c r="H287" s="11" t="n">
        <f aca="false">INT((DATE($A287,7,1)-INDEX(球員主檔!$G$2:$G$749,MATCH($B287,球員主檔!$A$2:$A$749,0)))/365.25)</f>
        <v>27</v>
      </c>
      <c r="I287" s="12" t="n">
        <v>4</v>
      </c>
      <c r="J287" s="12" t="n">
        <v>8</v>
      </c>
      <c r="K287" s="12" t="n">
        <v>1</v>
      </c>
      <c r="L287" s="12" t="n">
        <v>27</v>
      </c>
      <c r="M287" s="12" t="n">
        <v>47</v>
      </c>
      <c r="N287" s="12" t="n">
        <v>0</v>
      </c>
      <c r="O287" s="12" t="n">
        <v>142</v>
      </c>
      <c r="P287" s="16" t="n">
        <f aca="false">O287/3</f>
        <v>47.3333333333333</v>
      </c>
      <c r="Q287" s="17" t="str">
        <f aca="false">INT(O287/3)&amp;"."&amp;MOD(O287,3)</f>
        <v>47.1</v>
      </c>
      <c r="R287" s="12" t="n">
        <v>41</v>
      </c>
      <c r="S287" s="12" t="n">
        <v>28</v>
      </c>
      <c r="T287" s="12" t="n">
        <v>25</v>
      </c>
      <c r="U287" s="12" t="n">
        <v>5</v>
      </c>
      <c r="V287" s="12" t="n">
        <v>16</v>
      </c>
      <c r="W287" s="12" t="n">
        <v>41</v>
      </c>
      <c r="X287" s="12" t="n">
        <v>1</v>
      </c>
      <c r="Y287" s="18" t="n">
        <f aca="false">IF(O287=0,0,T287*27/O287)</f>
        <v>4.75352112676056</v>
      </c>
      <c r="Z287" s="18" t="n">
        <f aca="false">IF(P287=0,0,(V287+R287)/P287)</f>
        <v>1.20422535211268</v>
      </c>
      <c r="AA287" s="18" t="n">
        <f aca="false">IF(O287=0,0,W287*27/O287)</f>
        <v>7.79577464788732</v>
      </c>
      <c r="AB287" s="18" t="n">
        <f aca="false">IF(O287=0,0,V287*27/O287)</f>
        <v>3.04225352112676</v>
      </c>
      <c r="AC287" s="18" t="n">
        <f aca="false">IF(V287=0,0,W287/V287)</f>
        <v>2.5625</v>
      </c>
      <c r="AD287" s="18" t="n">
        <f aca="false">IF(P287=0,0,(13*U287+3*(V287+X287)-2*W287)/P287+INDEX(球季參數!$C$2:$C$4,MATCH($A287,球季參數!$A$2:$A$4,0)))</f>
        <v>3.84830985915493</v>
      </c>
      <c r="AE287" s="11" t="n">
        <f aca="false">IF(P287&gt;=INDEX(球季參數!$F$2:$F$4,MATCH($A287,球季參數!$A$2:$A$4,0)),1,0)</f>
        <v>0</v>
      </c>
    </row>
    <row r="288" customFormat="false" ht="15" hidden="false" customHeight="false" outlineLevel="0" collapsed="false">
      <c r="A288" s="5" t="n">
        <v>2024</v>
      </c>
      <c r="B288" s="7" t="s">
        <v>1629</v>
      </c>
      <c r="C288" s="10" t="str">
        <f aca="false">INDEX(球員主檔!$B$2:$B$749,MATCH($B288,球員主檔!$A$2:$A$749,0))</f>
        <v>Joaquín Quiroga</v>
      </c>
      <c r="D288" s="7" t="s">
        <v>459</v>
      </c>
      <c r="E288" s="10" t="str">
        <f aca="false">INDEX(球隊主檔!$C$2:$C$31,MATCH($D288,球隊主檔!$A$2:$A$31,0))</f>
        <v>聖地牙哥教士</v>
      </c>
      <c r="F288" s="10" t="str">
        <f aca="false">INDEX(球隊主檔!$D$2:$D$31,MATCH($D288,球隊主檔!$A$2:$A$31,0))</f>
        <v>國聯</v>
      </c>
      <c r="G288" s="7" t="s">
        <v>507</v>
      </c>
      <c r="H288" s="11" t="n">
        <f aca="false">INT((DATE($A288,7,1)-INDEX(球員主檔!$G$2:$G$749,MATCH($B288,球員主檔!$A$2:$A$749,0)))/365.25)</f>
        <v>27</v>
      </c>
      <c r="I288" s="12" t="n">
        <v>0</v>
      </c>
      <c r="J288" s="12" t="n">
        <v>5</v>
      </c>
      <c r="K288" s="12" t="n">
        <v>3</v>
      </c>
      <c r="L288" s="12" t="n">
        <v>11</v>
      </c>
      <c r="M288" s="12" t="n">
        <v>50</v>
      </c>
      <c r="N288" s="12" t="n">
        <v>0</v>
      </c>
      <c r="O288" s="12" t="n">
        <v>165</v>
      </c>
      <c r="P288" s="16" t="n">
        <f aca="false">O288/3</f>
        <v>55</v>
      </c>
      <c r="Q288" s="17" t="str">
        <f aca="false">INT(O288/3)&amp;"."&amp;MOD(O288,3)</f>
        <v>55.0</v>
      </c>
      <c r="R288" s="12" t="n">
        <v>47</v>
      </c>
      <c r="S288" s="12" t="n">
        <v>24</v>
      </c>
      <c r="T288" s="12" t="n">
        <v>23</v>
      </c>
      <c r="U288" s="12" t="n">
        <v>8</v>
      </c>
      <c r="V288" s="12" t="n">
        <v>13</v>
      </c>
      <c r="W288" s="12" t="n">
        <v>64</v>
      </c>
      <c r="X288" s="12" t="n">
        <v>3</v>
      </c>
      <c r="Y288" s="18" t="n">
        <f aca="false">IF(O288=0,0,T288*27/O288)</f>
        <v>3.76363636363636</v>
      </c>
      <c r="Z288" s="18" t="n">
        <f aca="false">IF(P288=0,0,(V288+R288)/P288)</f>
        <v>1.09090909090909</v>
      </c>
      <c r="AA288" s="18" t="n">
        <f aca="false">IF(O288=0,0,W288*27/O288)</f>
        <v>10.4727272727273</v>
      </c>
      <c r="AB288" s="18" t="n">
        <f aca="false">IF(O288=0,0,V288*27/O288)</f>
        <v>2.12727272727273</v>
      </c>
      <c r="AC288" s="18" t="n">
        <f aca="false">IF(V288=0,0,W288/V288)</f>
        <v>4.92307692307692</v>
      </c>
      <c r="AD288" s="18" t="n">
        <f aca="false">IF(P288=0,0,(13*U288+3*(V288+X288)-2*W288)/P288+INDEX(球季參數!$C$2:$C$4,MATCH($A288,球季參數!$A$2:$A$4,0)))</f>
        <v>3.56636363636364</v>
      </c>
      <c r="AE288" s="11" t="n">
        <f aca="false">IF(P288&gt;=INDEX(球季參數!$F$2:$F$4,MATCH($A288,球季參數!$A$2:$A$4,0)),1,0)</f>
        <v>0</v>
      </c>
    </row>
    <row r="289" customFormat="false" ht="15" hidden="false" customHeight="false" outlineLevel="0" collapsed="false">
      <c r="A289" s="5" t="n">
        <v>2024</v>
      </c>
      <c r="B289" s="7" t="s">
        <v>1631</v>
      </c>
      <c r="C289" s="10" t="str">
        <f aca="false">INDEX(球員主檔!$B$2:$B$749,MATCH($B289,球員主檔!$A$2:$A$749,0))</f>
        <v>Everett Alcorn</v>
      </c>
      <c r="D289" s="7" t="s">
        <v>459</v>
      </c>
      <c r="E289" s="10" t="str">
        <f aca="false">INDEX(球隊主檔!$C$2:$C$31,MATCH($D289,球隊主檔!$A$2:$A$31,0))</f>
        <v>聖地牙哥教士</v>
      </c>
      <c r="F289" s="10" t="str">
        <f aca="false">INDEX(球隊主檔!$D$2:$D$31,MATCH($D289,球隊主檔!$A$2:$A$31,0))</f>
        <v>國聯</v>
      </c>
      <c r="G289" s="7" t="s">
        <v>507</v>
      </c>
      <c r="H289" s="11" t="n">
        <f aca="false">INT((DATE($A289,7,1)-INDEX(球員主檔!$G$2:$G$749,MATCH($B289,球員主檔!$A$2:$A$749,0)))/365.25)</f>
        <v>28</v>
      </c>
      <c r="I289" s="12" t="n">
        <v>5</v>
      </c>
      <c r="J289" s="12" t="n">
        <v>5</v>
      </c>
      <c r="K289" s="12" t="n">
        <v>1</v>
      </c>
      <c r="L289" s="12" t="n">
        <v>27</v>
      </c>
      <c r="M289" s="12" t="n">
        <v>57</v>
      </c>
      <c r="N289" s="12" t="n">
        <v>0</v>
      </c>
      <c r="O289" s="12" t="n">
        <v>155</v>
      </c>
      <c r="P289" s="16" t="n">
        <f aca="false">O289/3</f>
        <v>51.6666666666667</v>
      </c>
      <c r="Q289" s="17" t="str">
        <f aca="false">INT(O289/3)&amp;"."&amp;MOD(O289,3)</f>
        <v>51.2</v>
      </c>
      <c r="R289" s="12" t="n">
        <v>41</v>
      </c>
      <c r="S289" s="12" t="n">
        <v>23</v>
      </c>
      <c r="T289" s="12" t="n">
        <v>21</v>
      </c>
      <c r="U289" s="12" t="n">
        <v>5</v>
      </c>
      <c r="V289" s="12" t="n">
        <v>30</v>
      </c>
      <c r="W289" s="12" t="n">
        <v>62</v>
      </c>
      <c r="X289" s="12" t="n">
        <v>3</v>
      </c>
      <c r="Y289" s="18" t="n">
        <f aca="false">IF(O289=0,0,T289*27/O289)</f>
        <v>3.65806451612903</v>
      </c>
      <c r="Z289" s="18" t="n">
        <f aca="false">IF(P289=0,0,(V289+R289)/P289)</f>
        <v>1.3741935483871</v>
      </c>
      <c r="AA289" s="18" t="n">
        <f aca="false">IF(O289=0,0,W289*27/O289)</f>
        <v>10.8</v>
      </c>
      <c r="AB289" s="18" t="n">
        <f aca="false">IF(O289=0,0,V289*27/O289)</f>
        <v>5.2258064516129</v>
      </c>
      <c r="AC289" s="18" t="n">
        <f aca="false">IF(V289=0,0,W289/V289)</f>
        <v>2.06666666666667</v>
      </c>
      <c r="AD289" s="18" t="n">
        <f aca="false">IF(P289=0,0,(13*U289+3*(V289+X289)-2*W289)/P289+INDEX(球季參數!$C$2:$C$4,MATCH($A289,球季參數!$A$2:$A$4,0)))</f>
        <v>3.9041935483871</v>
      </c>
      <c r="AE289" s="11" t="n">
        <f aca="false">IF(P289&gt;=INDEX(球季參數!$F$2:$F$4,MATCH($A289,球季參數!$A$2:$A$4,0)),1,0)</f>
        <v>0</v>
      </c>
    </row>
    <row r="290" customFormat="false" ht="15" hidden="false" customHeight="false" outlineLevel="0" collapsed="false">
      <c r="A290" s="5" t="n">
        <v>2024</v>
      </c>
      <c r="B290" s="7" t="s">
        <v>1633</v>
      </c>
      <c r="C290" s="10" t="str">
        <f aca="false">INDEX(球員主檔!$B$2:$B$749,MATCH($B290,球員主檔!$A$2:$A$749,0))</f>
        <v>Silas Garrity</v>
      </c>
      <c r="D290" s="7" t="s">
        <v>459</v>
      </c>
      <c r="E290" s="10" t="str">
        <f aca="false">INDEX(球隊主檔!$C$2:$C$31,MATCH($D290,球隊主檔!$A$2:$A$31,0))</f>
        <v>聖地牙哥教士</v>
      </c>
      <c r="F290" s="10" t="str">
        <f aca="false">INDEX(球隊主檔!$D$2:$D$31,MATCH($D290,球隊主檔!$A$2:$A$31,0))</f>
        <v>國聯</v>
      </c>
      <c r="G290" s="7" t="s">
        <v>507</v>
      </c>
      <c r="H290" s="11" t="n">
        <f aca="false">INT((DATE($A290,7,1)-INDEX(球員主檔!$G$2:$G$749,MATCH($B290,球員主檔!$A$2:$A$749,0)))/365.25)</f>
        <v>26</v>
      </c>
      <c r="I290" s="12" t="n">
        <v>2</v>
      </c>
      <c r="J290" s="12" t="n">
        <v>3</v>
      </c>
      <c r="K290" s="12" t="n">
        <v>5</v>
      </c>
      <c r="L290" s="12" t="n">
        <v>26</v>
      </c>
      <c r="M290" s="12" t="n">
        <v>41</v>
      </c>
      <c r="N290" s="12" t="n">
        <v>0</v>
      </c>
      <c r="O290" s="12" t="n">
        <v>116</v>
      </c>
      <c r="P290" s="16" t="n">
        <f aca="false">O290/3</f>
        <v>38.6666666666667</v>
      </c>
      <c r="Q290" s="17" t="str">
        <f aca="false">INT(O290/3)&amp;"."&amp;MOD(O290,3)</f>
        <v>38.2</v>
      </c>
      <c r="R290" s="12" t="n">
        <v>38</v>
      </c>
      <c r="S290" s="12" t="n">
        <v>26</v>
      </c>
      <c r="T290" s="12" t="n">
        <v>23</v>
      </c>
      <c r="U290" s="12" t="n">
        <v>6</v>
      </c>
      <c r="V290" s="12" t="n">
        <v>18</v>
      </c>
      <c r="W290" s="12" t="n">
        <v>39</v>
      </c>
      <c r="X290" s="12" t="n">
        <v>2</v>
      </c>
      <c r="Y290" s="18" t="n">
        <f aca="false">IF(O290=0,0,T290*27/O290)</f>
        <v>5.35344827586207</v>
      </c>
      <c r="Z290" s="18" t="n">
        <f aca="false">IF(P290=0,0,(V290+R290)/P290)</f>
        <v>1.44827586206897</v>
      </c>
      <c r="AA290" s="18" t="n">
        <f aca="false">IF(O290=0,0,W290*27/O290)</f>
        <v>9.07758620689655</v>
      </c>
      <c r="AB290" s="18" t="n">
        <f aca="false">IF(O290=0,0,V290*27/O290)</f>
        <v>4.18965517241379</v>
      </c>
      <c r="AC290" s="18" t="n">
        <f aca="false">IF(V290=0,0,W290/V290)</f>
        <v>2.16666666666667</v>
      </c>
      <c r="AD290" s="18" t="n">
        <f aca="false">IF(P290=0,0,(13*U290+3*(V290+X290)-2*W290)/P290+INDEX(球季參數!$C$2:$C$4,MATCH($A290,球季參數!$A$2:$A$4,0)))</f>
        <v>4.68172413793104</v>
      </c>
      <c r="AE290" s="11" t="n">
        <f aca="false">IF(P290&gt;=INDEX(球季參數!$F$2:$F$4,MATCH($A290,球季參數!$A$2:$A$4,0)),1,0)</f>
        <v>0</v>
      </c>
    </row>
    <row r="291" customFormat="false" ht="15" hidden="false" customHeight="false" outlineLevel="0" collapsed="false">
      <c r="A291" s="5" t="n">
        <v>2024</v>
      </c>
      <c r="B291" s="7" t="s">
        <v>1635</v>
      </c>
      <c r="C291" s="10" t="str">
        <f aca="false">INDEX(球員主檔!$B$2:$B$749,MATCH($B291,球員主檔!$A$2:$A$749,0))</f>
        <v>Cedric Cavanaugh</v>
      </c>
      <c r="D291" s="7" t="s">
        <v>459</v>
      </c>
      <c r="E291" s="10" t="str">
        <f aca="false">INDEX(球隊主檔!$C$2:$C$31,MATCH($D291,球隊主檔!$A$2:$A$31,0))</f>
        <v>聖地牙哥教士</v>
      </c>
      <c r="F291" s="10" t="str">
        <f aca="false">INDEX(球隊主檔!$D$2:$D$31,MATCH($D291,球隊主檔!$A$2:$A$31,0))</f>
        <v>國聯</v>
      </c>
      <c r="G291" s="7" t="s">
        <v>507</v>
      </c>
      <c r="H291" s="11" t="n">
        <f aca="false">INT((DATE($A291,7,1)-INDEX(球員主檔!$G$2:$G$749,MATCH($B291,球員主檔!$A$2:$A$749,0)))/365.25)</f>
        <v>25</v>
      </c>
      <c r="I291" s="12" t="n">
        <v>8</v>
      </c>
      <c r="J291" s="12" t="n">
        <v>5</v>
      </c>
      <c r="K291" s="12" t="n">
        <v>4</v>
      </c>
      <c r="L291" s="12" t="n">
        <v>33</v>
      </c>
      <c r="M291" s="12" t="n">
        <v>72</v>
      </c>
      <c r="N291" s="12" t="n">
        <v>0</v>
      </c>
      <c r="O291" s="12" t="n">
        <v>217</v>
      </c>
      <c r="P291" s="16" t="n">
        <f aca="false">O291/3</f>
        <v>72.3333333333333</v>
      </c>
      <c r="Q291" s="17" t="str">
        <f aca="false">INT(O291/3)&amp;"."&amp;MOD(O291,3)</f>
        <v>72.1</v>
      </c>
      <c r="R291" s="12" t="n">
        <v>68</v>
      </c>
      <c r="S291" s="12" t="n">
        <v>50</v>
      </c>
      <c r="T291" s="12" t="n">
        <v>45</v>
      </c>
      <c r="U291" s="12" t="n">
        <v>11</v>
      </c>
      <c r="V291" s="12" t="n">
        <v>31</v>
      </c>
      <c r="W291" s="12" t="n">
        <v>85</v>
      </c>
      <c r="X291" s="12" t="n">
        <v>4</v>
      </c>
      <c r="Y291" s="18" t="n">
        <f aca="false">IF(O291=0,0,T291*27/O291)</f>
        <v>5.59907834101383</v>
      </c>
      <c r="Z291" s="18" t="n">
        <f aca="false">IF(P291=0,0,(V291+R291)/P291)</f>
        <v>1.36866359447005</v>
      </c>
      <c r="AA291" s="18" t="n">
        <f aca="false">IF(O291=0,0,W291*27/O291)</f>
        <v>10.5760368663594</v>
      </c>
      <c r="AB291" s="18" t="n">
        <f aca="false">IF(O291=0,0,V291*27/O291)</f>
        <v>3.85714285714286</v>
      </c>
      <c r="AC291" s="18" t="n">
        <f aca="false">IF(V291=0,0,W291/V291)</f>
        <v>2.74193548387097</v>
      </c>
      <c r="AD291" s="18" t="n">
        <f aca="false">IF(P291=0,0,(13*U291+3*(V291+X291)-2*W291)/P291+INDEX(球季參數!$C$2:$C$4,MATCH($A291,球季參數!$A$2:$A$4,0)))</f>
        <v>4.20834101382489</v>
      </c>
      <c r="AE291" s="11" t="n">
        <f aca="false">IF(P291&gt;=INDEX(球季參數!$F$2:$F$4,MATCH($A291,球季參數!$A$2:$A$4,0)),1,0)</f>
        <v>0</v>
      </c>
    </row>
    <row r="292" customFormat="false" ht="15" hidden="false" customHeight="false" outlineLevel="0" collapsed="false">
      <c r="A292" s="5" t="n">
        <v>2024</v>
      </c>
      <c r="B292" s="7" t="s">
        <v>1657</v>
      </c>
      <c r="C292" s="10" t="str">
        <f aca="false">INDEX(球員主檔!$B$2:$B$749,MATCH($B292,球員主檔!$A$2:$A$749,0))</f>
        <v>Alonso Cavanaugh</v>
      </c>
      <c r="D292" s="7" t="s">
        <v>463</v>
      </c>
      <c r="E292" s="10" t="str">
        <f aca="false">INDEX(球隊主檔!$C$2:$C$31,MATCH($D292,球隊主檔!$A$2:$A$31,0))</f>
        <v>舊金山巨人</v>
      </c>
      <c r="F292" s="10" t="str">
        <f aca="false">INDEX(球隊主檔!$D$2:$D$31,MATCH($D292,球隊主檔!$A$2:$A$31,0))</f>
        <v>國聯</v>
      </c>
      <c r="G292" s="7" t="s">
        <v>496</v>
      </c>
      <c r="H292" s="11" t="n">
        <f aca="false">INT((DATE($A292,7,1)-INDEX(球員主檔!$G$2:$G$749,MATCH($B292,球員主檔!$A$2:$A$749,0)))/365.25)</f>
        <v>29</v>
      </c>
      <c r="I292" s="12" t="n">
        <v>6</v>
      </c>
      <c r="J292" s="12" t="n">
        <v>7</v>
      </c>
      <c r="K292" s="12" t="n">
        <v>0</v>
      </c>
      <c r="L292" s="12" t="n">
        <v>0</v>
      </c>
      <c r="M292" s="12" t="n">
        <v>21</v>
      </c>
      <c r="N292" s="12" t="n">
        <v>21</v>
      </c>
      <c r="O292" s="12" t="n">
        <v>400</v>
      </c>
      <c r="P292" s="16" t="n">
        <f aca="false">O292/3</f>
        <v>133.333333333333</v>
      </c>
      <c r="Q292" s="17" t="str">
        <f aca="false">INT(O292/3)&amp;"."&amp;MOD(O292,3)</f>
        <v>133.1</v>
      </c>
      <c r="R292" s="12" t="n">
        <v>135</v>
      </c>
      <c r="S292" s="12" t="n">
        <v>95</v>
      </c>
      <c r="T292" s="12" t="n">
        <v>84</v>
      </c>
      <c r="U292" s="12" t="n">
        <v>17</v>
      </c>
      <c r="V292" s="12" t="n">
        <v>76</v>
      </c>
      <c r="W292" s="12" t="n">
        <v>148</v>
      </c>
      <c r="X292" s="12" t="n">
        <v>3</v>
      </c>
      <c r="Y292" s="18" t="n">
        <f aca="false">IF(O292=0,0,T292*27/O292)</f>
        <v>5.67</v>
      </c>
      <c r="Z292" s="18" t="n">
        <f aca="false">IF(P292=0,0,(V292+R292)/P292)</f>
        <v>1.5825</v>
      </c>
      <c r="AA292" s="18" t="n">
        <f aca="false">IF(O292=0,0,W292*27/O292)</f>
        <v>9.99</v>
      </c>
      <c r="AB292" s="18" t="n">
        <f aca="false">IF(O292=0,0,V292*27/O292)</f>
        <v>5.13</v>
      </c>
      <c r="AC292" s="18" t="n">
        <f aca="false">IF(V292=0,0,W292/V292)</f>
        <v>1.94736842105263</v>
      </c>
      <c r="AD292" s="18" t="n">
        <f aca="false">IF(P292=0,0,(13*U292+3*(V292+X292)-2*W292)/P292+INDEX(球季參數!$C$2:$C$4,MATCH($A292,球季參數!$A$2:$A$4,0)))</f>
        <v>4.345</v>
      </c>
      <c r="AE292" s="11" t="n">
        <f aca="false">IF(P292&gt;=INDEX(球季參數!$F$2:$F$4,MATCH($A292,球季參數!$A$2:$A$4,0)),1,0)</f>
        <v>0</v>
      </c>
    </row>
    <row r="293" customFormat="false" ht="15" hidden="false" customHeight="false" outlineLevel="0" collapsed="false">
      <c r="A293" s="5" t="n">
        <v>2024</v>
      </c>
      <c r="B293" s="7" t="s">
        <v>1659</v>
      </c>
      <c r="C293" s="10" t="str">
        <f aca="false">INDEX(球員主檔!$B$2:$B$749,MATCH($B293,球員主檔!$A$2:$A$749,0))</f>
        <v>Garrison Jaramillo</v>
      </c>
      <c r="D293" s="7" t="s">
        <v>463</v>
      </c>
      <c r="E293" s="10" t="str">
        <f aca="false">INDEX(球隊主檔!$C$2:$C$31,MATCH($D293,球隊主檔!$A$2:$A$31,0))</f>
        <v>舊金山巨人</v>
      </c>
      <c r="F293" s="10" t="str">
        <f aca="false">INDEX(球隊主檔!$D$2:$D$31,MATCH($D293,球隊主檔!$A$2:$A$31,0))</f>
        <v>國聯</v>
      </c>
      <c r="G293" s="7" t="s">
        <v>496</v>
      </c>
      <c r="H293" s="11" t="n">
        <f aca="false">INT((DATE($A293,7,1)-INDEX(球員主檔!$G$2:$G$749,MATCH($B293,球員主檔!$A$2:$A$749,0)))/365.25)</f>
        <v>29</v>
      </c>
      <c r="I293" s="12" t="n">
        <v>10</v>
      </c>
      <c r="J293" s="12" t="n">
        <v>5</v>
      </c>
      <c r="K293" s="12" t="n">
        <v>0</v>
      </c>
      <c r="L293" s="12" t="n">
        <v>0</v>
      </c>
      <c r="M293" s="12" t="n">
        <v>24</v>
      </c>
      <c r="N293" s="12" t="n">
        <v>24</v>
      </c>
      <c r="O293" s="12" t="n">
        <v>442</v>
      </c>
      <c r="P293" s="16" t="n">
        <f aca="false">O293/3</f>
        <v>147.333333333333</v>
      </c>
      <c r="Q293" s="17" t="str">
        <f aca="false">INT(O293/3)&amp;"."&amp;MOD(O293,3)</f>
        <v>147.1</v>
      </c>
      <c r="R293" s="12" t="n">
        <v>111</v>
      </c>
      <c r="S293" s="12" t="n">
        <v>64</v>
      </c>
      <c r="T293" s="12" t="n">
        <v>63</v>
      </c>
      <c r="U293" s="12" t="n">
        <v>13</v>
      </c>
      <c r="V293" s="12" t="n">
        <v>63</v>
      </c>
      <c r="W293" s="12" t="n">
        <v>133</v>
      </c>
      <c r="X293" s="12" t="n">
        <v>6</v>
      </c>
      <c r="Y293" s="18" t="n">
        <f aca="false">IF(O293=0,0,T293*27/O293)</f>
        <v>3.84841628959276</v>
      </c>
      <c r="Z293" s="18" t="n">
        <f aca="false">IF(P293=0,0,(V293+R293)/P293)</f>
        <v>1.18099547511312</v>
      </c>
      <c r="AA293" s="18" t="n">
        <f aca="false">IF(O293=0,0,W293*27/O293)</f>
        <v>8.12443438914027</v>
      </c>
      <c r="AB293" s="18" t="n">
        <f aca="false">IF(O293=0,0,V293*27/O293)</f>
        <v>3.84841628959276</v>
      </c>
      <c r="AC293" s="18" t="n">
        <f aca="false">IF(V293=0,0,W293/V293)</f>
        <v>2.11111111111111</v>
      </c>
      <c r="AD293" s="18" t="n">
        <f aca="false">IF(P293=0,0,(13*U293+3*(V293+X293)-2*W293)/P293+INDEX(球季參數!$C$2:$C$4,MATCH($A293,球季參數!$A$2:$A$4,0)))</f>
        <v>3.87660633484163</v>
      </c>
      <c r="AE293" s="11" t="n">
        <f aca="false">IF(P293&gt;=INDEX(球季參數!$F$2:$F$4,MATCH($A293,球季參數!$A$2:$A$4,0)),1,0)</f>
        <v>0</v>
      </c>
    </row>
    <row r="294" customFormat="false" ht="15" hidden="false" customHeight="false" outlineLevel="0" collapsed="false">
      <c r="A294" s="5" t="n">
        <v>2024</v>
      </c>
      <c r="B294" s="7" t="s">
        <v>1661</v>
      </c>
      <c r="C294" s="10" t="str">
        <f aca="false">INDEX(球員主檔!$B$2:$B$749,MATCH($B294,球員主檔!$A$2:$A$749,0))</f>
        <v>Yusuke Ingersoll</v>
      </c>
      <c r="D294" s="7" t="s">
        <v>463</v>
      </c>
      <c r="E294" s="10" t="str">
        <f aca="false">INDEX(球隊主檔!$C$2:$C$31,MATCH($D294,球隊主檔!$A$2:$A$31,0))</f>
        <v>舊金山巨人</v>
      </c>
      <c r="F294" s="10" t="str">
        <f aca="false">INDEX(球隊主檔!$D$2:$D$31,MATCH($D294,球隊主檔!$A$2:$A$31,0))</f>
        <v>國聯</v>
      </c>
      <c r="G294" s="7" t="s">
        <v>496</v>
      </c>
      <c r="H294" s="11" t="n">
        <f aca="false">INT((DATE($A294,7,1)-INDEX(球員主檔!$G$2:$G$749,MATCH($B294,球員主檔!$A$2:$A$749,0)))/365.25)</f>
        <v>35</v>
      </c>
      <c r="I294" s="12" t="n">
        <v>7</v>
      </c>
      <c r="J294" s="12" t="n">
        <v>10</v>
      </c>
      <c r="K294" s="12" t="n">
        <v>0</v>
      </c>
      <c r="L294" s="12" t="n">
        <v>0</v>
      </c>
      <c r="M294" s="12" t="n">
        <v>24</v>
      </c>
      <c r="N294" s="12" t="n">
        <v>24</v>
      </c>
      <c r="O294" s="12" t="n">
        <v>412</v>
      </c>
      <c r="P294" s="16" t="n">
        <f aca="false">O294/3</f>
        <v>137.333333333333</v>
      </c>
      <c r="Q294" s="17" t="str">
        <f aca="false">INT(O294/3)&amp;"."&amp;MOD(O294,3)</f>
        <v>137.1</v>
      </c>
      <c r="R294" s="12" t="n">
        <v>142</v>
      </c>
      <c r="S294" s="12" t="n">
        <v>96</v>
      </c>
      <c r="T294" s="12" t="n">
        <v>89</v>
      </c>
      <c r="U294" s="12" t="n">
        <v>24</v>
      </c>
      <c r="V294" s="12" t="n">
        <v>42</v>
      </c>
      <c r="W294" s="12" t="n">
        <v>109</v>
      </c>
      <c r="X294" s="12" t="n">
        <v>2</v>
      </c>
      <c r="Y294" s="18" t="n">
        <f aca="false">IF(O294=0,0,T294*27/O294)</f>
        <v>5.83252427184466</v>
      </c>
      <c r="Z294" s="18" t="n">
        <f aca="false">IF(P294=0,0,(V294+R294)/P294)</f>
        <v>1.33980582524272</v>
      </c>
      <c r="AA294" s="18" t="n">
        <f aca="false">IF(O294=0,0,W294*27/O294)</f>
        <v>7.14320388349515</v>
      </c>
      <c r="AB294" s="18" t="n">
        <f aca="false">IF(O294=0,0,V294*27/O294)</f>
        <v>2.75242718446602</v>
      </c>
      <c r="AC294" s="18" t="n">
        <f aca="false">IF(V294=0,0,W294/V294)</f>
        <v>2.5952380952381</v>
      </c>
      <c r="AD294" s="18" t="n">
        <f aca="false">IF(P294=0,0,(13*U294+3*(V294+X294)-2*W294)/P294+INDEX(球季參數!$C$2:$C$4,MATCH($A294,球季參數!$A$2:$A$4,0)))</f>
        <v>4.77563106796116</v>
      </c>
      <c r="AE294" s="11" t="n">
        <f aca="false">IF(P294&gt;=INDEX(球季參數!$F$2:$F$4,MATCH($A294,球季參數!$A$2:$A$4,0)),1,0)</f>
        <v>0</v>
      </c>
    </row>
    <row r="295" customFormat="false" ht="15" hidden="false" customHeight="false" outlineLevel="0" collapsed="false">
      <c r="A295" s="5" t="n">
        <v>2024</v>
      </c>
      <c r="B295" s="7" t="s">
        <v>1663</v>
      </c>
      <c r="C295" s="10" t="str">
        <f aca="false">INDEX(球員主檔!$B$2:$B$749,MATCH($B295,球員主檔!$A$2:$A$749,0))</f>
        <v>Joaquín Jovanović</v>
      </c>
      <c r="D295" s="7" t="s">
        <v>463</v>
      </c>
      <c r="E295" s="10" t="str">
        <f aca="false">INDEX(球隊主檔!$C$2:$C$31,MATCH($D295,球隊主檔!$A$2:$A$31,0))</f>
        <v>舊金山巨人</v>
      </c>
      <c r="F295" s="10" t="str">
        <f aca="false">INDEX(球隊主檔!$D$2:$D$31,MATCH($D295,球隊主檔!$A$2:$A$31,0))</f>
        <v>國聯</v>
      </c>
      <c r="G295" s="7" t="s">
        <v>496</v>
      </c>
      <c r="H295" s="11" t="n">
        <f aca="false">INT((DATE($A295,7,1)-INDEX(球員主檔!$G$2:$G$749,MATCH($B295,球員主檔!$A$2:$A$749,0)))/365.25)</f>
        <v>27</v>
      </c>
      <c r="I295" s="12" t="n">
        <v>12</v>
      </c>
      <c r="J295" s="12" t="n">
        <v>8</v>
      </c>
      <c r="K295" s="12" t="n">
        <v>0</v>
      </c>
      <c r="L295" s="12" t="n">
        <v>0</v>
      </c>
      <c r="M295" s="12" t="n">
        <v>30</v>
      </c>
      <c r="N295" s="12" t="n">
        <v>30</v>
      </c>
      <c r="O295" s="12" t="n">
        <v>535</v>
      </c>
      <c r="P295" s="16" t="n">
        <f aca="false">O295/3</f>
        <v>178.333333333333</v>
      </c>
      <c r="Q295" s="17" t="str">
        <f aca="false">INT(O295/3)&amp;"."&amp;MOD(O295,3)</f>
        <v>178.1</v>
      </c>
      <c r="R295" s="12" t="n">
        <v>131</v>
      </c>
      <c r="S295" s="12" t="n">
        <v>71</v>
      </c>
      <c r="T295" s="12" t="n">
        <v>71</v>
      </c>
      <c r="U295" s="12" t="n">
        <v>33</v>
      </c>
      <c r="V295" s="12" t="n">
        <v>98</v>
      </c>
      <c r="W295" s="12" t="n">
        <v>219</v>
      </c>
      <c r="X295" s="12" t="n">
        <v>6</v>
      </c>
      <c r="Y295" s="18" t="n">
        <f aca="false">IF(O295=0,0,T295*27/O295)</f>
        <v>3.58317757009346</v>
      </c>
      <c r="Z295" s="18" t="n">
        <f aca="false">IF(P295=0,0,(V295+R295)/P295)</f>
        <v>1.28411214953271</v>
      </c>
      <c r="AA295" s="18" t="n">
        <f aca="false">IF(O295=0,0,W295*27/O295)</f>
        <v>11.0523364485981</v>
      </c>
      <c r="AB295" s="18" t="n">
        <f aca="false">IF(O295=0,0,V295*27/O295)</f>
        <v>4.94579439252336</v>
      </c>
      <c r="AC295" s="18" t="n">
        <f aca="false">IF(V295=0,0,W295/V295)</f>
        <v>2.23469387755102</v>
      </c>
      <c r="AD295" s="18" t="n">
        <f aca="false">IF(P295=0,0,(13*U295+3*(V295+X295)-2*W295)/P295+INDEX(球季參數!$C$2:$C$4,MATCH($A295,球季參數!$A$2:$A$4,0)))</f>
        <v>4.82906542056075</v>
      </c>
      <c r="AE295" s="11" t="n">
        <f aca="false">IF(P295&gt;=INDEX(球季參數!$F$2:$F$4,MATCH($A295,球季參數!$A$2:$A$4,0)),1,0)</f>
        <v>1</v>
      </c>
    </row>
    <row r="296" customFormat="false" ht="15" hidden="false" customHeight="false" outlineLevel="0" collapsed="false">
      <c r="A296" s="5" t="n">
        <v>2024</v>
      </c>
      <c r="B296" s="7" t="s">
        <v>1665</v>
      </c>
      <c r="C296" s="10" t="str">
        <f aca="false">INDEX(球員主檔!$B$2:$B$749,MATCH($B296,球員主檔!$A$2:$A$749,0))</f>
        <v>Wyatt Wainwright</v>
      </c>
      <c r="D296" s="7" t="s">
        <v>463</v>
      </c>
      <c r="E296" s="10" t="str">
        <f aca="false">INDEX(球隊主檔!$C$2:$C$31,MATCH($D296,球隊主檔!$A$2:$A$31,0))</f>
        <v>舊金山巨人</v>
      </c>
      <c r="F296" s="10" t="str">
        <f aca="false">INDEX(球隊主檔!$D$2:$D$31,MATCH($D296,球隊主檔!$A$2:$A$31,0))</f>
        <v>國聯</v>
      </c>
      <c r="G296" s="7" t="s">
        <v>496</v>
      </c>
      <c r="H296" s="11" t="n">
        <f aca="false">INT((DATE($A296,7,1)-INDEX(球員主檔!$G$2:$G$749,MATCH($B296,球員主檔!$A$2:$A$749,0)))/365.25)</f>
        <v>27</v>
      </c>
      <c r="I296" s="12" t="n">
        <v>10</v>
      </c>
      <c r="J296" s="12" t="n">
        <v>3</v>
      </c>
      <c r="K296" s="12" t="n">
        <v>0</v>
      </c>
      <c r="L296" s="12" t="n">
        <v>0</v>
      </c>
      <c r="M296" s="12" t="n">
        <v>21</v>
      </c>
      <c r="N296" s="12" t="n">
        <v>21</v>
      </c>
      <c r="O296" s="12" t="n">
        <v>364</v>
      </c>
      <c r="P296" s="16" t="n">
        <f aca="false">O296/3</f>
        <v>121.333333333333</v>
      </c>
      <c r="Q296" s="17" t="str">
        <f aca="false">INT(O296/3)&amp;"."&amp;MOD(O296,3)</f>
        <v>121.1</v>
      </c>
      <c r="R296" s="12" t="n">
        <v>94</v>
      </c>
      <c r="S296" s="12" t="n">
        <v>45</v>
      </c>
      <c r="T296" s="12" t="n">
        <v>44</v>
      </c>
      <c r="U296" s="12" t="n">
        <v>15</v>
      </c>
      <c r="V296" s="12" t="n">
        <v>36</v>
      </c>
      <c r="W296" s="12" t="n">
        <v>131</v>
      </c>
      <c r="X296" s="12" t="n">
        <v>7</v>
      </c>
      <c r="Y296" s="18" t="n">
        <f aca="false">IF(O296=0,0,T296*27/O296)</f>
        <v>3.26373626373626</v>
      </c>
      <c r="Z296" s="18" t="n">
        <f aca="false">IF(P296=0,0,(V296+R296)/P296)</f>
        <v>1.07142857142857</v>
      </c>
      <c r="AA296" s="18" t="n">
        <f aca="false">IF(O296=0,0,W296*27/O296)</f>
        <v>9.71703296703297</v>
      </c>
      <c r="AB296" s="18" t="n">
        <f aca="false">IF(O296=0,0,V296*27/O296)</f>
        <v>2.67032967032967</v>
      </c>
      <c r="AC296" s="18" t="n">
        <f aca="false">IF(V296=0,0,W296/V296)</f>
        <v>3.63888888888889</v>
      </c>
      <c r="AD296" s="18" t="n">
        <f aca="false">IF(P296=0,0,(13*U296+3*(V296+X296)-2*W296)/P296+INDEX(球季參數!$C$2:$C$4,MATCH($A296,球季參數!$A$2:$A$4,0)))</f>
        <v>3.64098901098901</v>
      </c>
      <c r="AE296" s="11" t="n">
        <f aca="false">IF(P296&gt;=INDEX(球季參數!$F$2:$F$4,MATCH($A296,球季參數!$A$2:$A$4,0)),1,0)</f>
        <v>0</v>
      </c>
    </row>
    <row r="297" customFormat="false" ht="15" hidden="false" customHeight="false" outlineLevel="0" collapsed="false">
      <c r="A297" s="5" t="n">
        <v>2024</v>
      </c>
      <c r="B297" s="7" t="s">
        <v>1667</v>
      </c>
      <c r="C297" s="10" t="str">
        <f aca="false">INDEX(球員主檔!$B$2:$B$749,MATCH($B297,球員主檔!$A$2:$A$749,0))</f>
        <v>Everett Dubois</v>
      </c>
      <c r="D297" s="7" t="s">
        <v>463</v>
      </c>
      <c r="E297" s="10" t="str">
        <f aca="false">INDEX(球隊主檔!$C$2:$C$31,MATCH($D297,球隊主檔!$A$2:$A$31,0))</f>
        <v>舊金山巨人</v>
      </c>
      <c r="F297" s="10" t="str">
        <f aca="false">INDEX(球隊主檔!$D$2:$D$31,MATCH($D297,球隊主檔!$A$2:$A$31,0))</f>
        <v>國聯</v>
      </c>
      <c r="G297" s="7" t="s">
        <v>507</v>
      </c>
      <c r="H297" s="11" t="n">
        <f aca="false">INT((DATE($A297,7,1)-INDEX(球員主檔!$G$2:$G$749,MATCH($B297,球員主檔!$A$2:$A$749,0)))/365.25)</f>
        <v>24</v>
      </c>
      <c r="I297" s="12" t="n">
        <v>0</v>
      </c>
      <c r="J297" s="12" t="n">
        <v>7</v>
      </c>
      <c r="K297" s="12" t="n">
        <v>27</v>
      </c>
      <c r="L297" s="12" t="n">
        <v>2</v>
      </c>
      <c r="M297" s="12" t="n">
        <v>65</v>
      </c>
      <c r="N297" s="12" t="n">
        <v>0</v>
      </c>
      <c r="O297" s="12" t="n">
        <v>198</v>
      </c>
      <c r="P297" s="16" t="n">
        <f aca="false">O297/3</f>
        <v>66</v>
      </c>
      <c r="Q297" s="17" t="str">
        <f aca="false">INT(O297/3)&amp;"."&amp;MOD(O297,3)</f>
        <v>66.0</v>
      </c>
      <c r="R297" s="12" t="n">
        <v>51</v>
      </c>
      <c r="S297" s="12" t="n">
        <v>25</v>
      </c>
      <c r="T297" s="12" t="n">
        <v>23</v>
      </c>
      <c r="U297" s="12" t="n">
        <v>13</v>
      </c>
      <c r="V297" s="12" t="n">
        <v>17</v>
      </c>
      <c r="W297" s="12" t="n">
        <v>48</v>
      </c>
      <c r="X297" s="12" t="n">
        <v>1</v>
      </c>
      <c r="Y297" s="18" t="n">
        <f aca="false">IF(O297=0,0,T297*27/O297)</f>
        <v>3.13636363636364</v>
      </c>
      <c r="Z297" s="18" t="n">
        <f aca="false">IF(P297=0,0,(V297+R297)/P297)</f>
        <v>1.03030303030303</v>
      </c>
      <c r="AA297" s="18" t="n">
        <f aca="false">IF(O297=0,0,W297*27/O297)</f>
        <v>6.54545454545455</v>
      </c>
      <c r="AB297" s="18" t="n">
        <f aca="false">IF(O297=0,0,V297*27/O297)</f>
        <v>2.31818181818182</v>
      </c>
      <c r="AC297" s="18" t="n">
        <f aca="false">IF(V297=0,0,W297/V297)</f>
        <v>2.82352941176471</v>
      </c>
      <c r="AD297" s="18" t="n">
        <f aca="false">IF(P297=0,0,(13*U297+3*(V297+X297)-2*W297)/P297+INDEX(球季參數!$C$2:$C$4,MATCH($A297,球季參數!$A$2:$A$4,0)))</f>
        <v>5.05424242424243</v>
      </c>
      <c r="AE297" s="11" t="n">
        <f aca="false">IF(P297&gt;=INDEX(球季參數!$F$2:$F$4,MATCH($A297,球季參數!$A$2:$A$4,0)),1,0)</f>
        <v>0</v>
      </c>
    </row>
    <row r="298" customFormat="false" ht="15" hidden="false" customHeight="false" outlineLevel="0" collapsed="false">
      <c r="A298" s="5" t="n">
        <v>2024</v>
      </c>
      <c r="B298" s="7" t="s">
        <v>1669</v>
      </c>
      <c r="C298" s="10" t="str">
        <f aca="false">INDEX(球員主檔!$B$2:$B$749,MATCH($B298,球員主檔!$A$2:$A$749,0))</f>
        <v>Rintaro Gallimore</v>
      </c>
      <c r="D298" s="7" t="s">
        <v>463</v>
      </c>
      <c r="E298" s="10" t="str">
        <f aca="false">INDEX(球隊主檔!$C$2:$C$31,MATCH($D298,球隊主檔!$A$2:$A$31,0))</f>
        <v>舊金山巨人</v>
      </c>
      <c r="F298" s="10" t="str">
        <f aca="false">INDEX(球隊主檔!$D$2:$D$31,MATCH($D298,球隊主檔!$A$2:$A$31,0))</f>
        <v>國聯</v>
      </c>
      <c r="G298" s="7" t="s">
        <v>507</v>
      </c>
      <c r="H298" s="11" t="n">
        <f aca="false">INT((DATE($A298,7,1)-INDEX(球員主檔!$G$2:$G$749,MATCH($B298,球員主檔!$A$2:$A$749,0)))/365.25)</f>
        <v>28</v>
      </c>
      <c r="I298" s="12" t="n">
        <v>9</v>
      </c>
      <c r="J298" s="12" t="n">
        <v>8</v>
      </c>
      <c r="K298" s="12" t="n">
        <v>3</v>
      </c>
      <c r="L298" s="12" t="n">
        <v>20</v>
      </c>
      <c r="M298" s="12" t="n">
        <v>45</v>
      </c>
      <c r="N298" s="12" t="n">
        <v>0</v>
      </c>
      <c r="O298" s="12" t="n">
        <v>138</v>
      </c>
      <c r="P298" s="16" t="n">
        <f aca="false">O298/3</f>
        <v>46</v>
      </c>
      <c r="Q298" s="17" t="str">
        <f aca="false">INT(O298/3)&amp;"."&amp;MOD(O298,3)</f>
        <v>46.0</v>
      </c>
      <c r="R298" s="12" t="n">
        <v>41</v>
      </c>
      <c r="S298" s="12" t="n">
        <v>32</v>
      </c>
      <c r="T298" s="12" t="n">
        <v>29</v>
      </c>
      <c r="U298" s="12" t="n">
        <v>10</v>
      </c>
      <c r="V298" s="12" t="n">
        <v>16</v>
      </c>
      <c r="W298" s="12" t="n">
        <v>49</v>
      </c>
      <c r="X298" s="12" t="n">
        <v>3</v>
      </c>
      <c r="Y298" s="18" t="n">
        <f aca="false">IF(O298=0,0,T298*27/O298)</f>
        <v>5.67391304347826</v>
      </c>
      <c r="Z298" s="18" t="n">
        <f aca="false">IF(P298=0,0,(V298+R298)/P298)</f>
        <v>1.23913043478261</v>
      </c>
      <c r="AA298" s="18" t="n">
        <f aca="false">IF(O298=0,0,W298*27/O298)</f>
        <v>9.58695652173913</v>
      </c>
      <c r="AB298" s="18" t="n">
        <f aca="false">IF(O298=0,0,V298*27/O298)</f>
        <v>3.1304347826087</v>
      </c>
      <c r="AC298" s="18" t="n">
        <f aca="false">IF(V298=0,0,W298/V298)</f>
        <v>3.0625</v>
      </c>
      <c r="AD298" s="18" t="n">
        <f aca="false">IF(P298=0,0,(13*U298+3*(V298+X298)-2*W298)/P298+INDEX(球季參數!$C$2:$C$4,MATCH($A298,球季參數!$A$2:$A$4,0)))</f>
        <v>5.06478260869565</v>
      </c>
      <c r="AE298" s="11" t="n">
        <f aca="false">IF(P298&gt;=INDEX(球季參數!$F$2:$F$4,MATCH($A298,球季參數!$A$2:$A$4,0)),1,0)</f>
        <v>0</v>
      </c>
    </row>
    <row r="299" customFormat="false" ht="15" hidden="false" customHeight="false" outlineLevel="0" collapsed="false">
      <c r="A299" s="5" t="n">
        <v>2024</v>
      </c>
      <c r="B299" s="7" t="s">
        <v>1671</v>
      </c>
      <c r="C299" s="10" t="str">
        <f aca="false">INDEX(球員主檔!$B$2:$B$749,MATCH($B299,球員主檔!$A$2:$A$749,0))</f>
        <v>Konrad Pellerin</v>
      </c>
      <c r="D299" s="7" t="s">
        <v>463</v>
      </c>
      <c r="E299" s="10" t="str">
        <f aca="false">INDEX(球隊主檔!$C$2:$C$31,MATCH($D299,球隊主檔!$A$2:$A$31,0))</f>
        <v>舊金山巨人</v>
      </c>
      <c r="F299" s="10" t="str">
        <f aca="false">INDEX(球隊主檔!$D$2:$D$31,MATCH($D299,球隊主檔!$A$2:$A$31,0))</f>
        <v>國聯</v>
      </c>
      <c r="G299" s="7" t="s">
        <v>507</v>
      </c>
      <c r="H299" s="11" t="n">
        <f aca="false">INT((DATE($A299,7,1)-INDEX(球員主檔!$G$2:$G$749,MATCH($B299,球員主檔!$A$2:$A$749,0)))/365.25)</f>
        <v>26</v>
      </c>
      <c r="I299" s="12" t="n">
        <v>3</v>
      </c>
      <c r="J299" s="12" t="n">
        <v>2</v>
      </c>
      <c r="K299" s="12" t="n">
        <v>2</v>
      </c>
      <c r="L299" s="12" t="n">
        <v>28</v>
      </c>
      <c r="M299" s="12" t="n">
        <v>68</v>
      </c>
      <c r="N299" s="12" t="n">
        <v>0</v>
      </c>
      <c r="O299" s="12" t="n">
        <v>208</v>
      </c>
      <c r="P299" s="16" t="n">
        <f aca="false">O299/3</f>
        <v>69.3333333333333</v>
      </c>
      <c r="Q299" s="17" t="str">
        <f aca="false">INT(O299/3)&amp;"."&amp;MOD(O299,3)</f>
        <v>69.1</v>
      </c>
      <c r="R299" s="12" t="n">
        <v>56</v>
      </c>
      <c r="S299" s="12" t="n">
        <v>35</v>
      </c>
      <c r="T299" s="12" t="n">
        <v>35</v>
      </c>
      <c r="U299" s="12" t="n">
        <v>9</v>
      </c>
      <c r="V299" s="12" t="n">
        <v>29</v>
      </c>
      <c r="W299" s="12" t="n">
        <v>88</v>
      </c>
      <c r="X299" s="12" t="n">
        <v>2</v>
      </c>
      <c r="Y299" s="18" t="n">
        <f aca="false">IF(O299=0,0,T299*27/O299)</f>
        <v>4.54326923076923</v>
      </c>
      <c r="Z299" s="18" t="n">
        <f aca="false">IF(P299=0,0,(V299+R299)/P299)</f>
        <v>1.22596153846154</v>
      </c>
      <c r="AA299" s="18" t="n">
        <f aca="false">IF(O299=0,0,W299*27/O299)</f>
        <v>11.4230769230769</v>
      </c>
      <c r="AB299" s="18" t="n">
        <f aca="false">IF(O299=0,0,V299*27/O299)</f>
        <v>3.76442307692308</v>
      </c>
      <c r="AC299" s="18" t="n">
        <f aca="false">IF(V299=0,0,W299/V299)</f>
        <v>3.03448275862069</v>
      </c>
      <c r="AD299" s="18" t="n">
        <f aca="false">IF(P299=0,0,(13*U299+3*(V299+X299)-2*W299)/P299+INDEX(球季參數!$C$2:$C$4,MATCH($A299,球季參數!$A$2:$A$4,0)))</f>
        <v>3.62038461538462</v>
      </c>
      <c r="AE299" s="11" t="n">
        <f aca="false">IF(P299&gt;=INDEX(球季參數!$F$2:$F$4,MATCH($A299,球季參數!$A$2:$A$4,0)),1,0)</f>
        <v>0</v>
      </c>
    </row>
    <row r="300" customFormat="false" ht="15" hidden="false" customHeight="false" outlineLevel="0" collapsed="false">
      <c r="A300" s="5" t="n">
        <v>2024</v>
      </c>
      <c r="B300" s="7" t="s">
        <v>1673</v>
      </c>
      <c r="C300" s="10" t="str">
        <f aca="false">INDEX(球員主檔!$B$2:$B$749,MATCH($B300,球員主檔!$A$2:$A$749,0))</f>
        <v>Bernardo Quiroga</v>
      </c>
      <c r="D300" s="7" t="s">
        <v>463</v>
      </c>
      <c r="E300" s="10" t="str">
        <f aca="false">INDEX(球隊主檔!$C$2:$C$31,MATCH($D300,球隊主檔!$A$2:$A$31,0))</f>
        <v>舊金山巨人</v>
      </c>
      <c r="F300" s="10" t="str">
        <f aca="false">INDEX(球隊主檔!$D$2:$D$31,MATCH($D300,球隊主檔!$A$2:$A$31,0))</f>
        <v>國聯</v>
      </c>
      <c r="G300" s="7" t="s">
        <v>507</v>
      </c>
      <c r="H300" s="11" t="n">
        <f aca="false">INT((DATE($A300,7,1)-INDEX(球員主檔!$G$2:$G$749,MATCH($B300,球員主檔!$A$2:$A$749,0)))/365.25)</f>
        <v>24</v>
      </c>
      <c r="I300" s="12" t="n">
        <v>3</v>
      </c>
      <c r="J300" s="12" t="n">
        <v>5</v>
      </c>
      <c r="K300" s="12" t="n">
        <v>3</v>
      </c>
      <c r="L300" s="12" t="n">
        <v>10</v>
      </c>
      <c r="M300" s="12" t="n">
        <v>73</v>
      </c>
      <c r="N300" s="12" t="n">
        <v>0</v>
      </c>
      <c r="O300" s="12" t="n">
        <v>229</v>
      </c>
      <c r="P300" s="16" t="n">
        <f aca="false">O300/3</f>
        <v>76.3333333333333</v>
      </c>
      <c r="Q300" s="17" t="str">
        <f aca="false">INT(O300/3)&amp;"."&amp;MOD(O300,3)</f>
        <v>76.1</v>
      </c>
      <c r="R300" s="12" t="n">
        <v>69</v>
      </c>
      <c r="S300" s="12" t="n">
        <v>49</v>
      </c>
      <c r="T300" s="12" t="n">
        <v>46</v>
      </c>
      <c r="U300" s="12" t="n">
        <v>6</v>
      </c>
      <c r="V300" s="12" t="n">
        <v>34</v>
      </c>
      <c r="W300" s="12" t="n">
        <v>84</v>
      </c>
      <c r="X300" s="12" t="n">
        <v>4</v>
      </c>
      <c r="Y300" s="18" t="n">
        <f aca="false">IF(O300=0,0,T300*27/O300)</f>
        <v>5.4235807860262</v>
      </c>
      <c r="Z300" s="18" t="n">
        <f aca="false">IF(P300=0,0,(V300+R300)/P300)</f>
        <v>1.34934497816594</v>
      </c>
      <c r="AA300" s="18" t="n">
        <f aca="false">IF(O300=0,0,W300*27/O300)</f>
        <v>9.90393013100437</v>
      </c>
      <c r="AB300" s="18" t="n">
        <f aca="false">IF(O300=0,0,V300*27/O300)</f>
        <v>4.00873362445415</v>
      </c>
      <c r="AC300" s="18" t="n">
        <f aca="false">IF(V300=0,0,W300/V300)</f>
        <v>2.47058823529412</v>
      </c>
      <c r="AD300" s="18" t="n">
        <f aca="false">IF(P300=0,0,(13*U300+3*(V300+X300)-2*W300)/P300+INDEX(球季參數!$C$2:$C$4,MATCH($A300,球季參數!$A$2:$A$4,0)))</f>
        <v>3.44441048034934</v>
      </c>
      <c r="AE300" s="11" t="n">
        <f aca="false">IF(P300&gt;=INDEX(球季參數!$F$2:$F$4,MATCH($A300,球季參數!$A$2:$A$4,0)),1,0)</f>
        <v>0</v>
      </c>
    </row>
    <row r="301" customFormat="false" ht="15" hidden="false" customHeight="false" outlineLevel="0" collapsed="false">
      <c r="A301" s="5" t="n">
        <v>2024</v>
      </c>
      <c r="B301" s="7" t="s">
        <v>1675</v>
      </c>
      <c r="C301" s="10" t="str">
        <f aca="false">INDEX(球員主檔!$B$2:$B$749,MATCH($B301,球員主檔!$A$2:$A$749,0))</f>
        <v>Lorenzo Novotný</v>
      </c>
      <c r="D301" s="7" t="s">
        <v>463</v>
      </c>
      <c r="E301" s="10" t="str">
        <f aca="false">INDEX(球隊主檔!$C$2:$C$31,MATCH($D301,球隊主檔!$A$2:$A$31,0))</f>
        <v>舊金山巨人</v>
      </c>
      <c r="F301" s="10" t="str">
        <f aca="false">INDEX(球隊主檔!$D$2:$D$31,MATCH($D301,球隊主檔!$A$2:$A$31,0))</f>
        <v>國聯</v>
      </c>
      <c r="G301" s="7" t="s">
        <v>507</v>
      </c>
      <c r="H301" s="11" t="n">
        <f aca="false">INT((DATE($A301,7,1)-INDEX(球員主檔!$G$2:$G$749,MATCH($B301,球員主檔!$A$2:$A$749,0)))/365.25)</f>
        <v>29</v>
      </c>
      <c r="I301" s="12" t="n">
        <v>8</v>
      </c>
      <c r="J301" s="12" t="n">
        <v>6</v>
      </c>
      <c r="K301" s="12" t="n">
        <v>3</v>
      </c>
      <c r="L301" s="12" t="n">
        <v>22</v>
      </c>
      <c r="M301" s="12" t="n">
        <v>53</v>
      </c>
      <c r="N301" s="12" t="n">
        <v>0</v>
      </c>
      <c r="O301" s="12" t="n">
        <v>144</v>
      </c>
      <c r="P301" s="16" t="n">
        <f aca="false">O301/3</f>
        <v>48</v>
      </c>
      <c r="Q301" s="17" t="str">
        <f aca="false">INT(O301/3)&amp;"."&amp;MOD(O301,3)</f>
        <v>48.0</v>
      </c>
      <c r="R301" s="12" t="n">
        <v>39</v>
      </c>
      <c r="S301" s="12" t="n">
        <v>23</v>
      </c>
      <c r="T301" s="12" t="n">
        <v>21</v>
      </c>
      <c r="U301" s="12" t="n">
        <v>4</v>
      </c>
      <c r="V301" s="12" t="n">
        <v>17</v>
      </c>
      <c r="W301" s="12" t="n">
        <v>45</v>
      </c>
      <c r="X301" s="12" t="n">
        <v>2</v>
      </c>
      <c r="Y301" s="18" t="n">
        <f aca="false">IF(O301=0,0,T301*27/O301)</f>
        <v>3.9375</v>
      </c>
      <c r="Z301" s="18" t="n">
        <f aca="false">IF(P301=0,0,(V301+R301)/P301)</f>
        <v>1.16666666666667</v>
      </c>
      <c r="AA301" s="18" t="n">
        <f aca="false">IF(O301=0,0,W301*27/O301)</f>
        <v>8.4375</v>
      </c>
      <c r="AB301" s="18" t="n">
        <f aca="false">IF(O301=0,0,V301*27/O301)</f>
        <v>3.1875</v>
      </c>
      <c r="AC301" s="18" t="n">
        <f aca="false">IF(V301=0,0,W301/V301)</f>
        <v>2.64705882352941</v>
      </c>
      <c r="AD301" s="18" t="n">
        <f aca="false">IF(P301=0,0,(13*U301+3*(V301+X301)-2*W301)/P301+INDEX(球季參數!$C$2:$C$4,MATCH($A301,球季參數!$A$2:$A$4,0)))</f>
        <v>3.52583333333333</v>
      </c>
      <c r="AE301" s="11" t="n">
        <f aca="false">IF(P301&gt;=INDEX(球季參數!$F$2:$F$4,MATCH($A301,球季參數!$A$2:$A$4,0)),1,0)</f>
        <v>0</v>
      </c>
    </row>
    <row r="302" customFormat="false" ht="15" hidden="false" customHeight="false" outlineLevel="0" collapsed="false">
      <c r="A302" s="5" t="n">
        <v>2025</v>
      </c>
      <c r="B302" s="7" t="s">
        <v>493</v>
      </c>
      <c r="C302" s="10" t="str">
        <f aca="false">INDEX(球員主檔!$B$2:$B$749,MATCH($B302,球員主檔!$A$2:$A$749,0))</f>
        <v>Ulises Halloway</v>
      </c>
      <c r="D302" s="7" t="s">
        <v>340</v>
      </c>
      <c r="E302" s="10" t="str">
        <f aca="false">INDEX(球隊主檔!$C$2:$C$31,MATCH($D302,球隊主檔!$A$2:$A$31,0))</f>
        <v>巴爾的摩金鶯</v>
      </c>
      <c r="F302" s="10" t="str">
        <f aca="false">INDEX(球隊主檔!$D$2:$D$31,MATCH($D302,球隊主檔!$A$2:$A$31,0))</f>
        <v>美聯</v>
      </c>
      <c r="G302" s="7" t="s">
        <v>496</v>
      </c>
      <c r="H302" s="11" t="n">
        <f aca="false">INT((DATE($A302,7,1)-INDEX(球員主檔!$G$2:$G$749,MATCH($B302,球員主檔!$A$2:$A$749,0)))/365.25)</f>
        <v>26</v>
      </c>
      <c r="I302" s="12" t="n">
        <v>11</v>
      </c>
      <c r="J302" s="12" t="n">
        <v>9</v>
      </c>
      <c r="K302" s="12" t="n">
        <v>0</v>
      </c>
      <c r="L302" s="12" t="n">
        <v>0</v>
      </c>
      <c r="M302" s="12" t="n">
        <v>29</v>
      </c>
      <c r="N302" s="12" t="n">
        <v>29</v>
      </c>
      <c r="O302" s="12" t="n">
        <v>545</v>
      </c>
      <c r="P302" s="16" t="n">
        <f aca="false">O302/3</f>
        <v>181.666666666667</v>
      </c>
      <c r="Q302" s="17" t="str">
        <f aca="false">INT(O302/3)&amp;"."&amp;MOD(O302,3)</f>
        <v>181.2</v>
      </c>
      <c r="R302" s="12" t="n">
        <v>158</v>
      </c>
      <c r="S302" s="12" t="n">
        <v>103</v>
      </c>
      <c r="T302" s="12" t="n">
        <v>103</v>
      </c>
      <c r="U302" s="12" t="n">
        <v>23</v>
      </c>
      <c r="V302" s="12" t="n">
        <v>38</v>
      </c>
      <c r="W302" s="12" t="n">
        <v>168</v>
      </c>
      <c r="X302" s="12" t="n">
        <v>10</v>
      </c>
      <c r="Y302" s="18" t="n">
        <f aca="false">IF(O302=0,0,T302*27/O302)</f>
        <v>5.10275229357798</v>
      </c>
      <c r="Z302" s="18" t="n">
        <f aca="false">IF(P302=0,0,(V302+R302)/P302)</f>
        <v>1.07889908256881</v>
      </c>
      <c r="AA302" s="18" t="n">
        <f aca="false">IF(O302=0,0,W302*27/O302)</f>
        <v>8.32293577981651</v>
      </c>
      <c r="AB302" s="18" t="n">
        <f aca="false">IF(O302=0,0,V302*27/O302)</f>
        <v>1.88256880733945</v>
      </c>
      <c r="AC302" s="18" t="n">
        <f aca="false">IF(V302=0,0,W302/V302)</f>
        <v>4.42105263157895</v>
      </c>
      <c r="AD302" s="18" t="n">
        <f aca="false">IF(P302=0,0,(13*U302+3*(V302+X302)-2*W302)/P302+INDEX(球季參數!$C$2:$C$4,MATCH($A302,球季參數!$A$2:$A$4,0)))</f>
        <v>3.68899082568807</v>
      </c>
      <c r="AE302" s="11" t="n">
        <f aca="false">IF(P302&gt;=INDEX(球季參數!$F$2:$F$4,MATCH($A302,球季參數!$A$2:$A$4,0)),1,0)</f>
        <v>1</v>
      </c>
    </row>
    <row r="303" customFormat="false" ht="15" hidden="false" customHeight="false" outlineLevel="0" collapsed="false">
      <c r="A303" s="5" t="n">
        <v>2025</v>
      </c>
      <c r="B303" s="7" t="s">
        <v>497</v>
      </c>
      <c r="C303" s="10" t="str">
        <f aca="false">INDEX(球員主檔!$B$2:$B$749,MATCH($B303,球員主檔!$A$2:$A$749,0))</f>
        <v>Emilio Blackwood</v>
      </c>
      <c r="D303" s="7" t="s">
        <v>340</v>
      </c>
      <c r="E303" s="10" t="str">
        <f aca="false">INDEX(球隊主檔!$C$2:$C$31,MATCH($D303,球隊主檔!$A$2:$A$31,0))</f>
        <v>巴爾的摩金鶯</v>
      </c>
      <c r="F303" s="10" t="str">
        <f aca="false">INDEX(球隊主檔!$D$2:$D$31,MATCH($D303,球隊主檔!$A$2:$A$31,0))</f>
        <v>美聯</v>
      </c>
      <c r="G303" s="7" t="s">
        <v>496</v>
      </c>
      <c r="H303" s="11" t="n">
        <f aca="false">INT((DATE($A303,7,1)-INDEX(球員主檔!$G$2:$G$749,MATCH($B303,球員主檔!$A$2:$A$749,0)))/365.25)</f>
        <v>31</v>
      </c>
      <c r="I303" s="12" t="n">
        <v>6</v>
      </c>
      <c r="J303" s="12" t="n">
        <v>3</v>
      </c>
      <c r="K303" s="12" t="n">
        <v>0</v>
      </c>
      <c r="L303" s="12" t="n">
        <v>0</v>
      </c>
      <c r="M303" s="12" t="n">
        <v>16</v>
      </c>
      <c r="N303" s="12" t="n">
        <v>16</v>
      </c>
      <c r="O303" s="12" t="n">
        <v>233</v>
      </c>
      <c r="P303" s="16" t="n">
        <f aca="false">O303/3</f>
        <v>77.6666666666667</v>
      </c>
      <c r="Q303" s="17" t="str">
        <f aca="false">INT(O303/3)&amp;"."&amp;MOD(O303,3)</f>
        <v>77.2</v>
      </c>
      <c r="R303" s="12" t="n">
        <v>61</v>
      </c>
      <c r="S303" s="12" t="n">
        <v>36</v>
      </c>
      <c r="T303" s="12" t="n">
        <v>34</v>
      </c>
      <c r="U303" s="12" t="n">
        <v>17</v>
      </c>
      <c r="V303" s="12" t="n">
        <v>24</v>
      </c>
      <c r="W303" s="12" t="n">
        <v>80</v>
      </c>
      <c r="X303" s="12" t="n">
        <v>1</v>
      </c>
      <c r="Y303" s="18" t="n">
        <f aca="false">IF(O303=0,0,T303*27/O303)</f>
        <v>3.93991416309013</v>
      </c>
      <c r="Z303" s="18" t="n">
        <f aca="false">IF(P303=0,0,(V303+R303)/P303)</f>
        <v>1.09442060085837</v>
      </c>
      <c r="AA303" s="18" t="n">
        <f aca="false">IF(O303=0,0,W303*27/O303)</f>
        <v>9.27038626609442</v>
      </c>
      <c r="AB303" s="18" t="n">
        <f aca="false">IF(O303=0,0,V303*27/O303)</f>
        <v>2.78111587982833</v>
      </c>
      <c r="AC303" s="18" t="n">
        <f aca="false">IF(V303=0,0,W303/V303)</f>
        <v>3.33333333333333</v>
      </c>
      <c r="AD303" s="18" t="n">
        <f aca="false">IF(P303=0,0,(13*U303+3*(V303+X303)-2*W303)/P303+INDEX(球季參數!$C$2:$C$4,MATCH($A303,球季參數!$A$2:$A$4,0)))</f>
        <v>4.85107296137339</v>
      </c>
      <c r="AE303" s="11" t="n">
        <f aca="false">IF(P303&gt;=INDEX(球季參數!$F$2:$F$4,MATCH($A303,球季參數!$A$2:$A$4,0)),1,0)</f>
        <v>0</v>
      </c>
    </row>
    <row r="304" customFormat="false" ht="15" hidden="false" customHeight="false" outlineLevel="0" collapsed="false">
      <c r="A304" s="5" t="n">
        <v>2025</v>
      </c>
      <c r="B304" s="7" t="s">
        <v>499</v>
      </c>
      <c r="C304" s="10" t="str">
        <f aca="false">INDEX(球員主檔!$B$2:$B$749,MATCH($B304,球員主檔!$A$2:$A$749,0))</f>
        <v>Holden Zielinski</v>
      </c>
      <c r="D304" s="7" t="s">
        <v>340</v>
      </c>
      <c r="E304" s="10" t="str">
        <f aca="false">INDEX(球隊主檔!$C$2:$C$31,MATCH($D304,球隊主檔!$A$2:$A$31,0))</f>
        <v>巴爾的摩金鶯</v>
      </c>
      <c r="F304" s="10" t="str">
        <f aca="false">INDEX(球隊主檔!$D$2:$D$31,MATCH($D304,球隊主檔!$A$2:$A$31,0))</f>
        <v>美聯</v>
      </c>
      <c r="G304" s="7" t="s">
        <v>496</v>
      </c>
      <c r="H304" s="11" t="n">
        <f aca="false">INT((DATE($A304,7,1)-INDEX(球員主檔!$G$2:$G$749,MATCH($B304,球員主檔!$A$2:$A$749,0)))/365.25)</f>
        <v>28</v>
      </c>
      <c r="I304" s="12" t="n">
        <v>14</v>
      </c>
      <c r="J304" s="12" t="n">
        <v>6</v>
      </c>
      <c r="K304" s="12" t="n">
        <v>0</v>
      </c>
      <c r="L304" s="12" t="n">
        <v>0</v>
      </c>
      <c r="M304" s="12" t="n">
        <v>27</v>
      </c>
      <c r="N304" s="12" t="n">
        <v>27</v>
      </c>
      <c r="O304" s="12" t="n">
        <v>428</v>
      </c>
      <c r="P304" s="16" t="n">
        <f aca="false">O304/3</f>
        <v>142.666666666667</v>
      </c>
      <c r="Q304" s="17" t="str">
        <f aca="false">INT(O304/3)&amp;"."&amp;MOD(O304,3)</f>
        <v>142.2</v>
      </c>
      <c r="R304" s="12" t="n">
        <v>109</v>
      </c>
      <c r="S304" s="12" t="n">
        <v>50</v>
      </c>
      <c r="T304" s="12" t="n">
        <v>50</v>
      </c>
      <c r="U304" s="12" t="n">
        <v>18</v>
      </c>
      <c r="V304" s="12" t="n">
        <v>38</v>
      </c>
      <c r="W304" s="12" t="n">
        <v>141</v>
      </c>
      <c r="X304" s="12" t="n">
        <v>3</v>
      </c>
      <c r="Y304" s="18" t="n">
        <f aca="false">IF(O304=0,0,T304*27/O304)</f>
        <v>3.15420560747664</v>
      </c>
      <c r="Z304" s="18" t="n">
        <f aca="false">IF(P304=0,0,(V304+R304)/P304)</f>
        <v>1.0303738317757</v>
      </c>
      <c r="AA304" s="18" t="n">
        <f aca="false">IF(O304=0,0,W304*27/O304)</f>
        <v>8.89485981308411</v>
      </c>
      <c r="AB304" s="18" t="n">
        <f aca="false">IF(O304=0,0,V304*27/O304)</f>
        <v>2.39719626168224</v>
      </c>
      <c r="AC304" s="18" t="n">
        <f aca="false">IF(V304=0,0,W304/V304)</f>
        <v>3.71052631578947</v>
      </c>
      <c r="AD304" s="18" t="n">
        <f aca="false">IF(P304=0,0,(13*U304+3*(V304+X304)-2*W304)/P304+INDEX(球季參數!$C$2:$C$4,MATCH($A304,球季參數!$A$2:$A$4,0)))</f>
        <v>3.62570093457944</v>
      </c>
      <c r="AE304" s="11" t="n">
        <f aca="false">IF(P304&gt;=INDEX(球季參數!$F$2:$F$4,MATCH($A304,球季參數!$A$2:$A$4,0)),1,0)</f>
        <v>0</v>
      </c>
    </row>
    <row r="305" customFormat="false" ht="15" hidden="false" customHeight="false" outlineLevel="0" collapsed="false">
      <c r="A305" s="5" t="n">
        <v>2025</v>
      </c>
      <c r="B305" s="7" t="s">
        <v>501</v>
      </c>
      <c r="C305" s="10" t="str">
        <f aca="false">INDEX(球員主檔!$B$2:$B$749,MATCH($B305,球員主檔!$A$2:$A$749,0))</f>
        <v>Augustin Halloway</v>
      </c>
      <c r="D305" s="7" t="s">
        <v>340</v>
      </c>
      <c r="E305" s="10" t="str">
        <f aca="false">INDEX(球隊主檔!$C$2:$C$31,MATCH($D305,球隊主檔!$A$2:$A$31,0))</f>
        <v>巴爾的摩金鶯</v>
      </c>
      <c r="F305" s="10" t="str">
        <f aca="false">INDEX(球隊主檔!$D$2:$D$31,MATCH($D305,球隊主檔!$A$2:$A$31,0))</f>
        <v>美聯</v>
      </c>
      <c r="G305" s="7" t="s">
        <v>496</v>
      </c>
      <c r="H305" s="11" t="n">
        <f aca="false">INT((DATE($A305,7,1)-INDEX(球員主檔!$G$2:$G$749,MATCH($B305,球員主檔!$A$2:$A$749,0)))/365.25)</f>
        <v>25</v>
      </c>
      <c r="I305" s="12" t="n">
        <v>12</v>
      </c>
      <c r="J305" s="12" t="n">
        <v>7</v>
      </c>
      <c r="K305" s="12" t="n">
        <v>0</v>
      </c>
      <c r="L305" s="12" t="n">
        <v>0</v>
      </c>
      <c r="M305" s="12" t="n">
        <v>25</v>
      </c>
      <c r="N305" s="12" t="n">
        <v>25</v>
      </c>
      <c r="O305" s="12" t="n">
        <v>378</v>
      </c>
      <c r="P305" s="16" t="n">
        <f aca="false">O305/3</f>
        <v>126</v>
      </c>
      <c r="Q305" s="17" t="str">
        <f aca="false">INT(O305/3)&amp;"."&amp;MOD(O305,3)</f>
        <v>126.0</v>
      </c>
      <c r="R305" s="12" t="n">
        <v>104</v>
      </c>
      <c r="S305" s="12" t="n">
        <v>67</v>
      </c>
      <c r="T305" s="12" t="n">
        <v>64</v>
      </c>
      <c r="U305" s="12" t="n">
        <v>12</v>
      </c>
      <c r="V305" s="12" t="n">
        <v>53</v>
      </c>
      <c r="W305" s="12" t="n">
        <v>123</v>
      </c>
      <c r="X305" s="12" t="n">
        <v>5</v>
      </c>
      <c r="Y305" s="18" t="n">
        <f aca="false">IF(O305=0,0,T305*27/O305)</f>
        <v>4.57142857142857</v>
      </c>
      <c r="Z305" s="18" t="n">
        <f aca="false">IF(P305=0,0,(V305+R305)/P305)</f>
        <v>1.24603174603175</v>
      </c>
      <c r="AA305" s="18" t="n">
        <f aca="false">IF(O305=0,0,W305*27/O305)</f>
        <v>8.78571428571429</v>
      </c>
      <c r="AB305" s="18" t="n">
        <f aca="false">IF(O305=0,0,V305*27/O305)</f>
        <v>3.78571428571429</v>
      </c>
      <c r="AC305" s="18" t="n">
        <f aca="false">IF(V305=0,0,W305/V305)</f>
        <v>2.32075471698113</v>
      </c>
      <c r="AD305" s="18" t="n">
        <f aca="false">IF(P305=0,0,(13*U305+3*(V305+X305)-2*W305)/P305+INDEX(球季參數!$C$2:$C$4,MATCH($A305,球季參數!$A$2:$A$4,0)))</f>
        <v>3.76666666666667</v>
      </c>
      <c r="AE305" s="11" t="n">
        <f aca="false">IF(P305&gt;=INDEX(球季參數!$F$2:$F$4,MATCH($A305,球季參數!$A$2:$A$4,0)),1,0)</f>
        <v>0</v>
      </c>
    </row>
    <row r="306" customFormat="false" ht="15" hidden="false" customHeight="false" outlineLevel="0" collapsed="false">
      <c r="A306" s="5" t="n">
        <v>2025</v>
      </c>
      <c r="B306" s="7" t="s">
        <v>863</v>
      </c>
      <c r="C306" s="10" t="str">
        <f aca="false">INDEX(球員主檔!$B$2:$B$749,MATCH($B306,球員主檔!$A$2:$A$749,0))</f>
        <v>Minjae Ostrowski</v>
      </c>
      <c r="D306" s="7" t="s">
        <v>340</v>
      </c>
      <c r="E306" s="10" t="str">
        <f aca="false">INDEX(球隊主檔!$C$2:$C$31,MATCH($D306,球隊主檔!$A$2:$A$31,0))</f>
        <v>巴爾的摩金鶯</v>
      </c>
      <c r="F306" s="10" t="str">
        <f aca="false">INDEX(球隊主檔!$D$2:$D$31,MATCH($D306,球隊主檔!$A$2:$A$31,0))</f>
        <v>美聯</v>
      </c>
      <c r="G306" s="7" t="s">
        <v>496</v>
      </c>
      <c r="H306" s="11" t="n">
        <f aca="false">INT((DATE($A306,7,1)-INDEX(球員主檔!$G$2:$G$749,MATCH($B306,球員主檔!$A$2:$A$749,0)))/365.25)</f>
        <v>32</v>
      </c>
      <c r="I306" s="12" t="n">
        <v>10</v>
      </c>
      <c r="J306" s="12" t="n">
        <v>10</v>
      </c>
      <c r="K306" s="12" t="n">
        <v>0</v>
      </c>
      <c r="L306" s="12" t="n">
        <v>0</v>
      </c>
      <c r="M306" s="12" t="n">
        <v>31</v>
      </c>
      <c r="N306" s="12" t="n">
        <v>31</v>
      </c>
      <c r="O306" s="12" t="n">
        <v>504</v>
      </c>
      <c r="P306" s="16" t="n">
        <f aca="false">O306/3</f>
        <v>168</v>
      </c>
      <c r="Q306" s="17" t="str">
        <f aca="false">INT(O306/3)&amp;"."&amp;MOD(O306,3)</f>
        <v>168.0</v>
      </c>
      <c r="R306" s="12" t="n">
        <v>153</v>
      </c>
      <c r="S306" s="12" t="n">
        <v>107</v>
      </c>
      <c r="T306" s="12" t="n">
        <v>96</v>
      </c>
      <c r="U306" s="12" t="n">
        <v>22</v>
      </c>
      <c r="V306" s="12" t="n">
        <v>23</v>
      </c>
      <c r="W306" s="12" t="n">
        <v>148</v>
      </c>
      <c r="X306" s="12" t="n">
        <v>7</v>
      </c>
      <c r="Y306" s="18" t="n">
        <f aca="false">IF(O306=0,0,T306*27/O306)</f>
        <v>5.14285714285714</v>
      </c>
      <c r="Z306" s="18" t="n">
        <f aca="false">IF(P306=0,0,(V306+R306)/P306)</f>
        <v>1.04761904761905</v>
      </c>
      <c r="AA306" s="18" t="n">
        <f aca="false">IF(O306=0,0,W306*27/O306)</f>
        <v>7.92857142857143</v>
      </c>
      <c r="AB306" s="18" t="n">
        <f aca="false">IF(O306=0,0,V306*27/O306)</f>
        <v>1.23214285714286</v>
      </c>
      <c r="AC306" s="18" t="n">
        <f aca="false">IF(V306=0,0,W306/V306)</f>
        <v>6.43478260869565</v>
      </c>
      <c r="AD306" s="18" t="n">
        <f aca="false">IF(P306=0,0,(13*U306+3*(V306+X306)-2*W306)/P306+INDEX(球季參數!$C$2:$C$4,MATCH($A306,球季參數!$A$2:$A$4,0)))</f>
        <v>3.57619047619048</v>
      </c>
      <c r="AE306" s="11" t="n">
        <f aca="false">IF(P306&gt;=INDEX(球季參數!$F$2:$F$4,MATCH($A306,球季參數!$A$2:$A$4,0)),1,0)</f>
        <v>1</v>
      </c>
    </row>
    <row r="307" customFormat="false" ht="15" hidden="false" customHeight="false" outlineLevel="0" collapsed="false">
      <c r="A307" s="5" t="n">
        <v>2025</v>
      </c>
      <c r="B307" s="7" t="s">
        <v>505</v>
      </c>
      <c r="C307" s="10" t="str">
        <f aca="false">INDEX(球員主檔!$B$2:$B$749,MATCH($B307,球員主檔!$A$2:$A$749,0))</f>
        <v>Jasper Novotný</v>
      </c>
      <c r="D307" s="7" t="s">
        <v>340</v>
      </c>
      <c r="E307" s="10" t="str">
        <f aca="false">INDEX(球隊主檔!$C$2:$C$31,MATCH($D307,球隊主檔!$A$2:$A$31,0))</f>
        <v>巴爾的摩金鶯</v>
      </c>
      <c r="F307" s="10" t="str">
        <f aca="false">INDEX(球隊主檔!$D$2:$D$31,MATCH($D307,球隊主檔!$A$2:$A$31,0))</f>
        <v>美聯</v>
      </c>
      <c r="G307" s="7" t="s">
        <v>507</v>
      </c>
      <c r="H307" s="11" t="n">
        <f aca="false">INT((DATE($A307,7,1)-INDEX(球員主檔!$G$2:$G$749,MATCH($B307,球員主檔!$A$2:$A$749,0)))/365.25)</f>
        <v>31</v>
      </c>
      <c r="I307" s="12" t="n">
        <v>5</v>
      </c>
      <c r="J307" s="12" t="n">
        <v>0</v>
      </c>
      <c r="K307" s="12" t="n">
        <v>4</v>
      </c>
      <c r="L307" s="12" t="n">
        <v>13</v>
      </c>
      <c r="M307" s="12" t="n">
        <v>62</v>
      </c>
      <c r="N307" s="12" t="n">
        <v>0</v>
      </c>
      <c r="O307" s="12" t="n">
        <v>200</v>
      </c>
      <c r="P307" s="16" t="n">
        <f aca="false">O307/3</f>
        <v>66.6666666666667</v>
      </c>
      <c r="Q307" s="17" t="str">
        <f aca="false">INT(O307/3)&amp;"."&amp;MOD(O307,3)</f>
        <v>66.2</v>
      </c>
      <c r="R307" s="12" t="n">
        <v>62</v>
      </c>
      <c r="S307" s="12" t="n">
        <v>37</v>
      </c>
      <c r="T307" s="12" t="n">
        <v>36</v>
      </c>
      <c r="U307" s="12" t="n">
        <v>6</v>
      </c>
      <c r="V307" s="12" t="n">
        <v>23</v>
      </c>
      <c r="W307" s="12" t="n">
        <v>63</v>
      </c>
      <c r="X307" s="12" t="n">
        <v>2</v>
      </c>
      <c r="Y307" s="18" t="n">
        <f aca="false">IF(O307=0,0,T307*27/O307)</f>
        <v>4.86</v>
      </c>
      <c r="Z307" s="18" t="n">
        <f aca="false">IF(P307=0,0,(V307+R307)/P307)</f>
        <v>1.275</v>
      </c>
      <c r="AA307" s="18" t="n">
        <f aca="false">IF(O307=0,0,W307*27/O307)</f>
        <v>8.505</v>
      </c>
      <c r="AB307" s="18" t="n">
        <f aca="false">IF(O307=0,0,V307*27/O307)</f>
        <v>3.105</v>
      </c>
      <c r="AC307" s="18" t="n">
        <f aca="false">IF(V307=0,0,W307/V307)</f>
        <v>2.73913043478261</v>
      </c>
      <c r="AD307" s="18" t="n">
        <f aca="false">IF(P307=0,0,(13*U307+3*(V307+X307)-2*W307)/P307+INDEX(球季參數!$C$2:$C$4,MATCH($A307,球季參數!$A$2:$A$4,0)))</f>
        <v>3.505</v>
      </c>
      <c r="AE307" s="11" t="n">
        <f aca="false">IF(P307&gt;=INDEX(球季參數!$F$2:$F$4,MATCH($A307,球季參數!$A$2:$A$4,0)),1,0)</f>
        <v>0</v>
      </c>
    </row>
    <row r="308" customFormat="false" ht="15" hidden="false" customHeight="false" outlineLevel="0" collapsed="false">
      <c r="A308" s="5" t="n">
        <v>2025</v>
      </c>
      <c r="B308" s="7" t="s">
        <v>508</v>
      </c>
      <c r="C308" s="10" t="str">
        <f aca="false">INDEX(球員主檔!$B$2:$B$749,MATCH($B308,球員主檔!$A$2:$A$749,0))</f>
        <v>Thiago Gallimore</v>
      </c>
      <c r="D308" s="7" t="s">
        <v>340</v>
      </c>
      <c r="E308" s="10" t="str">
        <f aca="false">INDEX(球隊主檔!$C$2:$C$31,MATCH($D308,球隊主檔!$A$2:$A$31,0))</f>
        <v>巴爾的摩金鶯</v>
      </c>
      <c r="F308" s="10" t="str">
        <f aca="false">INDEX(球隊主檔!$D$2:$D$31,MATCH($D308,球隊主檔!$A$2:$A$31,0))</f>
        <v>美聯</v>
      </c>
      <c r="G308" s="7" t="s">
        <v>507</v>
      </c>
      <c r="H308" s="11" t="n">
        <f aca="false">INT((DATE($A308,7,1)-INDEX(球員主檔!$G$2:$G$749,MATCH($B308,球員主檔!$A$2:$A$749,0)))/365.25)</f>
        <v>27</v>
      </c>
      <c r="I308" s="12" t="n">
        <v>8</v>
      </c>
      <c r="J308" s="12" t="n">
        <v>7</v>
      </c>
      <c r="K308" s="12" t="n">
        <v>0</v>
      </c>
      <c r="L308" s="12" t="n">
        <v>7</v>
      </c>
      <c r="M308" s="12" t="n">
        <v>75</v>
      </c>
      <c r="N308" s="12" t="n">
        <v>0</v>
      </c>
      <c r="O308" s="12" t="n">
        <v>207</v>
      </c>
      <c r="P308" s="16" t="n">
        <f aca="false">O308/3</f>
        <v>69</v>
      </c>
      <c r="Q308" s="17" t="str">
        <f aca="false">INT(O308/3)&amp;"."&amp;MOD(O308,3)</f>
        <v>69.0</v>
      </c>
      <c r="R308" s="12" t="n">
        <v>55</v>
      </c>
      <c r="S308" s="12" t="n">
        <v>27</v>
      </c>
      <c r="T308" s="12" t="n">
        <v>26</v>
      </c>
      <c r="U308" s="12" t="n">
        <v>7</v>
      </c>
      <c r="V308" s="12" t="n">
        <v>16</v>
      </c>
      <c r="W308" s="12" t="n">
        <v>65</v>
      </c>
      <c r="X308" s="12" t="n">
        <v>1</v>
      </c>
      <c r="Y308" s="18" t="n">
        <f aca="false">IF(O308=0,0,T308*27/O308)</f>
        <v>3.39130434782609</v>
      </c>
      <c r="Z308" s="18" t="n">
        <f aca="false">IF(P308=0,0,(V308+R308)/P308)</f>
        <v>1.02898550724638</v>
      </c>
      <c r="AA308" s="18" t="n">
        <f aca="false">IF(O308=0,0,W308*27/O308)</f>
        <v>8.47826086956522</v>
      </c>
      <c r="AB308" s="18" t="n">
        <f aca="false">IF(O308=0,0,V308*27/O308)</f>
        <v>2.08695652173913</v>
      </c>
      <c r="AC308" s="18" t="n">
        <f aca="false">IF(V308=0,0,W308/V308)</f>
        <v>4.0625</v>
      </c>
      <c r="AD308" s="18" t="n">
        <f aca="false">IF(P308=0,0,(13*U308+3*(V308+X308)-2*W308)/P308+INDEX(球季參數!$C$2:$C$4,MATCH($A308,球季參數!$A$2:$A$4,0)))</f>
        <v>3.27391304347826</v>
      </c>
      <c r="AE308" s="11" t="n">
        <f aca="false">IF(P308&gt;=INDEX(球季參數!$F$2:$F$4,MATCH($A308,球季參數!$A$2:$A$4,0)),1,0)</f>
        <v>0</v>
      </c>
    </row>
    <row r="309" customFormat="false" ht="15" hidden="false" customHeight="false" outlineLevel="0" collapsed="false">
      <c r="A309" s="5" t="n">
        <v>2025</v>
      </c>
      <c r="B309" s="7" t="s">
        <v>510</v>
      </c>
      <c r="C309" s="10" t="str">
        <f aca="false">INDEX(球員主檔!$B$2:$B$749,MATCH($B309,球員主檔!$A$2:$A$749,0))</f>
        <v>Thiago Uchendu</v>
      </c>
      <c r="D309" s="7" t="s">
        <v>340</v>
      </c>
      <c r="E309" s="10" t="str">
        <f aca="false">INDEX(球隊主檔!$C$2:$C$31,MATCH($D309,球隊主檔!$A$2:$A$31,0))</f>
        <v>巴爾的摩金鶯</v>
      </c>
      <c r="F309" s="10" t="str">
        <f aca="false">INDEX(球隊主檔!$D$2:$D$31,MATCH($D309,球隊主檔!$A$2:$A$31,0))</f>
        <v>美聯</v>
      </c>
      <c r="G309" s="7" t="s">
        <v>507</v>
      </c>
      <c r="H309" s="11" t="n">
        <f aca="false">INT((DATE($A309,7,1)-INDEX(球員主檔!$G$2:$G$749,MATCH($B309,球員主檔!$A$2:$A$749,0)))/365.25)</f>
        <v>30</v>
      </c>
      <c r="I309" s="12" t="n">
        <v>4</v>
      </c>
      <c r="J309" s="12" t="n">
        <v>6</v>
      </c>
      <c r="K309" s="12" t="n">
        <v>3</v>
      </c>
      <c r="L309" s="12" t="n">
        <v>14</v>
      </c>
      <c r="M309" s="12" t="n">
        <v>49</v>
      </c>
      <c r="N309" s="12" t="n">
        <v>0</v>
      </c>
      <c r="O309" s="12" t="n">
        <v>140</v>
      </c>
      <c r="P309" s="16" t="n">
        <f aca="false">O309/3</f>
        <v>46.6666666666667</v>
      </c>
      <c r="Q309" s="17" t="str">
        <f aca="false">INT(O309/3)&amp;"."&amp;MOD(O309,3)</f>
        <v>46.2</v>
      </c>
      <c r="R309" s="12" t="n">
        <v>36</v>
      </c>
      <c r="S309" s="12" t="n">
        <v>19</v>
      </c>
      <c r="T309" s="12" t="n">
        <v>19</v>
      </c>
      <c r="U309" s="12" t="n">
        <v>10</v>
      </c>
      <c r="V309" s="12" t="n">
        <v>13</v>
      </c>
      <c r="W309" s="12" t="n">
        <v>44</v>
      </c>
      <c r="X309" s="12" t="n">
        <v>1</v>
      </c>
      <c r="Y309" s="18" t="n">
        <f aca="false">IF(O309=0,0,T309*27/O309)</f>
        <v>3.66428571428571</v>
      </c>
      <c r="Z309" s="18" t="n">
        <f aca="false">IF(P309=0,0,(V309+R309)/P309)</f>
        <v>1.05</v>
      </c>
      <c r="AA309" s="18" t="n">
        <f aca="false">IF(O309=0,0,W309*27/O309)</f>
        <v>8.48571428571429</v>
      </c>
      <c r="AB309" s="18" t="n">
        <f aca="false">IF(O309=0,0,V309*27/O309)</f>
        <v>2.50714285714286</v>
      </c>
      <c r="AC309" s="18" t="n">
        <f aca="false">IF(V309=0,0,W309/V309)</f>
        <v>3.38461538461538</v>
      </c>
      <c r="AD309" s="18" t="n">
        <f aca="false">IF(P309=0,0,(13*U309+3*(V309+X309)-2*W309)/P309+INDEX(球季參數!$C$2:$C$4,MATCH($A309,球季參數!$A$2:$A$4,0)))</f>
        <v>4.9</v>
      </c>
      <c r="AE309" s="11" t="n">
        <f aca="false">IF(P309&gt;=INDEX(球季參數!$F$2:$F$4,MATCH($A309,球季參數!$A$2:$A$4,0)),1,0)</f>
        <v>0</v>
      </c>
    </row>
    <row r="310" customFormat="false" ht="15" hidden="false" customHeight="false" outlineLevel="0" collapsed="false">
      <c r="A310" s="5" t="n">
        <v>2025</v>
      </c>
      <c r="B310" s="7" t="s">
        <v>512</v>
      </c>
      <c r="C310" s="10" t="str">
        <f aca="false">INDEX(球員主檔!$B$2:$B$749,MATCH($B310,球員主檔!$A$2:$A$749,0))</f>
        <v>Desmond Tremblay</v>
      </c>
      <c r="D310" s="7" t="s">
        <v>340</v>
      </c>
      <c r="E310" s="10" t="str">
        <f aca="false">INDEX(球隊主檔!$C$2:$C$31,MATCH($D310,球隊主檔!$A$2:$A$31,0))</f>
        <v>巴爾的摩金鶯</v>
      </c>
      <c r="F310" s="10" t="str">
        <f aca="false">INDEX(球隊主檔!$D$2:$D$31,MATCH($D310,球隊主檔!$A$2:$A$31,0))</f>
        <v>美聯</v>
      </c>
      <c r="G310" s="7" t="s">
        <v>507</v>
      </c>
      <c r="H310" s="11" t="n">
        <f aca="false">INT((DATE($A310,7,1)-INDEX(球員主檔!$G$2:$G$749,MATCH($B310,球員主檔!$A$2:$A$749,0)))/365.25)</f>
        <v>26</v>
      </c>
      <c r="I310" s="12" t="n">
        <v>9</v>
      </c>
      <c r="J310" s="12" t="n">
        <v>8</v>
      </c>
      <c r="K310" s="12" t="n">
        <v>4</v>
      </c>
      <c r="L310" s="12" t="n">
        <v>33</v>
      </c>
      <c r="M310" s="12" t="n">
        <v>51</v>
      </c>
      <c r="N310" s="12" t="n">
        <v>0</v>
      </c>
      <c r="O310" s="12" t="n">
        <v>152</v>
      </c>
      <c r="P310" s="16" t="n">
        <f aca="false">O310/3</f>
        <v>50.6666666666667</v>
      </c>
      <c r="Q310" s="17" t="str">
        <f aca="false">INT(O310/3)&amp;"."&amp;MOD(O310,3)</f>
        <v>50.2</v>
      </c>
      <c r="R310" s="12" t="n">
        <v>39</v>
      </c>
      <c r="S310" s="12" t="n">
        <v>22</v>
      </c>
      <c r="T310" s="12" t="n">
        <v>21</v>
      </c>
      <c r="U310" s="12" t="n">
        <v>4</v>
      </c>
      <c r="V310" s="12" t="n">
        <v>17</v>
      </c>
      <c r="W310" s="12" t="n">
        <v>64</v>
      </c>
      <c r="X310" s="12" t="n">
        <v>1</v>
      </c>
      <c r="Y310" s="18" t="n">
        <f aca="false">IF(O310=0,0,T310*27/O310)</f>
        <v>3.73026315789474</v>
      </c>
      <c r="Z310" s="18" t="n">
        <f aca="false">IF(P310=0,0,(V310+R310)/P310)</f>
        <v>1.10526315789474</v>
      </c>
      <c r="AA310" s="18" t="n">
        <f aca="false">IF(O310=0,0,W310*27/O310)</f>
        <v>11.3684210526316</v>
      </c>
      <c r="AB310" s="18" t="n">
        <f aca="false">IF(O310=0,0,V310*27/O310)</f>
        <v>3.01973684210526</v>
      </c>
      <c r="AC310" s="18" t="n">
        <f aca="false">IF(V310=0,0,W310/V310)</f>
        <v>3.76470588235294</v>
      </c>
      <c r="AD310" s="18" t="n">
        <f aca="false">IF(P310=0,0,(13*U310+3*(V310+X310)-2*W310)/P310+INDEX(球季參數!$C$2:$C$4,MATCH($A310,球季參數!$A$2:$A$4,0)))</f>
        <v>2.66578947368421</v>
      </c>
      <c r="AE310" s="11" t="n">
        <f aca="false">IF(P310&gt;=INDEX(球季參數!$F$2:$F$4,MATCH($A310,球季參數!$A$2:$A$4,0)),1,0)</f>
        <v>0</v>
      </c>
    </row>
    <row r="311" customFormat="false" ht="15" hidden="false" customHeight="false" outlineLevel="0" collapsed="false">
      <c r="A311" s="5" t="n">
        <v>2025</v>
      </c>
      <c r="B311" s="7" t="s">
        <v>514</v>
      </c>
      <c r="C311" s="10" t="str">
        <f aca="false">INDEX(球員主檔!$B$2:$B$749,MATCH($B311,球員主檔!$A$2:$A$749,0))</f>
        <v>Kellan Jernigan</v>
      </c>
      <c r="D311" s="7" t="s">
        <v>340</v>
      </c>
      <c r="E311" s="10" t="str">
        <f aca="false">INDEX(球隊主檔!$C$2:$C$31,MATCH($D311,球隊主檔!$A$2:$A$31,0))</f>
        <v>巴爾的摩金鶯</v>
      </c>
      <c r="F311" s="10" t="str">
        <f aca="false">INDEX(球隊主檔!$D$2:$D$31,MATCH($D311,球隊主檔!$A$2:$A$31,0))</f>
        <v>美聯</v>
      </c>
      <c r="G311" s="7" t="s">
        <v>507</v>
      </c>
      <c r="H311" s="11" t="n">
        <f aca="false">INT((DATE($A311,7,1)-INDEX(球員主檔!$G$2:$G$749,MATCH($B311,球員主檔!$A$2:$A$749,0)))/365.25)</f>
        <v>28</v>
      </c>
      <c r="I311" s="12" t="n">
        <v>6</v>
      </c>
      <c r="J311" s="12" t="n">
        <v>3</v>
      </c>
      <c r="K311" s="12" t="n">
        <v>4</v>
      </c>
      <c r="L311" s="12" t="n">
        <v>29</v>
      </c>
      <c r="M311" s="12" t="n">
        <v>40</v>
      </c>
      <c r="N311" s="12" t="n">
        <v>0</v>
      </c>
      <c r="O311" s="12" t="n">
        <v>124</v>
      </c>
      <c r="P311" s="16" t="n">
        <f aca="false">O311/3</f>
        <v>41.3333333333333</v>
      </c>
      <c r="Q311" s="17" t="str">
        <f aca="false">INT(O311/3)&amp;"."&amp;MOD(O311,3)</f>
        <v>41.1</v>
      </c>
      <c r="R311" s="12" t="n">
        <v>28</v>
      </c>
      <c r="S311" s="12" t="n">
        <v>12</v>
      </c>
      <c r="T311" s="12" t="n">
        <v>12</v>
      </c>
      <c r="U311" s="12" t="n">
        <v>4</v>
      </c>
      <c r="V311" s="12" t="n">
        <v>10</v>
      </c>
      <c r="W311" s="12" t="n">
        <v>43</v>
      </c>
      <c r="X311" s="12" t="n">
        <v>2</v>
      </c>
      <c r="Y311" s="18" t="n">
        <f aca="false">IF(O311=0,0,T311*27/O311)</f>
        <v>2.61290322580645</v>
      </c>
      <c r="Z311" s="18" t="n">
        <f aca="false">IF(P311=0,0,(V311+R311)/P311)</f>
        <v>0.919354838709677</v>
      </c>
      <c r="AA311" s="18" t="n">
        <f aca="false">IF(O311=0,0,W311*27/O311)</f>
        <v>9.36290322580645</v>
      </c>
      <c r="AB311" s="18" t="n">
        <f aca="false">IF(O311=0,0,V311*27/O311)</f>
        <v>2.17741935483871</v>
      </c>
      <c r="AC311" s="18" t="n">
        <f aca="false">IF(V311=0,0,W311/V311)</f>
        <v>4.3</v>
      </c>
      <c r="AD311" s="18" t="n">
        <f aca="false">IF(P311=0,0,(13*U311+3*(V311+X311)-2*W311)/P311+INDEX(球季參數!$C$2:$C$4,MATCH($A311,球季參數!$A$2:$A$4,0)))</f>
        <v>3.14838709677419</v>
      </c>
      <c r="AE311" s="11" t="n">
        <f aca="false">IF(P311&gt;=INDEX(球季參數!$F$2:$F$4,MATCH($A311,球季參數!$A$2:$A$4,0)),1,0)</f>
        <v>0</v>
      </c>
    </row>
    <row r="312" customFormat="false" ht="15" hidden="false" customHeight="false" outlineLevel="0" collapsed="false">
      <c r="A312" s="5" t="n">
        <v>2025</v>
      </c>
      <c r="B312" s="7" t="s">
        <v>537</v>
      </c>
      <c r="C312" s="10" t="str">
        <f aca="false">INDEX(球員主檔!$B$2:$B$749,MATCH($B312,球員主檔!$A$2:$A$749,0))</f>
        <v>Joaquín Ibarra</v>
      </c>
      <c r="D312" s="7" t="s">
        <v>346</v>
      </c>
      <c r="E312" s="10" t="str">
        <f aca="false">INDEX(球隊主檔!$C$2:$C$31,MATCH($D312,球隊主檔!$A$2:$A$31,0))</f>
        <v>波士頓紅襪</v>
      </c>
      <c r="F312" s="10" t="str">
        <f aca="false">INDEX(球隊主檔!$D$2:$D$31,MATCH($D312,球隊主檔!$A$2:$A$31,0))</f>
        <v>美聯</v>
      </c>
      <c r="G312" s="7" t="s">
        <v>496</v>
      </c>
      <c r="H312" s="11" t="n">
        <f aca="false">INT((DATE($A312,7,1)-INDEX(球員主檔!$G$2:$G$749,MATCH($B312,球員主檔!$A$2:$A$749,0)))/365.25)</f>
        <v>33</v>
      </c>
      <c r="I312" s="12" t="n">
        <v>11</v>
      </c>
      <c r="J312" s="12" t="n">
        <v>3</v>
      </c>
      <c r="K312" s="12" t="n">
        <v>0</v>
      </c>
      <c r="L312" s="12" t="n">
        <v>0</v>
      </c>
      <c r="M312" s="12" t="n">
        <v>26</v>
      </c>
      <c r="N312" s="12" t="n">
        <v>26</v>
      </c>
      <c r="O312" s="12" t="n">
        <v>390</v>
      </c>
      <c r="P312" s="16" t="n">
        <f aca="false">O312/3</f>
        <v>130</v>
      </c>
      <c r="Q312" s="17" t="str">
        <f aca="false">INT(O312/3)&amp;"."&amp;MOD(O312,3)</f>
        <v>130.0</v>
      </c>
      <c r="R312" s="12" t="n">
        <v>93</v>
      </c>
      <c r="S312" s="12" t="n">
        <v>36</v>
      </c>
      <c r="T312" s="12" t="n">
        <v>33</v>
      </c>
      <c r="U312" s="12" t="n">
        <v>26</v>
      </c>
      <c r="V312" s="12" t="n">
        <v>51</v>
      </c>
      <c r="W312" s="12" t="n">
        <v>120</v>
      </c>
      <c r="X312" s="12" t="n">
        <v>4</v>
      </c>
      <c r="Y312" s="18" t="n">
        <f aca="false">IF(O312=0,0,T312*27/O312)</f>
        <v>2.28461538461538</v>
      </c>
      <c r="Z312" s="18" t="n">
        <f aca="false">IF(P312=0,0,(V312+R312)/P312)</f>
        <v>1.10769230769231</v>
      </c>
      <c r="AA312" s="18" t="n">
        <f aca="false">IF(O312=0,0,W312*27/O312)</f>
        <v>8.30769230769231</v>
      </c>
      <c r="AB312" s="18" t="n">
        <f aca="false">IF(O312=0,0,V312*27/O312)</f>
        <v>3.53076923076923</v>
      </c>
      <c r="AC312" s="18" t="n">
        <f aca="false">IF(V312=0,0,W312/V312)</f>
        <v>2.35294117647059</v>
      </c>
      <c r="AD312" s="18" t="n">
        <f aca="false">IF(P312=0,0,(13*U312+3*(V312+X312)-2*W312)/P312+INDEX(球季參數!$C$2:$C$4,MATCH($A312,球季參數!$A$2:$A$4,0)))</f>
        <v>5.12307692307692</v>
      </c>
      <c r="AE312" s="11" t="n">
        <f aca="false">IF(P312&gt;=INDEX(球季參數!$F$2:$F$4,MATCH($A312,球季參數!$A$2:$A$4,0)),1,0)</f>
        <v>0</v>
      </c>
    </row>
    <row r="313" customFormat="false" ht="15" hidden="false" customHeight="false" outlineLevel="0" collapsed="false">
      <c r="A313" s="5" t="n">
        <v>2025</v>
      </c>
      <c r="B313" s="7" t="s">
        <v>539</v>
      </c>
      <c r="C313" s="10" t="str">
        <f aca="false">INDEX(球員主檔!$B$2:$B$749,MATCH($B313,球員主檔!$A$2:$A$749,0))</f>
        <v>Lorenzo Jaramillo</v>
      </c>
      <c r="D313" s="7" t="s">
        <v>346</v>
      </c>
      <c r="E313" s="10" t="str">
        <f aca="false">INDEX(球隊主檔!$C$2:$C$31,MATCH($D313,球隊主檔!$A$2:$A$31,0))</f>
        <v>波士頓紅襪</v>
      </c>
      <c r="F313" s="10" t="str">
        <f aca="false">INDEX(球隊主檔!$D$2:$D$31,MATCH($D313,球隊主檔!$A$2:$A$31,0))</f>
        <v>美聯</v>
      </c>
      <c r="G313" s="7" t="s">
        <v>496</v>
      </c>
      <c r="H313" s="11" t="n">
        <f aca="false">INT((DATE($A313,7,1)-INDEX(球員主檔!$G$2:$G$749,MATCH($B313,球員主檔!$A$2:$A$749,0)))/365.25)</f>
        <v>29</v>
      </c>
      <c r="I313" s="12" t="n">
        <v>9</v>
      </c>
      <c r="J313" s="12" t="n">
        <v>3</v>
      </c>
      <c r="K313" s="12" t="n">
        <v>0</v>
      </c>
      <c r="L313" s="12" t="n">
        <v>0</v>
      </c>
      <c r="M313" s="12" t="n">
        <v>21</v>
      </c>
      <c r="N313" s="12" t="n">
        <v>21</v>
      </c>
      <c r="O313" s="12" t="n">
        <v>397</v>
      </c>
      <c r="P313" s="16" t="n">
        <f aca="false">O313/3</f>
        <v>132.333333333333</v>
      </c>
      <c r="Q313" s="17" t="str">
        <f aca="false">INT(O313/3)&amp;"."&amp;MOD(O313,3)</f>
        <v>132.1</v>
      </c>
      <c r="R313" s="12" t="n">
        <v>106</v>
      </c>
      <c r="S313" s="12" t="n">
        <v>56</v>
      </c>
      <c r="T313" s="12" t="n">
        <v>53</v>
      </c>
      <c r="U313" s="12" t="n">
        <v>31</v>
      </c>
      <c r="V313" s="12" t="n">
        <v>33</v>
      </c>
      <c r="W313" s="12" t="n">
        <v>122</v>
      </c>
      <c r="X313" s="12" t="n">
        <v>8</v>
      </c>
      <c r="Y313" s="18" t="n">
        <f aca="false">IF(O313=0,0,T313*27/O313)</f>
        <v>3.60453400503778</v>
      </c>
      <c r="Z313" s="18" t="n">
        <f aca="false">IF(P313=0,0,(V313+R313)/P313)</f>
        <v>1.05037783375315</v>
      </c>
      <c r="AA313" s="18" t="n">
        <f aca="false">IF(O313=0,0,W313*27/O313)</f>
        <v>8.29722921914358</v>
      </c>
      <c r="AB313" s="18" t="n">
        <f aca="false">IF(O313=0,0,V313*27/O313)</f>
        <v>2.24433249370277</v>
      </c>
      <c r="AC313" s="18" t="n">
        <f aca="false">IF(V313=0,0,W313/V313)</f>
        <v>3.6969696969697</v>
      </c>
      <c r="AD313" s="18" t="n">
        <f aca="false">IF(P313=0,0,(13*U313+3*(V313+X313)-2*W313)/P313+INDEX(球季參數!$C$2:$C$4,MATCH($A313,球季參數!$A$2:$A$4,0)))</f>
        <v>5.23098236775819</v>
      </c>
      <c r="AE313" s="11" t="n">
        <f aca="false">IF(P313&gt;=INDEX(球季參數!$F$2:$F$4,MATCH($A313,球季參數!$A$2:$A$4,0)),1,0)</f>
        <v>0</v>
      </c>
    </row>
    <row r="314" customFormat="false" ht="15" hidden="false" customHeight="false" outlineLevel="0" collapsed="false">
      <c r="A314" s="5" t="n">
        <v>2025</v>
      </c>
      <c r="B314" s="7" t="s">
        <v>1193</v>
      </c>
      <c r="C314" s="10" t="str">
        <f aca="false">INDEX(球員主檔!$B$2:$B$749,MATCH($B314,球員主檔!$A$2:$A$749,0))</f>
        <v>Sousuke Ravenscroft</v>
      </c>
      <c r="D314" s="7" t="s">
        <v>346</v>
      </c>
      <c r="E314" s="10" t="str">
        <f aca="false">INDEX(球隊主檔!$C$2:$C$31,MATCH($D314,球隊主檔!$A$2:$A$31,0))</f>
        <v>波士頓紅襪</v>
      </c>
      <c r="F314" s="10" t="str">
        <f aca="false">INDEX(球隊主檔!$D$2:$D$31,MATCH($D314,球隊主檔!$A$2:$A$31,0))</f>
        <v>美聯</v>
      </c>
      <c r="G314" s="7" t="s">
        <v>496</v>
      </c>
      <c r="H314" s="11" t="n">
        <f aca="false">INT((DATE($A314,7,1)-INDEX(球員主檔!$G$2:$G$749,MATCH($B314,球員主檔!$A$2:$A$749,0)))/365.25)</f>
        <v>32</v>
      </c>
      <c r="I314" s="12" t="n">
        <v>10</v>
      </c>
      <c r="J314" s="12" t="n">
        <v>3</v>
      </c>
      <c r="K314" s="12" t="n">
        <v>0</v>
      </c>
      <c r="L314" s="12" t="n">
        <v>0</v>
      </c>
      <c r="M314" s="12" t="n">
        <v>21</v>
      </c>
      <c r="N314" s="12" t="n">
        <v>21</v>
      </c>
      <c r="O314" s="12" t="n">
        <v>334</v>
      </c>
      <c r="P314" s="16" t="n">
        <f aca="false">O314/3</f>
        <v>111.333333333333</v>
      </c>
      <c r="Q314" s="17" t="str">
        <f aca="false">INT(O314/3)&amp;"."&amp;MOD(O314,3)</f>
        <v>111.1</v>
      </c>
      <c r="R314" s="12" t="n">
        <v>79</v>
      </c>
      <c r="S314" s="12" t="n">
        <v>37</v>
      </c>
      <c r="T314" s="12" t="n">
        <v>34</v>
      </c>
      <c r="U314" s="12" t="n">
        <v>14</v>
      </c>
      <c r="V314" s="12" t="n">
        <v>52</v>
      </c>
      <c r="W314" s="12" t="n">
        <v>91</v>
      </c>
      <c r="X314" s="12" t="n">
        <v>7</v>
      </c>
      <c r="Y314" s="18" t="n">
        <f aca="false">IF(O314=0,0,T314*27/O314)</f>
        <v>2.74850299401198</v>
      </c>
      <c r="Z314" s="18" t="n">
        <f aca="false">IF(P314=0,0,(V314+R314)/P314)</f>
        <v>1.17664670658683</v>
      </c>
      <c r="AA314" s="18" t="n">
        <f aca="false">IF(O314=0,0,W314*27/O314)</f>
        <v>7.3562874251497</v>
      </c>
      <c r="AB314" s="18" t="n">
        <f aca="false">IF(O314=0,0,V314*27/O314)</f>
        <v>4.20359281437126</v>
      </c>
      <c r="AC314" s="18" t="n">
        <f aca="false">IF(V314=0,0,W314/V314)</f>
        <v>1.75</v>
      </c>
      <c r="AD314" s="18" t="n">
        <f aca="false">IF(P314=0,0,(13*U314+3*(V314+X314)-2*W314)/P314+INDEX(球季參數!$C$2:$C$4,MATCH($A314,球季參數!$A$2:$A$4,0)))</f>
        <v>4.68982035928144</v>
      </c>
      <c r="AE314" s="11" t="n">
        <f aca="false">IF(P314&gt;=INDEX(球季參數!$F$2:$F$4,MATCH($A314,球季參數!$A$2:$A$4,0)),1,0)</f>
        <v>0</v>
      </c>
    </row>
    <row r="315" customFormat="false" ht="15" hidden="false" customHeight="false" outlineLevel="0" collapsed="false">
      <c r="A315" s="5" t="n">
        <v>2025</v>
      </c>
      <c r="B315" s="7" t="s">
        <v>543</v>
      </c>
      <c r="C315" s="10" t="str">
        <f aca="false">INDEX(球員主檔!$B$2:$B$749,MATCH($B315,球員主檔!$A$2:$A$749,0))</f>
        <v>Thiago Eberhardt</v>
      </c>
      <c r="D315" s="7" t="s">
        <v>346</v>
      </c>
      <c r="E315" s="10" t="str">
        <f aca="false">INDEX(球隊主檔!$C$2:$C$31,MATCH($D315,球隊主檔!$A$2:$A$31,0))</f>
        <v>波士頓紅襪</v>
      </c>
      <c r="F315" s="10" t="str">
        <f aca="false">INDEX(球隊主檔!$D$2:$D$31,MATCH($D315,球隊主檔!$A$2:$A$31,0))</f>
        <v>美聯</v>
      </c>
      <c r="G315" s="7" t="s">
        <v>496</v>
      </c>
      <c r="H315" s="11" t="n">
        <f aca="false">INT((DATE($A315,7,1)-INDEX(球員主檔!$G$2:$G$749,MATCH($B315,球員主檔!$A$2:$A$749,0)))/365.25)</f>
        <v>30</v>
      </c>
      <c r="I315" s="12" t="n">
        <v>7</v>
      </c>
      <c r="J315" s="12" t="n">
        <v>7</v>
      </c>
      <c r="K315" s="12" t="n">
        <v>0</v>
      </c>
      <c r="L315" s="12" t="n">
        <v>0</v>
      </c>
      <c r="M315" s="12" t="n">
        <v>24</v>
      </c>
      <c r="N315" s="12" t="n">
        <v>24</v>
      </c>
      <c r="O315" s="12" t="n">
        <v>412</v>
      </c>
      <c r="P315" s="16" t="n">
        <f aca="false">O315/3</f>
        <v>137.333333333333</v>
      </c>
      <c r="Q315" s="17" t="str">
        <f aca="false">INT(O315/3)&amp;"."&amp;MOD(O315,3)</f>
        <v>137.1</v>
      </c>
      <c r="R315" s="12" t="n">
        <v>132</v>
      </c>
      <c r="S315" s="12" t="n">
        <v>79</v>
      </c>
      <c r="T315" s="12" t="n">
        <v>77</v>
      </c>
      <c r="U315" s="12" t="n">
        <v>7</v>
      </c>
      <c r="V315" s="12" t="n">
        <v>43</v>
      </c>
      <c r="W315" s="12" t="n">
        <v>112</v>
      </c>
      <c r="X315" s="12" t="n">
        <v>8</v>
      </c>
      <c r="Y315" s="18" t="n">
        <f aca="false">IF(O315=0,0,T315*27/O315)</f>
        <v>5.04611650485437</v>
      </c>
      <c r="Z315" s="18" t="n">
        <f aca="false">IF(P315=0,0,(V315+R315)/P315)</f>
        <v>1.27427184466019</v>
      </c>
      <c r="AA315" s="18" t="n">
        <f aca="false">IF(O315=0,0,W315*27/O315)</f>
        <v>7.33980582524272</v>
      </c>
      <c r="AB315" s="18" t="n">
        <f aca="false">IF(O315=0,0,V315*27/O315)</f>
        <v>2.81796116504854</v>
      </c>
      <c r="AC315" s="18" t="n">
        <f aca="false">IF(V315=0,0,W315/V315)</f>
        <v>2.6046511627907</v>
      </c>
      <c r="AD315" s="18" t="n">
        <f aca="false">IF(P315=0,0,(13*U315+3*(V315+X315)-2*W315)/P315+INDEX(球季參數!$C$2:$C$4,MATCH($A315,球季參數!$A$2:$A$4,0)))</f>
        <v>3.24563106796117</v>
      </c>
      <c r="AE315" s="11" t="n">
        <f aca="false">IF(P315&gt;=INDEX(球季參數!$F$2:$F$4,MATCH($A315,球季參數!$A$2:$A$4,0)),1,0)</f>
        <v>0</v>
      </c>
    </row>
    <row r="316" customFormat="false" ht="15" hidden="false" customHeight="false" outlineLevel="0" collapsed="false">
      <c r="A316" s="5" t="n">
        <v>2025</v>
      </c>
      <c r="B316" s="7" t="s">
        <v>545</v>
      </c>
      <c r="C316" s="10" t="str">
        <f aca="false">INDEX(球員主檔!$B$2:$B$749,MATCH($B316,球員主檔!$A$2:$A$749,0))</f>
        <v>Tristan Sorrentino</v>
      </c>
      <c r="D316" s="7" t="s">
        <v>346</v>
      </c>
      <c r="E316" s="10" t="str">
        <f aca="false">INDEX(球隊主檔!$C$2:$C$31,MATCH($D316,球隊主檔!$A$2:$A$31,0))</f>
        <v>波士頓紅襪</v>
      </c>
      <c r="F316" s="10" t="str">
        <f aca="false">INDEX(球隊主檔!$D$2:$D$31,MATCH($D316,球隊主檔!$A$2:$A$31,0))</f>
        <v>美聯</v>
      </c>
      <c r="G316" s="7" t="s">
        <v>496</v>
      </c>
      <c r="H316" s="11" t="n">
        <f aca="false">INT((DATE($A316,7,1)-INDEX(球員主檔!$G$2:$G$749,MATCH($B316,球員主檔!$A$2:$A$749,0)))/365.25)</f>
        <v>26</v>
      </c>
      <c r="I316" s="12" t="n">
        <v>9</v>
      </c>
      <c r="J316" s="12" t="n">
        <v>5</v>
      </c>
      <c r="K316" s="12" t="n">
        <v>0</v>
      </c>
      <c r="L316" s="12" t="n">
        <v>0</v>
      </c>
      <c r="M316" s="12" t="n">
        <v>24</v>
      </c>
      <c r="N316" s="12" t="n">
        <v>24</v>
      </c>
      <c r="O316" s="12" t="n">
        <v>460</v>
      </c>
      <c r="P316" s="16" t="n">
        <f aca="false">O316/3</f>
        <v>153.333333333333</v>
      </c>
      <c r="Q316" s="17" t="str">
        <f aca="false">INT(O316/3)&amp;"."&amp;MOD(O316,3)</f>
        <v>153.1</v>
      </c>
      <c r="R316" s="12" t="n">
        <v>131</v>
      </c>
      <c r="S316" s="12" t="n">
        <v>66</v>
      </c>
      <c r="T316" s="12" t="n">
        <v>65</v>
      </c>
      <c r="U316" s="12" t="n">
        <v>12</v>
      </c>
      <c r="V316" s="12" t="n">
        <v>45</v>
      </c>
      <c r="W316" s="12" t="n">
        <v>154</v>
      </c>
      <c r="X316" s="12" t="n">
        <v>7</v>
      </c>
      <c r="Y316" s="18" t="n">
        <f aca="false">IF(O316=0,0,T316*27/O316)</f>
        <v>3.81521739130435</v>
      </c>
      <c r="Z316" s="18" t="n">
        <f aca="false">IF(P316=0,0,(V316+R316)/P316)</f>
        <v>1.14782608695652</v>
      </c>
      <c r="AA316" s="18" t="n">
        <f aca="false">IF(O316=0,0,W316*27/O316)</f>
        <v>9.03913043478261</v>
      </c>
      <c r="AB316" s="18" t="n">
        <f aca="false">IF(O316=0,0,V316*27/O316)</f>
        <v>2.64130434782609</v>
      </c>
      <c r="AC316" s="18" t="n">
        <f aca="false">IF(V316=0,0,W316/V316)</f>
        <v>3.42222222222222</v>
      </c>
      <c r="AD316" s="18" t="n">
        <f aca="false">IF(P316=0,0,(13*U316+3*(V316+X316)-2*W316)/P316+INDEX(球季參數!$C$2:$C$4,MATCH($A316,球季參數!$A$2:$A$4,0)))</f>
        <v>3.12608695652174</v>
      </c>
      <c r="AE316" s="11" t="n">
        <f aca="false">IF(P316&gt;=INDEX(球季參數!$F$2:$F$4,MATCH($A316,球季參數!$A$2:$A$4,0)),1,0)</f>
        <v>0</v>
      </c>
    </row>
    <row r="317" customFormat="false" ht="15" hidden="false" customHeight="false" outlineLevel="0" collapsed="false">
      <c r="A317" s="5" t="n">
        <v>2025</v>
      </c>
      <c r="B317" s="7" t="s">
        <v>547</v>
      </c>
      <c r="C317" s="10" t="str">
        <f aca="false">INDEX(球員主檔!$B$2:$B$749,MATCH($B317,球員主檔!$A$2:$A$749,0))</f>
        <v>Percival Wainwright</v>
      </c>
      <c r="D317" s="7" t="s">
        <v>346</v>
      </c>
      <c r="E317" s="10" t="str">
        <f aca="false">INDEX(球隊主檔!$C$2:$C$31,MATCH($D317,球隊主檔!$A$2:$A$31,0))</f>
        <v>波士頓紅襪</v>
      </c>
      <c r="F317" s="10" t="str">
        <f aca="false">INDEX(球隊主檔!$D$2:$D$31,MATCH($D317,球隊主檔!$A$2:$A$31,0))</f>
        <v>美聯</v>
      </c>
      <c r="G317" s="7" t="s">
        <v>507</v>
      </c>
      <c r="H317" s="11" t="n">
        <f aca="false">INT((DATE($A317,7,1)-INDEX(球員主檔!$G$2:$G$749,MATCH($B317,球員主檔!$A$2:$A$749,0)))/365.25)</f>
        <v>25</v>
      </c>
      <c r="I317" s="12" t="n">
        <v>6</v>
      </c>
      <c r="J317" s="12" t="n">
        <v>1</v>
      </c>
      <c r="K317" s="12" t="n">
        <v>32</v>
      </c>
      <c r="L317" s="12" t="n">
        <v>5</v>
      </c>
      <c r="M317" s="12" t="n">
        <v>52</v>
      </c>
      <c r="N317" s="12" t="n">
        <v>0</v>
      </c>
      <c r="O317" s="12" t="n">
        <v>169</v>
      </c>
      <c r="P317" s="16" t="n">
        <f aca="false">O317/3</f>
        <v>56.3333333333333</v>
      </c>
      <c r="Q317" s="17" t="str">
        <f aca="false">INT(O317/3)&amp;"."&amp;MOD(O317,3)</f>
        <v>56.1</v>
      </c>
      <c r="R317" s="12" t="n">
        <v>34</v>
      </c>
      <c r="S317" s="12" t="n">
        <v>13</v>
      </c>
      <c r="T317" s="12" t="n">
        <v>12</v>
      </c>
      <c r="U317" s="12" t="n">
        <v>5</v>
      </c>
      <c r="V317" s="12" t="n">
        <v>19</v>
      </c>
      <c r="W317" s="12" t="n">
        <v>61</v>
      </c>
      <c r="X317" s="12" t="n">
        <v>2</v>
      </c>
      <c r="Y317" s="18" t="n">
        <f aca="false">IF(O317=0,0,T317*27/O317)</f>
        <v>1.91715976331361</v>
      </c>
      <c r="Z317" s="18" t="n">
        <f aca="false">IF(P317=0,0,(V317+R317)/P317)</f>
        <v>0.940828402366864</v>
      </c>
      <c r="AA317" s="18" t="n">
        <f aca="false">IF(O317=0,0,W317*27/O317)</f>
        <v>9.74556213017752</v>
      </c>
      <c r="AB317" s="18" t="n">
        <f aca="false">IF(O317=0,0,V317*27/O317)</f>
        <v>3.03550295857988</v>
      </c>
      <c r="AC317" s="18" t="n">
        <f aca="false">IF(V317=0,0,W317/V317)</f>
        <v>3.21052631578947</v>
      </c>
      <c r="AD317" s="18" t="n">
        <f aca="false">IF(P317=0,0,(13*U317+3*(V317+X317)-2*W317)/P317+INDEX(球季參數!$C$2:$C$4,MATCH($A317,球季參數!$A$2:$A$4,0)))</f>
        <v>3.20650887573965</v>
      </c>
      <c r="AE317" s="11" t="n">
        <f aca="false">IF(P317&gt;=INDEX(球季參數!$F$2:$F$4,MATCH($A317,球季參數!$A$2:$A$4,0)),1,0)</f>
        <v>0</v>
      </c>
    </row>
    <row r="318" customFormat="false" ht="15" hidden="false" customHeight="false" outlineLevel="0" collapsed="false">
      <c r="A318" s="5" t="n">
        <v>2025</v>
      </c>
      <c r="B318" s="7" t="s">
        <v>549</v>
      </c>
      <c r="C318" s="10" t="str">
        <f aca="false">INDEX(球員主檔!$B$2:$B$749,MATCH($B318,球員主檔!$A$2:$A$749,0))</f>
        <v>Cedric Mbeki</v>
      </c>
      <c r="D318" s="7" t="s">
        <v>346</v>
      </c>
      <c r="E318" s="10" t="str">
        <f aca="false">INDEX(球隊主檔!$C$2:$C$31,MATCH($D318,球隊主檔!$A$2:$A$31,0))</f>
        <v>波士頓紅襪</v>
      </c>
      <c r="F318" s="10" t="str">
        <f aca="false">INDEX(球隊主檔!$D$2:$D$31,MATCH($D318,球隊主檔!$A$2:$A$31,0))</f>
        <v>美聯</v>
      </c>
      <c r="G318" s="7" t="s">
        <v>507</v>
      </c>
      <c r="H318" s="11" t="n">
        <f aca="false">INT((DATE($A318,7,1)-INDEX(球員主檔!$G$2:$G$749,MATCH($B318,球員主檔!$A$2:$A$749,0)))/365.25)</f>
        <v>24</v>
      </c>
      <c r="I318" s="12" t="n">
        <v>2</v>
      </c>
      <c r="J318" s="12" t="n">
        <v>8</v>
      </c>
      <c r="K318" s="12" t="n">
        <v>3</v>
      </c>
      <c r="L318" s="12" t="n">
        <v>7</v>
      </c>
      <c r="M318" s="12" t="n">
        <v>55</v>
      </c>
      <c r="N318" s="12" t="n">
        <v>0</v>
      </c>
      <c r="O318" s="12" t="n">
        <v>176</v>
      </c>
      <c r="P318" s="16" t="n">
        <f aca="false">O318/3</f>
        <v>58.6666666666667</v>
      </c>
      <c r="Q318" s="17" t="str">
        <f aca="false">INT(O318/3)&amp;"."&amp;MOD(O318,3)</f>
        <v>58.2</v>
      </c>
      <c r="R318" s="12" t="n">
        <v>49</v>
      </c>
      <c r="S318" s="12" t="n">
        <v>27</v>
      </c>
      <c r="T318" s="12" t="n">
        <v>24</v>
      </c>
      <c r="U318" s="12" t="n">
        <v>7</v>
      </c>
      <c r="V318" s="12" t="n">
        <v>13</v>
      </c>
      <c r="W318" s="12" t="n">
        <v>51</v>
      </c>
      <c r="X318" s="12" t="n">
        <v>3</v>
      </c>
      <c r="Y318" s="18" t="n">
        <f aca="false">IF(O318=0,0,T318*27/O318)</f>
        <v>3.68181818181818</v>
      </c>
      <c r="Z318" s="18" t="n">
        <f aca="false">IF(P318=0,0,(V318+R318)/P318)</f>
        <v>1.05681818181818</v>
      </c>
      <c r="AA318" s="18" t="n">
        <f aca="false">IF(O318=0,0,W318*27/O318)</f>
        <v>7.82386363636364</v>
      </c>
      <c r="AB318" s="18" t="n">
        <f aca="false">IF(O318=0,0,V318*27/O318)</f>
        <v>1.99431818181818</v>
      </c>
      <c r="AC318" s="18" t="n">
        <f aca="false">IF(V318=0,0,W318/V318)</f>
        <v>3.92307692307692</v>
      </c>
      <c r="AD318" s="18" t="n">
        <f aca="false">IF(P318=0,0,(13*U318+3*(V318+X318)-2*W318)/P318+INDEX(球季參數!$C$2:$C$4,MATCH($A318,球季參數!$A$2:$A$4,0)))</f>
        <v>3.73068181818182</v>
      </c>
      <c r="AE318" s="11" t="n">
        <f aca="false">IF(P318&gt;=INDEX(球季參數!$F$2:$F$4,MATCH($A318,球季參數!$A$2:$A$4,0)),1,0)</f>
        <v>0</v>
      </c>
    </row>
    <row r="319" customFormat="false" ht="15" hidden="false" customHeight="false" outlineLevel="0" collapsed="false">
      <c r="A319" s="5" t="n">
        <v>2025</v>
      </c>
      <c r="B319" s="7" t="s">
        <v>551</v>
      </c>
      <c r="C319" s="10" t="str">
        <f aca="false">INDEX(球員主檔!$B$2:$B$749,MATCH($B319,球員主檔!$A$2:$A$749,0))</f>
        <v>Dashiell Ingersoll</v>
      </c>
      <c r="D319" s="7" t="s">
        <v>346</v>
      </c>
      <c r="E319" s="10" t="str">
        <f aca="false">INDEX(球隊主檔!$C$2:$C$31,MATCH($D319,球隊主檔!$A$2:$A$31,0))</f>
        <v>波士頓紅襪</v>
      </c>
      <c r="F319" s="10" t="str">
        <f aca="false">INDEX(球隊主檔!$D$2:$D$31,MATCH($D319,球隊主檔!$A$2:$A$31,0))</f>
        <v>美聯</v>
      </c>
      <c r="G319" s="7" t="s">
        <v>507</v>
      </c>
      <c r="H319" s="11" t="n">
        <f aca="false">INT((DATE($A319,7,1)-INDEX(球員主檔!$G$2:$G$749,MATCH($B319,球員主檔!$A$2:$A$749,0)))/365.25)</f>
        <v>28</v>
      </c>
      <c r="I319" s="12" t="n">
        <v>6</v>
      </c>
      <c r="J319" s="12" t="n">
        <v>5</v>
      </c>
      <c r="K319" s="12" t="n">
        <v>2</v>
      </c>
      <c r="L319" s="12" t="n">
        <v>32</v>
      </c>
      <c r="M319" s="12" t="n">
        <v>56</v>
      </c>
      <c r="N319" s="12" t="n">
        <v>0</v>
      </c>
      <c r="O319" s="12" t="n">
        <v>173</v>
      </c>
      <c r="P319" s="16" t="n">
        <f aca="false">O319/3</f>
        <v>57.6666666666667</v>
      </c>
      <c r="Q319" s="17" t="str">
        <f aca="false">INT(O319/3)&amp;"."&amp;MOD(O319,3)</f>
        <v>57.2</v>
      </c>
      <c r="R319" s="12" t="n">
        <v>50</v>
      </c>
      <c r="S319" s="12" t="n">
        <v>31</v>
      </c>
      <c r="T319" s="12" t="n">
        <v>29</v>
      </c>
      <c r="U319" s="12" t="n">
        <v>6</v>
      </c>
      <c r="V319" s="12" t="n">
        <v>23</v>
      </c>
      <c r="W319" s="12" t="n">
        <v>82</v>
      </c>
      <c r="X319" s="12" t="n">
        <v>2</v>
      </c>
      <c r="Y319" s="18" t="n">
        <f aca="false">IF(O319=0,0,T319*27/O319)</f>
        <v>4.52601156069364</v>
      </c>
      <c r="Z319" s="18" t="n">
        <f aca="false">IF(P319=0,0,(V319+R319)/P319)</f>
        <v>1.26589595375723</v>
      </c>
      <c r="AA319" s="18" t="n">
        <f aca="false">IF(O319=0,0,W319*27/O319)</f>
        <v>12.7976878612717</v>
      </c>
      <c r="AB319" s="18" t="n">
        <f aca="false">IF(O319=0,0,V319*27/O319)</f>
        <v>3.58959537572254</v>
      </c>
      <c r="AC319" s="18" t="n">
        <f aca="false">IF(V319=0,0,W319/V319)</f>
        <v>3.56521739130435</v>
      </c>
      <c r="AD319" s="18" t="n">
        <f aca="false">IF(P319=0,0,(13*U319+3*(V319+X319)-2*W319)/P319+INDEX(球季參數!$C$2:$C$4,MATCH($A319,球季參數!$A$2:$A$4,0)))</f>
        <v>2.90924855491329</v>
      </c>
      <c r="AE319" s="11" t="n">
        <f aca="false">IF(P319&gt;=INDEX(球季參數!$F$2:$F$4,MATCH($A319,球季參數!$A$2:$A$4,0)),1,0)</f>
        <v>0</v>
      </c>
    </row>
    <row r="320" customFormat="false" ht="15" hidden="false" customHeight="false" outlineLevel="0" collapsed="false">
      <c r="A320" s="5" t="n">
        <v>2025</v>
      </c>
      <c r="B320" s="7" t="s">
        <v>1629</v>
      </c>
      <c r="C320" s="10" t="str">
        <f aca="false">INDEX(球員主檔!$B$2:$B$749,MATCH($B320,球員主檔!$A$2:$A$749,0))</f>
        <v>Joaquín Quiroga</v>
      </c>
      <c r="D320" s="7" t="s">
        <v>346</v>
      </c>
      <c r="E320" s="10" t="str">
        <f aca="false">INDEX(球隊主檔!$C$2:$C$31,MATCH($D320,球隊主檔!$A$2:$A$31,0))</f>
        <v>波士頓紅襪</v>
      </c>
      <c r="F320" s="10" t="str">
        <f aca="false">INDEX(球隊主檔!$D$2:$D$31,MATCH($D320,球隊主檔!$A$2:$A$31,0))</f>
        <v>美聯</v>
      </c>
      <c r="G320" s="7" t="s">
        <v>507</v>
      </c>
      <c r="H320" s="11" t="n">
        <f aca="false">INT((DATE($A320,7,1)-INDEX(球員主檔!$G$2:$G$749,MATCH($B320,球員主檔!$A$2:$A$749,0)))/365.25)</f>
        <v>28</v>
      </c>
      <c r="I320" s="12" t="n">
        <v>0</v>
      </c>
      <c r="J320" s="12" t="n">
        <v>6</v>
      </c>
      <c r="K320" s="12" t="n">
        <v>0</v>
      </c>
      <c r="L320" s="12" t="n">
        <v>25</v>
      </c>
      <c r="M320" s="12" t="n">
        <v>67</v>
      </c>
      <c r="N320" s="12" t="n">
        <v>0</v>
      </c>
      <c r="O320" s="12" t="n">
        <v>185</v>
      </c>
      <c r="P320" s="16" t="n">
        <f aca="false">O320/3</f>
        <v>61.6666666666667</v>
      </c>
      <c r="Q320" s="17" t="str">
        <f aca="false">INT(O320/3)&amp;"."&amp;MOD(O320,3)</f>
        <v>61.2</v>
      </c>
      <c r="R320" s="12" t="n">
        <v>54</v>
      </c>
      <c r="S320" s="12" t="n">
        <v>34</v>
      </c>
      <c r="T320" s="12" t="n">
        <v>30</v>
      </c>
      <c r="U320" s="12" t="n">
        <v>9</v>
      </c>
      <c r="V320" s="12" t="n">
        <v>16</v>
      </c>
      <c r="W320" s="12" t="n">
        <v>64</v>
      </c>
      <c r="X320" s="12" t="n">
        <v>3</v>
      </c>
      <c r="Y320" s="18" t="n">
        <f aca="false">IF(O320=0,0,T320*27/O320)</f>
        <v>4.37837837837838</v>
      </c>
      <c r="Z320" s="18" t="n">
        <f aca="false">IF(P320=0,0,(V320+R320)/P320)</f>
        <v>1.13513513513514</v>
      </c>
      <c r="AA320" s="18" t="n">
        <f aca="false">IF(O320=0,0,W320*27/O320)</f>
        <v>9.34054054054054</v>
      </c>
      <c r="AB320" s="18" t="n">
        <f aca="false">IF(O320=0,0,V320*27/O320)</f>
        <v>2.33513513513514</v>
      </c>
      <c r="AC320" s="18" t="n">
        <f aca="false">IF(V320=0,0,W320/V320)</f>
        <v>4</v>
      </c>
      <c r="AD320" s="18" t="n">
        <f aca="false">IF(P320=0,0,(13*U320+3*(V320+X320)-2*W320)/P320+INDEX(球季參數!$C$2:$C$4,MATCH($A320,球季參數!$A$2:$A$4,0)))</f>
        <v>3.84594594594595</v>
      </c>
      <c r="AE320" s="11" t="n">
        <f aca="false">IF(P320&gt;=INDEX(球季參數!$F$2:$F$4,MATCH($A320,球季參數!$A$2:$A$4,0)),1,0)</f>
        <v>0</v>
      </c>
    </row>
    <row r="321" customFormat="false" ht="15" hidden="false" customHeight="false" outlineLevel="0" collapsed="false">
      <c r="A321" s="5" t="n">
        <v>2025</v>
      </c>
      <c r="B321" s="7" t="s">
        <v>555</v>
      </c>
      <c r="C321" s="10" t="str">
        <f aca="false">INDEX(球員主檔!$B$2:$B$749,MATCH($B321,球員主檔!$A$2:$A$749,0))</f>
        <v>Haruto Larrabee</v>
      </c>
      <c r="D321" s="7" t="s">
        <v>346</v>
      </c>
      <c r="E321" s="10" t="str">
        <f aca="false">INDEX(球隊主檔!$C$2:$C$31,MATCH($D321,球隊主檔!$A$2:$A$31,0))</f>
        <v>波士頓紅襪</v>
      </c>
      <c r="F321" s="10" t="str">
        <f aca="false">INDEX(球隊主檔!$D$2:$D$31,MATCH($D321,球隊主檔!$A$2:$A$31,0))</f>
        <v>美聯</v>
      </c>
      <c r="G321" s="7" t="s">
        <v>507</v>
      </c>
      <c r="H321" s="11" t="n">
        <f aca="false">INT((DATE($A321,7,1)-INDEX(球員主檔!$G$2:$G$749,MATCH($B321,球員主檔!$A$2:$A$749,0)))/365.25)</f>
        <v>30</v>
      </c>
      <c r="I321" s="12" t="n">
        <v>3</v>
      </c>
      <c r="J321" s="12" t="n">
        <v>0</v>
      </c>
      <c r="K321" s="12" t="n">
        <v>5</v>
      </c>
      <c r="L321" s="12" t="n">
        <v>28</v>
      </c>
      <c r="M321" s="12" t="n">
        <v>52</v>
      </c>
      <c r="N321" s="12" t="n">
        <v>0</v>
      </c>
      <c r="O321" s="12" t="n">
        <v>169</v>
      </c>
      <c r="P321" s="16" t="n">
        <f aca="false">O321/3</f>
        <v>56.3333333333333</v>
      </c>
      <c r="Q321" s="17" t="str">
        <f aca="false">INT(O321/3)&amp;"."&amp;MOD(O321,3)</f>
        <v>56.1</v>
      </c>
      <c r="R321" s="12" t="n">
        <v>40</v>
      </c>
      <c r="S321" s="12" t="n">
        <v>20</v>
      </c>
      <c r="T321" s="12" t="n">
        <v>20</v>
      </c>
      <c r="U321" s="12" t="n">
        <v>6</v>
      </c>
      <c r="V321" s="12" t="n">
        <v>23</v>
      </c>
      <c r="W321" s="12" t="n">
        <v>69</v>
      </c>
      <c r="X321" s="12" t="n">
        <v>1</v>
      </c>
      <c r="Y321" s="18" t="n">
        <f aca="false">IF(O321=0,0,T321*27/O321)</f>
        <v>3.19526627218935</v>
      </c>
      <c r="Z321" s="18" t="n">
        <f aca="false">IF(P321=0,0,(V321+R321)/P321)</f>
        <v>1.11834319526627</v>
      </c>
      <c r="AA321" s="18" t="n">
        <f aca="false">IF(O321=0,0,W321*27/O321)</f>
        <v>11.0236686390533</v>
      </c>
      <c r="AB321" s="18" t="n">
        <f aca="false">IF(O321=0,0,V321*27/O321)</f>
        <v>3.67455621301775</v>
      </c>
      <c r="AC321" s="18" t="n">
        <f aca="false">IF(V321=0,0,W321/V321)</f>
        <v>3</v>
      </c>
      <c r="AD321" s="18" t="n">
        <f aca="false">IF(P321=0,0,(13*U321+3*(V321+X321)-2*W321)/P321+INDEX(球季參數!$C$2:$C$4,MATCH($A321,球季參數!$A$2:$A$4,0)))</f>
        <v>3.31301775147929</v>
      </c>
      <c r="AE321" s="11" t="n">
        <f aca="false">IF(P321&gt;=INDEX(球季參數!$F$2:$F$4,MATCH($A321,球季參數!$A$2:$A$4,0)),1,0)</f>
        <v>0</v>
      </c>
    </row>
    <row r="322" customFormat="false" ht="15" hidden="false" customHeight="false" outlineLevel="0" collapsed="false">
      <c r="A322" s="5" t="n">
        <v>2025</v>
      </c>
      <c r="B322" s="7" t="s">
        <v>991</v>
      </c>
      <c r="C322" s="10" t="str">
        <f aca="false">INDEX(球員主檔!$B$2:$B$749,MATCH($B322,球員主檔!$A$2:$A$749,0))</f>
        <v>Wendell Iwasaki</v>
      </c>
      <c r="D322" s="7" t="s">
        <v>350</v>
      </c>
      <c r="E322" s="10" t="str">
        <f aca="false">INDEX(球隊主檔!$C$2:$C$31,MATCH($D322,球隊主檔!$A$2:$A$31,0))</f>
        <v>紐約洋基</v>
      </c>
      <c r="F322" s="10" t="str">
        <f aca="false">INDEX(球隊主檔!$D$2:$D$31,MATCH($D322,球隊主檔!$A$2:$A$31,0))</f>
        <v>美聯</v>
      </c>
      <c r="G322" s="7" t="s">
        <v>496</v>
      </c>
      <c r="H322" s="11" t="n">
        <f aca="false">INT((DATE($A322,7,1)-INDEX(球員主檔!$G$2:$G$749,MATCH($B322,球員主檔!$A$2:$A$749,0)))/365.25)</f>
        <v>26</v>
      </c>
      <c r="I322" s="12" t="n">
        <v>11</v>
      </c>
      <c r="J322" s="12" t="n">
        <v>4</v>
      </c>
      <c r="K322" s="12" t="n">
        <v>0</v>
      </c>
      <c r="L322" s="12" t="n">
        <v>0</v>
      </c>
      <c r="M322" s="12" t="n">
        <v>21</v>
      </c>
      <c r="N322" s="12" t="n">
        <v>21</v>
      </c>
      <c r="O322" s="12" t="n">
        <v>399</v>
      </c>
      <c r="P322" s="16" t="n">
        <f aca="false">O322/3</f>
        <v>133</v>
      </c>
      <c r="Q322" s="17" t="str">
        <f aca="false">INT(O322/3)&amp;"."&amp;MOD(O322,3)</f>
        <v>133.0</v>
      </c>
      <c r="R322" s="12" t="n">
        <v>101</v>
      </c>
      <c r="S322" s="12" t="n">
        <v>50</v>
      </c>
      <c r="T322" s="12" t="n">
        <v>47</v>
      </c>
      <c r="U322" s="12" t="n">
        <v>20</v>
      </c>
      <c r="V322" s="12" t="n">
        <v>19</v>
      </c>
      <c r="W322" s="12" t="n">
        <v>130</v>
      </c>
      <c r="X322" s="12" t="n">
        <v>8</v>
      </c>
      <c r="Y322" s="18" t="n">
        <f aca="false">IF(O322=0,0,T322*27/O322)</f>
        <v>3.18045112781955</v>
      </c>
      <c r="Z322" s="18" t="n">
        <f aca="false">IF(P322=0,0,(V322+R322)/P322)</f>
        <v>0.902255639097744</v>
      </c>
      <c r="AA322" s="18" t="n">
        <f aca="false">IF(O322=0,0,W322*27/O322)</f>
        <v>8.79699248120301</v>
      </c>
      <c r="AB322" s="18" t="n">
        <f aca="false">IF(O322=0,0,V322*27/O322)</f>
        <v>1.28571428571429</v>
      </c>
      <c r="AC322" s="18" t="n">
        <f aca="false">IF(V322=0,0,W322/V322)</f>
        <v>6.8421052631579</v>
      </c>
      <c r="AD322" s="18" t="n">
        <f aca="false">IF(P322=0,0,(13*U322+3*(V322+X322)-2*W322)/P322+INDEX(球季參數!$C$2:$C$4,MATCH($A322,球季參數!$A$2:$A$4,0)))</f>
        <v>3.70902255639098</v>
      </c>
      <c r="AE322" s="11" t="n">
        <f aca="false">IF(P322&gt;=INDEX(球季參數!$F$2:$F$4,MATCH($A322,球季參數!$A$2:$A$4,0)),1,0)</f>
        <v>0</v>
      </c>
    </row>
    <row r="323" customFormat="false" ht="15" hidden="false" customHeight="false" outlineLevel="0" collapsed="false">
      <c r="A323" s="5" t="n">
        <v>2025</v>
      </c>
      <c r="B323" s="7" t="s">
        <v>579</v>
      </c>
      <c r="C323" s="10" t="str">
        <f aca="false">INDEX(球員主檔!$B$2:$B$749,MATCH($B323,球員主檔!$A$2:$A$749,0))</f>
        <v>Dimitri Marchetti</v>
      </c>
      <c r="D323" s="7" t="s">
        <v>350</v>
      </c>
      <c r="E323" s="10" t="str">
        <f aca="false">INDEX(球隊主檔!$C$2:$C$31,MATCH($D323,球隊主檔!$A$2:$A$31,0))</f>
        <v>紐約洋基</v>
      </c>
      <c r="F323" s="10" t="str">
        <f aca="false">INDEX(球隊主檔!$D$2:$D$31,MATCH($D323,球隊主檔!$A$2:$A$31,0))</f>
        <v>美聯</v>
      </c>
      <c r="G323" s="7" t="s">
        <v>496</v>
      </c>
      <c r="H323" s="11" t="n">
        <f aca="false">INT((DATE($A323,7,1)-INDEX(球員主檔!$G$2:$G$749,MATCH($B323,球員主檔!$A$2:$A$749,0)))/365.25)</f>
        <v>25</v>
      </c>
      <c r="I323" s="12" t="n">
        <v>17</v>
      </c>
      <c r="J323" s="12" t="n">
        <v>8</v>
      </c>
      <c r="K323" s="12" t="n">
        <v>0</v>
      </c>
      <c r="L323" s="12" t="n">
        <v>0</v>
      </c>
      <c r="M323" s="12" t="n">
        <v>32</v>
      </c>
      <c r="N323" s="12" t="n">
        <v>32</v>
      </c>
      <c r="O323" s="12" t="n">
        <v>601</v>
      </c>
      <c r="P323" s="16" t="n">
        <f aca="false">O323/3</f>
        <v>200.333333333333</v>
      </c>
      <c r="Q323" s="17" t="str">
        <f aca="false">INT(O323/3)&amp;"."&amp;MOD(O323,3)</f>
        <v>200.1</v>
      </c>
      <c r="R323" s="12" t="n">
        <v>161</v>
      </c>
      <c r="S323" s="12" t="n">
        <v>77</v>
      </c>
      <c r="T323" s="12" t="n">
        <v>77</v>
      </c>
      <c r="U323" s="12" t="n">
        <v>19</v>
      </c>
      <c r="V323" s="12" t="n">
        <v>47</v>
      </c>
      <c r="W323" s="12" t="n">
        <v>121</v>
      </c>
      <c r="X323" s="12" t="n">
        <v>3</v>
      </c>
      <c r="Y323" s="18" t="n">
        <f aca="false">IF(O323=0,0,T323*27/O323)</f>
        <v>3.45923460898503</v>
      </c>
      <c r="Z323" s="18" t="n">
        <f aca="false">IF(P323=0,0,(V323+R323)/P323)</f>
        <v>1.03826955074875</v>
      </c>
      <c r="AA323" s="18" t="n">
        <f aca="false">IF(O323=0,0,W323*27/O323)</f>
        <v>5.43594009983361</v>
      </c>
      <c r="AB323" s="18" t="n">
        <f aca="false">IF(O323=0,0,V323*27/O323)</f>
        <v>2.11148086522463</v>
      </c>
      <c r="AC323" s="18" t="n">
        <f aca="false">IF(V323=0,0,W323/V323)</f>
        <v>2.57446808510638</v>
      </c>
      <c r="AD323" s="18" t="n">
        <f aca="false">IF(P323=0,0,(13*U323+3*(V323+X323)-2*W323)/P323+INDEX(球季參數!$C$2:$C$4,MATCH($A323,球季參數!$A$2:$A$4,0)))</f>
        <v>3.87371048252912</v>
      </c>
      <c r="AE323" s="11" t="n">
        <f aca="false">IF(P323&gt;=INDEX(球季參數!$F$2:$F$4,MATCH($A323,球季參數!$A$2:$A$4,0)),1,0)</f>
        <v>1</v>
      </c>
    </row>
    <row r="324" customFormat="false" ht="15" hidden="false" customHeight="false" outlineLevel="0" collapsed="false">
      <c r="A324" s="5" t="n">
        <v>2025</v>
      </c>
      <c r="B324" s="7" t="s">
        <v>581</v>
      </c>
      <c r="C324" s="10" t="str">
        <f aca="false">INDEX(球員主檔!$B$2:$B$749,MATCH($B324,球員主檔!$A$2:$A$749,0))</f>
        <v>Mateo Wexford</v>
      </c>
      <c r="D324" s="7" t="s">
        <v>350</v>
      </c>
      <c r="E324" s="10" t="str">
        <f aca="false">INDEX(球隊主檔!$C$2:$C$31,MATCH($D324,球隊主檔!$A$2:$A$31,0))</f>
        <v>紐約洋基</v>
      </c>
      <c r="F324" s="10" t="str">
        <f aca="false">INDEX(球隊主檔!$D$2:$D$31,MATCH($D324,球隊主檔!$A$2:$A$31,0))</f>
        <v>美聯</v>
      </c>
      <c r="G324" s="7" t="s">
        <v>496</v>
      </c>
      <c r="H324" s="11" t="n">
        <f aca="false">INT((DATE($A324,7,1)-INDEX(球員主檔!$G$2:$G$749,MATCH($B324,球員主檔!$A$2:$A$749,0)))/365.25)</f>
        <v>32</v>
      </c>
      <c r="I324" s="12" t="n">
        <v>7</v>
      </c>
      <c r="J324" s="12" t="n">
        <v>3</v>
      </c>
      <c r="K324" s="12" t="n">
        <v>0</v>
      </c>
      <c r="L324" s="12" t="n">
        <v>0</v>
      </c>
      <c r="M324" s="12" t="n">
        <v>17</v>
      </c>
      <c r="N324" s="12" t="n">
        <v>17</v>
      </c>
      <c r="O324" s="12" t="n">
        <v>269</v>
      </c>
      <c r="P324" s="16" t="n">
        <f aca="false">O324/3</f>
        <v>89.6666666666667</v>
      </c>
      <c r="Q324" s="17" t="str">
        <f aca="false">INT(O324/3)&amp;"."&amp;MOD(O324,3)</f>
        <v>89.2</v>
      </c>
      <c r="R324" s="12" t="n">
        <v>74</v>
      </c>
      <c r="S324" s="12" t="n">
        <v>41</v>
      </c>
      <c r="T324" s="12" t="n">
        <v>40</v>
      </c>
      <c r="U324" s="12" t="n">
        <v>10</v>
      </c>
      <c r="V324" s="12" t="n">
        <v>49</v>
      </c>
      <c r="W324" s="12" t="n">
        <v>72</v>
      </c>
      <c r="X324" s="12" t="n">
        <v>4</v>
      </c>
      <c r="Y324" s="18" t="n">
        <f aca="false">IF(O324=0,0,T324*27/O324)</f>
        <v>4.01486988847584</v>
      </c>
      <c r="Z324" s="18" t="n">
        <f aca="false">IF(P324=0,0,(V324+R324)/P324)</f>
        <v>1.37174721189591</v>
      </c>
      <c r="AA324" s="18" t="n">
        <f aca="false">IF(O324=0,0,W324*27/O324)</f>
        <v>7.22676579925651</v>
      </c>
      <c r="AB324" s="18" t="n">
        <f aca="false">IF(O324=0,0,V324*27/O324)</f>
        <v>4.9182156133829</v>
      </c>
      <c r="AC324" s="18" t="n">
        <f aca="false">IF(V324=0,0,W324/V324)</f>
        <v>1.46938775510204</v>
      </c>
      <c r="AD324" s="18" t="n">
        <f aca="false">IF(P324=0,0,(13*U324+3*(V324+X324)-2*W324)/P324+INDEX(球季參數!$C$2:$C$4,MATCH($A324,球季參數!$A$2:$A$4,0)))</f>
        <v>4.71710037174721</v>
      </c>
      <c r="AE324" s="11" t="n">
        <f aca="false">IF(P324&gt;=INDEX(球季參數!$F$2:$F$4,MATCH($A324,球季參數!$A$2:$A$4,0)),1,0)</f>
        <v>0</v>
      </c>
    </row>
    <row r="325" customFormat="false" ht="15" hidden="false" customHeight="false" outlineLevel="0" collapsed="false">
      <c r="A325" s="5" t="n">
        <v>2025</v>
      </c>
      <c r="B325" s="7" t="s">
        <v>583</v>
      </c>
      <c r="C325" s="10" t="str">
        <f aca="false">INDEX(球員主檔!$B$2:$B$749,MATCH($B325,球員主檔!$A$2:$A$749,0))</f>
        <v>Kellan Montalvo</v>
      </c>
      <c r="D325" s="7" t="s">
        <v>350</v>
      </c>
      <c r="E325" s="10" t="str">
        <f aca="false">INDEX(球隊主檔!$C$2:$C$31,MATCH($D325,球隊主檔!$A$2:$A$31,0))</f>
        <v>紐約洋基</v>
      </c>
      <c r="F325" s="10" t="str">
        <f aca="false">INDEX(球隊主檔!$D$2:$D$31,MATCH($D325,球隊主檔!$A$2:$A$31,0))</f>
        <v>美聯</v>
      </c>
      <c r="G325" s="7" t="s">
        <v>496</v>
      </c>
      <c r="H325" s="11" t="n">
        <f aca="false">INT((DATE($A325,7,1)-INDEX(球員主檔!$G$2:$G$749,MATCH($B325,球員主檔!$A$2:$A$749,0)))/365.25)</f>
        <v>25</v>
      </c>
      <c r="I325" s="12" t="n">
        <v>9</v>
      </c>
      <c r="J325" s="12" t="n">
        <v>4</v>
      </c>
      <c r="K325" s="12" t="n">
        <v>0</v>
      </c>
      <c r="L325" s="12" t="n">
        <v>0</v>
      </c>
      <c r="M325" s="12" t="n">
        <v>21</v>
      </c>
      <c r="N325" s="12" t="n">
        <v>21</v>
      </c>
      <c r="O325" s="12" t="n">
        <v>385</v>
      </c>
      <c r="P325" s="16" t="n">
        <f aca="false">O325/3</f>
        <v>128.333333333333</v>
      </c>
      <c r="Q325" s="17" t="str">
        <f aca="false">INT(O325/3)&amp;"."&amp;MOD(O325,3)</f>
        <v>128.1</v>
      </c>
      <c r="R325" s="12" t="n">
        <v>105</v>
      </c>
      <c r="S325" s="12" t="n">
        <v>50</v>
      </c>
      <c r="T325" s="12" t="n">
        <v>48</v>
      </c>
      <c r="U325" s="12" t="n">
        <v>18</v>
      </c>
      <c r="V325" s="12" t="n">
        <v>30</v>
      </c>
      <c r="W325" s="12" t="n">
        <v>163</v>
      </c>
      <c r="X325" s="12" t="n">
        <v>6</v>
      </c>
      <c r="Y325" s="18" t="n">
        <f aca="false">IF(O325=0,0,T325*27/O325)</f>
        <v>3.36623376623377</v>
      </c>
      <c r="Z325" s="18" t="n">
        <f aca="false">IF(P325=0,0,(V325+R325)/P325)</f>
        <v>1.05194805194805</v>
      </c>
      <c r="AA325" s="18" t="n">
        <f aca="false">IF(O325=0,0,W325*27/O325)</f>
        <v>11.4311688311688</v>
      </c>
      <c r="AB325" s="18" t="n">
        <f aca="false">IF(O325=0,0,V325*27/O325)</f>
        <v>2.1038961038961</v>
      </c>
      <c r="AC325" s="18" t="n">
        <f aca="false">IF(V325=0,0,W325/V325)</f>
        <v>5.43333333333333</v>
      </c>
      <c r="AD325" s="18" t="n">
        <f aca="false">IF(P325=0,0,(13*U325+3*(V325+X325)-2*W325)/P325+INDEX(球季參數!$C$2:$C$4,MATCH($A325,球季參數!$A$2:$A$4,0)))</f>
        <v>3.22467532467533</v>
      </c>
      <c r="AE325" s="11" t="n">
        <f aca="false">IF(P325&gt;=INDEX(球季參數!$F$2:$F$4,MATCH($A325,球季參數!$A$2:$A$4,0)),1,0)</f>
        <v>0</v>
      </c>
    </row>
    <row r="326" customFormat="false" ht="15" hidden="false" customHeight="false" outlineLevel="0" collapsed="false">
      <c r="A326" s="5" t="n">
        <v>2025</v>
      </c>
      <c r="B326" s="7" t="s">
        <v>585</v>
      </c>
      <c r="C326" s="10" t="str">
        <f aca="false">INDEX(球員主檔!$B$2:$B$749,MATCH($B326,球員主檔!$A$2:$A$749,0))</f>
        <v>Holden Beckwith</v>
      </c>
      <c r="D326" s="7" t="s">
        <v>350</v>
      </c>
      <c r="E326" s="10" t="str">
        <f aca="false">INDEX(球隊主檔!$C$2:$C$31,MATCH($D326,球隊主檔!$A$2:$A$31,0))</f>
        <v>紐約洋基</v>
      </c>
      <c r="F326" s="10" t="str">
        <f aca="false">INDEX(球隊主檔!$D$2:$D$31,MATCH($D326,球隊主檔!$A$2:$A$31,0))</f>
        <v>美聯</v>
      </c>
      <c r="G326" s="7" t="s">
        <v>496</v>
      </c>
      <c r="H326" s="11" t="n">
        <f aca="false">INT((DATE($A326,7,1)-INDEX(球員主檔!$G$2:$G$749,MATCH($B326,球員主檔!$A$2:$A$749,0)))/365.25)</f>
        <v>32</v>
      </c>
      <c r="I326" s="12" t="n">
        <v>7</v>
      </c>
      <c r="J326" s="12" t="n">
        <v>4</v>
      </c>
      <c r="K326" s="12" t="n">
        <v>0</v>
      </c>
      <c r="L326" s="12" t="n">
        <v>0</v>
      </c>
      <c r="M326" s="12" t="n">
        <v>16</v>
      </c>
      <c r="N326" s="12" t="n">
        <v>16</v>
      </c>
      <c r="O326" s="12" t="n">
        <v>272</v>
      </c>
      <c r="P326" s="16" t="n">
        <f aca="false">O326/3</f>
        <v>90.6666666666667</v>
      </c>
      <c r="Q326" s="17" t="str">
        <f aca="false">INT(O326/3)&amp;"."&amp;MOD(O326,3)</f>
        <v>90.2</v>
      </c>
      <c r="R326" s="12" t="n">
        <v>79</v>
      </c>
      <c r="S326" s="12" t="n">
        <v>38</v>
      </c>
      <c r="T326" s="12" t="n">
        <v>37</v>
      </c>
      <c r="U326" s="12" t="n">
        <v>17</v>
      </c>
      <c r="V326" s="12" t="n">
        <v>20</v>
      </c>
      <c r="W326" s="12" t="n">
        <v>84</v>
      </c>
      <c r="X326" s="12" t="n">
        <v>2</v>
      </c>
      <c r="Y326" s="18" t="n">
        <f aca="false">IF(O326=0,0,T326*27/O326)</f>
        <v>3.67279411764706</v>
      </c>
      <c r="Z326" s="18" t="n">
        <f aca="false">IF(P326=0,0,(V326+R326)/P326)</f>
        <v>1.09191176470588</v>
      </c>
      <c r="AA326" s="18" t="n">
        <f aca="false">IF(O326=0,0,W326*27/O326)</f>
        <v>8.33823529411765</v>
      </c>
      <c r="AB326" s="18" t="n">
        <f aca="false">IF(O326=0,0,V326*27/O326)</f>
        <v>1.98529411764706</v>
      </c>
      <c r="AC326" s="18" t="n">
        <f aca="false">IF(V326=0,0,W326/V326)</f>
        <v>4.2</v>
      </c>
      <c r="AD326" s="18" t="n">
        <f aca="false">IF(P326=0,0,(13*U326+3*(V326+X326)-2*W326)/P326+INDEX(球季參數!$C$2:$C$4,MATCH($A326,球季參數!$A$2:$A$4,0)))</f>
        <v>4.4125</v>
      </c>
      <c r="AE326" s="11" t="n">
        <f aca="false">IF(P326&gt;=INDEX(球季參數!$F$2:$F$4,MATCH($A326,球季參數!$A$2:$A$4,0)),1,0)</f>
        <v>0</v>
      </c>
    </row>
    <row r="327" customFormat="false" ht="15" hidden="false" customHeight="false" outlineLevel="0" collapsed="false">
      <c r="A327" s="5" t="n">
        <v>2025</v>
      </c>
      <c r="B327" s="7" t="s">
        <v>587</v>
      </c>
      <c r="C327" s="10" t="str">
        <f aca="false">INDEX(球員主檔!$B$2:$B$749,MATCH($B327,球員主檔!$A$2:$A$749,0))</f>
        <v>Minjae Caldera</v>
      </c>
      <c r="D327" s="7" t="s">
        <v>350</v>
      </c>
      <c r="E327" s="10" t="str">
        <f aca="false">INDEX(球隊主檔!$C$2:$C$31,MATCH($D327,球隊主檔!$A$2:$A$31,0))</f>
        <v>紐約洋基</v>
      </c>
      <c r="F327" s="10" t="str">
        <f aca="false">INDEX(球隊主檔!$D$2:$D$31,MATCH($D327,球隊主檔!$A$2:$A$31,0))</f>
        <v>美聯</v>
      </c>
      <c r="G327" s="7" t="s">
        <v>507</v>
      </c>
      <c r="H327" s="11" t="n">
        <f aca="false">INT((DATE($A327,7,1)-INDEX(球員主檔!$G$2:$G$749,MATCH($B327,球員主檔!$A$2:$A$749,0)))/365.25)</f>
        <v>28</v>
      </c>
      <c r="I327" s="12" t="n">
        <v>5</v>
      </c>
      <c r="J327" s="12" t="n">
        <v>6</v>
      </c>
      <c r="K327" s="12" t="n">
        <v>31</v>
      </c>
      <c r="L327" s="12" t="n">
        <v>2</v>
      </c>
      <c r="M327" s="12" t="n">
        <v>52</v>
      </c>
      <c r="N327" s="12" t="n">
        <v>0</v>
      </c>
      <c r="O327" s="12" t="n">
        <v>164</v>
      </c>
      <c r="P327" s="16" t="n">
        <f aca="false">O327/3</f>
        <v>54.6666666666667</v>
      </c>
      <c r="Q327" s="17" t="str">
        <f aca="false">INT(O327/3)&amp;"."&amp;MOD(O327,3)</f>
        <v>54.2</v>
      </c>
      <c r="R327" s="12" t="n">
        <v>42</v>
      </c>
      <c r="S327" s="12" t="n">
        <v>18</v>
      </c>
      <c r="T327" s="12" t="n">
        <v>18</v>
      </c>
      <c r="U327" s="12" t="n">
        <v>5</v>
      </c>
      <c r="V327" s="12" t="n">
        <v>19</v>
      </c>
      <c r="W327" s="12" t="n">
        <v>55</v>
      </c>
      <c r="X327" s="12" t="n">
        <v>2</v>
      </c>
      <c r="Y327" s="18" t="n">
        <f aca="false">IF(O327=0,0,T327*27/O327)</f>
        <v>2.96341463414634</v>
      </c>
      <c r="Z327" s="18" t="n">
        <f aca="false">IF(P327=0,0,(V327+R327)/P327)</f>
        <v>1.11585365853659</v>
      </c>
      <c r="AA327" s="18" t="n">
        <f aca="false">IF(O327=0,0,W327*27/O327)</f>
        <v>9.05487804878049</v>
      </c>
      <c r="AB327" s="18" t="n">
        <f aca="false">IF(O327=0,0,V327*27/O327)</f>
        <v>3.1280487804878</v>
      </c>
      <c r="AC327" s="18" t="n">
        <f aca="false">IF(V327=0,0,W327/V327)</f>
        <v>2.89473684210526</v>
      </c>
      <c r="AD327" s="18" t="n">
        <f aca="false">IF(P327=0,0,(13*U327+3*(V327+X327)-2*W327)/P327+INDEX(球季參數!$C$2:$C$4,MATCH($A327,球季參數!$A$2:$A$4,0)))</f>
        <v>3.42926829268293</v>
      </c>
      <c r="AE327" s="11" t="n">
        <f aca="false">IF(P327&gt;=INDEX(球季參數!$F$2:$F$4,MATCH($A327,球季參數!$A$2:$A$4,0)),1,0)</f>
        <v>0</v>
      </c>
    </row>
    <row r="328" customFormat="false" ht="15" hidden="false" customHeight="false" outlineLevel="0" collapsed="false">
      <c r="A328" s="5" t="n">
        <v>2025</v>
      </c>
      <c r="B328" s="7" t="s">
        <v>589</v>
      </c>
      <c r="C328" s="10" t="str">
        <f aca="false">INDEX(球員主檔!$B$2:$B$749,MATCH($B328,球員主檔!$A$2:$A$749,0))</f>
        <v>Cassius Kestrel</v>
      </c>
      <c r="D328" s="7" t="s">
        <v>350</v>
      </c>
      <c r="E328" s="10" t="str">
        <f aca="false">INDEX(球隊主檔!$C$2:$C$31,MATCH($D328,球隊主檔!$A$2:$A$31,0))</f>
        <v>紐約洋基</v>
      </c>
      <c r="F328" s="10" t="str">
        <f aca="false">INDEX(球隊主檔!$D$2:$D$31,MATCH($D328,球隊主檔!$A$2:$A$31,0))</f>
        <v>美聯</v>
      </c>
      <c r="G328" s="7" t="s">
        <v>507</v>
      </c>
      <c r="H328" s="11" t="n">
        <f aca="false">INT((DATE($A328,7,1)-INDEX(球員主檔!$G$2:$G$749,MATCH($B328,球員主檔!$A$2:$A$749,0)))/365.25)</f>
        <v>31</v>
      </c>
      <c r="I328" s="12" t="n">
        <v>1</v>
      </c>
      <c r="J328" s="12" t="n">
        <v>6</v>
      </c>
      <c r="K328" s="12" t="n">
        <v>2</v>
      </c>
      <c r="L328" s="12" t="n">
        <v>11</v>
      </c>
      <c r="M328" s="12" t="n">
        <v>74</v>
      </c>
      <c r="N328" s="12" t="n">
        <v>0</v>
      </c>
      <c r="O328" s="12" t="n">
        <v>226</v>
      </c>
      <c r="P328" s="16" t="n">
        <f aca="false">O328/3</f>
        <v>75.3333333333333</v>
      </c>
      <c r="Q328" s="17" t="str">
        <f aca="false">INT(O328/3)&amp;"."&amp;MOD(O328,3)</f>
        <v>75.1</v>
      </c>
      <c r="R328" s="12" t="n">
        <v>74</v>
      </c>
      <c r="S328" s="12" t="n">
        <v>49</v>
      </c>
      <c r="T328" s="12" t="n">
        <v>46</v>
      </c>
      <c r="U328" s="12" t="n">
        <v>5</v>
      </c>
      <c r="V328" s="12" t="n">
        <v>16</v>
      </c>
      <c r="W328" s="12" t="n">
        <v>95</v>
      </c>
      <c r="X328" s="12" t="n">
        <v>4</v>
      </c>
      <c r="Y328" s="18" t="n">
        <f aca="false">IF(O328=0,0,T328*27/O328)</f>
        <v>5.49557522123894</v>
      </c>
      <c r="Z328" s="18" t="n">
        <f aca="false">IF(P328=0,0,(V328+R328)/P328)</f>
        <v>1.19469026548673</v>
      </c>
      <c r="AA328" s="18" t="n">
        <f aca="false">IF(O328=0,0,W328*27/O328)</f>
        <v>11.3495575221239</v>
      </c>
      <c r="AB328" s="18" t="n">
        <f aca="false">IF(O328=0,0,V328*27/O328)</f>
        <v>1.91150442477876</v>
      </c>
      <c r="AC328" s="18" t="n">
        <f aca="false">IF(V328=0,0,W328/V328)</f>
        <v>5.9375</v>
      </c>
      <c r="AD328" s="18" t="n">
        <f aca="false">IF(P328=0,0,(13*U328+3*(V328+X328)-2*W328)/P328+INDEX(球季參數!$C$2:$C$4,MATCH($A328,球季參數!$A$2:$A$4,0)))</f>
        <v>2.23716814159292</v>
      </c>
      <c r="AE328" s="11" t="n">
        <f aca="false">IF(P328&gt;=INDEX(球季參數!$F$2:$F$4,MATCH($A328,球季參數!$A$2:$A$4,0)),1,0)</f>
        <v>0</v>
      </c>
    </row>
    <row r="329" customFormat="false" ht="15" hidden="false" customHeight="false" outlineLevel="0" collapsed="false">
      <c r="A329" s="5" t="n">
        <v>2025</v>
      </c>
      <c r="B329" s="7" t="s">
        <v>591</v>
      </c>
      <c r="C329" s="10" t="str">
        <f aca="false">INDEX(球員主檔!$B$2:$B$749,MATCH($B329,球員主檔!$A$2:$A$749,0))</f>
        <v>Hugo Okafor</v>
      </c>
      <c r="D329" s="7" t="s">
        <v>350</v>
      </c>
      <c r="E329" s="10" t="str">
        <f aca="false">INDEX(球隊主檔!$C$2:$C$31,MATCH($D329,球隊主檔!$A$2:$A$31,0))</f>
        <v>紐約洋基</v>
      </c>
      <c r="F329" s="10" t="str">
        <f aca="false">INDEX(球隊主檔!$D$2:$D$31,MATCH($D329,球隊主檔!$A$2:$A$31,0))</f>
        <v>美聯</v>
      </c>
      <c r="G329" s="7" t="s">
        <v>507</v>
      </c>
      <c r="H329" s="11" t="n">
        <f aca="false">INT((DATE($A329,7,1)-INDEX(球員主檔!$G$2:$G$749,MATCH($B329,球員主檔!$A$2:$A$749,0)))/365.25)</f>
        <v>29</v>
      </c>
      <c r="I329" s="12" t="n">
        <v>5</v>
      </c>
      <c r="J329" s="12" t="n">
        <v>0</v>
      </c>
      <c r="K329" s="12" t="n">
        <v>5</v>
      </c>
      <c r="L329" s="12" t="n">
        <v>4</v>
      </c>
      <c r="M329" s="12" t="n">
        <v>58</v>
      </c>
      <c r="N329" s="12" t="n">
        <v>0</v>
      </c>
      <c r="O329" s="12" t="n">
        <v>190</v>
      </c>
      <c r="P329" s="16" t="n">
        <f aca="false">O329/3</f>
        <v>63.3333333333333</v>
      </c>
      <c r="Q329" s="17" t="str">
        <f aca="false">INT(O329/3)&amp;"."&amp;MOD(O329,3)</f>
        <v>63.1</v>
      </c>
      <c r="R329" s="12" t="n">
        <v>56</v>
      </c>
      <c r="S329" s="12" t="n">
        <v>32</v>
      </c>
      <c r="T329" s="12" t="n">
        <v>31</v>
      </c>
      <c r="U329" s="12" t="n">
        <v>10</v>
      </c>
      <c r="V329" s="12" t="n">
        <v>16</v>
      </c>
      <c r="W329" s="12" t="n">
        <v>44</v>
      </c>
      <c r="X329" s="12" t="n">
        <v>4</v>
      </c>
      <c r="Y329" s="18" t="n">
        <f aca="false">IF(O329=0,0,T329*27/O329)</f>
        <v>4.40526315789474</v>
      </c>
      <c r="Z329" s="18" t="n">
        <f aca="false">IF(P329=0,0,(V329+R329)/P329)</f>
        <v>1.13684210526316</v>
      </c>
      <c r="AA329" s="18" t="n">
        <f aca="false">IF(O329=0,0,W329*27/O329)</f>
        <v>6.25263157894737</v>
      </c>
      <c r="AB329" s="18" t="n">
        <f aca="false">IF(O329=0,0,V329*27/O329)</f>
        <v>2.27368421052632</v>
      </c>
      <c r="AC329" s="18" t="n">
        <f aca="false">IF(V329=0,0,W329/V329)</f>
        <v>2.75</v>
      </c>
      <c r="AD329" s="18" t="n">
        <f aca="false">IF(P329=0,0,(13*U329+3*(V329+X329)-2*W329)/P329+INDEX(球季參數!$C$2:$C$4,MATCH($A329,球季參數!$A$2:$A$4,0)))</f>
        <v>4.71052631578947</v>
      </c>
      <c r="AE329" s="11" t="n">
        <f aca="false">IF(P329&gt;=INDEX(球季參數!$F$2:$F$4,MATCH($A329,球季參數!$A$2:$A$4,0)),1,0)</f>
        <v>0</v>
      </c>
    </row>
    <row r="330" customFormat="false" ht="15" hidden="false" customHeight="false" outlineLevel="0" collapsed="false">
      <c r="A330" s="5" t="n">
        <v>2025</v>
      </c>
      <c r="B330" s="7" t="s">
        <v>593</v>
      </c>
      <c r="C330" s="10" t="str">
        <f aca="false">INDEX(球員主檔!$B$2:$B$749,MATCH($B330,球員主檔!$A$2:$A$749,0))</f>
        <v>Tobias Ulloa</v>
      </c>
      <c r="D330" s="7" t="s">
        <v>350</v>
      </c>
      <c r="E330" s="10" t="str">
        <f aca="false">INDEX(球隊主檔!$C$2:$C$31,MATCH($D330,球隊主檔!$A$2:$A$31,0))</f>
        <v>紐約洋基</v>
      </c>
      <c r="F330" s="10" t="str">
        <f aca="false">INDEX(球隊主檔!$D$2:$D$31,MATCH($D330,球隊主檔!$A$2:$A$31,0))</f>
        <v>美聯</v>
      </c>
      <c r="G330" s="7" t="s">
        <v>507</v>
      </c>
      <c r="H330" s="11" t="n">
        <f aca="false">INT((DATE($A330,7,1)-INDEX(球員主檔!$G$2:$G$749,MATCH($B330,球員主檔!$A$2:$A$749,0)))/365.25)</f>
        <v>27</v>
      </c>
      <c r="I330" s="12" t="n">
        <v>5</v>
      </c>
      <c r="J330" s="12" t="n">
        <v>2</v>
      </c>
      <c r="K330" s="12" t="n">
        <v>2</v>
      </c>
      <c r="L330" s="12" t="n">
        <v>28</v>
      </c>
      <c r="M330" s="12" t="n">
        <v>72</v>
      </c>
      <c r="N330" s="12" t="n">
        <v>0</v>
      </c>
      <c r="O330" s="12" t="n">
        <v>192</v>
      </c>
      <c r="P330" s="16" t="n">
        <f aca="false">O330/3</f>
        <v>64</v>
      </c>
      <c r="Q330" s="17" t="str">
        <f aca="false">INT(O330/3)&amp;"."&amp;MOD(O330,3)</f>
        <v>64.0</v>
      </c>
      <c r="R330" s="12" t="n">
        <v>49</v>
      </c>
      <c r="S330" s="12" t="n">
        <v>27</v>
      </c>
      <c r="T330" s="12" t="n">
        <v>24</v>
      </c>
      <c r="U330" s="12" t="n">
        <v>10</v>
      </c>
      <c r="V330" s="12" t="n">
        <v>13</v>
      </c>
      <c r="W330" s="12" t="n">
        <v>77</v>
      </c>
      <c r="X330" s="12" t="n">
        <v>3</v>
      </c>
      <c r="Y330" s="18" t="n">
        <f aca="false">IF(O330=0,0,T330*27/O330)</f>
        <v>3.375</v>
      </c>
      <c r="Z330" s="18" t="n">
        <f aca="false">IF(P330=0,0,(V330+R330)/P330)</f>
        <v>0.96875</v>
      </c>
      <c r="AA330" s="18" t="n">
        <f aca="false">IF(O330=0,0,W330*27/O330)</f>
        <v>10.828125</v>
      </c>
      <c r="AB330" s="18" t="n">
        <f aca="false">IF(O330=0,0,V330*27/O330)</f>
        <v>1.828125</v>
      </c>
      <c r="AC330" s="18" t="n">
        <f aca="false">IF(V330=0,0,W330/V330)</f>
        <v>5.92307692307692</v>
      </c>
      <c r="AD330" s="18" t="n">
        <f aca="false">IF(P330=0,0,(13*U330+3*(V330+X330)-2*W330)/P330+INDEX(球季參數!$C$2:$C$4,MATCH($A330,球季參數!$A$2:$A$4,0)))</f>
        <v>3.475</v>
      </c>
      <c r="AE330" s="11" t="n">
        <f aca="false">IF(P330&gt;=INDEX(球季參數!$F$2:$F$4,MATCH($A330,球季參數!$A$2:$A$4,0)),1,0)</f>
        <v>0</v>
      </c>
    </row>
    <row r="331" customFormat="false" ht="15" hidden="false" customHeight="false" outlineLevel="0" collapsed="false">
      <c r="A331" s="5" t="n">
        <v>2025</v>
      </c>
      <c r="B331" s="7" t="s">
        <v>595</v>
      </c>
      <c r="C331" s="10" t="str">
        <f aca="false">INDEX(球員主檔!$B$2:$B$749,MATCH($B331,球員主檔!$A$2:$A$749,0))</f>
        <v>Augustin Wainwright</v>
      </c>
      <c r="D331" s="7" t="s">
        <v>350</v>
      </c>
      <c r="E331" s="10" t="str">
        <f aca="false">INDEX(球隊主檔!$C$2:$C$31,MATCH($D331,球隊主檔!$A$2:$A$31,0))</f>
        <v>紐約洋基</v>
      </c>
      <c r="F331" s="10" t="str">
        <f aca="false">INDEX(球隊主檔!$D$2:$D$31,MATCH($D331,球隊主檔!$A$2:$A$31,0))</f>
        <v>美聯</v>
      </c>
      <c r="G331" s="7" t="s">
        <v>507</v>
      </c>
      <c r="H331" s="11" t="n">
        <f aca="false">INT((DATE($A331,7,1)-INDEX(球員主檔!$G$2:$G$749,MATCH($B331,球員主檔!$A$2:$A$749,0)))/365.25)</f>
        <v>29</v>
      </c>
      <c r="I331" s="12" t="n">
        <v>1</v>
      </c>
      <c r="J331" s="12" t="n">
        <v>1</v>
      </c>
      <c r="K331" s="12" t="n">
        <v>1</v>
      </c>
      <c r="L331" s="12" t="n">
        <v>10</v>
      </c>
      <c r="M331" s="12" t="n">
        <v>38</v>
      </c>
      <c r="N331" s="12" t="n">
        <v>0</v>
      </c>
      <c r="O331" s="12" t="n">
        <v>124</v>
      </c>
      <c r="P331" s="16" t="n">
        <f aca="false">O331/3</f>
        <v>41.3333333333333</v>
      </c>
      <c r="Q331" s="17" t="str">
        <f aca="false">INT(O331/3)&amp;"."&amp;MOD(O331,3)</f>
        <v>41.1</v>
      </c>
      <c r="R331" s="12" t="n">
        <v>35</v>
      </c>
      <c r="S331" s="12" t="n">
        <v>18</v>
      </c>
      <c r="T331" s="12" t="n">
        <v>18</v>
      </c>
      <c r="U331" s="12" t="n">
        <v>6</v>
      </c>
      <c r="V331" s="12" t="n">
        <v>15</v>
      </c>
      <c r="W331" s="12" t="n">
        <v>32</v>
      </c>
      <c r="X331" s="12" t="n">
        <v>1</v>
      </c>
      <c r="Y331" s="18" t="n">
        <f aca="false">IF(O331=0,0,T331*27/O331)</f>
        <v>3.91935483870968</v>
      </c>
      <c r="Z331" s="18" t="n">
        <f aca="false">IF(P331=0,0,(V331+R331)/P331)</f>
        <v>1.20967741935484</v>
      </c>
      <c r="AA331" s="18" t="n">
        <f aca="false">IF(O331=0,0,W331*27/O331)</f>
        <v>6.96774193548387</v>
      </c>
      <c r="AB331" s="18" t="n">
        <f aca="false">IF(O331=0,0,V331*27/O331)</f>
        <v>3.26612903225806</v>
      </c>
      <c r="AC331" s="18" t="n">
        <f aca="false">IF(V331=0,0,W331/V331)</f>
        <v>2.13333333333333</v>
      </c>
      <c r="AD331" s="18" t="n">
        <f aca="false">IF(P331=0,0,(13*U331+3*(V331+X331)-2*W331)/P331+INDEX(球季參數!$C$2:$C$4,MATCH($A331,球季參數!$A$2:$A$4,0)))</f>
        <v>4.6</v>
      </c>
      <c r="AE331" s="11" t="n">
        <f aca="false">IF(P331&gt;=INDEX(球季參數!$F$2:$F$4,MATCH($A331,球季參數!$A$2:$A$4,0)),1,0)</f>
        <v>0</v>
      </c>
    </row>
    <row r="332" customFormat="false" ht="15" hidden="false" customHeight="false" outlineLevel="0" collapsed="false">
      <c r="A332" s="5" t="n">
        <v>2025</v>
      </c>
      <c r="B332" s="7" t="s">
        <v>617</v>
      </c>
      <c r="C332" s="10" t="str">
        <f aca="false">INDEX(球員主檔!$B$2:$B$749,MATCH($B332,球員主檔!$A$2:$A$749,0))</f>
        <v>Thaddeus Yamazaki</v>
      </c>
      <c r="D332" s="7" t="s">
        <v>354</v>
      </c>
      <c r="E332" s="10" t="str">
        <f aca="false">INDEX(球隊主檔!$C$2:$C$31,MATCH($D332,球隊主檔!$A$2:$A$31,0))</f>
        <v>坦帕灣光芒</v>
      </c>
      <c r="F332" s="10" t="str">
        <f aca="false">INDEX(球隊主檔!$D$2:$D$31,MATCH($D332,球隊主檔!$A$2:$A$31,0))</f>
        <v>美聯</v>
      </c>
      <c r="G332" s="7" t="s">
        <v>496</v>
      </c>
      <c r="H332" s="11" t="n">
        <f aca="false">INT((DATE($A332,7,1)-INDEX(球員主檔!$G$2:$G$749,MATCH($B332,球員主檔!$A$2:$A$749,0)))/365.25)</f>
        <v>31</v>
      </c>
      <c r="I332" s="12" t="n">
        <v>13</v>
      </c>
      <c r="J332" s="12" t="n">
        <v>6</v>
      </c>
      <c r="K332" s="12" t="n">
        <v>0</v>
      </c>
      <c r="L332" s="12" t="n">
        <v>0</v>
      </c>
      <c r="M332" s="12" t="n">
        <v>33</v>
      </c>
      <c r="N332" s="12" t="n">
        <v>33</v>
      </c>
      <c r="O332" s="12" t="n">
        <v>492</v>
      </c>
      <c r="P332" s="16" t="n">
        <f aca="false">O332/3</f>
        <v>164</v>
      </c>
      <c r="Q332" s="17" t="str">
        <f aca="false">INT(O332/3)&amp;"."&amp;MOD(O332,3)</f>
        <v>164.0</v>
      </c>
      <c r="R332" s="12" t="n">
        <v>122</v>
      </c>
      <c r="S332" s="12" t="n">
        <v>65</v>
      </c>
      <c r="T332" s="12" t="n">
        <v>63</v>
      </c>
      <c r="U332" s="12" t="n">
        <v>13</v>
      </c>
      <c r="V332" s="12" t="n">
        <v>25</v>
      </c>
      <c r="W332" s="12" t="n">
        <v>117</v>
      </c>
      <c r="X332" s="12" t="n">
        <v>3</v>
      </c>
      <c r="Y332" s="18" t="n">
        <f aca="false">IF(O332=0,0,T332*27/O332)</f>
        <v>3.45731707317073</v>
      </c>
      <c r="Z332" s="18" t="n">
        <f aca="false">IF(P332=0,0,(V332+R332)/P332)</f>
        <v>0.896341463414634</v>
      </c>
      <c r="AA332" s="18" t="n">
        <f aca="false">IF(O332=0,0,W332*27/O332)</f>
        <v>6.42073170731707</v>
      </c>
      <c r="AB332" s="18" t="n">
        <f aca="false">IF(O332=0,0,V332*27/O332)</f>
        <v>1.3719512195122</v>
      </c>
      <c r="AC332" s="18" t="n">
        <f aca="false">IF(V332=0,0,W332/V332)</f>
        <v>4.68</v>
      </c>
      <c r="AD332" s="18" t="n">
        <f aca="false">IF(P332=0,0,(13*U332+3*(V332+X332)-2*W332)/P332+INDEX(球季參數!$C$2:$C$4,MATCH($A332,球季參數!$A$2:$A$4,0)))</f>
        <v>3.21585365853659</v>
      </c>
      <c r="AE332" s="11" t="n">
        <f aca="false">IF(P332&gt;=INDEX(球季參數!$F$2:$F$4,MATCH($A332,球季參數!$A$2:$A$4,0)),1,0)</f>
        <v>1</v>
      </c>
    </row>
    <row r="333" customFormat="false" ht="15" hidden="false" customHeight="false" outlineLevel="0" collapsed="false">
      <c r="A333" s="5" t="n">
        <v>2025</v>
      </c>
      <c r="B333" s="7" t="s">
        <v>1689</v>
      </c>
      <c r="C333" s="10" t="str">
        <f aca="false">INDEX(球員主檔!$B$2:$B$749,MATCH($B333,球員主檔!$A$2:$A$749,0))</f>
        <v>Ulises Kowalczyk</v>
      </c>
      <c r="D333" s="7" t="s">
        <v>354</v>
      </c>
      <c r="E333" s="10" t="str">
        <f aca="false">INDEX(球隊主檔!$C$2:$C$31,MATCH($D333,球隊主檔!$A$2:$A$31,0))</f>
        <v>坦帕灣光芒</v>
      </c>
      <c r="F333" s="10" t="str">
        <f aca="false">INDEX(球隊主檔!$D$2:$D$31,MATCH($D333,球隊主檔!$A$2:$A$31,0))</f>
        <v>美聯</v>
      </c>
      <c r="G333" s="7" t="s">
        <v>496</v>
      </c>
      <c r="H333" s="11" t="n">
        <f aca="false">INT((DATE($A333,7,1)-INDEX(球員主檔!$G$2:$G$749,MATCH($B333,球員主檔!$A$2:$A$749,0)))/365.25)</f>
        <v>20</v>
      </c>
      <c r="I333" s="12" t="n">
        <v>6</v>
      </c>
      <c r="J333" s="12" t="n">
        <v>10</v>
      </c>
      <c r="K333" s="12" t="n">
        <v>0</v>
      </c>
      <c r="L333" s="12" t="n">
        <v>0</v>
      </c>
      <c r="M333" s="12" t="n">
        <v>23</v>
      </c>
      <c r="N333" s="12" t="n">
        <v>23</v>
      </c>
      <c r="O333" s="12" t="n">
        <v>368</v>
      </c>
      <c r="P333" s="16" t="n">
        <f aca="false">O333/3</f>
        <v>122.666666666667</v>
      </c>
      <c r="Q333" s="17" t="str">
        <f aca="false">INT(O333/3)&amp;"."&amp;MOD(O333,3)</f>
        <v>122.2</v>
      </c>
      <c r="R333" s="12" t="n">
        <v>121</v>
      </c>
      <c r="S333" s="12" t="n">
        <v>98</v>
      </c>
      <c r="T333" s="12" t="n">
        <v>88</v>
      </c>
      <c r="U333" s="12" t="n">
        <v>25</v>
      </c>
      <c r="V333" s="12" t="n">
        <v>45</v>
      </c>
      <c r="W333" s="12" t="n">
        <v>82</v>
      </c>
      <c r="X333" s="12" t="n">
        <v>5</v>
      </c>
      <c r="Y333" s="18" t="n">
        <f aca="false">IF(O333=0,0,T333*27/O333)</f>
        <v>6.45652173913044</v>
      </c>
      <c r="Z333" s="18" t="n">
        <f aca="false">IF(P333=0,0,(V333+R333)/P333)</f>
        <v>1.35326086956522</v>
      </c>
      <c r="AA333" s="18" t="n">
        <f aca="false">IF(O333=0,0,W333*27/O333)</f>
        <v>6.01630434782609</v>
      </c>
      <c r="AB333" s="18" t="n">
        <f aca="false">IF(O333=0,0,V333*27/O333)</f>
        <v>3.30163043478261</v>
      </c>
      <c r="AC333" s="18" t="n">
        <f aca="false">IF(V333=0,0,W333/V333)</f>
        <v>1.82222222222222</v>
      </c>
      <c r="AD333" s="18" t="n">
        <f aca="false">IF(P333=0,0,(13*U333+3*(V333+X333)-2*W333)/P333+INDEX(球季參數!$C$2:$C$4,MATCH($A333,球季參數!$A$2:$A$4,0)))</f>
        <v>5.63532608695652</v>
      </c>
      <c r="AE333" s="11" t="n">
        <f aca="false">IF(P333&gt;=INDEX(球季參數!$F$2:$F$4,MATCH($A333,球季參數!$A$2:$A$4,0)),1,0)</f>
        <v>0</v>
      </c>
    </row>
    <row r="334" customFormat="false" ht="15" hidden="false" customHeight="false" outlineLevel="0" collapsed="false">
      <c r="A334" s="5" t="n">
        <v>2025</v>
      </c>
      <c r="B334" s="7" t="s">
        <v>1063</v>
      </c>
      <c r="C334" s="10" t="str">
        <f aca="false">INDEX(球員主檔!$B$2:$B$749,MATCH($B334,球員主檔!$A$2:$A$749,0))</f>
        <v>Camilo Paszkiewicz</v>
      </c>
      <c r="D334" s="7" t="s">
        <v>354</v>
      </c>
      <c r="E334" s="10" t="str">
        <f aca="false">INDEX(球隊主檔!$C$2:$C$31,MATCH($D334,球隊主檔!$A$2:$A$31,0))</f>
        <v>坦帕灣光芒</v>
      </c>
      <c r="F334" s="10" t="str">
        <f aca="false">INDEX(球隊主檔!$D$2:$D$31,MATCH($D334,球隊主檔!$A$2:$A$31,0))</f>
        <v>美聯</v>
      </c>
      <c r="G334" s="7" t="s">
        <v>496</v>
      </c>
      <c r="H334" s="11" t="n">
        <f aca="false">INT((DATE($A334,7,1)-INDEX(球員主檔!$G$2:$G$749,MATCH($B334,球員主檔!$A$2:$A$749,0)))/365.25)</f>
        <v>32</v>
      </c>
      <c r="I334" s="12" t="n">
        <v>9</v>
      </c>
      <c r="J334" s="12" t="n">
        <v>7</v>
      </c>
      <c r="K334" s="12" t="n">
        <v>0</v>
      </c>
      <c r="L334" s="12" t="n">
        <v>0</v>
      </c>
      <c r="M334" s="12" t="n">
        <v>27</v>
      </c>
      <c r="N334" s="12" t="n">
        <v>27</v>
      </c>
      <c r="O334" s="12" t="n">
        <v>498</v>
      </c>
      <c r="P334" s="16" t="n">
        <f aca="false">O334/3</f>
        <v>166</v>
      </c>
      <c r="Q334" s="17" t="str">
        <f aca="false">INT(O334/3)&amp;"."&amp;MOD(O334,3)</f>
        <v>166.0</v>
      </c>
      <c r="R334" s="12" t="n">
        <v>133</v>
      </c>
      <c r="S334" s="12" t="n">
        <v>75</v>
      </c>
      <c r="T334" s="12" t="n">
        <v>75</v>
      </c>
      <c r="U334" s="12" t="n">
        <v>11</v>
      </c>
      <c r="V334" s="12" t="n">
        <v>52</v>
      </c>
      <c r="W334" s="12" t="n">
        <v>124</v>
      </c>
      <c r="X334" s="12" t="n">
        <v>5</v>
      </c>
      <c r="Y334" s="18" t="n">
        <f aca="false">IF(O334=0,0,T334*27/O334)</f>
        <v>4.06626506024096</v>
      </c>
      <c r="Z334" s="18" t="n">
        <f aca="false">IF(P334=0,0,(V334+R334)/P334)</f>
        <v>1.1144578313253</v>
      </c>
      <c r="AA334" s="18" t="n">
        <f aca="false">IF(O334=0,0,W334*27/O334)</f>
        <v>6.72289156626506</v>
      </c>
      <c r="AB334" s="18" t="n">
        <f aca="false">IF(O334=0,0,V334*27/O334)</f>
        <v>2.81927710843374</v>
      </c>
      <c r="AC334" s="18" t="n">
        <f aca="false">IF(V334=0,0,W334/V334)</f>
        <v>2.38461538461538</v>
      </c>
      <c r="AD334" s="18" t="n">
        <f aca="false">IF(P334=0,0,(13*U334+3*(V334+X334)-2*W334)/P334+INDEX(球季參數!$C$2:$C$4,MATCH($A334,球季參數!$A$2:$A$4,0)))</f>
        <v>3.49759036144578</v>
      </c>
      <c r="AE334" s="11" t="n">
        <f aca="false">IF(P334&gt;=INDEX(球季參數!$F$2:$F$4,MATCH($A334,球季參數!$A$2:$A$4,0)),1,0)</f>
        <v>1</v>
      </c>
    </row>
    <row r="335" customFormat="false" ht="15" hidden="false" customHeight="false" outlineLevel="0" collapsed="false">
      <c r="A335" s="5" t="n">
        <v>2025</v>
      </c>
      <c r="B335" s="7" t="s">
        <v>623</v>
      </c>
      <c r="C335" s="10" t="str">
        <f aca="false">INDEX(球員主檔!$B$2:$B$749,MATCH($B335,球員主檔!$A$2:$A$749,0))</f>
        <v>Alonso Lindquist</v>
      </c>
      <c r="D335" s="7" t="s">
        <v>354</v>
      </c>
      <c r="E335" s="10" t="str">
        <f aca="false">INDEX(球隊主檔!$C$2:$C$31,MATCH($D335,球隊主檔!$A$2:$A$31,0))</f>
        <v>坦帕灣光芒</v>
      </c>
      <c r="F335" s="10" t="str">
        <f aca="false">INDEX(球隊主檔!$D$2:$D$31,MATCH($D335,球隊主檔!$A$2:$A$31,0))</f>
        <v>美聯</v>
      </c>
      <c r="G335" s="7" t="s">
        <v>496</v>
      </c>
      <c r="H335" s="11" t="n">
        <f aca="false">INT((DATE($A335,7,1)-INDEX(球員主檔!$G$2:$G$749,MATCH($B335,球員主檔!$A$2:$A$749,0)))/365.25)</f>
        <v>27</v>
      </c>
      <c r="I335" s="12" t="n">
        <v>9</v>
      </c>
      <c r="J335" s="12" t="n">
        <v>9</v>
      </c>
      <c r="K335" s="12" t="n">
        <v>0</v>
      </c>
      <c r="L335" s="12" t="n">
        <v>0</v>
      </c>
      <c r="M335" s="12" t="n">
        <v>25</v>
      </c>
      <c r="N335" s="12" t="n">
        <v>25</v>
      </c>
      <c r="O335" s="12" t="n">
        <v>425</v>
      </c>
      <c r="P335" s="16" t="n">
        <f aca="false">O335/3</f>
        <v>141.666666666667</v>
      </c>
      <c r="Q335" s="17" t="str">
        <f aca="false">INT(O335/3)&amp;"."&amp;MOD(O335,3)</f>
        <v>141.2</v>
      </c>
      <c r="R335" s="12" t="n">
        <v>119</v>
      </c>
      <c r="S335" s="12" t="n">
        <v>87</v>
      </c>
      <c r="T335" s="12" t="n">
        <v>78</v>
      </c>
      <c r="U335" s="12" t="n">
        <v>21</v>
      </c>
      <c r="V335" s="12" t="n">
        <v>38</v>
      </c>
      <c r="W335" s="12" t="n">
        <v>124</v>
      </c>
      <c r="X335" s="12" t="n">
        <v>2</v>
      </c>
      <c r="Y335" s="18" t="n">
        <f aca="false">IF(O335=0,0,T335*27/O335)</f>
        <v>4.95529411764706</v>
      </c>
      <c r="Z335" s="18" t="n">
        <f aca="false">IF(P335=0,0,(V335+R335)/P335)</f>
        <v>1.10823529411765</v>
      </c>
      <c r="AA335" s="18" t="n">
        <f aca="false">IF(O335=0,0,W335*27/O335)</f>
        <v>7.87764705882353</v>
      </c>
      <c r="AB335" s="18" t="n">
        <f aca="false">IF(O335=0,0,V335*27/O335)</f>
        <v>2.41411764705882</v>
      </c>
      <c r="AC335" s="18" t="n">
        <f aca="false">IF(V335=0,0,W335/V335)</f>
        <v>3.26315789473684</v>
      </c>
      <c r="AD335" s="18" t="n">
        <f aca="false">IF(P335=0,0,(13*U335+3*(V335+X335)-2*W335)/P335+INDEX(球季參數!$C$2:$C$4,MATCH($A335,球季參數!$A$2:$A$4,0)))</f>
        <v>4.12352941176471</v>
      </c>
      <c r="AE335" s="11" t="n">
        <f aca="false">IF(P335&gt;=INDEX(球季參數!$F$2:$F$4,MATCH($A335,球季參數!$A$2:$A$4,0)),1,0)</f>
        <v>0</v>
      </c>
    </row>
    <row r="336" customFormat="false" ht="15" hidden="false" customHeight="false" outlineLevel="0" collapsed="false">
      <c r="A336" s="5" t="n">
        <v>2025</v>
      </c>
      <c r="B336" s="7" t="s">
        <v>625</v>
      </c>
      <c r="C336" s="10" t="str">
        <f aca="false">INDEX(球員主檔!$B$2:$B$749,MATCH($B336,球員主檔!$A$2:$A$749,0))</f>
        <v>Dimitri Gallimore</v>
      </c>
      <c r="D336" s="7" t="s">
        <v>354</v>
      </c>
      <c r="E336" s="10" t="str">
        <f aca="false">INDEX(球隊主檔!$C$2:$C$31,MATCH($D336,球隊主檔!$A$2:$A$31,0))</f>
        <v>坦帕灣光芒</v>
      </c>
      <c r="F336" s="10" t="str">
        <f aca="false">INDEX(球隊主檔!$D$2:$D$31,MATCH($D336,球隊主檔!$A$2:$A$31,0))</f>
        <v>美聯</v>
      </c>
      <c r="G336" s="7" t="s">
        <v>496</v>
      </c>
      <c r="H336" s="11" t="n">
        <f aca="false">INT((DATE($A336,7,1)-INDEX(球員主檔!$G$2:$G$749,MATCH($B336,球員主檔!$A$2:$A$749,0)))/365.25)</f>
        <v>31</v>
      </c>
      <c r="I336" s="12" t="n">
        <v>9</v>
      </c>
      <c r="J336" s="12" t="n">
        <v>3</v>
      </c>
      <c r="K336" s="12" t="n">
        <v>0</v>
      </c>
      <c r="L336" s="12" t="n">
        <v>0</v>
      </c>
      <c r="M336" s="12" t="n">
        <v>21</v>
      </c>
      <c r="N336" s="12" t="n">
        <v>21</v>
      </c>
      <c r="O336" s="12" t="n">
        <v>305</v>
      </c>
      <c r="P336" s="16" t="n">
        <f aca="false">O336/3</f>
        <v>101.666666666667</v>
      </c>
      <c r="Q336" s="17" t="str">
        <f aca="false">INT(O336/3)&amp;"."&amp;MOD(O336,3)</f>
        <v>101.2</v>
      </c>
      <c r="R336" s="12" t="n">
        <v>77</v>
      </c>
      <c r="S336" s="12" t="n">
        <v>33</v>
      </c>
      <c r="T336" s="12" t="n">
        <v>31</v>
      </c>
      <c r="U336" s="12" t="n">
        <v>12</v>
      </c>
      <c r="V336" s="12" t="n">
        <v>30</v>
      </c>
      <c r="W336" s="12" t="n">
        <v>123</v>
      </c>
      <c r="X336" s="12" t="n">
        <v>3</v>
      </c>
      <c r="Y336" s="18" t="n">
        <f aca="false">IF(O336=0,0,T336*27/O336)</f>
        <v>2.74426229508197</v>
      </c>
      <c r="Z336" s="18" t="n">
        <f aca="false">IF(P336=0,0,(V336+R336)/P336)</f>
        <v>1.05245901639344</v>
      </c>
      <c r="AA336" s="18" t="n">
        <f aca="false">IF(O336=0,0,W336*27/O336)</f>
        <v>10.8885245901639</v>
      </c>
      <c r="AB336" s="18" t="n">
        <f aca="false">IF(O336=0,0,V336*27/O336)</f>
        <v>2.65573770491803</v>
      </c>
      <c r="AC336" s="18" t="n">
        <f aca="false">IF(V336=0,0,W336/V336)</f>
        <v>4.1</v>
      </c>
      <c r="AD336" s="18" t="n">
        <f aca="false">IF(P336=0,0,(13*U336+3*(V336+X336)-2*W336)/P336+INDEX(球季參數!$C$2:$C$4,MATCH($A336,球季參數!$A$2:$A$4,0)))</f>
        <v>3.18852459016393</v>
      </c>
      <c r="AE336" s="11" t="n">
        <f aca="false">IF(P336&gt;=INDEX(球季參數!$F$2:$F$4,MATCH($A336,球季參數!$A$2:$A$4,0)),1,0)</f>
        <v>0</v>
      </c>
    </row>
    <row r="337" customFormat="false" ht="15" hidden="false" customHeight="false" outlineLevel="0" collapsed="false">
      <c r="A337" s="5" t="n">
        <v>2025</v>
      </c>
      <c r="B337" s="7" t="s">
        <v>627</v>
      </c>
      <c r="C337" s="10" t="str">
        <f aca="false">INDEX(球員主檔!$B$2:$B$749,MATCH($B337,球員主檔!$A$2:$A$749,0))</f>
        <v>Minjae Lindquist</v>
      </c>
      <c r="D337" s="7" t="s">
        <v>354</v>
      </c>
      <c r="E337" s="10" t="str">
        <f aca="false">INDEX(球隊主檔!$C$2:$C$31,MATCH($D337,球隊主檔!$A$2:$A$31,0))</f>
        <v>坦帕灣光芒</v>
      </c>
      <c r="F337" s="10" t="str">
        <f aca="false">INDEX(球隊主檔!$D$2:$D$31,MATCH($D337,球隊主檔!$A$2:$A$31,0))</f>
        <v>美聯</v>
      </c>
      <c r="G337" s="7" t="s">
        <v>507</v>
      </c>
      <c r="H337" s="11" t="n">
        <f aca="false">INT((DATE($A337,7,1)-INDEX(球員主檔!$G$2:$G$749,MATCH($B337,球員主檔!$A$2:$A$749,0)))/365.25)</f>
        <v>27</v>
      </c>
      <c r="I337" s="12" t="n">
        <v>5</v>
      </c>
      <c r="J337" s="12" t="n">
        <v>6</v>
      </c>
      <c r="K337" s="12" t="n">
        <v>42</v>
      </c>
      <c r="L337" s="12" t="n">
        <v>4</v>
      </c>
      <c r="M337" s="12" t="n">
        <v>54</v>
      </c>
      <c r="N337" s="12" t="n">
        <v>0</v>
      </c>
      <c r="O337" s="12" t="n">
        <v>146</v>
      </c>
      <c r="P337" s="16" t="n">
        <f aca="false">O337/3</f>
        <v>48.6666666666667</v>
      </c>
      <c r="Q337" s="17" t="str">
        <f aca="false">INT(O337/3)&amp;"."&amp;MOD(O337,3)</f>
        <v>48.2</v>
      </c>
      <c r="R337" s="12" t="n">
        <v>35</v>
      </c>
      <c r="S337" s="12" t="n">
        <v>17</v>
      </c>
      <c r="T337" s="12" t="n">
        <v>17</v>
      </c>
      <c r="U337" s="12" t="n">
        <v>7</v>
      </c>
      <c r="V337" s="12" t="n">
        <v>18</v>
      </c>
      <c r="W337" s="12" t="n">
        <v>60</v>
      </c>
      <c r="X337" s="12" t="n">
        <v>1</v>
      </c>
      <c r="Y337" s="18" t="n">
        <f aca="false">IF(O337=0,0,T337*27/O337)</f>
        <v>3.14383561643836</v>
      </c>
      <c r="Z337" s="18" t="n">
        <f aca="false">IF(P337=0,0,(V337+R337)/P337)</f>
        <v>1.08904109589041</v>
      </c>
      <c r="AA337" s="18" t="n">
        <f aca="false">IF(O337=0,0,W337*27/O337)</f>
        <v>11.0958904109589</v>
      </c>
      <c r="AB337" s="18" t="n">
        <f aca="false">IF(O337=0,0,V337*27/O337)</f>
        <v>3.32876712328767</v>
      </c>
      <c r="AC337" s="18" t="n">
        <f aca="false">IF(V337=0,0,W337/V337)</f>
        <v>3.33333333333333</v>
      </c>
      <c r="AD337" s="18" t="n">
        <f aca="false">IF(P337=0,0,(13*U337+3*(V337+X337)-2*W337)/P337+INDEX(球季參數!$C$2:$C$4,MATCH($A337,球季參數!$A$2:$A$4,0)))</f>
        <v>3.67534246575343</v>
      </c>
      <c r="AE337" s="11" t="n">
        <f aca="false">IF(P337&gt;=INDEX(球季參數!$F$2:$F$4,MATCH($A337,球季參數!$A$2:$A$4,0)),1,0)</f>
        <v>0</v>
      </c>
    </row>
    <row r="338" customFormat="false" ht="15" hidden="false" customHeight="false" outlineLevel="0" collapsed="false">
      <c r="A338" s="5" t="n">
        <v>2025</v>
      </c>
      <c r="B338" s="7" t="s">
        <v>629</v>
      </c>
      <c r="C338" s="10" t="str">
        <f aca="false">INDEX(球員主檔!$B$2:$B$749,MATCH($B338,球員主檔!$A$2:$A$749,0))</f>
        <v>Wendell Yoshinaga</v>
      </c>
      <c r="D338" s="7" t="s">
        <v>354</v>
      </c>
      <c r="E338" s="10" t="str">
        <f aca="false">INDEX(球隊主檔!$C$2:$C$31,MATCH($D338,球隊主檔!$A$2:$A$31,0))</f>
        <v>坦帕灣光芒</v>
      </c>
      <c r="F338" s="10" t="str">
        <f aca="false">INDEX(球隊主檔!$D$2:$D$31,MATCH($D338,球隊主檔!$A$2:$A$31,0))</f>
        <v>美聯</v>
      </c>
      <c r="G338" s="7" t="s">
        <v>507</v>
      </c>
      <c r="H338" s="11" t="n">
        <f aca="false">INT((DATE($A338,7,1)-INDEX(球員主檔!$G$2:$G$749,MATCH($B338,球員主檔!$A$2:$A$749,0)))/365.25)</f>
        <v>25</v>
      </c>
      <c r="I338" s="12" t="n">
        <v>6</v>
      </c>
      <c r="J338" s="12" t="n">
        <v>5</v>
      </c>
      <c r="K338" s="12" t="n">
        <v>1</v>
      </c>
      <c r="L338" s="12" t="n">
        <v>13</v>
      </c>
      <c r="M338" s="12" t="n">
        <v>56</v>
      </c>
      <c r="N338" s="12" t="n">
        <v>0</v>
      </c>
      <c r="O338" s="12" t="n">
        <v>171</v>
      </c>
      <c r="P338" s="16" t="n">
        <f aca="false">O338/3</f>
        <v>57</v>
      </c>
      <c r="Q338" s="17" t="str">
        <f aca="false">INT(O338/3)&amp;"."&amp;MOD(O338,3)</f>
        <v>57.0</v>
      </c>
      <c r="R338" s="12" t="n">
        <v>47</v>
      </c>
      <c r="S338" s="12" t="n">
        <v>28</v>
      </c>
      <c r="T338" s="12" t="n">
        <v>25</v>
      </c>
      <c r="U338" s="12" t="n">
        <v>4</v>
      </c>
      <c r="V338" s="12" t="n">
        <v>30</v>
      </c>
      <c r="W338" s="12" t="n">
        <v>69</v>
      </c>
      <c r="X338" s="12" t="n">
        <v>3</v>
      </c>
      <c r="Y338" s="18" t="n">
        <f aca="false">IF(O338=0,0,T338*27/O338)</f>
        <v>3.94736842105263</v>
      </c>
      <c r="Z338" s="18" t="n">
        <f aca="false">IF(P338=0,0,(V338+R338)/P338)</f>
        <v>1.35087719298246</v>
      </c>
      <c r="AA338" s="18" t="n">
        <f aca="false">IF(O338=0,0,W338*27/O338)</f>
        <v>10.8947368421053</v>
      </c>
      <c r="AB338" s="18" t="n">
        <f aca="false">IF(O338=0,0,V338*27/O338)</f>
        <v>4.73684210526316</v>
      </c>
      <c r="AC338" s="18" t="n">
        <f aca="false">IF(V338=0,0,W338/V338)</f>
        <v>2.3</v>
      </c>
      <c r="AD338" s="18" t="n">
        <f aca="false">IF(P338=0,0,(13*U338+3*(V338+X338)-2*W338)/P338+INDEX(球季參數!$C$2:$C$4,MATCH($A338,球季參數!$A$2:$A$4,0)))</f>
        <v>3.3280701754386</v>
      </c>
      <c r="AE338" s="11" t="n">
        <f aca="false">IF(P338&gt;=INDEX(球季參數!$F$2:$F$4,MATCH($A338,球季參數!$A$2:$A$4,0)),1,0)</f>
        <v>0</v>
      </c>
    </row>
    <row r="339" customFormat="false" ht="15" hidden="false" customHeight="false" outlineLevel="0" collapsed="false">
      <c r="A339" s="5" t="n">
        <v>2025</v>
      </c>
      <c r="B339" s="7" t="s">
        <v>631</v>
      </c>
      <c r="C339" s="10" t="str">
        <f aca="false">INDEX(球員主檔!$B$2:$B$749,MATCH($B339,球員主檔!$A$2:$A$749,0))</f>
        <v>Osvaldo Caldera</v>
      </c>
      <c r="D339" s="7" t="s">
        <v>354</v>
      </c>
      <c r="E339" s="10" t="str">
        <f aca="false">INDEX(球隊主檔!$C$2:$C$31,MATCH($D339,球隊主檔!$A$2:$A$31,0))</f>
        <v>坦帕灣光芒</v>
      </c>
      <c r="F339" s="10" t="str">
        <f aca="false">INDEX(球隊主檔!$D$2:$D$31,MATCH($D339,球隊主檔!$A$2:$A$31,0))</f>
        <v>美聯</v>
      </c>
      <c r="G339" s="7" t="s">
        <v>507</v>
      </c>
      <c r="H339" s="11" t="n">
        <f aca="false">INT((DATE($A339,7,1)-INDEX(球員主檔!$G$2:$G$749,MATCH($B339,球員主檔!$A$2:$A$749,0)))/365.25)</f>
        <v>32</v>
      </c>
      <c r="I339" s="12" t="n">
        <v>8</v>
      </c>
      <c r="J339" s="12" t="n">
        <v>7</v>
      </c>
      <c r="K339" s="12" t="n">
        <v>6</v>
      </c>
      <c r="L339" s="12" t="n">
        <v>12</v>
      </c>
      <c r="M339" s="12" t="n">
        <v>38</v>
      </c>
      <c r="N339" s="12" t="n">
        <v>0</v>
      </c>
      <c r="O339" s="12" t="n">
        <v>114</v>
      </c>
      <c r="P339" s="16" t="n">
        <f aca="false">O339/3</f>
        <v>38</v>
      </c>
      <c r="Q339" s="17" t="str">
        <f aca="false">INT(O339/3)&amp;"."&amp;MOD(O339,3)</f>
        <v>38.0</v>
      </c>
      <c r="R339" s="12" t="n">
        <v>33</v>
      </c>
      <c r="S339" s="12" t="n">
        <v>20</v>
      </c>
      <c r="T339" s="12" t="n">
        <v>18</v>
      </c>
      <c r="U339" s="12" t="n">
        <v>8</v>
      </c>
      <c r="V339" s="12" t="n">
        <v>6</v>
      </c>
      <c r="W339" s="12" t="n">
        <v>58</v>
      </c>
      <c r="X339" s="12" t="n">
        <v>1</v>
      </c>
      <c r="Y339" s="18" t="n">
        <f aca="false">IF(O339=0,0,T339*27/O339)</f>
        <v>4.26315789473684</v>
      </c>
      <c r="Z339" s="18" t="n">
        <f aca="false">IF(P339=0,0,(V339+R339)/P339)</f>
        <v>1.02631578947368</v>
      </c>
      <c r="AA339" s="18" t="n">
        <f aca="false">IF(O339=0,0,W339*27/O339)</f>
        <v>13.7368421052632</v>
      </c>
      <c r="AB339" s="18" t="n">
        <f aca="false">IF(O339=0,0,V339*27/O339)</f>
        <v>1.42105263157895</v>
      </c>
      <c r="AC339" s="18" t="n">
        <f aca="false">IF(V339=0,0,W339/V339)</f>
        <v>9.66666666666667</v>
      </c>
      <c r="AD339" s="18" t="n">
        <f aca="false">IF(P339=0,0,(13*U339+3*(V339+X339)-2*W339)/P339+INDEX(球季參數!$C$2:$C$4,MATCH($A339,球季參數!$A$2:$A$4,0)))</f>
        <v>3.33684210526316</v>
      </c>
      <c r="AE339" s="11" t="n">
        <f aca="false">IF(P339&gt;=INDEX(球季參數!$F$2:$F$4,MATCH($A339,球季參數!$A$2:$A$4,0)),1,0)</f>
        <v>0</v>
      </c>
    </row>
    <row r="340" customFormat="false" ht="15" hidden="false" customHeight="false" outlineLevel="0" collapsed="false">
      <c r="A340" s="5" t="n">
        <v>2025</v>
      </c>
      <c r="B340" s="7" t="s">
        <v>633</v>
      </c>
      <c r="C340" s="10" t="str">
        <f aca="false">INDEX(球員主檔!$B$2:$B$749,MATCH($B340,球員主檔!$A$2:$A$749,0))</f>
        <v>Dorian Zamarripa</v>
      </c>
      <c r="D340" s="7" t="s">
        <v>354</v>
      </c>
      <c r="E340" s="10" t="str">
        <f aca="false">INDEX(球隊主檔!$C$2:$C$31,MATCH($D340,球隊主檔!$A$2:$A$31,0))</f>
        <v>坦帕灣光芒</v>
      </c>
      <c r="F340" s="10" t="str">
        <f aca="false">INDEX(球隊主檔!$D$2:$D$31,MATCH($D340,球隊主檔!$A$2:$A$31,0))</f>
        <v>美聯</v>
      </c>
      <c r="G340" s="7" t="s">
        <v>507</v>
      </c>
      <c r="H340" s="11" t="n">
        <f aca="false">INT((DATE($A340,7,1)-INDEX(球員主檔!$G$2:$G$749,MATCH($B340,球員主檔!$A$2:$A$749,0)))/365.25)</f>
        <v>28</v>
      </c>
      <c r="I340" s="12" t="n">
        <v>3</v>
      </c>
      <c r="J340" s="12" t="n">
        <v>0</v>
      </c>
      <c r="K340" s="12" t="n">
        <v>0</v>
      </c>
      <c r="L340" s="12" t="n">
        <v>21</v>
      </c>
      <c r="M340" s="12" t="n">
        <v>71</v>
      </c>
      <c r="N340" s="12" t="n">
        <v>0</v>
      </c>
      <c r="O340" s="12" t="n">
        <v>191</v>
      </c>
      <c r="P340" s="16" t="n">
        <f aca="false">O340/3</f>
        <v>63.6666666666667</v>
      </c>
      <c r="Q340" s="17" t="str">
        <f aca="false">INT(O340/3)&amp;"."&amp;MOD(O340,3)</f>
        <v>63.2</v>
      </c>
      <c r="R340" s="12" t="n">
        <v>61</v>
      </c>
      <c r="S340" s="12" t="n">
        <v>45</v>
      </c>
      <c r="T340" s="12" t="n">
        <v>40</v>
      </c>
      <c r="U340" s="12" t="n">
        <v>9</v>
      </c>
      <c r="V340" s="12" t="n">
        <v>22</v>
      </c>
      <c r="W340" s="12" t="n">
        <v>64</v>
      </c>
      <c r="X340" s="12" t="n">
        <v>2</v>
      </c>
      <c r="Y340" s="18" t="n">
        <f aca="false">IF(O340=0,0,T340*27/O340)</f>
        <v>5.65445026178011</v>
      </c>
      <c r="Z340" s="18" t="n">
        <f aca="false">IF(P340=0,0,(V340+R340)/P340)</f>
        <v>1.30366492146597</v>
      </c>
      <c r="AA340" s="18" t="n">
        <f aca="false">IF(O340=0,0,W340*27/O340)</f>
        <v>9.04712041884817</v>
      </c>
      <c r="AB340" s="18" t="n">
        <f aca="false">IF(O340=0,0,V340*27/O340)</f>
        <v>3.10994764397906</v>
      </c>
      <c r="AC340" s="18" t="n">
        <f aca="false">IF(V340=0,0,W340/V340)</f>
        <v>2.90909090909091</v>
      </c>
      <c r="AD340" s="18" t="n">
        <f aca="false">IF(P340=0,0,(13*U340+3*(V340+X340)-2*W340)/P340+INDEX(球季參數!$C$2:$C$4,MATCH($A340,球季參數!$A$2:$A$4,0)))</f>
        <v>4.05811518324607</v>
      </c>
      <c r="AE340" s="11" t="n">
        <f aca="false">IF(P340&gt;=INDEX(球季參數!$F$2:$F$4,MATCH($A340,球季參數!$A$2:$A$4,0)),1,0)</f>
        <v>0</v>
      </c>
    </row>
    <row r="341" customFormat="false" ht="15" hidden="false" customHeight="false" outlineLevel="0" collapsed="false">
      <c r="A341" s="5" t="n">
        <v>2025</v>
      </c>
      <c r="B341" s="7" t="s">
        <v>635</v>
      </c>
      <c r="C341" s="10" t="str">
        <f aca="false">INDEX(球員主檔!$B$2:$B$749,MATCH($B341,球員主檔!$A$2:$A$749,0))</f>
        <v>Thaddeus Vasquez</v>
      </c>
      <c r="D341" s="7" t="s">
        <v>354</v>
      </c>
      <c r="E341" s="10" t="str">
        <f aca="false">INDEX(球隊主檔!$C$2:$C$31,MATCH($D341,球隊主檔!$A$2:$A$31,0))</f>
        <v>坦帕灣光芒</v>
      </c>
      <c r="F341" s="10" t="str">
        <f aca="false">INDEX(球隊主檔!$D$2:$D$31,MATCH($D341,球隊主檔!$A$2:$A$31,0))</f>
        <v>美聯</v>
      </c>
      <c r="G341" s="7" t="s">
        <v>507</v>
      </c>
      <c r="H341" s="11" t="n">
        <f aca="false">INT((DATE($A341,7,1)-INDEX(球員主檔!$G$2:$G$749,MATCH($B341,球員主檔!$A$2:$A$749,0)))/365.25)</f>
        <v>28</v>
      </c>
      <c r="I341" s="12" t="n">
        <v>7</v>
      </c>
      <c r="J341" s="12" t="n">
        <v>6</v>
      </c>
      <c r="K341" s="12" t="n">
        <v>2</v>
      </c>
      <c r="L341" s="12" t="n">
        <v>11</v>
      </c>
      <c r="M341" s="12" t="n">
        <v>61</v>
      </c>
      <c r="N341" s="12" t="n">
        <v>0</v>
      </c>
      <c r="O341" s="12" t="n">
        <v>203</v>
      </c>
      <c r="P341" s="16" t="n">
        <f aca="false">O341/3</f>
        <v>67.6666666666667</v>
      </c>
      <c r="Q341" s="17" t="str">
        <f aca="false">INT(O341/3)&amp;"."&amp;MOD(O341,3)</f>
        <v>67.2</v>
      </c>
      <c r="R341" s="12" t="n">
        <v>59</v>
      </c>
      <c r="S341" s="12" t="n">
        <v>30</v>
      </c>
      <c r="T341" s="12" t="n">
        <v>30</v>
      </c>
      <c r="U341" s="12" t="n">
        <v>10</v>
      </c>
      <c r="V341" s="12" t="n">
        <v>28</v>
      </c>
      <c r="W341" s="12" t="n">
        <v>65</v>
      </c>
      <c r="X341" s="12" t="n">
        <v>3</v>
      </c>
      <c r="Y341" s="18" t="n">
        <f aca="false">IF(O341=0,0,T341*27/O341)</f>
        <v>3.99014778325123</v>
      </c>
      <c r="Z341" s="18" t="n">
        <f aca="false">IF(P341=0,0,(V341+R341)/P341)</f>
        <v>1.28571428571429</v>
      </c>
      <c r="AA341" s="18" t="n">
        <f aca="false">IF(O341=0,0,W341*27/O341)</f>
        <v>8.64532019704434</v>
      </c>
      <c r="AB341" s="18" t="n">
        <f aca="false">IF(O341=0,0,V341*27/O341)</f>
        <v>3.72413793103448</v>
      </c>
      <c r="AC341" s="18" t="n">
        <f aca="false">IF(V341=0,0,W341/V341)</f>
        <v>2.32142857142857</v>
      </c>
      <c r="AD341" s="18" t="n">
        <f aca="false">IF(P341=0,0,(13*U341+3*(V341+X341)-2*W341)/P341+INDEX(球季參數!$C$2:$C$4,MATCH($A341,球季參數!$A$2:$A$4,0)))</f>
        <v>4.4743842364532</v>
      </c>
      <c r="AE341" s="11" t="n">
        <f aca="false">IF(P341&gt;=INDEX(球季參數!$F$2:$F$4,MATCH($A341,球季參數!$A$2:$A$4,0)),1,0)</f>
        <v>0</v>
      </c>
    </row>
    <row r="342" customFormat="false" ht="15" hidden="false" customHeight="false" outlineLevel="0" collapsed="false">
      <c r="A342" s="5" t="n">
        <v>2025</v>
      </c>
      <c r="B342" s="7" t="s">
        <v>657</v>
      </c>
      <c r="C342" s="10" t="str">
        <f aca="false">INDEX(球員主檔!$B$2:$B$749,MATCH($B342,球員主檔!$A$2:$A$749,0))</f>
        <v>Dashiell Tremblay</v>
      </c>
      <c r="D342" s="7" t="s">
        <v>358</v>
      </c>
      <c r="E342" s="10" t="str">
        <f aca="false">INDEX(球隊主檔!$C$2:$C$31,MATCH($D342,球隊主檔!$A$2:$A$31,0))</f>
        <v>多倫多藍鳥</v>
      </c>
      <c r="F342" s="10" t="str">
        <f aca="false">INDEX(球隊主檔!$D$2:$D$31,MATCH($D342,球隊主檔!$A$2:$A$31,0))</f>
        <v>美聯</v>
      </c>
      <c r="G342" s="7" t="s">
        <v>496</v>
      </c>
      <c r="H342" s="11" t="n">
        <f aca="false">INT((DATE($A342,7,1)-INDEX(球員主檔!$G$2:$G$749,MATCH($B342,球員主檔!$A$2:$A$749,0)))/365.25)</f>
        <v>29</v>
      </c>
      <c r="I342" s="12" t="n">
        <v>7</v>
      </c>
      <c r="J342" s="12" t="n">
        <v>6</v>
      </c>
      <c r="K342" s="12" t="n">
        <v>0</v>
      </c>
      <c r="L342" s="12" t="n">
        <v>0</v>
      </c>
      <c r="M342" s="12" t="n">
        <v>22</v>
      </c>
      <c r="N342" s="12" t="n">
        <v>22</v>
      </c>
      <c r="O342" s="12" t="n">
        <v>387</v>
      </c>
      <c r="P342" s="16" t="n">
        <f aca="false">O342/3</f>
        <v>129</v>
      </c>
      <c r="Q342" s="17" t="str">
        <f aca="false">INT(O342/3)&amp;"."&amp;MOD(O342,3)</f>
        <v>129.0</v>
      </c>
      <c r="R342" s="12" t="n">
        <v>111</v>
      </c>
      <c r="S342" s="12" t="n">
        <v>80</v>
      </c>
      <c r="T342" s="12" t="n">
        <v>75</v>
      </c>
      <c r="U342" s="12" t="n">
        <v>24</v>
      </c>
      <c r="V342" s="12" t="n">
        <v>44</v>
      </c>
      <c r="W342" s="12" t="n">
        <v>103</v>
      </c>
      <c r="X342" s="12" t="n">
        <v>6</v>
      </c>
      <c r="Y342" s="18" t="n">
        <f aca="false">IF(O342=0,0,T342*27/O342)</f>
        <v>5.23255813953488</v>
      </c>
      <c r="Z342" s="18" t="n">
        <f aca="false">IF(P342=0,0,(V342+R342)/P342)</f>
        <v>1.2015503875969</v>
      </c>
      <c r="AA342" s="18" t="n">
        <f aca="false">IF(O342=0,0,W342*27/O342)</f>
        <v>7.18604651162791</v>
      </c>
      <c r="AB342" s="18" t="n">
        <f aca="false">IF(O342=0,0,V342*27/O342)</f>
        <v>3.06976744186047</v>
      </c>
      <c r="AC342" s="18" t="n">
        <f aca="false">IF(V342=0,0,W342/V342)</f>
        <v>2.34090909090909</v>
      </c>
      <c r="AD342" s="18" t="n">
        <f aca="false">IF(P342=0,0,(13*U342+3*(V342+X342)-2*W342)/P342+INDEX(球季參數!$C$2:$C$4,MATCH($A342,球季參數!$A$2:$A$4,0)))</f>
        <v>5.08449612403101</v>
      </c>
      <c r="AE342" s="11" t="n">
        <f aca="false">IF(P342&gt;=INDEX(球季參數!$F$2:$F$4,MATCH($A342,球季參數!$A$2:$A$4,0)),1,0)</f>
        <v>0</v>
      </c>
    </row>
    <row r="343" customFormat="false" ht="15" hidden="false" customHeight="false" outlineLevel="0" collapsed="false">
      <c r="A343" s="5" t="n">
        <v>2025</v>
      </c>
      <c r="B343" s="7" t="s">
        <v>1695</v>
      </c>
      <c r="C343" s="10" t="str">
        <f aca="false">INDEX(球員主檔!$B$2:$B$749,MATCH($B343,球員主檔!$A$2:$A$749,0))</f>
        <v>Mateo Ostrowski</v>
      </c>
      <c r="D343" s="7" t="s">
        <v>358</v>
      </c>
      <c r="E343" s="10" t="str">
        <f aca="false">INDEX(球隊主檔!$C$2:$C$31,MATCH($D343,球隊主檔!$A$2:$A$31,0))</f>
        <v>多倫多藍鳥</v>
      </c>
      <c r="F343" s="10" t="str">
        <f aca="false">INDEX(球隊主檔!$D$2:$D$31,MATCH($D343,球隊主檔!$A$2:$A$31,0))</f>
        <v>美聯</v>
      </c>
      <c r="G343" s="7" t="s">
        <v>496</v>
      </c>
      <c r="H343" s="11" t="n">
        <f aca="false">INT((DATE($A343,7,1)-INDEX(球員主檔!$G$2:$G$749,MATCH($B343,球員主檔!$A$2:$A$749,0)))/365.25)</f>
        <v>22</v>
      </c>
      <c r="I343" s="12" t="n">
        <v>10</v>
      </c>
      <c r="J343" s="12" t="n">
        <v>5</v>
      </c>
      <c r="K343" s="12" t="n">
        <v>0</v>
      </c>
      <c r="L343" s="12" t="n">
        <v>0</v>
      </c>
      <c r="M343" s="12" t="n">
        <v>24</v>
      </c>
      <c r="N343" s="12" t="n">
        <v>24</v>
      </c>
      <c r="O343" s="12" t="n">
        <v>360</v>
      </c>
      <c r="P343" s="16" t="n">
        <f aca="false">O343/3</f>
        <v>120</v>
      </c>
      <c r="Q343" s="17" t="str">
        <f aca="false">INT(O343/3)&amp;"."&amp;MOD(O343,3)</f>
        <v>120.0</v>
      </c>
      <c r="R343" s="12" t="n">
        <v>101</v>
      </c>
      <c r="S343" s="12" t="n">
        <v>48</v>
      </c>
      <c r="T343" s="12" t="n">
        <v>48</v>
      </c>
      <c r="U343" s="12" t="n">
        <v>5</v>
      </c>
      <c r="V343" s="12" t="n">
        <v>36</v>
      </c>
      <c r="W343" s="12" t="n">
        <v>131</v>
      </c>
      <c r="X343" s="12" t="n">
        <v>5</v>
      </c>
      <c r="Y343" s="18" t="n">
        <f aca="false">IF(O343=0,0,T343*27/O343)</f>
        <v>3.6</v>
      </c>
      <c r="Z343" s="18" t="n">
        <f aca="false">IF(P343=0,0,(V343+R343)/P343)</f>
        <v>1.14166666666667</v>
      </c>
      <c r="AA343" s="18" t="n">
        <f aca="false">IF(O343=0,0,W343*27/O343)</f>
        <v>9.825</v>
      </c>
      <c r="AB343" s="18" t="n">
        <f aca="false">IF(O343=0,0,V343*27/O343)</f>
        <v>2.7</v>
      </c>
      <c r="AC343" s="18" t="n">
        <f aca="false">IF(V343=0,0,W343/V343)</f>
        <v>3.63888888888889</v>
      </c>
      <c r="AD343" s="18" t="n">
        <f aca="false">IF(P343=0,0,(13*U343+3*(V343+X343)-2*W343)/P343+INDEX(球季參數!$C$2:$C$4,MATCH($A343,球季參數!$A$2:$A$4,0)))</f>
        <v>2.48333333333333</v>
      </c>
      <c r="AE343" s="11" t="n">
        <f aca="false">IF(P343&gt;=INDEX(球季參數!$F$2:$F$4,MATCH($A343,球季參數!$A$2:$A$4,0)),1,0)</f>
        <v>0</v>
      </c>
    </row>
    <row r="344" customFormat="false" ht="15" hidden="false" customHeight="false" outlineLevel="0" collapsed="false">
      <c r="A344" s="5" t="n">
        <v>2025</v>
      </c>
      <c r="B344" s="7" t="s">
        <v>661</v>
      </c>
      <c r="C344" s="10" t="str">
        <f aca="false">INDEX(球員主檔!$B$2:$B$749,MATCH($B344,球員主檔!$A$2:$A$749,0))</f>
        <v>Joaquín Vandermeer</v>
      </c>
      <c r="D344" s="7" t="s">
        <v>358</v>
      </c>
      <c r="E344" s="10" t="str">
        <f aca="false">INDEX(球隊主檔!$C$2:$C$31,MATCH($D344,球隊主檔!$A$2:$A$31,0))</f>
        <v>多倫多藍鳥</v>
      </c>
      <c r="F344" s="10" t="str">
        <f aca="false">INDEX(球隊主檔!$D$2:$D$31,MATCH($D344,球隊主檔!$A$2:$A$31,0))</f>
        <v>美聯</v>
      </c>
      <c r="G344" s="7" t="s">
        <v>496</v>
      </c>
      <c r="H344" s="11" t="n">
        <f aca="false">INT((DATE($A344,7,1)-INDEX(球員主檔!$G$2:$G$749,MATCH($B344,球員主檔!$A$2:$A$749,0)))/365.25)</f>
        <v>25</v>
      </c>
      <c r="I344" s="12" t="n">
        <v>13</v>
      </c>
      <c r="J344" s="12" t="n">
        <v>8</v>
      </c>
      <c r="K344" s="12" t="n">
        <v>0</v>
      </c>
      <c r="L344" s="12" t="n">
        <v>0</v>
      </c>
      <c r="M344" s="12" t="n">
        <v>33</v>
      </c>
      <c r="N344" s="12" t="n">
        <v>33</v>
      </c>
      <c r="O344" s="12" t="n">
        <v>591</v>
      </c>
      <c r="P344" s="16" t="n">
        <f aca="false">O344/3</f>
        <v>197</v>
      </c>
      <c r="Q344" s="17" t="str">
        <f aca="false">INT(O344/3)&amp;"."&amp;MOD(O344,3)</f>
        <v>197.0</v>
      </c>
      <c r="R344" s="12" t="n">
        <v>169</v>
      </c>
      <c r="S344" s="12" t="n">
        <v>89</v>
      </c>
      <c r="T344" s="12" t="n">
        <v>83</v>
      </c>
      <c r="U344" s="12" t="n">
        <v>23</v>
      </c>
      <c r="V344" s="12" t="n">
        <v>86</v>
      </c>
      <c r="W344" s="12" t="n">
        <v>246</v>
      </c>
      <c r="X344" s="12" t="n">
        <v>10</v>
      </c>
      <c r="Y344" s="18" t="n">
        <f aca="false">IF(O344=0,0,T344*27/O344)</f>
        <v>3.79187817258883</v>
      </c>
      <c r="Z344" s="18" t="n">
        <f aca="false">IF(P344=0,0,(V344+R344)/P344)</f>
        <v>1.29441624365482</v>
      </c>
      <c r="AA344" s="18" t="n">
        <f aca="false">IF(O344=0,0,W344*27/O344)</f>
        <v>11.238578680203</v>
      </c>
      <c r="AB344" s="18" t="n">
        <f aca="false">IF(O344=0,0,V344*27/O344)</f>
        <v>3.92893401015228</v>
      </c>
      <c r="AC344" s="18" t="n">
        <f aca="false">IF(V344=0,0,W344/V344)</f>
        <v>2.86046511627907</v>
      </c>
      <c r="AD344" s="18" t="n">
        <f aca="false">IF(P344=0,0,(13*U344+3*(V344+X344)-2*W344)/P344+INDEX(球季參數!$C$2:$C$4,MATCH($A344,球季參數!$A$2:$A$4,0)))</f>
        <v>3.58223350253807</v>
      </c>
      <c r="AE344" s="11" t="n">
        <f aca="false">IF(P344&gt;=INDEX(球季參數!$F$2:$F$4,MATCH($A344,球季參數!$A$2:$A$4,0)),1,0)</f>
        <v>1</v>
      </c>
    </row>
    <row r="345" customFormat="false" ht="15" hidden="false" customHeight="false" outlineLevel="0" collapsed="false">
      <c r="A345" s="5" t="n">
        <v>2025</v>
      </c>
      <c r="B345" s="7" t="s">
        <v>663</v>
      </c>
      <c r="C345" s="10" t="str">
        <f aca="false">INDEX(球員主檔!$B$2:$B$749,MATCH($B345,球員主檔!$A$2:$A$749,0))</f>
        <v>Niklas Cavanaugh</v>
      </c>
      <c r="D345" s="7" t="s">
        <v>358</v>
      </c>
      <c r="E345" s="10" t="str">
        <f aca="false">INDEX(球隊主檔!$C$2:$C$31,MATCH($D345,球隊主檔!$A$2:$A$31,0))</f>
        <v>多倫多藍鳥</v>
      </c>
      <c r="F345" s="10" t="str">
        <f aca="false">INDEX(球隊主檔!$D$2:$D$31,MATCH($D345,球隊主檔!$A$2:$A$31,0))</f>
        <v>美聯</v>
      </c>
      <c r="G345" s="7" t="s">
        <v>496</v>
      </c>
      <c r="H345" s="11" t="n">
        <f aca="false">INT((DATE($A345,7,1)-INDEX(球員主檔!$G$2:$G$749,MATCH($B345,球員主檔!$A$2:$A$749,0)))/365.25)</f>
        <v>28</v>
      </c>
      <c r="I345" s="12" t="n">
        <v>8</v>
      </c>
      <c r="J345" s="12" t="n">
        <v>4</v>
      </c>
      <c r="K345" s="12" t="n">
        <v>0</v>
      </c>
      <c r="L345" s="12" t="n">
        <v>0</v>
      </c>
      <c r="M345" s="12" t="n">
        <v>21</v>
      </c>
      <c r="N345" s="12" t="n">
        <v>21</v>
      </c>
      <c r="O345" s="12" t="n">
        <v>394</v>
      </c>
      <c r="P345" s="16" t="n">
        <f aca="false">O345/3</f>
        <v>131.333333333333</v>
      </c>
      <c r="Q345" s="17" t="str">
        <f aca="false">INT(O345/3)&amp;"."&amp;MOD(O345,3)</f>
        <v>131.1</v>
      </c>
      <c r="R345" s="12" t="n">
        <v>108</v>
      </c>
      <c r="S345" s="12" t="n">
        <v>55</v>
      </c>
      <c r="T345" s="12" t="n">
        <v>52</v>
      </c>
      <c r="U345" s="12" t="n">
        <v>13</v>
      </c>
      <c r="V345" s="12" t="n">
        <v>56</v>
      </c>
      <c r="W345" s="12" t="n">
        <v>184</v>
      </c>
      <c r="X345" s="12" t="n">
        <v>6</v>
      </c>
      <c r="Y345" s="18" t="n">
        <f aca="false">IF(O345=0,0,T345*27/O345)</f>
        <v>3.56345177664975</v>
      </c>
      <c r="Z345" s="18" t="n">
        <f aca="false">IF(P345=0,0,(V345+R345)/P345)</f>
        <v>1.24873096446701</v>
      </c>
      <c r="AA345" s="18" t="n">
        <f aca="false">IF(O345=0,0,W345*27/O345)</f>
        <v>12.6091370558376</v>
      </c>
      <c r="AB345" s="18" t="n">
        <f aca="false">IF(O345=0,0,V345*27/O345)</f>
        <v>3.83756345177665</v>
      </c>
      <c r="AC345" s="18" t="n">
        <f aca="false">IF(V345=0,0,W345/V345)</f>
        <v>3.28571428571429</v>
      </c>
      <c r="AD345" s="18" t="n">
        <f aca="false">IF(P345=0,0,(13*U345+3*(V345+X345)-2*W345)/P345+INDEX(球季參數!$C$2:$C$4,MATCH($A345,球季參數!$A$2:$A$4,0)))</f>
        <v>3.0010152284264</v>
      </c>
      <c r="AE345" s="11" t="n">
        <f aca="false">IF(P345&gt;=INDEX(球季參數!$F$2:$F$4,MATCH($A345,球季參數!$A$2:$A$4,0)),1,0)</f>
        <v>0</v>
      </c>
    </row>
    <row r="346" customFormat="false" ht="15" hidden="false" customHeight="false" outlineLevel="0" collapsed="false">
      <c r="A346" s="5" t="n">
        <v>2025</v>
      </c>
      <c r="B346" s="7" t="s">
        <v>665</v>
      </c>
      <c r="C346" s="10" t="str">
        <f aca="false">INDEX(球員主檔!$B$2:$B$749,MATCH($B346,球員主檔!$A$2:$A$749,0))</f>
        <v>Ignacio Rasmussen</v>
      </c>
      <c r="D346" s="7" t="s">
        <v>358</v>
      </c>
      <c r="E346" s="10" t="str">
        <f aca="false">INDEX(球隊主檔!$C$2:$C$31,MATCH($D346,球隊主檔!$A$2:$A$31,0))</f>
        <v>多倫多藍鳥</v>
      </c>
      <c r="F346" s="10" t="str">
        <f aca="false">INDEX(球隊主檔!$D$2:$D$31,MATCH($D346,球隊主檔!$A$2:$A$31,0))</f>
        <v>美聯</v>
      </c>
      <c r="G346" s="7" t="s">
        <v>496</v>
      </c>
      <c r="H346" s="11" t="n">
        <f aca="false">INT((DATE($A346,7,1)-INDEX(球員主檔!$G$2:$G$749,MATCH($B346,球員主檔!$A$2:$A$749,0)))/365.25)</f>
        <v>26</v>
      </c>
      <c r="I346" s="12" t="n">
        <v>12</v>
      </c>
      <c r="J346" s="12" t="n">
        <v>6</v>
      </c>
      <c r="K346" s="12" t="n">
        <v>0</v>
      </c>
      <c r="L346" s="12" t="n">
        <v>0</v>
      </c>
      <c r="M346" s="12" t="n">
        <v>25</v>
      </c>
      <c r="N346" s="12" t="n">
        <v>25</v>
      </c>
      <c r="O346" s="12" t="n">
        <v>409</v>
      </c>
      <c r="P346" s="16" t="n">
        <f aca="false">O346/3</f>
        <v>136.333333333333</v>
      </c>
      <c r="Q346" s="17" t="str">
        <f aca="false">INT(O346/3)&amp;"."&amp;MOD(O346,3)</f>
        <v>136.1</v>
      </c>
      <c r="R346" s="12" t="n">
        <v>105</v>
      </c>
      <c r="S346" s="12" t="n">
        <v>58</v>
      </c>
      <c r="T346" s="12" t="n">
        <v>56</v>
      </c>
      <c r="U346" s="12" t="n">
        <v>23</v>
      </c>
      <c r="V346" s="12" t="n">
        <v>44</v>
      </c>
      <c r="W346" s="12" t="n">
        <v>144</v>
      </c>
      <c r="X346" s="12" t="n">
        <v>2</v>
      </c>
      <c r="Y346" s="18" t="n">
        <f aca="false">IF(O346=0,0,T346*27/O346)</f>
        <v>3.69682151589242</v>
      </c>
      <c r="Z346" s="18" t="n">
        <f aca="false">IF(P346=0,0,(V346+R346)/P346)</f>
        <v>1.09290953545232</v>
      </c>
      <c r="AA346" s="18" t="n">
        <f aca="false">IF(O346=0,0,W346*27/O346)</f>
        <v>9.50611246943765</v>
      </c>
      <c r="AB346" s="18" t="n">
        <f aca="false">IF(O346=0,0,V346*27/O346)</f>
        <v>2.90464547677262</v>
      </c>
      <c r="AC346" s="18" t="n">
        <f aca="false">IF(V346=0,0,W346/V346)</f>
        <v>3.27272727272727</v>
      </c>
      <c r="AD346" s="18" t="n">
        <f aca="false">IF(P346=0,0,(13*U346+3*(V346+X346)-2*W346)/P346+INDEX(球季參數!$C$2:$C$4,MATCH($A346,球季參數!$A$2:$A$4,0)))</f>
        <v>4.19290953545232</v>
      </c>
      <c r="AE346" s="11" t="n">
        <f aca="false">IF(P346&gt;=INDEX(球季參數!$F$2:$F$4,MATCH($A346,球季參數!$A$2:$A$4,0)),1,0)</f>
        <v>0</v>
      </c>
    </row>
    <row r="347" customFormat="false" ht="15" hidden="false" customHeight="false" outlineLevel="0" collapsed="false">
      <c r="A347" s="5" t="n">
        <v>2025</v>
      </c>
      <c r="B347" s="7" t="s">
        <v>667</v>
      </c>
      <c r="C347" s="10" t="str">
        <f aca="false">INDEX(球員主檔!$B$2:$B$749,MATCH($B347,球員主檔!$A$2:$A$749,0))</f>
        <v>Yusuke Pellerin</v>
      </c>
      <c r="D347" s="7" t="s">
        <v>358</v>
      </c>
      <c r="E347" s="10" t="str">
        <f aca="false">INDEX(球隊主檔!$C$2:$C$31,MATCH($D347,球隊主檔!$A$2:$A$31,0))</f>
        <v>多倫多藍鳥</v>
      </c>
      <c r="F347" s="10" t="str">
        <f aca="false">INDEX(球隊主檔!$D$2:$D$31,MATCH($D347,球隊主檔!$A$2:$A$31,0))</f>
        <v>美聯</v>
      </c>
      <c r="G347" s="7" t="s">
        <v>507</v>
      </c>
      <c r="H347" s="11" t="n">
        <f aca="false">INT((DATE($A347,7,1)-INDEX(球員主檔!$G$2:$G$749,MATCH($B347,球員主檔!$A$2:$A$749,0)))/365.25)</f>
        <v>26</v>
      </c>
      <c r="I347" s="12" t="n">
        <v>3</v>
      </c>
      <c r="J347" s="12" t="n">
        <v>0</v>
      </c>
      <c r="K347" s="12" t="n">
        <v>37</v>
      </c>
      <c r="L347" s="12" t="n">
        <v>1</v>
      </c>
      <c r="M347" s="12" t="n">
        <v>71</v>
      </c>
      <c r="N347" s="12" t="n">
        <v>0</v>
      </c>
      <c r="O347" s="12" t="n">
        <v>200</v>
      </c>
      <c r="P347" s="16" t="n">
        <f aca="false">O347/3</f>
        <v>66.6666666666667</v>
      </c>
      <c r="Q347" s="17" t="str">
        <f aca="false">INT(O347/3)&amp;"."&amp;MOD(O347,3)</f>
        <v>66.2</v>
      </c>
      <c r="R347" s="12" t="n">
        <v>50</v>
      </c>
      <c r="S347" s="12" t="n">
        <v>30</v>
      </c>
      <c r="T347" s="12" t="n">
        <v>29</v>
      </c>
      <c r="U347" s="12" t="n">
        <v>7</v>
      </c>
      <c r="V347" s="12" t="n">
        <v>28</v>
      </c>
      <c r="W347" s="12" t="n">
        <v>72</v>
      </c>
      <c r="X347" s="12" t="n">
        <v>2</v>
      </c>
      <c r="Y347" s="18" t="n">
        <f aca="false">IF(O347=0,0,T347*27/O347)</f>
        <v>3.915</v>
      </c>
      <c r="Z347" s="18" t="n">
        <f aca="false">IF(P347=0,0,(V347+R347)/P347)</f>
        <v>1.17</v>
      </c>
      <c r="AA347" s="18" t="n">
        <f aca="false">IF(O347=0,0,W347*27/O347)</f>
        <v>9.72</v>
      </c>
      <c r="AB347" s="18" t="n">
        <f aca="false">IF(O347=0,0,V347*27/O347)</f>
        <v>3.78</v>
      </c>
      <c r="AC347" s="18" t="n">
        <f aca="false">IF(V347=0,0,W347/V347)</f>
        <v>2.57142857142857</v>
      </c>
      <c r="AD347" s="18" t="n">
        <f aca="false">IF(P347=0,0,(13*U347+3*(V347+X347)-2*W347)/P347+INDEX(球季參數!$C$2:$C$4,MATCH($A347,球季參數!$A$2:$A$4,0)))</f>
        <v>3.655</v>
      </c>
      <c r="AE347" s="11" t="n">
        <f aca="false">IF(P347&gt;=INDEX(球季參數!$F$2:$F$4,MATCH($A347,球季參數!$A$2:$A$4,0)),1,0)</f>
        <v>0</v>
      </c>
    </row>
    <row r="348" customFormat="false" ht="15" hidden="false" customHeight="false" outlineLevel="0" collapsed="false">
      <c r="A348" s="5" t="n">
        <v>2025</v>
      </c>
      <c r="B348" s="7" t="s">
        <v>669</v>
      </c>
      <c r="C348" s="10" t="str">
        <f aca="false">INDEX(球員主檔!$B$2:$B$749,MATCH($B348,球員主檔!$A$2:$A$749,0))</f>
        <v>Emilio Villalobos</v>
      </c>
      <c r="D348" s="7" t="s">
        <v>358</v>
      </c>
      <c r="E348" s="10" t="str">
        <f aca="false">INDEX(球隊主檔!$C$2:$C$31,MATCH($D348,球隊主檔!$A$2:$A$31,0))</f>
        <v>多倫多藍鳥</v>
      </c>
      <c r="F348" s="10" t="str">
        <f aca="false">INDEX(球隊主檔!$D$2:$D$31,MATCH($D348,球隊主檔!$A$2:$A$31,0))</f>
        <v>美聯</v>
      </c>
      <c r="G348" s="7" t="s">
        <v>507</v>
      </c>
      <c r="H348" s="11" t="n">
        <f aca="false">INT((DATE($A348,7,1)-INDEX(球員主檔!$G$2:$G$749,MATCH($B348,球員主檔!$A$2:$A$749,0)))/365.25)</f>
        <v>32</v>
      </c>
      <c r="I348" s="12" t="n">
        <v>0</v>
      </c>
      <c r="J348" s="12" t="n">
        <v>1</v>
      </c>
      <c r="K348" s="12" t="n">
        <v>6</v>
      </c>
      <c r="L348" s="12" t="n">
        <v>15</v>
      </c>
      <c r="M348" s="12" t="n">
        <v>65</v>
      </c>
      <c r="N348" s="12" t="n">
        <v>0</v>
      </c>
      <c r="O348" s="12" t="n">
        <v>176</v>
      </c>
      <c r="P348" s="16" t="n">
        <f aca="false">O348/3</f>
        <v>58.6666666666667</v>
      </c>
      <c r="Q348" s="17" t="str">
        <f aca="false">INT(O348/3)&amp;"."&amp;MOD(O348,3)</f>
        <v>58.2</v>
      </c>
      <c r="R348" s="12" t="n">
        <v>45</v>
      </c>
      <c r="S348" s="12" t="n">
        <v>26</v>
      </c>
      <c r="T348" s="12" t="n">
        <v>25</v>
      </c>
      <c r="U348" s="12" t="n">
        <v>9</v>
      </c>
      <c r="V348" s="12" t="n">
        <v>20</v>
      </c>
      <c r="W348" s="12" t="n">
        <v>74</v>
      </c>
      <c r="X348" s="12" t="n">
        <v>1</v>
      </c>
      <c r="Y348" s="18" t="n">
        <f aca="false">IF(O348=0,0,T348*27/O348)</f>
        <v>3.83522727272727</v>
      </c>
      <c r="Z348" s="18" t="n">
        <f aca="false">IF(P348=0,0,(V348+R348)/P348)</f>
        <v>1.10795454545455</v>
      </c>
      <c r="AA348" s="18" t="n">
        <f aca="false">IF(O348=0,0,W348*27/O348)</f>
        <v>11.3522727272727</v>
      </c>
      <c r="AB348" s="18" t="n">
        <f aca="false">IF(O348=0,0,V348*27/O348)</f>
        <v>3.06818181818182</v>
      </c>
      <c r="AC348" s="18" t="n">
        <f aca="false">IF(V348=0,0,W348/V348)</f>
        <v>3.7</v>
      </c>
      <c r="AD348" s="18" t="n">
        <f aca="false">IF(P348=0,0,(13*U348+3*(V348+X348)-2*W348)/P348+INDEX(球季參數!$C$2:$C$4,MATCH($A348,球季參數!$A$2:$A$4,0)))</f>
        <v>3.64545454545455</v>
      </c>
      <c r="AE348" s="11" t="n">
        <f aca="false">IF(P348&gt;=INDEX(球季參數!$F$2:$F$4,MATCH($A348,球季參數!$A$2:$A$4,0)),1,0)</f>
        <v>0</v>
      </c>
    </row>
    <row r="349" customFormat="false" ht="15" hidden="false" customHeight="false" outlineLevel="0" collapsed="false">
      <c r="A349" s="5" t="n">
        <v>2025</v>
      </c>
      <c r="B349" s="7" t="s">
        <v>671</v>
      </c>
      <c r="C349" s="10" t="str">
        <f aca="false">INDEX(球員主檔!$B$2:$B$749,MATCH($B349,球員主檔!$A$2:$A$749,0))</f>
        <v>Joaquín Wainwright</v>
      </c>
      <c r="D349" s="7" t="s">
        <v>358</v>
      </c>
      <c r="E349" s="10" t="str">
        <f aca="false">INDEX(球隊主檔!$C$2:$C$31,MATCH($D349,球隊主檔!$A$2:$A$31,0))</f>
        <v>多倫多藍鳥</v>
      </c>
      <c r="F349" s="10" t="str">
        <f aca="false">INDEX(球隊主檔!$D$2:$D$31,MATCH($D349,球隊主檔!$A$2:$A$31,0))</f>
        <v>美聯</v>
      </c>
      <c r="G349" s="7" t="s">
        <v>507</v>
      </c>
      <c r="H349" s="11" t="n">
        <f aca="false">INT((DATE($A349,7,1)-INDEX(球員主檔!$G$2:$G$749,MATCH($B349,球員主檔!$A$2:$A$749,0)))/365.25)</f>
        <v>28</v>
      </c>
      <c r="I349" s="12" t="n">
        <v>2</v>
      </c>
      <c r="J349" s="12" t="n">
        <v>8</v>
      </c>
      <c r="K349" s="12" t="n">
        <v>5</v>
      </c>
      <c r="L349" s="12" t="n">
        <v>23</v>
      </c>
      <c r="M349" s="12" t="n">
        <v>71</v>
      </c>
      <c r="N349" s="12" t="n">
        <v>0</v>
      </c>
      <c r="O349" s="12" t="n">
        <v>196</v>
      </c>
      <c r="P349" s="16" t="n">
        <f aca="false">O349/3</f>
        <v>65.3333333333333</v>
      </c>
      <c r="Q349" s="17" t="str">
        <f aca="false">INT(O349/3)&amp;"."&amp;MOD(O349,3)</f>
        <v>65.1</v>
      </c>
      <c r="R349" s="12" t="n">
        <v>60</v>
      </c>
      <c r="S349" s="12" t="n">
        <v>38</v>
      </c>
      <c r="T349" s="12" t="n">
        <v>38</v>
      </c>
      <c r="U349" s="12" t="n">
        <v>10</v>
      </c>
      <c r="V349" s="12" t="n">
        <v>22</v>
      </c>
      <c r="W349" s="12" t="n">
        <v>86</v>
      </c>
      <c r="X349" s="12" t="n">
        <v>2</v>
      </c>
      <c r="Y349" s="18" t="n">
        <f aca="false">IF(O349=0,0,T349*27/O349)</f>
        <v>5.23469387755102</v>
      </c>
      <c r="Z349" s="18" t="n">
        <f aca="false">IF(P349=0,0,(V349+R349)/P349)</f>
        <v>1.25510204081633</v>
      </c>
      <c r="AA349" s="18" t="n">
        <f aca="false">IF(O349=0,0,W349*27/O349)</f>
        <v>11.8469387755102</v>
      </c>
      <c r="AB349" s="18" t="n">
        <f aca="false">IF(O349=0,0,V349*27/O349)</f>
        <v>3.03061224489796</v>
      </c>
      <c r="AC349" s="18" t="n">
        <f aca="false">IF(V349=0,0,W349/V349)</f>
        <v>3.90909090909091</v>
      </c>
      <c r="AD349" s="18" t="n">
        <f aca="false">IF(P349=0,0,(13*U349+3*(V349+X349)-2*W349)/P349+INDEX(球季參數!$C$2:$C$4,MATCH($A349,球季參數!$A$2:$A$4,0)))</f>
        <v>3.55918367346939</v>
      </c>
      <c r="AE349" s="11" t="n">
        <f aca="false">IF(P349&gt;=INDEX(球季參數!$F$2:$F$4,MATCH($A349,球季參數!$A$2:$A$4,0)),1,0)</f>
        <v>0</v>
      </c>
    </row>
    <row r="350" customFormat="false" ht="15" hidden="false" customHeight="false" outlineLevel="0" collapsed="false">
      <c r="A350" s="5" t="n">
        <v>2025</v>
      </c>
      <c r="B350" s="7" t="s">
        <v>673</v>
      </c>
      <c r="C350" s="10" t="str">
        <f aca="false">INDEX(球員主檔!$B$2:$B$749,MATCH($B350,球員主檔!$A$2:$A$749,0))</f>
        <v>Nolan Yarbrough</v>
      </c>
      <c r="D350" s="7" t="s">
        <v>358</v>
      </c>
      <c r="E350" s="10" t="str">
        <f aca="false">INDEX(球隊主檔!$C$2:$C$31,MATCH($D350,球隊主檔!$A$2:$A$31,0))</f>
        <v>多倫多藍鳥</v>
      </c>
      <c r="F350" s="10" t="str">
        <f aca="false">INDEX(球隊主檔!$D$2:$D$31,MATCH($D350,球隊主檔!$A$2:$A$31,0))</f>
        <v>美聯</v>
      </c>
      <c r="G350" s="7" t="s">
        <v>507</v>
      </c>
      <c r="H350" s="11" t="n">
        <f aca="false">INT((DATE($A350,7,1)-INDEX(球員主檔!$G$2:$G$749,MATCH($B350,球員主檔!$A$2:$A$749,0)))/365.25)</f>
        <v>29</v>
      </c>
      <c r="I350" s="12" t="n">
        <v>3</v>
      </c>
      <c r="J350" s="12" t="n">
        <v>1</v>
      </c>
      <c r="K350" s="12" t="n">
        <v>3</v>
      </c>
      <c r="L350" s="12" t="n">
        <v>17</v>
      </c>
      <c r="M350" s="12" t="n">
        <v>57</v>
      </c>
      <c r="N350" s="12" t="n">
        <v>0</v>
      </c>
      <c r="O350" s="12" t="n">
        <v>188</v>
      </c>
      <c r="P350" s="16" t="n">
        <f aca="false">O350/3</f>
        <v>62.6666666666667</v>
      </c>
      <c r="Q350" s="17" t="str">
        <f aca="false">INT(O350/3)&amp;"."&amp;MOD(O350,3)</f>
        <v>62.2</v>
      </c>
      <c r="R350" s="12" t="n">
        <v>54</v>
      </c>
      <c r="S350" s="12" t="n">
        <v>28</v>
      </c>
      <c r="T350" s="12" t="n">
        <v>26</v>
      </c>
      <c r="U350" s="12" t="n">
        <v>7</v>
      </c>
      <c r="V350" s="12" t="n">
        <v>18</v>
      </c>
      <c r="W350" s="12" t="n">
        <v>50</v>
      </c>
      <c r="X350" s="12" t="n">
        <v>2</v>
      </c>
      <c r="Y350" s="18" t="n">
        <f aca="false">IF(O350=0,0,T350*27/O350)</f>
        <v>3.73404255319149</v>
      </c>
      <c r="Z350" s="18" t="n">
        <f aca="false">IF(P350=0,0,(V350+R350)/P350)</f>
        <v>1.14893617021277</v>
      </c>
      <c r="AA350" s="18" t="n">
        <f aca="false">IF(O350=0,0,W350*27/O350)</f>
        <v>7.18085106382979</v>
      </c>
      <c r="AB350" s="18" t="n">
        <f aca="false">IF(O350=0,0,V350*27/O350)</f>
        <v>2.58510638297872</v>
      </c>
      <c r="AC350" s="18" t="n">
        <f aca="false">IF(V350=0,0,W350/V350)</f>
        <v>2.77777777777778</v>
      </c>
      <c r="AD350" s="18" t="n">
        <f aca="false">IF(P350=0,0,(13*U350+3*(V350+X350)-2*W350)/P350+INDEX(球季參數!$C$2:$C$4,MATCH($A350,球季參數!$A$2:$A$4,0)))</f>
        <v>3.91382978723404</v>
      </c>
      <c r="AE350" s="11" t="n">
        <f aca="false">IF(P350&gt;=INDEX(球季參數!$F$2:$F$4,MATCH($A350,球季參數!$A$2:$A$4,0)),1,0)</f>
        <v>0</v>
      </c>
    </row>
    <row r="351" customFormat="false" ht="15" hidden="false" customHeight="false" outlineLevel="0" collapsed="false">
      <c r="A351" s="5" t="n">
        <v>2025</v>
      </c>
      <c r="B351" s="7" t="s">
        <v>675</v>
      </c>
      <c r="C351" s="10" t="str">
        <f aca="false">INDEX(球員主檔!$B$2:$B$749,MATCH($B351,球員主檔!$A$2:$A$749,0))</f>
        <v>Mateo Jaramillo</v>
      </c>
      <c r="D351" s="7" t="s">
        <v>358</v>
      </c>
      <c r="E351" s="10" t="str">
        <f aca="false">INDEX(球隊主檔!$C$2:$C$31,MATCH($D351,球隊主檔!$A$2:$A$31,0))</f>
        <v>多倫多藍鳥</v>
      </c>
      <c r="F351" s="10" t="str">
        <f aca="false">INDEX(球隊主檔!$D$2:$D$31,MATCH($D351,球隊主檔!$A$2:$A$31,0))</f>
        <v>美聯</v>
      </c>
      <c r="G351" s="7" t="s">
        <v>507</v>
      </c>
      <c r="H351" s="11" t="n">
        <f aca="false">INT((DATE($A351,7,1)-INDEX(球員主檔!$G$2:$G$749,MATCH($B351,球員主檔!$A$2:$A$749,0)))/365.25)</f>
        <v>30</v>
      </c>
      <c r="I351" s="12" t="n">
        <v>2</v>
      </c>
      <c r="J351" s="12" t="n">
        <v>7</v>
      </c>
      <c r="K351" s="12" t="n">
        <v>6</v>
      </c>
      <c r="L351" s="12" t="n">
        <v>11</v>
      </c>
      <c r="M351" s="12" t="n">
        <v>49</v>
      </c>
      <c r="N351" s="12" t="n">
        <v>0</v>
      </c>
      <c r="O351" s="12" t="n">
        <v>157</v>
      </c>
      <c r="P351" s="16" t="n">
        <f aca="false">O351/3</f>
        <v>52.3333333333333</v>
      </c>
      <c r="Q351" s="17" t="str">
        <f aca="false">INT(O351/3)&amp;"."&amp;MOD(O351,3)</f>
        <v>52.1</v>
      </c>
      <c r="R351" s="12" t="n">
        <v>50</v>
      </c>
      <c r="S351" s="12" t="n">
        <v>34</v>
      </c>
      <c r="T351" s="12" t="n">
        <v>34</v>
      </c>
      <c r="U351" s="12" t="n">
        <v>6</v>
      </c>
      <c r="V351" s="12" t="n">
        <v>17</v>
      </c>
      <c r="W351" s="12" t="n">
        <v>50</v>
      </c>
      <c r="X351" s="12" t="n">
        <v>1</v>
      </c>
      <c r="Y351" s="18" t="n">
        <f aca="false">IF(O351=0,0,T351*27/O351)</f>
        <v>5.84713375796178</v>
      </c>
      <c r="Z351" s="18" t="n">
        <f aca="false">IF(P351=0,0,(V351+R351)/P351)</f>
        <v>1.28025477707006</v>
      </c>
      <c r="AA351" s="18" t="n">
        <f aca="false">IF(O351=0,0,W351*27/O351)</f>
        <v>8.59872611464968</v>
      </c>
      <c r="AB351" s="18" t="n">
        <f aca="false">IF(O351=0,0,V351*27/O351)</f>
        <v>2.92356687898089</v>
      </c>
      <c r="AC351" s="18" t="n">
        <f aca="false">IF(V351=0,0,W351/V351)</f>
        <v>2.94117647058824</v>
      </c>
      <c r="AD351" s="18" t="n">
        <f aca="false">IF(P351=0,0,(13*U351+3*(V351+X351)-2*W351)/P351+INDEX(球季參數!$C$2:$C$4,MATCH($A351,球季參數!$A$2:$A$4,0)))</f>
        <v>3.71146496815287</v>
      </c>
      <c r="AE351" s="11" t="n">
        <f aca="false">IF(P351&gt;=INDEX(球季參數!$F$2:$F$4,MATCH($A351,球季參數!$A$2:$A$4,0)),1,0)</f>
        <v>0</v>
      </c>
    </row>
    <row r="352" customFormat="false" ht="15" hidden="false" customHeight="false" outlineLevel="0" collapsed="false">
      <c r="A352" s="5" t="n">
        <v>2025</v>
      </c>
      <c r="B352" s="7" t="s">
        <v>697</v>
      </c>
      <c r="C352" s="10" t="str">
        <f aca="false">INDEX(球員主檔!$B$2:$B$749,MATCH($B352,球員主檔!$A$2:$A$749,0))</f>
        <v>Nolan Dubois</v>
      </c>
      <c r="D352" s="7" t="s">
        <v>362</v>
      </c>
      <c r="E352" s="10" t="str">
        <f aca="false">INDEX(球隊主檔!$C$2:$C$31,MATCH($D352,球隊主檔!$A$2:$A$31,0))</f>
        <v>芝加哥白襪</v>
      </c>
      <c r="F352" s="10" t="str">
        <f aca="false">INDEX(球隊主檔!$D$2:$D$31,MATCH($D352,球隊主檔!$A$2:$A$31,0))</f>
        <v>美聯</v>
      </c>
      <c r="G352" s="7" t="s">
        <v>496</v>
      </c>
      <c r="H352" s="11" t="n">
        <f aca="false">INT((DATE($A352,7,1)-INDEX(球員主檔!$G$2:$G$749,MATCH($B352,球員主檔!$A$2:$A$749,0)))/365.25)</f>
        <v>25</v>
      </c>
      <c r="I352" s="12" t="n">
        <v>9</v>
      </c>
      <c r="J352" s="12" t="n">
        <v>6</v>
      </c>
      <c r="K352" s="12" t="n">
        <v>0</v>
      </c>
      <c r="L352" s="12" t="n">
        <v>0</v>
      </c>
      <c r="M352" s="12" t="n">
        <v>25</v>
      </c>
      <c r="N352" s="12" t="n">
        <v>25</v>
      </c>
      <c r="O352" s="12" t="n">
        <v>384</v>
      </c>
      <c r="P352" s="16" t="n">
        <f aca="false">O352/3</f>
        <v>128</v>
      </c>
      <c r="Q352" s="17" t="str">
        <f aca="false">INT(O352/3)&amp;"."&amp;MOD(O352,3)</f>
        <v>128.0</v>
      </c>
      <c r="R352" s="12" t="n">
        <v>105</v>
      </c>
      <c r="S352" s="12" t="n">
        <v>58</v>
      </c>
      <c r="T352" s="12" t="n">
        <v>55</v>
      </c>
      <c r="U352" s="12" t="n">
        <v>27</v>
      </c>
      <c r="V352" s="12" t="n">
        <v>58</v>
      </c>
      <c r="W352" s="12" t="n">
        <v>123</v>
      </c>
      <c r="X352" s="12" t="n">
        <v>4</v>
      </c>
      <c r="Y352" s="18" t="n">
        <f aca="false">IF(O352=0,0,T352*27/O352)</f>
        <v>3.8671875</v>
      </c>
      <c r="Z352" s="18" t="n">
        <f aca="false">IF(P352=0,0,(V352+R352)/P352)</f>
        <v>1.2734375</v>
      </c>
      <c r="AA352" s="18" t="n">
        <f aca="false">IF(O352=0,0,W352*27/O352)</f>
        <v>8.6484375</v>
      </c>
      <c r="AB352" s="18" t="n">
        <f aca="false">IF(O352=0,0,V352*27/O352)</f>
        <v>4.078125</v>
      </c>
      <c r="AC352" s="18" t="n">
        <f aca="false">IF(V352=0,0,W352/V352)</f>
        <v>2.12068965517241</v>
      </c>
      <c r="AD352" s="18" t="n">
        <f aca="false">IF(P352=0,0,(13*U352+3*(V352+X352)-2*W352)/P352+INDEX(球季參數!$C$2:$C$4,MATCH($A352,球季參數!$A$2:$A$4,0)))</f>
        <v>5.3734375</v>
      </c>
      <c r="AE352" s="11" t="n">
        <f aca="false">IF(P352&gt;=INDEX(球季參數!$F$2:$F$4,MATCH($A352,球季參數!$A$2:$A$4,0)),1,0)</f>
        <v>0</v>
      </c>
    </row>
    <row r="353" customFormat="false" ht="15" hidden="false" customHeight="false" outlineLevel="0" collapsed="false">
      <c r="A353" s="5" t="n">
        <v>2025</v>
      </c>
      <c r="B353" s="7" t="s">
        <v>699</v>
      </c>
      <c r="C353" s="10" t="str">
        <f aca="false">INDEX(球員主檔!$B$2:$B$749,MATCH($B353,球員主檔!$A$2:$A$749,0))</f>
        <v>Jedidiah Haverford</v>
      </c>
      <c r="D353" s="7" t="s">
        <v>362</v>
      </c>
      <c r="E353" s="10" t="str">
        <f aca="false">INDEX(球隊主檔!$C$2:$C$31,MATCH($D353,球隊主檔!$A$2:$A$31,0))</f>
        <v>芝加哥白襪</v>
      </c>
      <c r="F353" s="10" t="str">
        <f aca="false">INDEX(球隊主檔!$D$2:$D$31,MATCH($D353,球隊主檔!$A$2:$A$31,0))</f>
        <v>美聯</v>
      </c>
      <c r="G353" s="7" t="s">
        <v>496</v>
      </c>
      <c r="H353" s="11" t="n">
        <f aca="false">INT((DATE($A353,7,1)-INDEX(球員主檔!$G$2:$G$749,MATCH($B353,球員主檔!$A$2:$A$749,0)))/365.25)</f>
        <v>30</v>
      </c>
      <c r="I353" s="12" t="n">
        <v>5</v>
      </c>
      <c r="J353" s="12" t="n">
        <v>2</v>
      </c>
      <c r="K353" s="12" t="n">
        <v>0</v>
      </c>
      <c r="L353" s="12" t="n">
        <v>0</v>
      </c>
      <c r="M353" s="12" t="n">
        <v>12</v>
      </c>
      <c r="N353" s="12" t="n">
        <v>12</v>
      </c>
      <c r="O353" s="12" t="n">
        <v>203</v>
      </c>
      <c r="P353" s="16" t="n">
        <f aca="false">O353/3</f>
        <v>67.6666666666667</v>
      </c>
      <c r="Q353" s="17" t="str">
        <f aca="false">INT(O353/3)&amp;"."&amp;MOD(O353,3)</f>
        <v>67.2</v>
      </c>
      <c r="R353" s="12" t="n">
        <v>49</v>
      </c>
      <c r="S353" s="12" t="n">
        <v>22</v>
      </c>
      <c r="T353" s="12" t="n">
        <v>22</v>
      </c>
      <c r="U353" s="12" t="n">
        <v>7</v>
      </c>
      <c r="V353" s="12" t="n">
        <v>19</v>
      </c>
      <c r="W353" s="12" t="n">
        <v>69</v>
      </c>
      <c r="X353" s="12" t="n">
        <v>1</v>
      </c>
      <c r="Y353" s="18" t="n">
        <f aca="false">IF(O353=0,0,T353*27/O353)</f>
        <v>2.92610837438424</v>
      </c>
      <c r="Z353" s="18" t="n">
        <f aca="false">IF(P353=0,0,(V353+R353)/P353)</f>
        <v>1.00492610837438</v>
      </c>
      <c r="AA353" s="18" t="n">
        <f aca="false">IF(O353=0,0,W353*27/O353)</f>
        <v>9.17733990147783</v>
      </c>
      <c r="AB353" s="18" t="n">
        <f aca="false">IF(O353=0,0,V353*27/O353)</f>
        <v>2.52709359605911</v>
      </c>
      <c r="AC353" s="18" t="n">
        <f aca="false">IF(V353=0,0,W353/V353)</f>
        <v>3.63157894736842</v>
      </c>
      <c r="AD353" s="18" t="n">
        <f aca="false">IF(P353=0,0,(13*U353+3*(V353+X353)-2*W353)/P353+INDEX(球季參數!$C$2:$C$4,MATCH($A353,球季參數!$A$2:$A$4,0)))</f>
        <v>3.29211822660099</v>
      </c>
      <c r="AE353" s="11" t="n">
        <f aca="false">IF(P353&gt;=INDEX(球季參數!$F$2:$F$4,MATCH($A353,球季參數!$A$2:$A$4,0)),1,0)</f>
        <v>0</v>
      </c>
    </row>
    <row r="354" customFormat="false" ht="15" hidden="false" customHeight="false" outlineLevel="0" collapsed="false">
      <c r="A354" s="5" t="n">
        <v>2025</v>
      </c>
      <c r="B354" s="7" t="s">
        <v>701</v>
      </c>
      <c r="C354" s="10" t="str">
        <f aca="false">INDEX(球員主檔!$B$2:$B$749,MATCH($B354,球員主檔!$A$2:$A$749,0))</f>
        <v>Jedidiah Prendergast</v>
      </c>
      <c r="D354" s="7" t="s">
        <v>362</v>
      </c>
      <c r="E354" s="10" t="str">
        <f aca="false">INDEX(球隊主檔!$C$2:$C$31,MATCH($D354,球隊主檔!$A$2:$A$31,0))</f>
        <v>芝加哥白襪</v>
      </c>
      <c r="F354" s="10" t="str">
        <f aca="false">INDEX(球隊主檔!$D$2:$D$31,MATCH($D354,球隊主檔!$A$2:$A$31,0))</f>
        <v>美聯</v>
      </c>
      <c r="G354" s="7" t="s">
        <v>496</v>
      </c>
      <c r="H354" s="11" t="n">
        <f aca="false">INT((DATE($A354,7,1)-INDEX(球員主檔!$G$2:$G$749,MATCH($B354,球員主檔!$A$2:$A$749,0)))/365.25)</f>
        <v>29</v>
      </c>
      <c r="I354" s="12" t="n">
        <v>7</v>
      </c>
      <c r="J354" s="12" t="n">
        <v>12</v>
      </c>
      <c r="K354" s="12" t="n">
        <v>0</v>
      </c>
      <c r="L354" s="12" t="n">
        <v>0</v>
      </c>
      <c r="M354" s="12" t="n">
        <v>25</v>
      </c>
      <c r="N354" s="12" t="n">
        <v>25</v>
      </c>
      <c r="O354" s="12" t="n">
        <v>449</v>
      </c>
      <c r="P354" s="16" t="n">
        <f aca="false">O354/3</f>
        <v>149.666666666667</v>
      </c>
      <c r="Q354" s="17" t="str">
        <f aca="false">INT(O354/3)&amp;"."&amp;MOD(O354,3)</f>
        <v>149.2</v>
      </c>
      <c r="R354" s="12" t="n">
        <v>141</v>
      </c>
      <c r="S354" s="12" t="n">
        <v>107</v>
      </c>
      <c r="T354" s="12" t="n">
        <v>95</v>
      </c>
      <c r="U354" s="12" t="n">
        <v>11</v>
      </c>
      <c r="V354" s="12" t="n">
        <v>28</v>
      </c>
      <c r="W354" s="12" t="n">
        <v>140</v>
      </c>
      <c r="X354" s="12" t="n">
        <v>2</v>
      </c>
      <c r="Y354" s="18" t="n">
        <f aca="false">IF(O354=0,0,T354*27/O354)</f>
        <v>5.71269487750557</v>
      </c>
      <c r="Z354" s="18" t="n">
        <f aca="false">IF(P354=0,0,(V354+R354)/P354)</f>
        <v>1.12917594654788</v>
      </c>
      <c r="AA354" s="18" t="n">
        <f aca="false">IF(O354=0,0,W354*27/O354)</f>
        <v>8.41870824053452</v>
      </c>
      <c r="AB354" s="18" t="n">
        <f aca="false">IF(O354=0,0,V354*27/O354)</f>
        <v>1.6837416481069</v>
      </c>
      <c r="AC354" s="18" t="n">
        <f aca="false">IF(V354=0,0,W354/V354)</f>
        <v>5</v>
      </c>
      <c r="AD354" s="18" t="n">
        <f aca="false">IF(P354=0,0,(13*U354+3*(V354+X354)-2*W354)/P354+INDEX(球季參數!$C$2:$C$4,MATCH($A354,球季參數!$A$2:$A$4,0)))</f>
        <v>2.78596881959911</v>
      </c>
      <c r="AE354" s="11" t="n">
        <f aca="false">IF(P354&gt;=INDEX(球季參數!$F$2:$F$4,MATCH($A354,球季參數!$A$2:$A$4,0)),1,0)</f>
        <v>0</v>
      </c>
    </row>
    <row r="355" customFormat="false" ht="15" hidden="false" customHeight="false" outlineLevel="0" collapsed="false">
      <c r="A355" s="5" t="n">
        <v>2025</v>
      </c>
      <c r="B355" s="7" t="s">
        <v>703</v>
      </c>
      <c r="C355" s="10" t="str">
        <f aca="false">INDEX(球員主檔!$B$2:$B$749,MATCH($B355,球員主檔!$A$2:$A$749,0))</f>
        <v>Augustin Quiroga</v>
      </c>
      <c r="D355" s="7" t="s">
        <v>362</v>
      </c>
      <c r="E355" s="10" t="str">
        <f aca="false">INDEX(球隊主檔!$C$2:$C$31,MATCH($D355,球隊主檔!$A$2:$A$31,0))</f>
        <v>芝加哥白襪</v>
      </c>
      <c r="F355" s="10" t="str">
        <f aca="false">INDEX(球隊主檔!$D$2:$D$31,MATCH($D355,球隊主檔!$A$2:$A$31,0))</f>
        <v>美聯</v>
      </c>
      <c r="G355" s="7" t="s">
        <v>496</v>
      </c>
      <c r="H355" s="11" t="n">
        <f aca="false">INT((DATE($A355,7,1)-INDEX(球員主檔!$G$2:$G$749,MATCH($B355,球員主檔!$A$2:$A$749,0)))/365.25)</f>
        <v>31</v>
      </c>
      <c r="I355" s="12" t="n">
        <v>9</v>
      </c>
      <c r="J355" s="12" t="n">
        <v>8</v>
      </c>
      <c r="K355" s="12" t="n">
        <v>0</v>
      </c>
      <c r="L355" s="12" t="n">
        <v>0</v>
      </c>
      <c r="M355" s="12" t="n">
        <v>31</v>
      </c>
      <c r="N355" s="12" t="n">
        <v>31</v>
      </c>
      <c r="O355" s="12" t="n">
        <v>505</v>
      </c>
      <c r="P355" s="16" t="n">
        <f aca="false">O355/3</f>
        <v>168.333333333333</v>
      </c>
      <c r="Q355" s="17" t="str">
        <f aca="false">INT(O355/3)&amp;"."&amp;MOD(O355,3)</f>
        <v>168.1</v>
      </c>
      <c r="R355" s="12" t="n">
        <v>145</v>
      </c>
      <c r="S355" s="12" t="n">
        <v>82</v>
      </c>
      <c r="T355" s="12" t="n">
        <v>78</v>
      </c>
      <c r="U355" s="12" t="n">
        <v>30</v>
      </c>
      <c r="V355" s="12" t="n">
        <v>32</v>
      </c>
      <c r="W355" s="12" t="n">
        <v>179</v>
      </c>
      <c r="X355" s="12" t="n">
        <v>6</v>
      </c>
      <c r="Y355" s="18" t="n">
        <f aca="false">IF(O355=0,0,T355*27/O355)</f>
        <v>4.17029702970297</v>
      </c>
      <c r="Z355" s="18" t="n">
        <f aca="false">IF(P355=0,0,(V355+R355)/P355)</f>
        <v>1.05148514851485</v>
      </c>
      <c r="AA355" s="18" t="n">
        <f aca="false">IF(O355=0,0,W355*27/O355)</f>
        <v>9.57029702970297</v>
      </c>
      <c r="AB355" s="18" t="n">
        <f aca="false">IF(O355=0,0,V355*27/O355)</f>
        <v>1.71089108910891</v>
      </c>
      <c r="AC355" s="18" t="n">
        <f aca="false">IF(V355=0,0,W355/V355)</f>
        <v>5.59375</v>
      </c>
      <c r="AD355" s="18" t="n">
        <f aca="false">IF(P355=0,0,(13*U355+3*(V355+X355)-2*W355)/P355+INDEX(球季參數!$C$2:$C$4,MATCH($A355,球季參數!$A$2:$A$4,0)))</f>
        <v>3.96732673267327</v>
      </c>
      <c r="AE355" s="11" t="n">
        <f aca="false">IF(P355&gt;=INDEX(球季參數!$F$2:$F$4,MATCH($A355,球季參數!$A$2:$A$4,0)),1,0)</f>
        <v>1</v>
      </c>
    </row>
    <row r="356" customFormat="false" ht="15" hidden="false" customHeight="false" outlineLevel="0" collapsed="false">
      <c r="A356" s="5" t="n">
        <v>2025</v>
      </c>
      <c r="B356" s="7" t="s">
        <v>705</v>
      </c>
      <c r="C356" s="10" t="str">
        <f aca="false">INDEX(球員主檔!$B$2:$B$749,MATCH($B356,球員主檔!$A$2:$A$749,0))</f>
        <v>Ignacio Haverford</v>
      </c>
      <c r="D356" s="7" t="s">
        <v>362</v>
      </c>
      <c r="E356" s="10" t="str">
        <f aca="false">INDEX(球隊主檔!$C$2:$C$31,MATCH($D356,球隊主檔!$A$2:$A$31,0))</f>
        <v>芝加哥白襪</v>
      </c>
      <c r="F356" s="10" t="str">
        <f aca="false">INDEX(球隊主檔!$D$2:$D$31,MATCH($D356,球隊主檔!$A$2:$A$31,0))</f>
        <v>美聯</v>
      </c>
      <c r="G356" s="7" t="s">
        <v>496</v>
      </c>
      <c r="H356" s="11" t="n">
        <f aca="false">INT((DATE($A356,7,1)-INDEX(球員主檔!$G$2:$G$749,MATCH($B356,球員主檔!$A$2:$A$749,0)))/365.25)</f>
        <v>28</v>
      </c>
      <c r="I356" s="12" t="n">
        <v>9</v>
      </c>
      <c r="J356" s="12" t="n">
        <v>10</v>
      </c>
      <c r="K356" s="12" t="n">
        <v>0</v>
      </c>
      <c r="L356" s="12" t="n">
        <v>0</v>
      </c>
      <c r="M356" s="12" t="n">
        <v>26</v>
      </c>
      <c r="N356" s="12" t="n">
        <v>26</v>
      </c>
      <c r="O356" s="12" t="n">
        <v>412</v>
      </c>
      <c r="P356" s="16" t="n">
        <f aca="false">O356/3</f>
        <v>137.333333333333</v>
      </c>
      <c r="Q356" s="17" t="str">
        <f aca="false">INT(O356/3)&amp;"."&amp;MOD(O356,3)</f>
        <v>137.1</v>
      </c>
      <c r="R356" s="12" t="n">
        <v>117</v>
      </c>
      <c r="S356" s="12" t="n">
        <v>79</v>
      </c>
      <c r="T356" s="12" t="n">
        <v>77</v>
      </c>
      <c r="U356" s="12" t="n">
        <v>14</v>
      </c>
      <c r="V356" s="12" t="n">
        <v>61</v>
      </c>
      <c r="W356" s="12" t="n">
        <v>107</v>
      </c>
      <c r="X356" s="12" t="n">
        <v>6</v>
      </c>
      <c r="Y356" s="18" t="n">
        <f aca="false">IF(O356=0,0,T356*27/O356)</f>
        <v>5.04611650485437</v>
      </c>
      <c r="Z356" s="18" t="n">
        <f aca="false">IF(P356=0,0,(V356+R356)/P356)</f>
        <v>1.29611650485437</v>
      </c>
      <c r="AA356" s="18" t="n">
        <f aca="false">IF(O356=0,0,W356*27/O356)</f>
        <v>7.0121359223301</v>
      </c>
      <c r="AB356" s="18" t="n">
        <f aca="false">IF(O356=0,0,V356*27/O356)</f>
        <v>3.99757281553398</v>
      </c>
      <c r="AC356" s="18" t="n">
        <f aca="false">IF(V356=0,0,W356/V356)</f>
        <v>1.75409836065574</v>
      </c>
      <c r="AD356" s="18" t="n">
        <f aca="false">IF(P356=0,0,(13*U356+3*(V356+X356)-2*W356)/P356+INDEX(球季參數!$C$2:$C$4,MATCH($A356,球季參數!$A$2:$A$4,0)))</f>
        <v>4.33058252427185</v>
      </c>
      <c r="AE356" s="11" t="n">
        <f aca="false">IF(P356&gt;=INDEX(球季參數!$F$2:$F$4,MATCH($A356,球季參數!$A$2:$A$4,0)),1,0)</f>
        <v>0</v>
      </c>
    </row>
    <row r="357" customFormat="false" ht="15" hidden="false" customHeight="false" outlineLevel="0" collapsed="false">
      <c r="A357" s="5" t="n">
        <v>2025</v>
      </c>
      <c r="B357" s="7" t="s">
        <v>707</v>
      </c>
      <c r="C357" s="10" t="str">
        <f aca="false">INDEX(球員主檔!$B$2:$B$749,MATCH($B357,球員主檔!$A$2:$A$749,0))</f>
        <v>Rintaro Engelhardt</v>
      </c>
      <c r="D357" s="7" t="s">
        <v>362</v>
      </c>
      <c r="E357" s="10" t="str">
        <f aca="false">INDEX(球隊主檔!$C$2:$C$31,MATCH($D357,球隊主檔!$A$2:$A$31,0))</f>
        <v>芝加哥白襪</v>
      </c>
      <c r="F357" s="10" t="str">
        <f aca="false">INDEX(球隊主檔!$D$2:$D$31,MATCH($D357,球隊主檔!$A$2:$A$31,0))</f>
        <v>美聯</v>
      </c>
      <c r="G357" s="7" t="s">
        <v>507</v>
      </c>
      <c r="H357" s="11" t="n">
        <f aca="false">INT((DATE($A357,7,1)-INDEX(球員主檔!$G$2:$G$749,MATCH($B357,球員主檔!$A$2:$A$749,0)))/365.25)</f>
        <v>30</v>
      </c>
      <c r="I357" s="12" t="n">
        <v>4</v>
      </c>
      <c r="J357" s="12" t="n">
        <v>4</v>
      </c>
      <c r="K357" s="12" t="n">
        <v>42</v>
      </c>
      <c r="L357" s="12" t="n">
        <v>2</v>
      </c>
      <c r="M357" s="12" t="n">
        <v>61</v>
      </c>
      <c r="N357" s="12" t="n">
        <v>0</v>
      </c>
      <c r="O357" s="12" t="n">
        <v>163</v>
      </c>
      <c r="P357" s="16" t="n">
        <f aca="false">O357/3</f>
        <v>54.3333333333333</v>
      </c>
      <c r="Q357" s="17" t="str">
        <f aca="false">INT(O357/3)&amp;"."&amp;MOD(O357,3)</f>
        <v>54.1</v>
      </c>
      <c r="R357" s="12" t="n">
        <v>47</v>
      </c>
      <c r="S357" s="12" t="n">
        <v>24</v>
      </c>
      <c r="T357" s="12" t="n">
        <v>24</v>
      </c>
      <c r="U357" s="12" t="n">
        <v>5</v>
      </c>
      <c r="V357" s="12" t="n">
        <v>27</v>
      </c>
      <c r="W357" s="12" t="n">
        <v>72</v>
      </c>
      <c r="X357" s="12" t="n">
        <v>1</v>
      </c>
      <c r="Y357" s="18" t="n">
        <f aca="false">IF(O357=0,0,T357*27/O357)</f>
        <v>3.97546012269939</v>
      </c>
      <c r="Z357" s="18" t="n">
        <f aca="false">IF(P357=0,0,(V357+R357)/P357)</f>
        <v>1.36196319018405</v>
      </c>
      <c r="AA357" s="18" t="n">
        <f aca="false">IF(O357=0,0,W357*27/O357)</f>
        <v>11.9263803680982</v>
      </c>
      <c r="AB357" s="18" t="n">
        <f aca="false">IF(O357=0,0,V357*27/O357)</f>
        <v>4.47239263803681</v>
      </c>
      <c r="AC357" s="18" t="n">
        <f aca="false">IF(V357=0,0,W357/V357)</f>
        <v>2.66666666666667</v>
      </c>
      <c r="AD357" s="18" t="n">
        <f aca="false">IF(P357=0,0,(13*U357+3*(V357+X357)-2*W357)/P357+INDEX(球季參數!$C$2:$C$4,MATCH($A357,球季參數!$A$2:$A$4,0)))</f>
        <v>3.1920245398773</v>
      </c>
      <c r="AE357" s="11" t="n">
        <f aca="false">IF(P357&gt;=INDEX(球季參數!$F$2:$F$4,MATCH($A357,球季參數!$A$2:$A$4,0)),1,0)</f>
        <v>0</v>
      </c>
    </row>
    <row r="358" customFormat="false" ht="15" hidden="false" customHeight="false" outlineLevel="0" collapsed="false">
      <c r="A358" s="5" t="n">
        <v>2025</v>
      </c>
      <c r="B358" s="7" t="s">
        <v>709</v>
      </c>
      <c r="C358" s="10" t="str">
        <f aca="false">INDEX(球員主檔!$B$2:$B$749,MATCH($B358,球員主檔!$A$2:$A$749,0))</f>
        <v>Tristan Cavanaugh</v>
      </c>
      <c r="D358" s="7" t="s">
        <v>362</v>
      </c>
      <c r="E358" s="10" t="str">
        <f aca="false">INDEX(球隊主檔!$C$2:$C$31,MATCH($D358,球隊主檔!$A$2:$A$31,0))</f>
        <v>芝加哥白襪</v>
      </c>
      <c r="F358" s="10" t="str">
        <f aca="false">INDEX(球隊主檔!$D$2:$D$31,MATCH($D358,球隊主檔!$A$2:$A$31,0))</f>
        <v>美聯</v>
      </c>
      <c r="G358" s="7" t="s">
        <v>507</v>
      </c>
      <c r="H358" s="11" t="n">
        <f aca="false">INT((DATE($A358,7,1)-INDEX(球員主檔!$G$2:$G$749,MATCH($B358,球員主檔!$A$2:$A$749,0)))/365.25)</f>
        <v>31</v>
      </c>
      <c r="I358" s="12" t="n">
        <v>2</v>
      </c>
      <c r="J358" s="12" t="n">
        <v>6</v>
      </c>
      <c r="K358" s="12" t="n">
        <v>0</v>
      </c>
      <c r="L358" s="12" t="n">
        <v>6</v>
      </c>
      <c r="M358" s="12" t="n">
        <v>64</v>
      </c>
      <c r="N358" s="12" t="n">
        <v>0</v>
      </c>
      <c r="O358" s="12" t="n">
        <v>182</v>
      </c>
      <c r="P358" s="16" t="n">
        <f aca="false">O358/3</f>
        <v>60.6666666666667</v>
      </c>
      <c r="Q358" s="17" t="str">
        <f aca="false">INT(O358/3)&amp;"."&amp;MOD(O358,3)</f>
        <v>60.2</v>
      </c>
      <c r="R358" s="12" t="n">
        <v>55</v>
      </c>
      <c r="S358" s="12" t="n">
        <v>34</v>
      </c>
      <c r="T358" s="12" t="n">
        <v>30</v>
      </c>
      <c r="U358" s="12" t="n">
        <v>8</v>
      </c>
      <c r="V358" s="12" t="n">
        <v>21</v>
      </c>
      <c r="W358" s="12" t="n">
        <v>72</v>
      </c>
      <c r="X358" s="12" t="n">
        <v>4</v>
      </c>
      <c r="Y358" s="18" t="n">
        <f aca="false">IF(O358=0,0,T358*27/O358)</f>
        <v>4.45054945054945</v>
      </c>
      <c r="Z358" s="18" t="n">
        <f aca="false">IF(P358=0,0,(V358+R358)/P358)</f>
        <v>1.25274725274725</v>
      </c>
      <c r="AA358" s="18" t="n">
        <f aca="false">IF(O358=0,0,W358*27/O358)</f>
        <v>10.6813186813187</v>
      </c>
      <c r="AB358" s="18" t="n">
        <f aca="false">IF(O358=0,0,V358*27/O358)</f>
        <v>3.11538461538462</v>
      </c>
      <c r="AC358" s="18" t="n">
        <f aca="false">IF(V358=0,0,W358/V358)</f>
        <v>3.42857142857143</v>
      </c>
      <c r="AD358" s="18" t="n">
        <f aca="false">IF(P358=0,0,(13*U358+3*(V358+X358)-2*W358)/P358+INDEX(球季參數!$C$2:$C$4,MATCH($A358,球季參數!$A$2:$A$4,0)))</f>
        <v>3.67692307692308</v>
      </c>
      <c r="AE358" s="11" t="n">
        <f aca="false">IF(P358&gt;=INDEX(球季參數!$F$2:$F$4,MATCH($A358,球季參數!$A$2:$A$4,0)),1,0)</f>
        <v>0</v>
      </c>
    </row>
    <row r="359" customFormat="false" ht="15" hidden="false" customHeight="false" outlineLevel="0" collapsed="false">
      <c r="A359" s="5" t="n">
        <v>2025</v>
      </c>
      <c r="B359" s="7" t="s">
        <v>711</v>
      </c>
      <c r="C359" s="10" t="str">
        <f aca="false">INDEX(球員主檔!$B$2:$B$749,MATCH($B359,球員主檔!$A$2:$A$749,0))</f>
        <v>Rowan Rasmussen</v>
      </c>
      <c r="D359" s="7" t="s">
        <v>362</v>
      </c>
      <c r="E359" s="10" t="str">
        <f aca="false">INDEX(球隊主檔!$C$2:$C$31,MATCH($D359,球隊主檔!$A$2:$A$31,0))</f>
        <v>芝加哥白襪</v>
      </c>
      <c r="F359" s="10" t="str">
        <f aca="false">INDEX(球隊主檔!$D$2:$D$31,MATCH($D359,球隊主檔!$A$2:$A$31,0))</f>
        <v>美聯</v>
      </c>
      <c r="G359" s="7" t="s">
        <v>507</v>
      </c>
      <c r="H359" s="11" t="n">
        <f aca="false">INT((DATE($A359,7,1)-INDEX(球員主檔!$G$2:$G$749,MATCH($B359,球員主檔!$A$2:$A$749,0)))/365.25)</f>
        <v>29</v>
      </c>
      <c r="I359" s="12" t="n">
        <v>4</v>
      </c>
      <c r="J359" s="12" t="n">
        <v>6</v>
      </c>
      <c r="K359" s="12" t="n">
        <v>3</v>
      </c>
      <c r="L359" s="12" t="n">
        <v>17</v>
      </c>
      <c r="M359" s="12" t="n">
        <v>47</v>
      </c>
      <c r="N359" s="12" t="n">
        <v>0</v>
      </c>
      <c r="O359" s="12" t="n">
        <v>128</v>
      </c>
      <c r="P359" s="16" t="n">
        <f aca="false">O359/3</f>
        <v>42.6666666666667</v>
      </c>
      <c r="Q359" s="17" t="str">
        <f aca="false">INT(O359/3)&amp;"."&amp;MOD(O359,3)</f>
        <v>42.2</v>
      </c>
      <c r="R359" s="12" t="n">
        <v>34</v>
      </c>
      <c r="S359" s="12" t="n">
        <v>21</v>
      </c>
      <c r="T359" s="12" t="n">
        <v>21</v>
      </c>
      <c r="U359" s="12" t="n">
        <v>5</v>
      </c>
      <c r="V359" s="12" t="n">
        <v>12</v>
      </c>
      <c r="W359" s="12" t="n">
        <v>39</v>
      </c>
      <c r="X359" s="12" t="n">
        <v>2</v>
      </c>
      <c r="Y359" s="18" t="n">
        <f aca="false">IF(O359=0,0,T359*27/O359)</f>
        <v>4.4296875</v>
      </c>
      <c r="Z359" s="18" t="n">
        <f aca="false">IF(P359=0,0,(V359+R359)/P359)</f>
        <v>1.078125</v>
      </c>
      <c r="AA359" s="18" t="n">
        <f aca="false">IF(O359=0,0,W359*27/O359)</f>
        <v>8.2265625</v>
      </c>
      <c r="AB359" s="18" t="n">
        <f aca="false">IF(O359=0,0,V359*27/O359)</f>
        <v>2.53125</v>
      </c>
      <c r="AC359" s="18" t="n">
        <f aca="false">IF(V359=0,0,W359/V359)</f>
        <v>3.25</v>
      </c>
      <c r="AD359" s="18" t="n">
        <f aca="false">IF(P359=0,0,(13*U359+3*(V359+X359)-2*W359)/P359+INDEX(球季參數!$C$2:$C$4,MATCH($A359,球季參數!$A$2:$A$4,0)))</f>
        <v>3.7796875</v>
      </c>
      <c r="AE359" s="11" t="n">
        <f aca="false">IF(P359&gt;=INDEX(球季參數!$F$2:$F$4,MATCH($A359,球季參數!$A$2:$A$4,0)),1,0)</f>
        <v>0</v>
      </c>
    </row>
    <row r="360" customFormat="false" ht="15" hidden="false" customHeight="false" outlineLevel="0" collapsed="false">
      <c r="A360" s="5" t="n">
        <v>2025</v>
      </c>
      <c r="B360" s="7" t="s">
        <v>713</v>
      </c>
      <c r="C360" s="10" t="str">
        <f aca="false">INDEX(球員主檔!$B$2:$B$749,MATCH($B360,球員主檔!$A$2:$A$749,0))</f>
        <v>Everett Brightwell</v>
      </c>
      <c r="D360" s="7" t="s">
        <v>362</v>
      </c>
      <c r="E360" s="10" t="str">
        <f aca="false">INDEX(球隊主檔!$C$2:$C$31,MATCH($D360,球隊主檔!$A$2:$A$31,0))</f>
        <v>芝加哥白襪</v>
      </c>
      <c r="F360" s="10" t="str">
        <f aca="false">INDEX(球隊主檔!$D$2:$D$31,MATCH($D360,球隊主檔!$A$2:$A$31,0))</f>
        <v>美聯</v>
      </c>
      <c r="G360" s="7" t="s">
        <v>507</v>
      </c>
      <c r="H360" s="11" t="n">
        <f aca="false">INT((DATE($A360,7,1)-INDEX(球員主檔!$G$2:$G$749,MATCH($B360,球員主檔!$A$2:$A$749,0)))/365.25)</f>
        <v>27</v>
      </c>
      <c r="I360" s="12" t="n">
        <v>0</v>
      </c>
      <c r="J360" s="12" t="n">
        <v>0</v>
      </c>
      <c r="K360" s="12" t="n">
        <v>6</v>
      </c>
      <c r="L360" s="12" t="n">
        <v>9</v>
      </c>
      <c r="M360" s="12" t="n">
        <v>51</v>
      </c>
      <c r="N360" s="12" t="n">
        <v>0</v>
      </c>
      <c r="O360" s="12" t="n">
        <v>168</v>
      </c>
      <c r="P360" s="16" t="n">
        <f aca="false">O360/3</f>
        <v>56</v>
      </c>
      <c r="Q360" s="17" t="str">
        <f aca="false">INT(O360/3)&amp;"."&amp;MOD(O360,3)</f>
        <v>56.0</v>
      </c>
      <c r="R360" s="12" t="n">
        <v>45</v>
      </c>
      <c r="S360" s="12" t="n">
        <v>29</v>
      </c>
      <c r="T360" s="12" t="n">
        <v>26</v>
      </c>
      <c r="U360" s="12" t="n">
        <v>5</v>
      </c>
      <c r="V360" s="12" t="n">
        <v>21</v>
      </c>
      <c r="W360" s="12" t="n">
        <v>71</v>
      </c>
      <c r="X360" s="12" t="n">
        <v>2</v>
      </c>
      <c r="Y360" s="18" t="n">
        <f aca="false">IF(O360=0,0,T360*27/O360)</f>
        <v>4.17857142857143</v>
      </c>
      <c r="Z360" s="18" t="n">
        <f aca="false">IF(P360=0,0,(V360+R360)/P360)</f>
        <v>1.17857142857143</v>
      </c>
      <c r="AA360" s="18" t="n">
        <f aca="false">IF(O360=0,0,W360*27/O360)</f>
        <v>11.4107142857143</v>
      </c>
      <c r="AB360" s="18" t="n">
        <f aca="false">IF(O360=0,0,V360*27/O360)</f>
        <v>3.375</v>
      </c>
      <c r="AC360" s="18" t="n">
        <f aca="false">IF(V360=0,0,W360/V360)</f>
        <v>3.38095238095238</v>
      </c>
      <c r="AD360" s="18" t="n">
        <f aca="false">IF(P360=0,0,(13*U360+3*(V360+X360)-2*W360)/P360+INDEX(球季參數!$C$2:$C$4,MATCH($A360,球季參數!$A$2:$A$4,0)))</f>
        <v>2.95714285714286</v>
      </c>
      <c r="AE360" s="11" t="n">
        <f aca="false">IF(P360&gt;=INDEX(球季參數!$F$2:$F$4,MATCH($A360,球季參數!$A$2:$A$4,0)),1,0)</f>
        <v>0</v>
      </c>
    </row>
    <row r="361" customFormat="false" ht="15" hidden="false" customHeight="false" outlineLevel="0" collapsed="false">
      <c r="A361" s="5" t="n">
        <v>2025</v>
      </c>
      <c r="B361" s="7" t="s">
        <v>715</v>
      </c>
      <c r="C361" s="10" t="str">
        <f aca="false">INDEX(球員主檔!$B$2:$B$749,MATCH($B361,球員主檔!$A$2:$A$749,0))</f>
        <v>Marcus Lindquist</v>
      </c>
      <c r="D361" s="7" t="s">
        <v>362</v>
      </c>
      <c r="E361" s="10" t="str">
        <f aca="false">INDEX(球隊主檔!$C$2:$C$31,MATCH($D361,球隊主檔!$A$2:$A$31,0))</f>
        <v>芝加哥白襪</v>
      </c>
      <c r="F361" s="10" t="str">
        <f aca="false">INDEX(球隊主檔!$D$2:$D$31,MATCH($D361,球隊主檔!$A$2:$A$31,0))</f>
        <v>美聯</v>
      </c>
      <c r="G361" s="7" t="s">
        <v>507</v>
      </c>
      <c r="H361" s="11" t="n">
        <f aca="false">INT((DATE($A361,7,1)-INDEX(球員主檔!$G$2:$G$749,MATCH($B361,球員主檔!$A$2:$A$749,0)))/365.25)</f>
        <v>26</v>
      </c>
      <c r="I361" s="12" t="n">
        <v>0</v>
      </c>
      <c r="J361" s="12" t="n">
        <v>6</v>
      </c>
      <c r="K361" s="12" t="n">
        <v>2</v>
      </c>
      <c r="L361" s="12" t="n">
        <v>19</v>
      </c>
      <c r="M361" s="12" t="n">
        <v>48</v>
      </c>
      <c r="N361" s="12" t="n">
        <v>0</v>
      </c>
      <c r="O361" s="12" t="n">
        <v>132</v>
      </c>
      <c r="P361" s="16" t="n">
        <f aca="false">O361/3</f>
        <v>44</v>
      </c>
      <c r="Q361" s="17" t="str">
        <f aca="false">INT(O361/3)&amp;"."&amp;MOD(O361,3)</f>
        <v>44.0</v>
      </c>
      <c r="R361" s="12" t="n">
        <v>35</v>
      </c>
      <c r="S361" s="12" t="n">
        <v>21</v>
      </c>
      <c r="T361" s="12" t="n">
        <v>20</v>
      </c>
      <c r="U361" s="12" t="n">
        <v>4</v>
      </c>
      <c r="V361" s="12" t="n">
        <v>24</v>
      </c>
      <c r="W361" s="12" t="n">
        <v>48</v>
      </c>
      <c r="X361" s="12" t="n">
        <v>3</v>
      </c>
      <c r="Y361" s="18" t="n">
        <f aca="false">IF(O361=0,0,T361*27/O361)</f>
        <v>4.09090909090909</v>
      </c>
      <c r="Z361" s="18" t="n">
        <f aca="false">IF(P361=0,0,(V361+R361)/P361)</f>
        <v>1.34090909090909</v>
      </c>
      <c r="AA361" s="18" t="n">
        <f aca="false">IF(O361=0,0,W361*27/O361)</f>
        <v>9.81818181818182</v>
      </c>
      <c r="AB361" s="18" t="n">
        <f aca="false">IF(O361=0,0,V361*27/O361)</f>
        <v>4.90909090909091</v>
      </c>
      <c r="AC361" s="18" t="n">
        <f aca="false">IF(V361=0,0,W361/V361)</f>
        <v>2</v>
      </c>
      <c r="AD361" s="18" t="n">
        <f aca="false">IF(P361=0,0,(13*U361+3*(V361+X361)-2*W361)/P361+INDEX(球季參數!$C$2:$C$4,MATCH($A361,球季參數!$A$2:$A$4,0)))</f>
        <v>3.94090909090909</v>
      </c>
      <c r="AE361" s="11" t="n">
        <f aca="false">IF(P361&gt;=INDEX(球季參數!$F$2:$F$4,MATCH($A361,球季參數!$A$2:$A$4,0)),1,0)</f>
        <v>0</v>
      </c>
    </row>
    <row r="362" customFormat="false" ht="15" hidden="false" customHeight="false" outlineLevel="0" collapsed="false">
      <c r="A362" s="5" t="n">
        <v>2025</v>
      </c>
      <c r="B362" s="7" t="s">
        <v>737</v>
      </c>
      <c r="C362" s="10" t="str">
        <f aca="false">INDEX(球員主檔!$B$2:$B$749,MATCH($B362,球員主檔!$A$2:$A$749,0))</f>
        <v>Rhett Ibarra</v>
      </c>
      <c r="D362" s="7" t="s">
        <v>367</v>
      </c>
      <c r="E362" s="10" t="str">
        <f aca="false">INDEX(球隊主檔!$C$2:$C$31,MATCH($D362,球隊主檔!$A$2:$A$31,0))</f>
        <v>克里夫蘭守護者</v>
      </c>
      <c r="F362" s="10" t="str">
        <f aca="false">INDEX(球隊主檔!$D$2:$D$31,MATCH($D362,球隊主檔!$A$2:$A$31,0))</f>
        <v>美聯</v>
      </c>
      <c r="G362" s="7" t="s">
        <v>496</v>
      </c>
      <c r="H362" s="11" t="n">
        <f aca="false">INT((DATE($A362,7,1)-INDEX(球員主檔!$G$2:$G$749,MATCH($B362,球員主檔!$A$2:$A$749,0)))/365.25)</f>
        <v>31</v>
      </c>
      <c r="I362" s="12" t="n">
        <v>11</v>
      </c>
      <c r="J362" s="12" t="n">
        <v>7</v>
      </c>
      <c r="K362" s="12" t="n">
        <v>0</v>
      </c>
      <c r="L362" s="12" t="n">
        <v>0</v>
      </c>
      <c r="M362" s="12" t="n">
        <v>29</v>
      </c>
      <c r="N362" s="12" t="n">
        <v>29</v>
      </c>
      <c r="O362" s="12" t="n">
        <v>449</v>
      </c>
      <c r="P362" s="16" t="n">
        <f aca="false">O362/3</f>
        <v>149.666666666667</v>
      </c>
      <c r="Q362" s="17" t="str">
        <f aca="false">INT(O362/3)&amp;"."&amp;MOD(O362,3)</f>
        <v>149.2</v>
      </c>
      <c r="R362" s="12" t="n">
        <v>141</v>
      </c>
      <c r="S362" s="12" t="n">
        <v>90</v>
      </c>
      <c r="T362" s="12" t="n">
        <v>80</v>
      </c>
      <c r="U362" s="12" t="n">
        <v>12</v>
      </c>
      <c r="V362" s="12" t="n">
        <v>65</v>
      </c>
      <c r="W362" s="12" t="n">
        <v>199</v>
      </c>
      <c r="X362" s="12" t="n">
        <v>7</v>
      </c>
      <c r="Y362" s="18" t="n">
        <f aca="false">IF(O362=0,0,T362*27/O362)</f>
        <v>4.81069042316258</v>
      </c>
      <c r="Z362" s="18" t="n">
        <f aca="false">IF(P362=0,0,(V362+R362)/P362)</f>
        <v>1.37639198218263</v>
      </c>
      <c r="AA362" s="18" t="n">
        <f aca="false">IF(O362=0,0,W362*27/O362)</f>
        <v>11.9665924276169</v>
      </c>
      <c r="AB362" s="18" t="n">
        <f aca="false">IF(O362=0,0,V362*27/O362)</f>
        <v>3.9086859688196</v>
      </c>
      <c r="AC362" s="18" t="n">
        <f aca="false">IF(V362=0,0,W362/V362)</f>
        <v>3.06153846153846</v>
      </c>
      <c r="AD362" s="18" t="n">
        <f aca="false">IF(P362=0,0,(13*U362+3*(V362+X362)-2*W362)/P362+INDEX(球季參數!$C$2:$C$4,MATCH($A362,球季參數!$A$2:$A$4,0)))</f>
        <v>2.92628062360802</v>
      </c>
      <c r="AE362" s="11" t="n">
        <f aca="false">IF(P362&gt;=INDEX(球季參數!$F$2:$F$4,MATCH($A362,球季參數!$A$2:$A$4,0)),1,0)</f>
        <v>0</v>
      </c>
    </row>
    <row r="363" customFormat="false" ht="15" hidden="false" customHeight="false" outlineLevel="0" collapsed="false">
      <c r="A363" s="5" t="n">
        <v>2025</v>
      </c>
      <c r="B363" s="7" t="s">
        <v>739</v>
      </c>
      <c r="C363" s="10" t="str">
        <f aca="false">INDEX(球員主檔!$B$2:$B$749,MATCH($B363,球員主檔!$A$2:$A$749,0))</f>
        <v>Emilio Quiroga</v>
      </c>
      <c r="D363" s="7" t="s">
        <v>367</v>
      </c>
      <c r="E363" s="10" t="str">
        <f aca="false">INDEX(球隊主檔!$C$2:$C$31,MATCH($D363,球隊主檔!$A$2:$A$31,0))</f>
        <v>克里夫蘭守護者</v>
      </c>
      <c r="F363" s="10" t="str">
        <f aca="false">INDEX(球隊主檔!$D$2:$D$31,MATCH($D363,球隊主檔!$A$2:$A$31,0))</f>
        <v>美聯</v>
      </c>
      <c r="G363" s="7" t="s">
        <v>496</v>
      </c>
      <c r="H363" s="11" t="n">
        <f aca="false">INT((DATE($A363,7,1)-INDEX(球員主檔!$G$2:$G$749,MATCH($B363,球員主檔!$A$2:$A$749,0)))/365.25)</f>
        <v>32</v>
      </c>
      <c r="I363" s="12" t="n">
        <v>12</v>
      </c>
      <c r="J363" s="12" t="n">
        <v>7</v>
      </c>
      <c r="K363" s="12" t="n">
        <v>0</v>
      </c>
      <c r="L363" s="12" t="n">
        <v>0</v>
      </c>
      <c r="M363" s="12" t="n">
        <v>27</v>
      </c>
      <c r="N363" s="12" t="n">
        <v>27</v>
      </c>
      <c r="O363" s="12" t="n">
        <v>422</v>
      </c>
      <c r="P363" s="16" t="n">
        <f aca="false">O363/3</f>
        <v>140.666666666667</v>
      </c>
      <c r="Q363" s="17" t="str">
        <f aca="false">INT(O363/3)&amp;"."&amp;MOD(O363,3)</f>
        <v>140.2</v>
      </c>
      <c r="R363" s="12" t="n">
        <v>105</v>
      </c>
      <c r="S363" s="12" t="n">
        <v>59</v>
      </c>
      <c r="T363" s="12" t="n">
        <v>58</v>
      </c>
      <c r="U363" s="12" t="n">
        <v>16</v>
      </c>
      <c r="V363" s="12" t="n">
        <v>50</v>
      </c>
      <c r="W363" s="12" t="n">
        <v>118</v>
      </c>
      <c r="X363" s="12" t="n">
        <v>4</v>
      </c>
      <c r="Y363" s="18" t="n">
        <f aca="false">IF(O363=0,0,T363*27/O363)</f>
        <v>3.71090047393365</v>
      </c>
      <c r="Z363" s="18" t="n">
        <f aca="false">IF(P363=0,0,(V363+R363)/P363)</f>
        <v>1.10189573459716</v>
      </c>
      <c r="AA363" s="18" t="n">
        <f aca="false">IF(O363=0,0,W363*27/O363)</f>
        <v>7.54976303317536</v>
      </c>
      <c r="AB363" s="18" t="n">
        <f aca="false">IF(O363=0,0,V363*27/O363)</f>
        <v>3.19905213270142</v>
      </c>
      <c r="AC363" s="18" t="n">
        <f aca="false">IF(V363=0,0,W363/V363)</f>
        <v>2.36</v>
      </c>
      <c r="AD363" s="18" t="n">
        <f aca="false">IF(P363=0,0,(13*U363+3*(V363+X363)-2*W363)/P363+INDEX(球季參數!$C$2:$C$4,MATCH($A363,球季參數!$A$2:$A$4,0)))</f>
        <v>4.05260663507109</v>
      </c>
      <c r="AE363" s="11" t="n">
        <f aca="false">IF(P363&gt;=INDEX(球季參數!$F$2:$F$4,MATCH($A363,球季參數!$A$2:$A$4,0)),1,0)</f>
        <v>0</v>
      </c>
    </row>
    <row r="364" customFormat="false" ht="15" hidden="false" customHeight="false" outlineLevel="0" collapsed="false">
      <c r="A364" s="5" t="n">
        <v>2025</v>
      </c>
      <c r="B364" s="7" t="s">
        <v>741</v>
      </c>
      <c r="C364" s="10" t="str">
        <f aca="false">INDEX(球員主檔!$B$2:$B$749,MATCH($B364,球員主檔!$A$2:$A$749,0))</f>
        <v>Rowan Jovanović</v>
      </c>
      <c r="D364" s="7" t="s">
        <v>367</v>
      </c>
      <c r="E364" s="10" t="str">
        <f aca="false">INDEX(球隊主檔!$C$2:$C$31,MATCH($D364,球隊主檔!$A$2:$A$31,0))</f>
        <v>克里夫蘭守護者</v>
      </c>
      <c r="F364" s="10" t="str">
        <f aca="false">INDEX(球隊主檔!$D$2:$D$31,MATCH($D364,球隊主檔!$A$2:$A$31,0))</f>
        <v>美聯</v>
      </c>
      <c r="G364" s="7" t="s">
        <v>496</v>
      </c>
      <c r="H364" s="11" t="n">
        <f aca="false">INT((DATE($A364,7,1)-INDEX(球員主檔!$G$2:$G$749,MATCH($B364,球員主檔!$A$2:$A$749,0)))/365.25)</f>
        <v>36</v>
      </c>
      <c r="I364" s="12" t="n">
        <v>6</v>
      </c>
      <c r="J364" s="12" t="n">
        <v>8</v>
      </c>
      <c r="K364" s="12" t="n">
        <v>0</v>
      </c>
      <c r="L364" s="12" t="n">
        <v>0</v>
      </c>
      <c r="M364" s="12" t="n">
        <v>26</v>
      </c>
      <c r="N364" s="12" t="n">
        <v>26</v>
      </c>
      <c r="O364" s="12" t="n">
        <v>442</v>
      </c>
      <c r="P364" s="16" t="n">
        <f aca="false">O364/3</f>
        <v>147.333333333333</v>
      </c>
      <c r="Q364" s="17" t="str">
        <f aca="false">INT(O364/3)&amp;"."&amp;MOD(O364,3)</f>
        <v>147.1</v>
      </c>
      <c r="R364" s="12" t="n">
        <v>130</v>
      </c>
      <c r="S364" s="12" t="n">
        <v>90</v>
      </c>
      <c r="T364" s="12" t="n">
        <v>85</v>
      </c>
      <c r="U364" s="12" t="n">
        <v>22</v>
      </c>
      <c r="V364" s="12" t="n">
        <v>44</v>
      </c>
      <c r="W364" s="12" t="n">
        <v>117</v>
      </c>
      <c r="X364" s="12" t="n">
        <v>2</v>
      </c>
      <c r="Y364" s="18" t="n">
        <f aca="false">IF(O364=0,0,T364*27/O364)</f>
        <v>5.19230769230769</v>
      </c>
      <c r="Z364" s="18" t="n">
        <f aca="false">IF(P364=0,0,(V364+R364)/P364)</f>
        <v>1.18099547511312</v>
      </c>
      <c r="AA364" s="18" t="n">
        <f aca="false">IF(O364=0,0,W364*27/O364)</f>
        <v>7.14705882352941</v>
      </c>
      <c r="AB364" s="18" t="n">
        <f aca="false">IF(O364=0,0,V364*27/O364)</f>
        <v>2.68778280542986</v>
      </c>
      <c r="AC364" s="18" t="n">
        <f aca="false">IF(V364=0,0,W364/V364)</f>
        <v>2.65909090909091</v>
      </c>
      <c r="AD364" s="18" t="n">
        <f aca="false">IF(P364=0,0,(13*U364+3*(V364+X364)-2*W364)/P364+INDEX(球季參數!$C$2:$C$4,MATCH($A364,球季參數!$A$2:$A$4,0)))</f>
        <v>4.389592760181</v>
      </c>
      <c r="AE364" s="11" t="n">
        <f aca="false">IF(P364&gt;=INDEX(球季參數!$F$2:$F$4,MATCH($A364,球季參數!$A$2:$A$4,0)),1,0)</f>
        <v>0</v>
      </c>
    </row>
    <row r="365" customFormat="false" ht="15" hidden="false" customHeight="false" outlineLevel="0" collapsed="false">
      <c r="A365" s="5" t="n">
        <v>2025</v>
      </c>
      <c r="B365" s="7" t="s">
        <v>743</v>
      </c>
      <c r="C365" s="10" t="str">
        <f aca="false">INDEX(球員主檔!$B$2:$B$749,MATCH($B365,球員主檔!$A$2:$A$749,0))</f>
        <v>Lorenzo Nakagawa</v>
      </c>
      <c r="D365" s="7" t="s">
        <v>367</v>
      </c>
      <c r="E365" s="10" t="str">
        <f aca="false">INDEX(球隊主檔!$C$2:$C$31,MATCH($D365,球隊主檔!$A$2:$A$31,0))</f>
        <v>克里夫蘭守護者</v>
      </c>
      <c r="F365" s="10" t="str">
        <f aca="false">INDEX(球隊主檔!$D$2:$D$31,MATCH($D365,球隊主檔!$A$2:$A$31,0))</f>
        <v>美聯</v>
      </c>
      <c r="G365" s="7" t="s">
        <v>496</v>
      </c>
      <c r="H365" s="11" t="n">
        <f aca="false">INT((DATE($A365,7,1)-INDEX(球員主檔!$G$2:$G$749,MATCH($B365,球員主檔!$A$2:$A$749,0)))/365.25)</f>
        <v>25</v>
      </c>
      <c r="I365" s="12" t="n">
        <v>12</v>
      </c>
      <c r="J365" s="12" t="n">
        <v>5</v>
      </c>
      <c r="K365" s="12" t="n">
        <v>0</v>
      </c>
      <c r="L365" s="12" t="n">
        <v>0</v>
      </c>
      <c r="M365" s="12" t="n">
        <v>30</v>
      </c>
      <c r="N365" s="12" t="n">
        <v>30</v>
      </c>
      <c r="O365" s="12" t="n">
        <v>452</v>
      </c>
      <c r="P365" s="16" t="n">
        <f aca="false">O365/3</f>
        <v>150.666666666667</v>
      </c>
      <c r="Q365" s="17" t="str">
        <f aca="false">INT(O365/3)&amp;"."&amp;MOD(O365,3)</f>
        <v>150.2</v>
      </c>
      <c r="R365" s="12" t="n">
        <v>124</v>
      </c>
      <c r="S365" s="12" t="n">
        <v>65</v>
      </c>
      <c r="T365" s="12" t="n">
        <v>63</v>
      </c>
      <c r="U365" s="12" t="n">
        <v>25</v>
      </c>
      <c r="V365" s="12" t="n">
        <v>39</v>
      </c>
      <c r="W365" s="12" t="n">
        <v>167</v>
      </c>
      <c r="X365" s="12" t="n">
        <v>6</v>
      </c>
      <c r="Y365" s="18" t="n">
        <f aca="false">IF(O365=0,0,T365*27/O365)</f>
        <v>3.76327433628319</v>
      </c>
      <c r="Z365" s="18" t="n">
        <f aca="false">IF(P365=0,0,(V365+R365)/P365)</f>
        <v>1.08185840707965</v>
      </c>
      <c r="AA365" s="18" t="n">
        <f aca="false">IF(O365=0,0,W365*27/O365)</f>
        <v>9.97566371681416</v>
      </c>
      <c r="AB365" s="18" t="n">
        <f aca="false">IF(O365=0,0,V365*27/O365)</f>
        <v>2.32964601769912</v>
      </c>
      <c r="AC365" s="18" t="n">
        <f aca="false">IF(V365=0,0,W365/V365)</f>
        <v>4.28205128205128</v>
      </c>
      <c r="AD365" s="18" t="n">
        <f aca="false">IF(P365=0,0,(13*U365+3*(V365+X365)-2*W365)/P365+INDEX(球季參數!$C$2:$C$4,MATCH($A365,球季參數!$A$2:$A$4,0)))</f>
        <v>3.93628318584071</v>
      </c>
      <c r="AE365" s="11" t="n">
        <f aca="false">IF(P365&gt;=INDEX(球季參數!$F$2:$F$4,MATCH($A365,球季參數!$A$2:$A$4,0)),1,0)</f>
        <v>0</v>
      </c>
    </row>
    <row r="366" customFormat="false" ht="15" hidden="false" customHeight="false" outlineLevel="0" collapsed="false">
      <c r="A366" s="5" t="n">
        <v>2025</v>
      </c>
      <c r="B366" s="7" t="s">
        <v>745</v>
      </c>
      <c r="C366" s="10" t="str">
        <f aca="false">INDEX(球員主檔!$B$2:$B$749,MATCH($B366,球員主檔!$A$2:$A$749,0))</f>
        <v>Landon Blackwood</v>
      </c>
      <c r="D366" s="7" t="s">
        <v>367</v>
      </c>
      <c r="E366" s="10" t="str">
        <f aca="false">INDEX(球隊主檔!$C$2:$C$31,MATCH($D366,球隊主檔!$A$2:$A$31,0))</f>
        <v>克里夫蘭守護者</v>
      </c>
      <c r="F366" s="10" t="str">
        <f aca="false">INDEX(球隊主檔!$D$2:$D$31,MATCH($D366,球隊主檔!$A$2:$A$31,0))</f>
        <v>美聯</v>
      </c>
      <c r="G366" s="7" t="s">
        <v>496</v>
      </c>
      <c r="H366" s="11" t="n">
        <f aca="false">INT((DATE($A366,7,1)-INDEX(球員主檔!$G$2:$G$749,MATCH($B366,球員主檔!$A$2:$A$749,0)))/365.25)</f>
        <v>30</v>
      </c>
      <c r="I366" s="12" t="n">
        <v>9</v>
      </c>
      <c r="J366" s="12" t="n">
        <v>4</v>
      </c>
      <c r="K366" s="12" t="n">
        <v>0</v>
      </c>
      <c r="L366" s="12" t="n">
        <v>0</v>
      </c>
      <c r="M366" s="12" t="n">
        <v>23</v>
      </c>
      <c r="N366" s="12" t="n">
        <v>23</v>
      </c>
      <c r="O366" s="12" t="n">
        <v>412</v>
      </c>
      <c r="P366" s="16" t="n">
        <f aca="false">O366/3</f>
        <v>137.333333333333</v>
      </c>
      <c r="Q366" s="17" t="str">
        <f aca="false">INT(O366/3)&amp;"."&amp;MOD(O366,3)</f>
        <v>137.1</v>
      </c>
      <c r="R366" s="12" t="n">
        <v>107</v>
      </c>
      <c r="S366" s="12" t="n">
        <v>56</v>
      </c>
      <c r="T366" s="12" t="n">
        <v>50</v>
      </c>
      <c r="U366" s="12" t="n">
        <v>25</v>
      </c>
      <c r="V366" s="12" t="n">
        <v>55</v>
      </c>
      <c r="W366" s="12" t="n">
        <v>152</v>
      </c>
      <c r="X366" s="12" t="n">
        <v>3</v>
      </c>
      <c r="Y366" s="18" t="n">
        <f aca="false">IF(O366=0,0,T366*27/O366)</f>
        <v>3.27669902912621</v>
      </c>
      <c r="Z366" s="18" t="n">
        <f aca="false">IF(P366=0,0,(V366+R366)/P366)</f>
        <v>1.17961165048544</v>
      </c>
      <c r="AA366" s="18" t="n">
        <f aca="false">IF(O366=0,0,W366*27/O366)</f>
        <v>9.96116504854369</v>
      </c>
      <c r="AB366" s="18" t="n">
        <f aca="false">IF(O366=0,0,V366*27/O366)</f>
        <v>3.60436893203884</v>
      </c>
      <c r="AC366" s="18" t="n">
        <f aca="false">IF(V366=0,0,W366/V366)</f>
        <v>2.76363636363636</v>
      </c>
      <c r="AD366" s="18" t="n">
        <f aca="false">IF(P366=0,0,(13*U366+3*(V366+X366)-2*W366)/P366+INDEX(球季參數!$C$2:$C$4,MATCH($A366,球季參數!$A$2:$A$4,0)))</f>
        <v>4.51990291262136</v>
      </c>
      <c r="AE366" s="11" t="n">
        <f aca="false">IF(P366&gt;=INDEX(球季參數!$F$2:$F$4,MATCH($A366,球季參數!$A$2:$A$4,0)),1,0)</f>
        <v>0</v>
      </c>
    </row>
    <row r="367" customFormat="false" ht="15" hidden="false" customHeight="false" outlineLevel="0" collapsed="false">
      <c r="A367" s="5" t="n">
        <v>2025</v>
      </c>
      <c r="B367" s="7" t="s">
        <v>747</v>
      </c>
      <c r="C367" s="10" t="str">
        <f aca="false">INDEX(球員主檔!$B$2:$B$749,MATCH($B367,球員主檔!$A$2:$A$749,0))</f>
        <v>Barrett Zbornak</v>
      </c>
      <c r="D367" s="7" t="s">
        <v>367</v>
      </c>
      <c r="E367" s="10" t="str">
        <f aca="false">INDEX(球隊主檔!$C$2:$C$31,MATCH($D367,球隊主檔!$A$2:$A$31,0))</f>
        <v>克里夫蘭守護者</v>
      </c>
      <c r="F367" s="10" t="str">
        <f aca="false">INDEX(球隊主檔!$D$2:$D$31,MATCH($D367,球隊主檔!$A$2:$A$31,0))</f>
        <v>美聯</v>
      </c>
      <c r="G367" s="7" t="s">
        <v>507</v>
      </c>
      <c r="H367" s="11" t="n">
        <f aca="false">INT((DATE($A367,7,1)-INDEX(球員主檔!$G$2:$G$749,MATCH($B367,球員主檔!$A$2:$A$749,0)))/365.25)</f>
        <v>27</v>
      </c>
      <c r="I367" s="12" t="n">
        <v>5</v>
      </c>
      <c r="J367" s="12" t="n">
        <v>7</v>
      </c>
      <c r="K367" s="12" t="n">
        <v>30</v>
      </c>
      <c r="L367" s="12" t="n">
        <v>4</v>
      </c>
      <c r="M367" s="12" t="n">
        <v>70</v>
      </c>
      <c r="N367" s="12" t="n">
        <v>0</v>
      </c>
      <c r="O367" s="12" t="n">
        <v>212</v>
      </c>
      <c r="P367" s="16" t="n">
        <f aca="false">O367/3</f>
        <v>70.6666666666667</v>
      </c>
      <c r="Q367" s="17" t="str">
        <f aca="false">INT(O367/3)&amp;"."&amp;MOD(O367,3)</f>
        <v>70.2</v>
      </c>
      <c r="R367" s="12" t="n">
        <v>59</v>
      </c>
      <c r="S367" s="12" t="n">
        <v>31</v>
      </c>
      <c r="T367" s="12" t="n">
        <v>31</v>
      </c>
      <c r="U367" s="12" t="n">
        <v>5</v>
      </c>
      <c r="V367" s="12" t="n">
        <v>38</v>
      </c>
      <c r="W367" s="12" t="n">
        <v>87</v>
      </c>
      <c r="X367" s="12" t="n">
        <v>2</v>
      </c>
      <c r="Y367" s="18" t="n">
        <f aca="false">IF(O367=0,0,T367*27/O367)</f>
        <v>3.94811320754717</v>
      </c>
      <c r="Z367" s="18" t="n">
        <f aca="false">IF(P367=0,0,(V367+R367)/P367)</f>
        <v>1.37264150943396</v>
      </c>
      <c r="AA367" s="18" t="n">
        <f aca="false">IF(O367=0,0,W367*27/O367)</f>
        <v>11.0801886792453</v>
      </c>
      <c r="AB367" s="18" t="n">
        <f aca="false">IF(O367=0,0,V367*27/O367)</f>
        <v>4.83962264150943</v>
      </c>
      <c r="AC367" s="18" t="n">
        <f aca="false">IF(V367=0,0,W367/V367)</f>
        <v>2.28947368421053</v>
      </c>
      <c r="AD367" s="18" t="n">
        <f aca="false">IF(P367=0,0,(13*U367+3*(V367+X367)-2*W367)/P367+INDEX(球季參數!$C$2:$C$4,MATCH($A367,球季參數!$A$2:$A$4,0)))</f>
        <v>3.25566037735849</v>
      </c>
      <c r="AE367" s="11" t="n">
        <f aca="false">IF(P367&gt;=INDEX(球季參數!$F$2:$F$4,MATCH($A367,球季參數!$A$2:$A$4,0)),1,0)</f>
        <v>0</v>
      </c>
    </row>
    <row r="368" customFormat="false" ht="15" hidden="false" customHeight="false" outlineLevel="0" collapsed="false">
      <c r="A368" s="5" t="n">
        <v>2025</v>
      </c>
      <c r="B368" s="7" t="s">
        <v>1701</v>
      </c>
      <c r="C368" s="10" t="str">
        <f aca="false">INDEX(球員主檔!$B$2:$B$749,MATCH($B368,球員主檔!$A$2:$A$749,0))</f>
        <v>Jedidiah Yamazaki</v>
      </c>
      <c r="D368" s="7" t="s">
        <v>367</v>
      </c>
      <c r="E368" s="10" t="str">
        <f aca="false">INDEX(球隊主檔!$C$2:$C$31,MATCH($D368,球隊主檔!$A$2:$A$31,0))</f>
        <v>克里夫蘭守護者</v>
      </c>
      <c r="F368" s="10" t="str">
        <f aca="false">INDEX(球隊主檔!$D$2:$D$31,MATCH($D368,球隊主檔!$A$2:$A$31,0))</f>
        <v>美聯</v>
      </c>
      <c r="G368" s="7" t="s">
        <v>507</v>
      </c>
      <c r="H368" s="11" t="n">
        <f aca="false">INT((DATE($A368,7,1)-INDEX(球員主檔!$G$2:$G$749,MATCH($B368,球員主檔!$A$2:$A$749,0)))/365.25)</f>
        <v>20</v>
      </c>
      <c r="I368" s="12" t="n">
        <v>0</v>
      </c>
      <c r="J368" s="12" t="n">
        <v>8</v>
      </c>
      <c r="K368" s="12" t="n">
        <v>1</v>
      </c>
      <c r="L368" s="12" t="n">
        <v>5</v>
      </c>
      <c r="M368" s="12" t="n">
        <v>40</v>
      </c>
      <c r="N368" s="12" t="n">
        <v>0</v>
      </c>
      <c r="O368" s="12" t="n">
        <v>106</v>
      </c>
      <c r="P368" s="16" t="n">
        <f aca="false">O368/3</f>
        <v>35.3333333333333</v>
      </c>
      <c r="Q368" s="17" t="str">
        <f aca="false">INT(O368/3)&amp;"."&amp;MOD(O368,3)</f>
        <v>35.1</v>
      </c>
      <c r="R368" s="12" t="n">
        <v>29</v>
      </c>
      <c r="S368" s="12" t="n">
        <v>18</v>
      </c>
      <c r="T368" s="12" t="n">
        <v>17</v>
      </c>
      <c r="U368" s="12" t="n">
        <v>9</v>
      </c>
      <c r="V368" s="12" t="n">
        <v>12</v>
      </c>
      <c r="W368" s="12" t="n">
        <v>39</v>
      </c>
      <c r="X368" s="12" t="n">
        <v>1</v>
      </c>
      <c r="Y368" s="18" t="n">
        <f aca="false">IF(O368=0,0,T368*27/O368)</f>
        <v>4.33018867924528</v>
      </c>
      <c r="Z368" s="18" t="n">
        <f aca="false">IF(P368=0,0,(V368+R368)/P368)</f>
        <v>1.16037735849057</v>
      </c>
      <c r="AA368" s="18" t="n">
        <f aca="false">IF(O368=0,0,W368*27/O368)</f>
        <v>9.93396226415094</v>
      </c>
      <c r="AB368" s="18" t="n">
        <f aca="false">IF(O368=0,0,V368*27/O368)</f>
        <v>3.05660377358491</v>
      </c>
      <c r="AC368" s="18" t="n">
        <f aca="false">IF(V368=0,0,W368/V368)</f>
        <v>3.25</v>
      </c>
      <c r="AD368" s="18" t="n">
        <f aca="false">IF(P368=0,0,(13*U368+3*(V368+X368)-2*W368)/P368+INDEX(球季參數!$C$2:$C$4,MATCH($A368,球季參數!$A$2:$A$4,0)))</f>
        <v>5.30754716981132</v>
      </c>
      <c r="AE368" s="11" t="n">
        <f aca="false">IF(P368&gt;=INDEX(球季參數!$F$2:$F$4,MATCH($A368,球季參數!$A$2:$A$4,0)),1,0)</f>
        <v>0</v>
      </c>
    </row>
    <row r="369" customFormat="false" ht="15" hidden="false" customHeight="false" outlineLevel="0" collapsed="false">
      <c r="A369" s="5" t="n">
        <v>2025</v>
      </c>
      <c r="B369" s="7" t="s">
        <v>751</v>
      </c>
      <c r="C369" s="10" t="str">
        <f aca="false">INDEX(球員主檔!$B$2:$B$749,MATCH($B369,球員主檔!$A$2:$A$749,0))</f>
        <v>Cedric Eberhardt</v>
      </c>
      <c r="D369" s="7" t="s">
        <v>367</v>
      </c>
      <c r="E369" s="10" t="str">
        <f aca="false">INDEX(球隊主檔!$C$2:$C$31,MATCH($D369,球隊主檔!$A$2:$A$31,0))</f>
        <v>克里夫蘭守護者</v>
      </c>
      <c r="F369" s="10" t="str">
        <f aca="false">INDEX(球隊主檔!$D$2:$D$31,MATCH($D369,球隊主檔!$A$2:$A$31,0))</f>
        <v>美聯</v>
      </c>
      <c r="G369" s="7" t="s">
        <v>507</v>
      </c>
      <c r="H369" s="11" t="n">
        <f aca="false">INT((DATE($A369,7,1)-INDEX(球員主檔!$G$2:$G$749,MATCH($B369,球員主檔!$A$2:$A$749,0)))/365.25)</f>
        <v>25</v>
      </c>
      <c r="I369" s="12" t="n">
        <v>3</v>
      </c>
      <c r="J369" s="12" t="n">
        <v>2</v>
      </c>
      <c r="K369" s="12" t="n">
        <v>1</v>
      </c>
      <c r="L369" s="12" t="n">
        <v>20</v>
      </c>
      <c r="M369" s="12" t="n">
        <v>65</v>
      </c>
      <c r="N369" s="12" t="n">
        <v>0</v>
      </c>
      <c r="O369" s="12" t="n">
        <v>191</v>
      </c>
      <c r="P369" s="16" t="n">
        <f aca="false">O369/3</f>
        <v>63.6666666666667</v>
      </c>
      <c r="Q369" s="17" t="str">
        <f aca="false">INT(O369/3)&amp;"."&amp;MOD(O369,3)</f>
        <v>63.2</v>
      </c>
      <c r="R369" s="12" t="n">
        <v>44</v>
      </c>
      <c r="S369" s="12" t="n">
        <v>18</v>
      </c>
      <c r="T369" s="12" t="n">
        <v>17</v>
      </c>
      <c r="U369" s="12" t="n">
        <v>6</v>
      </c>
      <c r="V369" s="12" t="n">
        <v>17</v>
      </c>
      <c r="W369" s="12" t="n">
        <v>78</v>
      </c>
      <c r="X369" s="12" t="n">
        <v>3</v>
      </c>
      <c r="Y369" s="18" t="n">
        <f aca="false">IF(O369=0,0,T369*27/O369)</f>
        <v>2.40314136125654</v>
      </c>
      <c r="Z369" s="18" t="n">
        <f aca="false">IF(P369=0,0,(V369+R369)/P369)</f>
        <v>0.958115183246073</v>
      </c>
      <c r="AA369" s="18" t="n">
        <f aca="false">IF(O369=0,0,W369*27/O369)</f>
        <v>11.0261780104712</v>
      </c>
      <c r="AB369" s="18" t="n">
        <f aca="false">IF(O369=0,0,V369*27/O369)</f>
        <v>2.40314136125654</v>
      </c>
      <c r="AC369" s="18" t="n">
        <f aca="false">IF(V369=0,0,W369/V369)</f>
        <v>4.58823529411765</v>
      </c>
      <c r="AD369" s="18" t="n">
        <f aca="false">IF(P369=0,0,(13*U369+3*(V369+X369)-2*W369)/P369+INDEX(球季參數!$C$2:$C$4,MATCH($A369,球季參數!$A$2:$A$4,0)))</f>
        <v>2.817277486911</v>
      </c>
      <c r="AE369" s="11" t="n">
        <f aca="false">IF(P369&gt;=INDEX(球季參數!$F$2:$F$4,MATCH($A369,球季參數!$A$2:$A$4,0)),1,0)</f>
        <v>0</v>
      </c>
    </row>
    <row r="370" customFormat="false" ht="15" hidden="false" customHeight="false" outlineLevel="0" collapsed="false">
      <c r="A370" s="5" t="n">
        <v>2025</v>
      </c>
      <c r="B370" s="7" t="s">
        <v>753</v>
      </c>
      <c r="C370" s="10" t="str">
        <f aca="false">INDEX(球員主檔!$B$2:$B$749,MATCH($B370,球員主檔!$A$2:$A$749,0))</f>
        <v>Fletcher Vandermeer</v>
      </c>
      <c r="D370" s="7" t="s">
        <v>367</v>
      </c>
      <c r="E370" s="10" t="str">
        <f aca="false">INDEX(球隊主檔!$C$2:$C$31,MATCH($D370,球隊主檔!$A$2:$A$31,0))</f>
        <v>克里夫蘭守護者</v>
      </c>
      <c r="F370" s="10" t="str">
        <f aca="false">INDEX(球隊主檔!$D$2:$D$31,MATCH($D370,球隊主檔!$A$2:$A$31,0))</f>
        <v>美聯</v>
      </c>
      <c r="G370" s="7" t="s">
        <v>507</v>
      </c>
      <c r="H370" s="11" t="n">
        <f aca="false">INT((DATE($A370,7,1)-INDEX(球員主檔!$G$2:$G$749,MATCH($B370,球員主檔!$A$2:$A$749,0)))/365.25)</f>
        <v>30</v>
      </c>
      <c r="I370" s="12" t="n">
        <v>5</v>
      </c>
      <c r="J370" s="12" t="n">
        <v>6</v>
      </c>
      <c r="K370" s="12" t="n">
        <v>5</v>
      </c>
      <c r="L370" s="12" t="n">
        <v>19</v>
      </c>
      <c r="M370" s="12" t="n">
        <v>65</v>
      </c>
      <c r="N370" s="12" t="n">
        <v>0</v>
      </c>
      <c r="O370" s="12" t="n">
        <v>207</v>
      </c>
      <c r="P370" s="16" t="n">
        <f aca="false">O370/3</f>
        <v>69</v>
      </c>
      <c r="Q370" s="17" t="str">
        <f aca="false">INT(O370/3)&amp;"."&amp;MOD(O370,3)</f>
        <v>69.0</v>
      </c>
      <c r="R370" s="12" t="n">
        <v>68</v>
      </c>
      <c r="S370" s="12" t="n">
        <v>47</v>
      </c>
      <c r="T370" s="12" t="n">
        <v>47</v>
      </c>
      <c r="U370" s="12" t="n">
        <v>7</v>
      </c>
      <c r="V370" s="12" t="n">
        <v>15</v>
      </c>
      <c r="W370" s="12" t="n">
        <v>79</v>
      </c>
      <c r="X370" s="12" t="n">
        <v>3</v>
      </c>
      <c r="Y370" s="18" t="n">
        <f aca="false">IF(O370=0,0,T370*27/O370)</f>
        <v>6.1304347826087</v>
      </c>
      <c r="Z370" s="18" t="n">
        <f aca="false">IF(P370=0,0,(V370+R370)/P370)</f>
        <v>1.20289855072464</v>
      </c>
      <c r="AA370" s="18" t="n">
        <f aca="false">IF(O370=0,0,W370*27/O370)</f>
        <v>10.304347826087</v>
      </c>
      <c r="AB370" s="18" t="n">
        <f aca="false">IF(O370=0,0,V370*27/O370)</f>
        <v>1.95652173913043</v>
      </c>
      <c r="AC370" s="18" t="n">
        <f aca="false">IF(V370=0,0,W370/V370)</f>
        <v>5.26666666666667</v>
      </c>
      <c r="AD370" s="18" t="n">
        <f aca="false">IF(P370=0,0,(13*U370+3*(V370+X370)-2*W370)/P370+INDEX(球季參數!$C$2:$C$4,MATCH($A370,球季參數!$A$2:$A$4,0)))</f>
        <v>2.91159420289855</v>
      </c>
      <c r="AE370" s="11" t="n">
        <f aca="false">IF(P370&gt;=INDEX(球季參數!$F$2:$F$4,MATCH($A370,球季參數!$A$2:$A$4,0)),1,0)</f>
        <v>0</v>
      </c>
    </row>
    <row r="371" customFormat="false" ht="15" hidden="false" customHeight="false" outlineLevel="0" collapsed="false">
      <c r="A371" s="5" t="n">
        <v>2025</v>
      </c>
      <c r="B371" s="7" t="s">
        <v>755</v>
      </c>
      <c r="C371" s="10" t="str">
        <f aca="false">INDEX(球員主檔!$B$2:$B$749,MATCH($B371,球員主檔!$A$2:$A$749,0))</f>
        <v>Ronin Underhill</v>
      </c>
      <c r="D371" s="7" t="s">
        <v>367</v>
      </c>
      <c r="E371" s="10" t="str">
        <f aca="false">INDEX(球隊主檔!$C$2:$C$31,MATCH($D371,球隊主檔!$A$2:$A$31,0))</f>
        <v>克里夫蘭守護者</v>
      </c>
      <c r="F371" s="10" t="str">
        <f aca="false">INDEX(球隊主檔!$D$2:$D$31,MATCH($D371,球隊主檔!$A$2:$A$31,0))</f>
        <v>美聯</v>
      </c>
      <c r="G371" s="7" t="s">
        <v>507</v>
      </c>
      <c r="H371" s="11" t="n">
        <f aca="false">INT((DATE($A371,7,1)-INDEX(球員主檔!$G$2:$G$749,MATCH($B371,球員主檔!$A$2:$A$749,0)))/365.25)</f>
        <v>34</v>
      </c>
      <c r="I371" s="12" t="n">
        <v>8</v>
      </c>
      <c r="J371" s="12" t="n">
        <v>1</v>
      </c>
      <c r="K371" s="12" t="n">
        <v>1</v>
      </c>
      <c r="L371" s="12" t="n">
        <v>27</v>
      </c>
      <c r="M371" s="12" t="n">
        <v>56</v>
      </c>
      <c r="N371" s="12" t="n">
        <v>0</v>
      </c>
      <c r="O371" s="12" t="n">
        <v>181</v>
      </c>
      <c r="P371" s="16" t="n">
        <f aca="false">O371/3</f>
        <v>60.3333333333333</v>
      </c>
      <c r="Q371" s="17" t="str">
        <f aca="false">INT(O371/3)&amp;"."&amp;MOD(O371,3)</f>
        <v>60.1</v>
      </c>
      <c r="R371" s="12" t="n">
        <v>46</v>
      </c>
      <c r="S371" s="12" t="n">
        <v>23</v>
      </c>
      <c r="T371" s="12" t="n">
        <v>21</v>
      </c>
      <c r="U371" s="12" t="n">
        <v>14</v>
      </c>
      <c r="V371" s="12" t="n">
        <v>15</v>
      </c>
      <c r="W371" s="12" t="n">
        <v>57</v>
      </c>
      <c r="X371" s="12" t="n">
        <v>1</v>
      </c>
      <c r="Y371" s="18" t="n">
        <f aca="false">IF(O371=0,0,T371*27/O371)</f>
        <v>3.13259668508287</v>
      </c>
      <c r="Z371" s="18" t="n">
        <f aca="false">IF(P371=0,0,(V371+R371)/P371)</f>
        <v>1.01104972375691</v>
      </c>
      <c r="AA371" s="18" t="n">
        <f aca="false">IF(O371=0,0,W371*27/O371)</f>
        <v>8.50276243093923</v>
      </c>
      <c r="AB371" s="18" t="n">
        <f aca="false">IF(O371=0,0,V371*27/O371)</f>
        <v>2.23756906077348</v>
      </c>
      <c r="AC371" s="18" t="n">
        <f aca="false">IF(V371=0,0,W371/V371)</f>
        <v>3.8</v>
      </c>
      <c r="AD371" s="18" t="n">
        <f aca="false">IF(P371=0,0,(13*U371+3*(V371+X371)-2*W371)/P371+INDEX(球季參數!$C$2:$C$4,MATCH($A371,球季參數!$A$2:$A$4,0)))</f>
        <v>5.02265193370166</v>
      </c>
      <c r="AE371" s="11" t="n">
        <f aca="false">IF(P371&gt;=INDEX(球季參數!$F$2:$F$4,MATCH($A371,球季參數!$A$2:$A$4,0)),1,0)</f>
        <v>0</v>
      </c>
    </row>
    <row r="372" customFormat="false" ht="15" hidden="false" customHeight="false" outlineLevel="0" collapsed="false">
      <c r="A372" s="5" t="n">
        <v>2025</v>
      </c>
      <c r="B372" s="7" t="s">
        <v>777</v>
      </c>
      <c r="C372" s="10" t="str">
        <f aca="false">INDEX(球員主檔!$B$2:$B$749,MATCH($B372,球員主檔!$A$2:$A$749,0))</f>
        <v>Jasper Goddard</v>
      </c>
      <c r="D372" s="7" t="s">
        <v>371</v>
      </c>
      <c r="E372" s="10" t="str">
        <f aca="false">INDEX(球隊主檔!$C$2:$C$31,MATCH($D372,球隊主檔!$A$2:$A$31,0))</f>
        <v>底特律老虎</v>
      </c>
      <c r="F372" s="10" t="str">
        <f aca="false">INDEX(球隊主檔!$D$2:$D$31,MATCH($D372,球隊主檔!$A$2:$A$31,0))</f>
        <v>美聯</v>
      </c>
      <c r="G372" s="7" t="s">
        <v>496</v>
      </c>
      <c r="H372" s="11" t="n">
        <f aca="false">INT((DATE($A372,7,1)-INDEX(球員主檔!$G$2:$G$749,MATCH($B372,球員主檔!$A$2:$A$749,0)))/365.25)</f>
        <v>23</v>
      </c>
      <c r="I372" s="12" t="n">
        <v>5</v>
      </c>
      <c r="J372" s="12" t="n">
        <v>11</v>
      </c>
      <c r="K372" s="12" t="n">
        <v>0</v>
      </c>
      <c r="L372" s="12" t="n">
        <v>0</v>
      </c>
      <c r="M372" s="12" t="n">
        <v>28</v>
      </c>
      <c r="N372" s="12" t="n">
        <v>28</v>
      </c>
      <c r="O372" s="12" t="n">
        <v>429</v>
      </c>
      <c r="P372" s="16" t="n">
        <f aca="false">O372/3</f>
        <v>143</v>
      </c>
      <c r="Q372" s="17" t="str">
        <f aca="false">INT(O372/3)&amp;"."&amp;MOD(O372,3)</f>
        <v>143.0</v>
      </c>
      <c r="R372" s="12" t="n">
        <v>140</v>
      </c>
      <c r="S372" s="12" t="n">
        <v>104</v>
      </c>
      <c r="T372" s="12" t="n">
        <v>93</v>
      </c>
      <c r="U372" s="12" t="n">
        <v>9</v>
      </c>
      <c r="V372" s="12" t="n">
        <v>47</v>
      </c>
      <c r="W372" s="12" t="n">
        <v>152</v>
      </c>
      <c r="X372" s="12" t="n">
        <v>3</v>
      </c>
      <c r="Y372" s="18" t="n">
        <f aca="false">IF(O372=0,0,T372*27/O372)</f>
        <v>5.85314685314685</v>
      </c>
      <c r="Z372" s="18" t="n">
        <f aca="false">IF(P372=0,0,(V372+R372)/P372)</f>
        <v>1.30769230769231</v>
      </c>
      <c r="AA372" s="18" t="n">
        <f aca="false">IF(O372=0,0,W372*27/O372)</f>
        <v>9.56643356643357</v>
      </c>
      <c r="AB372" s="18" t="n">
        <f aca="false">IF(O372=0,0,V372*27/O372)</f>
        <v>2.95804195804196</v>
      </c>
      <c r="AC372" s="18" t="n">
        <f aca="false">IF(V372=0,0,W372/V372)</f>
        <v>3.23404255319149</v>
      </c>
      <c r="AD372" s="18" t="n">
        <f aca="false">IF(P372=0,0,(13*U372+3*(V372+X372)-2*W372)/P372+INDEX(球季參數!$C$2:$C$4,MATCH($A372,球季參數!$A$2:$A$4,0)))</f>
        <v>2.84125874125874</v>
      </c>
      <c r="AE372" s="11" t="n">
        <f aca="false">IF(P372&gt;=INDEX(球季參數!$F$2:$F$4,MATCH($A372,球季參數!$A$2:$A$4,0)),1,0)</f>
        <v>0</v>
      </c>
    </row>
    <row r="373" customFormat="false" ht="15" hidden="false" customHeight="false" outlineLevel="0" collapsed="false">
      <c r="A373" s="5" t="n">
        <v>2025</v>
      </c>
      <c r="B373" s="7" t="s">
        <v>779</v>
      </c>
      <c r="C373" s="10" t="str">
        <f aca="false">INDEX(球員主檔!$B$2:$B$749,MATCH($B373,球員主檔!$A$2:$A$749,0))</f>
        <v>Sousuke Blackwood</v>
      </c>
      <c r="D373" s="7" t="s">
        <v>371</v>
      </c>
      <c r="E373" s="10" t="str">
        <f aca="false">INDEX(球隊主檔!$C$2:$C$31,MATCH($D373,球隊主檔!$A$2:$A$31,0))</f>
        <v>底特律老虎</v>
      </c>
      <c r="F373" s="10" t="str">
        <f aca="false">INDEX(球隊主檔!$D$2:$D$31,MATCH($D373,球隊主檔!$A$2:$A$31,0))</f>
        <v>美聯</v>
      </c>
      <c r="G373" s="7" t="s">
        <v>496</v>
      </c>
      <c r="H373" s="11" t="n">
        <f aca="false">INT((DATE($A373,7,1)-INDEX(球員主檔!$G$2:$G$749,MATCH($B373,球員主檔!$A$2:$A$749,0)))/365.25)</f>
        <v>29</v>
      </c>
      <c r="I373" s="12" t="n">
        <v>5</v>
      </c>
      <c r="J373" s="12" t="n">
        <v>9</v>
      </c>
      <c r="K373" s="12" t="n">
        <v>0</v>
      </c>
      <c r="L373" s="12" t="n">
        <v>0</v>
      </c>
      <c r="M373" s="12" t="n">
        <v>22</v>
      </c>
      <c r="N373" s="12" t="n">
        <v>22</v>
      </c>
      <c r="O373" s="12" t="n">
        <v>344</v>
      </c>
      <c r="P373" s="16" t="n">
        <f aca="false">O373/3</f>
        <v>114.666666666667</v>
      </c>
      <c r="Q373" s="17" t="str">
        <f aca="false">INT(O373/3)&amp;"."&amp;MOD(O373,3)</f>
        <v>114.2</v>
      </c>
      <c r="R373" s="12" t="n">
        <v>121</v>
      </c>
      <c r="S373" s="12" t="n">
        <v>82</v>
      </c>
      <c r="T373" s="12" t="n">
        <v>77</v>
      </c>
      <c r="U373" s="12" t="n">
        <v>12</v>
      </c>
      <c r="V373" s="12" t="n">
        <v>27</v>
      </c>
      <c r="W373" s="12" t="n">
        <v>87</v>
      </c>
      <c r="X373" s="12" t="n">
        <v>2</v>
      </c>
      <c r="Y373" s="18" t="n">
        <f aca="false">IF(O373=0,0,T373*27/O373)</f>
        <v>6.04360465116279</v>
      </c>
      <c r="Z373" s="18" t="n">
        <f aca="false">IF(P373=0,0,(V373+R373)/P373)</f>
        <v>1.2906976744186</v>
      </c>
      <c r="AA373" s="18" t="n">
        <f aca="false">IF(O373=0,0,W373*27/O373)</f>
        <v>6.82848837209302</v>
      </c>
      <c r="AB373" s="18" t="n">
        <f aca="false">IF(O373=0,0,V373*27/O373)</f>
        <v>2.11918604651163</v>
      </c>
      <c r="AC373" s="18" t="n">
        <f aca="false">IF(V373=0,0,W373/V373)</f>
        <v>3.22222222222222</v>
      </c>
      <c r="AD373" s="18" t="n">
        <f aca="false">IF(P373=0,0,(13*U373+3*(V373+X373)-2*W373)/P373+INDEX(球季參數!$C$2:$C$4,MATCH($A373,球季參數!$A$2:$A$4,0)))</f>
        <v>3.70174418604651</v>
      </c>
      <c r="AE373" s="11" t="n">
        <f aca="false">IF(P373&gt;=INDEX(球季參數!$F$2:$F$4,MATCH($A373,球季參數!$A$2:$A$4,0)),1,0)</f>
        <v>0</v>
      </c>
    </row>
    <row r="374" customFormat="false" ht="15" hidden="false" customHeight="false" outlineLevel="0" collapsed="false">
      <c r="A374" s="5" t="n">
        <v>2025</v>
      </c>
      <c r="B374" s="7" t="s">
        <v>781</v>
      </c>
      <c r="C374" s="10" t="str">
        <f aca="false">INDEX(球員主檔!$B$2:$B$749,MATCH($B374,球員主檔!$A$2:$A$749,0))</f>
        <v>Ronin Oyelaran</v>
      </c>
      <c r="D374" s="7" t="s">
        <v>371</v>
      </c>
      <c r="E374" s="10" t="str">
        <f aca="false">INDEX(球隊主檔!$C$2:$C$31,MATCH($D374,球隊主檔!$A$2:$A$31,0))</f>
        <v>底特律老虎</v>
      </c>
      <c r="F374" s="10" t="str">
        <f aca="false">INDEX(球隊主檔!$D$2:$D$31,MATCH($D374,球隊主檔!$A$2:$A$31,0))</f>
        <v>美聯</v>
      </c>
      <c r="G374" s="7" t="s">
        <v>496</v>
      </c>
      <c r="H374" s="11" t="n">
        <f aca="false">INT((DATE($A374,7,1)-INDEX(球員主檔!$G$2:$G$749,MATCH($B374,球員主檔!$A$2:$A$749,0)))/365.25)</f>
        <v>27</v>
      </c>
      <c r="I374" s="12" t="n">
        <v>5</v>
      </c>
      <c r="J374" s="12" t="n">
        <v>3</v>
      </c>
      <c r="K374" s="12" t="n">
        <v>0</v>
      </c>
      <c r="L374" s="12" t="n">
        <v>0</v>
      </c>
      <c r="M374" s="12" t="n">
        <v>12</v>
      </c>
      <c r="N374" s="12" t="n">
        <v>12</v>
      </c>
      <c r="O374" s="12" t="n">
        <v>208</v>
      </c>
      <c r="P374" s="16" t="n">
        <f aca="false">O374/3</f>
        <v>69.3333333333333</v>
      </c>
      <c r="Q374" s="17" t="str">
        <f aca="false">INT(O374/3)&amp;"."&amp;MOD(O374,3)</f>
        <v>69.1</v>
      </c>
      <c r="R374" s="12" t="n">
        <v>56</v>
      </c>
      <c r="S374" s="12" t="n">
        <v>34</v>
      </c>
      <c r="T374" s="12" t="n">
        <v>33</v>
      </c>
      <c r="U374" s="12" t="n">
        <v>6</v>
      </c>
      <c r="V374" s="12" t="n">
        <v>18</v>
      </c>
      <c r="W374" s="12" t="n">
        <v>70</v>
      </c>
      <c r="X374" s="12" t="n">
        <v>1</v>
      </c>
      <c r="Y374" s="18" t="n">
        <f aca="false">IF(O374=0,0,T374*27/O374)</f>
        <v>4.28365384615385</v>
      </c>
      <c r="Z374" s="18" t="n">
        <f aca="false">IF(P374=0,0,(V374+R374)/P374)</f>
        <v>1.06730769230769</v>
      </c>
      <c r="AA374" s="18" t="n">
        <f aca="false">IF(O374=0,0,W374*27/O374)</f>
        <v>9.08653846153846</v>
      </c>
      <c r="AB374" s="18" t="n">
        <f aca="false">IF(O374=0,0,V374*27/O374)</f>
        <v>2.33653846153846</v>
      </c>
      <c r="AC374" s="18" t="n">
        <f aca="false">IF(V374=0,0,W374/V374)</f>
        <v>3.88888888888889</v>
      </c>
      <c r="AD374" s="18" t="n">
        <f aca="false">IF(P374=0,0,(13*U374+3*(V374+X374)-2*W374)/P374+INDEX(球季參數!$C$2:$C$4,MATCH($A374,球季參數!$A$2:$A$4,0)))</f>
        <v>3.02788461538462</v>
      </c>
      <c r="AE374" s="11" t="n">
        <f aca="false">IF(P374&gt;=INDEX(球季參數!$F$2:$F$4,MATCH($A374,球季參數!$A$2:$A$4,0)),1,0)</f>
        <v>0</v>
      </c>
    </row>
    <row r="375" customFormat="false" ht="15" hidden="false" customHeight="false" outlineLevel="0" collapsed="false">
      <c r="A375" s="5" t="n">
        <v>2025</v>
      </c>
      <c r="B375" s="7" t="s">
        <v>783</v>
      </c>
      <c r="C375" s="10" t="str">
        <f aca="false">INDEX(球員主檔!$B$2:$B$749,MATCH($B375,球員主檔!$A$2:$A$749,0))</f>
        <v>Rowan Nakagawa</v>
      </c>
      <c r="D375" s="7" t="s">
        <v>371</v>
      </c>
      <c r="E375" s="10" t="str">
        <f aca="false">INDEX(球隊主檔!$C$2:$C$31,MATCH($D375,球隊主檔!$A$2:$A$31,0))</f>
        <v>底特律老虎</v>
      </c>
      <c r="F375" s="10" t="str">
        <f aca="false">INDEX(球隊主檔!$D$2:$D$31,MATCH($D375,球隊主檔!$A$2:$A$31,0))</f>
        <v>美聯</v>
      </c>
      <c r="G375" s="7" t="s">
        <v>496</v>
      </c>
      <c r="H375" s="11" t="n">
        <f aca="false">INT((DATE($A375,7,1)-INDEX(球員主檔!$G$2:$G$749,MATCH($B375,球員主檔!$A$2:$A$749,0)))/365.25)</f>
        <v>33</v>
      </c>
      <c r="I375" s="12" t="n">
        <v>11</v>
      </c>
      <c r="J375" s="12" t="n">
        <v>7</v>
      </c>
      <c r="K375" s="12" t="n">
        <v>0</v>
      </c>
      <c r="L375" s="12" t="n">
        <v>0</v>
      </c>
      <c r="M375" s="12" t="n">
        <v>26</v>
      </c>
      <c r="N375" s="12" t="n">
        <v>26</v>
      </c>
      <c r="O375" s="12" t="n">
        <v>425</v>
      </c>
      <c r="P375" s="16" t="n">
        <f aca="false">O375/3</f>
        <v>141.666666666667</v>
      </c>
      <c r="Q375" s="17" t="str">
        <f aca="false">INT(O375/3)&amp;"."&amp;MOD(O375,3)</f>
        <v>141.2</v>
      </c>
      <c r="R375" s="12" t="n">
        <v>117</v>
      </c>
      <c r="S375" s="12" t="n">
        <v>61</v>
      </c>
      <c r="T375" s="12" t="n">
        <v>58</v>
      </c>
      <c r="U375" s="12" t="n">
        <v>21</v>
      </c>
      <c r="V375" s="12" t="n">
        <v>59</v>
      </c>
      <c r="W375" s="12" t="n">
        <v>134</v>
      </c>
      <c r="X375" s="12" t="n">
        <v>4</v>
      </c>
      <c r="Y375" s="18" t="n">
        <f aca="false">IF(O375=0,0,T375*27/O375)</f>
        <v>3.68470588235294</v>
      </c>
      <c r="Z375" s="18" t="n">
        <f aca="false">IF(P375=0,0,(V375+R375)/P375)</f>
        <v>1.24235294117647</v>
      </c>
      <c r="AA375" s="18" t="n">
        <f aca="false">IF(O375=0,0,W375*27/O375)</f>
        <v>8.51294117647059</v>
      </c>
      <c r="AB375" s="18" t="n">
        <f aca="false">IF(O375=0,0,V375*27/O375)</f>
        <v>3.74823529411765</v>
      </c>
      <c r="AC375" s="18" t="n">
        <f aca="false">IF(V375=0,0,W375/V375)</f>
        <v>2.27118644067797</v>
      </c>
      <c r="AD375" s="18" t="n">
        <f aca="false">IF(P375=0,0,(13*U375+3*(V375+X375)-2*W375)/P375+INDEX(球季參數!$C$2:$C$4,MATCH($A375,球季參數!$A$2:$A$4,0)))</f>
        <v>4.46941176470588</v>
      </c>
      <c r="AE375" s="11" t="n">
        <f aca="false">IF(P375&gt;=INDEX(球季參數!$F$2:$F$4,MATCH($A375,球季參數!$A$2:$A$4,0)),1,0)</f>
        <v>0</v>
      </c>
    </row>
    <row r="376" customFormat="false" ht="15" hidden="false" customHeight="false" outlineLevel="0" collapsed="false">
      <c r="A376" s="5" t="n">
        <v>2025</v>
      </c>
      <c r="B376" s="7" t="s">
        <v>785</v>
      </c>
      <c r="C376" s="10" t="str">
        <f aca="false">INDEX(球員主檔!$B$2:$B$749,MATCH($B376,球員主檔!$A$2:$A$749,0))</f>
        <v>Emilio Okafor</v>
      </c>
      <c r="D376" s="7" t="s">
        <v>371</v>
      </c>
      <c r="E376" s="10" t="str">
        <f aca="false">INDEX(球隊主檔!$C$2:$C$31,MATCH($D376,球隊主檔!$A$2:$A$31,0))</f>
        <v>底特律老虎</v>
      </c>
      <c r="F376" s="10" t="str">
        <f aca="false">INDEX(球隊主檔!$D$2:$D$31,MATCH($D376,球隊主檔!$A$2:$A$31,0))</f>
        <v>美聯</v>
      </c>
      <c r="G376" s="7" t="s">
        <v>496</v>
      </c>
      <c r="H376" s="11" t="n">
        <f aca="false">INT((DATE($A376,7,1)-INDEX(球員主檔!$G$2:$G$749,MATCH($B376,球員主檔!$A$2:$A$749,0)))/365.25)</f>
        <v>31</v>
      </c>
      <c r="I376" s="12" t="n">
        <v>10</v>
      </c>
      <c r="J376" s="12" t="n">
        <v>11</v>
      </c>
      <c r="K376" s="12" t="n">
        <v>0</v>
      </c>
      <c r="L376" s="12" t="n">
        <v>0</v>
      </c>
      <c r="M376" s="12" t="n">
        <v>33</v>
      </c>
      <c r="N376" s="12" t="n">
        <v>33</v>
      </c>
      <c r="O376" s="12" t="n">
        <v>503</v>
      </c>
      <c r="P376" s="16" t="n">
        <f aca="false">O376/3</f>
        <v>167.666666666667</v>
      </c>
      <c r="Q376" s="17" t="str">
        <f aca="false">INT(O376/3)&amp;"."&amp;MOD(O376,3)</f>
        <v>167.2</v>
      </c>
      <c r="R376" s="12" t="n">
        <v>146</v>
      </c>
      <c r="S376" s="12" t="n">
        <v>102</v>
      </c>
      <c r="T376" s="12" t="n">
        <v>94</v>
      </c>
      <c r="U376" s="12" t="n">
        <v>16</v>
      </c>
      <c r="V376" s="12" t="n">
        <v>42</v>
      </c>
      <c r="W376" s="12" t="n">
        <v>181</v>
      </c>
      <c r="X376" s="12" t="n">
        <v>4</v>
      </c>
      <c r="Y376" s="18" t="n">
        <f aca="false">IF(O376=0,0,T376*27/O376)</f>
        <v>5.04572564612326</v>
      </c>
      <c r="Z376" s="18" t="n">
        <f aca="false">IF(P376=0,0,(V376+R376)/P376)</f>
        <v>1.12127236580517</v>
      </c>
      <c r="AA376" s="18" t="n">
        <f aca="false">IF(O376=0,0,W376*27/O376)</f>
        <v>9.71570576540755</v>
      </c>
      <c r="AB376" s="18" t="n">
        <f aca="false">IF(O376=0,0,V376*27/O376)</f>
        <v>2.2544731610338</v>
      </c>
      <c r="AC376" s="18" t="n">
        <f aca="false">IF(V376=0,0,W376/V376)</f>
        <v>4.30952380952381</v>
      </c>
      <c r="AD376" s="18" t="n">
        <f aca="false">IF(P376=0,0,(13*U376+3*(V376+X376)-2*W376)/P376+INDEX(球季參數!$C$2:$C$4,MATCH($A376,球季參數!$A$2:$A$4,0)))</f>
        <v>3.00457256461233</v>
      </c>
      <c r="AE376" s="11" t="n">
        <f aca="false">IF(P376&gt;=INDEX(球季參數!$F$2:$F$4,MATCH($A376,球季參數!$A$2:$A$4,0)),1,0)</f>
        <v>1</v>
      </c>
    </row>
    <row r="377" customFormat="false" ht="15" hidden="false" customHeight="false" outlineLevel="0" collapsed="false">
      <c r="A377" s="5" t="n">
        <v>2025</v>
      </c>
      <c r="B377" s="7" t="s">
        <v>1705</v>
      </c>
      <c r="C377" s="10" t="str">
        <f aca="false">INDEX(球員主檔!$B$2:$B$749,MATCH($B377,球員主檔!$A$2:$A$749,0))</f>
        <v>Desmond Kiriakis</v>
      </c>
      <c r="D377" s="7" t="s">
        <v>371</v>
      </c>
      <c r="E377" s="10" t="str">
        <f aca="false">INDEX(球隊主檔!$C$2:$C$31,MATCH($D377,球隊主檔!$A$2:$A$31,0))</f>
        <v>底特律老虎</v>
      </c>
      <c r="F377" s="10" t="str">
        <f aca="false">INDEX(球隊主檔!$D$2:$D$31,MATCH($D377,球隊主檔!$A$2:$A$31,0))</f>
        <v>美聯</v>
      </c>
      <c r="G377" s="7" t="s">
        <v>507</v>
      </c>
      <c r="H377" s="11" t="n">
        <f aca="false">INT((DATE($A377,7,1)-INDEX(球員主檔!$G$2:$G$749,MATCH($B377,球員主檔!$A$2:$A$749,0)))/365.25)</f>
        <v>22</v>
      </c>
      <c r="I377" s="12" t="n">
        <v>3</v>
      </c>
      <c r="J377" s="12" t="n">
        <v>0</v>
      </c>
      <c r="K377" s="12" t="n">
        <v>4</v>
      </c>
      <c r="L377" s="12" t="n">
        <v>15</v>
      </c>
      <c r="M377" s="12" t="n">
        <v>58</v>
      </c>
      <c r="N377" s="12" t="n">
        <v>0</v>
      </c>
      <c r="O377" s="12" t="n">
        <v>176</v>
      </c>
      <c r="P377" s="16" t="n">
        <f aca="false">O377/3</f>
        <v>58.6666666666667</v>
      </c>
      <c r="Q377" s="17" t="str">
        <f aca="false">INT(O377/3)&amp;"."&amp;MOD(O377,3)</f>
        <v>58.2</v>
      </c>
      <c r="R377" s="12" t="n">
        <v>51</v>
      </c>
      <c r="S377" s="12" t="n">
        <v>33</v>
      </c>
      <c r="T377" s="12" t="n">
        <v>32</v>
      </c>
      <c r="U377" s="12" t="n">
        <v>8</v>
      </c>
      <c r="V377" s="12" t="n">
        <v>21</v>
      </c>
      <c r="W377" s="12" t="n">
        <v>53</v>
      </c>
      <c r="X377" s="12" t="n">
        <v>3</v>
      </c>
      <c r="Y377" s="18" t="n">
        <f aca="false">IF(O377=0,0,T377*27/O377)</f>
        <v>4.90909090909091</v>
      </c>
      <c r="Z377" s="18" t="n">
        <f aca="false">IF(P377=0,0,(V377+R377)/P377)</f>
        <v>1.22727272727273</v>
      </c>
      <c r="AA377" s="18" t="n">
        <f aca="false">IF(O377=0,0,W377*27/O377)</f>
        <v>8.13068181818182</v>
      </c>
      <c r="AB377" s="18" t="n">
        <f aca="false">IF(O377=0,0,V377*27/O377)</f>
        <v>3.22159090909091</v>
      </c>
      <c r="AC377" s="18" t="n">
        <f aca="false">IF(V377=0,0,W377/V377)</f>
        <v>2.52380952380952</v>
      </c>
      <c r="AD377" s="18" t="n">
        <f aca="false">IF(P377=0,0,(13*U377+3*(V377+X377)-2*W377)/P377+INDEX(球季參數!$C$2:$C$4,MATCH($A377,球季參數!$A$2:$A$4,0)))</f>
        <v>4.29318181818182</v>
      </c>
      <c r="AE377" s="11" t="n">
        <f aca="false">IF(P377&gt;=INDEX(球季參數!$F$2:$F$4,MATCH($A377,球季參數!$A$2:$A$4,0)),1,0)</f>
        <v>0</v>
      </c>
    </row>
    <row r="378" customFormat="false" ht="15" hidden="false" customHeight="false" outlineLevel="0" collapsed="false">
      <c r="A378" s="5" t="n">
        <v>2025</v>
      </c>
      <c r="B378" s="7" t="s">
        <v>789</v>
      </c>
      <c r="C378" s="10" t="str">
        <f aca="false">INDEX(球員主檔!$B$2:$B$749,MATCH($B378,球員主檔!$A$2:$A$749,0))</f>
        <v>Dimitri Esquivel</v>
      </c>
      <c r="D378" s="7" t="s">
        <v>371</v>
      </c>
      <c r="E378" s="10" t="str">
        <f aca="false">INDEX(球隊主檔!$C$2:$C$31,MATCH($D378,球隊主檔!$A$2:$A$31,0))</f>
        <v>底特律老虎</v>
      </c>
      <c r="F378" s="10" t="str">
        <f aca="false">INDEX(球隊主檔!$D$2:$D$31,MATCH($D378,球隊主檔!$A$2:$A$31,0))</f>
        <v>美聯</v>
      </c>
      <c r="G378" s="7" t="s">
        <v>507</v>
      </c>
      <c r="H378" s="11" t="n">
        <f aca="false">INT((DATE($A378,7,1)-INDEX(球員主檔!$G$2:$G$749,MATCH($B378,球員主檔!$A$2:$A$749,0)))/365.25)</f>
        <v>29</v>
      </c>
      <c r="I378" s="12" t="n">
        <v>2</v>
      </c>
      <c r="J378" s="12" t="n">
        <v>3</v>
      </c>
      <c r="K378" s="12" t="n">
        <v>0</v>
      </c>
      <c r="L378" s="12" t="n">
        <v>10</v>
      </c>
      <c r="M378" s="12" t="n">
        <v>51</v>
      </c>
      <c r="N378" s="12" t="n">
        <v>0</v>
      </c>
      <c r="O378" s="12" t="n">
        <v>149</v>
      </c>
      <c r="P378" s="16" t="n">
        <f aca="false">O378/3</f>
        <v>49.6666666666667</v>
      </c>
      <c r="Q378" s="17" t="str">
        <f aca="false">INT(O378/3)&amp;"."&amp;MOD(O378,3)</f>
        <v>49.2</v>
      </c>
      <c r="R378" s="12" t="n">
        <v>40</v>
      </c>
      <c r="S378" s="12" t="n">
        <v>22</v>
      </c>
      <c r="T378" s="12" t="n">
        <v>22</v>
      </c>
      <c r="U378" s="12" t="n">
        <v>6</v>
      </c>
      <c r="V378" s="12" t="n">
        <v>12</v>
      </c>
      <c r="W378" s="12" t="n">
        <v>73</v>
      </c>
      <c r="X378" s="12" t="n">
        <v>2</v>
      </c>
      <c r="Y378" s="18" t="n">
        <f aca="false">IF(O378=0,0,T378*27/O378)</f>
        <v>3.98657718120805</v>
      </c>
      <c r="Z378" s="18" t="n">
        <f aca="false">IF(P378=0,0,(V378+R378)/P378)</f>
        <v>1.04697986577181</v>
      </c>
      <c r="AA378" s="18" t="n">
        <f aca="false">IF(O378=0,0,W378*27/O378)</f>
        <v>13.2281879194631</v>
      </c>
      <c r="AB378" s="18" t="n">
        <f aca="false">IF(O378=0,0,V378*27/O378)</f>
        <v>2.1744966442953</v>
      </c>
      <c r="AC378" s="18" t="n">
        <f aca="false">IF(V378=0,0,W378/V378)</f>
        <v>6.08333333333333</v>
      </c>
      <c r="AD378" s="18" t="n">
        <f aca="false">IF(P378=0,0,(13*U378+3*(V378+X378)-2*W378)/P378+INDEX(球季參數!$C$2:$C$4,MATCH($A378,球季參數!$A$2:$A$4,0)))</f>
        <v>2.57651006711409</v>
      </c>
      <c r="AE378" s="11" t="n">
        <f aca="false">IF(P378&gt;=INDEX(球季參數!$F$2:$F$4,MATCH($A378,球季參數!$A$2:$A$4,0)),1,0)</f>
        <v>0</v>
      </c>
    </row>
    <row r="379" customFormat="false" ht="15" hidden="false" customHeight="false" outlineLevel="0" collapsed="false">
      <c r="A379" s="5" t="n">
        <v>2025</v>
      </c>
      <c r="B379" s="7" t="s">
        <v>791</v>
      </c>
      <c r="C379" s="10" t="str">
        <f aca="false">INDEX(球員主檔!$B$2:$B$749,MATCH($B379,球員主檔!$A$2:$A$749,0))</f>
        <v>Silas Yamazaki</v>
      </c>
      <c r="D379" s="7" t="s">
        <v>371</v>
      </c>
      <c r="E379" s="10" t="str">
        <f aca="false">INDEX(球隊主檔!$C$2:$C$31,MATCH($D379,球隊主檔!$A$2:$A$31,0))</f>
        <v>底特律老虎</v>
      </c>
      <c r="F379" s="10" t="str">
        <f aca="false">INDEX(球隊主檔!$D$2:$D$31,MATCH($D379,球隊主檔!$A$2:$A$31,0))</f>
        <v>美聯</v>
      </c>
      <c r="G379" s="7" t="s">
        <v>507</v>
      </c>
      <c r="H379" s="11" t="n">
        <f aca="false">INT((DATE($A379,7,1)-INDEX(球員主檔!$G$2:$G$749,MATCH($B379,球員主檔!$A$2:$A$749,0)))/365.25)</f>
        <v>25</v>
      </c>
      <c r="I379" s="12" t="n">
        <v>9</v>
      </c>
      <c r="J379" s="12" t="n">
        <v>4</v>
      </c>
      <c r="K379" s="12" t="n">
        <v>1</v>
      </c>
      <c r="L379" s="12" t="n">
        <v>32</v>
      </c>
      <c r="M379" s="12" t="n">
        <v>66</v>
      </c>
      <c r="N379" s="12" t="n">
        <v>0</v>
      </c>
      <c r="O379" s="12" t="n">
        <v>205</v>
      </c>
      <c r="P379" s="16" t="n">
        <f aca="false">O379/3</f>
        <v>68.3333333333333</v>
      </c>
      <c r="Q379" s="17" t="str">
        <f aca="false">INT(O379/3)&amp;"."&amp;MOD(O379,3)</f>
        <v>68.1</v>
      </c>
      <c r="R379" s="12" t="n">
        <v>59</v>
      </c>
      <c r="S379" s="12" t="n">
        <v>31</v>
      </c>
      <c r="T379" s="12" t="n">
        <v>31</v>
      </c>
      <c r="U379" s="12" t="n">
        <v>9</v>
      </c>
      <c r="V379" s="12" t="n">
        <v>18</v>
      </c>
      <c r="W379" s="12" t="n">
        <v>66</v>
      </c>
      <c r="X379" s="12" t="n">
        <v>1</v>
      </c>
      <c r="Y379" s="18" t="n">
        <f aca="false">IF(O379=0,0,T379*27/O379)</f>
        <v>4.08292682926829</v>
      </c>
      <c r="Z379" s="18" t="n">
        <f aca="false">IF(P379=0,0,(V379+R379)/P379)</f>
        <v>1.12682926829268</v>
      </c>
      <c r="AA379" s="18" t="n">
        <f aca="false">IF(O379=0,0,W379*27/O379)</f>
        <v>8.69268292682927</v>
      </c>
      <c r="AB379" s="18" t="n">
        <f aca="false">IF(O379=0,0,V379*27/O379)</f>
        <v>2.37073170731707</v>
      </c>
      <c r="AC379" s="18" t="n">
        <f aca="false">IF(V379=0,0,W379/V379)</f>
        <v>3.66666666666667</v>
      </c>
      <c r="AD379" s="18" t="n">
        <f aca="false">IF(P379=0,0,(13*U379+3*(V379+X379)-2*W379)/P379+INDEX(球季參數!$C$2:$C$4,MATCH($A379,球季參數!$A$2:$A$4,0)))</f>
        <v>3.71463414634146</v>
      </c>
      <c r="AE379" s="11" t="n">
        <f aca="false">IF(P379&gt;=INDEX(球季參數!$F$2:$F$4,MATCH($A379,球季參數!$A$2:$A$4,0)),1,0)</f>
        <v>0</v>
      </c>
    </row>
    <row r="380" customFormat="false" ht="15" hidden="false" customHeight="false" outlineLevel="0" collapsed="false">
      <c r="A380" s="5" t="n">
        <v>2025</v>
      </c>
      <c r="B380" s="7" t="s">
        <v>1471</v>
      </c>
      <c r="C380" s="10" t="str">
        <f aca="false">INDEX(球員主檔!$B$2:$B$749,MATCH($B380,球員主檔!$A$2:$A$749,0))</f>
        <v>Caspian Zielinski</v>
      </c>
      <c r="D380" s="7" t="s">
        <v>371</v>
      </c>
      <c r="E380" s="10" t="str">
        <f aca="false">INDEX(球隊主檔!$C$2:$C$31,MATCH($D380,球隊主檔!$A$2:$A$31,0))</f>
        <v>底特律老虎</v>
      </c>
      <c r="F380" s="10" t="str">
        <f aca="false">INDEX(球隊主檔!$D$2:$D$31,MATCH($D380,球隊主檔!$A$2:$A$31,0))</f>
        <v>美聯</v>
      </c>
      <c r="G380" s="7" t="s">
        <v>507</v>
      </c>
      <c r="H380" s="11" t="n">
        <f aca="false">INT((DATE($A380,7,1)-INDEX(球員主檔!$G$2:$G$749,MATCH($B380,球員主檔!$A$2:$A$749,0)))/365.25)</f>
        <v>27</v>
      </c>
      <c r="I380" s="12" t="n">
        <v>4</v>
      </c>
      <c r="J380" s="12" t="n">
        <v>6</v>
      </c>
      <c r="K380" s="12" t="n">
        <v>0</v>
      </c>
      <c r="L380" s="12" t="n">
        <v>17</v>
      </c>
      <c r="M380" s="12" t="n">
        <v>66</v>
      </c>
      <c r="N380" s="12" t="n">
        <v>0</v>
      </c>
      <c r="O380" s="12" t="n">
        <v>191</v>
      </c>
      <c r="P380" s="16" t="n">
        <f aca="false">O380/3</f>
        <v>63.6666666666667</v>
      </c>
      <c r="Q380" s="17" t="str">
        <f aca="false">INT(O380/3)&amp;"."&amp;MOD(O380,3)</f>
        <v>63.2</v>
      </c>
      <c r="R380" s="12" t="n">
        <v>52</v>
      </c>
      <c r="S380" s="12" t="n">
        <v>23</v>
      </c>
      <c r="T380" s="12" t="n">
        <v>21</v>
      </c>
      <c r="U380" s="12" t="n">
        <v>6</v>
      </c>
      <c r="V380" s="12" t="n">
        <v>26</v>
      </c>
      <c r="W380" s="12" t="n">
        <v>67</v>
      </c>
      <c r="X380" s="12" t="n">
        <v>3</v>
      </c>
      <c r="Y380" s="18" t="n">
        <f aca="false">IF(O380=0,0,T380*27/O380)</f>
        <v>2.96858638743456</v>
      </c>
      <c r="Z380" s="18" t="n">
        <f aca="false">IF(P380=0,0,(V380+R380)/P380)</f>
        <v>1.22513089005236</v>
      </c>
      <c r="AA380" s="18" t="n">
        <f aca="false">IF(O380=0,0,W380*27/O380)</f>
        <v>9.47120418848168</v>
      </c>
      <c r="AB380" s="18" t="n">
        <f aca="false">IF(O380=0,0,V380*27/O380)</f>
        <v>3.67539267015707</v>
      </c>
      <c r="AC380" s="18" t="n">
        <f aca="false">IF(V380=0,0,W380/V380)</f>
        <v>2.57692307692308</v>
      </c>
      <c r="AD380" s="18" t="n">
        <f aca="false">IF(P380=0,0,(13*U380+3*(V380+X380)-2*W380)/P380+INDEX(球季參數!$C$2:$C$4,MATCH($A380,球季參數!$A$2:$A$4,0)))</f>
        <v>3.5869109947644</v>
      </c>
      <c r="AE380" s="11" t="n">
        <f aca="false">IF(P380&gt;=INDEX(球季參數!$F$2:$F$4,MATCH($A380,球季參數!$A$2:$A$4,0)),1,0)</f>
        <v>0</v>
      </c>
    </row>
    <row r="381" customFormat="false" ht="15" hidden="false" customHeight="false" outlineLevel="0" collapsed="false">
      <c r="A381" s="5" t="n">
        <v>2025</v>
      </c>
      <c r="B381" s="7" t="s">
        <v>795</v>
      </c>
      <c r="C381" s="10" t="str">
        <f aca="false">INDEX(球員主檔!$B$2:$B$749,MATCH($B381,球員主檔!$A$2:$A$749,0))</f>
        <v>Niklas Eberhardt</v>
      </c>
      <c r="D381" s="7" t="s">
        <v>371</v>
      </c>
      <c r="E381" s="10" t="str">
        <f aca="false">INDEX(球隊主檔!$C$2:$C$31,MATCH($D381,球隊主檔!$A$2:$A$31,0))</f>
        <v>底特律老虎</v>
      </c>
      <c r="F381" s="10" t="str">
        <f aca="false">INDEX(球隊主檔!$D$2:$D$31,MATCH($D381,球隊主檔!$A$2:$A$31,0))</f>
        <v>美聯</v>
      </c>
      <c r="G381" s="7" t="s">
        <v>507</v>
      </c>
      <c r="H381" s="11" t="n">
        <f aca="false">INT((DATE($A381,7,1)-INDEX(球員主檔!$G$2:$G$749,MATCH($B381,球員主檔!$A$2:$A$749,0)))/365.25)</f>
        <v>30</v>
      </c>
      <c r="I381" s="12" t="n">
        <v>1</v>
      </c>
      <c r="J381" s="12" t="n">
        <v>0</v>
      </c>
      <c r="K381" s="12" t="n">
        <v>6</v>
      </c>
      <c r="L381" s="12" t="n">
        <v>23</v>
      </c>
      <c r="M381" s="12" t="n">
        <v>69</v>
      </c>
      <c r="N381" s="12" t="n">
        <v>0</v>
      </c>
      <c r="O381" s="12" t="n">
        <v>206</v>
      </c>
      <c r="P381" s="16" t="n">
        <f aca="false">O381/3</f>
        <v>68.6666666666667</v>
      </c>
      <c r="Q381" s="17" t="str">
        <f aca="false">INT(O381/3)&amp;"."&amp;MOD(O381,3)</f>
        <v>68.2</v>
      </c>
      <c r="R381" s="12" t="n">
        <v>49</v>
      </c>
      <c r="S381" s="12" t="n">
        <v>14</v>
      </c>
      <c r="T381" s="12" t="n">
        <v>14</v>
      </c>
      <c r="U381" s="12" t="n">
        <v>11</v>
      </c>
      <c r="V381" s="12" t="n">
        <v>24</v>
      </c>
      <c r="W381" s="12" t="n">
        <v>68</v>
      </c>
      <c r="X381" s="12" t="n">
        <v>1</v>
      </c>
      <c r="Y381" s="18" t="n">
        <f aca="false">IF(O381=0,0,T381*27/O381)</f>
        <v>1.83495145631068</v>
      </c>
      <c r="Z381" s="18" t="n">
        <f aca="false">IF(P381=0,0,(V381+R381)/P381)</f>
        <v>1.0631067961165</v>
      </c>
      <c r="AA381" s="18" t="n">
        <f aca="false">IF(O381=0,0,W381*27/O381)</f>
        <v>8.9126213592233</v>
      </c>
      <c r="AB381" s="18" t="n">
        <f aca="false">IF(O381=0,0,V381*27/O381)</f>
        <v>3.14563106796117</v>
      </c>
      <c r="AC381" s="18" t="n">
        <f aca="false">IF(V381=0,0,W381/V381)</f>
        <v>2.83333333333333</v>
      </c>
      <c r="AD381" s="18" t="n">
        <f aca="false">IF(P381=0,0,(13*U381+3*(V381+X381)-2*W381)/P381+INDEX(球季參數!$C$2:$C$4,MATCH($A381,球季參數!$A$2:$A$4,0)))</f>
        <v>4.29417475728155</v>
      </c>
      <c r="AE381" s="11" t="n">
        <f aca="false">IF(P381&gt;=INDEX(球季參數!$F$2:$F$4,MATCH($A381,球季參數!$A$2:$A$4,0)),1,0)</f>
        <v>0</v>
      </c>
    </row>
    <row r="382" customFormat="false" ht="15" hidden="false" customHeight="false" outlineLevel="0" collapsed="false">
      <c r="A382" s="5" t="n">
        <v>2025</v>
      </c>
      <c r="B382" s="7" t="s">
        <v>817</v>
      </c>
      <c r="C382" s="10" t="str">
        <f aca="false">INDEX(球員主檔!$B$2:$B$749,MATCH($B382,球員主檔!$A$2:$A$749,0))</f>
        <v>Barrett Haverford</v>
      </c>
      <c r="D382" s="7" t="s">
        <v>375</v>
      </c>
      <c r="E382" s="10" t="str">
        <f aca="false">INDEX(球隊主檔!$C$2:$C$31,MATCH($D382,球隊主檔!$A$2:$A$31,0))</f>
        <v>堪薩斯市皇家</v>
      </c>
      <c r="F382" s="10" t="str">
        <f aca="false">INDEX(球隊主檔!$D$2:$D$31,MATCH($D382,球隊主檔!$A$2:$A$31,0))</f>
        <v>美聯</v>
      </c>
      <c r="G382" s="7" t="s">
        <v>496</v>
      </c>
      <c r="H382" s="11" t="n">
        <f aca="false">INT((DATE($A382,7,1)-INDEX(球員主檔!$G$2:$G$749,MATCH($B382,球員主檔!$A$2:$A$749,0)))/365.25)</f>
        <v>32</v>
      </c>
      <c r="I382" s="12" t="n">
        <v>4</v>
      </c>
      <c r="J382" s="12" t="n">
        <v>6</v>
      </c>
      <c r="K382" s="12" t="n">
        <v>0</v>
      </c>
      <c r="L382" s="12" t="n">
        <v>0</v>
      </c>
      <c r="M382" s="12" t="n">
        <v>14</v>
      </c>
      <c r="N382" s="12" t="n">
        <v>14</v>
      </c>
      <c r="O382" s="12" t="n">
        <v>261</v>
      </c>
      <c r="P382" s="16" t="n">
        <f aca="false">O382/3</f>
        <v>87</v>
      </c>
      <c r="Q382" s="17" t="str">
        <f aca="false">INT(O382/3)&amp;"."&amp;MOD(O382,3)</f>
        <v>87.0</v>
      </c>
      <c r="R382" s="12" t="n">
        <v>76</v>
      </c>
      <c r="S382" s="12" t="n">
        <v>55</v>
      </c>
      <c r="T382" s="12" t="n">
        <v>50</v>
      </c>
      <c r="U382" s="12" t="n">
        <v>6</v>
      </c>
      <c r="V382" s="12" t="n">
        <v>13</v>
      </c>
      <c r="W382" s="12" t="n">
        <v>87</v>
      </c>
      <c r="X382" s="12" t="n">
        <v>3</v>
      </c>
      <c r="Y382" s="18" t="n">
        <f aca="false">IF(O382=0,0,T382*27/O382)</f>
        <v>5.17241379310345</v>
      </c>
      <c r="Z382" s="18" t="n">
        <f aca="false">IF(P382=0,0,(V382+R382)/P382)</f>
        <v>1.02298850574713</v>
      </c>
      <c r="AA382" s="18" t="n">
        <f aca="false">IF(O382=0,0,W382*27/O382)</f>
        <v>9</v>
      </c>
      <c r="AB382" s="18" t="n">
        <f aca="false">IF(O382=0,0,V382*27/O382)</f>
        <v>1.3448275862069</v>
      </c>
      <c r="AC382" s="18" t="n">
        <f aca="false">IF(V382=0,0,W382/V382)</f>
        <v>6.69230769230769</v>
      </c>
      <c r="AD382" s="18" t="n">
        <f aca="false">IF(P382=0,0,(13*U382+3*(V382+X382)-2*W382)/P382+INDEX(球季參數!$C$2:$C$4,MATCH($A382,球季參數!$A$2:$A$4,0)))</f>
        <v>2.54827586206897</v>
      </c>
      <c r="AE382" s="11" t="n">
        <f aca="false">IF(P382&gt;=INDEX(球季參數!$F$2:$F$4,MATCH($A382,球季參數!$A$2:$A$4,0)),1,0)</f>
        <v>0</v>
      </c>
    </row>
    <row r="383" customFormat="false" ht="15" hidden="false" customHeight="false" outlineLevel="0" collapsed="false">
      <c r="A383" s="5" t="n">
        <v>2025</v>
      </c>
      <c r="B383" s="7" t="s">
        <v>819</v>
      </c>
      <c r="C383" s="10" t="str">
        <f aca="false">INDEX(球員主檔!$B$2:$B$749,MATCH($B383,球員主檔!$A$2:$A$749,0))</f>
        <v>Augustin Ravenscroft</v>
      </c>
      <c r="D383" s="7" t="s">
        <v>375</v>
      </c>
      <c r="E383" s="10" t="str">
        <f aca="false">INDEX(球隊主檔!$C$2:$C$31,MATCH($D383,球隊主檔!$A$2:$A$31,0))</f>
        <v>堪薩斯市皇家</v>
      </c>
      <c r="F383" s="10" t="str">
        <f aca="false">INDEX(球隊主檔!$D$2:$D$31,MATCH($D383,球隊主檔!$A$2:$A$31,0))</f>
        <v>美聯</v>
      </c>
      <c r="G383" s="7" t="s">
        <v>496</v>
      </c>
      <c r="H383" s="11" t="n">
        <f aca="false">INT((DATE($A383,7,1)-INDEX(球員主檔!$G$2:$G$749,MATCH($B383,球員主檔!$A$2:$A$749,0)))/365.25)</f>
        <v>29</v>
      </c>
      <c r="I383" s="12" t="n">
        <v>8</v>
      </c>
      <c r="J383" s="12" t="n">
        <v>11</v>
      </c>
      <c r="K383" s="12" t="n">
        <v>0</v>
      </c>
      <c r="L383" s="12" t="n">
        <v>0</v>
      </c>
      <c r="M383" s="12" t="n">
        <v>28</v>
      </c>
      <c r="N383" s="12" t="n">
        <v>28</v>
      </c>
      <c r="O383" s="12" t="n">
        <v>495</v>
      </c>
      <c r="P383" s="16" t="n">
        <f aca="false">O383/3</f>
        <v>165</v>
      </c>
      <c r="Q383" s="17" t="str">
        <f aca="false">INT(O383/3)&amp;"."&amp;MOD(O383,3)</f>
        <v>165.0</v>
      </c>
      <c r="R383" s="12" t="n">
        <v>152</v>
      </c>
      <c r="S383" s="12" t="n">
        <v>107</v>
      </c>
      <c r="T383" s="12" t="n">
        <v>105</v>
      </c>
      <c r="U383" s="12" t="n">
        <v>32</v>
      </c>
      <c r="V383" s="12" t="n">
        <v>66</v>
      </c>
      <c r="W383" s="12" t="n">
        <v>163</v>
      </c>
      <c r="X383" s="12" t="n">
        <v>7</v>
      </c>
      <c r="Y383" s="18" t="n">
        <f aca="false">IF(O383=0,0,T383*27/O383)</f>
        <v>5.72727272727273</v>
      </c>
      <c r="Z383" s="18" t="n">
        <f aca="false">IF(P383=0,0,(V383+R383)/P383)</f>
        <v>1.32121212121212</v>
      </c>
      <c r="AA383" s="18" t="n">
        <f aca="false">IF(O383=0,0,W383*27/O383)</f>
        <v>8.89090909090909</v>
      </c>
      <c r="AB383" s="18" t="n">
        <f aca="false">IF(O383=0,0,V383*27/O383)</f>
        <v>3.6</v>
      </c>
      <c r="AC383" s="18" t="n">
        <f aca="false">IF(V383=0,0,W383/V383)</f>
        <v>2.46969696969697</v>
      </c>
      <c r="AD383" s="18" t="n">
        <f aca="false">IF(P383=0,0,(13*U383+3*(V383+X383)-2*W383)/P383+INDEX(球季參數!$C$2:$C$4,MATCH($A383,球季參數!$A$2:$A$4,0)))</f>
        <v>4.97272727272727</v>
      </c>
      <c r="AE383" s="11" t="n">
        <f aca="false">IF(P383&gt;=INDEX(球季參數!$F$2:$F$4,MATCH($A383,球季參數!$A$2:$A$4,0)),1,0)</f>
        <v>1</v>
      </c>
    </row>
    <row r="384" customFormat="false" ht="15" hidden="false" customHeight="false" outlineLevel="0" collapsed="false">
      <c r="A384" s="5" t="n">
        <v>2025</v>
      </c>
      <c r="B384" s="7" t="s">
        <v>1019</v>
      </c>
      <c r="C384" s="10" t="str">
        <f aca="false">INDEX(球員主檔!$B$2:$B$749,MATCH($B384,球員主檔!$A$2:$A$749,0))</f>
        <v>Esteban Fontaine</v>
      </c>
      <c r="D384" s="7" t="s">
        <v>375</v>
      </c>
      <c r="E384" s="10" t="str">
        <f aca="false">INDEX(球隊主檔!$C$2:$C$31,MATCH($D384,球隊主檔!$A$2:$A$31,0))</f>
        <v>堪薩斯市皇家</v>
      </c>
      <c r="F384" s="10" t="str">
        <f aca="false">INDEX(球隊主檔!$D$2:$D$31,MATCH($D384,球隊主檔!$A$2:$A$31,0))</f>
        <v>美聯</v>
      </c>
      <c r="G384" s="7" t="s">
        <v>496</v>
      </c>
      <c r="H384" s="11" t="n">
        <f aca="false">INT((DATE($A384,7,1)-INDEX(球員主檔!$G$2:$G$749,MATCH($B384,球員主檔!$A$2:$A$749,0)))/365.25)</f>
        <v>32</v>
      </c>
      <c r="I384" s="12" t="n">
        <v>6</v>
      </c>
      <c r="J384" s="12" t="n">
        <v>6</v>
      </c>
      <c r="K384" s="12" t="n">
        <v>0</v>
      </c>
      <c r="L384" s="12" t="n">
        <v>0</v>
      </c>
      <c r="M384" s="12" t="n">
        <v>21</v>
      </c>
      <c r="N384" s="12" t="n">
        <v>21</v>
      </c>
      <c r="O384" s="12" t="n">
        <v>354</v>
      </c>
      <c r="P384" s="16" t="n">
        <f aca="false">O384/3</f>
        <v>118</v>
      </c>
      <c r="Q384" s="17" t="str">
        <f aca="false">INT(O384/3)&amp;"."&amp;MOD(O384,3)</f>
        <v>118.0</v>
      </c>
      <c r="R384" s="12" t="n">
        <v>109</v>
      </c>
      <c r="S384" s="12" t="n">
        <v>71</v>
      </c>
      <c r="T384" s="12" t="n">
        <v>65</v>
      </c>
      <c r="U384" s="12" t="n">
        <v>23</v>
      </c>
      <c r="V384" s="12" t="n">
        <v>52</v>
      </c>
      <c r="W384" s="12" t="n">
        <v>106</v>
      </c>
      <c r="X384" s="12" t="n">
        <v>5</v>
      </c>
      <c r="Y384" s="18" t="n">
        <f aca="false">IF(O384=0,0,T384*27/O384)</f>
        <v>4.95762711864407</v>
      </c>
      <c r="Z384" s="18" t="n">
        <f aca="false">IF(P384=0,0,(V384+R384)/P384)</f>
        <v>1.36440677966102</v>
      </c>
      <c r="AA384" s="18" t="n">
        <f aca="false">IF(O384=0,0,W384*27/O384)</f>
        <v>8.08474576271187</v>
      </c>
      <c r="AB384" s="18" t="n">
        <f aca="false">IF(O384=0,0,V384*27/O384)</f>
        <v>3.96610169491525</v>
      </c>
      <c r="AC384" s="18" t="n">
        <f aca="false">IF(V384=0,0,W384/V384)</f>
        <v>2.03846153846154</v>
      </c>
      <c r="AD384" s="18" t="n">
        <f aca="false">IF(P384=0,0,(13*U384+3*(V384+X384)-2*W384)/P384+INDEX(球季參數!$C$2:$C$4,MATCH($A384,球季參數!$A$2:$A$4,0)))</f>
        <v>5.2864406779661</v>
      </c>
      <c r="AE384" s="11" t="n">
        <f aca="false">IF(P384&gt;=INDEX(球季參數!$F$2:$F$4,MATCH($A384,球季參數!$A$2:$A$4,0)),1,0)</f>
        <v>0</v>
      </c>
    </row>
    <row r="385" customFormat="false" ht="15" hidden="false" customHeight="false" outlineLevel="0" collapsed="false">
      <c r="A385" s="5" t="n">
        <v>2025</v>
      </c>
      <c r="B385" s="7" t="s">
        <v>823</v>
      </c>
      <c r="C385" s="10" t="str">
        <f aca="false">INDEX(球員主檔!$B$2:$B$749,MATCH($B385,球員主檔!$A$2:$A$749,0))</f>
        <v>Cedric Vandermeer</v>
      </c>
      <c r="D385" s="7" t="s">
        <v>375</v>
      </c>
      <c r="E385" s="10" t="str">
        <f aca="false">INDEX(球隊主檔!$C$2:$C$31,MATCH($D385,球隊主檔!$A$2:$A$31,0))</f>
        <v>堪薩斯市皇家</v>
      </c>
      <c r="F385" s="10" t="str">
        <f aca="false">INDEX(球隊主檔!$D$2:$D$31,MATCH($D385,球隊主檔!$A$2:$A$31,0))</f>
        <v>美聯</v>
      </c>
      <c r="G385" s="7" t="s">
        <v>496</v>
      </c>
      <c r="H385" s="11" t="n">
        <f aca="false">INT((DATE($A385,7,1)-INDEX(球員主檔!$G$2:$G$749,MATCH($B385,球員主檔!$A$2:$A$749,0)))/365.25)</f>
        <v>34</v>
      </c>
      <c r="I385" s="12" t="n">
        <v>7</v>
      </c>
      <c r="J385" s="12" t="n">
        <v>11</v>
      </c>
      <c r="K385" s="12" t="n">
        <v>0</v>
      </c>
      <c r="L385" s="12" t="n">
        <v>0</v>
      </c>
      <c r="M385" s="12" t="n">
        <v>28</v>
      </c>
      <c r="N385" s="12" t="n">
        <v>28</v>
      </c>
      <c r="O385" s="12" t="n">
        <v>529</v>
      </c>
      <c r="P385" s="16" t="n">
        <f aca="false">O385/3</f>
        <v>176.333333333333</v>
      </c>
      <c r="Q385" s="17" t="str">
        <f aca="false">INT(O385/3)&amp;"."&amp;MOD(O385,3)</f>
        <v>176.1</v>
      </c>
      <c r="R385" s="12" t="n">
        <v>186</v>
      </c>
      <c r="S385" s="12" t="n">
        <v>135</v>
      </c>
      <c r="T385" s="12" t="n">
        <v>132</v>
      </c>
      <c r="U385" s="12" t="n">
        <v>19</v>
      </c>
      <c r="V385" s="12" t="n">
        <v>61</v>
      </c>
      <c r="W385" s="12" t="n">
        <v>124</v>
      </c>
      <c r="X385" s="12" t="n">
        <v>8</v>
      </c>
      <c r="Y385" s="18" t="n">
        <f aca="false">IF(O385=0,0,T385*27/O385)</f>
        <v>6.73724007561437</v>
      </c>
      <c r="Z385" s="18" t="n">
        <f aca="false">IF(P385=0,0,(V385+R385)/P385)</f>
        <v>1.4007561436673</v>
      </c>
      <c r="AA385" s="18" t="n">
        <f aca="false">IF(O385=0,0,W385*27/O385)</f>
        <v>6.3289224952741</v>
      </c>
      <c r="AB385" s="18" t="n">
        <f aca="false">IF(O385=0,0,V385*27/O385)</f>
        <v>3.11342155009452</v>
      </c>
      <c r="AC385" s="18" t="n">
        <f aca="false">IF(V385=0,0,W385/V385)</f>
        <v>2.0327868852459</v>
      </c>
      <c r="AD385" s="18" t="n">
        <f aca="false">IF(P385=0,0,(13*U385+3*(V385+X385)-2*W385)/P385+INDEX(球季參數!$C$2:$C$4,MATCH($A385,球季參數!$A$2:$A$4,0)))</f>
        <v>4.26824196597354</v>
      </c>
      <c r="AE385" s="11" t="n">
        <f aca="false">IF(P385&gt;=INDEX(球季參數!$F$2:$F$4,MATCH($A385,球季參數!$A$2:$A$4,0)),1,0)</f>
        <v>1</v>
      </c>
    </row>
    <row r="386" customFormat="false" ht="15" hidden="false" customHeight="false" outlineLevel="0" collapsed="false">
      <c r="A386" s="5" t="n">
        <v>2025</v>
      </c>
      <c r="B386" s="7" t="s">
        <v>825</v>
      </c>
      <c r="C386" s="10" t="str">
        <f aca="false">INDEX(球員主檔!$B$2:$B$749,MATCH($B386,球員主檔!$A$2:$A$749,0))</f>
        <v>Soren Quiroga</v>
      </c>
      <c r="D386" s="7" t="s">
        <v>375</v>
      </c>
      <c r="E386" s="10" t="str">
        <f aca="false">INDEX(球隊主檔!$C$2:$C$31,MATCH($D386,球隊主檔!$A$2:$A$31,0))</f>
        <v>堪薩斯市皇家</v>
      </c>
      <c r="F386" s="10" t="str">
        <f aca="false">INDEX(球隊主檔!$D$2:$D$31,MATCH($D386,球隊主檔!$A$2:$A$31,0))</f>
        <v>美聯</v>
      </c>
      <c r="G386" s="7" t="s">
        <v>496</v>
      </c>
      <c r="H386" s="11" t="n">
        <f aca="false">INT((DATE($A386,7,1)-INDEX(球員主檔!$G$2:$G$749,MATCH($B386,球員主檔!$A$2:$A$749,0)))/365.25)</f>
        <v>33</v>
      </c>
      <c r="I386" s="12" t="n">
        <v>7</v>
      </c>
      <c r="J386" s="12" t="n">
        <v>7</v>
      </c>
      <c r="K386" s="12" t="n">
        <v>0</v>
      </c>
      <c r="L386" s="12" t="n">
        <v>0</v>
      </c>
      <c r="M386" s="12" t="n">
        <v>22</v>
      </c>
      <c r="N386" s="12" t="n">
        <v>22</v>
      </c>
      <c r="O386" s="12" t="n">
        <v>324</v>
      </c>
      <c r="P386" s="16" t="n">
        <f aca="false">O386/3</f>
        <v>108</v>
      </c>
      <c r="Q386" s="17" t="str">
        <f aca="false">INT(O386/3)&amp;"."&amp;MOD(O386,3)</f>
        <v>108.0</v>
      </c>
      <c r="R386" s="12" t="n">
        <v>96</v>
      </c>
      <c r="S386" s="12" t="n">
        <v>61</v>
      </c>
      <c r="T386" s="12" t="n">
        <v>60</v>
      </c>
      <c r="U386" s="12" t="n">
        <v>10</v>
      </c>
      <c r="V386" s="12" t="n">
        <v>37</v>
      </c>
      <c r="W386" s="12" t="n">
        <v>106</v>
      </c>
      <c r="X386" s="12" t="n">
        <v>6</v>
      </c>
      <c r="Y386" s="18" t="n">
        <f aca="false">IF(O386=0,0,T386*27/O386)</f>
        <v>5</v>
      </c>
      <c r="Z386" s="18" t="n">
        <f aca="false">IF(P386=0,0,(V386+R386)/P386)</f>
        <v>1.23148148148148</v>
      </c>
      <c r="AA386" s="18" t="n">
        <f aca="false">IF(O386=0,0,W386*27/O386)</f>
        <v>8.83333333333333</v>
      </c>
      <c r="AB386" s="18" t="n">
        <f aca="false">IF(O386=0,0,V386*27/O386)</f>
        <v>3.08333333333333</v>
      </c>
      <c r="AC386" s="18" t="n">
        <f aca="false">IF(V386=0,0,W386/V386)</f>
        <v>2.86486486486487</v>
      </c>
      <c r="AD386" s="18" t="n">
        <f aca="false">IF(P386=0,0,(13*U386+3*(V386+X386)-2*W386)/P386+INDEX(球季參數!$C$2:$C$4,MATCH($A386,球季參數!$A$2:$A$4,0)))</f>
        <v>3.53518518518519</v>
      </c>
      <c r="AE386" s="11" t="n">
        <f aca="false">IF(P386&gt;=INDEX(球季參數!$F$2:$F$4,MATCH($A386,球季參數!$A$2:$A$4,0)),1,0)</f>
        <v>0</v>
      </c>
    </row>
    <row r="387" customFormat="false" ht="15" hidden="false" customHeight="false" outlineLevel="0" collapsed="false">
      <c r="A387" s="5" t="n">
        <v>2025</v>
      </c>
      <c r="B387" s="7" t="s">
        <v>1709</v>
      </c>
      <c r="C387" s="10" t="str">
        <f aca="false">INDEX(球員主檔!$B$2:$B$749,MATCH($B387,球員主檔!$A$2:$A$749,0))</f>
        <v>Quentin Blackwood</v>
      </c>
      <c r="D387" s="7" t="s">
        <v>375</v>
      </c>
      <c r="E387" s="10" t="str">
        <f aca="false">INDEX(球隊主檔!$C$2:$C$31,MATCH($D387,球隊主檔!$A$2:$A$31,0))</f>
        <v>堪薩斯市皇家</v>
      </c>
      <c r="F387" s="10" t="str">
        <f aca="false">INDEX(球隊主檔!$D$2:$D$31,MATCH($D387,球隊主檔!$A$2:$A$31,0))</f>
        <v>美聯</v>
      </c>
      <c r="G387" s="7" t="s">
        <v>507</v>
      </c>
      <c r="H387" s="11" t="n">
        <f aca="false">INT((DATE($A387,7,1)-INDEX(球員主檔!$G$2:$G$749,MATCH($B387,球員主檔!$A$2:$A$749,0)))/365.25)</f>
        <v>23</v>
      </c>
      <c r="I387" s="12" t="n">
        <v>0</v>
      </c>
      <c r="J387" s="12" t="n">
        <v>4</v>
      </c>
      <c r="K387" s="12" t="n">
        <v>2</v>
      </c>
      <c r="L387" s="12" t="n">
        <v>4</v>
      </c>
      <c r="M387" s="12" t="n">
        <v>59</v>
      </c>
      <c r="N387" s="12" t="n">
        <v>0</v>
      </c>
      <c r="O387" s="12" t="n">
        <v>173</v>
      </c>
      <c r="P387" s="16" t="n">
        <f aca="false">O387/3</f>
        <v>57.6666666666667</v>
      </c>
      <c r="Q387" s="17" t="str">
        <f aca="false">INT(O387/3)&amp;"."&amp;MOD(O387,3)</f>
        <v>57.2</v>
      </c>
      <c r="R387" s="12" t="n">
        <v>52</v>
      </c>
      <c r="S387" s="12" t="n">
        <v>31</v>
      </c>
      <c r="T387" s="12" t="n">
        <v>28</v>
      </c>
      <c r="U387" s="12" t="n">
        <v>5</v>
      </c>
      <c r="V387" s="12" t="n">
        <v>21</v>
      </c>
      <c r="W387" s="12" t="n">
        <v>68</v>
      </c>
      <c r="X387" s="12" t="n">
        <v>2</v>
      </c>
      <c r="Y387" s="18" t="n">
        <f aca="false">IF(O387=0,0,T387*27/O387)</f>
        <v>4.36994219653179</v>
      </c>
      <c r="Z387" s="18" t="n">
        <f aca="false">IF(P387=0,0,(V387+R387)/P387)</f>
        <v>1.26589595375723</v>
      </c>
      <c r="AA387" s="18" t="n">
        <f aca="false">IF(O387=0,0,W387*27/O387)</f>
        <v>10.6127167630058</v>
      </c>
      <c r="AB387" s="18" t="n">
        <f aca="false">IF(O387=0,0,V387*27/O387)</f>
        <v>3.27745664739884</v>
      </c>
      <c r="AC387" s="18" t="n">
        <f aca="false">IF(V387=0,0,W387/V387)</f>
        <v>3.23809523809524</v>
      </c>
      <c r="AD387" s="18" t="n">
        <f aca="false">IF(P387=0,0,(13*U387+3*(V387+X387)-2*W387)/P387+INDEX(球季參數!$C$2:$C$4,MATCH($A387,球季參數!$A$2:$A$4,0)))</f>
        <v>3.06531791907514</v>
      </c>
      <c r="AE387" s="11" t="n">
        <f aca="false">IF(P387&gt;=INDEX(球季參數!$F$2:$F$4,MATCH($A387,球季參數!$A$2:$A$4,0)),1,0)</f>
        <v>0</v>
      </c>
    </row>
    <row r="388" customFormat="false" ht="15" hidden="false" customHeight="false" outlineLevel="0" collapsed="false">
      <c r="A388" s="5" t="n">
        <v>2025</v>
      </c>
      <c r="B388" s="7" t="s">
        <v>829</v>
      </c>
      <c r="C388" s="10" t="str">
        <f aca="false">INDEX(球員主檔!$B$2:$B$749,MATCH($B388,球員主檔!$A$2:$A$749,0))</f>
        <v>Haruto Stroheim</v>
      </c>
      <c r="D388" s="7" t="s">
        <v>375</v>
      </c>
      <c r="E388" s="10" t="str">
        <f aca="false">INDEX(球隊主檔!$C$2:$C$31,MATCH($D388,球隊主檔!$A$2:$A$31,0))</f>
        <v>堪薩斯市皇家</v>
      </c>
      <c r="F388" s="10" t="str">
        <f aca="false">INDEX(球隊主檔!$D$2:$D$31,MATCH($D388,球隊主檔!$A$2:$A$31,0))</f>
        <v>美聯</v>
      </c>
      <c r="G388" s="7" t="s">
        <v>507</v>
      </c>
      <c r="H388" s="11" t="n">
        <f aca="false">INT((DATE($A388,7,1)-INDEX(球員主檔!$G$2:$G$749,MATCH($B388,球員主檔!$A$2:$A$749,0)))/365.25)</f>
        <v>24</v>
      </c>
      <c r="I388" s="12" t="n">
        <v>3</v>
      </c>
      <c r="J388" s="12" t="n">
        <v>3</v>
      </c>
      <c r="K388" s="12" t="n">
        <v>6</v>
      </c>
      <c r="L388" s="12" t="n">
        <v>20</v>
      </c>
      <c r="M388" s="12" t="n">
        <v>42</v>
      </c>
      <c r="N388" s="12" t="n">
        <v>0</v>
      </c>
      <c r="O388" s="12" t="n">
        <v>114</v>
      </c>
      <c r="P388" s="16" t="n">
        <f aca="false">O388/3</f>
        <v>38</v>
      </c>
      <c r="Q388" s="17" t="str">
        <f aca="false">INT(O388/3)&amp;"."&amp;MOD(O388,3)</f>
        <v>38.0</v>
      </c>
      <c r="R388" s="12" t="n">
        <v>34</v>
      </c>
      <c r="S388" s="12" t="n">
        <v>20</v>
      </c>
      <c r="T388" s="12" t="n">
        <v>18</v>
      </c>
      <c r="U388" s="12" t="n">
        <v>6</v>
      </c>
      <c r="V388" s="12" t="n">
        <v>15</v>
      </c>
      <c r="W388" s="12" t="n">
        <v>32</v>
      </c>
      <c r="X388" s="12" t="n">
        <v>1</v>
      </c>
      <c r="Y388" s="18" t="n">
        <f aca="false">IF(O388=0,0,T388*27/O388)</f>
        <v>4.26315789473684</v>
      </c>
      <c r="Z388" s="18" t="n">
        <f aca="false">IF(P388=0,0,(V388+R388)/P388)</f>
        <v>1.28947368421053</v>
      </c>
      <c r="AA388" s="18" t="n">
        <f aca="false">IF(O388=0,0,W388*27/O388)</f>
        <v>7.57894736842105</v>
      </c>
      <c r="AB388" s="18" t="n">
        <f aca="false">IF(O388=0,0,V388*27/O388)</f>
        <v>3.55263157894737</v>
      </c>
      <c r="AC388" s="18" t="n">
        <f aca="false">IF(V388=0,0,W388/V388)</f>
        <v>2.13333333333333</v>
      </c>
      <c r="AD388" s="18" t="n">
        <f aca="false">IF(P388=0,0,(13*U388+3*(V388+X388)-2*W388)/P388+INDEX(球季參數!$C$2:$C$4,MATCH($A388,球季參數!$A$2:$A$4,0)))</f>
        <v>4.73157894736842</v>
      </c>
      <c r="AE388" s="11" t="n">
        <f aca="false">IF(P388&gt;=INDEX(球季參數!$F$2:$F$4,MATCH($A388,球季參數!$A$2:$A$4,0)),1,0)</f>
        <v>0</v>
      </c>
    </row>
    <row r="389" customFormat="false" ht="15" hidden="false" customHeight="false" outlineLevel="0" collapsed="false">
      <c r="A389" s="5" t="n">
        <v>2025</v>
      </c>
      <c r="B389" s="7" t="s">
        <v>831</v>
      </c>
      <c r="C389" s="10" t="str">
        <f aca="false">INDEX(球員主檔!$B$2:$B$749,MATCH($B389,球員主檔!$A$2:$A$749,0))</f>
        <v>Tobias Blackwood</v>
      </c>
      <c r="D389" s="7" t="s">
        <v>375</v>
      </c>
      <c r="E389" s="10" t="str">
        <f aca="false">INDEX(球隊主檔!$C$2:$C$31,MATCH($D389,球隊主檔!$A$2:$A$31,0))</f>
        <v>堪薩斯市皇家</v>
      </c>
      <c r="F389" s="10" t="str">
        <f aca="false">INDEX(球隊主檔!$D$2:$D$31,MATCH($D389,球隊主檔!$A$2:$A$31,0))</f>
        <v>美聯</v>
      </c>
      <c r="G389" s="7" t="s">
        <v>507</v>
      </c>
      <c r="H389" s="11" t="n">
        <f aca="false">INT((DATE($A389,7,1)-INDEX(球員主檔!$G$2:$G$749,MATCH($B389,球員主檔!$A$2:$A$749,0)))/365.25)</f>
        <v>28</v>
      </c>
      <c r="I389" s="12" t="n">
        <v>0</v>
      </c>
      <c r="J389" s="12" t="n">
        <v>3</v>
      </c>
      <c r="K389" s="12" t="n">
        <v>1</v>
      </c>
      <c r="L389" s="12" t="n">
        <v>26</v>
      </c>
      <c r="M389" s="12" t="n">
        <v>53</v>
      </c>
      <c r="N389" s="12" t="n">
        <v>0</v>
      </c>
      <c r="O389" s="12" t="n">
        <v>165</v>
      </c>
      <c r="P389" s="16" t="n">
        <f aca="false">O389/3</f>
        <v>55</v>
      </c>
      <c r="Q389" s="17" t="str">
        <f aca="false">INT(O389/3)&amp;"."&amp;MOD(O389,3)</f>
        <v>55.0</v>
      </c>
      <c r="R389" s="12" t="n">
        <v>43</v>
      </c>
      <c r="S389" s="12" t="n">
        <v>26</v>
      </c>
      <c r="T389" s="12" t="n">
        <v>23</v>
      </c>
      <c r="U389" s="12" t="n">
        <v>6</v>
      </c>
      <c r="V389" s="12" t="n">
        <v>15</v>
      </c>
      <c r="W389" s="12" t="n">
        <v>57</v>
      </c>
      <c r="X389" s="12" t="n">
        <v>3</v>
      </c>
      <c r="Y389" s="18" t="n">
        <f aca="false">IF(O389=0,0,T389*27/O389)</f>
        <v>3.76363636363636</v>
      </c>
      <c r="Z389" s="18" t="n">
        <f aca="false">IF(P389=0,0,(V389+R389)/P389)</f>
        <v>1.05454545454545</v>
      </c>
      <c r="AA389" s="18" t="n">
        <f aca="false">IF(O389=0,0,W389*27/O389)</f>
        <v>9.32727272727273</v>
      </c>
      <c r="AB389" s="18" t="n">
        <f aca="false">IF(O389=0,0,V389*27/O389)</f>
        <v>2.45454545454545</v>
      </c>
      <c r="AC389" s="18" t="n">
        <f aca="false">IF(V389=0,0,W389/V389)</f>
        <v>3.8</v>
      </c>
      <c r="AD389" s="18" t="n">
        <f aca="false">IF(P389=0,0,(13*U389+3*(V389+X389)-2*W389)/P389+INDEX(球季參數!$C$2:$C$4,MATCH($A389,球季參數!$A$2:$A$4,0)))</f>
        <v>3.42727272727273</v>
      </c>
      <c r="AE389" s="11" t="n">
        <f aca="false">IF(P389&gt;=INDEX(球季參數!$F$2:$F$4,MATCH($A389,球季參數!$A$2:$A$4,0)),1,0)</f>
        <v>0</v>
      </c>
    </row>
    <row r="390" customFormat="false" ht="15" hidden="false" customHeight="false" outlineLevel="0" collapsed="false">
      <c r="A390" s="5" t="n">
        <v>2025</v>
      </c>
      <c r="B390" s="7" t="s">
        <v>833</v>
      </c>
      <c r="C390" s="10" t="str">
        <f aca="false">INDEX(球員主檔!$B$2:$B$749,MATCH($B390,球員主檔!$A$2:$A$749,0))</f>
        <v>Tristan Stroheim</v>
      </c>
      <c r="D390" s="7" t="s">
        <v>375</v>
      </c>
      <c r="E390" s="10" t="str">
        <f aca="false">INDEX(球隊主檔!$C$2:$C$31,MATCH($D390,球隊主檔!$A$2:$A$31,0))</f>
        <v>堪薩斯市皇家</v>
      </c>
      <c r="F390" s="10" t="str">
        <f aca="false">INDEX(球隊主檔!$D$2:$D$31,MATCH($D390,球隊主檔!$A$2:$A$31,0))</f>
        <v>美聯</v>
      </c>
      <c r="G390" s="7" t="s">
        <v>507</v>
      </c>
      <c r="H390" s="11" t="n">
        <f aca="false">INT((DATE($A390,7,1)-INDEX(球員主檔!$G$2:$G$749,MATCH($B390,球員主檔!$A$2:$A$749,0)))/365.25)</f>
        <v>27</v>
      </c>
      <c r="I390" s="12" t="n">
        <v>1</v>
      </c>
      <c r="J390" s="12" t="n">
        <v>3</v>
      </c>
      <c r="K390" s="12" t="n">
        <v>6</v>
      </c>
      <c r="L390" s="12" t="n">
        <v>11</v>
      </c>
      <c r="M390" s="12" t="n">
        <v>57</v>
      </c>
      <c r="N390" s="12" t="n">
        <v>0</v>
      </c>
      <c r="O390" s="12" t="n">
        <v>193</v>
      </c>
      <c r="P390" s="16" t="n">
        <f aca="false">O390/3</f>
        <v>64.3333333333333</v>
      </c>
      <c r="Q390" s="17" t="str">
        <f aca="false">INT(O390/3)&amp;"."&amp;MOD(O390,3)</f>
        <v>64.1</v>
      </c>
      <c r="R390" s="12" t="n">
        <v>57</v>
      </c>
      <c r="S390" s="12" t="n">
        <v>37</v>
      </c>
      <c r="T390" s="12" t="n">
        <v>34</v>
      </c>
      <c r="U390" s="12" t="n">
        <v>11</v>
      </c>
      <c r="V390" s="12" t="n">
        <v>25</v>
      </c>
      <c r="W390" s="12" t="n">
        <v>67</v>
      </c>
      <c r="X390" s="12" t="n">
        <v>3</v>
      </c>
      <c r="Y390" s="18" t="n">
        <f aca="false">IF(O390=0,0,T390*27/O390)</f>
        <v>4.75647668393782</v>
      </c>
      <c r="Z390" s="18" t="n">
        <f aca="false">IF(P390=0,0,(V390+R390)/P390)</f>
        <v>1.27461139896373</v>
      </c>
      <c r="AA390" s="18" t="n">
        <f aca="false">IF(O390=0,0,W390*27/O390)</f>
        <v>9.37305699481865</v>
      </c>
      <c r="AB390" s="18" t="n">
        <f aca="false">IF(O390=0,0,V390*27/O390)</f>
        <v>3.49740932642487</v>
      </c>
      <c r="AC390" s="18" t="n">
        <f aca="false">IF(V390=0,0,W390/V390)</f>
        <v>2.68</v>
      </c>
      <c r="AD390" s="18" t="n">
        <f aca="false">IF(P390=0,0,(13*U390+3*(V390+X390)-2*W390)/P390+INDEX(球季參數!$C$2:$C$4,MATCH($A390,球季參數!$A$2:$A$4,0)))</f>
        <v>4.54559585492228</v>
      </c>
      <c r="AE390" s="11" t="n">
        <f aca="false">IF(P390&gt;=INDEX(球季參數!$F$2:$F$4,MATCH($A390,球季參數!$A$2:$A$4,0)),1,0)</f>
        <v>0</v>
      </c>
    </row>
    <row r="391" customFormat="false" ht="15" hidden="false" customHeight="false" outlineLevel="0" collapsed="false">
      <c r="A391" s="5" t="n">
        <v>2025</v>
      </c>
      <c r="B391" s="7" t="s">
        <v>1711</v>
      </c>
      <c r="C391" s="10" t="str">
        <f aca="false">INDEX(球員主檔!$B$2:$B$749,MATCH($B391,球員主檔!$A$2:$A$749,0))</f>
        <v>Dashiell Larrabee</v>
      </c>
      <c r="D391" s="7" t="s">
        <v>375</v>
      </c>
      <c r="E391" s="10" t="str">
        <f aca="false">INDEX(球隊主檔!$C$2:$C$31,MATCH($D391,球隊主檔!$A$2:$A$31,0))</f>
        <v>堪薩斯市皇家</v>
      </c>
      <c r="F391" s="10" t="str">
        <f aca="false">INDEX(球隊主檔!$D$2:$D$31,MATCH($D391,球隊主檔!$A$2:$A$31,0))</f>
        <v>美聯</v>
      </c>
      <c r="G391" s="7" t="s">
        <v>507</v>
      </c>
      <c r="H391" s="11" t="n">
        <f aca="false">INT((DATE($A391,7,1)-INDEX(球員主檔!$G$2:$G$749,MATCH($B391,球員主檔!$A$2:$A$749,0)))/365.25)</f>
        <v>22</v>
      </c>
      <c r="I391" s="12" t="n">
        <v>8</v>
      </c>
      <c r="J391" s="12" t="n">
        <v>7</v>
      </c>
      <c r="K391" s="12" t="n">
        <v>1</v>
      </c>
      <c r="L391" s="12" t="n">
        <v>26</v>
      </c>
      <c r="M391" s="12" t="n">
        <v>57</v>
      </c>
      <c r="N391" s="12" t="n">
        <v>0</v>
      </c>
      <c r="O391" s="12" t="n">
        <v>156</v>
      </c>
      <c r="P391" s="16" t="n">
        <f aca="false">O391/3</f>
        <v>52</v>
      </c>
      <c r="Q391" s="17" t="str">
        <f aca="false">INT(O391/3)&amp;"."&amp;MOD(O391,3)</f>
        <v>52.0</v>
      </c>
      <c r="R391" s="12" t="n">
        <v>44</v>
      </c>
      <c r="S391" s="12" t="n">
        <v>25</v>
      </c>
      <c r="T391" s="12" t="n">
        <v>24</v>
      </c>
      <c r="U391" s="12" t="n">
        <v>4</v>
      </c>
      <c r="V391" s="12" t="n">
        <v>19</v>
      </c>
      <c r="W391" s="12" t="n">
        <v>58</v>
      </c>
      <c r="X391" s="12" t="n">
        <v>2</v>
      </c>
      <c r="Y391" s="18" t="n">
        <f aca="false">IF(O391=0,0,T391*27/O391)</f>
        <v>4.15384615384615</v>
      </c>
      <c r="Z391" s="18" t="n">
        <f aca="false">IF(P391=0,0,(V391+R391)/P391)</f>
        <v>1.21153846153846</v>
      </c>
      <c r="AA391" s="18" t="n">
        <f aca="false">IF(O391=0,0,W391*27/O391)</f>
        <v>10.0384615384615</v>
      </c>
      <c r="AB391" s="18" t="n">
        <f aca="false">IF(O391=0,0,V391*27/O391)</f>
        <v>3.28846153846154</v>
      </c>
      <c r="AC391" s="18" t="n">
        <f aca="false">IF(V391=0,0,W391/V391)</f>
        <v>3.05263157894737</v>
      </c>
      <c r="AD391" s="18" t="n">
        <f aca="false">IF(P391=0,0,(13*U391+3*(V391+X391)-2*W391)/P391+INDEX(球季參數!$C$2:$C$4,MATCH($A391,球季參數!$A$2:$A$4,0)))</f>
        <v>3.08076923076923</v>
      </c>
      <c r="AE391" s="11" t="n">
        <f aca="false">IF(P391&gt;=INDEX(球季參數!$F$2:$F$4,MATCH($A391,球季參數!$A$2:$A$4,0)),1,0)</f>
        <v>0</v>
      </c>
    </row>
    <row r="392" customFormat="false" ht="15" hidden="false" customHeight="false" outlineLevel="0" collapsed="false">
      <c r="A392" s="5" t="n">
        <v>2025</v>
      </c>
      <c r="B392" s="7" t="s">
        <v>857</v>
      </c>
      <c r="C392" s="10" t="str">
        <f aca="false">INDEX(球員主檔!$B$2:$B$749,MATCH($B392,球員主檔!$A$2:$A$749,0))</f>
        <v>Silas Lemieux</v>
      </c>
      <c r="D392" s="7" t="s">
        <v>379</v>
      </c>
      <c r="E392" s="10" t="str">
        <f aca="false">INDEX(球隊主檔!$C$2:$C$31,MATCH($D392,球隊主檔!$A$2:$A$31,0))</f>
        <v>明尼蘇達雙城</v>
      </c>
      <c r="F392" s="10" t="str">
        <f aca="false">INDEX(球隊主檔!$D$2:$D$31,MATCH($D392,球隊主檔!$A$2:$A$31,0))</f>
        <v>美聯</v>
      </c>
      <c r="G392" s="7" t="s">
        <v>496</v>
      </c>
      <c r="H392" s="11" t="n">
        <f aca="false">INT((DATE($A392,7,1)-INDEX(球員主檔!$G$2:$G$749,MATCH($B392,球員主檔!$A$2:$A$749,0)))/365.25)</f>
        <v>29</v>
      </c>
      <c r="I392" s="12" t="n">
        <v>13</v>
      </c>
      <c r="J392" s="12" t="n">
        <v>7</v>
      </c>
      <c r="K392" s="12" t="n">
        <v>0</v>
      </c>
      <c r="L392" s="12" t="n">
        <v>0</v>
      </c>
      <c r="M392" s="12" t="n">
        <v>28</v>
      </c>
      <c r="N392" s="12" t="n">
        <v>28</v>
      </c>
      <c r="O392" s="12" t="n">
        <v>417</v>
      </c>
      <c r="P392" s="16" t="n">
        <f aca="false">O392/3</f>
        <v>139</v>
      </c>
      <c r="Q392" s="17" t="str">
        <f aca="false">INT(O392/3)&amp;"."&amp;MOD(O392,3)</f>
        <v>139.0</v>
      </c>
      <c r="R392" s="12" t="n">
        <v>109</v>
      </c>
      <c r="S392" s="12" t="n">
        <v>72</v>
      </c>
      <c r="T392" s="12" t="n">
        <v>65</v>
      </c>
      <c r="U392" s="12" t="n">
        <v>17</v>
      </c>
      <c r="V392" s="12" t="n">
        <v>48</v>
      </c>
      <c r="W392" s="12" t="n">
        <v>141</v>
      </c>
      <c r="X392" s="12" t="n">
        <v>5</v>
      </c>
      <c r="Y392" s="18" t="n">
        <f aca="false">IF(O392=0,0,T392*27/O392)</f>
        <v>4.20863309352518</v>
      </c>
      <c r="Z392" s="18" t="n">
        <f aca="false">IF(P392=0,0,(V392+R392)/P392)</f>
        <v>1.1294964028777</v>
      </c>
      <c r="AA392" s="18" t="n">
        <f aca="false">IF(O392=0,0,W392*27/O392)</f>
        <v>9.1294964028777</v>
      </c>
      <c r="AB392" s="18" t="n">
        <f aca="false">IF(O392=0,0,V392*27/O392)</f>
        <v>3.10791366906475</v>
      </c>
      <c r="AC392" s="18" t="n">
        <f aca="false">IF(V392=0,0,W392/V392)</f>
        <v>2.9375</v>
      </c>
      <c r="AD392" s="18" t="n">
        <f aca="false">IF(P392=0,0,(13*U392+3*(V392+X392)-2*W392)/P392+INDEX(球季參數!$C$2:$C$4,MATCH($A392,球季參數!$A$2:$A$4,0)))</f>
        <v>3.80503597122302</v>
      </c>
      <c r="AE392" s="11" t="n">
        <f aca="false">IF(P392&gt;=INDEX(球季參數!$F$2:$F$4,MATCH($A392,球季參數!$A$2:$A$4,0)),1,0)</f>
        <v>0</v>
      </c>
    </row>
    <row r="393" customFormat="false" ht="15" hidden="false" customHeight="false" outlineLevel="0" collapsed="false">
      <c r="A393" s="5" t="n">
        <v>2025</v>
      </c>
      <c r="B393" s="7" t="s">
        <v>859</v>
      </c>
      <c r="C393" s="10" t="str">
        <f aca="false">INDEX(球員主檔!$B$2:$B$749,MATCH($B393,球員主檔!$A$2:$A$749,0))</f>
        <v>Osvaldo Fontaine</v>
      </c>
      <c r="D393" s="7" t="s">
        <v>379</v>
      </c>
      <c r="E393" s="10" t="str">
        <f aca="false">INDEX(球隊主檔!$C$2:$C$31,MATCH($D393,球隊主檔!$A$2:$A$31,0))</f>
        <v>明尼蘇達雙城</v>
      </c>
      <c r="F393" s="10" t="str">
        <f aca="false">INDEX(球隊主檔!$D$2:$D$31,MATCH($D393,球隊主檔!$A$2:$A$31,0))</f>
        <v>美聯</v>
      </c>
      <c r="G393" s="7" t="s">
        <v>496</v>
      </c>
      <c r="H393" s="11" t="n">
        <f aca="false">INT((DATE($A393,7,1)-INDEX(球員主檔!$G$2:$G$749,MATCH($B393,球員主檔!$A$2:$A$749,0)))/365.25)</f>
        <v>31</v>
      </c>
      <c r="I393" s="12" t="n">
        <v>4</v>
      </c>
      <c r="J393" s="12" t="n">
        <v>4</v>
      </c>
      <c r="K393" s="12" t="n">
        <v>0</v>
      </c>
      <c r="L393" s="12" t="n">
        <v>0</v>
      </c>
      <c r="M393" s="12" t="n">
        <v>11</v>
      </c>
      <c r="N393" s="12" t="n">
        <v>11</v>
      </c>
      <c r="O393" s="12" t="n">
        <v>200</v>
      </c>
      <c r="P393" s="16" t="n">
        <f aca="false">O393/3</f>
        <v>66.6666666666667</v>
      </c>
      <c r="Q393" s="17" t="str">
        <f aca="false">INT(O393/3)&amp;"."&amp;MOD(O393,3)</f>
        <v>66.2</v>
      </c>
      <c r="R393" s="12" t="n">
        <v>52</v>
      </c>
      <c r="S393" s="12" t="n">
        <v>31</v>
      </c>
      <c r="T393" s="12" t="n">
        <v>30</v>
      </c>
      <c r="U393" s="12" t="n">
        <v>13</v>
      </c>
      <c r="V393" s="12" t="n">
        <v>26</v>
      </c>
      <c r="W393" s="12" t="n">
        <v>88</v>
      </c>
      <c r="X393" s="12" t="n">
        <v>3</v>
      </c>
      <c r="Y393" s="18" t="n">
        <f aca="false">IF(O393=0,0,T393*27/O393)</f>
        <v>4.05</v>
      </c>
      <c r="Z393" s="18" t="n">
        <f aca="false">IF(P393=0,0,(V393+R393)/P393)</f>
        <v>1.17</v>
      </c>
      <c r="AA393" s="18" t="n">
        <f aca="false">IF(O393=0,0,W393*27/O393)</f>
        <v>11.88</v>
      </c>
      <c r="AB393" s="18" t="n">
        <f aca="false">IF(O393=0,0,V393*27/O393)</f>
        <v>3.51</v>
      </c>
      <c r="AC393" s="18" t="n">
        <f aca="false">IF(V393=0,0,W393/V393)</f>
        <v>3.38461538461538</v>
      </c>
      <c r="AD393" s="18" t="n">
        <f aca="false">IF(P393=0,0,(13*U393+3*(V393+X393)-2*W393)/P393+INDEX(球季參數!$C$2:$C$4,MATCH($A393,球季參數!$A$2:$A$4,0)))</f>
        <v>4.3</v>
      </c>
      <c r="AE393" s="11" t="n">
        <f aca="false">IF(P393&gt;=INDEX(球季參數!$F$2:$F$4,MATCH($A393,球季參數!$A$2:$A$4,0)),1,0)</f>
        <v>0</v>
      </c>
    </row>
    <row r="394" customFormat="false" ht="15" hidden="false" customHeight="false" outlineLevel="0" collapsed="false">
      <c r="A394" s="5" t="n">
        <v>2025</v>
      </c>
      <c r="B394" s="7" t="s">
        <v>1713</v>
      </c>
      <c r="C394" s="10" t="str">
        <f aca="false">INDEX(球員主檔!$B$2:$B$749,MATCH($B394,球員主檔!$A$2:$A$749,0))</f>
        <v>Barrett Yamazaki</v>
      </c>
      <c r="D394" s="7" t="s">
        <v>379</v>
      </c>
      <c r="E394" s="10" t="str">
        <f aca="false">INDEX(球隊主檔!$C$2:$C$31,MATCH($D394,球隊主檔!$A$2:$A$31,0))</f>
        <v>明尼蘇達雙城</v>
      </c>
      <c r="F394" s="10" t="str">
        <f aca="false">INDEX(球隊主檔!$D$2:$D$31,MATCH($D394,球隊主檔!$A$2:$A$31,0))</f>
        <v>美聯</v>
      </c>
      <c r="G394" s="7" t="s">
        <v>496</v>
      </c>
      <c r="H394" s="11" t="n">
        <f aca="false">INT((DATE($A394,7,1)-INDEX(球員主檔!$G$2:$G$749,MATCH($B394,球員主檔!$A$2:$A$749,0)))/365.25)</f>
        <v>24</v>
      </c>
      <c r="I394" s="12" t="n">
        <v>13</v>
      </c>
      <c r="J394" s="12" t="n">
        <v>8</v>
      </c>
      <c r="K394" s="12" t="n">
        <v>0</v>
      </c>
      <c r="L394" s="12" t="n">
        <v>0</v>
      </c>
      <c r="M394" s="12" t="n">
        <v>28</v>
      </c>
      <c r="N394" s="12" t="n">
        <v>28</v>
      </c>
      <c r="O394" s="12" t="n">
        <v>530</v>
      </c>
      <c r="P394" s="16" t="n">
        <f aca="false">O394/3</f>
        <v>176.666666666667</v>
      </c>
      <c r="Q394" s="17" t="str">
        <f aca="false">INT(O394/3)&amp;"."&amp;MOD(O394,3)</f>
        <v>176.2</v>
      </c>
      <c r="R394" s="12" t="n">
        <v>164</v>
      </c>
      <c r="S394" s="12" t="n">
        <v>100</v>
      </c>
      <c r="T394" s="12" t="n">
        <v>89</v>
      </c>
      <c r="U394" s="12" t="n">
        <v>27</v>
      </c>
      <c r="V394" s="12" t="n">
        <v>36</v>
      </c>
      <c r="W394" s="12" t="n">
        <v>134</v>
      </c>
      <c r="X394" s="12" t="n">
        <v>6</v>
      </c>
      <c r="Y394" s="18" t="n">
        <f aca="false">IF(O394=0,0,T394*27/O394)</f>
        <v>4.53396226415094</v>
      </c>
      <c r="Z394" s="18" t="n">
        <f aca="false">IF(P394=0,0,(V394+R394)/P394)</f>
        <v>1.13207547169811</v>
      </c>
      <c r="AA394" s="18" t="n">
        <f aca="false">IF(O394=0,0,W394*27/O394)</f>
        <v>6.82641509433962</v>
      </c>
      <c r="AB394" s="18" t="n">
        <f aca="false">IF(O394=0,0,V394*27/O394)</f>
        <v>1.83396226415094</v>
      </c>
      <c r="AC394" s="18" t="n">
        <f aca="false">IF(V394=0,0,W394/V394)</f>
        <v>3.72222222222222</v>
      </c>
      <c r="AD394" s="18" t="n">
        <f aca="false">IF(P394=0,0,(13*U394+3*(V394+X394)-2*W394)/P394+INDEX(球季參數!$C$2:$C$4,MATCH($A394,球季參數!$A$2:$A$4,0)))</f>
        <v>4.28301886792453</v>
      </c>
      <c r="AE394" s="11" t="n">
        <f aca="false">IF(P394&gt;=INDEX(球季參數!$F$2:$F$4,MATCH($A394,球季參數!$A$2:$A$4,0)),1,0)</f>
        <v>1</v>
      </c>
    </row>
    <row r="395" customFormat="false" ht="15" hidden="false" customHeight="false" outlineLevel="0" collapsed="false">
      <c r="A395" s="5" t="n">
        <v>2025</v>
      </c>
      <c r="B395" s="7" t="s">
        <v>1715</v>
      </c>
      <c r="C395" s="10" t="str">
        <f aca="false">INDEX(球員主檔!$B$2:$B$749,MATCH($B395,球員主檔!$A$2:$A$749,0))</f>
        <v>Kellan Okafor</v>
      </c>
      <c r="D395" s="7" t="s">
        <v>379</v>
      </c>
      <c r="E395" s="10" t="str">
        <f aca="false">INDEX(球隊主檔!$C$2:$C$31,MATCH($D395,球隊主檔!$A$2:$A$31,0))</f>
        <v>明尼蘇達雙城</v>
      </c>
      <c r="F395" s="10" t="str">
        <f aca="false">INDEX(球隊主檔!$D$2:$D$31,MATCH($D395,球隊主檔!$A$2:$A$31,0))</f>
        <v>美聯</v>
      </c>
      <c r="G395" s="7" t="s">
        <v>496</v>
      </c>
      <c r="H395" s="11" t="n">
        <f aca="false">INT((DATE($A395,7,1)-INDEX(球員主檔!$G$2:$G$749,MATCH($B395,球員主檔!$A$2:$A$749,0)))/365.25)</f>
        <v>21</v>
      </c>
      <c r="I395" s="12" t="n">
        <v>6</v>
      </c>
      <c r="J395" s="12" t="n">
        <v>10</v>
      </c>
      <c r="K395" s="12" t="n">
        <v>0</v>
      </c>
      <c r="L395" s="12" t="n">
        <v>0</v>
      </c>
      <c r="M395" s="12" t="n">
        <v>21</v>
      </c>
      <c r="N395" s="12" t="n">
        <v>21</v>
      </c>
      <c r="O395" s="12" t="n">
        <v>371</v>
      </c>
      <c r="P395" s="16" t="n">
        <f aca="false">O395/3</f>
        <v>123.666666666667</v>
      </c>
      <c r="Q395" s="17" t="str">
        <f aca="false">INT(O395/3)&amp;"."&amp;MOD(O395,3)</f>
        <v>123.2</v>
      </c>
      <c r="R395" s="12" t="n">
        <v>115</v>
      </c>
      <c r="S395" s="12" t="n">
        <v>80</v>
      </c>
      <c r="T395" s="12" t="n">
        <v>78</v>
      </c>
      <c r="U395" s="12" t="n">
        <v>15</v>
      </c>
      <c r="V395" s="12" t="n">
        <v>25</v>
      </c>
      <c r="W395" s="12" t="n">
        <v>128</v>
      </c>
      <c r="X395" s="12" t="n">
        <v>6</v>
      </c>
      <c r="Y395" s="18" t="n">
        <f aca="false">IF(O395=0,0,T395*27/O395)</f>
        <v>5.67654986522911</v>
      </c>
      <c r="Z395" s="18" t="n">
        <f aca="false">IF(P395=0,0,(V395+R395)/P395)</f>
        <v>1.13207547169811</v>
      </c>
      <c r="AA395" s="18" t="n">
        <f aca="false">IF(O395=0,0,W395*27/O395)</f>
        <v>9.31536388140162</v>
      </c>
      <c r="AB395" s="18" t="n">
        <f aca="false">IF(O395=0,0,V395*27/O395)</f>
        <v>1.81940700808625</v>
      </c>
      <c r="AC395" s="18" t="n">
        <f aca="false">IF(V395=0,0,W395/V395)</f>
        <v>5.12</v>
      </c>
      <c r="AD395" s="18" t="n">
        <f aca="false">IF(P395=0,0,(13*U395+3*(V395+X395)-2*W395)/P395+INDEX(球季參數!$C$2:$C$4,MATCH($A395,球季參數!$A$2:$A$4,0)))</f>
        <v>3.35876010781671</v>
      </c>
      <c r="AE395" s="11" t="n">
        <f aca="false">IF(P395&gt;=INDEX(球季參數!$F$2:$F$4,MATCH($A395,球季參數!$A$2:$A$4,0)),1,0)</f>
        <v>0</v>
      </c>
    </row>
    <row r="396" customFormat="false" ht="15" hidden="false" customHeight="false" outlineLevel="0" collapsed="false">
      <c r="A396" s="5" t="n">
        <v>2025</v>
      </c>
      <c r="B396" s="7" t="s">
        <v>865</v>
      </c>
      <c r="C396" s="10" t="str">
        <f aca="false">INDEX(球員主檔!$B$2:$B$749,MATCH($B396,球員主檔!$A$2:$A$749,0))</f>
        <v>Seonwoo Lemieux</v>
      </c>
      <c r="D396" s="7" t="s">
        <v>379</v>
      </c>
      <c r="E396" s="10" t="str">
        <f aca="false">INDEX(球隊主檔!$C$2:$C$31,MATCH($D396,球隊主檔!$A$2:$A$31,0))</f>
        <v>明尼蘇達雙城</v>
      </c>
      <c r="F396" s="10" t="str">
        <f aca="false">INDEX(球隊主檔!$D$2:$D$31,MATCH($D396,球隊主檔!$A$2:$A$31,0))</f>
        <v>美聯</v>
      </c>
      <c r="G396" s="7" t="s">
        <v>496</v>
      </c>
      <c r="H396" s="11" t="n">
        <f aca="false">INT((DATE($A396,7,1)-INDEX(球員主檔!$G$2:$G$749,MATCH($B396,球員主檔!$A$2:$A$749,0)))/365.25)</f>
        <v>32</v>
      </c>
      <c r="I396" s="12" t="n">
        <v>6</v>
      </c>
      <c r="J396" s="12" t="n">
        <v>4</v>
      </c>
      <c r="K396" s="12" t="n">
        <v>0</v>
      </c>
      <c r="L396" s="12" t="n">
        <v>0</v>
      </c>
      <c r="M396" s="12" t="n">
        <v>17</v>
      </c>
      <c r="N396" s="12" t="n">
        <v>17</v>
      </c>
      <c r="O396" s="12" t="n">
        <v>253</v>
      </c>
      <c r="P396" s="16" t="n">
        <f aca="false">O396/3</f>
        <v>84.3333333333333</v>
      </c>
      <c r="Q396" s="17" t="str">
        <f aca="false">INT(O396/3)&amp;"."&amp;MOD(O396,3)</f>
        <v>84.1</v>
      </c>
      <c r="R396" s="12" t="n">
        <v>68</v>
      </c>
      <c r="S396" s="12" t="n">
        <v>36</v>
      </c>
      <c r="T396" s="12" t="n">
        <v>36</v>
      </c>
      <c r="U396" s="12" t="n">
        <v>7</v>
      </c>
      <c r="V396" s="12" t="n">
        <v>25</v>
      </c>
      <c r="W396" s="12" t="n">
        <v>95</v>
      </c>
      <c r="X396" s="12" t="n">
        <v>2</v>
      </c>
      <c r="Y396" s="18" t="n">
        <f aca="false">IF(O396=0,0,T396*27/O396)</f>
        <v>3.84189723320158</v>
      </c>
      <c r="Z396" s="18" t="n">
        <f aca="false">IF(P396=0,0,(V396+R396)/P396)</f>
        <v>1.10276679841897</v>
      </c>
      <c r="AA396" s="18" t="n">
        <f aca="false">IF(O396=0,0,W396*27/O396)</f>
        <v>10.1383399209486</v>
      </c>
      <c r="AB396" s="18" t="n">
        <f aca="false">IF(O396=0,0,V396*27/O396)</f>
        <v>2.66798418972332</v>
      </c>
      <c r="AC396" s="18" t="n">
        <f aca="false">IF(V396=0,0,W396/V396)</f>
        <v>3.8</v>
      </c>
      <c r="AD396" s="18" t="n">
        <f aca="false">IF(P396=0,0,(13*U396+3*(V396+X396)-2*W396)/P396+INDEX(球季參數!$C$2:$C$4,MATCH($A396,球季參數!$A$2:$A$4,0)))</f>
        <v>2.88656126482213</v>
      </c>
      <c r="AE396" s="11" t="n">
        <f aca="false">IF(P396&gt;=INDEX(球季參數!$F$2:$F$4,MATCH($A396,球季參數!$A$2:$A$4,0)),1,0)</f>
        <v>0</v>
      </c>
    </row>
    <row r="397" customFormat="false" ht="15" hidden="false" customHeight="false" outlineLevel="0" collapsed="false">
      <c r="A397" s="5" t="n">
        <v>2025</v>
      </c>
      <c r="B397" s="7" t="s">
        <v>867</v>
      </c>
      <c r="C397" s="10" t="str">
        <f aca="false">INDEX(球員主檔!$B$2:$B$749,MATCH($B397,球員主檔!$A$2:$A$749,0))</f>
        <v>Ignacio Iwasaki</v>
      </c>
      <c r="D397" s="7" t="s">
        <v>379</v>
      </c>
      <c r="E397" s="10" t="str">
        <f aca="false">INDEX(球隊主檔!$C$2:$C$31,MATCH($D397,球隊主檔!$A$2:$A$31,0))</f>
        <v>明尼蘇達雙城</v>
      </c>
      <c r="F397" s="10" t="str">
        <f aca="false">INDEX(球隊主檔!$D$2:$D$31,MATCH($D397,球隊主檔!$A$2:$A$31,0))</f>
        <v>美聯</v>
      </c>
      <c r="G397" s="7" t="s">
        <v>507</v>
      </c>
      <c r="H397" s="11" t="n">
        <f aca="false">INT((DATE($A397,7,1)-INDEX(球員主檔!$G$2:$G$749,MATCH($B397,球員主檔!$A$2:$A$749,0)))/365.25)</f>
        <v>28</v>
      </c>
      <c r="I397" s="12" t="n">
        <v>8</v>
      </c>
      <c r="J397" s="12" t="n">
        <v>3</v>
      </c>
      <c r="K397" s="12" t="n">
        <v>6</v>
      </c>
      <c r="L397" s="12" t="n">
        <v>34</v>
      </c>
      <c r="M397" s="12" t="n">
        <v>44</v>
      </c>
      <c r="N397" s="12" t="n">
        <v>0</v>
      </c>
      <c r="O397" s="12" t="n">
        <v>144</v>
      </c>
      <c r="P397" s="16" t="n">
        <f aca="false">O397/3</f>
        <v>48</v>
      </c>
      <c r="Q397" s="17" t="str">
        <f aca="false">INT(O397/3)&amp;"."&amp;MOD(O397,3)</f>
        <v>48.0</v>
      </c>
      <c r="R397" s="12" t="n">
        <v>44</v>
      </c>
      <c r="S397" s="12" t="n">
        <v>24</v>
      </c>
      <c r="T397" s="12" t="n">
        <v>24</v>
      </c>
      <c r="U397" s="12" t="n">
        <v>6</v>
      </c>
      <c r="V397" s="12" t="n">
        <v>16</v>
      </c>
      <c r="W397" s="12" t="n">
        <v>39</v>
      </c>
      <c r="X397" s="12" t="n">
        <v>3</v>
      </c>
      <c r="Y397" s="18" t="n">
        <f aca="false">IF(O397=0,0,T397*27/O397)</f>
        <v>4.5</v>
      </c>
      <c r="Z397" s="18" t="n">
        <f aca="false">IF(P397=0,0,(V397+R397)/P397)</f>
        <v>1.25</v>
      </c>
      <c r="AA397" s="18" t="n">
        <f aca="false">IF(O397=0,0,W397*27/O397)</f>
        <v>7.3125</v>
      </c>
      <c r="AB397" s="18" t="n">
        <f aca="false">IF(O397=0,0,V397*27/O397)</f>
        <v>3</v>
      </c>
      <c r="AC397" s="18" t="n">
        <f aca="false">IF(V397=0,0,W397/V397)</f>
        <v>2.4375</v>
      </c>
      <c r="AD397" s="18" t="n">
        <f aca="false">IF(P397=0,0,(13*U397+3*(V397+X397)-2*W397)/P397+INDEX(球季參數!$C$2:$C$4,MATCH($A397,球季參數!$A$2:$A$4,0)))</f>
        <v>4.2875</v>
      </c>
      <c r="AE397" s="11" t="n">
        <f aca="false">IF(P397&gt;=INDEX(球季參數!$F$2:$F$4,MATCH($A397,球季參數!$A$2:$A$4,0)),1,0)</f>
        <v>0</v>
      </c>
    </row>
    <row r="398" customFormat="false" ht="15" hidden="false" customHeight="false" outlineLevel="0" collapsed="false">
      <c r="A398" s="5" t="n">
        <v>2025</v>
      </c>
      <c r="B398" s="7" t="s">
        <v>869</v>
      </c>
      <c r="C398" s="10" t="str">
        <f aca="false">INDEX(球員主檔!$B$2:$B$749,MATCH($B398,球員主檔!$A$2:$A$749,0))</f>
        <v>Dashiell Zielinski</v>
      </c>
      <c r="D398" s="7" t="s">
        <v>379</v>
      </c>
      <c r="E398" s="10" t="str">
        <f aca="false">INDEX(球隊主檔!$C$2:$C$31,MATCH($D398,球隊主檔!$A$2:$A$31,0))</f>
        <v>明尼蘇達雙城</v>
      </c>
      <c r="F398" s="10" t="str">
        <f aca="false">INDEX(球隊主檔!$D$2:$D$31,MATCH($D398,球隊主檔!$A$2:$A$31,0))</f>
        <v>美聯</v>
      </c>
      <c r="G398" s="7" t="s">
        <v>507</v>
      </c>
      <c r="H398" s="11" t="n">
        <f aca="false">INT((DATE($A398,7,1)-INDEX(球員主檔!$G$2:$G$749,MATCH($B398,球員主檔!$A$2:$A$749,0)))/365.25)</f>
        <v>27</v>
      </c>
      <c r="I398" s="12" t="n">
        <v>7</v>
      </c>
      <c r="J398" s="12" t="n">
        <v>6</v>
      </c>
      <c r="K398" s="12" t="n">
        <v>5</v>
      </c>
      <c r="L398" s="12" t="n">
        <v>26</v>
      </c>
      <c r="M398" s="12" t="n">
        <v>75</v>
      </c>
      <c r="N398" s="12" t="n">
        <v>0</v>
      </c>
      <c r="O398" s="12" t="n">
        <v>235</v>
      </c>
      <c r="P398" s="16" t="n">
        <f aca="false">O398/3</f>
        <v>78.3333333333333</v>
      </c>
      <c r="Q398" s="17" t="str">
        <f aca="false">INT(O398/3)&amp;"."&amp;MOD(O398,3)</f>
        <v>78.1</v>
      </c>
      <c r="R398" s="12" t="n">
        <v>65</v>
      </c>
      <c r="S398" s="12" t="n">
        <v>39</v>
      </c>
      <c r="T398" s="12" t="n">
        <v>36</v>
      </c>
      <c r="U398" s="12" t="n">
        <v>11</v>
      </c>
      <c r="V398" s="12" t="n">
        <v>23</v>
      </c>
      <c r="W398" s="12" t="n">
        <v>79</v>
      </c>
      <c r="X398" s="12" t="n">
        <v>4</v>
      </c>
      <c r="Y398" s="18" t="n">
        <f aca="false">IF(O398=0,0,T398*27/O398)</f>
        <v>4.13617021276596</v>
      </c>
      <c r="Z398" s="18" t="n">
        <f aca="false">IF(P398=0,0,(V398+R398)/P398)</f>
        <v>1.12340425531915</v>
      </c>
      <c r="AA398" s="18" t="n">
        <f aca="false">IF(O398=0,0,W398*27/O398)</f>
        <v>9.07659574468085</v>
      </c>
      <c r="AB398" s="18" t="n">
        <f aca="false">IF(O398=0,0,V398*27/O398)</f>
        <v>2.64255319148936</v>
      </c>
      <c r="AC398" s="18" t="n">
        <f aca="false">IF(V398=0,0,W398/V398)</f>
        <v>3.43478260869565</v>
      </c>
      <c r="AD398" s="18" t="n">
        <f aca="false">IF(P398=0,0,(13*U398+3*(V398+X398)-2*W398)/P398+INDEX(球季參數!$C$2:$C$4,MATCH($A398,球季參數!$A$2:$A$4,0)))</f>
        <v>3.94255319148936</v>
      </c>
      <c r="AE398" s="11" t="n">
        <f aca="false">IF(P398&gt;=INDEX(球季參數!$F$2:$F$4,MATCH($A398,球季參數!$A$2:$A$4,0)),1,0)</f>
        <v>0</v>
      </c>
    </row>
    <row r="399" customFormat="false" ht="15" hidden="false" customHeight="false" outlineLevel="0" collapsed="false">
      <c r="A399" s="5" t="n">
        <v>2025</v>
      </c>
      <c r="B399" s="7" t="s">
        <v>871</v>
      </c>
      <c r="C399" s="10" t="str">
        <f aca="false">INDEX(球員主檔!$B$2:$B$749,MATCH($B399,球員主檔!$A$2:$A$749,0))</f>
        <v>Quentin Underhill</v>
      </c>
      <c r="D399" s="7" t="s">
        <v>379</v>
      </c>
      <c r="E399" s="10" t="str">
        <f aca="false">INDEX(球隊主檔!$C$2:$C$31,MATCH($D399,球隊主檔!$A$2:$A$31,0))</f>
        <v>明尼蘇達雙城</v>
      </c>
      <c r="F399" s="10" t="str">
        <f aca="false">INDEX(球隊主檔!$D$2:$D$31,MATCH($D399,球隊主檔!$A$2:$A$31,0))</f>
        <v>美聯</v>
      </c>
      <c r="G399" s="7" t="s">
        <v>507</v>
      </c>
      <c r="H399" s="11" t="n">
        <f aca="false">INT((DATE($A399,7,1)-INDEX(球員主檔!$G$2:$G$749,MATCH($B399,球員主檔!$A$2:$A$749,0)))/365.25)</f>
        <v>29</v>
      </c>
      <c r="I399" s="12" t="n">
        <v>1</v>
      </c>
      <c r="J399" s="12" t="n">
        <v>6</v>
      </c>
      <c r="K399" s="12" t="n">
        <v>2</v>
      </c>
      <c r="L399" s="12" t="n">
        <v>8</v>
      </c>
      <c r="M399" s="12" t="n">
        <v>54</v>
      </c>
      <c r="N399" s="12" t="n">
        <v>0</v>
      </c>
      <c r="O399" s="12" t="n">
        <v>174</v>
      </c>
      <c r="P399" s="16" t="n">
        <f aca="false">O399/3</f>
        <v>58</v>
      </c>
      <c r="Q399" s="17" t="str">
        <f aca="false">INT(O399/3)&amp;"."&amp;MOD(O399,3)</f>
        <v>58.0</v>
      </c>
      <c r="R399" s="12" t="n">
        <v>46</v>
      </c>
      <c r="S399" s="12" t="n">
        <v>20</v>
      </c>
      <c r="T399" s="12" t="n">
        <v>20</v>
      </c>
      <c r="U399" s="12" t="n">
        <v>8</v>
      </c>
      <c r="V399" s="12" t="n">
        <v>13</v>
      </c>
      <c r="W399" s="12" t="n">
        <v>60</v>
      </c>
      <c r="X399" s="12" t="n">
        <v>1</v>
      </c>
      <c r="Y399" s="18" t="n">
        <f aca="false">IF(O399=0,0,T399*27/O399)</f>
        <v>3.10344827586207</v>
      </c>
      <c r="Z399" s="18" t="n">
        <f aca="false">IF(P399=0,0,(V399+R399)/P399)</f>
        <v>1.01724137931034</v>
      </c>
      <c r="AA399" s="18" t="n">
        <f aca="false">IF(O399=0,0,W399*27/O399)</f>
        <v>9.31034482758621</v>
      </c>
      <c r="AB399" s="18" t="n">
        <f aca="false">IF(O399=0,0,V399*27/O399)</f>
        <v>2.01724137931034</v>
      </c>
      <c r="AC399" s="18" t="n">
        <f aca="false">IF(V399=0,0,W399/V399)</f>
        <v>4.61538461538462</v>
      </c>
      <c r="AD399" s="18" t="n">
        <f aca="false">IF(P399=0,0,(13*U399+3*(V399+X399)-2*W399)/P399+INDEX(球季參數!$C$2:$C$4,MATCH($A399,球季參數!$A$2:$A$4,0)))</f>
        <v>3.54827586206897</v>
      </c>
      <c r="AE399" s="11" t="n">
        <f aca="false">IF(P399&gt;=INDEX(球季參數!$F$2:$F$4,MATCH($A399,球季參數!$A$2:$A$4,0)),1,0)</f>
        <v>0</v>
      </c>
    </row>
    <row r="400" customFormat="false" ht="15" hidden="false" customHeight="false" outlineLevel="0" collapsed="false">
      <c r="A400" s="5" t="n">
        <v>2025</v>
      </c>
      <c r="B400" s="7" t="s">
        <v>873</v>
      </c>
      <c r="C400" s="10" t="str">
        <f aca="false">INDEX(球員主檔!$B$2:$B$749,MATCH($B400,球員主檔!$A$2:$A$749,0))</f>
        <v>Matthias Blackwood</v>
      </c>
      <c r="D400" s="7" t="s">
        <v>379</v>
      </c>
      <c r="E400" s="10" t="str">
        <f aca="false">INDEX(球隊主檔!$C$2:$C$31,MATCH($D400,球隊主檔!$A$2:$A$31,0))</f>
        <v>明尼蘇達雙城</v>
      </c>
      <c r="F400" s="10" t="str">
        <f aca="false">INDEX(球隊主檔!$D$2:$D$31,MATCH($D400,球隊主檔!$A$2:$A$31,0))</f>
        <v>美聯</v>
      </c>
      <c r="G400" s="7" t="s">
        <v>507</v>
      </c>
      <c r="H400" s="11" t="n">
        <f aca="false">INT((DATE($A400,7,1)-INDEX(球員主檔!$G$2:$G$749,MATCH($B400,球員主檔!$A$2:$A$749,0)))/365.25)</f>
        <v>29</v>
      </c>
      <c r="I400" s="12" t="n">
        <v>6</v>
      </c>
      <c r="J400" s="12" t="n">
        <v>6</v>
      </c>
      <c r="K400" s="12" t="n">
        <v>6</v>
      </c>
      <c r="L400" s="12" t="n">
        <v>23</v>
      </c>
      <c r="M400" s="12" t="n">
        <v>56</v>
      </c>
      <c r="N400" s="12" t="n">
        <v>0</v>
      </c>
      <c r="O400" s="12" t="n">
        <v>188</v>
      </c>
      <c r="P400" s="16" t="n">
        <f aca="false">O400/3</f>
        <v>62.6666666666667</v>
      </c>
      <c r="Q400" s="17" t="str">
        <f aca="false">INT(O400/3)&amp;"."&amp;MOD(O400,3)</f>
        <v>62.2</v>
      </c>
      <c r="R400" s="12" t="n">
        <v>54</v>
      </c>
      <c r="S400" s="12" t="n">
        <v>37</v>
      </c>
      <c r="T400" s="12" t="n">
        <v>35</v>
      </c>
      <c r="U400" s="12" t="n">
        <v>12</v>
      </c>
      <c r="V400" s="12" t="n">
        <v>13</v>
      </c>
      <c r="W400" s="12" t="n">
        <v>65</v>
      </c>
      <c r="X400" s="12" t="n">
        <v>2</v>
      </c>
      <c r="Y400" s="18" t="n">
        <f aca="false">IF(O400=0,0,T400*27/O400)</f>
        <v>5.02659574468085</v>
      </c>
      <c r="Z400" s="18" t="n">
        <f aca="false">IF(P400=0,0,(V400+R400)/P400)</f>
        <v>1.06914893617021</v>
      </c>
      <c r="AA400" s="18" t="n">
        <f aca="false">IF(O400=0,0,W400*27/O400)</f>
        <v>9.33510638297872</v>
      </c>
      <c r="AB400" s="18" t="n">
        <f aca="false">IF(O400=0,0,V400*27/O400)</f>
        <v>1.86702127659574</v>
      </c>
      <c r="AC400" s="18" t="n">
        <f aca="false">IF(V400=0,0,W400/V400)</f>
        <v>5</v>
      </c>
      <c r="AD400" s="18" t="n">
        <f aca="false">IF(P400=0,0,(13*U400+3*(V400+X400)-2*W400)/P400+INDEX(球季參數!$C$2:$C$4,MATCH($A400,球季參數!$A$2:$A$4,0)))</f>
        <v>4.23297872340426</v>
      </c>
      <c r="AE400" s="11" t="n">
        <f aca="false">IF(P400&gt;=INDEX(球季參數!$F$2:$F$4,MATCH($A400,球季參數!$A$2:$A$4,0)),1,0)</f>
        <v>0</v>
      </c>
    </row>
    <row r="401" customFormat="false" ht="15" hidden="false" customHeight="false" outlineLevel="0" collapsed="false">
      <c r="A401" s="5" t="n">
        <v>2025</v>
      </c>
      <c r="B401" s="7" t="s">
        <v>875</v>
      </c>
      <c r="C401" s="10" t="str">
        <f aca="false">INDEX(球員主檔!$B$2:$B$749,MATCH($B401,球員主檔!$A$2:$A$749,0))</f>
        <v>Yusuke Jovanović</v>
      </c>
      <c r="D401" s="7" t="s">
        <v>379</v>
      </c>
      <c r="E401" s="10" t="str">
        <f aca="false">INDEX(球隊主檔!$C$2:$C$31,MATCH($D401,球隊主檔!$A$2:$A$31,0))</f>
        <v>明尼蘇達雙城</v>
      </c>
      <c r="F401" s="10" t="str">
        <f aca="false">INDEX(球隊主檔!$D$2:$D$31,MATCH($D401,球隊主檔!$A$2:$A$31,0))</f>
        <v>美聯</v>
      </c>
      <c r="G401" s="7" t="s">
        <v>507</v>
      </c>
      <c r="H401" s="11" t="n">
        <f aca="false">INT((DATE($A401,7,1)-INDEX(球員主檔!$G$2:$G$749,MATCH($B401,球員主檔!$A$2:$A$749,0)))/365.25)</f>
        <v>24</v>
      </c>
      <c r="I401" s="12" t="n">
        <v>2</v>
      </c>
      <c r="J401" s="12" t="n">
        <v>2</v>
      </c>
      <c r="K401" s="12" t="n">
        <v>0</v>
      </c>
      <c r="L401" s="12" t="n">
        <v>18</v>
      </c>
      <c r="M401" s="12" t="n">
        <v>44</v>
      </c>
      <c r="N401" s="12" t="n">
        <v>0</v>
      </c>
      <c r="O401" s="12" t="n">
        <v>139</v>
      </c>
      <c r="P401" s="16" t="n">
        <f aca="false">O401/3</f>
        <v>46.3333333333333</v>
      </c>
      <c r="Q401" s="17" t="str">
        <f aca="false">INT(O401/3)&amp;"."&amp;MOD(O401,3)</f>
        <v>46.1</v>
      </c>
      <c r="R401" s="12" t="n">
        <v>38</v>
      </c>
      <c r="S401" s="12" t="n">
        <v>27</v>
      </c>
      <c r="T401" s="12" t="n">
        <v>24</v>
      </c>
      <c r="U401" s="12" t="n">
        <v>6</v>
      </c>
      <c r="V401" s="12" t="n">
        <v>21</v>
      </c>
      <c r="W401" s="12" t="n">
        <v>44</v>
      </c>
      <c r="X401" s="12" t="n">
        <v>3</v>
      </c>
      <c r="Y401" s="18" t="n">
        <f aca="false">IF(O401=0,0,T401*27/O401)</f>
        <v>4.66187050359712</v>
      </c>
      <c r="Z401" s="18" t="n">
        <f aca="false">IF(P401=0,0,(V401+R401)/P401)</f>
        <v>1.27338129496403</v>
      </c>
      <c r="AA401" s="18" t="n">
        <f aca="false">IF(O401=0,0,W401*27/O401)</f>
        <v>8.54676258992806</v>
      </c>
      <c r="AB401" s="18" t="n">
        <f aca="false">IF(O401=0,0,V401*27/O401)</f>
        <v>4.07913669064748</v>
      </c>
      <c r="AC401" s="18" t="n">
        <f aca="false">IF(V401=0,0,W401/V401)</f>
        <v>2.0952380952381</v>
      </c>
      <c r="AD401" s="18" t="n">
        <f aca="false">IF(P401=0,0,(13*U401+3*(V401+X401)-2*W401)/P401+INDEX(球季參數!$C$2:$C$4,MATCH($A401,球季參數!$A$2:$A$4,0)))</f>
        <v>4.43812949640288</v>
      </c>
      <c r="AE401" s="11" t="n">
        <f aca="false">IF(P401&gt;=INDEX(球季參數!$F$2:$F$4,MATCH($A401,球季參數!$A$2:$A$4,0)),1,0)</f>
        <v>0</v>
      </c>
    </row>
    <row r="402" customFormat="false" ht="15" hidden="false" customHeight="false" outlineLevel="0" collapsed="false">
      <c r="A402" s="5" t="n">
        <v>2025</v>
      </c>
      <c r="B402" s="7" t="s">
        <v>897</v>
      </c>
      <c r="C402" s="10" t="str">
        <f aca="false">INDEX(球員主檔!$B$2:$B$749,MATCH($B402,球員主檔!$A$2:$A$749,0))</f>
        <v>Ulises Quiroga</v>
      </c>
      <c r="D402" s="7" t="s">
        <v>383</v>
      </c>
      <c r="E402" s="10" t="str">
        <f aca="false">INDEX(球隊主檔!$C$2:$C$31,MATCH($D402,球隊主檔!$A$2:$A$31,0))</f>
        <v>運動家</v>
      </c>
      <c r="F402" s="10" t="str">
        <f aca="false">INDEX(球隊主檔!$D$2:$D$31,MATCH($D402,球隊主檔!$A$2:$A$31,0))</f>
        <v>美聯</v>
      </c>
      <c r="G402" s="7" t="s">
        <v>496</v>
      </c>
      <c r="H402" s="11" t="n">
        <f aca="false">INT((DATE($A402,7,1)-INDEX(球員主檔!$G$2:$G$749,MATCH($B402,球員主檔!$A$2:$A$749,0)))/365.25)</f>
        <v>22</v>
      </c>
      <c r="I402" s="12" t="n">
        <v>12</v>
      </c>
      <c r="J402" s="12" t="n">
        <v>10</v>
      </c>
      <c r="K402" s="12" t="n">
        <v>0</v>
      </c>
      <c r="L402" s="12" t="n">
        <v>0</v>
      </c>
      <c r="M402" s="12" t="n">
        <v>29</v>
      </c>
      <c r="N402" s="12" t="n">
        <v>29</v>
      </c>
      <c r="O402" s="12" t="n">
        <v>533</v>
      </c>
      <c r="P402" s="16" t="n">
        <f aca="false">O402/3</f>
        <v>177.666666666667</v>
      </c>
      <c r="Q402" s="17" t="str">
        <f aca="false">INT(O402/3)&amp;"."&amp;MOD(O402,3)</f>
        <v>177.2</v>
      </c>
      <c r="R402" s="12" t="n">
        <v>157</v>
      </c>
      <c r="S402" s="12" t="n">
        <v>98</v>
      </c>
      <c r="T402" s="12" t="n">
        <v>90</v>
      </c>
      <c r="U402" s="12" t="n">
        <v>14</v>
      </c>
      <c r="V402" s="12" t="n">
        <v>36</v>
      </c>
      <c r="W402" s="12" t="n">
        <v>163</v>
      </c>
      <c r="X402" s="12" t="n">
        <v>3</v>
      </c>
      <c r="Y402" s="18" t="n">
        <f aca="false">IF(O402=0,0,T402*27/O402)</f>
        <v>4.55909943714822</v>
      </c>
      <c r="Z402" s="18" t="n">
        <f aca="false">IF(P402=0,0,(V402+R402)/P402)</f>
        <v>1.08630393996248</v>
      </c>
      <c r="AA402" s="18" t="n">
        <f aca="false">IF(O402=0,0,W402*27/O402)</f>
        <v>8.25703564727955</v>
      </c>
      <c r="AB402" s="18" t="n">
        <f aca="false">IF(O402=0,0,V402*27/O402)</f>
        <v>1.82363977485929</v>
      </c>
      <c r="AC402" s="18" t="n">
        <f aca="false">IF(V402=0,0,W402/V402)</f>
        <v>4.52777777777778</v>
      </c>
      <c r="AD402" s="18" t="n">
        <f aca="false">IF(P402=0,0,(13*U402+3*(V402+X402)-2*W402)/P402+INDEX(球季參數!$C$2:$C$4,MATCH($A402,球季參數!$A$2:$A$4,0)))</f>
        <v>2.94803001876173</v>
      </c>
      <c r="AE402" s="11" t="n">
        <f aca="false">IF(P402&gt;=INDEX(球季參數!$F$2:$F$4,MATCH($A402,球季參數!$A$2:$A$4,0)),1,0)</f>
        <v>1</v>
      </c>
    </row>
    <row r="403" customFormat="false" ht="15" hidden="false" customHeight="false" outlineLevel="0" collapsed="false">
      <c r="A403" s="5" t="n">
        <v>2025</v>
      </c>
      <c r="B403" s="7" t="s">
        <v>899</v>
      </c>
      <c r="C403" s="10" t="str">
        <f aca="false">INDEX(球員主檔!$B$2:$B$749,MATCH($B403,球員主檔!$A$2:$A$749,0))</f>
        <v>Seonwoo Vasquez</v>
      </c>
      <c r="D403" s="7" t="s">
        <v>383</v>
      </c>
      <c r="E403" s="10" t="str">
        <f aca="false">INDEX(球隊主檔!$C$2:$C$31,MATCH($D403,球隊主檔!$A$2:$A$31,0))</f>
        <v>運動家</v>
      </c>
      <c r="F403" s="10" t="str">
        <f aca="false">INDEX(球隊主檔!$D$2:$D$31,MATCH($D403,球隊主檔!$A$2:$A$31,0))</f>
        <v>美聯</v>
      </c>
      <c r="G403" s="7" t="s">
        <v>496</v>
      </c>
      <c r="H403" s="11" t="n">
        <f aca="false">INT((DATE($A403,7,1)-INDEX(球員主檔!$G$2:$G$749,MATCH($B403,球員主檔!$A$2:$A$749,0)))/365.25)</f>
        <v>27</v>
      </c>
      <c r="I403" s="12" t="n">
        <v>8</v>
      </c>
      <c r="J403" s="12" t="n">
        <v>6</v>
      </c>
      <c r="K403" s="12" t="n">
        <v>0</v>
      </c>
      <c r="L403" s="12" t="n">
        <v>0</v>
      </c>
      <c r="M403" s="12" t="n">
        <v>21</v>
      </c>
      <c r="N403" s="12" t="n">
        <v>21</v>
      </c>
      <c r="O403" s="12" t="n">
        <v>321</v>
      </c>
      <c r="P403" s="16" t="n">
        <f aca="false">O403/3</f>
        <v>107</v>
      </c>
      <c r="Q403" s="17" t="str">
        <f aca="false">INT(O403/3)&amp;"."&amp;MOD(O403,3)</f>
        <v>107.0</v>
      </c>
      <c r="R403" s="12" t="n">
        <v>93</v>
      </c>
      <c r="S403" s="12" t="n">
        <v>63</v>
      </c>
      <c r="T403" s="12" t="n">
        <v>56</v>
      </c>
      <c r="U403" s="12" t="n">
        <v>11</v>
      </c>
      <c r="V403" s="12" t="n">
        <v>40</v>
      </c>
      <c r="W403" s="12" t="n">
        <v>78</v>
      </c>
      <c r="X403" s="12" t="n">
        <v>6</v>
      </c>
      <c r="Y403" s="18" t="n">
        <f aca="false">IF(O403=0,0,T403*27/O403)</f>
        <v>4.71028037383178</v>
      </c>
      <c r="Z403" s="18" t="n">
        <f aca="false">IF(P403=0,0,(V403+R403)/P403)</f>
        <v>1.24299065420561</v>
      </c>
      <c r="AA403" s="18" t="n">
        <f aca="false">IF(O403=0,0,W403*27/O403)</f>
        <v>6.5607476635514</v>
      </c>
      <c r="AB403" s="18" t="n">
        <f aca="false">IF(O403=0,0,V403*27/O403)</f>
        <v>3.36448598130841</v>
      </c>
      <c r="AC403" s="18" t="n">
        <f aca="false">IF(V403=0,0,W403/V403)</f>
        <v>1.95</v>
      </c>
      <c r="AD403" s="18" t="n">
        <f aca="false">IF(P403=0,0,(13*U403+3*(V403+X403)-2*W403)/P403+INDEX(球季參數!$C$2:$C$4,MATCH($A403,球季參數!$A$2:$A$4,0)))</f>
        <v>4.26822429906542</v>
      </c>
      <c r="AE403" s="11" t="n">
        <f aca="false">IF(P403&gt;=INDEX(球季參數!$F$2:$F$4,MATCH($A403,球季參數!$A$2:$A$4,0)),1,0)</f>
        <v>0</v>
      </c>
    </row>
    <row r="404" customFormat="false" ht="15" hidden="false" customHeight="false" outlineLevel="0" collapsed="false">
      <c r="A404" s="5" t="n">
        <v>2025</v>
      </c>
      <c r="B404" s="7" t="s">
        <v>901</v>
      </c>
      <c r="C404" s="10" t="str">
        <f aca="false">INDEX(球員主檔!$B$2:$B$749,MATCH($B404,球員主檔!$A$2:$A$749,0))</f>
        <v>Joaquín Ulloa</v>
      </c>
      <c r="D404" s="7" t="s">
        <v>383</v>
      </c>
      <c r="E404" s="10" t="str">
        <f aca="false">INDEX(球隊主檔!$C$2:$C$31,MATCH($D404,球隊主檔!$A$2:$A$31,0))</f>
        <v>運動家</v>
      </c>
      <c r="F404" s="10" t="str">
        <f aca="false">INDEX(球隊主檔!$D$2:$D$31,MATCH($D404,球隊主檔!$A$2:$A$31,0))</f>
        <v>美聯</v>
      </c>
      <c r="G404" s="7" t="s">
        <v>496</v>
      </c>
      <c r="H404" s="11" t="n">
        <f aca="false">INT((DATE($A404,7,1)-INDEX(球員主檔!$G$2:$G$749,MATCH($B404,球員主檔!$A$2:$A$749,0)))/365.25)</f>
        <v>34</v>
      </c>
      <c r="I404" s="12" t="n">
        <v>12</v>
      </c>
      <c r="J404" s="12" t="n">
        <v>6</v>
      </c>
      <c r="K404" s="12" t="n">
        <v>0</v>
      </c>
      <c r="L404" s="12" t="n">
        <v>0</v>
      </c>
      <c r="M404" s="12" t="n">
        <v>32</v>
      </c>
      <c r="N404" s="12" t="n">
        <v>32</v>
      </c>
      <c r="O404" s="12" t="n">
        <v>560</v>
      </c>
      <c r="P404" s="16" t="n">
        <f aca="false">O404/3</f>
        <v>186.666666666667</v>
      </c>
      <c r="Q404" s="17" t="str">
        <f aca="false">INT(O404/3)&amp;"."&amp;MOD(O404,3)</f>
        <v>186.2</v>
      </c>
      <c r="R404" s="12" t="n">
        <v>158</v>
      </c>
      <c r="S404" s="12" t="n">
        <v>72</v>
      </c>
      <c r="T404" s="12" t="n">
        <v>72</v>
      </c>
      <c r="U404" s="12" t="n">
        <v>26</v>
      </c>
      <c r="V404" s="12" t="n">
        <v>43</v>
      </c>
      <c r="W404" s="12" t="n">
        <v>137</v>
      </c>
      <c r="X404" s="12" t="n">
        <v>11</v>
      </c>
      <c r="Y404" s="18" t="n">
        <f aca="false">IF(O404=0,0,T404*27/O404)</f>
        <v>3.47142857142857</v>
      </c>
      <c r="Z404" s="18" t="n">
        <f aca="false">IF(P404=0,0,(V404+R404)/P404)</f>
        <v>1.07678571428571</v>
      </c>
      <c r="AA404" s="18" t="n">
        <f aca="false">IF(O404=0,0,W404*27/O404)</f>
        <v>6.60535714285714</v>
      </c>
      <c r="AB404" s="18" t="n">
        <f aca="false">IF(O404=0,0,V404*27/O404)</f>
        <v>2.07321428571429</v>
      </c>
      <c r="AC404" s="18" t="n">
        <f aca="false">IF(V404=0,0,W404/V404)</f>
        <v>3.18604651162791</v>
      </c>
      <c r="AD404" s="18" t="n">
        <f aca="false">IF(P404=0,0,(13*U404+3*(V404+X404)-2*W404)/P404+INDEX(球季參數!$C$2:$C$4,MATCH($A404,球季參數!$A$2:$A$4,0)))</f>
        <v>4.31071428571429</v>
      </c>
      <c r="AE404" s="11" t="n">
        <f aca="false">IF(P404&gt;=INDEX(球季參數!$F$2:$F$4,MATCH($A404,球季參數!$A$2:$A$4,0)),1,0)</f>
        <v>1</v>
      </c>
    </row>
    <row r="405" customFormat="false" ht="15" hidden="false" customHeight="false" outlineLevel="0" collapsed="false">
      <c r="A405" s="5" t="n">
        <v>2025</v>
      </c>
      <c r="B405" s="7" t="s">
        <v>827</v>
      </c>
      <c r="C405" s="10" t="str">
        <f aca="false">INDEX(球員主檔!$B$2:$B$749,MATCH($B405,球員主檔!$A$2:$A$749,0))</f>
        <v>Sawyer Wexford</v>
      </c>
      <c r="D405" s="7" t="s">
        <v>383</v>
      </c>
      <c r="E405" s="10" t="str">
        <f aca="false">INDEX(球隊主檔!$C$2:$C$31,MATCH($D405,球隊主檔!$A$2:$A$31,0))</f>
        <v>運動家</v>
      </c>
      <c r="F405" s="10" t="str">
        <f aca="false">INDEX(球隊主檔!$D$2:$D$31,MATCH($D405,球隊主檔!$A$2:$A$31,0))</f>
        <v>美聯</v>
      </c>
      <c r="G405" s="7" t="s">
        <v>496</v>
      </c>
      <c r="H405" s="11" t="n">
        <f aca="false">INT((DATE($A405,7,1)-INDEX(球員主檔!$G$2:$G$749,MATCH($B405,球員主檔!$A$2:$A$749,0)))/365.25)</f>
        <v>36</v>
      </c>
      <c r="I405" s="12" t="n">
        <v>15</v>
      </c>
      <c r="J405" s="12" t="n">
        <v>6</v>
      </c>
      <c r="K405" s="12" t="n">
        <v>0</v>
      </c>
      <c r="L405" s="12" t="n">
        <v>0</v>
      </c>
      <c r="M405" s="12" t="n">
        <v>33</v>
      </c>
      <c r="N405" s="12" t="n">
        <v>33</v>
      </c>
      <c r="O405" s="12" t="n">
        <v>598</v>
      </c>
      <c r="P405" s="16" t="n">
        <f aca="false">O405/3</f>
        <v>199.333333333333</v>
      </c>
      <c r="Q405" s="17" t="str">
        <f aca="false">INT(O405/3)&amp;"."&amp;MOD(O405,3)</f>
        <v>199.1</v>
      </c>
      <c r="R405" s="12" t="n">
        <v>136</v>
      </c>
      <c r="S405" s="12" t="n">
        <v>67</v>
      </c>
      <c r="T405" s="12" t="n">
        <v>63</v>
      </c>
      <c r="U405" s="12" t="n">
        <v>25</v>
      </c>
      <c r="V405" s="12" t="n">
        <v>87</v>
      </c>
      <c r="W405" s="12" t="n">
        <v>176</v>
      </c>
      <c r="X405" s="12" t="n">
        <v>12</v>
      </c>
      <c r="Y405" s="18" t="n">
        <f aca="false">IF(O405=0,0,T405*27/O405)</f>
        <v>2.84448160535117</v>
      </c>
      <c r="Z405" s="18" t="n">
        <f aca="false">IF(P405=0,0,(V405+R405)/P405)</f>
        <v>1.11872909698997</v>
      </c>
      <c r="AA405" s="18" t="n">
        <f aca="false">IF(O405=0,0,W405*27/O405)</f>
        <v>7.94648829431438</v>
      </c>
      <c r="AB405" s="18" t="n">
        <f aca="false">IF(O405=0,0,V405*27/O405)</f>
        <v>3.92809364548495</v>
      </c>
      <c r="AC405" s="18" t="n">
        <f aca="false">IF(V405=0,0,W405/V405)</f>
        <v>2.02298850574713</v>
      </c>
      <c r="AD405" s="18" t="n">
        <f aca="false">IF(P405=0,0,(13*U405+3*(V405+X405)-2*W405)/P405+INDEX(球季參數!$C$2:$C$4,MATCH($A405,球季參數!$A$2:$A$4,0)))</f>
        <v>4.45451505016722</v>
      </c>
      <c r="AE405" s="11" t="n">
        <f aca="false">IF(P405&gt;=INDEX(球季參數!$F$2:$F$4,MATCH($A405,球季參數!$A$2:$A$4,0)),1,0)</f>
        <v>1</v>
      </c>
    </row>
    <row r="406" customFormat="false" ht="15" hidden="false" customHeight="false" outlineLevel="0" collapsed="false">
      <c r="A406" s="5" t="n">
        <v>2025</v>
      </c>
      <c r="B406" s="7" t="s">
        <v>1721</v>
      </c>
      <c r="C406" s="10" t="str">
        <f aca="false">INDEX(球員主檔!$B$2:$B$749,MATCH($B406,球員主檔!$A$2:$A$749,0))</f>
        <v>Dimitri Tremblay</v>
      </c>
      <c r="D406" s="7" t="s">
        <v>383</v>
      </c>
      <c r="E406" s="10" t="str">
        <f aca="false">INDEX(球隊主檔!$C$2:$C$31,MATCH($D406,球隊主檔!$A$2:$A$31,0))</f>
        <v>運動家</v>
      </c>
      <c r="F406" s="10" t="str">
        <f aca="false">INDEX(球隊主檔!$D$2:$D$31,MATCH($D406,球隊主檔!$A$2:$A$31,0))</f>
        <v>美聯</v>
      </c>
      <c r="G406" s="7" t="s">
        <v>496</v>
      </c>
      <c r="H406" s="11" t="n">
        <f aca="false">INT((DATE($A406,7,1)-INDEX(球員主檔!$G$2:$G$749,MATCH($B406,球員主檔!$A$2:$A$749,0)))/365.25)</f>
        <v>22</v>
      </c>
      <c r="I406" s="12" t="n">
        <v>8</v>
      </c>
      <c r="J406" s="12" t="n">
        <v>6</v>
      </c>
      <c r="K406" s="12" t="n">
        <v>0</v>
      </c>
      <c r="L406" s="12" t="n">
        <v>0</v>
      </c>
      <c r="M406" s="12" t="n">
        <v>21</v>
      </c>
      <c r="N406" s="12" t="n">
        <v>21</v>
      </c>
      <c r="O406" s="12" t="n">
        <v>367</v>
      </c>
      <c r="P406" s="16" t="n">
        <f aca="false">O406/3</f>
        <v>122.333333333333</v>
      </c>
      <c r="Q406" s="17" t="str">
        <f aca="false">INT(O406/3)&amp;"."&amp;MOD(O406,3)</f>
        <v>122.1</v>
      </c>
      <c r="R406" s="12" t="n">
        <v>104</v>
      </c>
      <c r="S406" s="12" t="n">
        <v>71</v>
      </c>
      <c r="T406" s="12" t="n">
        <v>63</v>
      </c>
      <c r="U406" s="12" t="n">
        <v>22</v>
      </c>
      <c r="V406" s="12" t="n">
        <v>26</v>
      </c>
      <c r="W406" s="12" t="n">
        <v>90</v>
      </c>
      <c r="X406" s="12" t="n">
        <v>4</v>
      </c>
      <c r="Y406" s="18" t="n">
        <f aca="false">IF(O406=0,0,T406*27/O406)</f>
        <v>4.63487738419619</v>
      </c>
      <c r="Z406" s="18" t="n">
        <f aca="false">IF(P406=0,0,(V406+R406)/P406)</f>
        <v>1.06267029972752</v>
      </c>
      <c r="AA406" s="18" t="n">
        <f aca="false">IF(O406=0,0,W406*27/O406)</f>
        <v>6.62125340599455</v>
      </c>
      <c r="AB406" s="18" t="n">
        <f aca="false">IF(O406=0,0,V406*27/O406)</f>
        <v>1.91280653950954</v>
      </c>
      <c r="AC406" s="18" t="n">
        <f aca="false">IF(V406=0,0,W406/V406)</f>
        <v>3.46153846153846</v>
      </c>
      <c r="AD406" s="18" t="n">
        <f aca="false">IF(P406=0,0,(13*U406+3*(V406+X406)-2*W406)/P406+INDEX(球季參數!$C$2:$C$4,MATCH($A406,球季參數!$A$2:$A$4,0)))</f>
        <v>4.70217983651226</v>
      </c>
      <c r="AE406" s="11" t="n">
        <f aca="false">IF(P406&gt;=INDEX(球季參數!$F$2:$F$4,MATCH($A406,球季參數!$A$2:$A$4,0)),1,0)</f>
        <v>0</v>
      </c>
    </row>
    <row r="407" customFormat="false" ht="15" hidden="false" customHeight="false" outlineLevel="0" collapsed="false">
      <c r="A407" s="5" t="n">
        <v>2025</v>
      </c>
      <c r="B407" s="7" t="s">
        <v>907</v>
      </c>
      <c r="C407" s="10" t="str">
        <f aca="false">INDEX(球員主檔!$B$2:$B$749,MATCH($B407,球員主檔!$A$2:$A$749,0))</f>
        <v>Dimitri Novotný</v>
      </c>
      <c r="D407" s="7" t="s">
        <v>383</v>
      </c>
      <c r="E407" s="10" t="str">
        <f aca="false">INDEX(球隊主檔!$C$2:$C$31,MATCH($D407,球隊主檔!$A$2:$A$31,0))</f>
        <v>運動家</v>
      </c>
      <c r="F407" s="10" t="str">
        <f aca="false">INDEX(球隊主檔!$D$2:$D$31,MATCH($D407,球隊主檔!$A$2:$A$31,0))</f>
        <v>美聯</v>
      </c>
      <c r="G407" s="7" t="s">
        <v>507</v>
      </c>
      <c r="H407" s="11" t="n">
        <f aca="false">INT((DATE($A407,7,1)-INDEX(球員主檔!$G$2:$G$749,MATCH($B407,球員主檔!$A$2:$A$749,0)))/365.25)</f>
        <v>26</v>
      </c>
      <c r="I407" s="12" t="n">
        <v>9</v>
      </c>
      <c r="J407" s="12" t="n">
        <v>8</v>
      </c>
      <c r="K407" s="12" t="n">
        <v>0</v>
      </c>
      <c r="L407" s="12" t="n">
        <v>23</v>
      </c>
      <c r="M407" s="12" t="n">
        <v>53</v>
      </c>
      <c r="N407" s="12" t="n">
        <v>0</v>
      </c>
      <c r="O407" s="12" t="n">
        <v>146</v>
      </c>
      <c r="P407" s="16" t="n">
        <f aca="false">O407/3</f>
        <v>48.6666666666667</v>
      </c>
      <c r="Q407" s="17" t="str">
        <f aca="false">INT(O407/3)&amp;"."&amp;MOD(O407,3)</f>
        <v>48.2</v>
      </c>
      <c r="R407" s="12" t="n">
        <v>44</v>
      </c>
      <c r="S407" s="12" t="n">
        <v>28</v>
      </c>
      <c r="T407" s="12" t="n">
        <v>26</v>
      </c>
      <c r="U407" s="12" t="n">
        <v>7</v>
      </c>
      <c r="V407" s="12" t="n">
        <v>16</v>
      </c>
      <c r="W407" s="12" t="n">
        <v>42</v>
      </c>
      <c r="X407" s="12" t="n">
        <v>2</v>
      </c>
      <c r="Y407" s="18" t="n">
        <f aca="false">IF(O407=0,0,T407*27/O407)</f>
        <v>4.80821917808219</v>
      </c>
      <c r="Z407" s="18" t="n">
        <f aca="false">IF(P407=0,0,(V407+R407)/P407)</f>
        <v>1.23287671232877</v>
      </c>
      <c r="AA407" s="18" t="n">
        <f aca="false">IF(O407=0,0,W407*27/O407)</f>
        <v>7.76712328767123</v>
      </c>
      <c r="AB407" s="18" t="n">
        <f aca="false">IF(O407=0,0,V407*27/O407)</f>
        <v>2.95890410958904</v>
      </c>
      <c r="AC407" s="18" t="n">
        <f aca="false">IF(V407=0,0,W407/V407)</f>
        <v>2.625</v>
      </c>
      <c r="AD407" s="18" t="n">
        <f aca="false">IF(P407=0,0,(13*U407+3*(V407+X407)-2*W407)/P407+INDEX(球季參數!$C$2:$C$4,MATCH($A407,球季參數!$A$2:$A$4,0)))</f>
        <v>4.35342465753425</v>
      </c>
      <c r="AE407" s="11" t="n">
        <f aca="false">IF(P407&gt;=INDEX(球季參數!$F$2:$F$4,MATCH($A407,球季參數!$A$2:$A$4,0)),1,0)</f>
        <v>0</v>
      </c>
    </row>
    <row r="408" customFormat="false" ht="15" hidden="false" customHeight="false" outlineLevel="0" collapsed="false">
      <c r="A408" s="5" t="n">
        <v>2025</v>
      </c>
      <c r="B408" s="7" t="s">
        <v>909</v>
      </c>
      <c r="C408" s="10" t="str">
        <f aca="false">INDEX(球員主檔!$B$2:$B$749,MATCH($B408,球員主檔!$A$2:$A$749,0))</f>
        <v>Lucien Hargreaves</v>
      </c>
      <c r="D408" s="7" t="s">
        <v>383</v>
      </c>
      <c r="E408" s="10" t="str">
        <f aca="false">INDEX(球隊主檔!$C$2:$C$31,MATCH($D408,球隊主檔!$A$2:$A$31,0))</f>
        <v>運動家</v>
      </c>
      <c r="F408" s="10" t="str">
        <f aca="false">INDEX(球隊主檔!$D$2:$D$31,MATCH($D408,球隊主檔!$A$2:$A$31,0))</f>
        <v>美聯</v>
      </c>
      <c r="G408" s="7" t="s">
        <v>507</v>
      </c>
      <c r="H408" s="11" t="n">
        <f aca="false">INT((DATE($A408,7,1)-INDEX(球員主檔!$G$2:$G$749,MATCH($B408,球員主檔!$A$2:$A$749,0)))/365.25)</f>
        <v>30</v>
      </c>
      <c r="I408" s="12" t="n">
        <v>4</v>
      </c>
      <c r="J408" s="12" t="n">
        <v>5</v>
      </c>
      <c r="K408" s="12" t="n">
        <v>5</v>
      </c>
      <c r="L408" s="12" t="n">
        <v>32</v>
      </c>
      <c r="M408" s="12" t="n">
        <v>45</v>
      </c>
      <c r="N408" s="12" t="n">
        <v>0</v>
      </c>
      <c r="O408" s="12" t="n">
        <v>130</v>
      </c>
      <c r="P408" s="16" t="n">
        <f aca="false">O408/3</f>
        <v>43.3333333333333</v>
      </c>
      <c r="Q408" s="17" t="str">
        <f aca="false">INT(O408/3)&amp;"."&amp;MOD(O408,3)</f>
        <v>43.1</v>
      </c>
      <c r="R408" s="12" t="n">
        <v>36</v>
      </c>
      <c r="S408" s="12" t="n">
        <v>23</v>
      </c>
      <c r="T408" s="12" t="n">
        <v>22</v>
      </c>
      <c r="U408" s="12" t="n">
        <v>6</v>
      </c>
      <c r="V408" s="12" t="n">
        <v>6</v>
      </c>
      <c r="W408" s="12" t="n">
        <v>55</v>
      </c>
      <c r="X408" s="12" t="n">
        <v>1</v>
      </c>
      <c r="Y408" s="18" t="n">
        <f aca="false">IF(O408=0,0,T408*27/O408)</f>
        <v>4.56923076923077</v>
      </c>
      <c r="Z408" s="18" t="n">
        <f aca="false">IF(P408=0,0,(V408+R408)/P408)</f>
        <v>0.969230769230769</v>
      </c>
      <c r="AA408" s="18" t="n">
        <f aca="false">IF(O408=0,0,W408*27/O408)</f>
        <v>11.4230769230769</v>
      </c>
      <c r="AB408" s="18" t="n">
        <f aca="false">IF(O408=0,0,V408*27/O408)</f>
        <v>1.24615384615385</v>
      </c>
      <c r="AC408" s="18" t="n">
        <f aca="false">IF(V408=0,0,W408/V408)</f>
        <v>9.16666666666667</v>
      </c>
      <c r="AD408" s="18" t="n">
        <f aca="false">IF(P408=0,0,(13*U408+3*(V408+X408)-2*W408)/P408+INDEX(球季參數!$C$2:$C$4,MATCH($A408,球季參數!$A$2:$A$4,0)))</f>
        <v>2.84615384615385</v>
      </c>
      <c r="AE408" s="11" t="n">
        <f aca="false">IF(P408&gt;=INDEX(球季參數!$F$2:$F$4,MATCH($A408,球季參數!$A$2:$A$4,0)),1,0)</f>
        <v>0</v>
      </c>
    </row>
    <row r="409" customFormat="false" ht="15" hidden="false" customHeight="false" outlineLevel="0" collapsed="false">
      <c r="A409" s="5" t="n">
        <v>2025</v>
      </c>
      <c r="B409" s="7" t="s">
        <v>911</v>
      </c>
      <c r="C409" s="10" t="str">
        <f aca="false">INDEX(球員主檔!$B$2:$B$749,MATCH($B409,球員主檔!$A$2:$A$749,0))</f>
        <v>Griffin Paszkiewicz</v>
      </c>
      <c r="D409" s="7" t="s">
        <v>383</v>
      </c>
      <c r="E409" s="10" t="str">
        <f aca="false">INDEX(球隊主檔!$C$2:$C$31,MATCH($D409,球隊主檔!$A$2:$A$31,0))</f>
        <v>運動家</v>
      </c>
      <c r="F409" s="10" t="str">
        <f aca="false">INDEX(球隊主檔!$D$2:$D$31,MATCH($D409,球隊主檔!$A$2:$A$31,0))</f>
        <v>美聯</v>
      </c>
      <c r="G409" s="7" t="s">
        <v>507</v>
      </c>
      <c r="H409" s="11" t="n">
        <f aca="false">INT((DATE($A409,7,1)-INDEX(球員主檔!$G$2:$G$749,MATCH($B409,球員主檔!$A$2:$A$749,0)))/365.25)</f>
        <v>24</v>
      </c>
      <c r="I409" s="12" t="n">
        <v>6</v>
      </c>
      <c r="J409" s="12" t="n">
        <v>2</v>
      </c>
      <c r="K409" s="12" t="n">
        <v>4</v>
      </c>
      <c r="L409" s="12" t="n">
        <v>20</v>
      </c>
      <c r="M409" s="12" t="n">
        <v>58</v>
      </c>
      <c r="N409" s="12" t="n">
        <v>0</v>
      </c>
      <c r="O409" s="12" t="n">
        <v>194</v>
      </c>
      <c r="P409" s="16" t="n">
        <f aca="false">O409/3</f>
        <v>64.6666666666667</v>
      </c>
      <c r="Q409" s="17" t="str">
        <f aca="false">INT(O409/3)&amp;"."&amp;MOD(O409,3)</f>
        <v>64.2</v>
      </c>
      <c r="R409" s="12" t="n">
        <v>53</v>
      </c>
      <c r="S409" s="12" t="n">
        <v>26</v>
      </c>
      <c r="T409" s="12" t="n">
        <v>23</v>
      </c>
      <c r="U409" s="12" t="n">
        <v>8</v>
      </c>
      <c r="V409" s="12" t="n">
        <v>16</v>
      </c>
      <c r="W409" s="12" t="n">
        <v>63</v>
      </c>
      <c r="X409" s="12" t="n">
        <v>1</v>
      </c>
      <c r="Y409" s="18" t="n">
        <f aca="false">IF(O409=0,0,T409*27/O409)</f>
        <v>3.20103092783505</v>
      </c>
      <c r="Z409" s="18" t="n">
        <f aca="false">IF(P409=0,0,(V409+R409)/P409)</f>
        <v>1.06701030927835</v>
      </c>
      <c r="AA409" s="18" t="n">
        <f aca="false">IF(O409=0,0,W409*27/O409)</f>
        <v>8.7680412371134</v>
      </c>
      <c r="AB409" s="18" t="n">
        <f aca="false">IF(O409=0,0,V409*27/O409)</f>
        <v>2.22680412371134</v>
      </c>
      <c r="AC409" s="18" t="n">
        <f aca="false">IF(V409=0,0,W409/V409)</f>
        <v>3.9375</v>
      </c>
      <c r="AD409" s="18" t="n">
        <f aca="false">IF(P409=0,0,(13*U409+3*(V409+X409)-2*W409)/P409+INDEX(球季參數!$C$2:$C$4,MATCH($A409,球季參數!$A$2:$A$4,0)))</f>
        <v>3.54845360824742</v>
      </c>
      <c r="AE409" s="11" t="n">
        <f aca="false">IF(P409&gt;=INDEX(球季參數!$F$2:$F$4,MATCH($A409,球季參數!$A$2:$A$4,0)),1,0)</f>
        <v>0</v>
      </c>
    </row>
    <row r="410" customFormat="false" ht="15" hidden="false" customHeight="false" outlineLevel="0" collapsed="false">
      <c r="A410" s="5" t="n">
        <v>2025</v>
      </c>
      <c r="B410" s="7" t="s">
        <v>913</v>
      </c>
      <c r="C410" s="10" t="str">
        <f aca="false">INDEX(球員主檔!$B$2:$B$749,MATCH($B410,球員主檔!$A$2:$A$749,0))</f>
        <v>Marcus Cavanaugh</v>
      </c>
      <c r="D410" s="7" t="s">
        <v>383</v>
      </c>
      <c r="E410" s="10" t="str">
        <f aca="false">INDEX(球隊主檔!$C$2:$C$31,MATCH($D410,球隊主檔!$A$2:$A$31,0))</f>
        <v>運動家</v>
      </c>
      <c r="F410" s="10" t="str">
        <f aca="false">INDEX(球隊主檔!$D$2:$D$31,MATCH($D410,球隊主檔!$A$2:$A$31,0))</f>
        <v>美聯</v>
      </c>
      <c r="G410" s="7" t="s">
        <v>507</v>
      </c>
      <c r="H410" s="11" t="n">
        <f aca="false">INT((DATE($A410,7,1)-INDEX(球員主檔!$G$2:$G$749,MATCH($B410,球員主檔!$A$2:$A$749,0)))/365.25)</f>
        <v>30</v>
      </c>
      <c r="I410" s="12" t="n">
        <v>8</v>
      </c>
      <c r="J410" s="12" t="n">
        <v>2</v>
      </c>
      <c r="K410" s="12" t="n">
        <v>6</v>
      </c>
      <c r="L410" s="12" t="n">
        <v>21</v>
      </c>
      <c r="M410" s="12" t="n">
        <v>62</v>
      </c>
      <c r="N410" s="12" t="n">
        <v>0</v>
      </c>
      <c r="O410" s="12" t="n">
        <v>163</v>
      </c>
      <c r="P410" s="16" t="n">
        <f aca="false">O410/3</f>
        <v>54.3333333333333</v>
      </c>
      <c r="Q410" s="17" t="str">
        <f aca="false">INT(O410/3)&amp;"."&amp;MOD(O410,3)</f>
        <v>54.1</v>
      </c>
      <c r="R410" s="12" t="n">
        <v>50</v>
      </c>
      <c r="S410" s="12" t="n">
        <v>35</v>
      </c>
      <c r="T410" s="12" t="n">
        <v>33</v>
      </c>
      <c r="U410" s="12" t="n">
        <v>2</v>
      </c>
      <c r="V410" s="12" t="n">
        <v>19</v>
      </c>
      <c r="W410" s="12" t="n">
        <v>42</v>
      </c>
      <c r="X410" s="12" t="n">
        <v>3</v>
      </c>
      <c r="Y410" s="18" t="n">
        <f aca="false">IF(O410=0,0,T410*27/O410)</f>
        <v>5.46625766871166</v>
      </c>
      <c r="Z410" s="18" t="n">
        <f aca="false">IF(P410=0,0,(V410+R410)/P410)</f>
        <v>1.26993865030675</v>
      </c>
      <c r="AA410" s="18" t="n">
        <f aca="false">IF(O410=0,0,W410*27/O410)</f>
        <v>6.95705521472393</v>
      </c>
      <c r="AB410" s="18" t="n">
        <f aca="false">IF(O410=0,0,V410*27/O410)</f>
        <v>3.14723926380368</v>
      </c>
      <c r="AC410" s="18" t="n">
        <f aca="false">IF(V410=0,0,W410/V410)</f>
        <v>2.21052631578947</v>
      </c>
      <c r="AD410" s="18" t="n">
        <f aca="false">IF(P410=0,0,(13*U410+3*(V410+X410)-2*W410)/P410+INDEX(球季參數!$C$2:$C$4,MATCH($A410,球季參數!$A$2:$A$4,0)))</f>
        <v>3.24723926380368</v>
      </c>
      <c r="AE410" s="11" t="n">
        <f aca="false">IF(P410&gt;=INDEX(球季參數!$F$2:$F$4,MATCH($A410,球季參數!$A$2:$A$4,0)),1,0)</f>
        <v>0</v>
      </c>
    </row>
    <row r="411" customFormat="false" ht="15" hidden="false" customHeight="false" outlineLevel="0" collapsed="false">
      <c r="A411" s="5" t="n">
        <v>2025</v>
      </c>
      <c r="B411" s="7" t="s">
        <v>915</v>
      </c>
      <c r="C411" s="10" t="str">
        <f aca="false">INDEX(球員主檔!$B$2:$B$749,MATCH($B411,球員主檔!$A$2:$A$749,0))</f>
        <v>Mateo Kowalczyk</v>
      </c>
      <c r="D411" s="7" t="s">
        <v>383</v>
      </c>
      <c r="E411" s="10" t="str">
        <f aca="false">INDEX(球隊主檔!$C$2:$C$31,MATCH($D411,球隊主檔!$A$2:$A$31,0))</f>
        <v>運動家</v>
      </c>
      <c r="F411" s="10" t="str">
        <f aca="false">INDEX(球隊主檔!$D$2:$D$31,MATCH($D411,球隊主檔!$A$2:$A$31,0))</f>
        <v>美聯</v>
      </c>
      <c r="G411" s="7" t="s">
        <v>507</v>
      </c>
      <c r="H411" s="11" t="n">
        <f aca="false">INT((DATE($A411,7,1)-INDEX(球員主檔!$G$2:$G$749,MATCH($B411,球員主檔!$A$2:$A$749,0)))/365.25)</f>
        <v>28</v>
      </c>
      <c r="I411" s="12" t="n">
        <v>7</v>
      </c>
      <c r="J411" s="12" t="n">
        <v>5</v>
      </c>
      <c r="K411" s="12" t="n">
        <v>3</v>
      </c>
      <c r="L411" s="12" t="n">
        <v>22</v>
      </c>
      <c r="M411" s="12" t="n">
        <v>43</v>
      </c>
      <c r="N411" s="12" t="n">
        <v>0</v>
      </c>
      <c r="O411" s="12" t="n">
        <v>136</v>
      </c>
      <c r="P411" s="16" t="n">
        <f aca="false">O411/3</f>
        <v>45.3333333333333</v>
      </c>
      <c r="Q411" s="17" t="str">
        <f aca="false">INT(O411/3)&amp;"."&amp;MOD(O411,3)</f>
        <v>45.1</v>
      </c>
      <c r="R411" s="12" t="n">
        <v>32</v>
      </c>
      <c r="S411" s="12" t="n">
        <v>15</v>
      </c>
      <c r="T411" s="12" t="n">
        <v>14</v>
      </c>
      <c r="U411" s="12" t="n">
        <v>6</v>
      </c>
      <c r="V411" s="12" t="n">
        <v>8</v>
      </c>
      <c r="W411" s="12" t="n">
        <v>57</v>
      </c>
      <c r="X411" s="12" t="n">
        <v>2</v>
      </c>
      <c r="Y411" s="18" t="n">
        <f aca="false">IF(O411=0,0,T411*27/O411)</f>
        <v>2.77941176470588</v>
      </c>
      <c r="Z411" s="18" t="n">
        <f aca="false">IF(P411=0,0,(V411+R411)/P411)</f>
        <v>0.882352941176471</v>
      </c>
      <c r="AA411" s="18" t="n">
        <f aca="false">IF(O411=0,0,W411*27/O411)</f>
        <v>11.3161764705882</v>
      </c>
      <c r="AB411" s="18" t="n">
        <f aca="false">IF(O411=0,0,V411*27/O411)</f>
        <v>1.58823529411765</v>
      </c>
      <c r="AC411" s="18" t="n">
        <f aca="false">IF(V411=0,0,W411/V411)</f>
        <v>7.125</v>
      </c>
      <c r="AD411" s="18" t="n">
        <f aca="false">IF(P411=0,0,(13*U411+3*(V411+X411)-2*W411)/P411+INDEX(球季參數!$C$2:$C$4,MATCH($A411,球季參數!$A$2:$A$4,0)))</f>
        <v>2.96764705882353</v>
      </c>
      <c r="AE411" s="11" t="n">
        <f aca="false">IF(P411&gt;=INDEX(球季參數!$F$2:$F$4,MATCH($A411,球季參數!$A$2:$A$4,0)),1,0)</f>
        <v>0</v>
      </c>
    </row>
    <row r="412" customFormat="false" ht="15" hidden="false" customHeight="false" outlineLevel="0" collapsed="false">
      <c r="A412" s="5" t="n">
        <v>2025</v>
      </c>
      <c r="B412" s="7" t="s">
        <v>1265</v>
      </c>
      <c r="C412" s="10" t="str">
        <f aca="false">INDEX(球員主檔!$B$2:$B$749,MATCH($B412,球員主檔!$A$2:$A$749,0))</f>
        <v>Alonso Goddard</v>
      </c>
      <c r="D412" s="7" t="s">
        <v>388</v>
      </c>
      <c r="E412" s="10" t="str">
        <f aca="false">INDEX(球隊主檔!$C$2:$C$31,MATCH($D412,球隊主檔!$A$2:$A$31,0))</f>
        <v>休士頓太空人</v>
      </c>
      <c r="F412" s="10" t="str">
        <f aca="false">INDEX(球隊主檔!$D$2:$D$31,MATCH($D412,球隊主檔!$A$2:$A$31,0))</f>
        <v>美聯</v>
      </c>
      <c r="G412" s="7" t="s">
        <v>496</v>
      </c>
      <c r="H412" s="11" t="n">
        <f aca="false">INT((DATE($A412,7,1)-INDEX(球員主檔!$G$2:$G$749,MATCH($B412,球員主檔!$A$2:$A$749,0)))/365.25)</f>
        <v>27</v>
      </c>
      <c r="I412" s="12" t="n">
        <v>10</v>
      </c>
      <c r="J412" s="12" t="n">
        <v>5</v>
      </c>
      <c r="K412" s="12" t="n">
        <v>0</v>
      </c>
      <c r="L412" s="12" t="n">
        <v>0</v>
      </c>
      <c r="M412" s="12" t="n">
        <v>25</v>
      </c>
      <c r="N412" s="12" t="n">
        <v>25</v>
      </c>
      <c r="O412" s="12" t="n">
        <v>435</v>
      </c>
      <c r="P412" s="16" t="n">
        <f aca="false">O412/3</f>
        <v>145</v>
      </c>
      <c r="Q412" s="17" t="str">
        <f aca="false">INT(O412/3)&amp;"."&amp;MOD(O412,3)</f>
        <v>145.0</v>
      </c>
      <c r="R412" s="12" t="n">
        <v>132</v>
      </c>
      <c r="S412" s="12" t="n">
        <v>73</v>
      </c>
      <c r="T412" s="12" t="n">
        <v>68</v>
      </c>
      <c r="U412" s="12" t="n">
        <v>18</v>
      </c>
      <c r="V412" s="12" t="n">
        <v>56</v>
      </c>
      <c r="W412" s="12" t="n">
        <v>231</v>
      </c>
      <c r="X412" s="12" t="n">
        <v>8</v>
      </c>
      <c r="Y412" s="18" t="n">
        <f aca="false">IF(O412=0,0,T412*27/O412)</f>
        <v>4.22068965517241</v>
      </c>
      <c r="Z412" s="18" t="n">
        <f aca="false">IF(P412=0,0,(V412+R412)/P412)</f>
        <v>1.29655172413793</v>
      </c>
      <c r="AA412" s="18" t="n">
        <f aca="false">IF(O412=0,0,W412*27/O412)</f>
        <v>14.3379310344828</v>
      </c>
      <c r="AB412" s="18" t="n">
        <f aca="false">IF(O412=0,0,V412*27/O412)</f>
        <v>3.47586206896552</v>
      </c>
      <c r="AC412" s="18" t="n">
        <f aca="false">IF(V412=0,0,W412/V412)</f>
        <v>4.125</v>
      </c>
      <c r="AD412" s="18" t="n">
        <f aca="false">IF(P412=0,0,(13*U412+3*(V412+X412)-2*W412)/P412+INDEX(球季參數!$C$2:$C$4,MATCH($A412,球季參數!$A$2:$A$4,0)))</f>
        <v>2.85172413793103</v>
      </c>
      <c r="AE412" s="11" t="n">
        <f aca="false">IF(P412&gt;=INDEX(球季參數!$F$2:$F$4,MATCH($A412,球季參數!$A$2:$A$4,0)),1,0)</f>
        <v>0</v>
      </c>
    </row>
    <row r="413" customFormat="false" ht="15" hidden="false" customHeight="false" outlineLevel="0" collapsed="false">
      <c r="A413" s="5" t="n">
        <v>2025</v>
      </c>
      <c r="B413" s="7" t="s">
        <v>939</v>
      </c>
      <c r="C413" s="10" t="str">
        <f aca="false">INDEX(球員主檔!$B$2:$B$749,MATCH($B413,球員主檔!$A$2:$A$749,0))</f>
        <v>Everett Eberhardt</v>
      </c>
      <c r="D413" s="7" t="s">
        <v>388</v>
      </c>
      <c r="E413" s="10" t="str">
        <f aca="false">INDEX(球隊主檔!$C$2:$C$31,MATCH($D413,球隊主檔!$A$2:$A$31,0))</f>
        <v>休士頓太空人</v>
      </c>
      <c r="F413" s="10" t="str">
        <f aca="false">INDEX(球隊主檔!$D$2:$D$31,MATCH($D413,球隊主檔!$A$2:$A$31,0))</f>
        <v>美聯</v>
      </c>
      <c r="G413" s="7" t="s">
        <v>496</v>
      </c>
      <c r="H413" s="11" t="n">
        <f aca="false">INT((DATE($A413,7,1)-INDEX(球員主檔!$G$2:$G$749,MATCH($B413,球員主檔!$A$2:$A$749,0)))/365.25)</f>
        <v>30</v>
      </c>
      <c r="I413" s="12" t="n">
        <v>10</v>
      </c>
      <c r="J413" s="12" t="n">
        <v>11</v>
      </c>
      <c r="K413" s="12" t="n">
        <v>0</v>
      </c>
      <c r="L413" s="12" t="n">
        <v>0</v>
      </c>
      <c r="M413" s="12" t="n">
        <v>30</v>
      </c>
      <c r="N413" s="12" t="n">
        <v>30</v>
      </c>
      <c r="O413" s="12" t="n">
        <v>446</v>
      </c>
      <c r="P413" s="16" t="n">
        <f aca="false">O413/3</f>
        <v>148.666666666667</v>
      </c>
      <c r="Q413" s="17" t="str">
        <f aca="false">INT(O413/3)&amp;"."&amp;MOD(O413,3)</f>
        <v>148.2</v>
      </c>
      <c r="R413" s="12" t="n">
        <v>137</v>
      </c>
      <c r="S413" s="12" t="n">
        <v>89</v>
      </c>
      <c r="T413" s="12" t="n">
        <v>86</v>
      </c>
      <c r="U413" s="12" t="n">
        <v>6</v>
      </c>
      <c r="V413" s="12" t="n">
        <v>47</v>
      </c>
      <c r="W413" s="12" t="n">
        <v>133</v>
      </c>
      <c r="X413" s="12" t="n">
        <v>4</v>
      </c>
      <c r="Y413" s="18" t="n">
        <f aca="false">IF(O413=0,0,T413*27/O413)</f>
        <v>5.20627802690583</v>
      </c>
      <c r="Z413" s="18" t="n">
        <f aca="false">IF(P413=0,0,(V413+R413)/P413)</f>
        <v>1.23766816143498</v>
      </c>
      <c r="AA413" s="18" t="n">
        <f aca="false">IF(O413=0,0,W413*27/O413)</f>
        <v>8.05156950672646</v>
      </c>
      <c r="AB413" s="18" t="n">
        <f aca="false">IF(O413=0,0,V413*27/O413)</f>
        <v>2.84529147982063</v>
      </c>
      <c r="AC413" s="18" t="n">
        <f aca="false">IF(V413=0,0,W413/V413)</f>
        <v>2.82978723404255</v>
      </c>
      <c r="AD413" s="18" t="n">
        <f aca="false">IF(P413=0,0,(13*U413+3*(V413+X413)-2*W413)/P413+INDEX(球季參數!$C$2:$C$4,MATCH($A413,球季參數!$A$2:$A$4,0)))</f>
        <v>2.86457399103139</v>
      </c>
      <c r="AE413" s="11" t="n">
        <f aca="false">IF(P413&gt;=INDEX(球季參數!$F$2:$F$4,MATCH($A413,球季參數!$A$2:$A$4,0)),1,0)</f>
        <v>0</v>
      </c>
    </row>
    <row r="414" customFormat="false" ht="15" hidden="false" customHeight="false" outlineLevel="0" collapsed="false">
      <c r="A414" s="5" t="n">
        <v>2025</v>
      </c>
      <c r="B414" s="7" t="s">
        <v>941</v>
      </c>
      <c r="C414" s="10" t="str">
        <f aca="false">INDEX(球員主檔!$B$2:$B$749,MATCH($B414,球員主檔!$A$2:$A$749,0))</f>
        <v>Tobias Kowalczyk</v>
      </c>
      <c r="D414" s="7" t="s">
        <v>388</v>
      </c>
      <c r="E414" s="10" t="str">
        <f aca="false">INDEX(球隊主檔!$C$2:$C$31,MATCH($D414,球隊主檔!$A$2:$A$31,0))</f>
        <v>休士頓太空人</v>
      </c>
      <c r="F414" s="10" t="str">
        <f aca="false">INDEX(球隊主檔!$D$2:$D$31,MATCH($D414,球隊主檔!$A$2:$A$31,0))</f>
        <v>美聯</v>
      </c>
      <c r="G414" s="7" t="s">
        <v>496</v>
      </c>
      <c r="H414" s="11" t="n">
        <f aca="false">INT((DATE($A414,7,1)-INDEX(球員主檔!$G$2:$G$749,MATCH($B414,球員主檔!$A$2:$A$749,0)))/365.25)</f>
        <v>27</v>
      </c>
      <c r="I414" s="12" t="n">
        <v>5</v>
      </c>
      <c r="J414" s="12" t="n">
        <v>5</v>
      </c>
      <c r="K414" s="12" t="n">
        <v>0</v>
      </c>
      <c r="L414" s="12" t="n">
        <v>0</v>
      </c>
      <c r="M414" s="12" t="n">
        <v>15</v>
      </c>
      <c r="N414" s="12" t="n">
        <v>15</v>
      </c>
      <c r="O414" s="12" t="n">
        <v>270</v>
      </c>
      <c r="P414" s="16" t="n">
        <f aca="false">O414/3</f>
        <v>90</v>
      </c>
      <c r="Q414" s="17" t="str">
        <f aca="false">INT(O414/3)&amp;"."&amp;MOD(O414,3)</f>
        <v>90.0</v>
      </c>
      <c r="R414" s="12" t="n">
        <v>81</v>
      </c>
      <c r="S414" s="12" t="n">
        <v>48</v>
      </c>
      <c r="T414" s="12" t="n">
        <v>44</v>
      </c>
      <c r="U414" s="12" t="n">
        <v>8</v>
      </c>
      <c r="V414" s="12" t="n">
        <v>30</v>
      </c>
      <c r="W414" s="12" t="n">
        <v>131</v>
      </c>
      <c r="X414" s="12" t="n">
        <v>4</v>
      </c>
      <c r="Y414" s="18" t="n">
        <f aca="false">IF(O414=0,0,T414*27/O414)</f>
        <v>4.4</v>
      </c>
      <c r="Z414" s="18" t="n">
        <f aca="false">IF(P414=0,0,(V414+R414)/P414)</f>
        <v>1.23333333333333</v>
      </c>
      <c r="AA414" s="18" t="n">
        <f aca="false">IF(O414=0,0,W414*27/O414)</f>
        <v>13.1</v>
      </c>
      <c r="AB414" s="18" t="n">
        <f aca="false">IF(O414=0,0,V414*27/O414)</f>
        <v>3</v>
      </c>
      <c r="AC414" s="18" t="n">
        <f aca="false">IF(V414=0,0,W414/V414)</f>
        <v>4.36666666666667</v>
      </c>
      <c r="AD414" s="18" t="n">
        <f aca="false">IF(P414=0,0,(13*U414+3*(V414+X414)-2*W414)/P414+INDEX(球季參數!$C$2:$C$4,MATCH($A414,球季參數!$A$2:$A$4,0)))</f>
        <v>2.47777777777778</v>
      </c>
      <c r="AE414" s="11" t="n">
        <f aca="false">IF(P414&gt;=INDEX(球季參數!$F$2:$F$4,MATCH($A414,球季參數!$A$2:$A$4,0)),1,0)</f>
        <v>0</v>
      </c>
    </row>
    <row r="415" customFormat="false" ht="15" hidden="false" customHeight="false" outlineLevel="0" collapsed="false">
      <c r="A415" s="5" t="n">
        <v>2025</v>
      </c>
      <c r="B415" s="7" t="s">
        <v>943</v>
      </c>
      <c r="C415" s="10" t="str">
        <f aca="false">INDEX(球員主檔!$B$2:$B$749,MATCH($B415,球員主檔!$A$2:$A$749,0))</f>
        <v>Haruto Lemieux</v>
      </c>
      <c r="D415" s="7" t="s">
        <v>388</v>
      </c>
      <c r="E415" s="10" t="str">
        <f aca="false">INDEX(球隊主檔!$C$2:$C$31,MATCH($D415,球隊主檔!$A$2:$A$31,0))</f>
        <v>休士頓太空人</v>
      </c>
      <c r="F415" s="10" t="str">
        <f aca="false">INDEX(球隊主檔!$D$2:$D$31,MATCH($D415,球隊主檔!$A$2:$A$31,0))</f>
        <v>美聯</v>
      </c>
      <c r="G415" s="7" t="s">
        <v>496</v>
      </c>
      <c r="H415" s="11" t="n">
        <f aca="false">INT((DATE($A415,7,1)-INDEX(球員主檔!$G$2:$G$749,MATCH($B415,球員主檔!$A$2:$A$749,0)))/365.25)</f>
        <v>25</v>
      </c>
      <c r="I415" s="12" t="n">
        <v>5</v>
      </c>
      <c r="J415" s="12" t="n">
        <v>2</v>
      </c>
      <c r="K415" s="12" t="n">
        <v>0</v>
      </c>
      <c r="L415" s="12" t="n">
        <v>0</v>
      </c>
      <c r="M415" s="12" t="n">
        <v>10</v>
      </c>
      <c r="N415" s="12" t="n">
        <v>10</v>
      </c>
      <c r="O415" s="12" t="n">
        <v>186</v>
      </c>
      <c r="P415" s="16" t="n">
        <f aca="false">O415/3</f>
        <v>62</v>
      </c>
      <c r="Q415" s="17" t="str">
        <f aca="false">INT(O415/3)&amp;"."&amp;MOD(O415,3)</f>
        <v>62.0</v>
      </c>
      <c r="R415" s="12" t="n">
        <v>45</v>
      </c>
      <c r="S415" s="12" t="n">
        <v>25</v>
      </c>
      <c r="T415" s="12" t="n">
        <v>22</v>
      </c>
      <c r="U415" s="12" t="n">
        <v>7</v>
      </c>
      <c r="V415" s="12" t="n">
        <v>23</v>
      </c>
      <c r="W415" s="12" t="n">
        <v>72</v>
      </c>
      <c r="X415" s="12" t="n">
        <v>1</v>
      </c>
      <c r="Y415" s="18" t="n">
        <f aca="false">IF(O415=0,0,T415*27/O415)</f>
        <v>3.19354838709677</v>
      </c>
      <c r="Z415" s="18" t="n">
        <f aca="false">IF(P415=0,0,(V415+R415)/P415)</f>
        <v>1.09677419354839</v>
      </c>
      <c r="AA415" s="18" t="n">
        <f aca="false">IF(O415=0,0,W415*27/O415)</f>
        <v>10.4516129032258</v>
      </c>
      <c r="AB415" s="18" t="n">
        <f aca="false">IF(O415=0,0,V415*27/O415)</f>
        <v>3.33870967741936</v>
      </c>
      <c r="AC415" s="18" t="n">
        <f aca="false">IF(V415=0,0,W415/V415)</f>
        <v>3.1304347826087</v>
      </c>
      <c r="AD415" s="18" t="n">
        <f aca="false">IF(P415=0,0,(13*U415+3*(V415+X415)-2*W415)/P415+INDEX(球季參數!$C$2:$C$4,MATCH($A415,球季參數!$A$2:$A$4,0)))</f>
        <v>3.40645161290323</v>
      </c>
      <c r="AE415" s="11" t="n">
        <f aca="false">IF(P415&gt;=INDEX(球季參數!$F$2:$F$4,MATCH($A415,球季參數!$A$2:$A$4,0)),1,0)</f>
        <v>0</v>
      </c>
    </row>
    <row r="416" customFormat="false" ht="15" hidden="false" customHeight="false" outlineLevel="0" collapsed="false">
      <c r="A416" s="5" t="n">
        <v>2025</v>
      </c>
      <c r="B416" s="7" t="s">
        <v>945</v>
      </c>
      <c r="C416" s="10" t="str">
        <f aca="false">INDEX(球員主檔!$B$2:$B$749,MATCH($B416,球員主檔!$A$2:$A$749,0))</f>
        <v>Leandro Marchetti</v>
      </c>
      <c r="D416" s="7" t="s">
        <v>388</v>
      </c>
      <c r="E416" s="10" t="str">
        <f aca="false">INDEX(球隊主檔!$C$2:$C$31,MATCH($D416,球隊主檔!$A$2:$A$31,0))</f>
        <v>休士頓太空人</v>
      </c>
      <c r="F416" s="10" t="str">
        <f aca="false">INDEX(球隊主檔!$D$2:$D$31,MATCH($D416,球隊主檔!$A$2:$A$31,0))</f>
        <v>美聯</v>
      </c>
      <c r="G416" s="7" t="s">
        <v>496</v>
      </c>
      <c r="H416" s="11" t="n">
        <f aca="false">INT((DATE($A416,7,1)-INDEX(球員主檔!$G$2:$G$749,MATCH($B416,球員主檔!$A$2:$A$749,0)))/365.25)</f>
        <v>27</v>
      </c>
      <c r="I416" s="12" t="n">
        <v>7</v>
      </c>
      <c r="J416" s="12" t="n">
        <v>10</v>
      </c>
      <c r="K416" s="12" t="n">
        <v>0</v>
      </c>
      <c r="L416" s="12" t="n">
        <v>0</v>
      </c>
      <c r="M416" s="12" t="n">
        <v>24</v>
      </c>
      <c r="N416" s="12" t="n">
        <v>24</v>
      </c>
      <c r="O416" s="12" t="n">
        <v>405</v>
      </c>
      <c r="P416" s="16" t="n">
        <f aca="false">O416/3</f>
        <v>135</v>
      </c>
      <c r="Q416" s="17" t="str">
        <f aca="false">INT(O416/3)&amp;"."&amp;MOD(O416,3)</f>
        <v>135.0</v>
      </c>
      <c r="R416" s="12" t="n">
        <v>117</v>
      </c>
      <c r="S416" s="12" t="n">
        <v>78</v>
      </c>
      <c r="T416" s="12" t="n">
        <v>77</v>
      </c>
      <c r="U416" s="12" t="n">
        <v>16</v>
      </c>
      <c r="V416" s="12" t="n">
        <v>61</v>
      </c>
      <c r="W416" s="12" t="n">
        <v>172</v>
      </c>
      <c r="X416" s="12" t="n">
        <v>3</v>
      </c>
      <c r="Y416" s="18" t="n">
        <f aca="false">IF(O416=0,0,T416*27/O416)</f>
        <v>5.13333333333333</v>
      </c>
      <c r="Z416" s="18" t="n">
        <f aca="false">IF(P416=0,0,(V416+R416)/P416)</f>
        <v>1.31851851851852</v>
      </c>
      <c r="AA416" s="18" t="n">
        <f aca="false">IF(O416=0,0,W416*27/O416)</f>
        <v>11.4666666666667</v>
      </c>
      <c r="AB416" s="18" t="n">
        <f aca="false">IF(O416=0,0,V416*27/O416)</f>
        <v>4.06666666666667</v>
      </c>
      <c r="AC416" s="18" t="n">
        <f aca="false">IF(V416=0,0,W416/V416)</f>
        <v>2.81967213114754</v>
      </c>
      <c r="AD416" s="18" t="n">
        <f aca="false">IF(P416=0,0,(13*U416+3*(V416+X416)-2*W416)/P416+INDEX(球季參數!$C$2:$C$4,MATCH($A416,球季參數!$A$2:$A$4,0)))</f>
        <v>3.51481481481482</v>
      </c>
      <c r="AE416" s="11" t="n">
        <f aca="false">IF(P416&gt;=INDEX(球季參數!$F$2:$F$4,MATCH($A416,球季參數!$A$2:$A$4,0)),1,0)</f>
        <v>0</v>
      </c>
    </row>
    <row r="417" customFormat="false" ht="15" hidden="false" customHeight="false" outlineLevel="0" collapsed="false">
      <c r="A417" s="5" t="n">
        <v>2025</v>
      </c>
      <c r="B417" s="7" t="s">
        <v>821</v>
      </c>
      <c r="C417" s="10" t="str">
        <f aca="false">INDEX(球員主檔!$B$2:$B$749,MATCH($B417,球員主檔!$A$2:$A$749,0))</f>
        <v>Isaias Hargreaves</v>
      </c>
      <c r="D417" s="7" t="s">
        <v>388</v>
      </c>
      <c r="E417" s="10" t="str">
        <f aca="false">INDEX(球隊主檔!$C$2:$C$31,MATCH($D417,球隊主檔!$A$2:$A$31,0))</f>
        <v>休士頓太空人</v>
      </c>
      <c r="F417" s="10" t="str">
        <f aca="false">INDEX(球隊主檔!$D$2:$D$31,MATCH($D417,球隊主檔!$A$2:$A$31,0))</f>
        <v>美聯</v>
      </c>
      <c r="G417" s="7" t="s">
        <v>507</v>
      </c>
      <c r="H417" s="11" t="n">
        <f aca="false">INT((DATE($A417,7,1)-INDEX(球員主檔!$G$2:$G$749,MATCH($B417,球員主檔!$A$2:$A$749,0)))/365.25)</f>
        <v>31</v>
      </c>
      <c r="I417" s="12" t="n">
        <v>8</v>
      </c>
      <c r="J417" s="12" t="n">
        <v>2</v>
      </c>
      <c r="K417" s="12" t="n">
        <v>16</v>
      </c>
      <c r="L417" s="12" t="n">
        <v>5</v>
      </c>
      <c r="M417" s="12" t="n">
        <v>71</v>
      </c>
      <c r="N417" s="12" t="n">
        <v>0</v>
      </c>
      <c r="O417" s="12" t="n">
        <v>237</v>
      </c>
      <c r="P417" s="16" t="n">
        <f aca="false">O417/3</f>
        <v>79</v>
      </c>
      <c r="Q417" s="17" t="str">
        <f aca="false">INT(O417/3)&amp;"."&amp;MOD(O417,3)</f>
        <v>79.0</v>
      </c>
      <c r="R417" s="12" t="n">
        <v>59</v>
      </c>
      <c r="S417" s="12" t="n">
        <v>36</v>
      </c>
      <c r="T417" s="12" t="n">
        <v>32</v>
      </c>
      <c r="U417" s="12" t="n">
        <v>16</v>
      </c>
      <c r="V417" s="12" t="n">
        <v>16</v>
      </c>
      <c r="W417" s="12" t="n">
        <v>102</v>
      </c>
      <c r="X417" s="12" t="n">
        <v>4</v>
      </c>
      <c r="Y417" s="18" t="n">
        <f aca="false">IF(O417=0,0,T417*27/O417)</f>
        <v>3.64556962025316</v>
      </c>
      <c r="Z417" s="18" t="n">
        <f aca="false">IF(P417=0,0,(V417+R417)/P417)</f>
        <v>0.949367088607595</v>
      </c>
      <c r="AA417" s="18" t="n">
        <f aca="false">IF(O417=0,0,W417*27/O417)</f>
        <v>11.620253164557</v>
      </c>
      <c r="AB417" s="18" t="n">
        <f aca="false">IF(O417=0,0,V417*27/O417)</f>
        <v>1.82278481012658</v>
      </c>
      <c r="AC417" s="18" t="n">
        <f aca="false">IF(V417=0,0,W417/V417)</f>
        <v>6.375</v>
      </c>
      <c r="AD417" s="18" t="n">
        <f aca="false">IF(P417=0,0,(13*U417+3*(V417+X417)-2*W417)/P417+INDEX(球季參數!$C$2:$C$4,MATCH($A417,球季參數!$A$2:$A$4,0)))</f>
        <v>3.91012658227848</v>
      </c>
      <c r="AE417" s="11" t="n">
        <f aca="false">IF(P417&gt;=INDEX(球季參數!$F$2:$F$4,MATCH($A417,球季參數!$A$2:$A$4,0)),1,0)</f>
        <v>0</v>
      </c>
    </row>
    <row r="418" customFormat="false" ht="15" hidden="false" customHeight="false" outlineLevel="0" collapsed="false">
      <c r="A418" s="5" t="n">
        <v>2025</v>
      </c>
      <c r="B418" s="7" t="s">
        <v>949</v>
      </c>
      <c r="C418" s="10" t="str">
        <f aca="false">INDEX(球員主檔!$B$2:$B$749,MATCH($B418,球員主檔!$A$2:$A$749,0))</f>
        <v>Cassius Haverford</v>
      </c>
      <c r="D418" s="7" t="s">
        <v>388</v>
      </c>
      <c r="E418" s="10" t="str">
        <f aca="false">INDEX(球隊主檔!$C$2:$C$31,MATCH($D418,球隊主檔!$A$2:$A$31,0))</f>
        <v>休士頓太空人</v>
      </c>
      <c r="F418" s="10" t="str">
        <f aca="false">INDEX(球隊主檔!$D$2:$D$31,MATCH($D418,球隊主檔!$A$2:$A$31,0))</f>
        <v>美聯</v>
      </c>
      <c r="G418" s="7" t="s">
        <v>507</v>
      </c>
      <c r="H418" s="11" t="n">
        <f aca="false">INT((DATE($A418,7,1)-INDEX(球員主檔!$G$2:$G$749,MATCH($B418,球員主檔!$A$2:$A$749,0)))/365.25)</f>
        <v>33</v>
      </c>
      <c r="I418" s="12" t="n">
        <v>9</v>
      </c>
      <c r="J418" s="12" t="n">
        <v>5</v>
      </c>
      <c r="K418" s="12" t="n">
        <v>3</v>
      </c>
      <c r="L418" s="12" t="n">
        <v>23</v>
      </c>
      <c r="M418" s="12" t="n">
        <v>52</v>
      </c>
      <c r="N418" s="12" t="n">
        <v>0</v>
      </c>
      <c r="O418" s="12" t="n">
        <v>171</v>
      </c>
      <c r="P418" s="16" t="n">
        <f aca="false">O418/3</f>
        <v>57</v>
      </c>
      <c r="Q418" s="17" t="str">
        <f aca="false">INT(O418/3)&amp;"."&amp;MOD(O418,3)</f>
        <v>57.0</v>
      </c>
      <c r="R418" s="12" t="n">
        <v>54</v>
      </c>
      <c r="S418" s="12" t="n">
        <v>32</v>
      </c>
      <c r="T418" s="12" t="n">
        <v>32</v>
      </c>
      <c r="U418" s="12" t="n">
        <v>6</v>
      </c>
      <c r="V418" s="12" t="n">
        <v>12</v>
      </c>
      <c r="W418" s="12" t="n">
        <v>48</v>
      </c>
      <c r="X418" s="12" t="n">
        <v>1</v>
      </c>
      <c r="Y418" s="18" t="n">
        <f aca="false">IF(O418=0,0,T418*27/O418)</f>
        <v>5.05263157894737</v>
      </c>
      <c r="Z418" s="18" t="n">
        <f aca="false">IF(P418=0,0,(V418+R418)/P418)</f>
        <v>1.15789473684211</v>
      </c>
      <c r="AA418" s="18" t="n">
        <f aca="false">IF(O418=0,0,W418*27/O418)</f>
        <v>7.57894736842105</v>
      </c>
      <c r="AB418" s="18" t="n">
        <f aca="false">IF(O418=0,0,V418*27/O418)</f>
        <v>1.89473684210526</v>
      </c>
      <c r="AC418" s="18" t="n">
        <f aca="false">IF(V418=0,0,W418/V418)</f>
        <v>4</v>
      </c>
      <c r="AD418" s="18" t="n">
        <f aca="false">IF(P418=0,0,(13*U418+3*(V418+X418)-2*W418)/P418+INDEX(球季參數!$C$2:$C$4,MATCH($A418,球季參數!$A$2:$A$4,0)))</f>
        <v>3.46842105263158</v>
      </c>
      <c r="AE418" s="11" t="n">
        <f aca="false">IF(P418&gt;=INDEX(球季參數!$F$2:$F$4,MATCH($A418,球季參數!$A$2:$A$4,0)),1,0)</f>
        <v>0</v>
      </c>
    </row>
    <row r="419" customFormat="false" ht="15" hidden="false" customHeight="false" outlineLevel="0" collapsed="false">
      <c r="A419" s="5" t="n">
        <v>2025</v>
      </c>
      <c r="B419" s="7" t="s">
        <v>1657</v>
      </c>
      <c r="C419" s="10" t="str">
        <f aca="false">INDEX(球員主檔!$B$2:$B$749,MATCH($B419,球員主檔!$A$2:$A$749,0))</f>
        <v>Alonso Cavanaugh</v>
      </c>
      <c r="D419" s="7" t="s">
        <v>388</v>
      </c>
      <c r="E419" s="10" t="str">
        <f aca="false">INDEX(球隊主檔!$C$2:$C$31,MATCH($D419,球隊主檔!$A$2:$A$31,0))</f>
        <v>休士頓太空人</v>
      </c>
      <c r="F419" s="10" t="str">
        <f aca="false">INDEX(球隊主檔!$D$2:$D$31,MATCH($D419,球隊主檔!$A$2:$A$31,0))</f>
        <v>美聯</v>
      </c>
      <c r="G419" s="7" t="s">
        <v>507</v>
      </c>
      <c r="H419" s="11" t="n">
        <f aca="false">INT((DATE($A419,7,1)-INDEX(球員主檔!$G$2:$G$749,MATCH($B419,球員主檔!$A$2:$A$749,0)))/365.25)</f>
        <v>30</v>
      </c>
      <c r="I419" s="12" t="n">
        <v>8</v>
      </c>
      <c r="J419" s="12" t="n">
        <v>2</v>
      </c>
      <c r="K419" s="12" t="n">
        <v>3</v>
      </c>
      <c r="L419" s="12" t="n">
        <v>27</v>
      </c>
      <c r="M419" s="12" t="n">
        <v>64</v>
      </c>
      <c r="N419" s="12" t="n">
        <v>0</v>
      </c>
      <c r="O419" s="12" t="n">
        <v>178</v>
      </c>
      <c r="P419" s="16" t="n">
        <f aca="false">O419/3</f>
        <v>59.3333333333333</v>
      </c>
      <c r="Q419" s="17" t="str">
        <f aca="false">INT(O419/3)&amp;"."&amp;MOD(O419,3)</f>
        <v>59.1</v>
      </c>
      <c r="R419" s="12" t="n">
        <v>49</v>
      </c>
      <c r="S419" s="12" t="n">
        <v>27</v>
      </c>
      <c r="T419" s="12" t="n">
        <v>27</v>
      </c>
      <c r="U419" s="12" t="n">
        <v>12</v>
      </c>
      <c r="V419" s="12" t="n">
        <v>32</v>
      </c>
      <c r="W419" s="12" t="n">
        <v>72</v>
      </c>
      <c r="X419" s="12" t="n">
        <v>2</v>
      </c>
      <c r="Y419" s="18" t="n">
        <f aca="false">IF(O419=0,0,T419*27/O419)</f>
        <v>4.09550561797753</v>
      </c>
      <c r="Z419" s="18" t="n">
        <f aca="false">IF(P419=0,0,(V419+R419)/P419)</f>
        <v>1.36516853932584</v>
      </c>
      <c r="AA419" s="18" t="n">
        <f aca="false">IF(O419=0,0,W419*27/O419)</f>
        <v>10.9213483146067</v>
      </c>
      <c r="AB419" s="18" t="n">
        <f aca="false">IF(O419=0,0,V419*27/O419)</f>
        <v>4.85393258426966</v>
      </c>
      <c r="AC419" s="18" t="n">
        <f aca="false">IF(V419=0,0,W419/V419)</f>
        <v>2.25</v>
      </c>
      <c r="AD419" s="18" t="n">
        <f aca="false">IF(P419=0,0,(13*U419+3*(V419+X419)-2*W419)/P419+INDEX(球季參數!$C$2:$C$4,MATCH($A419,球季參數!$A$2:$A$4,0)))</f>
        <v>5.02134831460674</v>
      </c>
      <c r="AE419" s="11" t="n">
        <f aca="false">IF(P419&gt;=INDEX(球季參數!$F$2:$F$4,MATCH($A419,球季參數!$A$2:$A$4,0)),1,0)</f>
        <v>0</v>
      </c>
    </row>
    <row r="420" customFormat="false" ht="15" hidden="false" customHeight="false" outlineLevel="0" collapsed="false">
      <c r="A420" s="5" t="n">
        <v>2025</v>
      </c>
      <c r="B420" s="7" t="s">
        <v>1723</v>
      </c>
      <c r="C420" s="10" t="str">
        <f aca="false">INDEX(球員主檔!$B$2:$B$749,MATCH($B420,球員主檔!$A$2:$A$749,0))</f>
        <v>Jedidiah Sorrentino</v>
      </c>
      <c r="D420" s="7" t="s">
        <v>388</v>
      </c>
      <c r="E420" s="10" t="str">
        <f aca="false">INDEX(球隊主檔!$C$2:$C$31,MATCH($D420,球隊主檔!$A$2:$A$31,0))</f>
        <v>休士頓太空人</v>
      </c>
      <c r="F420" s="10" t="str">
        <f aca="false">INDEX(球隊主檔!$D$2:$D$31,MATCH($D420,球隊主檔!$A$2:$A$31,0))</f>
        <v>美聯</v>
      </c>
      <c r="G420" s="7" t="s">
        <v>507</v>
      </c>
      <c r="H420" s="11" t="n">
        <f aca="false">INT((DATE($A420,7,1)-INDEX(球員主檔!$G$2:$G$749,MATCH($B420,球員主檔!$A$2:$A$749,0)))/365.25)</f>
        <v>21</v>
      </c>
      <c r="I420" s="12" t="n">
        <v>0</v>
      </c>
      <c r="J420" s="12" t="n">
        <v>7</v>
      </c>
      <c r="K420" s="12" t="n">
        <v>2</v>
      </c>
      <c r="L420" s="12" t="n">
        <v>13</v>
      </c>
      <c r="M420" s="12" t="n">
        <v>65</v>
      </c>
      <c r="N420" s="12" t="n">
        <v>0</v>
      </c>
      <c r="O420" s="12" t="n">
        <v>205</v>
      </c>
      <c r="P420" s="16" t="n">
        <f aca="false">O420/3</f>
        <v>68.3333333333333</v>
      </c>
      <c r="Q420" s="17" t="str">
        <f aca="false">INT(O420/3)&amp;"."&amp;MOD(O420,3)</f>
        <v>68.1</v>
      </c>
      <c r="R420" s="12" t="n">
        <v>61</v>
      </c>
      <c r="S420" s="12" t="n">
        <v>42</v>
      </c>
      <c r="T420" s="12" t="n">
        <v>39</v>
      </c>
      <c r="U420" s="12" t="n">
        <v>6</v>
      </c>
      <c r="V420" s="12" t="n">
        <v>13</v>
      </c>
      <c r="W420" s="12" t="n">
        <v>69</v>
      </c>
      <c r="X420" s="12" t="n">
        <v>2</v>
      </c>
      <c r="Y420" s="18" t="n">
        <f aca="false">IF(O420=0,0,T420*27/O420)</f>
        <v>5.13658536585366</v>
      </c>
      <c r="Z420" s="18" t="n">
        <f aca="false">IF(P420=0,0,(V420+R420)/P420)</f>
        <v>1.08292682926829</v>
      </c>
      <c r="AA420" s="18" t="n">
        <f aca="false">IF(O420=0,0,W420*27/O420)</f>
        <v>9.08780487804878</v>
      </c>
      <c r="AB420" s="18" t="n">
        <f aca="false">IF(O420=0,0,V420*27/O420)</f>
        <v>1.71219512195122</v>
      </c>
      <c r="AC420" s="18" t="n">
        <f aca="false">IF(V420=0,0,W420/V420)</f>
        <v>5.30769230769231</v>
      </c>
      <c r="AD420" s="18" t="n">
        <f aca="false">IF(P420=0,0,(13*U420+3*(V420+X420)-2*W420)/P420+INDEX(球季參數!$C$2:$C$4,MATCH($A420,球季參數!$A$2:$A$4,0)))</f>
        <v>2.88048780487805</v>
      </c>
      <c r="AE420" s="11" t="n">
        <f aca="false">IF(P420&gt;=INDEX(球季參數!$F$2:$F$4,MATCH($A420,球季參數!$A$2:$A$4,0)),1,0)</f>
        <v>0</v>
      </c>
    </row>
    <row r="421" customFormat="false" ht="15" hidden="false" customHeight="false" outlineLevel="0" collapsed="false">
      <c r="A421" s="5" t="n">
        <v>2025</v>
      </c>
      <c r="B421" s="7" t="s">
        <v>955</v>
      </c>
      <c r="C421" s="10" t="str">
        <f aca="false">INDEX(球員主檔!$B$2:$B$749,MATCH($B421,球員主檔!$A$2:$A$749,0))</f>
        <v>Jedidiah Arceneaux</v>
      </c>
      <c r="D421" s="7" t="s">
        <v>388</v>
      </c>
      <c r="E421" s="10" t="str">
        <f aca="false">INDEX(球隊主檔!$C$2:$C$31,MATCH($D421,球隊主檔!$A$2:$A$31,0))</f>
        <v>休士頓太空人</v>
      </c>
      <c r="F421" s="10" t="str">
        <f aca="false">INDEX(球隊主檔!$D$2:$D$31,MATCH($D421,球隊主檔!$A$2:$A$31,0))</f>
        <v>美聯</v>
      </c>
      <c r="G421" s="7" t="s">
        <v>507</v>
      </c>
      <c r="H421" s="11" t="n">
        <f aca="false">INT((DATE($A421,7,1)-INDEX(球員主檔!$G$2:$G$749,MATCH($B421,球員主檔!$A$2:$A$749,0)))/365.25)</f>
        <v>24</v>
      </c>
      <c r="I421" s="12" t="n">
        <v>2</v>
      </c>
      <c r="J421" s="12" t="n">
        <v>8</v>
      </c>
      <c r="K421" s="12" t="n">
        <v>6</v>
      </c>
      <c r="L421" s="12" t="n">
        <v>2</v>
      </c>
      <c r="M421" s="12" t="n">
        <v>38</v>
      </c>
      <c r="N421" s="12" t="n">
        <v>0</v>
      </c>
      <c r="O421" s="12" t="n">
        <v>128</v>
      </c>
      <c r="P421" s="16" t="n">
        <f aca="false">O421/3</f>
        <v>42.6666666666667</v>
      </c>
      <c r="Q421" s="17" t="str">
        <f aca="false">INT(O421/3)&amp;"."&amp;MOD(O421,3)</f>
        <v>42.2</v>
      </c>
      <c r="R421" s="12" t="n">
        <v>40</v>
      </c>
      <c r="S421" s="12" t="n">
        <v>27</v>
      </c>
      <c r="T421" s="12" t="n">
        <v>24</v>
      </c>
      <c r="U421" s="12" t="n">
        <v>8</v>
      </c>
      <c r="V421" s="12" t="n">
        <v>21</v>
      </c>
      <c r="W421" s="12" t="n">
        <v>38</v>
      </c>
      <c r="X421" s="12" t="n">
        <v>2</v>
      </c>
      <c r="Y421" s="18" t="n">
        <f aca="false">IF(O421=0,0,T421*27/O421)</f>
        <v>5.0625</v>
      </c>
      <c r="Z421" s="18" t="n">
        <f aca="false">IF(P421=0,0,(V421+R421)/P421)</f>
        <v>1.4296875</v>
      </c>
      <c r="AA421" s="18" t="n">
        <f aca="false">IF(O421=0,0,W421*27/O421)</f>
        <v>8.015625</v>
      </c>
      <c r="AB421" s="18" t="n">
        <f aca="false">IF(O421=0,0,V421*27/O421)</f>
        <v>4.4296875</v>
      </c>
      <c r="AC421" s="18" t="n">
        <f aca="false">IF(V421=0,0,W421/V421)</f>
        <v>1.80952380952381</v>
      </c>
      <c r="AD421" s="18" t="n">
        <f aca="false">IF(P421=0,0,(13*U421+3*(V421+X421)-2*W421)/P421+INDEX(球季參數!$C$2:$C$4,MATCH($A421,球季參數!$A$2:$A$4,0)))</f>
        <v>5.3734375</v>
      </c>
      <c r="AE421" s="11" t="n">
        <f aca="false">IF(P421&gt;=INDEX(球季參數!$F$2:$F$4,MATCH($A421,球季參數!$A$2:$A$4,0)),1,0)</f>
        <v>0</v>
      </c>
    </row>
    <row r="422" customFormat="false" ht="15" hidden="false" customHeight="false" outlineLevel="0" collapsed="false">
      <c r="A422" s="5" t="n">
        <v>2025</v>
      </c>
      <c r="B422" s="7" t="s">
        <v>977</v>
      </c>
      <c r="C422" s="10" t="str">
        <f aca="false">INDEX(球員主檔!$B$2:$B$749,MATCH($B422,球員主檔!$A$2:$A$749,0))</f>
        <v>Cassius Ravenscroft</v>
      </c>
      <c r="D422" s="7" t="s">
        <v>392</v>
      </c>
      <c r="E422" s="10" t="str">
        <f aca="false">INDEX(球隊主檔!$C$2:$C$31,MATCH($D422,球隊主檔!$A$2:$A$31,0))</f>
        <v>洛杉磯天使</v>
      </c>
      <c r="F422" s="10" t="str">
        <f aca="false">INDEX(球隊主檔!$D$2:$D$31,MATCH($D422,球隊主檔!$A$2:$A$31,0))</f>
        <v>美聯</v>
      </c>
      <c r="G422" s="7" t="s">
        <v>496</v>
      </c>
      <c r="H422" s="11" t="n">
        <f aca="false">INT((DATE($A422,7,1)-INDEX(球員主檔!$G$2:$G$749,MATCH($B422,球員主檔!$A$2:$A$749,0)))/365.25)</f>
        <v>29</v>
      </c>
      <c r="I422" s="12" t="n">
        <v>13</v>
      </c>
      <c r="J422" s="12" t="n">
        <v>9</v>
      </c>
      <c r="K422" s="12" t="n">
        <v>0</v>
      </c>
      <c r="L422" s="12" t="n">
        <v>0</v>
      </c>
      <c r="M422" s="12" t="n">
        <v>28</v>
      </c>
      <c r="N422" s="12" t="n">
        <v>28</v>
      </c>
      <c r="O422" s="12" t="n">
        <v>490</v>
      </c>
      <c r="P422" s="16" t="n">
        <f aca="false">O422/3</f>
        <v>163.333333333333</v>
      </c>
      <c r="Q422" s="17" t="str">
        <f aca="false">INT(O422/3)&amp;"."&amp;MOD(O422,3)</f>
        <v>163.1</v>
      </c>
      <c r="R422" s="12" t="n">
        <v>147</v>
      </c>
      <c r="S422" s="12" t="n">
        <v>81</v>
      </c>
      <c r="T422" s="12" t="n">
        <v>76</v>
      </c>
      <c r="U422" s="12" t="n">
        <v>27</v>
      </c>
      <c r="V422" s="12" t="n">
        <v>50</v>
      </c>
      <c r="W422" s="12" t="n">
        <v>185</v>
      </c>
      <c r="X422" s="12" t="n">
        <v>10</v>
      </c>
      <c r="Y422" s="18" t="n">
        <f aca="false">IF(O422=0,0,T422*27/O422)</f>
        <v>4.18775510204082</v>
      </c>
      <c r="Z422" s="18" t="n">
        <f aca="false">IF(P422=0,0,(V422+R422)/P422)</f>
        <v>1.20612244897959</v>
      </c>
      <c r="AA422" s="18" t="n">
        <f aca="false">IF(O422=0,0,W422*27/O422)</f>
        <v>10.1938775510204</v>
      </c>
      <c r="AB422" s="18" t="n">
        <f aca="false">IF(O422=0,0,V422*27/O422)</f>
        <v>2.75510204081633</v>
      </c>
      <c r="AC422" s="18" t="n">
        <f aca="false">IF(V422=0,0,W422/V422)</f>
        <v>3.7</v>
      </c>
      <c r="AD422" s="18" t="n">
        <f aca="false">IF(P422=0,0,(13*U422+3*(V422+X422)-2*W422)/P422+INDEX(球季參數!$C$2:$C$4,MATCH($A422,球季參數!$A$2:$A$4,0)))</f>
        <v>4.08571428571429</v>
      </c>
      <c r="AE422" s="11" t="n">
        <f aca="false">IF(P422&gt;=INDEX(球季參數!$F$2:$F$4,MATCH($A422,球季參數!$A$2:$A$4,0)),1,0)</f>
        <v>1</v>
      </c>
    </row>
    <row r="423" customFormat="false" ht="15" hidden="false" customHeight="false" outlineLevel="0" collapsed="false">
      <c r="A423" s="5" t="n">
        <v>2025</v>
      </c>
      <c r="B423" s="7" t="s">
        <v>979</v>
      </c>
      <c r="C423" s="10" t="str">
        <f aca="false">INDEX(球員主檔!$B$2:$B$749,MATCH($B423,球員主檔!$A$2:$A$749,0))</f>
        <v>Joaquín Whitmore</v>
      </c>
      <c r="D423" s="7" t="s">
        <v>392</v>
      </c>
      <c r="E423" s="10" t="str">
        <f aca="false">INDEX(球隊主檔!$C$2:$C$31,MATCH($D423,球隊主檔!$A$2:$A$31,0))</f>
        <v>洛杉磯天使</v>
      </c>
      <c r="F423" s="10" t="str">
        <f aca="false">INDEX(球隊主檔!$D$2:$D$31,MATCH($D423,球隊主檔!$A$2:$A$31,0))</f>
        <v>美聯</v>
      </c>
      <c r="G423" s="7" t="s">
        <v>496</v>
      </c>
      <c r="H423" s="11" t="n">
        <f aca="false">INT((DATE($A423,7,1)-INDEX(球員主檔!$G$2:$G$749,MATCH($B423,球員主檔!$A$2:$A$749,0)))/365.25)</f>
        <v>26</v>
      </c>
      <c r="I423" s="12" t="n">
        <v>11</v>
      </c>
      <c r="J423" s="12" t="n">
        <v>9</v>
      </c>
      <c r="K423" s="12" t="n">
        <v>0</v>
      </c>
      <c r="L423" s="12" t="n">
        <v>0</v>
      </c>
      <c r="M423" s="12" t="n">
        <v>27</v>
      </c>
      <c r="N423" s="12" t="n">
        <v>27</v>
      </c>
      <c r="O423" s="12" t="n">
        <v>515</v>
      </c>
      <c r="P423" s="16" t="n">
        <f aca="false">O423/3</f>
        <v>171.666666666667</v>
      </c>
      <c r="Q423" s="17" t="str">
        <f aca="false">INT(O423/3)&amp;"."&amp;MOD(O423,3)</f>
        <v>171.2</v>
      </c>
      <c r="R423" s="12" t="n">
        <v>148</v>
      </c>
      <c r="S423" s="12" t="n">
        <v>80</v>
      </c>
      <c r="T423" s="12" t="n">
        <v>76</v>
      </c>
      <c r="U423" s="12" t="n">
        <v>19</v>
      </c>
      <c r="V423" s="12" t="n">
        <v>58</v>
      </c>
      <c r="W423" s="12" t="n">
        <v>119</v>
      </c>
      <c r="X423" s="12" t="n">
        <v>8</v>
      </c>
      <c r="Y423" s="18" t="n">
        <f aca="false">IF(O423=0,0,T423*27/O423)</f>
        <v>3.98446601941748</v>
      </c>
      <c r="Z423" s="18" t="n">
        <f aca="false">IF(P423=0,0,(V423+R423)/P423)</f>
        <v>1.2</v>
      </c>
      <c r="AA423" s="18" t="n">
        <f aca="false">IF(O423=0,0,W423*27/O423)</f>
        <v>6.23883495145631</v>
      </c>
      <c r="AB423" s="18" t="n">
        <f aca="false">IF(O423=0,0,V423*27/O423)</f>
        <v>3.04077669902913</v>
      </c>
      <c r="AC423" s="18" t="n">
        <f aca="false">IF(V423=0,0,W423/V423)</f>
        <v>2.05172413793103</v>
      </c>
      <c r="AD423" s="18" t="n">
        <f aca="false">IF(P423=0,0,(13*U423+3*(V423+X423)-2*W423)/P423+INDEX(球季參數!$C$2:$C$4,MATCH($A423,球季參數!$A$2:$A$4,0)))</f>
        <v>4.30582524271845</v>
      </c>
      <c r="AE423" s="11" t="n">
        <f aca="false">IF(P423&gt;=INDEX(球季參數!$F$2:$F$4,MATCH($A423,球季參數!$A$2:$A$4,0)),1,0)</f>
        <v>1</v>
      </c>
    </row>
    <row r="424" customFormat="false" ht="15" hidden="false" customHeight="false" outlineLevel="0" collapsed="false">
      <c r="A424" s="5" t="n">
        <v>2025</v>
      </c>
      <c r="B424" s="7" t="s">
        <v>503</v>
      </c>
      <c r="C424" s="10" t="str">
        <f aca="false">INDEX(球員主檔!$B$2:$B$749,MATCH($B424,球員主檔!$A$2:$A$749,0))</f>
        <v>Dashiell Oyelaran</v>
      </c>
      <c r="D424" s="7" t="s">
        <v>392</v>
      </c>
      <c r="E424" s="10" t="str">
        <f aca="false">INDEX(球隊主檔!$C$2:$C$31,MATCH($D424,球隊主檔!$A$2:$A$31,0))</f>
        <v>洛杉磯天使</v>
      </c>
      <c r="F424" s="10" t="str">
        <f aca="false">INDEX(球隊主檔!$D$2:$D$31,MATCH($D424,球隊主檔!$A$2:$A$31,0))</f>
        <v>美聯</v>
      </c>
      <c r="G424" s="7" t="s">
        <v>496</v>
      </c>
      <c r="H424" s="11" t="n">
        <f aca="false">INT((DATE($A424,7,1)-INDEX(球員主檔!$G$2:$G$749,MATCH($B424,球員主檔!$A$2:$A$749,0)))/365.25)</f>
        <v>29</v>
      </c>
      <c r="I424" s="12" t="n">
        <v>11</v>
      </c>
      <c r="J424" s="12" t="n">
        <v>5</v>
      </c>
      <c r="K424" s="12" t="n">
        <v>0</v>
      </c>
      <c r="L424" s="12" t="n">
        <v>0</v>
      </c>
      <c r="M424" s="12" t="n">
        <v>24</v>
      </c>
      <c r="N424" s="12" t="n">
        <v>24</v>
      </c>
      <c r="O424" s="12" t="n">
        <v>356</v>
      </c>
      <c r="P424" s="16" t="n">
        <f aca="false">O424/3</f>
        <v>118.666666666667</v>
      </c>
      <c r="Q424" s="17" t="str">
        <f aca="false">INT(O424/3)&amp;"."&amp;MOD(O424,3)</f>
        <v>118.2</v>
      </c>
      <c r="R424" s="12" t="n">
        <v>94</v>
      </c>
      <c r="S424" s="12" t="n">
        <v>55</v>
      </c>
      <c r="T424" s="12" t="n">
        <v>52</v>
      </c>
      <c r="U424" s="12" t="n">
        <v>10</v>
      </c>
      <c r="V424" s="12" t="n">
        <v>44</v>
      </c>
      <c r="W424" s="12" t="n">
        <v>112</v>
      </c>
      <c r="X424" s="12" t="n">
        <v>1</v>
      </c>
      <c r="Y424" s="18" t="n">
        <f aca="false">IF(O424=0,0,T424*27/O424)</f>
        <v>3.9438202247191</v>
      </c>
      <c r="Z424" s="18" t="n">
        <f aca="false">IF(P424=0,0,(V424+R424)/P424)</f>
        <v>1.16292134831461</v>
      </c>
      <c r="AA424" s="18" t="n">
        <f aca="false">IF(O424=0,0,W424*27/O424)</f>
        <v>8.49438202247191</v>
      </c>
      <c r="AB424" s="18" t="n">
        <f aca="false">IF(O424=0,0,V424*27/O424)</f>
        <v>3.33707865168539</v>
      </c>
      <c r="AC424" s="18" t="n">
        <f aca="false">IF(V424=0,0,W424/V424)</f>
        <v>2.54545454545455</v>
      </c>
      <c r="AD424" s="18" t="n">
        <f aca="false">IF(P424=0,0,(13*U424+3*(V424+X424)-2*W424)/P424+INDEX(球季參數!$C$2:$C$4,MATCH($A424,球季參數!$A$2:$A$4,0)))</f>
        <v>3.44550561797753</v>
      </c>
      <c r="AE424" s="11" t="n">
        <f aca="false">IF(P424&gt;=INDEX(球季參數!$F$2:$F$4,MATCH($A424,球季參數!$A$2:$A$4,0)),1,0)</f>
        <v>0</v>
      </c>
    </row>
    <row r="425" customFormat="false" ht="15" hidden="false" customHeight="false" outlineLevel="0" collapsed="false">
      <c r="A425" s="5" t="n">
        <v>2025</v>
      </c>
      <c r="B425" s="7" t="s">
        <v>983</v>
      </c>
      <c r="C425" s="10" t="str">
        <f aca="false">INDEX(球員主檔!$B$2:$B$749,MATCH($B425,球員主檔!$A$2:$A$749,0))</f>
        <v>Thaddeus Dubois</v>
      </c>
      <c r="D425" s="7" t="s">
        <v>392</v>
      </c>
      <c r="E425" s="10" t="str">
        <f aca="false">INDEX(球隊主檔!$C$2:$C$31,MATCH($D425,球隊主檔!$A$2:$A$31,0))</f>
        <v>洛杉磯天使</v>
      </c>
      <c r="F425" s="10" t="str">
        <f aca="false">INDEX(球隊主檔!$D$2:$D$31,MATCH($D425,球隊主檔!$A$2:$A$31,0))</f>
        <v>美聯</v>
      </c>
      <c r="G425" s="7" t="s">
        <v>496</v>
      </c>
      <c r="H425" s="11" t="n">
        <f aca="false">INT((DATE($A425,7,1)-INDEX(球員主檔!$G$2:$G$749,MATCH($B425,球員主檔!$A$2:$A$749,0)))/365.25)</f>
        <v>34</v>
      </c>
      <c r="I425" s="12" t="n">
        <v>13</v>
      </c>
      <c r="J425" s="12" t="n">
        <v>4</v>
      </c>
      <c r="K425" s="12" t="n">
        <v>0</v>
      </c>
      <c r="L425" s="12" t="n">
        <v>0</v>
      </c>
      <c r="M425" s="12" t="n">
        <v>30</v>
      </c>
      <c r="N425" s="12" t="n">
        <v>30</v>
      </c>
      <c r="O425" s="12" t="n">
        <v>536</v>
      </c>
      <c r="P425" s="16" t="n">
        <f aca="false">O425/3</f>
        <v>178.666666666667</v>
      </c>
      <c r="Q425" s="17" t="str">
        <f aca="false">INT(O425/3)&amp;"."&amp;MOD(O425,3)</f>
        <v>178.2</v>
      </c>
      <c r="R425" s="12" t="n">
        <v>121</v>
      </c>
      <c r="S425" s="12" t="n">
        <v>41</v>
      </c>
      <c r="T425" s="12" t="n">
        <v>41</v>
      </c>
      <c r="U425" s="12" t="n">
        <v>22</v>
      </c>
      <c r="V425" s="12" t="n">
        <v>48</v>
      </c>
      <c r="W425" s="12" t="n">
        <v>175</v>
      </c>
      <c r="X425" s="12" t="n">
        <v>5</v>
      </c>
      <c r="Y425" s="18" t="n">
        <f aca="false">IF(O425=0,0,T425*27/O425)</f>
        <v>2.06529850746269</v>
      </c>
      <c r="Z425" s="18" t="n">
        <f aca="false">IF(P425=0,0,(V425+R425)/P425)</f>
        <v>0.94589552238806</v>
      </c>
      <c r="AA425" s="18" t="n">
        <f aca="false">IF(O425=0,0,W425*27/O425)</f>
        <v>8.81529850746269</v>
      </c>
      <c r="AB425" s="18" t="n">
        <f aca="false">IF(O425=0,0,V425*27/O425)</f>
        <v>2.41791044776119</v>
      </c>
      <c r="AC425" s="18" t="n">
        <f aca="false">IF(V425=0,0,W425/V425)</f>
        <v>3.64583333333333</v>
      </c>
      <c r="AD425" s="18" t="n">
        <f aca="false">IF(P425=0,0,(13*U425+3*(V425+X425)-2*W425)/P425+INDEX(球季參數!$C$2:$C$4,MATCH($A425,球季參數!$A$2:$A$4,0)))</f>
        <v>3.63171641791045</v>
      </c>
      <c r="AE425" s="11" t="n">
        <f aca="false">IF(P425&gt;=INDEX(球季參數!$F$2:$F$4,MATCH($A425,球季參數!$A$2:$A$4,0)),1,0)</f>
        <v>1</v>
      </c>
    </row>
    <row r="426" customFormat="false" ht="15" hidden="false" customHeight="false" outlineLevel="0" collapsed="false">
      <c r="A426" s="5" t="n">
        <v>2025</v>
      </c>
      <c r="B426" s="7" t="s">
        <v>985</v>
      </c>
      <c r="C426" s="10" t="str">
        <f aca="false">INDEX(球員主檔!$B$2:$B$749,MATCH($B426,球員主檔!$A$2:$A$749,0))</f>
        <v>Matthias Yarbrough</v>
      </c>
      <c r="D426" s="7" t="s">
        <v>392</v>
      </c>
      <c r="E426" s="10" t="str">
        <f aca="false">INDEX(球隊主檔!$C$2:$C$31,MATCH($D426,球隊主檔!$A$2:$A$31,0))</f>
        <v>洛杉磯天使</v>
      </c>
      <c r="F426" s="10" t="str">
        <f aca="false">INDEX(球隊主檔!$D$2:$D$31,MATCH($D426,球隊主檔!$A$2:$A$31,0))</f>
        <v>美聯</v>
      </c>
      <c r="G426" s="7" t="s">
        <v>496</v>
      </c>
      <c r="H426" s="11" t="n">
        <f aca="false">INT((DATE($A426,7,1)-INDEX(球員主檔!$G$2:$G$749,MATCH($B426,球員主檔!$A$2:$A$749,0)))/365.25)</f>
        <v>25</v>
      </c>
      <c r="I426" s="12" t="n">
        <v>3</v>
      </c>
      <c r="J426" s="12" t="n">
        <v>4</v>
      </c>
      <c r="K426" s="12" t="n">
        <v>0</v>
      </c>
      <c r="L426" s="12" t="n">
        <v>0</v>
      </c>
      <c r="M426" s="12" t="n">
        <v>10</v>
      </c>
      <c r="N426" s="12" t="n">
        <v>10</v>
      </c>
      <c r="O426" s="12" t="n">
        <v>162</v>
      </c>
      <c r="P426" s="16" t="n">
        <f aca="false">O426/3</f>
        <v>54</v>
      </c>
      <c r="Q426" s="17" t="str">
        <f aca="false">INT(O426/3)&amp;"."&amp;MOD(O426,3)</f>
        <v>54.0</v>
      </c>
      <c r="R426" s="12" t="n">
        <v>54</v>
      </c>
      <c r="S426" s="12" t="n">
        <v>34</v>
      </c>
      <c r="T426" s="12" t="n">
        <v>33</v>
      </c>
      <c r="U426" s="12" t="n">
        <v>6</v>
      </c>
      <c r="V426" s="12" t="n">
        <v>18</v>
      </c>
      <c r="W426" s="12" t="n">
        <v>52</v>
      </c>
      <c r="X426" s="12" t="n">
        <v>1</v>
      </c>
      <c r="Y426" s="18" t="n">
        <f aca="false">IF(O426=0,0,T426*27/O426)</f>
        <v>5.5</v>
      </c>
      <c r="Z426" s="18" t="n">
        <f aca="false">IF(P426=0,0,(V426+R426)/P426)</f>
        <v>1.33333333333333</v>
      </c>
      <c r="AA426" s="18" t="n">
        <f aca="false">IF(O426=0,0,W426*27/O426)</f>
        <v>8.66666666666667</v>
      </c>
      <c r="AB426" s="18" t="n">
        <f aca="false">IF(O426=0,0,V426*27/O426)</f>
        <v>3</v>
      </c>
      <c r="AC426" s="18" t="n">
        <f aca="false">IF(V426=0,0,W426/V426)</f>
        <v>2.88888888888889</v>
      </c>
      <c r="AD426" s="18" t="n">
        <f aca="false">IF(P426=0,0,(13*U426+3*(V426+X426)-2*W426)/P426+INDEX(球季參數!$C$2:$C$4,MATCH($A426,球季參數!$A$2:$A$4,0)))</f>
        <v>3.67407407407407</v>
      </c>
      <c r="AE426" s="11" t="n">
        <f aca="false">IF(P426&gt;=INDEX(球季參數!$F$2:$F$4,MATCH($A426,球季參數!$A$2:$A$4,0)),1,0)</f>
        <v>0</v>
      </c>
    </row>
    <row r="427" customFormat="false" ht="15" hidden="false" customHeight="false" outlineLevel="0" collapsed="false">
      <c r="A427" s="5" t="n">
        <v>2025</v>
      </c>
      <c r="B427" s="7" t="s">
        <v>987</v>
      </c>
      <c r="C427" s="10" t="str">
        <f aca="false">INDEX(球員主檔!$B$2:$B$749,MATCH($B427,球員主檔!$A$2:$A$749,0))</f>
        <v>Porter Quiroga</v>
      </c>
      <c r="D427" s="7" t="s">
        <v>392</v>
      </c>
      <c r="E427" s="10" t="str">
        <f aca="false">INDEX(球隊主檔!$C$2:$C$31,MATCH($D427,球隊主檔!$A$2:$A$31,0))</f>
        <v>洛杉磯天使</v>
      </c>
      <c r="F427" s="10" t="str">
        <f aca="false">INDEX(球隊主檔!$D$2:$D$31,MATCH($D427,球隊主檔!$A$2:$A$31,0))</f>
        <v>美聯</v>
      </c>
      <c r="G427" s="7" t="s">
        <v>507</v>
      </c>
      <c r="H427" s="11" t="n">
        <f aca="false">INT((DATE($A427,7,1)-INDEX(球員主檔!$G$2:$G$749,MATCH($B427,球員主檔!$A$2:$A$749,0)))/365.25)</f>
        <v>25</v>
      </c>
      <c r="I427" s="12" t="n">
        <v>3</v>
      </c>
      <c r="J427" s="12" t="n">
        <v>8</v>
      </c>
      <c r="K427" s="12" t="n">
        <v>2</v>
      </c>
      <c r="L427" s="12" t="n">
        <v>4</v>
      </c>
      <c r="M427" s="12" t="n">
        <v>71</v>
      </c>
      <c r="N427" s="12" t="n">
        <v>0</v>
      </c>
      <c r="O427" s="12" t="n">
        <v>226</v>
      </c>
      <c r="P427" s="16" t="n">
        <f aca="false">O427/3</f>
        <v>75.3333333333333</v>
      </c>
      <c r="Q427" s="17" t="str">
        <f aca="false">INT(O427/3)&amp;"."&amp;MOD(O427,3)</f>
        <v>75.1</v>
      </c>
      <c r="R427" s="12" t="n">
        <v>79</v>
      </c>
      <c r="S427" s="12" t="n">
        <v>60</v>
      </c>
      <c r="T427" s="12" t="n">
        <v>57</v>
      </c>
      <c r="U427" s="12" t="n">
        <v>7</v>
      </c>
      <c r="V427" s="12" t="n">
        <v>20</v>
      </c>
      <c r="W427" s="12" t="n">
        <v>70</v>
      </c>
      <c r="X427" s="12" t="n">
        <v>3</v>
      </c>
      <c r="Y427" s="18" t="n">
        <f aca="false">IF(O427=0,0,T427*27/O427)</f>
        <v>6.80973451327434</v>
      </c>
      <c r="Z427" s="18" t="n">
        <f aca="false">IF(P427=0,0,(V427+R427)/P427)</f>
        <v>1.3141592920354</v>
      </c>
      <c r="AA427" s="18" t="n">
        <f aca="false">IF(O427=0,0,W427*27/O427)</f>
        <v>8.36283185840708</v>
      </c>
      <c r="AB427" s="18" t="n">
        <f aca="false">IF(O427=0,0,V427*27/O427)</f>
        <v>2.38938053097345</v>
      </c>
      <c r="AC427" s="18" t="n">
        <f aca="false">IF(V427=0,0,W427/V427)</f>
        <v>3.5</v>
      </c>
      <c r="AD427" s="18" t="n">
        <f aca="false">IF(P427=0,0,(13*U427+3*(V427+X427)-2*W427)/P427+INDEX(球季參數!$C$2:$C$4,MATCH($A427,球季參數!$A$2:$A$4,0)))</f>
        <v>3.36548672566372</v>
      </c>
      <c r="AE427" s="11" t="n">
        <f aca="false">IF(P427&gt;=INDEX(球季參數!$F$2:$F$4,MATCH($A427,球季參數!$A$2:$A$4,0)),1,0)</f>
        <v>0</v>
      </c>
    </row>
    <row r="428" customFormat="false" ht="15" hidden="false" customHeight="false" outlineLevel="0" collapsed="false">
      <c r="A428" s="5" t="n">
        <v>2025</v>
      </c>
      <c r="B428" s="7" t="s">
        <v>1313</v>
      </c>
      <c r="C428" s="10" t="str">
        <f aca="false">INDEX(球員主檔!$B$2:$B$749,MATCH($B428,球員主檔!$A$2:$A$749,0))</f>
        <v>Lucien Mbeki</v>
      </c>
      <c r="D428" s="7" t="s">
        <v>392</v>
      </c>
      <c r="E428" s="10" t="str">
        <f aca="false">INDEX(球隊主檔!$C$2:$C$31,MATCH($D428,球隊主檔!$A$2:$A$31,0))</f>
        <v>洛杉磯天使</v>
      </c>
      <c r="F428" s="10" t="str">
        <f aca="false">INDEX(球隊主檔!$D$2:$D$31,MATCH($D428,球隊主檔!$A$2:$A$31,0))</f>
        <v>美聯</v>
      </c>
      <c r="G428" s="7" t="s">
        <v>507</v>
      </c>
      <c r="H428" s="11" t="n">
        <f aca="false">INT((DATE($A428,7,1)-INDEX(球員主檔!$G$2:$G$749,MATCH($B428,球員主檔!$A$2:$A$749,0)))/365.25)</f>
        <v>26</v>
      </c>
      <c r="I428" s="12" t="n">
        <v>9</v>
      </c>
      <c r="J428" s="12" t="n">
        <v>2</v>
      </c>
      <c r="K428" s="12" t="n">
        <v>3</v>
      </c>
      <c r="L428" s="12" t="n">
        <v>4</v>
      </c>
      <c r="M428" s="12" t="n">
        <v>52</v>
      </c>
      <c r="N428" s="12" t="n">
        <v>0</v>
      </c>
      <c r="O428" s="12" t="n">
        <v>150</v>
      </c>
      <c r="P428" s="16" t="n">
        <f aca="false">O428/3</f>
        <v>50</v>
      </c>
      <c r="Q428" s="17" t="str">
        <f aca="false">INT(O428/3)&amp;"."&amp;MOD(O428,3)</f>
        <v>50.0</v>
      </c>
      <c r="R428" s="12" t="n">
        <v>41</v>
      </c>
      <c r="S428" s="12" t="n">
        <v>24</v>
      </c>
      <c r="T428" s="12" t="n">
        <v>22</v>
      </c>
      <c r="U428" s="12" t="n">
        <v>9</v>
      </c>
      <c r="V428" s="12" t="n">
        <v>14</v>
      </c>
      <c r="W428" s="12" t="n">
        <v>54</v>
      </c>
      <c r="X428" s="12" t="n">
        <v>1</v>
      </c>
      <c r="Y428" s="18" t="n">
        <f aca="false">IF(O428=0,0,T428*27/O428)</f>
        <v>3.96</v>
      </c>
      <c r="Z428" s="18" t="n">
        <f aca="false">IF(P428=0,0,(V428+R428)/P428)</f>
        <v>1.1</v>
      </c>
      <c r="AA428" s="18" t="n">
        <f aca="false">IF(O428=0,0,W428*27/O428)</f>
        <v>9.72</v>
      </c>
      <c r="AB428" s="18" t="n">
        <f aca="false">IF(O428=0,0,V428*27/O428)</f>
        <v>2.52</v>
      </c>
      <c r="AC428" s="18" t="n">
        <f aca="false">IF(V428=0,0,W428/V428)</f>
        <v>3.85714285714286</v>
      </c>
      <c r="AD428" s="18" t="n">
        <f aca="false">IF(P428=0,0,(13*U428+3*(V428+X428)-2*W428)/P428+INDEX(球季參數!$C$2:$C$4,MATCH($A428,球季參數!$A$2:$A$4,0)))</f>
        <v>4.18</v>
      </c>
      <c r="AE428" s="11" t="n">
        <f aca="false">IF(P428&gt;=INDEX(球季參數!$F$2:$F$4,MATCH($A428,球季參數!$A$2:$A$4,0)),1,0)</f>
        <v>0</v>
      </c>
    </row>
    <row r="429" customFormat="false" ht="15" hidden="false" customHeight="false" outlineLevel="0" collapsed="false">
      <c r="A429" s="5" t="n">
        <v>2025</v>
      </c>
      <c r="B429" s="7" t="s">
        <v>1731</v>
      </c>
      <c r="C429" s="10" t="str">
        <f aca="false">INDEX(球員主檔!$B$2:$B$749,MATCH($B429,球員主檔!$A$2:$A$749,0))</f>
        <v>Percival Zamarripa</v>
      </c>
      <c r="D429" s="7" t="s">
        <v>392</v>
      </c>
      <c r="E429" s="10" t="str">
        <f aca="false">INDEX(球隊主檔!$C$2:$C$31,MATCH($D429,球隊主檔!$A$2:$A$31,0))</f>
        <v>洛杉磯天使</v>
      </c>
      <c r="F429" s="10" t="str">
        <f aca="false">INDEX(球隊主檔!$D$2:$D$31,MATCH($D429,球隊主檔!$A$2:$A$31,0))</f>
        <v>美聯</v>
      </c>
      <c r="G429" s="7" t="s">
        <v>507</v>
      </c>
      <c r="H429" s="11" t="n">
        <f aca="false">INT((DATE($A429,7,1)-INDEX(球員主檔!$G$2:$G$749,MATCH($B429,球員主檔!$A$2:$A$749,0)))/365.25)</f>
        <v>23</v>
      </c>
      <c r="I429" s="12" t="n">
        <v>2</v>
      </c>
      <c r="J429" s="12" t="n">
        <v>7</v>
      </c>
      <c r="K429" s="12" t="n">
        <v>6</v>
      </c>
      <c r="L429" s="12" t="n">
        <v>12</v>
      </c>
      <c r="M429" s="12" t="n">
        <v>53</v>
      </c>
      <c r="N429" s="12" t="n">
        <v>0</v>
      </c>
      <c r="O429" s="12" t="n">
        <v>174</v>
      </c>
      <c r="P429" s="16" t="n">
        <f aca="false">O429/3</f>
        <v>58</v>
      </c>
      <c r="Q429" s="17" t="str">
        <f aca="false">INT(O429/3)&amp;"."&amp;MOD(O429,3)</f>
        <v>58.0</v>
      </c>
      <c r="R429" s="12" t="n">
        <v>42</v>
      </c>
      <c r="S429" s="12" t="n">
        <v>18</v>
      </c>
      <c r="T429" s="12" t="n">
        <v>18</v>
      </c>
      <c r="U429" s="12" t="n">
        <v>5</v>
      </c>
      <c r="V429" s="12" t="n">
        <v>21</v>
      </c>
      <c r="W429" s="12" t="n">
        <v>91</v>
      </c>
      <c r="X429" s="12" t="n">
        <v>3</v>
      </c>
      <c r="Y429" s="18" t="n">
        <f aca="false">IF(O429=0,0,T429*27/O429)</f>
        <v>2.79310344827586</v>
      </c>
      <c r="Z429" s="18" t="n">
        <f aca="false">IF(P429=0,0,(V429+R429)/P429)</f>
        <v>1.08620689655172</v>
      </c>
      <c r="AA429" s="18" t="n">
        <f aca="false">IF(O429=0,0,W429*27/O429)</f>
        <v>14.1206896551724</v>
      </c>
      <c r="AB429" s="18" t="n">
        <f aca="false">IF(O429=0,0,V429*27/O429)</f>
        <v>3.25862068965517</v>
      </c>
      <c r="AC429" s="18" t="n">
        <f aca="false">IF(V429=0,0,W429/V429)</f>
        <v>4.33333333333333</v>
      </c>
      <c r="AD429" s="18" t="n">
        <f aca="false">IF(P429=0,0,(13*U429+3*(V429+X429)-2*W429)/P429+INDEX(球季參數!$C$2:$C$4,MATCH($A429,球季參數!$A$2:$A$4,0)))</f>
        <v>2.32413793103448</v>
      </c>
      <c r="AE429" s="11" t="n">
        <f aca="false">IF(P429&gt;=INDEX(球季參數!$F$2:$F$4,MATCH($A429,球季參數!$A$2:$A$4,0)),1,0)</f>
        <v>0</v>
      </c>
    </row>
    <row r="430" customFormat="false" ht="15" hidden="false" customHeight="false" outlineLevel="0" collapsed="false">
      <c r="A430" s="5" t="n">
        <v>2025</v>
      </c>
      <c r="B430" s="7" t="s">
        <v>993</v>
      </c>
      <c r="C430" s="10" t="str">
        <f aca="false">INDEX(球員主檔!$B$2:$B$749,MATCH($B430,球員主檔!$A$2:$A$749,0))</f>
        <v>Porter Engelhardt</v>
      </c>
      <c r="D430" s="7" t="s">
        <v>392</v>
      </c>
      <c r="E430" s="10" t="str">
        <f aca="false">INDEX(球隊主檔!$C$2:$C$31,MATCH($D430,球隊主檔!$A$2:$A$31,0))</f>
        <v>洛杉磯天使</v>
      </c>
      <c r="F430" s="10" t="str">
        <f aca="false">INDEX(球隊主檔!$D$2:$D$31,MATCH($D430,球隊主檔!$A$2:$A$31,0))</f>
        <v>美聯</v>
      </c>
      <c r="G430" s="7" t="s">
        <v>507</v>
      </c>
      <c r="H430" s="11" t="n">
        <f aca="false">INT((DATE($A430,7,1)-INDEX(球員主檔!$G$2:$G$749,MATCH($B430,球員主檔!$A$2:$A$749,0)))/365.25)</f>
        <v>28</v>
      </c>
      <c r="I430" s="12" t="n">
        <v>9</v>
      </c>
      <c r="J430" s="12" t="n">
        <v>0</v>
      </c>
      <c r="K430" s="12" t="n">
        <v>6</v>
      </c>
      <c r="L430" s="12" t="n">
        <v>7</v>
      </c>
      <c r="M430" s="12" t="n">
        <v>66</v>
      </c>
      <c r="N430" s="12" t="n">
        <v>0</v>
      </c>
      <c r="O430" s="12" t="n">
        <v>187</v>
      </c>
      <c r="P430" s="16" t="n">
        <f aca="false">O430/3</f>
        <v>62.3333333333333</v>
      </c>
      <c r="Q430" s="17" t="str">
        <f aca="false">INT(O430/3)&amp;"."&amp;MOD(O430,3)</f>
        <v>62.1</v>
      </c>
      <c r="R430" s="12" t="n">
        <v>45</v>
      </c>
      <c r="S430" s="12" t="n">
        <v>24</v>
      </c>
      <c r="T430" s="12" t="n">
        <v>22</v>
      </c>
      <c r="U430" s="12" t="n">
        <v>6</v>
      </c>
      <c r="V430" s="12" t="n">
        <v>22</v>
      </c>
      <c r="W430" s="12" t="n">
        <v>61</v>
      </c>
      <c r="X430" s="12" t="n">
        <v>2</v>
      </c>
      <c r="Y430" s="18" t="n">
        <f aca="false">IF(O430=0,0,T430*27/O430)</f>
        <v>3.17647058823529</v>
      </c>
      <c r="Z430" s="18" t="n">
        <f aca="false">IF(P430=0,0,(V430+R430)/P430)</f>
        <v>1.07486631016043</v>
      </c>
      <c r="AA430" s="18" t="n">
        <f aca="false">IF(O430=0,0,W430*27/O430)</f>
        <v>8.80748663101604</v>
      </c>
      <c r="AB430" s="18" t="n">
        <f aca="false">IF(O430=0,0,V430*27/O430)</f>
        <v>3.17647058823529</v>
      </c>
      <c r="AC430" s="18" t="n">
        <f aca="false">IF(V430=0,0,W430/V430)</f>
        <v>2.77272727272727</v>
      </c>
      <c r="AD430" s="18" t="n">
        <f aca="false">IF(P430=0,0,(13*U430+3*(V430+X430)-2*W430)/P430+INDEX(球季參數!$C$2:$C$4,MATCH($A430,球季參數!$A$2:$A$4,0)))</f>
        <v>3.54919786096257</v>
      </c>
      <c r="AE430" s="11" t="n">
        <f aca="false">IF(P430&gt;=INDEX(球季參數!$F$2:$F$4,MATCH($A430,球季參數!$A$2:$A$4,0)),1,0)</f>
        <v>0</v>
      </c>
    </row>
    <row r="431" customFormat="false" ht="15" hidden="false" customHeight="false" outlineLevel="0" collapsed="false">
      <c r="A431" s="5" t="n">
        <v>2025</v>
      </c>
      <c r="B431" s="7" t="s">
        <v>995</v>
      </c>
      <c r="C431" s="10" t="str">
        <f aca="false">INDEX(球員主檔!$B$2:$B$749,MATCH($B431,球員主檔!$A$2:$A$749,0))</f>
        <v>Garrison Whitmore</v>
      </c>
      <c r="D431" s="7" t="s">
        <v>392</v>
      </c>
      <c r="E431" s="10" t="str">
        <f aca="false">INDEX(球隊主檔!$C$2:$C$31,MATCH($D431,球隊主檔!$A$2:$A$31,0))</f>
        <v>洛杉磯天使</v>
      </c>
      <c r="F431" s="10" t="str">
        <f aca="false">INDEX(球隊主檔!$D$2:$D$31,MATCH($D431,球隊主檔!$A$2:$A$31,0))</f>
        <v>美聯</v>
      </c>
      <c r="G431" s="7" t="s">
        <v>507</v>
      </c>
      <c r="H431" s="11" t="n">
        <f aca="false">INT((DATE($A431,7,1)-INDEX(球員主檔!$G$2:$G$749,MATCH($B431,球員主檔!$A$2:$A$749,0)))/365.25)</f>
        <v>27</v>
      </c>
      <c r="I431" s="12" t="n">
        <v>5</v>
      </c>
      <c r="J431" s="12" t="n">
        <v>7</v>
      </c>
      <c r="K431" s="12" t="n">
        <v>4</v>
      </c>
      <c r="L431" s="12" t="n">
        <v>12</v>
      </c>
      <c r="M431" s="12" t="n">
        <v>43</v>
      </c>
      <c r="N431" s="12" t="n">
        <v>0</v>
      </c>
      <c r="O431" s="12" t="n">
        <v>129</v>
      </c>
      <c r="P431" s="16" t="n">
        <f aca="false">O431/3</f>
        <v>43</v>
      </c>
      <c r="Q431" s="17" t="str">
        <f aca="false">INT(O431/3)&amp;"."&amp;MOD(O431,3)</f>
        <v>43.0</v>
      </c>
      <c r="R431" s="12" t="n">
        <v>33</v>
      </c>
      <c r="S431" s="12" t="n">
        <v>17</v>
      </c>
      <c r="T431" s="12" t="n">
        <v>16</v>
      </c>
      <c r="U431" s="12" t="n">
        <v>3</v>
      </c>
      <c r="V431" s="12" t="n">
        <v>13</v>
      </c>
      <c r="W431" s="12" t="n">
        <v>40</v>
      </c>
      <c r="X431" s="12" t="n">
        <v>2</v>
      </c>
      <c r="Y431" s="18" t="n">
        <f aca="false">IF(O431=0,0,T431*27/O431)</f>
        <v>3.34883720930233</v>
      </c>
      <c r="Z431" s="18" t="n">
        <f aca="false">IF(P431=0,0,(V431+R431)/P431)</f>
        <v>1.06976744186047</v>
      </c>
      <c r="AA431" s="18" t="n">
        <f aca="false">IF(O431=0,0,W431*27/O431)</f>
        <v>8.37209302325582</v>
      </c>
      <c r="AB431" s="18" t="n">
        <f aca="false">IF(O431=0,0,V431*27/O431)</f>
        <v>2.72093023255814</v>
      </c>
      <c r="AC431" s="18" t="n">
        <f aca="false">IF(V431=0,0,W431/V431)</f>
        <v>3.07692307692308</v>
      </c>
      <c r="AD431" s="18" t="n">
        <f aca="false">IF(P431=0,0,(13*U431+3*(V431+X431)-2*W431)/P431+INDEX(球季參數!$C$2:$C$4,MATCH($A431,球季參數!$A$2:$A$4,0)))</f>
        <v>3.19302325581395</v>
      </c>
      <c r="AE431" s="11" t="n">
        <f aca="false">IF(P431&gt;=INDEX(球季參數!$F$2:$F$4,MATCH($A431,球季參數!$A$2:$A$4,0)),1,0)</f>
        <v>0</v>
      </c>
    </row>
    <row r="432" customFormat="false" ht="15" hidden="false" customHeight="false" outlineLevel="0" collapsed="false">
      <c r="A432" s="5" t="n">
        <v>2025</v>
      </c>
      <c r="B432" s="7" t="s">
        <v>1017</v>
      </c>
      <c r="C432" s="10" t="str">
        <f aca="false">INDEX(球員主檔!$B$2:$B$749,MATCH($B432,球員主檔!$A$2:$A$749,0))</f>
        <v>Camilo Montalvo</v>
      </c>
      <c r="D432" s="7" t="s">
        <v>396</v>
      </c>
      <c r="E432" s="10" t="str">
        <f aca="false">INDEX(球隊主檔!$C$2:$C$31,MATCH($D432,球隊主檔!$A$2:$A$31,0))</f>
        <v>西雅圖水手</v>
      </c>
      <c r="F432" s="10" t="str">
        <f aca="false">INDEX(球隊主檔!$D$2:$D$31,MATCH($D432,球隊主檔!$A$2:$A$31,0))</f>
        <v>美聯</v>
      </c>
      <c r="G432" s="7" t="s">
        <v>496</v>
      </c>
      <c r="H432" s="11" t="n">
        <f aca="false">INT((DATE($A432,7,1)-INDEX(球員主檔!$G$2:$G$749,MATCH($B432,球員主檔!$A$2:$A$749,0)))/365.25)</f>
        <v>31</v>
      </c>
      <c r="I432" s="12" t="n">
        <v>10</v>
      </c>
      <c r="J432" s="12" t="n">
        <v>4</v>
      </c>
      <c r="K432" s="12" t="n">
        <v>0</v>
      </c>
      <c r="L432" s="12" t="n">
        <v>0</v>
      </c>
      <c r="M432" s="12" t="n">
        <v>19</v>
      </c>
      <c r="N432" s="12" t="n">
        <v>19</v>
      </c>
      <c r="O432" s="12" t="n">
        <v>312</v>
      </c>
      <c r="P432" s="16" t="n">
        <f aca="false">O432/3</f>
        <v>104</v>
      </c>
      <c r="Q432" s="17" t="str">
        <f aca="false">INT(O432/3)&amp;"."&amp;MOD(O432,3)</f>
        <v>104.0</v>
      </c>
      <c r="R432" s="12" t="n">
        <v>87</v>
      </c>
      <c r="S432" s="12" t="n">
        <v>42</v>
      </c>
      <c r="T432" s="12" t="n">
        <v>39</v>
      </c>
      <c r="U432" s="12" t="n">
        <v>8</v>
      </c>
      <c r="V432" s="12" t="n">
        <v>49</v>
      </c>
      <c r="W432" s="12" t="n">
        <v>137</v>
      </c>
      <c r="X432" s="12" t="n">
        <v>6</v>
      </c>
      <c r="Y432" s="18" t="n">
        <f aca="false">IF(O432=0,0,T432*27/O432)</f>
        <v>3.375</v>
      </c>
      <c r="Z432" s="18" t="n">
        <f aca="false">IF(P432=0,0,(V432+R432)/P432)</f>
        <v>1.30769230769231</v>
      </c>
      <c r="AA432" s="18" t="n">
        <f aca="false">IF(O432=0,0,W432*27/O432)</f>
        <v>11.8557692307692</v>
      </c>
      <c r="AB432" s="18" t="n">
        <f aca="false">IF(O432=0,0,V432*27/O432)</f>
        <v>4.24038461538462</v>
      </c>
      <c r="AC432" s="18" t="n">
        <f aca="false">IF(V432=0,0,W432/V432)</f>
        <v>2.79591836734694</v>
      </c>
      <c r="AD432" s="18" t="n">
        <f aca="false">IF(P432=0,0,(13*U432+3*(V432+X432)-2*W432)/P432+INDEX(球季參數!$C$2:$C$4,MATCH($A432,球季參數!$A$2:$A$4,0)))</f>
        <v>3.05192307692308</v>
      </c>
      <c r="AE432" s="11" t="n">
        <f aca="false">IF(P432&gt;=INDEX(球季參數!$F$2:$F$4,MATCH($A432,球季參數!$A$2:$A$4,0)),1,0)</f>
        <v>0</v>
      </c>
    </row>
    <row r="433" customFormat="false" ht="15" hidden="false" customHeight="false" outlineLevel="0" collapsed="false">
      <c r="A433" s="5" t="n">
        <v>2025</v>
      </c>
      <c r="B433" s="7" t="s">
        <v>1733</v>
      </c>
      <c r="C433" s="10" t="str">
        <f aca="false">INDEX(球員主檔!$B$2:$B$749,MATCH($B433,球員主檔!$A$2:$A$749,0))</f>
        <v>Zane Yoshinaga</v>
      </c>
      <c r="D433" s="7" t="s">
        <v>396</v>
      </c>
      <c r="E433" s="10" t="str">
        <f aca="false">INDEX(球隊主檔!$C$2:$C$31,MATCH($D433,球隊主檔!$A$2:$A$31,0))</f>
        <v>西雅圖水手</v>
      </c>
      <c r="F433" s="10" t="str">
        <f aca="false">INDEX(球隊主檔!$D$2:$D$31,MATCH($D433,球隊主檔!$A$2:$A$31,0))</f>
        <v>美聯</v>
      </c>
      <c r="G433" s="7" t="s">
        <v>496</v>
      </c>
      <c r="H433" s="11" t="n">
        <f aca="false">INT((DATE($A433,7,1)-INDEX(球員主檔!$G$2:$G$749,MATCH($B433,球員主檔!$A$2:$A$749,0)))/365.25)</f>
        <v>23</v>
      </c>
      <c r="I433" s="12" t="n">
        <v>12</v>
      </c>
      <c r="J433" s="12" t="n">
        <v>4</v>
      </c>
      <c r="K433" s="12" t="n">
        <v>0</v>
      </c>
      <c r="L433" s="12" t="n">
        <v>0</v>
      </c>
      <c r="M433" s="12" t="n">
        <v>25</v>
      </c>
      <c r="N433" s="12" t="n">
        <v>25</v>
      </c>
      <c r="O433" s="12" t="n">
        <v>370</v>
      </c>
      <c r="P433" s="16" t="n">
        <f aca="false">O433/3</f>
        <v>123.333333333333</v>
      </c>
      <c r="Q433" s="17" t="str">
        <f aca="false">INT(O433/3)&amp;"."&amp;MOD(O433,3)</f>
        <v>123.1</v>
      </c>
      <c r="R433" s="12" t="n">
        <v>96</v>
      </c>
      <c r="S433" s="12" t="n">
        <v>54</v>
      </c>
      <c r="T433" s="12" t="n">
        <v>50</v>
      </c>
      <c r="U433" s="12" t="n">
        <v>16</v>
      </c>
      <c r="V433" s="12" t="n">
        <v>57</v>
      </c>
      <c r="W433" s="12" t="n">
        <v>112</v>
      </c>
      <c r="X433" s="12" t="n">
        <v>6</v>
      </c>
      <c r="Y433" s="18" t="n">
        <f aca="false">IF(O433=0,0,T433*27/O433)</f>
        <v>3.64864864864865</v>
      </c>
      <c r="Z433" s="18" t="n">
        <f aca="false">IF(P433=0,0,(V433+R433)/P433)</f>
        <v>1.24054054054054</v>
      </c>
      <c r="AA433" s="18" t="n">
        <f aca="false">IF(O433=0,0,W433*27/O433)</f>
        <v>8.17297297297297</v>
      </c>
      <c r="AB433" s="18" t="n">
        <f aca="false">IF(O433=0,0,V433*27/O433)</f>
        <v>4.15945945945946</v>
      </c>
      <c r="AC433" s="18" t="n">
        <f aca="false">IF(V433=0,0,W433/V433)</f>
        <v>1.96491228070175</v>
      </c>
      <c r="AD433" s="18" t="n">
        <f aca="false">IF(P433=0,0,(13*U433+3*(V433+X433)-2*W433)/P433+INDEX(球季參數!$C$2:$C$4,MATCH($A433,球季參數!$A$2:$A$4,0)))</f>
        <v>4.5027027027027</v>
      </c>
      <c r="AE433" s="11" t="n">
        <f aca="false">IF(P433&gt;=INDEX(球季參數!$F$2:$F$4,MATCH($A433,球季參數!$A$2:$A$4,0)),1,0)</f>
        <v>0</v>
      </c>
    </row>
    <row r="434" customFormat="false" ht="15" hidden="false" customHeight="false" outlineLevel="0" collapsed="false">
      <c r="A434" s="5" t="n">
        <v>2025</v>
      </c>
      <c r="B434" s="7" t="s">
        <v>1021</v>
      </c>
      <c r="C434" s="10" t="str">
        <f aca="false">INDEX(球員主檔!$B$2:$B$749,MATCH($B434,球員主檔!$A$2:$A$749,0))</f>
        <v>Garrison Vandermeer</v>
      </c>
      <c r="D434" s="7" t="s">
        <v>396</v>
      </c>
      <c r="E434" s="10" t="str">
        <f aca="false">INDEX(球隊主檔!$C$2:$C$31,MATCH($D434,球隊主檔!$A$2:$A$31,0))</f>
        <v>西雅圖水手</v>
      </c>
      <c r="F434" s="10" t="str">
        <f aca="false">INDEX(球隊主檔!$D$2:$D$31,MATCH($D434,球隊主檔!$A$2:$A$31,0))</f>
        <v>美聯</v>
      </c>
      <c r="G434" s="7" t="s">
        <v>496</v>
      </c>
      <c r="H434" s="11" t="n">
        <f aca="false">INT((DATE($A434,7,1)-INDEX(球員主檔!$G$2:$G$749,MATCH($B434,球員主檔!$A$2:$A$749,0)))/365.25)</f>
        <v>24</v>
      </c>
      <c r="I434" s="12" t="n">
        <v>10</v>
      </c>
      <c r="J434" s="12" t="n">
        <v>8</v>
      </c>
      <c r="K434" s="12" t="n">
        <v>0</v>
      </c>
      <c r="L434" s="12" t="n">
        <v>0</v>
      </c>
      <c r="M434" s="12" t="n">
        <v>25</v>
      </c>
      <c r="N434" s="12" t="n">
        <v>25</v>
      </c>
      <c r="O434" s="12" t="n">
        <v>374</v>
      </c>
      <c r="P434" s="16" t="n">
        <f aca="false">O434/3</f>
        <v>124.666666666667</v>
      </c>
      <c r="Q434" s="17" t="str">
        <f aca="false">INT(O434/3)&amp;"."&amp;MOD(O434,3)</f>
        <v>124.2</v>
      </c>
      <c r="R434" s="12" t="n">
        <v>111</v>
      </c>
      <c r="S434" s="12" t="n">
        <v>65</v>
      </c>
      <c r="T434" s="12" t="n">
        <v>60</v>
      </c>
      <c r="U434" s="12" t="n">
        <v>21</v>
      </c>
      <c r="V434" s="12" t="n">
        <v>32</v>
      </c>
      <c r="W434" s="12" t="n">
        <v>98</v>
      </c>
      <c r="X434" s="12" t="n">
        <v>2</v>
      </c>
      <c r="Y434" s="18" t="n">
        <f aca="false">IF(O434=0,0,T434*27/O434)</f>
        <v>4.33155080213904</v>
      </c>
      <c r="Z434" s="18" t="n">
        <f aca="false">IF(P434=0,0,(V434+R434)/P434)</f>
        <v>1.14705882352941</v>
      </c>
      <c r="AA434" s="18" t="n">
        <f aca="false">IF(O434=0,0,W434*27/O434)</f>
        <v>7.07486631016043</v>
      </c>
      <c r="AB434" s="18" t="n">
        <f aca="false">IF(O434=0,0,V434*27/O434)</f>
        <v>2.31016042780749</v>
      </c>
      <c r="AC434" s="18" t="n">
        <f aca="false">IF(V434=0,0,W434/V434)</f>
        <v>3.0625</v>
      </c>
      <c r="AD434" s="18" t="n">
        <f aca="false">IF(P434=0,0,(13*U434+3*(V434+X434)-2*W434)/P434+INDEX(球季參數!$C$2:$C$4,MATCH($A434,球季參數!$A$2:$A$4,0)))</f>
        <v>4.53582887700535</v>
      </c>
      <c r="AE434" s="11" t="n">
        <f aca="false">IF(P434&gt;=INDEX(球季參數!$F$2:$F$4,MATCH($A434,球季參數!$A$2:$A$4,0)),1,0)</f>
        <v>0</v>
      </c>
    </row>
    <row r="435" customFormat="false" ht="15" hidden="false" customHeight="false" outlineLevel="0" collapsed="false">
      <c r="A435" s="5" t="n">
        <v>2025</v>
      </c>
      <c r="B435" s="7" t="s">
        <v>1023</v>
      </c>
      <c r="C435" s="10" t="str">
        <f aca="false">INDEX(球員主檔!$B$2:$B$749,MATCH($B435,球員主檔!$A$2:$A$749,0))</f>
        <v>Wendell Arceneaux</v>
      </c>
      <c r="D435" s="7" t="s">
        <v>396</v>
      </c>
      <c r="E435" s="10" t="str">
        <f aca="false">INDEX(球隊主檔!$C$2:$C$31,MATCH($D435,球隊主檔!$A$2:$A$31,0))</f>
        <v>西雅圖水手</v>
      </c>
      <c r="F435" s="10" t="str">
        <f aca="false">INDEX(球隊主檔!$D$2:$D$31,MATCH($D435,球隊主檔!$A$2:$A$31,0))</f>
        <v>美聯</v>
      </c>
      <c r="G435" s="7" t="s">
        <v>496</v>
      </c>
      <c r="H435" s="11" t="n">
        <f aca="false">INT((DATE($A435,7,1)-INDEX(球員主檔!$G$2:$G$749,MATCH($B435,球員主檔!$A$2:$A$749,0)))/365.25)</f>
        <v>32</v>
      </c>
      <c r="I435" s="12" t="n">
        <v>12</v>
      </c>
      <c r="J435" s="12" t="n">
        <v>5</v>
      </c>
      <c r="K435" s="12" t="n">
        <v>0</v>
      </c>
      <c r="L435" s="12" t="n">
        <v>0</v>
      </c>
      <c r="M435" s="12" t="n">
        <v>29</v>
      </c>
      <c r="N435" s="12" t="n">
        <v>29</v>
      </c>
      <c r="O435" s="12" t="n">
        <v>443</v>
      </c>
      <c r="P435" s="16" t="n">
        <f aca="false">O435/3</f>
        <v>147.666666666667</v>
      </c>
      <c r="Q435" s="17" t="str">
        <f aca="false">INT(O435/3)&amp;"."&amp;MOD(O435,3)</f>
        <v>147.2</v>
      </c>
      <c r="R435" s="12" t="n">
        <v>113</v>
      </c>
      <c r="S435" s="12" t="n">
        <v>56</v>
      </c>
      <c r="T435" s="12" t="n">
        <v>52</v>
      </c>
      <c r="U435" s="12" t="n">
        <v>14</v>
      </c>
      <c r="V435" s="12" t="n">
        <v>63</v>
      </c>
      <c r="W435" s="12" t="n">
        <v>110</v>
      </c>
      <c r="X435" s="12" t="n">
        <v>8</v>
      </c>
      <c r="Y435" s="18" t="n">
        <f aca="false">IF(O435=0,0,T435*27/O435)</f>
        <v>3.16930022573363</v>
      </c>
      <c r="Z435" s="18" t="n">
        <f aca="false">IF(P435=0,0,(V435+R435)/P435)</f>
        <v>1.19187358916479</v>
      </c>
      <c r="AA435" s="18" t="n">
        <f aca="false">IF(O435=0,0,W435*27/O435)</f>
        <v>6.70428893905192</v>
      </c>
      <c r="AB435" s="18" t="n">
        <f aca="false">IF(O435=0,0,V435*27/O435)</f>
        <v>3.83972911963883</v>
      </c>
      <c r="AC435" s="18" t="n">
        <f aca="false">IF(V435=0,0,W435/V435)</f>
        <v>1.74603174603175</v>
      </c>
      <c r="AD435" s="18" t="n">
        <f aca="false">IF(P435=0,0,(13*U435+3*(V435+X435)-2*W435)/P435+INDEX(球季參數!$C$2:$C$4,MATCH($A435,球季參數!$A$2:$A$4,0)))</f>
        <v>4.28510158013544</v>
      </c>
      <c r="AE435" s="11" t="n">
        <f aca="false">IF(P435&gt;=INDEX(球季參數!$F$2:$F$4,MATCH($A435,球季參數!$A$2:$A$4,0)),1,0)</f>
        <v>0</v>
      </c>
    </row>
    <row r="436" customFormat="false" ht="15" hidden="false" customHeight="false" outlineLevel="0" collapsed="false">
      <c r="A436" s="5" t="n">
        <v>2025</v>
      </c>
      <c r="B436" s="7" t="s">
        <v>1025</v>
      </c>
      <c r="C436" s="10" t="str">
        <f aca="false">INDEX(球員主檔!$B$2:$B$749,MATCH($B436,球員主檔!$A$2:$A$749,0))</f>
        <v>Osvaldo Larrabee</v>
      </c>
      <c r="D436" s="7" t="s">
        <v>396</v>
      </c>
      <c r="E436" s="10" t="str">
        <f aca="false">INDEX(球隊主檔!$C$2:$C$31,MATCH($D436,球隊主檔!$A$2:$A$31,0))</f>
        <v>西雅圖水手</v>
      </c>
      <c r="F436" s="10" t="str">
        <f aca="false">INDEX(球隊主檔!$D$2:$D$31,MATCH($D436,球隊主檔!$A$2:$A$31,0))</f>
        <v>美聯</v>
      </c>
      <c r="G436" s="7" t="s">
        <v>496</v>
      </c>
      <c r="H436" s="11" t="n">
        <f aca="false">INT((DATE($A436,7,1)-INDEX(球員主檔!$G$2:$G$749,MATCH($B436,球員主檔!$A$2:$A$749,0)))/365.25)</f>
        <v>30</v>
      </c>
      <c r="I436" s="12" t="n">
        <v>13</v>
      </c>
      <c r="J436" s="12" t="n">
        <v>10</v>
      </c>
      <c r="K436" s="12" t="n">
        <v>0</v>
      </c>
      <c r="L436" s="12" t="n">
        <v>0</v>
      </c>
      <c r="M436" s="12" t="n">
        <v>32</v>
      </c>
      <c r="N436" s="12" t="n">
        <v>32</v>
      </c>
      <c r="O436" s="12" t="n">
        <v>545</v>
      </c>
      <c r="P436" s="16" t="n">
        <f aca="false">O436/3</f>
        <v>181.666666666667</v>
      </c>
      <c r="Q436" s="17" t="str">
        <f aca="false">INT(O436/3)&amp;"."&amp;MOD(O436,3)</f>
        <v>181.2</v>
      </c>
      <c r="R436" s="12" t="n">
        <v>164</v>
      </c>
      <c r="S436" s="12" t="n">
        <v>93</v>
      </c>
      <c r="T436" s="12" t="n">
        <v>92</v>
      </c>
      <c r="U436" s="12" t="n">
        <v>15</v>
      </c>
      <c r="V436" s="12" t="n">
        <v>53</v>
      </c>
      <c r="W436" s="12" t="n">
        <v>203</v>
      </c>
      <c r="X436" s="12" t="n">
        <v>3</v>
      </c>
      <c r="Y436" s="18" t="n">
        <f aca="false">IF(O436=0,0,T436*27/O436)</f>
        <v>4.55779816513762</v>
      </c>
      <c r="Z436" s="18" t="n">
        <f aca="false">IF(P436=0,0,(V436+R436)/P436)</f>
        <v>1.19449541284404</v>
      </c>
      <c r="AA436" s="18" t="n">
        <f aca="false">IF(O436=0,0,W436*27/O436)</f>
        <v>10.056880733945</v>
      </c>
      <c r="AB436" s="18" t="n">
        <f aca="false">IF(O436=0,0,V436*27/O436)</f>
        <v>2.6256880733945</v>
      </c>
      <c r="AC436" s="18" t="n">
        <f aca="false">IF(V436=0,0,W436/V436)</f>
        <v>3.83018867924528</v>
      </c>
      <c r="AD436" s="18" t="n">
        <f aca="false">IF(P436=0,0,(13*U436+3*(V436+X436)-2*W436)/P436+INDEX(球季參數!$C$2:$C$4,MATCH($A436,球季參數!$A$2:$A$4,0)))</f>
        <v>2.86330275229358</v>
      </c>
      <c r="AE436" s="11" t="n">
        <f aca="false">IF(P436&gt;=INDEX(球季參數!$F$2:$F$4,MATCH($A436,球季參數!$A$2:$A$4,0)),1,0)</f>
        <v>1</v>
      </c>
    </row>
    <row r="437" customFormat="false" ht="15" hidden="false" customHeight="false" outlineLevel="0" collapsed="false">
      <c r="A437" s="5" t="n">
        <v>2025</v>
      </c>
      <c r="B437" s="7" t="s">
        <v>1735</v>
      </c>
      <c r="C437" s="10" t="str">
        <f aca="false">INDEX(球員主檔!$B$2:$B$749,MATCH($B437,球員主檔!$A$2:$A$749,0))</f>
        <v>Cedric Kestrel</v>
      </c>
      <c r="D437" s="7" t="s">
        <v>396</v>
      </c>
      <c r="E437" s="10" t="str">
        <f aca="false">INDEX(球隊主檔!$C$2:$C$31,MATCH($D437,球隊主檔!$A$2:$A$31,0))</f>
        <v>西雅圖水手</v>
      </c>
      <c r="F437" s="10" t="str">
        <f aca="false">INDEX(球隊主檔!$D$2:$D$31,MATCH($D437,球隊主檔!$A$2:$A$31,0))</f>
        <v>美聯</v>
      </c>
      <c r="G437" s="7" t="s">
        <v>507</v>
      </c>
      <c r="H437" s="11" t="n">
        <f aca="false">INT((DATE($A437,7,1)-INDEX(球員主檔!$G$2:$G$749,MATCH($B437,球員主檔!$A$2:$A$749,0)))/365.25)</f>
        <v>21</v>
      </c>
      <c r="I437" s="12" t="n">
        <v>7</v>
      </c>
      <c r="J437" s="12" t="n">
        <v>7</v>
      </c>
      <c r="K437" s="12" t="n">
        <v>1</v>
      </c>
      <c r="L437" s="12" t="n">
        <v>28</v>
      </c>
      <c r="M437" s="12" t="n">
        <v>56</v>
      </c>
      <c r="N437" s="12" t="n">
        <v>0</v>
      </c>
      <c r="O437" s="12" t="n">
        <v>171</v>
      </c>
      <c r="P437" s="16" t="n">
        <f aca="false">O437/3</f>
        <v>57</v>
      </c>
      <c r="Q437" s="17" t="str">
        <f aca="false">INT(O437/3)&amp;"."&amp;MOD(O437,3)</f>
        <v>57.0</v>
      </c>
      <c r="R437" s="12" t="n">
        <v>49</v>
      </c>
      <c r="S437" s="12" t="n">
        <v>29</v>
      </c>
      <c r="T437" s="12" t="n">
        <v>28</v>
      </c>
      <c r="U437" s="12" t="n">
        <v>6</v>
      </c>
      <c r="V437" s="12" t="n">
        <v>11</v>
      </c>
      <c r="W437" s="12" t="n">
        <v>48</v>
      </c>
      <c r="X437" s="12" t="n">
        <v>3</v>
      </c>
      <c r="Y437" s="18" t="n">
        <f aca="false">IF(O437=0,0,T437*27/O437)</f>
        <v>4.42105263157895</v>
      </c>
      <c r="Z437" s="18" t="n">
        <f aca="false">IF(P437=0,0,(V437+R437)/P437)</f>
        <v>1.05263157894737</v>
      </c>
      <c r="AA437" s="18" t="n">
        <f aca="false">IF(O437=0,0,W437*27/O437)</f>
        <v>7.57894736842105</v>
      </c>
      <c r="AB437" s="18" t="n">
        <f aca="false">IF(O437=0,0,V437*27/O437)</f>
        <v>1.73684210526316</v>
      </c>
      <c r="AC437" s="18" t="n">
        <f aca="false">IF(V437=0,0,W437/V437)</f>
        <v>4.36363636363636</v>
      </c>
      <c r="AD437" s="18" t="n">
        <f aca="false">IF(P437=0,0,(13*U437+3*(V437+X437)-2*W437)/P437+INDEX(球季參數!$C$2:$C$4,MATCH($A437,球季參數!$A$2:$A$4,0)))</f>
        <v>3.52105263157895</v>
      </c>
      <c r="AE437" s="11" t="n">
        <f aca="false">IF(P437&gt;=INDEX(球季參數!$F$2:$F$4,MATCH($A437,球季參數!$A$2:$A$4,0)),1,0)</f>
        <v>0</v>
      </c>
    </row>
    <row r="438" customFormat="false" ht="15" hidden="false" customHeight="false" outlineLevel="0" collapsed="false">
      <c r="A438" s="5" t="n">
        <v>2025</v>
      </c>
      <c r="B438" s="7" t="s">
        <v>903</v>
      </c>
      <c r="C438" s="10" t="str">
        <f aca="false">INDEX(球員主檔!$B$2:$B$749,MATCH($B438,球員主檔!$A$2:$A$749,0))</f>
        <v>Joaquín Thorsby</v>
      </c>
      <c r="D438" s="7" t="s">
        <v>396</v>
      </c>
      <c r="E438" s="10" t="str">
        <f aca="false">INDEX(球隊主檔!$C$2:$C$31,MATCH($D438,球隊主檔!$A$2:$A$31,0))</f>
        <v>西雅圖水手</v>
      </c>
      <c r="F438" s="10" t="str">
        <f aca="false">INDEX(球隊主檔!$D$2:$D$31,MATCH($D438,球隊主檔!$A$2:$A$31,0))</f>
        <v>美聯</v>
      </c>
      <c r="G438" s="7" t="s">
        <v>507</v>
      </c>
      <c r="H438" s="11" t="n">
        <f aca="false">INT((DATE($A438,7,1)-INDEX(球員主檔!$G$2:$G$749,MATCH($B438,球員主檔!$A$2:$A$749,0)))/365.25)</f>
        <v>26</v>
      </c>
      <c r="I438" s="12" t="n">
        <v>3</v>
      </c>
      <c r="J438" s="12" t="n">
        <v>5</v>
      </c>
      <c r="K438" s="12" t="n">
        <v>0</v>
      </c>
      <c r="L438" s="12" t="n">
        <v>2</v>
      </c>
      <c r="M438" s="12" t="n">
        <v>41</v>
      </c>
      <c r="N438" s="12" t="n">
        <v>0</v>
      </c>
      <c r="O438" s="12" t="n">
        <v>109</v>
      </c>
      <c r="P438" s="16" t="n">
        <f aca="false">O438/3</f>
        <v>36.3333333333333</v>
      </c>
      <c r="Q438" s="17" t="str">
        <f aca="false">INT(O438/3)&amp;"."&amp;MOD(O438,3)</f>
        <v>36.1</v>
      </c>
      <c r="R438" s="12" t="n">
        <v>33</v>
      </c>
      <c r="S438" s="12" t="n">
        <v>18</v>
      </c>
      <c r="T438" s="12" t="n">
        <v>17</v>
      </c>
      <c r="U438" s="12" t="n">
        <v>4</v>
      </c>
      <c r="V438" s="12" t="n">
        <v>11</v>
      </c>
      <c r="W438" s="12" t="n">
        <v>50</v>
      </c>
      <c r="X438" s="12" t="n">
        <v>1</v>
      </c>
      <c r="Y438" s="18" t="n">
        <f aca="false">IF(O438=0,0,T438*27/O438)</f>
        <v>4.21100917431193</v>
      </c>
      <c r="Z438" s="18" t="n">
        <f aca="false">IF(P438=0,0,(V438+R438)/P438)</f>
        <v>1.21100917431193</v>
      </c>
      <c r="AA438" s="18" t="n">
        <f aca="false">IF(O438=0,0,W438*27/O438)</f>
        <v>12.3853211009174</v>
      </c>
      <c r="AB438" s="18" t="n">
        <f aca="false">IF(O438=0,0,V438*27/O438)</f>
        <v>2.72477064220183</v>
      </c>
      <c r="AC438" s="18" t="n">
        <f aca="false">IF(V438=0,0,W438/V438)</f>
        <v>4.54545454545455</v>
      </c>
      <c r="AD438" s="18" t="n">
        <f aca="false">IF(P438=0,0,(13*U438+3*(V438+X438)-2*W438)/P438+INDEX(球季參數!$C$2:$C$4,MATCH($A438,球季參數!$A$2:$A$4,0)))</f>
        <v>2.7697247706422</v>
      </c>
      <c r="AE438" s="11" t="n">
        <f aca="false">IF(P438&gt;=INDEX(球季參數!$F$2:$F$4,MATCH($A438,球季參數!$A$2:$A$4,0)),1,0)</f>
        <v>0</v>
      </c>
    </row>
    <row r="439" customFormat="false" ht="15" hidden="false" customHeight="false" outlineLevel="0" collapsed="false">
      <c r="A439" s="5" t="n">
        <v>2025</v>
      </c>
      <c r="B439" s="7" t="s">
        <v>1031</v>
      </c>
      <c r="C439" s="10" t="str">
        <f aca="false">INDEX(球員主檔!$B$2:$B$749,MATCH($B439,球員主檔!$A$2:$A$749,0))</f>
        <v>Osvaldo Hargreaves</v>
      </c>
      <c r="D439" s="7" t="s">
        <v>396</v>
      </c>
      <c r="E439" s="10" t="str">
        <f aca="false">INDEX(球隊主檔!$C$2:$C$31,MATCH($D439,球隊主檔!$A$2:$A$31,0))</f>
        <v>西雅圖水手</v>
      </c>
      <c r="F439" s="10" t="str">
        <f aca="false">INDEX(球隊主檔!$D$2:$D$31,MATCH($D439,球隊主檔!$A$2:$A$31,0))</f>
        <v>美聯</v>
      </c>
      <c r="G439" s="7" t="s">
        <v>507</v>
      </c>
      <c r="H439" s="11" t="n">
        <f aca="false">INT((DATE($A439,7,1)-INDEX(球員主檔!$G$2:$G$749,MATCH($B439,球員主檔!$A$2:$A$749,0)))/365.25)</f>
        <v>27</v>
      </c>
      <c r="I439" s="12" t="n">
        <v>4</v>
      </c>
      <c r="J439" s="12" t="n">
        <v>0</v>
      </c>
      <c r="K439" s="12" t="n">
        <v>1</v>
      </c>
      <c r="L439" s="12" t="n">
        <v>3</v>
      </c>
      <c r="M439" s="12" t="n">
        <v>46</v>
      </c>
      <c r="N439" s="12" t="n">
        <v>0</v>
      </c>
      <c r="O439" s="12" t="n">
        <v>137</v>
      </c>
      <c r="P439" s="16" t="n">
        <f aca="false">O439/3</f>
        <v>45.6666666666667</v>
      </c>
      <c r="Q439" s="17" t="str">
        <f aca="false">INT(O439/3)&amp;"."&amp;MOD(O439,3)</f>
        <v>45.2</v>
      </c>
      <c r="R439" s="12" t="n">
        <v>35</v>
      </c>
      <c r="S439" s="12" t="n">
        <v>21</v>
      </c>
      <c r="T439" s="12" t="n">
        <v>19</v>
      </c>
      <c r="U439" s="12" t="n">
        <v>9</v>
      </c>
      <c r="V439" s="12" t="n">
        <v>20</v>
      </c>
      <c r="W439" s="12" t="n">
        <v>51</v>
      </c>
      <c r="X439" s="12" t="n">
        <v>1</v>
      </c>
      <c r="Y439" s="18" t="n">
        <f aca="false">IF(O439=0,0,T439*27/O439)</f>
        <v>3.74452554744526</v>
      </c>
      <c r="Z439" s="18" t="n">
        <f aca="false">IF(P439=0,0,(V439+R439)/P439)</f>
        <v>1.2043795620438</v>
      </c>
      <c r="AA439" s="18" t="n">
        <f aca="false">IF(O439=0,0,W439*27/O439)</f>
        <v>10.051094890511</v>
      </c>
      <c r="AB439" s="18" t="n">
        <f aca="false">IF(O439=0,0,V439*27/O439)</f>
        <v>3.94160583941606</v>
      </c>
      <c r="AC439" s="18" t="n">
        <f aca="false">IF(V439=0,0,W439/V439)</f>
        <v>2.55</v>
      </c>
      <c r="AD439" s="18" t="n">
        <f aca="false">IF(P439=0,0,(13*U439+3*(V439+X439)-2*W439)/P439+INDEX(球季參數!$C$2:$C$4,MATCH($A439,球季參數!$A$2:$A$4,0)))</f>
        <v>4.80802919708029</v>
      </c>
      <c r="AE439" s="11" t="n">
        <f aca="false">IF(P439&gt;=INDEX(球季參數!$F$2:$F$4,MATCH($A439,球季參數!$A$2:$A$4,0)),1,0)</f>
        <v>0</v>
      </c>
    </row>
    <row r="440" customFormat="false" ht="15" hidden="false" customHeight="false" outlineLevel="0" collapsed="false">
      <c r="A440" s="5" t="n">
        <v>2025</v>
      </c>
      <c r="B440" s="7" t="s">
        <v>1737</v>
      </c>
      <c r="C440" s="10" t="str">
        <f aca="false">INDEX(球員主檔!$B$2:$B$749,MATCH($B440,球員主檔!$A$2:$A$749,0))</f>
        <v>Isaias Wainwright</v>
      </c>
      <c r="D440" s="7" t="s">
        <v>396</v>
      </c>
      <c r="E440" s="10" t="str">
        <f aca="false">INDEX(球隊主檔!$C$2:$C$31,MATCH($D440,球隊主檔!$A$2:$A$31,0))</f>
        <v>西雅圖水手</v>
      </c>
      <c r="F440" s="10" t="str">
        <f aca="false">INDEX(球隊主檔!$D$2:$D$31,MATCH($D440,球隊主檔!$A$2:$A$31,0))</f>
        <v>美聯</v>
      </c>
      <c r="G440" s="7" t="s">
        <v>507</v>
      </c>
      <c r="H440" s="11" t="n">
        <f aca="false">INT((DATE($A440,7,1)-INDEX(球員主檔!$G$2:$G$749,MATCH($B440,球員主檔!$A$2:$A$749,0)))/365.25)</f>
        <v>23</v>
      </c>
      <c r="I440" s="12" t="n">
        <v>0</v>
      </c>
      <c r="J440" s="12" t="n">
        <v>0</v>
      </c>
      <c r="K440" s="12" t="n">
        <v>5</v>
      </c>
      <c r="L440" s="12" t="n">
        <v>17</v>
      </c>
      <c r="M440" s="12" t="n">
        <v>70</v>
      </c>
      <c r="N440" s="12" t="n">
        <v>0</v>
      </c>
      <c r="O440" s="12" t="n">
        <v>216</v>
      </c>
      <c r="P440" s="16" t="n">
        <f aca="false">O440/3</f>
        <v>72</v>
      </c>
      <c r="Q440" s="17" t="str">
        <f aca="false">INT(O440/3)&amp;"."&amp;MOD(O440,3)</f>
        <v>72.0</v>
      </c>
      <c r="R440" s="12" t="n">
        <v>57</v>
      </c>
      <c r="S440" s="12" t="n">
        <v>34</v>
      </c>
      <c r="T440" s="12" t="n">
        <v>33</v>
      </c>
      <c r="U440" s="12" t="n">
        <v>6</v>
      </c>
      <c r="V440" s="12" t="n">
        <v>23</v>
      </c>
      <c r="W440" s="12" t="n">
        <v>81</v>
      </c>
      <c r="X440" s="12" t="n">
        <v>4</v>
      </c>
      <c r="Y440" s="18" t="n">
        <f aca="false">IF(O440=0,0,T440*27/O440)</f>
        <v>4.125</v>
      </c>
      <c r="Z440" s="18" t="n">
        <f aca="false">IF(P440=0,0,(V440+R440)/P440)</f>
        <v>1.11111111111111</v>
      </c>
      <c r="AA440" s="18" t="n">
        <f aca="false">IF(O440=0,0,W440*27/O440)</f>
        <v>10.125</v>
      </c>
      <c r="AB440" s="18" t="n">
        <f aca="false">IF(O440=0,0,V440*27/O440)</f>
        <v>2.875</v>
      </c>
      <c r="AC440" s="18" t="n">
        <f aca="false">IF(V440=0,0,W440/V440)</f>
        <v>3.52173913043478</v>
      </c>
      <c r="AD440" s="18" t="n">
        <f aca="false">IF(P440=0,0,(13*U440+3*(V440+X440)-2*W440)/P440+INDEX(球季參數!$C$2:$C$4,MATCH($A440,球季參數!$A$2:$A$4,0)))</f>
        <v>3.05833333333333</v>
      </c>
      <c r="AE440" s="11" t="n">
        <f aca="false">IF(P440&gt;=INDEX(球季參數!$F$2:$F$4,MATCH($A440,球季參數!$A$2:$A$4,0)),1,0)</f>
        <v>0</v>
      </c>
    </row>
    <row r="441" customFormat="false" ht="15" hidden="false" customHeight="false" outlineLevel="0" collapsed="false">
      <c r="A441" s="5" t="n">
        <v>2025</v>
      </c>
      <c r="B441" s="7" t="s">
        <v>1661</v>
      </c>
      <c r="C441" s="10" t="str">
        <f aca="false">INDEX(球員主檔!$B$2:$B$749,MATCH($B441,球員主檔!$A$2:$A$749,0))</f>
        <v>Yusuke Ingersoll</v>
      </c>
      <c r="D441" s="7" t="s">
        <v>396</v>
      </c>
      <c r="E441" s="10" t="str">
        <f aca="false">INDEX(球隊主檔!$C$2:$C$31,MATCH($D441,球隊主檔!$A$2:$A$31,0))</f>
        <v>西雅圖水手</v>
      </c>
      <c r="F441" s="10" t="str">
        <f aca="false">INDEX(球隊主檔!$D$2:$D$31,MATCH($D441,球隊主檔!$A$2:$A$31,0))</f>
        <v>美聯</v>
      </c>
      <c r="G441" s="7" t="s">
        <v>507</v>
      </c>
      <c r="H441" s="11" t="n">
        <f aca="false">INT((DATE($A441,7,1)-INDEX(球員主檔!$G$2:$G$749,MATCH($B441,球員主檔!$A$2:$A$749,0)))/365.25)</f>
        <v>36</v>
      </c>
      <c r="I441" s="12" t="n">
        <v>8</v>
      </c>
      <c r="J441" s="12" t="n">
        <v>5</v>
      </c>
      <c r="K441" s="12" t="n">
        <v>5</v>
      </c>
      <c r="L441" s="12" t="n">
        <v>6</v>
      </c>
      <c r="M441" s="12" t="n">
        <v>49</v>
      </c>
      <c r="N441" s="12" t="n">
        <v>0</v>
      </c>
      <c r="O441" s="12" t="n">
        <v>136</v>
      </c>
      <c r="P441" s="16" t="n">
        <f aca="false">O441/3</f>
        <v>45.3333333333333</v>
      </c>
      <c r="Q441" s="17" t="str">
        <f aca="false">INT(O441/3)&amp;"."&amp;MOD(O441,3)</f>
        <v>45.1</v>
      </c>
      <c r="R441" s="12" t="n">
        <v>41</v>
      </c>
      <c r="S441" s="12" t="n">
        <v>29</v>
      </c>
      <c r="T441" s="12" t="n">
        <v>28</v>
      </c>
      <c r="U441" s="12" t="n">
        <v>8</v>
      </c>
      <c r="V441" s="12" t="n">
        <v>18</v>
      </c>
      <c r="W441" s="12" t="n">
        <v>42</v>
      </c>
      <c r="X441" s="12" t="n">
        <v>1</v>
      </c>
      <c r="Y441" s="18" t="n">
        <f aca="false">IF(O441=0,0,T441*27/O441)</f>
        <v>5.55882352941176</v>
      </c>
      <c r="Z441" s="18" t="n">
        <f aca="false">IF(P441=0,0,(V441+R441)/P441)</f>
        <v>1.30147058823529</v>
      </c>
      <c r="AA441" s="18" t="n">
        <f aca="false">IF(O441=0,0,W441*27/O441)</f>
        <v>8.33823529411765</v>
      </c>
      <c r="AB441" s="18" t="n">
        <f aca="false">IF(O441=0,0,V441*27/O441)</f>
        <v>3.57352941176471</v>
      </c>
      <c r="AC441" s="18" t="n">
        <f aca="false">IF(V441=0,0,W441/V441)</f>
        <v>2.33333333333333</v>
      </c>
      <c r="AD441" s="18" t="n">
        <f aca="false">IF(P441=0,0,(13*U441+3*(V441+X441)-2*W441)/P441+INDEX(球季參數!$C$2:$C$4,MATCH($A441,球季參數!$A$2:$A$4,0)))</f>
        <v>4.79852941176471</v>
      </c>
      <c r="AE441" s="11" t="n">
        <f aca="false">IF(P441&gt;=INDEX(球季參數!$F$2:$F$4,MATCH($A441,球季參數!$A$2:$A$4,0)),1,0)</f>
        <v>0</v>
      </c>
    </row>
    <row r="442" customFormat="false" ht="15" hidden="false" customHeight="false" outlineLevel="0" collapsed="false">
      <c r="A442" s="5" t="n">
        <v>2025</v>
      </c>
      <c r="B442" s="7" t="s">
        <v>1057</v>
      </c>
      <c r="C442" s="10" t="str">
        <f aca="false">INDEX(球員主檔!$B$2:$B$749,MATCH($B442,球員主檔!$A$2:$A$749,0))</f>
        <v>Ulises Ulloa</v>
      </c>
      <c r="D442" s="7" t="s">
        <v>400</v>
      </c>
      <c r="E442" s="10" t="str">
        <f aca="false">INDEX(球隊主檔!$C$2:$C$31,MATCH($D442,球隊主檔!$A$2:$A$31,0))</f>
        <v>德州遊騎兵</v>
      </c>
      <c r="F442" s="10" t="str">
        <f aca="false">INDEX(球隊主檔!$D$2:$D$31,MATCH($D442,球隊主檔!$A$2:$A$31,0))</f>
        <v>美聯</v>
      </c>
      <c r="G442" s="7" t="s">
        <v>496</v>
      </c>
      <c r="H442" s="11" t="n">
        <f aca="false">INT((DATE($A442,7,1)-INDEX(球員主檔!$G$2:$G$749,MATCH($B442,球員主檔!$A$2:$A$749,0)))/365.25)</f>
        <v>29</v>
      </c>
      <c r="I442" s="12" t="n">
        <v>9</v>
      </c>
      <c r="J442" s="12" t="n">
        <v>5</v>
      </c>
      <c r="K442" s="12" t="n">
        <v>0</v>
      </c>
      <c r="L442" s="12" t="n">
        <v>0</v>
      </c>
      <c r="M442" s="12" t="n">
        <v>23</v>
      </c>
      <c r="N442" s="12" t="n">
        <v>23</v>
      </c>
      <c r="O442" s="12" t="n">
        <v>346</v>
      </c>
      <c r="P442" s="16" t="n">
        <f aca="false">O442/3</f>
        <v>115.333333333333</v>
      </c>
      <c r="Q442" s="17" t="str">
        <f aca="false">INT(O442/3)&amp;"."&amp;MOD(O442,3)</f>
        <v>115.1</v>
      </c>
      <c r="R442" s="12" t="n">
        <v>96</v>
      </c>
      <c r="S442" s="12" t="n">
        <v>45</v>
      </c>
      <c r="T442" s="12" t="n">
        <v>45</v>
      </c>
      <c r="U442" s="12" t="n">
        <v>16</v>
      </c>
      <c r="V442" s="12" t="n">
        <v>40</v>
      </c>
      <c r="W442" s="12" t="n">
        <v>103</v>
      </c>
      <c r="X442" s="12" t="n">
        <v>3</v>
      </c>
      <c r="Y442" s="18" t="n">
        <f aca="false">IF(O442=0,0,T442*27/O442)</f>
        <v>3.51156069364162</v>
      </c>
      <c r="Z442" s="18" t="n">
        <f aca="false">IF(P442=0,0,(V442+R442)/P442)</f>
        <v>1.17919075144509</v>
      </c>
      <c r="AA442" s="18" t="n">
        <f aca="false">IF(O442=0,0,W442*27/O442)</f>
        <v>8.03757225433526</v>
      </c>
      <c r="AB442" s="18" t="n">
        <f aca="false">IF(O442=0,0,V442*27/O442)</f>
        <v>3.12138728323699</v>
      </c>
      <c r="AC442" s="18" t="n">
        <f aca="false">IF(V442=0,0,W442/V442)</f>
        <v>2.575</v>
      </c>
      <c r="AD442" s="18" t="n">
        <f aca="false">IF(P442=0,0,(13*U442+3*(V442+X442)-2*W442)/P442+INDEX(球季參數!$C$2:$C$4,MATCH($A442,球季參數!$A$2:$A$4,0)))</f>
        <v>4.23583815028902</v>
      </c>
      <c r="AE442" s="11" t="n">
        <f aca="false">IF(P442&gt;=INDEX(球季參數!$F$2:$F$4,MATCH($A442,球季參數!$A$2:$A$4,0)),1,0)</f>
        <v>0</v>
      </c>
    </row>
    <row r="443" customFormat="false" ht="15" hidden="false" customHeight="false" outlineLevel="0" collapsed="false">
      <c r="A443" s="5" t="n">
        <v>2025</v>
      </c>
      <c r="B443" s="7" t="s">
        <v>1059</v>
      </c>
      <c r="C443" s="10" t="str">
        <f aca="false">INDEX(球員主檔!$B$2:$B$749,MATCH($B443,球員主檔!$A$2:$A$749,0))</f>
        <v>Landon Mbeki</v>
      </c>
      <c r="D443" s="7" t="s">
        <v>400</v>
      </c>
      <c r="E443" s="10" t="str">
        <f aca="false">INDEX(球隊主檔!$C$2:$C$31,MATCH($D443,球隊主檔!$A$2:$A$31,0))</f>
        <v>德州遊騎兵</v>
      </c>
      <c r="F443" s="10" t="str">
        <f aca="false">INDEX(球隊主檔!$D$2:$D$31,MATCH($D443,球隊主檔!$A$2:$A$31,0))</f>
        <v>美聯</v>
      </c>
      <c r="G443" s="7" t="s">
        <v>496</v>
      </c>
      <c r="H443" s="11" t="n">
        <f aca="false">INT((DATE($A443,7,1)-INDEX(球員主檔!$G$2:$G$749,MATCH($B443,球員主檔!$A$2:$A$749,0)))/365.25)</f>
        <v>24</v>
      </c>
      <c r="I443" s="12" t="n">
        <v>14</v>
      </c>
      <c r="J443" s="12" t="n">
        <v>10</v>
      </c>
      <c r="K443" s="12" t="n">
        <v>0</v>
      </c>
      <c r="L443" s="12" t="n">
        <v>0</v>
      </c>
      <c r="M443" s="12" t="n">
        <v>33</v>
      </c>
      <c r="N443" s="12" t="n">
        <v>33</v>
      </c>
      <c r="O443" s="12" t="n">
        <v>537</v>
      </c>
      <c r="P443" s="16" t="n">
        <f aca="false">O443/3</f>
        <v>179</v>
      </c>
      <c r="Q443" s="17" t="str">
        <f aca="false">INT(O443/3)&amp;"."&amp;MOD(O443,3)</f>
        <v>179.0</v>
      </c>
      <c r="R443" s="12" t="n">
        <v>145</v>
      </c>
      <c r="S443" s="12" t="n">
        <v>102</v>
      </c>
      <c r="T443" s="12" t="n">
        <v>91</v>
      </c>
      <c r="U443" s="12" t="n">
        <v>24</v>
      </c>
      <c r="V443" s="12" t="n">
        <v>55</v>
      </c>
      <c r="W443" s="12" t="n">
        <v>145</v>
      </c>
      <c r="X443" s="12" t="n">
        <v>11</v>
      </c>
      <c r="Y443" s="18" t="n">
        <f aca="false">IF(O443=0,0,T443*27/O443)</f>
        <v>4.57541899441341</v>
      </c>
      <c r="Z443" s="18" t="n">
        <f aca="false">IF(P443=0,0,(V443+R443)/P443)</f>
        <v>1.11731843575419</v>
      </c>
      <c r="AA443" s="18" t="n">
        <f aca="false">IF(O443=0,0,W443*27/O443)</f>
        <v>7.29050279329609</v>
      </c>
      <c r="AB443" s="18" t="n">
        <f aca="false">IF(O443=0,0,V443*27/O443)</f>
        <v>2.76536312849162</v>
      </c>
      <c r="AC443" s="18" t="n">
        <f aca="false">IF(V443=0,0,W443/V443)</f>
        <v>2.63636363636364</v>
      </c>
      <c r="AD443" s="18" t="n">
        <f aca="false">IF(P443=0,0,(13*U443+3*(V443+X443)-2*W443)/P443+INDEX(球季參數!$C$2:$C$4,MATCH($A443,球季參數!$A$2:$A$4,0)))</f>
        <v>4.32905027932961</v>
      </c>
      <c r="AE443" s="11" t="n">
        <f aca="false">IF(P443&gt;=INDEX(球季參數!$F$2:$F$4,MATCH($A443,球季參數!$A$2:$A$4,0)),1,0)</f>
        <v>1</v>
      </c>
    </row>
    <row r="444" customFormat="false" ht="15" hidden="false" customHeight="false" outlineLevel="0" collapsed="false">
      <c r="A444" s="5" t="n">
        <v>2025</v>
      </c>
      <c r="B444" s="7" t="s">
        <v>1061</v>
      </c>
      <c r="C444" s="10" t="str">
        <f aca="false">INDEX(球員主檔!$B$2:$B$749,MATCH($B444,球員主檔!$A$2:$A$749,0))</f>
        <v>Tobias Eberhardt</v>
      </c>
      <c r="D444" s="7" t="s">
        <v>400</v>
      </c>
      <c r="E444" s="10" t="str">
        <f aca="false">INDEX(球隊主檔!$C$2:$C$31,MATCH($D444,球隊主檔!$A$2:$A$31,0))</f>
        <v>德州遊騎兵</v>
      </c>
      <c r="F444" s="10" t="str">
        <f aca="false">INDEX(球隊主檔!$D$2:$D$31,MATCH($D444,球隊主檔!$A$2:$A$31,0))</f>
        <v>美聯</v>
      </c>
      <c r="G444" s="7" t="s">
        <v>496</v>
      </c>
      <c r="H444" s="11" t="n">
        <f aca="false">INT((DATE($A444,7,1)-INDEX(球員主檔!$G$2:$G$749,MATCH($B444,球員主檔!$A$2:$A$749,0)))/365.25)</f>
        <v>24</v>
      </c>
      <c r="I444" s="12" t="n">
        <v>12</v>
      </c>
      <c r="J444" s="12" t="n">
        <v>5</v>
      </c>
      <c r="K444" s="12" t="n">
        <v>0</v>
      </c>
      <c r="L444" s="12" t="n">
        <v>0</v>
      </c>
      <c r="M444" s="12" t="n">
        <v>23</v>
      </c>
      <c r="N444" s="12" t="n">
        <v>23</v>
      </c>
      <c r="O444" s="12" t="n">
        <v>434</v>
      </c>
      <c r="P444" s="16" t="n">
        <f aca="false">O444/3</f>
        <v>144.666666666667</v>
      </c>
      <c r="Q444" s="17" t="str">
        <f aca="false">INT(O444/3)&amp;"."&amp;MOD(O444,3)</f>
        <v>144.2</v>
      </c>
      <c r="R444" s="12" t="n">
        <v>109</v>
      </c>
      <c r="S444" s="12" t="n">
        <v>62</v>
      </c>
      <c r="T444" s="12" t="n">
        <v>61</v>
      </c>
      <c r="U444" s="12" t="n">
        <v>15</v>
      </c>
      <c r="V444" s="12" t="n">
        <v>37</v>
      </c>
      <c r="W444" s="12" t="n">
        <v>130</v>
      </c>
      <c r="X444" s="12" t="n">
        <v>7</v>
      </c>
      <c r="Y444" s="18" t="n">
        <f aca="false">IF(O444=0,0,T444*27/O444)</f>
        <v>3.79493087557604</v>
      </c>
      <c r="Z444" s="18" t="n">
        <f aca="false">IF(P444=0,0,(V444+R444)/P444)</f>
        <v>1.00921658986175</v>
      </c>
      <c r="AA444" s="18" t="n">
        <f aca="false">IF(O444=0,0,W444*27/O444)</f>
        <v>8.08755760368664</v>
      </c>
      <c r="AB444" s="18" t="n">
        <f aca="false">IF(O444=0,0,V444*27/O444)</f>
        <v>2.30184331797235</v>
      </c>
      <c r="AC444" s="18" t="n">
        <f aca="false">IF(V444=0,0,W444/V444)</f>
        <v>3.51351351351351</v>
      </c>
      <c r="AD444" s="18" t="n">
        <f aca="false">IF(P444=0,0,(13*U444+3*(V444+X444)-2*W444)/P444+INDEX(球季參數!$C$2:$C$4,MATCH($A444,球季參數!$A$2:$A$4,0)))</f>
        <v>3.563133640553</v>
      </c>
      <c r="AE444" s="11" t="n">
        <f aca="false">IF(P444&gt;=INDEX(球季參數!$F$2:$F$4,MATCH($A444,球季參數!$A$2:$A$4,0)),1,0)</f>
        <v>0</v>
      </c>
    </row>
    <row r="445" customFormat="false" ht="15" hidden="false" customHeight="false" outlineLevel="0" collapsed="false">
      <c r="A445" s="5" t="n">
        <v>2025</v>
      </c>
      <c r="B445" s="7" t="s">
        <v>1027</v>
      </c>
      <c r="C445" s="10" t="str">
        <f aca="false">INDEX(球員主檔!$B$2:$B$749,MATCH($B445,球員主檔!$A$2:$A$749,0))</f>
        <v>Desmond Ferreira</v>
      </c>
      <c r="D445" s="7" t="s">
        <v>400</v>
      </c>
      <c r="E445" s="10" t="str">
        <f aca="false">INDEX(球隊主檔!$C$2:$C$31,MATCH($D445,球隊主檔!$A$2:$A$31,0))</f>
        <v>德州遊騎兵</v>
      </c>
      <c r="F445" s="10" t="str">
        <f aca="false">INDEX(球隊主檔!$D$2:$D$31,MATCH($D445,球隊主檔!$A$2:$A$31,0))</f>
        <v>美聯</v>
      </c>
      <c r="G445" s="7" t="s">
        <v>496</v>
      </c>
      <c r="H445" s="11" t="n">
        <f aca="false">INT((DATE($A445,7,1)-INDEX(球員主檔!$G$2:$G$749,MATCH($B445,球員主檔!$A$2:$A$749,0)))/365.25)</f>
        <v>28</v>
      </c>
      <c r="I445" s="12" t="n">
        <v>8</v>
      </c>
      <c r="J445" s="12" t="n">
        <v>7</v>
      </c>
      <c r="K445" s="12" t="n">
        <v>0</v>
      </c>
      <c r="L445" s="12" t="n">
        <v>0</v>
      </c>
      <c r="M445" s="12" t="n">
        <v>22</v>
      </c>
      <c r="N445" s="12" t="n">
        <v>22</v>
      </c>
      <c r="O445" s="12" t="n">
        <v>338</v>
      </c>
      <c r="P445" s="16" t="n">
        <f aca="false">O445/3</f>
        <v>112.666666666667</v>
      </c>
      <c r="Q445" s="17" t="str">
        <f aca="false">INT(O445/3)&amp;"."&amp;MOD(O445,3)</f>
        <v>112.2</v>
      </c>
      <c r="R445" s="12" t="n">
        <v>95</v>
      </c>
      <c r="S445" s="12" t="n">
        <v>64</v>
      </c>
      <c r="T445" s="12" t="n">
        <v>60</v>
      </c>
      <c r="U445" s="12" t="n">
        <v>9</v>
      </c>
      <c r="V445" s="12" t="n">
        <v>43</v>
      </c>
      <c r="W445" s="12" t="n">
        <v>142</v>
      </c>
      <c r="X445" s="12" t="n">
        <v>2</v>
      </c>
      <c r="Y445" s="18" t="n">
        <f aca="false">IF(O445=0,0,T445*27/O445)</f>
        <v>4.79289940828402</v>
      </c>
      <c r="Z445" s="18" t="n">
        <f aca="false">IF(P445=0,0,(V445+R445)/P445)</f>
        <v>1.22485207100592</v>
      </c>
      <c r="AA445" s="18" t="n">
        <f aca="false">IF(O445=0,0,W445*27/O445)</f>
        <v>11.3431952662722</v>
      </c>
      <c r="AB445" s="18" t="n">
        <f aca="false">IF(O445=0,0,V445*27/O445)</f>
        <v>3.43491124260355</v>
      </c>
      <c r="AC445" s="18" t="n">
        <f aca="false">IF(V445=0,0,W445/V445)</f>
        <v>3.30232558139535</v>
      </c>
      <c r="AD445" s="18" t="n">
        <f aca="false">IF(P445=0,0,(13*U445+3*(V445+X445)-2*W445)/P445+INDEX(球季參數!$C$2:$C$4,MATCH($A445,球季參數!$A$2:$A$4,0)))</f>
        <v>2.81597633136095</v>
      </c>
      <c r="AE445" s="11" t="n">
        <f aca="false">IF(P445&gt;=INDEX(球季參數!$F$2:$F$4,MATCH($A445,球季參數!$A$2:$A$4,0)),1,0)</f>
        <v>0</v>
      </c>
    </row>
    <row r="446" customFormat="false" ht="15" hidden="false" customHeight="false" outlineLevel="0" collapsed="false">
      <c r="A446" s="5" t="n">
        <v>2025</v>
      </c>
      <c r="B446" s="7" t="s">
        <v>1065</v>
      </c>
      <c r="C446" s="10" t="str">
        <f aca="false">INDEX(球員主檔!$B$2:$B$749,MATCH($B446,球員主檔!$A$2:$A$749,0))</f>
        <v>Dorian Halloway</v>
      </c>
      <c r="D446" s="7" t="s">
        <v>400</v>
      </c>
      <c r="E446" s="10" t="str">
        <f aca="false">INDEX(球隊主檔!$C$2:$C$31,MATCH($D446,球隊主檔!$A$2:$A$31,0))</f>
        <v>德州遊騎兵</v>
      </c>
      <c r="F446" s="10" t="str">
        <f aca="false">INDEX(球隊主檔!$D$2:$D$31,MATCH($D446,球隊主檔!$A$2:$A$31,0))</f>
        <v>美聯</v>
      </c>
      <c r="G446" s="7" t="s">
        <v>496</v>
      </c>
      <c r="H446" s="11" t="n">
        <f aca="false">INT((DATE($A446,7,1)-INDEX(球員主檔!$G$2:$G$749,MATCH($B446,球員主檔!$A$2:$A$749,0)))/365.25)</f>
        <v>29</v>
      </c>
      <c r="I446" s="12" t="n">
        <v>12</v>
      </c>
      <c r="J446" s="12" t="n">
        <v>8</v>
      </c>
      <c r="K446" s="12" t="n">
        <v>0</v>
      </c>
      <c r="L446" s="12" t="n">
        <v>0</v>
      </c>
      <c r="M446" s="12" t="n">
        <v>32</v>
      </c>
      <c r="N446" s="12" t="n">
        <v>32</v>
      </c>
      <c r="O446" s="12" t="n">
        <v>507</v>
      </c>
      <c r="P446" s="16" t="n">
        <f aca="false">O446/3</f>
        <v>169</v>
      </c>
      <c r="Q446" s="17" t="str">
        <f aca="false">INT(O446/3)&amp;"."&amp;MOD(O446,3)</f>
        <v>169.0</v>
      </c>
      <c r="R446" s="12" t="n">
        <v>129</v>
      </c>
      <c r="S446" s="12" t="n">
        <v>75</v>
      </c>
      <c r="T446" s="12" t="n">
        <v>71</v>
      </c>
      <c r="U446" s="12" t="n">
        <v>18</v>
      </c>
      <c r="V446" s="12" t="n">
        <v>62</v>
      </c>
      <c r="W446" s="12" t="n">
        <v>160</v>
      </c>
      <c r="X446" s="12" t="n">
        <v>3</v>
      </c>
      <c r="Y446" s="18" t="n">
        <f aca="false">IF(O446=0,0,T446*27/O446)</f>
        <v>3.7810650887574</v>
      </c>
      <c r="Z446" s="18" t="n">
        <f aca="false">IF(P446=0,0,(V446+R446)/P446)</f>
        <v>1.1301775147929</v>
      </c>
      <c r="AA446" s="18" t="n">
        <f aca="false">IF(O446=0,0,W446*27/O446)</f>
        <v>8.5207100591716</v>
      </c>
      <c r="AB446" s="18" t="n">
        <f aca="false">IF(O446=0,0,V446*27/O446)</f>
        <v>3.30177514792899</v>
      </c>
      <c r="AC446" s="18" t="n">
        <f aca="false">IF(V446=0,0,W446/V446)</f>
        <v>2.58064516129032</v>
      </c>
      <c r="AD446" s="18" t="n">
        <f aca="false">IF(P446=0,0,(13*U446+3*(V446+X446)-2*W446)/P446+INDEX(球季參數!$C$2:$C$4,MATCH($A446,球季參數!$A$2:$A$4,0)))</f>
        <v>3.74497041420118</v>
      </c>
      <c r="AE446" s="11" t="n">
        <f aca="false">IF(P446&gt;=INDEX(球季參數!$F$2:$F$4,MATCH($A446,球季參數!$A$2:$A$4,0)),1,0)</f>
        <v>1</v>
      </c>
    </row>
    <row r="447" customFormat="false" ht="15" hidden="false" customHeight="false" outlineLevel="0" collapsed="false">
      <c r="A447" s="5" t="n">
        <v>2025</v>
      </c>
      <c r="B447" s="7" t="s">
        <v>1067</v>
      </c>
      <c r="C447" s="10" t="str">
        <f aca="false">INDEX(球員主檔!$B$2:$B$749,MATCH($B447,球員主檔!$A$2:$A$749,0))</f>
        <v>Osvaldo Vandermeer</v>
      </c>
      <c r="D447" s="7" t="s">
        <v>400</v>
      </c>
      <c r="E447" s="10" t="str">
        <f aca="false">INDEX(球隊主檔!$C$2:$C$31,MATCH($D447,球隊主檔!$A$2:$A$31,0))</f>
        <v>德州遊騎兵</v>
      </c>
      <c r="F447" s="10" t="str">
        <f aca="false">INDEX(球隊主檔!$D$2:$D$31,MATCH($D447,球隊主檔!$A$2:$A$31,0))</f>
        <v>美聯</v>
      </c>
      <c r="G447" s="7" t="s">
        <v>507</v>
      </c>
      <c r="H447" s="11" t="n">
        <f aca="false">INT((DATE($A447,7,1)-INDEX(球員主檔!$G$2:$G$749,MATCH($B447,球員主檔!$A$2:$A$749,0)))/365.25)</f>
        <v>25</v>
      </c>
      <c r="I447" s="12" t="n">
        <v>7</v>
      </c>
      <c r="J447" s="12" t="n">
        <v>8</v>
      </c>
      <c r="K447" s="12" t="n">
        <v>32</v>
      </c>
      <c r="L447" s="12" t="n">
        <v>3</v>
      </c>
      <c r="M447" s="12" t="n">
        <v>75</v>
      </c>
      <c r="N447" s="12" t="n">
        <v>0</v>
      </c>
      <c r="O447" s="12" t="n">
        <v>211</v>
      </c>
      <c r="P447" s="16" t="n">
        <f aca="false">O447/3</f>
        <v>70.3333333333333</v>
      </c>
      <c r="Q447" s="17" t="str">
        <f aca="false">INT(O447/3)&amp;"."&amp;MOD(O447,3)</f>
        <v>70.1</v>
      </c>
      <c r="R447" s="12" t="n">
        <v>51</v>
      </c>
      <c r="S447" s="12" t="n">
        <v>29</v>
      </c>
      <c r="T447" s="12" t="n">
        <v>27</v>
      </c>
      <c r="U447" s="12" t="n">
        <v>10</v>
      </c>
      <c r="V447" s="12" t="n">
        <v>14</v>
      </c>
      <c r="W447" s="12" t="n">
        <v>97</v>
      </c>
      <c r="X447" s="12" t="n">
        <v>2</v>
      </c>
      <c r="Y447" s="18" t="n">
        <f aca="false">IF(O447=0,0,T447*27/O447)</f>
        <v>3.45497630331754</v>
      </c>
      <c r="Z447" s="18" t="n">
        <f aca="false">IF(P447=0,0,(V447+R447)/P447)</f>
        <v>0.924170616113744</v>
      </c>
      <c r="AA447" s="18" t="n">
        <f aca="false">IF(O447=0,0,W447*27/O447)</f>
        <v>12.4123222748815</v>
      </c>
      <c r="AB447" s="18" t="n">
        <f aca="false">IF(O447=0,0,V447*27/O447)</f>
        <v>1.7914691943128</v>
      </c>
      <c r="AC447" s="18" t="n">
        <f aca="false">IF(V447=0,0,W447/V447)</f>
        <v>6.92857142857143</v>
      </c>
      <c r="AD447" s="18" t="n">
        <f aca="false">IF(P447=0,0,(13*U447+3*(V447+X447)-2*W447)/P447+INDEX(球季參數!$C$2:$C$4,MATCH($A447,球季參數!$A$2:$A$4,0)))</f>
        <v>2.87251184834123</v>
      </c>
      <c r="AE447" s="11" t="n">
        <f aca="false">IF(P447&gt;=INDEX(球季參數!$F$2:$F$4,MATCH($A447,球季參數!$A$2:$A$4,0)),1,0)</f>
        <v>0</v>
      </c>
    </row>
    <row r="448" customFormat="false" ht="15" hidden="false" customHeight="false" outlineLevel="0" collapsed="false">
      <c r="A448" s="5" t="n">
        <v>2025</v>
      </c>
      <c r="B448" s="7" t="s">
        <v>1069</v>
      </c>
      <c r="C448" s="10" t="str">
        <f aca="false">INDEX(球員主檔!$B$2:$B$749,MATCH($B448,球員主檔!$A$2:$A$749,0))</f>
        <v>Oakley Yoshinaga</v>
      </c>
      <c r="D448" s="7" t="s">
        <v>400</v>
      </c>
      <c r="E448" s="10" t="str">
        <f aca="false">INDEX(球隊主檔!$C$2:$C$31,MATCH($D448,球隊主檔!$A$2:$A$31,0))</f>
        <v>德州遊騎兵</v>
      </c>
      <c r="F448" s="10" t="str">
        <f aca="false">INDEX(球隊主檔!$D$2:$D$31,MATCH($D448,球隊主檔!$A$2:$A$31,0))</f>
        <v>美聯</v>
      </c>
      <c r="G448" s="7" t="s">
        <v>507</v>
      </c>
      <c r="H448" s="11" t="n">
        <f aca="false">INT((DATE($A448,7,1)-INDEX(球員主檔!$G$2:$G$749,MATCH($B448,球員主檔!$A$2:$A$749,0)))/365.25)</f>
        <v>33</v>
      </c>
      <c r="I448" s="12" t="n">
        <v>6</v>
      </c>
      <c r="J448" s="12" t="n">
        <v>0</v>
      </c>
      <c r="K448" s="12" t="n">
        <v>6</v>
      </c>
      <c r="L448" s="12" t="n">
        <v>22</v>
      </c>
      <c r="M448" s="12" t="n">
        <v>69</v>
      </c>
      <c r="N448" s="12" t="n">
        <v>0</v>
      </c>
      <c r="O448" s="12" t="n">
        <v>206</v>
      </c>
      <c r="P448" s="16" t="n">
        <f aca="false">O448/3</f>
        <v>68.6666666666667</v>
      </c>
      <c r="Q448" s="17" t="str">
        <f aca="false">INT(O448/3)&amp;"."&amp;MOD(O448,3)</f>
        <v>68.2</v>
      </c>
      <c r="R448" s="12" t="n">
        <v>59</v>
      </c>
      <c r="S448" s="12" t="n">
        <v>39</v>
      </c>
      <c r="T448" s="12" t="n">
        <v>37</v>
      </c>
      <c r="U448" s="12" t="n">
        <v>8</v>
      </c>
      <c r="V448" s="12" t="n">
        <v>16</v>
      </c>
      <c r="W448" s="12" t="n">
        <v>77</v>
      </c>
      <c r="X448" s="12" t="n">
        <v>2</v>
      </c>
      <c r="Y448" s="18" t="n">
        <f aca="false">IF(O448=0,0,T448*27/O448)</f>
        <v>4.8495145631068</v>
      </c>
      <c r="Z448" s="18" t="n">
        <f aca="false">IF(P448=0,0,(V448+R448)/P448)</f>
        <v>1.09223300970874</v>
      </c>
      <c r="AA448" s="18" t="n">
        <f aca="false">IF(O448=0,0,W448*27/O448)</f>
        <v>10.0922330097087</v>
      </c>
      <c r="AB448" s="18" t="n">
        <f aca="false">IF(O448=0,0,V448*27/O448)</f>
        <v>2.09708737864078</v>
      </c>
      <c r="AC448" s="18" t="n">
        <f aca="false">IF(V448=0,0,W448/V448)</f>
        <v>4.8125</v>
      </c>
      <c r="AD448" s="18" t="n">
        <f aca="false">IF(P448=0,0,(13*U448+3*(V448+X448)-2*W448)/P448+INDEX(球季參數!$C$2:$C$4,MATCH($A448,球季參數!$A$2:$A$4,0)))</f>
        <v>3.15825242718447</v>
      </c>
      <c r="AE448" s="11" t="n">
        <f aca="false">IF(P448&gt;=INDEX(球季參數!$F$2:$F$4,MATCH($A448,球季參數!$A$2:$A$4,0)),1,0)</f>
        <v>0</v>
      </c>
    </row>
    <row r="449" customFormat="false" ht="15" hidden="false" customHeight="false" outlineLevel="0" collapsed="false">
      <c r="A449" s="5" t="n">
        <v>2025</v>
      </c>
      <c r="B449" s="7" t="s">
        <v>1071</v>
      </c>
      <c r="C449" s="10" t="str">
        <f aca="false">INDEX(球員主檔!$B$2:$B$749,MATCH($B449,球員主檔!$A$2:$A$749,0))</f>
        <v>Alonso Paszkiewicz</v>
      </c>
      <c r="D449" s="7" t="s">
        <v>400</v>
      </c>
      <c r="E449" s="10" t="str">
        <f aca="false">INDEX(球隊主檔!$C$2:$C$31,MATCH($D449,球隊主檔!$A$2:$A$31,0))</f>
        <v>德州遊騎兵</v>
      </c>
      <c r="F449" s="10" t="str">
        <f aca="false">INDEX(球隊主檔!$D$2:$D$31,MATCH($D449,球隊主檔!$A$2:$A$31,0))</f>
        <v>美聯</v>
      </c>
      <c r="G449" s="7" t="s">
        <v>507</v>
      </c>
      <c r="H449" s="11" t="n">
        <f aca="false">INT((DATE($A449,7,1)-INDEX(球員主檔!$G$2:$G$749,MATCH($B449,球員主檔!$A$2:$A$749,0)))/365.25)</f>
        <v>26</v>
      </c>
      <c r="I449" s="12" t="n">
        <v>6</v>
      </c>
      <c r="J449" s="12" t="n">
        <v>3</v>
      </c>
      <c r="K449" s="12" t="n">
        <v>2</v>
      </c>
      <c r="L449" s="12" t="n">
        <v>22</v>
      </c>
      <c r="M449" s="12" t="n">
        <v>40</v>
      </c>
      <c r="N449" s="12" t="n">
        <v>0</v>
      </c>
      <c r="O449" s="12" t="n">
        <v>106</v>
      </c>
      <c r="P449" s="16" t="n">
        <f aca="false">O449/3</f>
        <v>35.3333333333333</v>
      </c>
      <c r="Q449" s="17" t="str">
        <f aca="false">INT(O449/3)&amp;"."&amp;MOD(O449,3)</f>
        <v>35.1</v>
      </c>
      <c r="R449" s="12" t="n">
        <v>28</v>
      </c>
      <c r="S449" s="12" t="n">
        <v>13</v>
      </c>
      <c r="T449" s="12" t="n">
        <v>12</v>
      </c>
      <c r="U449" s="12" t="n">
        <v>3</v>
      </c>
      <c r="V449" s="12" t="n">
        <v>12</v>
      </c>
      <c r="W449" s="12" t="n">
        <v>54</v>
      </c>
      <c r="X449" s="12" t="n">
        <v>1</v>
      </c>
      <c r="Y449" s="18" t="n">
        <f aca="false">IF(O449=0,0,T449*27/O449)</f>
        <v>3.05660377358491</v>
      </c>
      <c r="Z449" s="18" t="n">
        <f aca="false">IF(P449=0,0,(V449+R449)/P449)</f>
        <v>1.13207547169811</v>
      </c>
      <c r="AA449" s="18" t="n">
        <f aca="false">IF(O449=0,0,W449*27/O449)</f>
        <v>13.7547169811321</v>
      </c>
      <c r="AB449" s="18" t="n">
        <f aca="false">IF(O449=0,0,V449*27/O449)</f>
        <v>3.05660377358491</v>
      </c>
      <c r="AC449" s="18" t="n">
        <f aca="false">IF(V449=0,0,W449/V449)</f>
        <v>4.5</v>
      </c>
      <c r="AD449" s="18" t="n">
        <f aca="false">IF(P449=0,0,(13*U449+3*(V449+X449)-2*W449)/P449+INDEX(球季參數!$C$2:$C$4,MATCH($A449,球季參數!$A$2:$A$4,0)))</f>
        <v>2.25094339622642</v>
      </c>
      <c r="AE449" s="11" t="n">
        <f aca="false">IF(P449&gt;=INDEX(球季參數!$F$2:$F$4,MATCH($A449,球季參數!$A$2:$A$4,0)),1,0)</f>
        <v>0</v>
      </c>
    </row>
    <row r="450" customFormat="false" ht="15" hidden="false" customHeight="false" outlineLevel="0" collapsed="false">
      <c r="A450" s="5" t="n">
        <v>2025</v>
      </c>
      <c r="B450" s="7" t="s">
        <v>1073</v>
      </c>
      <c r="C450" s="10" t="str">
        <f aca="false">INDEX(球員主檔!$B$2:$B$749,MATCH($B450,球員主檔!$A$2:$A$749,0))</f>
        <v>Jedidiah Oyelaran</v>
      </c>
      <c r="D450" s="7" t="s">
        <v>400</v>
      </c>
      <c r="E450" s="10" t="str">
        <f aca="false">INDEX(球隊主檔!$C$2:$C$31,MATCH($D450,球隊主檔!$A$2:$A$31,0))</f>
        <v>德州遊騎兵</v>
      </c>
      <c r="F450" s="10" t="str">
        <f aca="false">INDEX(球隊主檔!$D$2:$D$31,MATCH($D450,球隊主檔!$A$2:$A$31,0))</f>
        <v>美聯</v>
      </c>
      <c r="G450" s="7" t="s">
        <v>507</v>
      </c>
      <c r="H450" s="11" t="n">
        <f aca="false">INT((DATE($A450,7,1)-INDEX(球員主檔!$G$2:$G$749,MATCH($B450,球員主檔!$A$2:$A$749,0)))/365.25)</f>
        <v>28</v>
      </c>
      <c r="I450" s="12" t="n">
        <v>1</v>
      </c>
      <c r="J450" s="12" t="n">
        <v>8</v>
      </c>
      <c r="K450" s="12" t="n">
        <v>5</v>
      </c>
      <c r="L450" s="12" t="n">
        <v>25</v>
      </c>
      <c r="M450" s="12" t="n">
        <v>68</v>
      </c>
      <c r="N450" s="12" t="n">
        <v>0</v>
      </c>
      <c r="O450" s="12" t="n">
        <v>193</v>
      </c>
      <c r="P450" s="16" t="n">
        <f aca="false">O450/3</f>
        <v>64.3333333333333</v>
      </c>
      <c r="Q450" s="17" t="str">
        <f aca="false">INT(O450/3)&amp;"."&amp;MOD(O450,3)</f>
        <v>64.1</v>
      </c>
      <c r="R450" s="12" t="n">
        <v>62</v>
      </c>
      <c r="S450" s="12" t="n">
        <v>41</v>
      </c>
      <c r="T450" s="12" t="n">
        <v>37</v>
      </c>
      <c r="U450" s="12" t="n">
        <v>7</v>
      </c>
      <c r="V450" s="12" t="n">
        <v>30</v>
      </c>
      <c r="W450" s="12" t="n">
        <v>79</v>
      </c>
      <c r="X450" s="12" t="n">
        <v>1</v>
      </c>
      <c r="Y450" s="18" t="n">
        <f aca="false">IF(O450=0,0,T450*27/O450)</f>
        <v>5.17616580310881</v>
      </c>
      <c r="Z450" s="18" t="n">
        <f aca="false">IF(P450=0,0,(V450+R450)/P450)</f>
        <v>1.4300518134715</v>
      </c>
      <c r="AA450" s="18" t="n">
        <f aca="false">IF(O450=0,0,W450*27/O450)</f>
        <v>11.0518134715026</v>
      </c>
      <c r="AB450" s="18" t="n">
        <f aca="false">IF(O450=0,0,V450*27/O450)</f>
        <v>4.19689119170984</v>
      </c>
      <c r="AC450" s="18" t="n">
        <f aca="false">IF(V450=0,0,W450/V450)</f>
        <v>2.63333333333333</v>
      </c>
      <c r="AD450" s="18" t="n">
        <f aca="false">IF(P450=0,0,(13*U450+3*(V450+X450)-2*W450)/P450+INDEX(球季參數!$C$2:$C$4,MATCH($A450,球季參數!$A$2:$A$4,0)))</f>
        <v>3.50414507772021</v>
      </c>
      <c r="AE450" s="11" t="n">
        <f aca="false">IF(P450&gt;=INDEX(球季參數!$F$2:$F$4,MATCH($A450,球季參數!$A$2:$A$4,0)),1,0)</f>
        <v>0</v>
      </c>
    </row>
    <row r="451" customFormat="false" ht="15" hidden="false" customHeight="false" outlineLevel="0" collapsed="false">
      <c r="A451" s="5" t="n">
        <v>2025</v>
      </c>
      <c r="B451" s="7" t="s">
        <v>1075</v>
      </c>
      <c r="C451" s="10" t="str">
        <f aca="false">INDEX(球員主檔!$B$2:$B$749,MATCH($B451,球員主檔!$A$2:$A$749,0))</f>
        <v>Camilo Tanabe</v>
      </c>
      <c r="D451" s="7" t="s">
        <v>400</v>
      </c>
      <c r="E451" s="10" t="str">
        <f aca="false">INDEX(球隊主檔!$C$2:$C$31,MATCH($D451,球隊主檔!$A$2:$A$31,0))</f>
        <v>德州遊騎兵</v>
      </c>
      <c r="F451" s="10" t="str">
        <f aca="false">INDEX(球隊主檔!$D$2:$D$31,MATCH($D451,球隊主檔!$A$2:$A$31,0))</f>
        <v>美聯</v>
      </c>
      <c r="G451" s="7" t="s">
        <v>507</v>
      </c>
      <c r="H451" s="11" t="n">
        <f aca="false">INT((DATE($A451,7,1)-INDEX(球員主檔!$G$2:$G$749,MATCH($B451,球員主檔!$A$2:$A$749,0)))/365.25)</f>
        <v>23</v>
      </c>
      <c r="I451" s="12" t="n">
        <v>6</v>
      </c>
      <c r="J451" s="12" t="n">
        <v>2</v>
      </c>
      <c r="K451" s="12" t="n">
        <v>1</v>
      </c>
      <c r="L451" s="12" t="n">
        <v>6</v>
      </c>
      <c r="M451" s="12" t="n">
        <v>49</v>
      </c>
      <c r="N451" s="12" t="n">
        <v>0</v>
      </c>
      <c r="O451" s="12" t="n">
        <v>151</v>
      </c>
      <c r="P451" s="16" t="n">
        <f aca="false">O451/3</f>
        <v>50.3333333333333</v>
      </c>
      <c r="Q451" s="17" t="str">
        <f aca="false">INT(O451/3)&amp;"."&amp;MOD(O451,3)</f>
        <v>50.1</v>
      </c>
      <c r="R451" s="12" t="n">
        <v>40</v>
      </c>
      <c r="S451" s="12" t="n">
        <v>26</v>
      </c>
      <c r="T451" s="12" t="n">
        <v>24</v>
      </c>
      <c r="U451" s="12" t="n">
        <v>5</v>
      </c>
      <c r="V451" s="12" t="n">
        <v>8</v>
      </c>
      <c r="W451" s="12" t="n">
        <v>61</v>
      </c>
      <c r="X451" s="12" t="n">
        <v>2</v>
      </c>
      <c r="Y451" s="18" t="n">
        <f aca="false">IF(O451=0,0,T451*27/O451)</f>
        <v>4.29139072847682</v>
      </c>
      <c r="Z451" s="18" t="n">
        <f aca="false">IF(P451=0,0,(V451+R451)/P451)</f>
        <v>0.95364238410596</v>
      </c>
      <c r="AA451" s="18" t="n">
        <f aca="false">IF(O451=0,0,W451*27/O451)</f>
        <v>10.9072847682119</v>
      </c>
      <c r="AB451" s="18" t="n">
        <f aca="false">IF(O451=0,0,V451*27/O451)</f>
        <v>1.43046357615894</v>
      </c>
      <c r="AC451" s="18" t="n">
        <f aca="false">IF(V451=0,0,W451/V451)</f>
        <v>7.625</v>
      </c>
      <c r="AD451" s="18" t="n">
        <f aca="false">IF(P451=0,0,(13*U451+3*(V451+X451)-2*W451)/P451+INDEX(球季參數!$C$2:$C$4,MATCH($A451,球季參數!$A$2:$A$4,0)))</f>
        <v>2.5635761589404</v>
      </c>
      <c r="AE451" s="11" t="n">
        <f aca="false">IF(P451&gt;=INDEX(球季參數!$F$2:$F$4,MATCH($A451,球季參數!$A$2:$A$4,0)),1,0)</f>
        <v>0</v>
      </c>
    </row>
    <row r="452" customFormat="false" ht="15" hidden="false" customHeight="false" outlineLevel="0" collapsed="false">
      <c r="A452" s="5" t="n">
        <v>2025</v>
      </c>
      <c r="B452" s="7" t="s">
        <v>1097</v>
      </c>
      <c r="C452" s="10" t="str">
        <f aca="false">INDEX(球員主檔!$B$2:$B$749,MATCH($B452,球員主檔!$A$2:$A$749,0))</f>
        <v>Hugo Castellón</v>
      </c>
      <c r="D452" s="7" t="s">
        <v>404</v>
      </c>
      <c r="E452" s="10" t="str">
        <f aca="false">INDEX(球隊主檔!$C$2:$C$31,MATCH($D452,球隊主檔!$A$2:$A$31,0))</f>
        <v>亞特蘭大勇士</v>
      </c>
      <c r="F452" s="10" t="str">
        <f aca="false">INDEX(球隊主檔!$D$2:$D$31,MATCH($D452,球隊主檔!$A$2:$A$31,0))</f>
        <v>國聯</v>
      </c>
      <c r="G452" s="7" t="s">
        <v>496</v>
      </c>
      <c r="H452" s="11" t="n">
        <f aca="false">INT((DATE($A452,7,1)-INDEX(球員主檔!$G$2:$G$749,MATCH($B452,球員主檔!$A$2:$A$749,0)))/365.25)</f>
        <v>31</v>
      </c>
      <c r="I452" s="12" t="n">
        <v>16</v>
      </c>
      <c r="J452" s="12" t="n">
        <v>9</v>
      </c>
      <c r="K452" s="12" t="n">
        <v>0</v>
      </c>
      <c r="L452" s="12" t="n">
        <v>0</v>
      </c>
      <c r="M452" s="12" t="n">
        <v>33</v>
      </c>
      <c r="N452" s="12" t="n">
        <v>33</v>
      </c>
      <c r="O452" s="12" t="n">
        <v>553</v>
      </c>
      <c r="P452" s="16" t="n">
        <f aca="false">O452/3</f>
        <v>184.333333333333</v>
      </c>
      <c r="Q452" s="17" t="str">
        <f aca="false">INT(O452/3)&amp;"."&amp;MOD(O452,3)</f>
        <v>184.1</v>
      </c>
      <c r="R452" s="12" t="n">
        <v>157</v>
      </c>
      <c r="S452" s="12" t="n">
        <v>85</v>
      </c>
      <c r="T452" s="12" t="n">
        <v>78</v>
      </c>
      <c r="U452" s="12" t="n">
        <v>20</v>
      </c>
      <c r="V452" s="12" t="n">
        <v>99</v>
      </c>
      <c r="W452" s="12" t="n">
        <v>127</v>
      </c>
      <c r="X452" s="12" t="n">
        <v>9</v>
      </c>
      <c r="Y452" s="18" t="n">
        <f aca="false">IF(O452=0,0,T452*27/O452)</f>
        <v>3.80831826401447</v>
      </c>
      <c r="Z452" s="18" t="n">
        <f aca="false">IF(P452=0,0,(V452+R452)/P452)</f>
        <v>1.38878842676311</v>
      </c>
      <c r="AA452" s="18" t="n">
        <f aca="false">IF(O452=0,0,W452*27/O452)</f>
        <v>6.20072332730561</v>
      </c>
      <c r="AB452" s="18" t="n">
        <f aca="false">IF(O452=0,0,V452*27/O452)</f>
        <v>4.83363471971067</v>
      </c>
      <c r="AC452" s="18" t="n">
        <f aca="false">IF(V452=0,0,W452/V452)</f>
        <v>1.28282828282828</v>
      </c>
      <c r="AD452" s="18" t="n">
        <f aca="false">IF(P452=0,0,(13*U452+3*(V452+X452)-2*W452)/P452+INDEX(球季參數!$C$2:$C$4,MATCH($A452,球季參數!$A$2:$A$4,0)))</f>
        <v>4.89023508137432</v>
      </c>
      <c r="AE452" s="11" t="n">
        <f aca="false">IF(P452&gt;=INDEX(球季參數!$F$2:$F$4,MATCH($A452,球季參數!$A$2:$A$4,0)),1,0)</f>
        <v>1</v>
      </c>
    </row>
    <row r="453" customFormat="false" ht="15" hidden="false" customHeight="false" outlineLevel="0" collapsed="false">
      <c r="A453" s="5" t="n">
        <v>2025</v>
      </c>
      <c r="B453" s="7" t="s">
        <v>1741</v>
      </c>
      <c r="C453" s="10" t="str">
        <f aca="false">INDEX(球員主檔!$B$2:$B$749,MATCH($B453,球員主檔!$A$2:$A$749,0))</f>
        <v>Wyatt Dubois</v>
      </c>
      <c r="D453" s="7" t="s">
        <v>404</v>
      </c>
      <c r="E453" s="10" t="str">
        <f aca="false">INDEX(球隊主檔!$C$2:$C$31,MATCH($D453,球隊主檔!$A$2:$A$31,0))</f>
        <v>亞特蘭大勇士</v>
      </c>
      <c r="F453" s="10" t="str">
        <f aca="false">INDEX(球隊主檔!$D$2:$D$31,MATCH($D453,球隊主檔!$A$2:$A$31,0))</f>
        <v>國聯</v>
      </c>
      <c r="G453" s="7" t="s">
        <v>496</v>
      </c>
      <c r="H453" s="11" t="n">
        <f aca="false">INT((DATE($A453,7,1)-INDEX(球員主檔!$G$2:$G$749,MATCH($B453,球員主檔!$A$2:$A$749,0)))/365.25)</f>
        <v>21</v>
      </c>
      <c r="I453" s="12" t="n">
        <v>8</v>
      </c>
      <c r="J453" s="12" t="n">
        <v>7</v>
      </c>
      <c r="K453" s="12" t="n">
        <v>0</v>
      </c>
      <c r="L453" s="12" t="n">
        <v>0</v>
      </c>
      <c r="M453" s="12" t="n">
        <v>22</v>
      </c>
      <c r="N453" s="12" t="n">
        <v>22</v>
      </c>
      <c r="O453" s="12" t="n">
        <v>366</v>
      </c>
      <c r="P453" s="16" t="n">
        <f aca="false">O453/3</f>
        <v>122</v>
      </c>
      <c r="Q453" s="17" t="str">
        <f aca="false">INT(O453/3)&amp;"."&amp;MOD(O453,3)</f>
        <v>122.0</v>
      </c>
      <c r="R453" s="12" t="n">
        <v>110</v>
      </c>
      <c r="S453" s="12" t="n">
        <v>77</v>
      </c>
      <c r="T453" s="12" t="n">
        <v>71</v>
      </c>
      <c r="U453" s="12" t="n">
        <v>11</v>
      </c>
      <c r="V453" s="12" t="n">
        <v>29</v>
      </c>
      <c r="W453" s="12" t="n">
        <v>104</v>
      </c>
      <c r="X453" s="12" t="n">
        <v>2</v>
      </c>
      <c r="Y453" s="18" t="n">
        <f aca="false">IF(O453=0,0,T453*27/O453)</f>
        <v>5.23770491803279</v>
      </c>
      <c r="Z453" s="18" t="n">
        <f aca="false">IF(P453=0,0,(V453+R453)/P453)</f>
        <v>1.13934426229508</v>
      </c>
      <c r="AA453" s="18" t="n">
        <f aca="false">IF(O453=0,0,W453*27/O453)</f>
        <v>7.67213114754098</v>
      </c>
      <c r="AB453" s="18" t="n">
        <f aca="false">IF(O453=0,0,V453*27/O453)</f>
        <v>2.13934426229508</v>
      </c>
      <c r="AC453" s="18" t="n">
        <f aca="false">IF(V453=0,0,W453/V453)</f>
        <v>3.58620689655172</v>
      </c>
      <c r="AD453" s="18" t="n">
        <f aca="false">IF(P453=0,0,(13*U453+3*(V453+X453)-2*W453)/P453+INDEX(球季參數!$C$2:$C$4,MATCH($A453,球季參數!$A$2:$A$4,0)))</f>
        <v>3.32950819672131</v>
      </c>
      <c r="AE453" s="11" t="n">
        <f aca="false">IF(P453&gt;=INDEX(球季參數!$F$2:$F$4,MATCH($A453,球季參數!$A$2:$A$4,0)),1,0)</f>
        <v>0</v>
      </c>
    </row>
    <row r="454" customFormat="false" ht="15" hidden="false" customHeight="false" outlineLevel="0" collapsed="false">
      <c r="A454" s="5" t="n">
        <v>2025</v>
      </c>
      <c r="B454" s="7" t="s">
        <v>1101</v>
      </c>
      <c r="C454" s="10" t="str">
        <f aca="false">INDEX(球員主檔!$B$2:$B$749,MATCH($B454,球員主檔!$A$2:$A$749,0))</f>
        <v>Haruto Wexford</v>
      </c>
      <c r="D454" s="7" t="s">
        <v>404</v>
      </c>
      <c r="E454" s="10" t="str">
        <f aca="false">INDEX(球隊主檔!$C$2:$C$31,MATCH($D454,球隊主檔!$A$2:$A$31,0))</f>
        <v>亞特蘭大勇士</v>
      </c>
      <c r="F454" s="10" t="str">
        <f aca="false">INDEX(球隊主檔!$D$2:$D$31,MATCH($D454,球隊主檔!$A$2:$A$31,0))</f>
        <v>國聯</v>
      </c>
      <c r="G454" s="7" t="s">
        <v>496</v>
      </c>
      <c r="H454" s="11" t="n">
        <f aca="false">INT((DATE($A454,7,1)-INDEX(球員主檔!$G$2:$G$749,MATCH($B454,球員主檔!$A$2:$A$749,0)))/365.25)</f>
        <v>27</v>
      </c>
      <c r="I454" s="12" t="n">
        <v>8</v>
      </c>
      <c r="J454" s="12" t="n">
        <v>5</v>
      </c>
      <c r="K454" s="12" t="n">
        <v>0</v>
      </c>
      <c r="L454" s="12" t="n">
        <v>0</v>
      </c>
      <c r="M454" s="12" t="n">
        <v>21</v>
      </c>
      <c r="N454" s="12" t="n">
        <v>21</v>
      </c>
      <c r="O454" s="12" t="n">
        <v>314</v>
      </c>
      <c r="P454" s="16" t="n">
        <f aca="false">O454/3</f>
        <v>104.666666666667</v>
      </c>
      <c r="Q454" s="17" t="str">
        <f aca="false">INT(O454/3)&amp;"."&amp;MOD(O454,3)</f>
        <v>104.2</v>
      </c>
      <c r="R454" s="12" t="n">
        <v>86</v>
      </c>
      <c r="S454" s="12" t="n">
        <v>50</v>
      </c>
      <c r="T454" s="12" t="n">
        <v>47</v>
      </c>
      <c r="U454" s="12" t="n">
        <v>11</v>
      </c>
      <c r="V454" s="12" t="n">
        <v>30</v>
      </c>
      <c r="W454" s="12" t="n">
        <v>113</v>
      </c>
      <c r="X454" s="12" t="n">
        <v>3</v>
      </c>
      <c r="Y454" s="18" t="n">
        <f aca="false">IF(O454=0,0,T454*27/O454)</f>
        <v>4.04140127388535</v>
      </c>
      <c r="Z454" s="18" t="n">
        <f aca="false">IF(P454=0,0,(V454+R454)/P454)</f>
        <v>1.10828025477707</v>
      </c>
      <c r="AA454" s="18" t="n">
        <f aca="false">IF(O454=0,0,W454*27/O454)</f>
        <v>9.71656050955414</v>
      </c>
      <c r="AB454" s="18" t="n">
        <f aca="false">IF(O454=0,0,V454*27/O454)</f>
        <v>2.5796178343949</v>
      </c>
      <c r="AC454" s="18" t="n">
        <f aca="false">IF(V454=0,0,W454/V454)</f>
        <v>3.76666666666667</v>
      </c>
      <c r="AD454" s="18" t="n">
        <f aca="false">IF(P454=0,0,(13*U454+3*(V454+X454)-2*W454)/P454+INDEX(球季參數!$C$2:$C$4,MATCH($A454,球季參數!$A$2:$A$4,0)))</f>
        <v>3.25286624203822</v>
      </c>
      <c r="AE454" s="11" t="n">
        <f aca="false">IF(P454&gt;=INDEX(球季參數!$F$2:$F$4,MATCH($A454,球季參數!$A$2:$A$4,0)),1,0)</f>
        <v>0</v>
      </c>
    </row>
    <row r="455" customFormat="false" ht="15" hidden="false" customHeight="false" outlineLevel="0" collapsed="false">
      <c r="A455" s="5" t="n">
        <v>2025</v>
      </c>
      <c r="B455" s="7" t="s">
        <v>1103</v>
      </c>
      <c r="C455" s="10" t="str">
        <f aca="false">INDEX(球員主檔!$B$2:$B$749,MATCH($B455,球員主檔!$A$2:$A$749,0))</f>
        <v>Quentin Wexford</v>
      </c>
      <c r="D455" s="7" t="s">
        <v>404</v>
      </c>
      <c r="E455" s="10" t="str">
        <f aca="false">INDEX(球隊主檔!$C$2:$C$31,MATCH($D455,球隊主檔!$A$2:$A$31,0))</f>
        <v>亞特蘭大勇士</v>
      </c>
      <c r="F455" s="10" t="str">
        <f aca="false">INDEX(球隊主檔!$D$2:$D$31,MATCH($D455,球隊主檔!$A$2:$A$31,0))</f>
        <v>國聯</v>
      </c>
      <c r="G455" s="7" t="s">
        <v>496</v>
      </c>
      <c r="H455" s="11" t="n">
        <f aca="false">INT((DATE($A455,7,1)-INDEX(球員主檔!$G$2:$G$749,MATCH($B455,球員主檔!$A$2:$A$749,0)))/365.25)</f>
        <v>27</v>
      </c>
      <c r="I455" s="12" t="n">
        <v>11</v>
      </c>
      <c r="J455" s="12" t="n">
        <v>5</v>
      </c>
      <c r="K455" s="12" t="n">
        <v>0</v>
      </c>
      <c r="L455" s="12" t="n">
        <v>0</v>
      </c>
      <c r="M455" s="12" t="n">
        <v>28</v>
      </c>
      <c r="N455" s="12" t="n">
        <v>28</v>
      </c>
      <c r="O455" s="12" t="n">
        <v>446</v>
      </c>
      <c r="P455" s="16" t="n">
        <f aca="false">O455/3</f>
        <v>148.666666666667</v>
      </c>
      <c r="Q455" s="17" t="str">
        <f aca="false">INT(O455/3)&amp;"."&amp;MOD(O455,3)</f>
        <v>148.2</v>
      </c>
      <c r="R455" s="12" t="n">
        <v>128</v>
      </c>
      <c r="S455" s="12" t="n">
        <v>62</v>
      </c>
      <c r="T455" s="12" t="n">
        <v>61</v>
      </c>
      <c r="U455" s="12" t="n">
        <v>20</v>
      </c>
      <c r="V455" s="12" t="n">
        <v>63</v>
      </c>
      <c r="W455" s="12" t="n">
        <v>100</v>
      </c>
      <c r="X455" s="12" t="n">
        <v>4</v>
      </c>
      <c r="Y455" s="18" t="n">
        <f aca="false">IF(O455=0,0,T455*27/O455)</f>
        <v>3.69282511210762</v>
      </c>
      <c r="Z455" s="18" t="n">
        <f aca="false">IF(P455=0,0,(V455+R455)/P455)</f>
        <v>1.2847533632287</v>
      </c>
      <c r="AA455" s="18" t="n">
        <f aca="false">IF(O455=0,0,W455*27/O455)</f>
        <v>6.05381165919283</v>
      </c>
      <c r="AB455" s="18" t="n">
        <f aca="false">IF(O455=0,0,V455*27/O455)</f>
        <v>3.81390134529148</v>
      </c>
      <c r="AC455" s="18" t="n">
        <f aca="false">IF(V455=0,0,W455/V455)</f>
        <v>1.58730158730159</v>
      </c>
      <c r="AD455" s="18" t="n">
        <f aca="false">IF(P455=0,0,(13*U455+3*(V455+X455)-2*W455)/P455+INDEX(球季參數!$C$2:$C$4,MATCH($A455,球季參數!$A$2:$A$4,0)))</f>
        <v>4.85560538116592</v>
      </c>
      <c r="AE455" s="11" t="n">
        <f aca="false">IF(P455&gt;=INDEX(球季參數!$F$2:$F$4,MATCH($A455,球季參數!$A$2:$A$4,0)),1,0)</f>
        <v>0</v>
      </c>
    </row>
    <row r="456" customFormat="false" ht="15" hidden="false" customHeight="false" outlineLevel="0" collapsed="false">
      <c r="A456" s="5" t="n">
        <v>2025</v>
      </c>
      <c r="B456" s="7" t="s">
        <v>1105</v>
      </c>
      <c r="C456" s="10" t="str">
        <f aca="false">INDEX(球員主檔!$B$2:$B$749,MATCH($B456,球員主檔!$A$2:$A$749,0))</f>
        <v>Camilo Marchetti</v>
      </c>
      <c r="D456" s="7" t="s">
        <v>404</v>
      </c>
      <c r="E456" s="10" t="str">
        <f aca="false">INDEX(球隊主檔!$C$2:$C$31,MATCH($D456,球隊主檔!$A$2:$A$31,0))</f>
        <v>亞特蘭大勇士</v>
      </c>
      <c r="F456" s="10" t="str">
        <f aca="false">INDEX(球隊主檔!$D$2:$D$31,MATCH($D456,球隊主檔!$A$2:$A$31,0))</f>
        <v>國聯</v>
      </c>
      <c r="G456" s="7" t="s">
        <v>496</v>
      </c>
      <c r="H456" s="11" t="n">
        <f aca="false">INT((DATE($A456,7,1)-INDEX(球員主檔!$G$2:$G$749,MATCH($B456,球員主檔!$A$2:$A$749,0)))/365.25)</f>
        <v>29</v>
      </c>
      <c r="I456" s="12" t="n">
        <v>13</v>
      </c>
      <c r="J456" s="12" t="n">
        <v>8</v>
      </c>
      <c r="K456" s="12" t="n">
        <v>0</v>
      </c>
      <c r="L456" s="12" t="n">
        <v>0</v>
      </c>
      <c r="M456" s="12" t="n">
        <v>32</v>
      </c>
      <c r="N456" s="12" t="n">
        <v>32</v>
      </c>
      <c r="O456" s="12" t="n">
        <v>606</v>
      </c>
      <c r="P456" s="16" t="n">
        <f aca="false">O456/3</f>
        <v>202</v>
      </c>
      <c r="Q456" s="17" t="str">
        <f aca="false">INT(O456/3)&amp;"."&amp;MOD(O456,3)</f>
        <v>202.0</v>
      </c>
      <c r="R456" s="12" t="n">
        <v>181</v>
      </c>
      <c r="S456" s="12" t="n">
        <v>103</v>
      </c>
      <c r="T456" s="12" t="n">
        <v>97</v>
      </c>
      <c r="U456" s="12" t="n">
        <v>15</v>
      </c>
      <c r="V456" s="12" t="n">
        <v>85</v>
      </c>
      <c r="W456" s="12" t="n">
        <v>164</v>
      </c>
      <c r="X456" s="12" t="n">
        <v>9</v>
      </c>
      <c r="Y456" s="18" t="n">
        <f aca="false">IF(O456=0,0,T456*27/O456)</f>
        <v>4.32178217821782</v>
      </c>
      <c r="Z456" s="18" t="n">
        <f aca="false">IF(P456=0,0,(V456+R456)/P456)</f>
        <v>1.31683168316832</v>
      </c>
      <c r="AA456" s="18" t="n">
        <f aca="false">IF(O456=0,0,W456*27/O456)</f>
        <v>7.30693069306931</v>
      </c>
      <c r="AB456" s="18" t="n">
        <f aca="false">IF(O456=0,0,V456*27/O456)</f>
        <v>3.78712871287129</v>
      </c>
      <c r="AC456" s="18" t="n">
        <f aca="false">IF(V456=0,0,W456/V456)</f>
        <v>1.92941176470588</v>
      </c>
      <c r="AD456" s="18" t="n">
        <f aca="false">IF(P456=0,0,(13*U456+3*(V456+X456)-2*W456)/P456+INDEX(球季參數!$C$2:$C$4,MATCH($A456,球季參數!$A$2:$A$4,0)))</f>
        <v>3.83762376237624</v>
      </c>
      <c r="AE456" s="11" t="n">
        <f aca="false">IF(P456&gt;=INDEX(球季參數!$F$2:$F$4,MATCH($A456,球季參數!$A$2:$A$4,0)),1,0)</f>
        <v>1</v>
      </c>
    </row>
    <row r="457" customFormat="false" ht="15" hidden="false" customHeight="false" outlineLevel="0" collapsed="false">
      <c r="A457" s="5" t="n">
        <v>2025</v>
      </c>
      <c r="B457" s="7" t="s">
        <v>1107</v>
      </c>
      <c r="C457" s="10" t="str">
        <f aca="false">INDEX(球員主檔!$B$2:$B$749,MATCH($B457,球員主檔!$A$2:$A$749,0))</f>
        <v>Osvaldo Lindquist</v>
      </c>
      <c r="D457" s="7" t="s">
        <v>404</v>
      </c>
      <c r="E457" s="10" t="str">
        <f aca="false">INDEX(球隊主檔!$C$2:$C$31,MATCH($D457,球隊主檔!$A$2:$A$31,0))</f>
        <v>亞特蘭大勇士</v>
      </c>
      <c r="F457" s="10" t="str">
        <f aca="false">INDEX(球隊主檔!$D$2:$D$31,MATCH($D457,球隊主檔!$A$2:$A$31,0))</f>
        <v>國聯</v>
      </c>
      <c r="G457" s="7" t="s">
        <v>507</v>
      </c>
      <c r="H457" s="11" t="n">
        <f aca="false">INT((DATE($A457,7,1)-INDEX(球員主檔!$G$2:$G$749,MATCH($B457,球員主檔!$A$2:$A$749,0)))/365.25)</f>
        <v>27</v>
      </c>
      <c r="I457" s="12" t="n">
        <v>1</v>
      </c>
      <c r="J457" s="12" t="n">
        <v>6</v>
      </c>
      <c r="K457" s="12" t="n">
        <v>34</v>
      </c>
      <c r="L457" s="12" t="n">
        <v>5</v>
      </c>
      <c r="M457" s="12" t="n">
        <v>50</v>
      </c>
      <c r="N457" s="12" t="n">
        <v>0</v>
      </c>
      <c r="O457" s="12" t="n">
        <v>157</v>
      </c>
      <c r="P457" s="16" t="n">
        <f aca="false">O457/3</f>
        <v>52.3333333333333</v>
      </c>
      <c r="Q457" s="17" t="str">
        <f aca="false">INT(O457/3)&amp;"."&amp;MOD(O457,3)</f>
        <v>52.1</v>
      </c>
      <c r="R457" s="12" t="n">
        <v>42</v>
      </c>
      <c r="S457" s="12" t="n">
        <v>21</v>
      </c>
      <c r="T457" s="12" t="n">
        <v>20</v>
      </c>
      <c r="U457" s="12" t="n">
        <v>6</v>
      </c>
      <c r="V457" s="12" t="n">
        <v>20</v>
      </c>
      <c r="W457" s="12" t="n">
        <v>53</v>
      </c>
      <c r="X457" s="12" t="n">
        <v>1</v>
      </c>
      <c r="Y457" s="18" t="n">
        <f aca="false">IF(O457=0,0,T457*27/O457)</f>
        <v>3.43949044585987</v>
      </c>
      <c r="Z457" s="18" t="n">
        <f aca="false">IF(P457=0,0,(V457+R457)/P457)</f>
        <v>1.18471337579618</v>
      </c>
      <c r="AA457" s="18" t="n">
        <f aca="false">IF(O457=0,0,W457*27/O457)</f>
        <v>9.11464968152866</v>
      </c>
      <c r="AB457" s="18" t="n">
        <f aca="false">IF(O457=0,0,V457*27/O457)</f>
        <v>3.43949044585987</v>
      </c>
      <c r="AC457" s="18" t="n">
        <f aca="false">IF(V457=0,0,W457/V457)</f>
        <v>2.65</v>
      </c>
      <c r="AD457" s="18" t="n">
        <f aca="false">IF(P457=0,0,(13*U457+3*(V457+X457)-2*W457)/P457+INDEX(球季參數!$C$2:$C$4,MATCH($A457,球季參數!$A$2:$A$4,0)))</f>
        <v>3.7687898089172</v>
      </c>
      <c r="AE457" s="11" t="n">
        <f aca="false">IF(P457&gt;=INDEX(球季參數!$F$2:$F$4,MATCH($A457,球季參數!$A$2:$A$4,0)),1,0)</f>
        <v>0</v>
      </c>
    </row>
    <row r="458" customFormat="false" ht="15" hidden="false" customHeight="false" outlineLevel="0" collapsed="false">
      <c r="A458" s="5" t="n">
        <v>2025</v>
      </c>
      <c r="B458" s="7" t="s">
        <v>1109</v>
      </c>
      <c r="C458" s="10" t="str">
        <f aca="false">INDEX(球員主檔!$B$2:$B$749,MATCH($B458,球員主檔!$A$2:$A$749,0))</f>
        <v>Lucien Blackwood</v>
      </c>
      <c r="D458" s="7" t="s">
        <v>404</v>
      </c>
      <c r="E458" s="10" t="str">
        <f aca="false">INDEX(球隊主檔!$C$2:$C$31,MATCH($D458,球隊主檔!$A$2:$A$31,0))</f>
        <v>亞特蘭大勇士</v>
      </c>
      <c r="F458" s="10" t="str">
        <f aca="false">INDEX(球隊主檔!$D$2:$D$31,MATCH($D458,球隊主檔!$A$2:$A$31,0))</f>
        <v>國聯</v>
      </c>
      <c r="G458" s="7" t="s">
        <v>507</v>
      </c>
      <c r="H458" s="11" t="n">
        <f aca="false">INT((DATE($A458,7,1)-INDEX(球員主檔!$G$2:$G$749,MATCH($B458,球員主檔!$A$2:$A$749,0)))/365.25)</f>
        <v>31</v>
      </c>
      <c r="I458" s="12" t="n">
        <v>3</v>
      </c>
      <c r="J458" s="12" t="n">
        <v>1</v>
      </c>
      <c r="K458" s="12" t="n">
        <v>4</v>
      </c>
      <c r="L458" s="12" t="n">
        <v>2</v>
      </c>
      <c r="M458" s="12" t="n">
        <v>56</v>
      </c>
      <c r="N458" s="12" t="n">
        <v>0</v>
      </c>
      <c r="O458" s="12" t="n">
        <v>166</v>
      </c>
      <c r="P458" s="16" t="n">
        <f aca="false">O458/3</f>
        <v>55.3333333333333</v>
      </c>
      <c r="Q458" s="17" t="str">
        <f aca="false">INT(O458/3)&amp;"."&amp;MOD(O458,3)</f>
        <v>55.1</v>
      </c>
      <c r="R458" s="12" t="n">
        <v>43</v>
      </c>
      <c r="S458" s="12" t="n">
        <v>21</v>
      </c>
      <c r="T458" s="12" t="n">
        <v>21</v>
      </c>
      <c r="U458" s="12" t="n">
        <v>6</v>
      </c>
      <c r="V458" s="12" t="n">
        <v>16</v>
      </c>
      <c r="W458" s="12" t="n">
        <v>56</v>
      </c>
      <c r="X458" s="12" t="n">
        <v>2</v>
      </c>
      <c r="Y458" s="18" t="n">
        <f aca="false">IF(O458=0,0,T458*27/O458)</f>
        <v>3.41566265060241</v>
      </c>
      <c r="Z458" s="18" t="n">
        <f aca="false">IF(P458=0,0,(V458+R458)/P458)</f>
        <v>1.06626506024096</v>
      </c>
      <c r="AA458" s="18" t="n">
        <f aca="false">IF(O458=0,0,W458*27/O458)</f>
        <v>9.10843373493976</v>
      </c>
      <c r="AB458" s="18" t="n">
        <f aca="false">IF(O458=0,0,V458*27/O458)</f>
        <v>2.60240963855422</v>
      </c>
      <c r="AC458" s="18" t="n">
        <f aca="false">IF(V458=0,0,W458/V458)</f>
        <v>3.5</v>
      </c>
      <c r="AD458" s="18" t="n">
        <f aca="false">IF(P458=0,0,(13*U458+3*(V458+X458)-2*W458)/P458+INDEX(球季參數!$C$2:$C$4,MATCH($A458,球季參數!$A$2:$A$4,0)))</f>
        <v>3.46144578313253</v>
      </c>
      <c r="AE458" s="11" t="n">
        <f aca="false">IF(P458&gt;=INDEX(球季參數!$F$2:$F$4,MATCH($A458,球季參數!$A$2:$A$4,0)),1,0)</f>
        <v>0</v>
      </c>
    </row>
    <row r="459" customFormat="false" ht="15" hidden="false" customHeight="false" outlineLevel="0" collapsed="false">
      <c r="A459" s="5" t="n">
        <v>2025</v>
      </c>
      <c r="B459" s="7" t="s">
        <v>1111</v>
      </c>
      <c r="C459" s="10" t="str">
        <f aca="false">INDEX(球員主檔!$B$2:$B$749,MATCH($B459,球員主檔!$A$2:$A$749,0))</f>
        <v>Augustin Marchetti</v>
      </c>
      <c r="D459" s="7" t="s">
        <v>404</v>
      </c>
      <c r="E459" s="10" t="str">
        <f aca="false">INDEX(球隊主檔!$C$2:$C$31,MATCH($D459,球隊主檔!$A$2:$A$31,0))</f>
        <v>亞特蘭大勇士</v>
      </c>
      <c r="F459" s="10" t="str">
        <f aca="false">INDEX(球隊主檔!$D$2:$D$31,MATCH($D459,球隊主檔!$A$2:$A$31,0))</f>
        <v>國聯</v>
      </c>
      <c r="G459" s="7" t="s">
        <v>507</v>
      </c>
      <c r="H459" s="11" t="n">
        <f aca="false">INT((DATE($A459,7,1)-INDEX(球員主檔!$G$2:$G$749,MATCH($B459,球員主檔!$A$2:$A$749,0)))/365.25)</f>
        <v>33</v>
      </c>
      <c r="I459" s="12" t="n">
        <v>4</v>
      </c>
      <c r="J459" s="12" t="n">
        <v>8</v>
      </c>
      <c r="K459" s="12" t="n">
        <v>3</v>
      </c>
      <c r="L459" s="12" t="n">
        <v>6</v>
      </c>
      <c r="M459" s="12" t="n">
        <v>56</v>
      </c>
      <c r="N459" s="12" t="n">
        <v>0</v>
      </c>
      <c r="O459" s="12" t="n">
        <v>154</v>
      </c>
      <c r="P459" s="16" t="n">
        <f aca="false">O459/3</f>
        <v>51.3333333333333</v>
      </c>
      <c r="Q459" s="17" t="str">
        <f aca="false">INT(O459/3)&amp;"."&amp;MOD(O459,3)</f>
        <v>51.1</v>
      </c>
      <c r="R459" s="12" t="n">
        <v>41</v>
      </c>
      <c r="S459" s="12" t="n">
        <v>18</v>
      </c>
      <c r="T459" s="12" t="n">
        <v>16</v>
      </c>
      <c r="U459" s="12" t="n">
        <v>4</v>
      </c>
      <c r="V459" s="12" t="n">
        <v>10</v>
      </c>
      <c r="W459" s="12" t="n">
        <v>46</v>
      </c>
      <c r="X459" s="12" t="n">
        <v>1</v>
      </c>
      <c r="Y459" s="18" t="n">
        <f aca="false">IF(O459=0,0,T459*27/O459)</f>
        <v>2.80519480519481</v>
      </c>
      <c r="Z459" s="18" t="n">
        <f aca="false">IF(P459=0,0,(V459+R459)/P459)</f>
        <v>0.993506493506493</v>
      </c>
      <c r="AA459" s="18" t="n">
        <f aca="false">IF(O459=0,0,W459*27/O459)</f>
        <v>8.06493506493507</v>
      </c>
      <c r="AB459" s="18" t="n">
        <f aca="false">IF(O459=0,0,V459*27/O459)</f>
        <v>1.75324675324675</v>
      </c>
      <c r="AC459" s="18" t="n">
        <f aca="false">IF(V459=0,0,W459/V459)</f>
        <v>4.6</v>
      </c>
      <c r="AD459" s="18" t="n">
        <f aca="false">IF(P459=0,0,(13*U459+3*(V459+X459)-2*W459)/P459+INDEX(球季參數!$C$2:$C$4,MATCH($A459,球季參數!$A$2:$A$4,0)))</f>
        <v>2.96363636363636</v>
      </c>
      <c r="AE459" s="11" t="n">
        <f aca="false">IF(P459&gt;=INDEX(球季參數!$F$2:$F$4,MATCH($A459,球季參數!$A$2:$A$4,0)),1,0)</f>
        <v>0</v>
      </c>
    </row>
    <row r="460" customFormat="false" ht="15" hidden="false" customHeight="false" outlineLevel="0" collapsed="false">
      <c r="A460" s="5" t="n">
        <v>2025</v>
      </c>
      <c r="B460" s="7" t="s">
        <v>1113</v>
      </c>
      <c r="C460" s="10" t="str">
        <f aca="false">INDEX(球員主檔!$B$2:$B$749,MATCH($B460,球員主檔!$A$2:$A$749,0))</f>
        <v>Ignacio Redmayne</v>
      </c>
      <c r="D460" s="7" t="s">
        <v>404</v>
      </c>
      <c r="E460" s="10" t="str">
        <f aca="false">INDEX(球隊主檔!$C$2:$C$31,MATCH($D460,球隊主檔!$A$2:$A$31,0))</f>
        <v>亞特蘭大勇士</v>
      </c>
      <c r="F460" s="10" t="str">
        <f aca="false">INDEX(球隊主檔!$D$2:$D$31,MATCH($D460,球隊主檔!$A$2:$A$31,0))</f>
        <v>國聯</v>
      </c>
      <c r="G460" s="7" t="s">
        <v>507</v>
      </c>
      <c r="H460" s="11" t="n">
        <f aca="false">INT((DATE($A460,7,1)-INDEX(球員主檔!$G$2:$G$749,MATCH($B460,球員主檔!$A$2:$A$749,0)))/365.25)</f>
        <v>29</v>
      </c>
      <c r="I460" s="12" t="n">
        <v>5</v>
      </c>
      <c r="J460" s="12" t="n">
        <v>8</v>
      </c>
      <c r="K460" s="12" t="n">
        <v>2</v>
      </c>
      <c r="L460" s="12" t="n">
        <v>19</v>
      </c>
      <c r="M460" s="12" t="n">
        <v>55</v>
      </c>
      <c r="N460" s="12" t="n">
        <v>0</v>
      </c>
      <c r="O460" s="12" t="n">
        <v>182</v>
      </c>
      <c r="P460" s="16" t="n">
        <f aca="false">O460/3</f>
        <v>60.6666666666667</v>
      </c>
      <c r="Q460" s="17" t="str">
        <f aca="false">INT(O460/3)&amp;"."&amp;MOD(O460,3)</f>
        <v>60.2</v>
      </c>
      <c r="R460" s="12" t="n">
        <v>48</v>
      </c>
      <c r="S460" s="12" t="n">
        <v>28</v>
      </c>
      <c r="T460" s="12" t="n">
        <v>25</v>
      </c>
      <c r="U460" s="12" t="n">
        <v>10</v>
      </c>
      <c r="V460" s="12" t="n">
        <v>13</v>
      </c>
      <c r="W460" s="12" t="n">
        <v>68</v>
      </c>
      <c r="X460" s="12" t="n">
        <v>1</v>
      </c>
      <c r="Y460" s="18" t="n">
        <f aca="false">IF(O460=0,0,T460*27/O460)</f>
        <v>3.70879120879121</v>
      </c>
      <c r="Z460" s="18" t="n">
        <f aca="false">IF(P460=0,0,(V460+R460)/P460)</f>
        <v>1.00549450549451</v>
      </c>
      <c r="AA460" s="18" t="n">
        <f aca="false">IF(O460=0,0,W460*27/O460)</f>
        <v>10.0879120879121</v>
      </c>
      <c r="AB460" s="18" t="n">
        <f aca="false">IF(O460=0,0,V460*27/O460)</f>
        <v>1.92857142857143</v>
      </c>
      <c r="AC460" s="18" t="n">
        <f aca="false">IF(V460=0,0,W460/V460)</f>
        <v>5.23076923076923</v>
      </c>
      <c r="AD460" s="18" t="n">
        <f aca="false">IF(P460=0,0,(13*U460+3*(V460+X460)-2*W460)/P460+INDEX(球季參數!$C$2:$C$4,MATCH($A460,球季參數!$A$2:$A$4,0)))</f>
        <v>3.69340659340659</v>
      </c>
      <c r="AE460" s="11" t="n">
        <f aca="false">IF(P460&gt;=INDEX(球季參數!$F$2:$F$4,MATCH($A460,球季參數!$A$2:$A$4,0)),1,0)</f>
        <v>0</v>
      </c>
    </row>
    <row r="461" customFormat="false" ht="15" hidden="false" customHeight="false" outlineLevel="0" collapsed="false">
      <c r="A461" s="5" t="n">
        <v>2025</v>
      </c>
      <c r="B461" s="7" t="s">
        <v>1743</v>
      </c>
      <c r="C461" s="10" t="str">
        <f aca="false">INDEX(球員主檔!$B$2:$B$749,MATCH($B461,球員主檔!$A$2:$A$749,0))</f>
        <v>Elias Castellón</v>
      </c>
      <c r="D461" s="7" t="s">
        <v>404</v>
      </c>
      <c r="E461" s="10" t="str">
        <f aca="false">INDEX(球隊主檔!$C$2:$C$31,MATCH($D461,球隊主檔!$A$2:$A$31,0))</f>
        <v>亞特蘭大勇士</v>
      </c>
      <c r="F461" s="10" t="str">
        <f aca="false">INDEX(球隊主檔!$D$2:$D$31,MATCH($D461,球隊主檔!$A$2:$A$31,0))</f>
        <v>國聯</v>
      </c>
      <c r="G461" s="7" t="s">
        <v>507</v>
      </c>
      <c r="H461" s="11" t="n">
        <f aca="false">INT((DATE($A461,7,1)-INDEX(球員主檔!$G$2:$G$749,MATCH($B461,球員主檔!$A$2:$A$749,0)))/365.25)</f>
        <v>26</v>
      </c>
      <c r="I461" s="12" t="n">
        <v>2</v>
      </c>
      <c r="J461" s="12" t="n">
        <v>6</v>
      </c>
      <c r="K461" s="12" t="n">
        <v>3</v>
      </c>
      <c r="L461" s="12" t="n">
        <v>32</v>
      </c>
      <c r="M461" s="12" t="n">
        <v>41</v>
      </c>
      <c r="N461" s="12" t="n">
        <v>0</v>
      </c>
      <c r="O461" s="12" t="n">
        <v>109</v>
      </c>
      <c r="P461" s="16" t="n">
        <f aca="false">O461/3</f>
        <v>36.3333333333333</v>
      </c>
      <c r="Q461" s="17" t="str">
        <f aca="false">INT(O461/3)&amp;"."&amp;MOD(O461,3)</f>
        <v>36.1</v>
      </c>
      <c r="R461" s="12" t="n">
        <v>27</v>
      </c>
      <c r="S461" s="12" t="n">
        <v>14</v>
      </c>
      <c r="T461" s="12" t="n">
        <v>13</v>
      </c>
      <c r="U461" s="12" t="n">
        <v>4</v>
      </c>
      <c r="V461" s="12" t="n">
        <v>11</v>
      </c>
      <c r="W461" s="12" t="n">
        <v>44</v>
      </c>
      <c r="X461" s="12" t="n">
        <v>2</v>
      </c>
      <c r="Y461" s="18" t="n">
        <f aca="false">IF(O461=0,0,T461*27/O461)</f>
        <v>3.22018348623853</v>
      </c>
      <c r="Z461" s="18" t="n">
        <f aca="false">IF(P461=0,0,(V461+R461)/P461)</f>
        <v>1.04587155963303</v>
      </c>
      <c r="AA461" s="18" t="n">
        <f aca="false">IF(O461=0,0,W461*27/O461)</f>
        <v>10.8990825688073</v>
      </c>
      <c r="AB461" s="18" t="n">
        <f aca="false">IF(O461=0,0,V461*27/O461)</f>
        <v>2.72477064220183</v>
      </c>
      <c r="AC461" s="18" t="n">
        <f aca="false">IF(V461=0,0,W461/V461)</f>
        <v>4</v>
      </c>
      <c r="AD461" s="18" t="n">
        <f aca="false">IF(P461=0,0,(13*U461+3*(V461+X461)-2*W461)/P461+INDEX(球季參數!$C$2:$C$4,MATCH($A461,球季參數!$A$2:$A$4,0)))</f>
        <v>3.18256880733945</v>
      </c>
      <c r="AE461" s="11" t="n">
        <f aca="false">IF(P461&gt;=INDEX(球季參數!$F$2:$F$4,MATCH($A461,球季參數!$A$2:$A$4,0)),1,0)</f>
        <v>0</v>
      </c>
    </row>
    <row r="462" customFormat="false" ht="15" hidden="false" customHeight="false" outlineLevel="0" collapsed="false">
      <c r="A462" s="5" t="n">
        <v>2025</v>
      </c>
      <c r="B462" s="7" t="s">
        <v>1137</v>
      </c>
      <c r="C462" s="10" t="str">
        <f aca="false">INDEX(球員主檔!$B$2:$B$749,MATCH($B462,球員主檔!$A$2:$A$749,0))</f>
        <v>Oakley Wexford</v>
      </c>
      <c r="D462" s="7" t="s">
        <v>410</v>
      </c>
      <c r="E462" s="10" t="str">
        <f aca="false">INDEX(球隊主檔!$C$2:$C$31,MATCH($D462,球隊主檔!$A$2:$A$31,0))</f>
        <v>邁阿密馬林魚</v>
      </c>
      <c r="F462" s="10" t="str">
        <f aca="false">INDEX(球隊主檔!$D$2:$D$31,MATCH($D462,球隊主檔!$A$2:$A$31,0))</f>
        <v>國聯</v>
      </c>
      <c r="G462" s="7" t="s">
        <v>496</v>
      </c>
      <c r="H462" s="11" t="n">
        <f aca="false">INT((DATE($A462,7,1)-INDEX(球員主檔!$G$2:$G$749,MATCH($B462,球員主檔!$A$2:$A$749,0)))/365.25)</f>
        <v>26</v>
      </c>
      <c r="I462" s="12" t="n">
        <v>10</v>
      </c>
      <c r="J462" s="12" t="n">
        <v>7</v>
      </c>
      <c r="K462" s="12" t="n">
        <v>0</v>
      </c>
      <c r="L462" s="12" t="n">
        <v>0</v>
      </c>
      <c r="M462" s="12" t="n">
        <v>24</v>
      </c>
      <c r="N462" s="12" t="n">
        <v>24</v>
      </c>
      <c r="O462" s="12" t="n">
        <v>400</v>
      </c>
      <c r="P462" s="16" t="n">
        <f aca="false">O462/3</f>
        <v>133.333333333333</v>
      </c>
      <c r="Q462" s="17" t="str">
        <f aca="false">INT(O462/3)&amp;"."&amp;MOD(O462,3)</f>
        <v>133.1</v>
      </c>
      <c r="R462" s="12" t="n">
        <v>117</v>
      </c>
      <c r="S462" s="12" t="n">
        <v>67</v>
      </c>
      <c r="T462" s="12" t="n">
        <v>60</v>
      </c>
      <c r="U462" s="12" t="n">
        <v>21</v>
      </c>
      <c r="V462" s="12" t="n">
        <v>68</v>
      </c>
      <c r="W462" s="12" t="n">
        <v>110</v>
      </c>
      <c r="X462" s="12" t="n">
        <v>2</v>
      </c>
      <c r="Y462" s="18" t="n">
        <f aca="false">IF(O462=0,0,T462*27/O462)</f>
        <v>4.05</v>
      </c>
      <c r="Z462" s="18" t="n">
        <f aca="false">IF(P462=0,0,(V462+R462)/P462)</f>
        <v>1.3875</v>
      </c>
      <c r="AA462" s="18" t="n">
        <f aca="false">IF(O462=0,0,W462*27/O462)</f>
        <v>7.425</v>
      </c>
      <c r="AB462" s="18" t="n">
        <f aca="false">IF(O462=0,0,V462*27/O462)</f>
        <v>4.59</v>
      </c>
      <c r="AC462" s="18" t="n">
        <f aca="false">IF(V462=0,0,W462/V462)</f>
        <v>1.61764705882353</v>
      </c>
      <c r="AD462" s="18" t="n">
        <f aca="false">IF(P462=0,0,(13*U462+3*(V462+X462)-2*W462)/P462+INDEX(球季參數!$C$2:$C$4,MATCH($A462,球季參數!$A$2:$A$4,0)))</f>
        <v>5.0725</v>
      </c>
      <c r="AE462" s="11" t="n">
        <f aca="false">IF(P462&gt;=INDEX(球季參數!$F$2:$F$4,MATCH($A462,球季參數!$A$2:$A$4,0)),1,0)</f>
        <v>0</v>
      </c>
    </row>
    <row r="463" customFormat="false" ht="15" hidden="false" customHeight="false" outlineLevel="0" collapsed="false">
      <c r="A463" s="5" t="n">
        <v>2025</v>
      </c>
      <c r="B463" s="7" t="s">
        <v>1753</v>
      </c>
      <c r="C463" s="10" t="str">
        <f aca="false">INDEX(球員主檔!$B$2:$B$749,MATCH($B463,球員主檔!$A$2:$A$749,0))</f>
        <v>Benedikt Kowalczyk</v>
      </c>
      <c r="D463" s="7" t="s">
        <v>410</v>
      </c>
      <c r="E463" s="10" t="str">
        <f aca="false">INDEX(球隊主檔!$C$2:$C$31,MATCH($D463,球隊主檔!$A$2:$A$31,0))</f>
        <v>邁阿密馬林魚</v>
      </c>
      <c r="F463" s="10" t="str">
        <f aca="false">INDEX(球隊主檔!$D$2:$D$31,MATCH($D463,球隊主檔!$A$2:$A$31,0))</f>
        <v>國聯</v>
      </c>
      <c r="G463" s="7" t="s">
        <v>496</v>
      </c>
      <c r="H463" s="11" t="n">
        <f aca="false">INT((DATE($A463,7,1)-INDEX(球員主檔!$G$2:$G$749,MATCH($B463,球員主檔!$A$2:$A$749,0)))/365.25)</f>
        <v>25</v>
      </c>
      <c r="I463" s="12" t="n">
        <v>11</v>
      </c>
      <c r="J463" s="12" t="n">
        <v>10</v>
      </c>
      <c r="K463" s="12" t="n">
        <v>0</v>
      </c>
      <c r="L463" s="12" t="n">
        <v>0</v>
      </c>
      <c r="M463" s="12" t="n">
        <v>33</v>
      </c>
      <c r="N463" s="12" t="n">
        <v>33</v>
      </c>
      <c r="O463" s="12" t="n">
        <v>571</v>
      </c>
      <c r="P463" s="16" t="n">
        <f aca="false">O463/3</f>
        <v>190.333333333333</v>
      </c>
      <c r="Q463" s="17" t="str">
        <f aca="false">INT(O463/3)&amp;"."&amp;MOD(O463,3)</f>
        <v>190.1</v>
      </c>
      <c r="R463" s="12" t="n">
        <v>174</v>
      </c>
      <c r="S463" s="12" t="n">
        <v>116</v>
      </c>
      <c r="T463" s="12" t="n">
        <v>103</v>
      </c>
      <c r="U463" s="12" t="n">
        <v>26</v>
      </c>
      <c r="V463" s="12" t="n">
        <v>70</v>
      </c>
      <c r="W463" s="12" t="n">
        <v>159</v>
      </c>
      <c r="X463" s="12" t="n">
        <v>3</v>
      </c>
      <c r="Y463" s="18" t="n">
        <f aca="false">IF(O463=0,0,T463*27/O463)</f>
        <v>4.87040280210158</v>
      </c>
      <c r="Z463" s="18" t="n">
        <f aca="false">IF(P463=0,0,(V463+R463)/P463)</f>
        <v>1.28196147110333</v>
      </c>
      <c r="AA463" s="18" t="n">
        <f aca="false">IF(O463=0,0,W463*27/O463)</f>
        <v>7.5183887915937</v>
      </c>
      <c r="AB463" s="18" t="n">
        <f aca="false">IF(O463=0,0,V463*27/O463)</f>
        <v>3.30998248686515</v>
      </c>
      <c r="AC463" s="18" t="n">
        <f aca="false">IF(V463=0,0,W463/V463)</f>
        <v>2.27142857142857</v>
      </c>
      <c r="AD463" s="18" t="n">
        <f aca="false">IF(P463=0,0,(13*U463+3*(V463+X463)-2*W463)/P463+INDEX(球季參數!$C$2:$C$4,MATCH($A463,球季參數!$A$2:$A$4,0)))</f>
        <v>4.35569176882662</v>
      </c>
      <c r="AE463" s="11" t="n">
        <f aca="false">IF(P463&gt;=INDEX(球季參數!$F$2:$F$4,MATCH($A463,球季參數!$A$2:$A$4,0)),1,0)</f>
        <v>1</v>
      </c>
    </row>
    <row r="464" customFormat="false" ht="15" hidden="false" customHeight="false" outlineLevel="0" collapsed="false">
      <c r="A464" s="5" t="n">
        <v>2025</v>
      </c>
      <c r="B464" s="7" t="s">
        <v>1141</v>
      </c>
      <c r="C464" s="10" t="str">
        <f aca="false">INDEX(球員主檔!$B$2:$B$749,MATCH($B464,球員主檔!$A$2:$A$749,0))</f>
        <v>Benedikt Zamarripa</v>
      </c>
      <c r="D464" s="7" t="s">
        <v>410</v>
      </c>
      <c r="E464" s="10" t="str">
        <f aca="false">INDEX(球隊主檔!$C$2:$C$31,MATCH($D464,球隊主檔!$A$2:$A$31,0))</f>
        <v>邁阿密馬林魚</v>
      </c>
      <c r="F464" s="10" t="str">
        <f aca="false">INDEX(球隊主檔!$D$2:$D$31,MATCH($D464,球隊主檔!$A$2:$A$31,0))</f>
        <v>國聯</v>
      </c>
      <c r="G464" s="7" t="s">
        <v>496</v>
      </c>
      <c r="H464" s="11" t="n">
        <f aca="false">INT((DATE($A464,7,1)-INDEX(球員主檔!$G$2:$G$749,MATCH($B464,球員主檔!$A$2:$A$749,0)))/365.25)</f>
        <v>31</v>
      </c>
      <c r="I464" s="12" t="n">
        <v>14</v>
      </c>
      <c r="J464" s="12" t="n">
        <v>10</v>
      </c>
      <c r="K464" s="12" t="n">
        <v>0</v>
      </c>
      <c r="L464" s="12" t="n">
        <v>0</v>
      </c>
      <c r="M464" s="12" t="n">
        <v>33</v>
      </c>
      <c r="N464" s="12" t="n">
        <v>33</v>
      </c>
      <c r="O464" s="12" t="n">
        <v>533</v>
      </c>
      <c r="P464" s="16" t="n">
        <f aca="false">O464/3</f>
        <v>177.666666666667</v>
      </c>
      <c r="Q464" s="17" t="str">
        <f aca="false">INT(O464/3)&amp;"."&amp;MOD(O464,3)</f>
        <v>177.2</v>
      </c>
      <c r="R464" s="12" t="n">
        <v>164</v>
      </c>
      <c r="S464" s="12" t="n">
        <v>102</v>
      </c>
      <c r="T464" s="12" t="n">
        <v>101</v>
      </c>
      <c r="U464" s="12" t="n">
        <v>18</v>
      </c>
      <c r="V464" s="12" t="n">
        <v>82</v>
      </c>
      <c r="W464" s="12" t="n">
        <v>167</v>
      </c>
      <c r="X464" s="12" t="n">
        <v>6</v>
      </c>
      <c r="Y464" s="18" t="n">
        <f aca="false">IF(O464=0,0,T464*27/O464)</f>
        <v>5.11632270168856</v>
      </c>
      <c r="Z464" s="18" t="n">
        <f aca="false">IF(P464=0,0,(V464+R464)/P464)</f>
        <v>1.38461538461538</v>
      </c>
      <c r="AA464" s="18" t="n">
        <f aca="false">IF(O464=0,0,W464*27/O464)</f>
        <v>8.45966228893058</v>
      </c>
      <c r="AB464" s="18" t="n">
        <f aca="false">IF(O464=0,0,V464*27/O464)</f>
        <v>4.15384615384615</v>
      </c>
      <c r="AC464" s="18" t="n">
        <f aca="false">IF(V464=0,0,W464/V464)</f>
        <v>2.03658536585366</v>
      </c>
      <c r="AD464" s="18" t="n">
        <f aca="false">IF(P464=0,0,(13*U464+3*(V464+X464)-2*W464)/P464+INDEX(球季參數!$C$2:$C$4,MATCH($A464,球季參數!$A$2:$A$4,0)))</f>
        <v>4.02307692307692</v>
      </c>
      <c r="AE464" s="11" t="n">
        <f aca="false">IF(P464&gt;=INDEX(球季參數!$F$2:$F$4,MATCH($A464,球季參數!$A$2:$A$4,0)),1,0)</f>
        <v>1</v>
      </c>
    </row>
    <row r="465" customFormat="false" ht="15" hidden="false" customHeight="false" outlineLevel="0" collapsed="false">
      <c r="A465" s="5" t="n">
        <v>2025</v>
      </c>
      <c r="B465" s="7" t="s">
        <v>1143</v>
      </c>
      <c r="C465" s="10" t="str">
        <f aca="false">INDEX(球員主檔!$B$2:$B$749,MATCH($B465,球員主檔!$A$2:$A$749,0))</f>
        <v>Minjae Esquivel</v>
      </c>
      <c r="D465" s="7" t="s">
        <v>410</v>
      </c>
      <c r="E465" s="10" t="str">
        <f aca="false">INDEX(球隊主檔!$C$2:$C$31,MATCH($D465,球隊主檔!$A$2:$A$31,0))</f>
        <v>邁阿密馬林魚</v>
      </c>
      <c r="F465" s="10" t="str">
        <f aca="false">INDEX(球隊主檔!$D$2:$D$31,MATCH($D465,球隊主檔!$A$2:$A$31,0))</f>
        <v>國聯</v>
      </c>
      <c r="G465" s="7" t="s">
        <v>496</v>
      </c>
      <c r="H465" s="11" t="n">
        <f aca="false">INT((DATE($A465,7,1)-INDEX(球員主檔!$G$2:$G$749,MATCH($B465,球員主檔!$A$2:$A$749,0)))/365.25)</f>
        <v>24</v>
      </c>
      <c r="I465" s="12" t="n">
        <v>12</v>
      </c>
      <c r="J465" s="12" t="n">
        <v>7</v>
      </c>
      <c r="K465" s="12" t="n">
        <v>0</v>
      </c>
      <c r="L465" s="12" t="n">
        <v>0</v>
      </c>
      <c r="M465" s="12" t="n">
        <v>28</v>
      </c>
      <c r="N465" s="12" t="n">
        <v>28</v>
      </c>
      <c r="O465" s="12" t="n">
        <v>527</v>
      </c>
      <c r="P465" s="16" t="n">
        <f aca="false">O465/3</f>
        <v>175.666666666667</v>
      </c>
      <c r="Q465" s="17" t="str">
        <f aca="false">INT(O465/3)&amp;"."&amp;MOD(O465,3)</f>
        <v>175.2</v>
      </c>
      <c r="R465" s="12" t="n">
        <v>126</v>
      </c>
      <c r="S465" s="12" t="n">
        <v>75</v>
      </c>
      <c r="T465" s="12" t="n">
        <v>66</v>
      </c>
      <c r="U465" s="12" t="n">
        <v>20</v>
      </c>
      <c r="V465" s="12" t="n">
        <v>35</v>
      </c>
      <c r="W465" s="12" t="n">
        <v>130</v>
      </c>
      <c r="X465" s="12" t="n">
        <v>3</v>
      </c>
      <c r="Y465" s="18" t="n">
        <f aca="false">IF(O465=0,0,T465*27/O465)</f>
        <v>3.38140417457306</v>
      </c>
      <c r="Z465" s="18" t="n">
        <f aca="false">IF(P465=0,0,(V465+R465)/P465)</f>
        <v>0.916508538899431</v>
      </c>
      <c r="AA465" s="18" t="n">
        <f aca="false">IF(O465=0,0,W465*27/O465)</f>
        <v>6.66034155597723</v>
      </c>
      <c r="AB465" s="18" t="n">
        <f aca="false">IF(O465=0,0,V465*27/O465)</f>
        <v>1.79316888045541</v>
      </c>
      <c r="AC465" s="18" t="n">
        <f aca="false">IF(V465=0,0,W465/V465)</f>
        <v>3.71428571428571</v>
      </c>
      <c r="AD465" s="18" t="n">
        <f aca="false">IF(P465=0,0,(13*U465+3*(V465+X465)-2*W465)/P465+INDEX(球季參數!$C$2:$C$4,MATCH($A465,球季參數!$A$2:$A$4,0)))</f>
        <v>3.74895635673624</v>
      </c>
      <c r="AE465" s="11" t="n">
        <f aca="false">IF(P465&gt;=INDEX(球季參數!$F$2:$F$4,MATCH($A465,球季參數!$A$2:$A$4,0)),1,0)</f>
        <v>1</v>
      </c>
    </row>
    <row r="466" customFormat="false" ht="15" hidden="false" customHeight="false" outlineLevel="0" collapsed="false">
      <c r="A466" s="5" t="n">
        <v>2025</v>
      </c>
      <c r="B466" s="7" t="s">
        <v>1145</v>
      </c>
      <c r="C466" s="10" t="str">
        <f aca="false">INDEX(球員主檔!$B$2:$B$749,MATCH($B466,球員主檔!$A$2:$A$749,0))</f>
        <v>Ronin Zielinski</v>
      </c>
      <c r="D466" s="7" t="s">
        <v>410</v>
      </c>
      <c r="E466" s="10" t="str">
        <f aca="false">INDEX(球隊主檔!$C$2:$C$31,MATCH($D466,球隊主檔!$A$2:$A$31,0))</f>
        <v>邁阿密馬林魚</v>
      </c>
      <c r="F466" s="10" t="str">
        <f aca="false">INDEX(球隊主檔!$D$2:$D$31,MATCH($D466,球隊主檔!$A$2:$A$31,0))</f>
        <v>國聯</v>
      </c>
      <c r="G466" s="7" t="s">
        <v>496</v>
      </c>
      <c r="H466" s="11" t="n">
        <f aca="false">INT((DATE($A466,7,1)-INDEX(球員主檔!$G$2:$G$749,MATCH($B466,球員主檔!$A$2:$A$749,0)))/365.25)</f>
        <v>31</v>
      </c>
      <c r="I466" s="12" t="n">
        <v>11</v>
      </c>
      <c r="J466" s="12" t="n">
        <v>4</v>
      </c>
      <c r="K466" s="12" t="n">
        <v>0</v>
      </c>
      <c r="L466" s="12" t="n">
        <v>0</v>
      </c>
      <c r="M466" s="12" t="n">
        <v>28</v>
      </c>
      <c r="N466" s="12" t="n">
        <v>28</v>
      </c>
      <c r="O466" s="12" t="n">
        <v>472</v>
      </c>
      <c r="P466" s="16" t="n">
        <f aca="false">O466/3</f>
        <v>157.333333333333</v>
      </c>
      <c r="Q466" s="17" t="str">
        <f aca="false">INT(O466/3)&amp;"."&amp;MOD(O466,3)</f>
        <v>157.1</v>
      </c>
      <c r="R466" s="12" t="n">
        <v>124</v>
      </c>
      <c r="S466" s="12" t="n">
        <v>73</v>
      </c>
      <c r="T466" s="12" t="n">
        <v>65</v>
      </c>
      <c r="U466" s="12" t="n">
        <v>15</v>
      </c>
      <c r="V466" s="12" t="n">
        <v>43</v>
      </c>
      <c r="W466" s="12" t="n">
        <v>91</v>
      </c>
      <c r="X466" s="12" t="n">
        <v>5</v>
      </c>
      <c r="Y466" s="18" t="n">
        <f aca="false">IF(O466=0,0,T466*27/O466)</f>
        <v>3.71822033898305</v>
      </c>
      <c r="Z466" s="18" t="n">
        <f aca="false">IF(P466=0,0,(V466+R466)/P466)</f>
        <v>1.0614406779661</v>
      </c>
      <c r="AA466" s="18" t="n">
        <f aca="false">IF(O466=0,0,W466*27/O466)</f>
        <v>5.20550847457627</v>
      </c>
      <c r="AB466" s="18" t="n">
        <f aca="false">IF(O466=0,0,V466*27/O466)</f>
        <v>2.45974576271186</v>
      </c>
      <c r="AC466" s="18" t="n">
        <f aca="false">IF(V466=0,0,W466/V466)</f>
        <v>2.11627906976744</v>
      </c>
      <c r="AD466" s="18" t="n">
        <f aca="false">IF(P466=0,0,(13*U466+3*(V466+X466)-2*W466)/P466+INDEX(球季參數!$C$2:$C$4,MATCH($A466,球季參數!$A$2:$A$4,0)))</f>
        <v>4.0978813559322</v>
      </c>
      <c r="AE466" s="11" t="n">
        <f aca="false">IF(P466&gt;=INDEX(球季參數!$F$2:$F$4,MATCH($A466,球季參數!$A$2:$A$4,0)),1,0)</f>
        <v>0</v>
      </c>
    </row>
    <row r="467" customFormat="false" ht="15" hidden="false" customHeight="false" outlineLevel="0" collapsed="false">
      <c r="A467" s="5" t="n">
        <v>2025</v>
      </c>
      <c r="B467" s="7" t="s">
        <v>1147</v>
      </c>
      <c r="C467" s="10" t="str">
        <f aca="false">INDEX(球員主檔!$B$2:$B$749,MATCH($B467,球員主檔!$A$2:$A$749,0))</f>
        <v>Cassius Wainwright</v>
      </c>
      <c r="D467" s="7" t="s">
        <v>410</v>
      </c>
      <c r="E467" s="10" t="str">
        <f aca="false">INDEX(球隊主檔!$C$2:$C$31,MATCH($D467,球隊主檔!$A$2:$A$31,0))</f>
        <v>邁阿密馬林魚</v>
      </c>
      <c r="F467" s="10" t="str">
        <f aca="false">INDEX(球隊主檔!$D$2:$D$31,MATCH($D467,球隊主檔!$A$2:$A$31,0))</f>
        <v>國聯</v>
      </c>
      <c r="G467" s="7" t="s">
        <v>507</v>
      </c>
      <c r="H467" s="11" t="n">
        <f aca="false">INT((DATE($A467,7,1)-INDEX(球員主檔!$G$2:$G$749,MATCH($B467,球員主檔!$A$2:$A$749,0)))/365.25)</f>
        <v>31</v>
      </c>
      <c r="I467" s="12" t="n">
        <v>9</v>
      </c>
      <c r="J467" s="12" t="n">
        <v>6</v>
      </c>
      <c r="K467" s="12" t="n">
        <v>2</v>
      </c>
      <c r="L467" s="12" t="n">
        <v>31</v>
      </c>
      <c r="M467" s="12" t="n">
        <v>62</v>
      </c>
      <c r="N467" s="12" t="n">
        <v>0</v>
      </c>
      <c r="O467" s="12" t="n">
        <v>192</v>
      </c>
      <c r="P467" s="16" t="n">
        <f aca="false">O467/3</f>
        <v>64</v>
      </c>
      <c r="Q467" s="17" t="str">
        <f aca="false">INT(O467/3)&amp;"."&amp;MOD(O467,3)</f>
        <v>64.0</v>
      </c>
      <c r="R467" s="12" t="n">
        <v>64</v>
      </c>
      <c r="S467" s="12" t="n">
        <v>40</v>
      </c>
      <c r="T467" s="12" t="n">
        <v>39</v>
      </c>
      <c r="U467" s="12" t="n">
        <v>6</v>
      </c>
      <c r="V467" s="12" t="n">
        <v>25</v>
      </c>
      <c r="W467" s="12" t="n">
        <v>60</v>
      </c>
      <c r="X467" s="12" t="n">
        <v>2</v>
      </c>
      <c r="Y467" s="18" t="n">
        <f aca="false">IF(O467=0,0,T467*27/O467)</f>
        <v>5.484375</v>
      </c>
      <c r="Z467" s="18" t="n">
        <f aca="false">IF(P467=0,0,(V467+R467)/P467)</f>
        <v>1.390625</v>
      </c>
      <c r="AA467" s="18" t="n">
        <f aca="false">IF(O467=0,0,W467*27/O467)</f>
        <v>8.4375</v>
      </c>
      <c r="AB467" s="18" t="n">
        <f aca="false">IF(O467=0,0,V467*27/O467)</f>
        <v>3.515625</v>
      </c>
      <c r="AC467" s="18" t="n">
        <f aca="false">IF(V467=0,0,W467/V467)</f>
        <v>2.4</v>
      </c>
      <c r="AD467" s="18" t="n">
        <f aca="false">IF(P467=0,0,(13*U467+3*(V467+X467)-2*W467)/P467+INDEX(球季參數!$C$2:$C$4,MATCH($A467,球季參數!$A$2:$A$4,0)))</f>
        <v>3.709375</v>
      </c>
      <c r="AE467" s="11" t="n">
        <f aca="false">IF(P467&gt;=INDEX(球季參數!$F$2:$F$4,MATCH($A467,球季參數!$A$2:$A$4,0)),1,0)</f>
        <v>0</v>
      </c>
    </row>
    <row r="468" customFormat="false" ht="15" hidden="false" customHeight="false" outlineLevel="0" collapsed="false">
      <c r="A468" s="5" t="n">
        <v>2025</v>
      </c>
      <c r="B468" s="7" t="s">
        <v>1149</v>
      </c>
      <c r="C468" s="10" t="str">
        <f aca="false">INDEX(球員主檔!$B$2:$B$749,MATCH($B468,球員主檔!$A$2:$A$749,0))</f>
        <v>Bernardo Fontaine</v>
      </c>
      <c r="D468" s="7" t="s">
        <v>410</v>
      </c>
      <c r="E468" s="10" t="str">
        <f aca="false">INDEX(球隊主檔!$C$2:$C$31,MATCH($D468,球隊主檔!$A$2:$A$31,0))</f>
        <v>邁阿密馬林魚</v>
      </c>
      <c r="F468" s="10" t="str">
        <f aca="false">INDEX(球隊主檔!$D$2:$D$31,MATCH($D468,球隊主檔!$A$2:$A$31,0))</f>
        <v>國聯</v>
      </c>
      <c r="G468" s="7" t="s">
        <v>507</v>
      </c>
      <c r="H468" s="11" t="n">
        <f aca="false">INT((DATE($A468,7,1)-INDEX(球員主檔!$G$2:$G$749,MATCH($B468,球員主檔!$A$2:$A$749,0)))/365.25)</f>
        <v>27</v>
      </c>
      <c r="I468" s="12" t="n">
        <v>8</v>
      </c>
      <c r="J468" s="12" t="n">
        <v>3</v>
      </c>
      <c r="K468" s="12" t="n">
        <v>3</v>
      </c>
      <c r="L468" s="12" t="n">
        <v>5</v>
      </c>
      <c r="M468" s="12" t="n">
        <v>69</v>
      </c>
      <c r="N468" s="12" t="n">
        <v>0</v>
      </c>
      <c r="O468" s="12" t="n">
        <v>199</v>
      </c>
      <c r="P468" s="16" t="n">
        <f aca="false">O468/3</f>
        <v>66.3333333333333</v>
      </c>
      <c r="Q468" s="17" t="str">
        <f aca="false">INT(O468/3)&amp;"."&amp;MOD(O468,3)</f>
        <v>66.1</v>
      </c>
      <c r="R468" s="12" t="n">
        <v>60</v>
      </c>
      <c r="S468" s="12" t="n">
        <v>34</v>
      </c>
      <c r="T468" s="12" t="n">
        <v>32</v>
      </c>
      <c r="U468" s="12" t="n">
        <v>6</v>
      </c>
      <c r="V468" s="12" t="n">
        <v>20</v>
      </c>
      <c r="W468" s="12" t="n">
        <v>49</v>
      </c>
      <c r="X468" s="12" t="n">
        <v>2</v>
      </c>
      <c r="Y468" s="18" t="n">
        <f aca="false">IF(O468=0,0,T468*27/O468)</f>
        <v>4.34170854271357</v>
      </c>
      <c r="Z468" s="18" t="n">
        <f aca="false">IF(P468=0,0,(V468+R468)/P468)</f>
        <v>1.20603015075377</v>
      </c>
      <c r="AA468" s="18" t="n">
        <f aca="false">IF(O468=0,0,W468*27/O468)</f>
        <v>6.64824120603015</v>
      </c>
      <c r="AB468" s="18" t="n">
        <f aca="false">IF(O468=0,0,V468*27/O468)</f>
        <v>2.71356783919598</v>
      </c>
      <c r="AC468" s="18" t="n">
        <f aca="false">IF(V468=0,0,W468/V468)</f>
        <v>2.45</v>
      </c>
      <c r="AD468" s="18" t="n">
        <f aca="false">IF(P468=0,0,(13*U468+3*(V468+X468)-2*W468)/P468+INDEX(球季參數!$C$2:$C$4,MATCH($A468,球季參數!$A$2:$A$4,0)))</f>
        <v>3.79346733668342</v>
      </c>
      <c r="AE468" s="11" t="n">
        <f aca="false">IF(P468&gt;=INDEX(球季參數!$F$2:$F$4,MATCH($A468,球季參數!$A$2:$A$4,0)),1,0)</f>
        <v>0</v>
      </c>
    </row>
    <row r="469" customFormat="false" ht="15" hidden="false" customHeight="false" outlineLevel="0" collapsed="false">
      <c r="A469" s="5" t="n">
        <v>2025</v>
      </c>
      <c r="B469" s="7" t="s">
        <v>1151</v>
      </c>
      <c r="C469" s="10" t="str">
        <f aca="false">INDEX(球員主檔!$B$2:$B$749,MATCH($B469,球員主檔!$A$2:$A$749,0))</f>
        <v>Rintaro Castellón</v>
      </c>
      <c r="D469" s="7" t="s">
        <v>410</v>
      </c>
      <c r="E469" s="10" t="str">
        <f aca="false">INDEX(球隊主檔!$C$2:$C$31,MATCH($D469,球隊主檔!$A$2:$A$31,0))</f>
        <v>邁阿密馬林魚</v>
      </c>
      <c r="F469" s="10" t="str">
        <f aca="false">INDEX(球隊主檔!$D$2:$D$31,MATCH($D469,球隊主檔!$A$2:$A$31,0))</f>
        <v>國聯</v>
      </c>
      <c r="G469" s="7" t="s">
        <v>507</v>
      </c>
      <c r="H469" s="11" t="n">
        <f aca="false">INT((DATE($A469,7,1)-INDEX(球員主檔!$G$2:$G$749,MATCH($B469,球員主檔!$A$2:$A$749,0)))/365.25)</f>
        <v>33</v>
      </c>
      <c r="I469" s="12" t="n">
        <v>3</v>
      </c>
      <c r="J469" s="12" t="n">
        <v>7</v>
      </c>
      <c r="K469" s="12" t="n">
        <v>6</v>
      </c>
      <c r="L469" s="12" t="n">
        <v>7</v>
      </c>
      <c r="M469" s="12" t="n">
        <v>42</v>
      </c>
      <c r="N469" s="12" t="n">
        <v>0</v>
      </c>
      <c r="O469" s="12" t="n">
        <v>114</v>
      </c>
      <c r="P469" s="16" t="n">
        <f aca="false">O469/3</f>
        <v>38</v>
      </c>
      <c r="Q469" s="17" t="str">
        <f aca="false">INT(O469/3)&amp;"."&amp;MOD(O469,3)</f>
        <v>38.0</v>
      </c>
      <c r="R469" s="12" t="n">
        <v>31</v>
      </c>
      <c r="S469" s="12" t="n">
        <v>19</v>
      </c>
      <c r="T469" s="12" t="n">
        <v>17</v>
      </c>
      <c r="U469" s="12" t="n">
        <v>3</v>
      </c>
      <c r="V469" s="12" t="n">
        <v>8</v>
      </c>
      <c r="W469" s="12" t="n">
        <v>41</v>
      </c>
      <c r="X469" s="12" t="n">
        <v>2</v>
      </c>
      <c r="Y469" s="18" t="n">
        <f aca="false">IF(O469=0,0,T469*27/O469)</f>
        <v>4.02631578947368</v>
      </c>
      <c r="Z469" s="18" t="n">
        <f aca="false">IF(P469=0,0,(V469+R469)/P469)</f>
        <v>1.02631578947368</v>
      </c>
      <c r="AA469" s="18" t="n">
        <f aca="false">IF(O469=0,0,W469*27/O469)</f>
        <v>9.71052631578947</v>
      </c>
      <c r="AB469" s="18" t="n">
        <f aca="false">IF(O469=0,0,V469*27/O469)</f>
        <v>1.89473684210526</v>
      </c>
      <c r="AC469" s="18" t="n">
        <f aca="false">IF(V469=0,0,W469/V469)</f>
        <v>5.125</v>
      </c>
      <c r="AD469" s="18" t="n">
        <f aca="false">IF(P469=0,0,(13*U469+3*(V469+X469)-2*W469)/P469+INDEX(球季參數!$C$2:$C$4,MATCH($A469,球季參數!$A$2:$A$4,0)))</f>
        <v>2.75789473684211</v>
      </c>
      <c r="AE469" s="11" t="n">
        <f aca="false">IF(P469&gt;=INDEX(球季參數!$F$2:$F$4,MATCH($A469,球季參數!$A$2:$A$4,0)),1,0)</f>
        <v>0</v>
      </c>
    </row>
    <row r="470" customFormat="false" ht="15" hidden="false" customHeight="false" outlineLevel="0" collapsed="false">
      <c r="A470" s="5" t="n">
        <v>2025</v>
      </c>
      <c r="B470" s="7" t="s">
        <v>1153</v>
      </c>
      <c r="C470" s="10" t="str">
        <f aca="false">INDEX(球員主檔!$B$2:$B$749,MATCH($B470,球員主檔!$A$2:$A$749,0))</f>
        <v>Soren Vandermeer</v>
      </c>
      <c r="D470" s="7" t="s">
        <v>410</v>
      </c>
      <c r="E470" s="10" t="str">
        <f aca="false">INDEX(球隊主檔!$C$2:$C$31,MATCH($D470,球隊主檔!$A$2:$A$31,0))</f>
        <v>邁阿密馬林魚</v>
      </c>
      <c r="F470" s="10" t="str">
        <f aca="false">INDEX(球隊主檔!$D$2:$D$31,MATCH($D470,球隊主檔!$A$2:$A$31,0))</f>
        <v>國聯</v>
      </c>
      <c r="G470" s="7" t="s">
        <v>507</v>
      </c>
      <c r="H470" s="11" t="n">
        <f aca="false">INT((DATE($A470,7,1)-INDEX(球員主檔!$G$2:$G$749,MATCH($B470,球員主檔!$A$2:$A$749,0)))/365.25)</f>
        <v>27</v>
      </c>
      <c r="I470" s="12" t="n">
        <v>7</v>
      </c>
      <c r="J470" s="12" t="n">
        <v>0</v>
      </c>
      <c r="K470" s="12" t="n">
        <v>6</v>
      </c>
      <c r="L470" s="12" t="n">
        <v>8</v>
      </c>
      <c r="M470" s="12" t="n">
        <v>70</v>
      </c>
      <c r="N470" s="12" t="n">
        <v>0</v>
      </c>
      <c r="O470" s="12" t="n">
        <v>209</v>
      </c>
      <c r="P470" s="16" t="n">
        <f aca="false">O470/3</f>
        <v>69.6666666666667</v>
      </c>
      <c r="Q470" s="17" t="str">
        <f aca="false">INT(O470/3)&amp;"."&amp;MOD(O470,3)</f>
        <v>69.2</v>
      </c>
      <c r="R470" s="12" t="n">
        <v>55</v>
      </c>
      <c r="S470" s="12" t="n">
        <v>30</v>
      </c>
      <c r="T470" s="12" t="n">
        <v>27</v>
      </c>
      <c r="U470" s="12" t="n">
        <v>12</v>
      </c>
      <c r="V470" s="12" t="n">
        <v>14</v>
      </c>
      <c r="W470" s="12" t="n">
        <v>76</v>
      </c>
      <c r="X470" s="12" t="n">
        <v>2</v>
      </c>
      <c r="Y470" s="18" t="n">
        <f aca="false">IF(O470=0,0,T470*27/O470)</f>
        <v>3.48803827751196</v>
      </c>
      <c r="Z470" s="18" t="n">
        <f aca="false">IF(P470=0,0,(V470+R470)/P470)</f>
        <v>0.990430622009569</v>
      </c>
      <c r="AA470" s="18" t="n">
        <f aca="false">IF(O470=0,0,W470*27/O470)</f>
        <v>9.81818181818182</v>
      </c>
      <c r="AB470" s="18" t="n">
        <f aca="false">IF(O470=0,0,V470*27/O470)</f>
        <v>1.80861244019139</v>
      </c>
      <c r="AC470" s="18" t="n">
        <f aca="false">IF(V470=0,0,W470/V470)</f>
        <v>5.42857142857143</v>
      </c>
      <c r="AD470" s="18" t="n">
        <f aca="false">IF(P470=0,0,(13*U470+3*(V470+X470)-2*W470)/P470+INDEX(球季參數!$C$2:$C$4,MATCH($A470,球季參數!$A$2:$A$4,0)))</f>
        <v>3.84641148325359</v>
      </c>
      <c r="AE470" s="11" t="n">
        <f aca="false">IF(P470&gt;=INDEX(球季參數!$F$2:$F$4,MATCH($A470,球季參數!$A$2:$A$4,0)),1,0)</f>
        <v>0</v>
      </c>
    </row>
    <row r="471" customFormat="false" ht="15" hidden="false" customHeight="false" outlineLevel="0" collapsed="false">
      <c r="A471" s="5" t="n">
        <v>2025</v>
      </c>
      <c r="B471" s="7" t="s">
        <v>1755</v>
      </c>
      <c r="C471" s="10" t="str">
        <f aca="false">INDEX(球員主檔!$B$2:$B$749,MATCH($B471,球員主檔!$A$2:$A$749,0))</f>
        <v>Barrett Montalvo</v>
      </c>
      <c r="D471" s="7" t="s">
        <v>410</v>
      </c>
      <c r="E471" s="10" t="str">
        <f aca="false">INDEX(球隊主檔!$C$2:$C$31,MATCH($D471,球隊主檔!$A$2:$A$31,0))</f>
        <v>邁阿密馬林魚</v>
      </c>
      <c r="F471" s="10" t="str">
        <f aca="false">INDEX(球隊主檔!$D$2:$D$31,MATCH($D471,球隊主檔!$A$2:$A$31,0))</f>
        <v>國聯</v>
      </c>
      <c r="G471" s="7" t="s">
        <v>507</v>
      </c>
      <c r="H471" s="11" t="n">
        <f aca="false">INT((DATE($A471,7,1)-INDEX(球員主檔!$G$2:$G$749,MATCH($B471,球員主檔!$A$2:$A$749,0)))/365.25)</f>
        <v>23</v>
      </c>
      <c r="I471" s="12" t="n">
        <v>8</v>
      </c>
      <c r="J471" s="12" t="n">
        <v>7</v>
      </c>
      <c r="K471" s="12" t="n">
        <v>1</v>
      </c>
      <c r="L471" s="12" t="n">
        <v>20</v>
      </c>
      <c r="M471" s="12" t="n">
        <v>38</v>
      </c>
      <c r="N471" s="12" t="n">
        <v>0</v>
      </c>
      <c r="O471" s="12" t="n">
        <v>102</v>
      </c>
      <c r="P471" s="16" t="n">
        <f aca="false">O471/3</f>
        <v>34</v>
      </c>
      <c r="Q471" s="17" t="str">
        <f aca="false">INT(O471/3)&amp;"."&amp;MOD(O471,3)</f>
        <v>34.0</v>
      </c>
      <c r="R471" s="12" t="n">
        <v>25</v>
      </c>
      <c r="S471" s="12" t="n">
        <v>14</v>
      </c>
      <c r="T471" s="12" t="n">
        <v>13</v>
      </c>
      <c r="U471" s="12" t="n">
        <v>2</v>
      </c>
      <c r="V471" s="12" t="n">
        <v>9</v>
      </c>
      <c r="W471" s="12" t="n">
        <v>31</v>
      </c>
      <c r="X471" s="12" t="n">
        <v>0</v>
      </c>
      <c r="Y471" s="18" t="n">
        <f aca="false">IF(O471=0,0,T471*27/O471)</f>
        <v>3.44117647058824</v>
      </c>
      <c r="Z471" s="18" t="n">
        <f aca="false">IF(P471=0,0,(V471+R471)/P471)</f>
        <v>1</v>
      </c>
      <c r="AA471" s="18" t="n">
        <f aca="false">IF(O471=0,0,W471*27/O471)</f>
        <v>8.20588235294118</v>
      </c>
      <c r="AB471" s="18" t="n">
        <f aca="false">IF(O471=0,0,V471*27/O471)</f>
        <v>2.38235294117647</v>
      </c>
      <c r="AC471" s="18" t="n">
        <f aca="false">IF(V471=0,0,W471/V471)</f>
        <v>3.44444444444444</v>
      </c>
      <c r="AD471" s="18" t="n">
        <f aca="false">IF(P471=0,0,(13*U471+3*(V471+X471)-2*W471)/P471+INDEX(球季參數!$C$2:$C$4,MATCH($A471,球季參數!$A$2:$A$4,0)))</f>
        <v>2.83529411764706</v>
      </c>
      <c r="AE471" s="11" t="n">
        <f aca="false">IF(P471&gt;=INDEX(球季參數!$F$2:$F$4,MATCH($A471,球季參數!$A$2:$A$4,0)),1,0)</f>
        <v>0</v>
      </c>
    </row>
    <row r="472" customFormat="false" ht="15" hidden="false" customHeight="false" outlineLevel="0" collapsed="false">
      <c r="A472" s="5" t="n">
        <v>2025</v>
      </c>
      <c r="B472" s="7" t="s">
        <v>1177</v>
      </c>
      <c r="C472" s="10" t="str">
        <f aca="false">INDEX(球員主檔!$B$2:$B$749,MATCH($B472,球員主檔!$A$2:$A$749,0))</f>
        <v>Camilo Tremblay</v>
      </c>
      <c r="D472" s="7" t="s">
        <v>414</v>
      </c>
      <c r="E472" s="10" t="str">
        <f aca="false">INDEX(球隊主檔!$C$2:$C$31,MATCH($D472,球隊主檔!$A$2:$A$31,0))</f>
        <v>紐約大都會</v>
      </c>
      <c r="F472" s="10" t="str">
        <f aca="false">INDEX(球隊主檔!$D$2:$D$31,MATCH($D472,球隊主檔!$A$2:$A$31,0))</f>
        <v>國聯</v>
      </c>
      <c r="G472" s="7" t="s">
        <v>496</v>
      </c>
      <c r="H472" s="11" t="n">
        <f aca="false">INT((DATE($A472,7,1)-INDEX(球員主檔!$G$2:$G$749,MATCH($B472,球員主檔!$A$2:$A$749,0)))/365.25)</f>
        <v>33</v>
      </c>
      <c r="I472" s="12" t="n">
        <v>11</v>
      </c>
      <c r="J472" s="12" t="n">
        <v>6</v>
      </c>
      <c r="K472" s="12" t="n">
        <v>0</v>
      </c>
      <c r="L472" s="12" t="n">
        <v>0</v>
      </c>
      <c r="M472" s="12" t="n">
        <v>22</v>
      </c>
      <c r="N472" s="12" t="n">
        <v>22</v>
      </c>
      <c r="O472" s="12" t="n">
        <v>378</v>
      </c>
      <c r="P472" s="16" t="n">
        <f aca="false">O472/3</f>
        <v>126</v>
      </c>
      <c r="Q472" s="17" t="str">
        <f aca="false">INT(O472/3)&amp;"."&amp;MOD(O472,3)</f>
        <v>126.0</v>
      </c>
      <c r="R472" s="12" t="n">
        <v>106</v>
      </c>
      <c r="S472" s="12" t="n">
        <v>66</v>
      </c>
      <c r="T472" s="12" t="n">
        <v>59</v>
      </c>
      <c r="U472" s="12" t="n">
        <v>13</v>
      </c>
      <c r="V472" s="12" t="n">
        <v>56</v>
      </c>
      <c r="W472" s="12" t="n">
        <v>92</v>
      </c>
      <c r="X472" s="12" t="n">
        <v>4</v>
      </c>
      <c r="Y472" s="18" t="n">
        <f aca="false">IF(O472=0,0,T472*27/O472)</f>
        <v>4.21428571428571</v>
      </c>
      <c r="Z472" s="18" t="n">
        <f aca="false">IF(P472=0,0,(V472+R472)/P472)</f>
        <v>1.28571428571429</v>
      </c>
      <c r="AA472" s="18" t="n">
        <f aca="false">IF(O472=0,0,W472*27/O472)</f>
        <v>6.57142857142857</v>
      </c>
      <c r="AB472" s="18" t="n">
        <f aca="false">IF(O472=0,0,V472*27/O472)</f>
        <v>4</v>
      </c>
      <c r="AC472" s="18" t="n">
        <f aca="false">IF(V472=0,0,W472/V472)</f>
        <v>1.64285714285714</v>
      </c>
      <c r="AD472" s="18" t="n">
        <f aca="false">IF(P472=0,0,(13*U472+3*(V472+X472)-2*W472)/P472+INDEX(球季參數!$C$2:$C$4,MATCH($A472,球季參數!$A$2:$A$4,0)))</f>
        <v>4.40952380952381</v>
      </c>
      <c r="AE472" s="11" t="n">
        <f aca="false">IF(P472&gt;=INDEX(球季參數!$F$2:$F$4,MATCH($A472,球季參數!$A$2:$A$4,0)),1,0)</f>
        <v>0</v>
      </c>
    </row>
    <row r="473" customFormat="false" ht="15" hidden="false" customHeight="false" outlineLevel="0" collapsed="false">
      <c r="A473" s="5" t="n">
        <v>2025</v>
      </c>
      <c r="B473" s="7" t="s">
        <v>1179</v>
      </c>
      <c r="C473" s="10" t="str">
        <f aca="false">INDEX(球員主檔!$B$2:$B$749,MATCH($B473,球員主檔!$A$2:$A$749,0))</f>
        <v>Alonso Ulloa</v>
      </c>
      <c r="D473" s="7" t="s">
        <v>414</v>
      </c>
      <c r="E473" s="10" t="str">
        <f aca="false">INDEX(球隊主檔!$C$2:$C$31,MATCH($D473,球隊主檔!$A$2:$A$31,0))</f>
        <v>紐約大都會</v>
      </c>
      <c r="F473" s="10" t="str">
        <f aca="false">INDEX(球隊主檔!$D$2:$D$31,MATCH($D473,球隊主檔!$A$2:$A$31,0))</f>
        <v>國聯</v>
      </c>
      <c r="G473" s="7" t="s">
        <v>496</v>
      </c>
      <c r="H473" s="11" t="n">
        <f aca="false">INT((DATE($A473,7,1)-INDEX(球員主檔!$G$2:$G$749,MATCH($B473,球員主檔!$A$2:$A$749,0)))/365.25)</f>
        <v>27</v>
      </c>
      <c r="I473" s="12" t="n">
        <v>8</v>
      </c>
      <c r="J473" s="12" t="n">
        <v>6</v>
      </c>
      <c r="K473" s="12" t="n">
        <v>0</v>
      </c>
      <c r="L473" s="12" t="n">
        <v>0</v>
      </c>
      <c r="M473" s="12" t="n">
        <v>21</v>
      </c>
      <c r="N473" s="12" t="n">
        <v>21</v>
      </c>
      <c r="O473" s="12" t="n">
        <v>357</v>
      </c>
      <c r="P473" s="16" t="n">
        <f aca="false">O473/3</f>
        <v>119</v>
      </c>
      <c r="Q473" s="17" t="str">
        <f aca="false">INT(O473/3)&amp;"."&amp;MOD(O473,3)</f>
        <v>119.0</v>
      </c>
      <c r="R473" s="12" t="n">
        <v>99</v>
      </c>
      <c r="S473" s="12" t="n">
        <v>63</v>
      </c>
      <c r="T473" s="12" t="n">
        <v>56</v>
      </c>
      <c r="U473" s="12" t="n">
        <v>23</v>
      </c>
      <c r="V473" s="12" t="n">
        <v>47</v>
      </c>
      <c r="W473" s="12" t="n">
        <v>112</v>
      </c>
      <c r="X473" s="12" t="n">
        <v>2</v>
      </c>
      <c r="Y473" s="18" t="n">
        <f aca="false">IF(O473=0,0,T473*27/O473)</f>
        <v>4.23529411764706</v>
      </c>
      <c r="Z473" s="18" t="n">
        <f aca="false">IF(P473=0,0,(V473+R473)/P473)</f>
        <v>1.22689075630252</v>
      </c>
      <c r="AA473" s="18" t="n">
        <f aca="false">IF(O473=0,0,W473*27/O473)</f>
        <v>8.47058823529412</v>
      </c>
      <c r="AB473" s="18" t="n">
        <f aca="false">IF(O473=0,0,V473*27/O473)</f>
        <v>3.5546218487395</v>
      </c>
      <c r="AC473" s="18" t="n">
        <f aca="false">IF(V473=0,0,W473/V473)</f>
        <v>2.38297872340426</v>
      </c>
      <c r="AD473" s="18" t="n">
        <f aca="false">IF(P473=0,0,(13*U473+3*(V473+X473)-2*W473)/P473+INDEX(球季參數!$C$2:$C$4,MATCH($A473,球季參數!$A$2:$A$4,0)))</f>
        <v>4.9655462184874</v>
      </c>
      <c r="AE473" s="11" t="n">
        <f aca="false">IF(P473&gt;=INDEX(球季參數!$F$2:$F$4,MATCH($A473,球季參數!$A$2:$A$4,0)),1,0)</f>
        <v>0</v>
      </c>
    </row>
    <row r="474" customFormat="false" ht="15" hidden="false" customHeight="false" outlineLevel="0" collapsed="false">
      <c r="A474" s="5" t="n">
        <v>2025</v>
      </c>
      <c r="B474" s="7" t="s">
        <v>1181</v>
      </c>
      <c r="C474" s="10" t="str">
        <f aca="false">INDEX(球員主檔!$B$2:$B$749,MATCH($B474,球員主檔!$A$2:$A$749,0))</f>
        <v>Matthias Whitmore</v>
      </c>
      <c r="D474" s="7" t="s">
        <v>414</v>
      </c>
      <c r="E474" s="10" t="str">
        <f aca="false">INDEX(球隊主檔!$C$2:$C$31,MATCH($D474,球隊主檔!$A$2:$A$31,0))</f>
        <v>紐約大都會</v>
      </c>
      <c r="F474" s="10" t="str">
        <f aca="false">INDEX(球隊主檔!$D$2:$D$31,MATCH($D474,球隊主檔!$A$2:$A$31,0))</f>
        <v>國聯</v>
      </c>
      <c r="G474" s="7" t="s">
        <v>496</v>
      </c>
      <c r="H474" s="11" t="n">
        <f aca="false">INT((DATE($A474,7,1)-INDEX(球員主檔!$G$2:$G$749,MATCH($B474,球員主檔!$A$2:$A$749,0)))/365.25)</f>
        <v>29</v>
      </c>
      <c r="I474" s="12" t="n">
        <v>14</v>
      </c>
      <c r="J474" s="12" t="n">
        <v>4</v>
      </c>
      <c r="K474" s="12" t="n">
        <v>0</v>
      </c>
      <c r="L474" s="12" t="n">
        <v>0</v>
      </c>
      <c r="M474" s="12" t="n">
        <v>27</v>
      </c>
      <c r="N474" s="12" t="n">
        <v>27</v>
      </c>
      <c r="O474" s="12" t="n">
        <v>484</v>
      </c>
      <c r="P474" s="16" t="n">
        <f aca="false">O474/3</f>
        <v>161.333333333333</v>
      </c>
      <c r="Q474" s="17" t="str">
        <f aca="false">INT(O474/3)&amp;"."&amp;MOD(O474,3)</f>
        <v>161.1</v>
      </c>
      <c r="R474" s="12" t="n">
        <v>127</v>
      </c>
      <c r="S474" s="12" t="n">
        <v>68</v>
      </c>
      <c r="T474" s="12" t="n">
        <v>60</v>
      </c>
      <c r="U474" s="12" t="n">
        <v>26</v>
      </c>
      <c r="V474" s="12" t="n">
        <v>50</v>
      </c>
      <c r="W474" s="12" t="n">
        <v>119</v>
      </c>
      <c r="X474" s="12" t="n">
        <v>2</v>
      </c>
      <c r="Y474" s="18" t="n">
        <f aca="false">IF(O474=0,0,T474*27/O474)</f>
        <v>3.34710743801653</v>
      </c>
      <c r="Z474" s="18" t="n">
        <f aca="false">IF(P474=0,0,(V474+R474)/P474)</f>
        <v>1.09710743801653</v>
      </c>
      <c r="AA474" s="18" t="n">
        <f aca="false">IF(O474=0,0,W474*27/O474)</f>
        <v>6.63842975206612</v>
      </c>
      <c r="AB474" s="18" t="n">
        <f aca="false">IF(O474=0,0,V474*27/O474)</f>
        <v>2.78925619834711</v>
      </c>
      <c r="AC474" s="18" t="n">
        <f aca="false">IF(V474=0,0,W474/V474)</f>
        <v>2.38</v>
      </c>
      <c r="AD474" s="18" t="n">
        <f aca="false">IF(P474=0,0,(13*U474+3*(V474+X474)-2*W474)/P474+INDEX(球季參數!$C$2:$C$4,MATCH($A474,球季參數!$A$2:$A$4,0)))</f>
        <v>4.68677685950413</v>
      </c>
      <c r="AE474" s="11" t="n">
        <f aca="false">IF(P474&gt;=INDEX(球季參數!$F$2:$F$4,MATCH($A474,球季參數!$A$2:$A$4,0)),1,0)</f>
        <v>0</v>
      </c>
    </row>
    <row r="475" customFormat="false" ht="15" hidden="false" customHeight="false" outlineLevel="0" collapsed="false">
      <c r="A475" s="5" t="n">
        <v>2025</v>
      </c>
      <c r="B475" s="7" t="s">
        <v>1183</v>
      </c>
      <c r="C475" s="10" t="str">
        <f aca="false">INDEX(球員主檔!$B$2:$B$749,MATCH($B475,球員主檔!$A$2:$A$749,0))</f>
        <v>Wyatt Castellón</v>
      </c>
      <c r="D475" s="7" t="s">
        <v>414</v>
      </c>
      <c r="E475" s="10" t="str">
        <f aca="false">INDEX(球隊主檔!$C$2:$C$31,MATCH($D475,球隊主檔!$A$2:$A$31,0))</f>
        <v>紐約大都會</v>
      </c>
      <c r="F475" s="10" t="str">
        <f aca="false">INDEX(球隊主檔!$D$2:$D$31,MATCH($D475,球隊主檔!$A$2:$A$31,0))</f>
        <v>國聯</v>
      </c>
      <c r="G475" s="7" t="s">
        <v>496</v>
      </c>
      <c r="H475" s="11" t="n">
        <f aca="false">INT((DATE($A475,7,1)-INDEX(球員主檔!$G$2:$G$749,MATCH($B475,球員主檔!$A$2:$A$749,0)))/365.25)</f>
        <v>24</v>
      </c>
      <c r="I475" s="12" t="n">
        <v>7</v>
      </c>
      <c r="J475" s="12" t="n">
        <v>11</v>
      </c>
      <c r="K475" s="12" t="n">
        <v>0</v>
      </c>
      <c r="L475" s="12" t="n">
        <v>0</v>
      </c>
      <c r="M475" s="12" t="n">
        <v>26</v>
      </c>
      <c r="N475" s="12" t="n">
        <v>26</v>
      </c>
      <c r="O475" s="12" t="n">
        <v>459</v>
      </c>
      <c r="P475" s="16" t="n">
        <f aca="false">O475/3</f>
        <v>153</v>
      </c>
      <c r="Q475" s="17" t="str">
        <f aca="false">INT(O475/3)&amp;"."&amp;MOD(O475,3)</f>
        <v>153.0</v>
      </c>
      <c r="R475" s="12" t="n">
        <v>145</v>
      </c>
      <c r="S475" s="12" t="n">
        <v>115</v>
      </c>
      <c r="T475" s="12" t="n">
        <v>102</v>
      </c>
      <c r="U475" s="12" t="n">
        <v>18</v>
      </c>
      <c r="V475" s="12" t="n">
        <v>49</v>
      </c>
      <c r="W475" s="12" t="n">
        <v>101</v>
      </c>
      <c r="X475" s="12" t="n">
        <v>2</v>
      </c>
      <c r="Y475" s="18" t="n">
        <f aca="false">IF(O475=0,0,T475*27/O475)</f>
        <v>6</v>
      </c>
      <c r="Z475" s="18" t="n">
        <f aca="false">IF(P475=0,0,(V475+R475)/P475)</f>
        <v>1.26797385620915</v>
      </c>
      <c r="AA475" s="18" t="n">
        <f aca="false">IF(O475=0,0,W475*27/O475)</f>
        <v>5.94117647058824</v>
      </c>
      <c r="AB475" s="18" t="n">
        <f aca="false">IF(O475=0,0,V475*27/O475)</f>
        <v>2.88235294117647</v>
      </c>
      <c r="AC475" s="18" t="n">
        <f aca="false">IF(V475=0,0,W475/V475)</f>
        <v>2.06122448979592</v>
      </c>
      <c r="AD475" s="18" t="n">
        <f aca="false">IF(P475=0,0,(13*U475+3*(V475+X475)-2*W475)/P475+INDEX(球季參數!$C$2:$C$4,MATCH($A475,球季參數!$A$2:$A$4,0)))</f>
        <v>4.30915032679739</v>
      </c>
      <c r="AE475" s="11" t="n">
        <f aca="false">IF(P475&gt;=INDEX(球季參數!$F$2:$F$4,MATCH($A475,球季參數!$A$2:$A$4,0)),1,0)</f>
        <v>0</v>
      </c>
    </row>
    <row r="476" customFormat="false" ht="15" hidden="false" customHeight="false" outlineLevel="0" collapsed="false">
      <c r="A476" s="5" t="n">
        <v>2025</v>
      </c>
      <c r="B476" s="7" t="s">
        <v>1185</v>
      </c>
      <c r="C476" s="10" t="str">
        <f aca="false">INDEX(球員主檔!$B$2:$B$749,MATCH($B476,球員主檔!$A$2:$A$749,0))</f>
        <v>Percival Garrity</v>
      </c>
      <c r="D476" s="7" t="s">
        <v>414</v>
      </c>
      <c r="E476" s="10" t="str">
        <f aca="false">INDEX(球隊主檔!$C$2:$C$31,MATCH($D476,球隊主檔!$A$2:$A$31,0))</f>
        <v>紐約大都會</v>
      </c>
      <c r="F476" s="10" t="str">
        <f aca="false">INDEX(球隊主檔!$D$2:$D$31,MATCH($D476,球隊主檔!$A$2:$A$31,0))</f>
        <v>國聯</v>
      </c>
      <c r="G476" s="7" t="s">
        <v>496</v>
      </c>
      <c r="H476" s="11" t="n">
        <f aca="false">INT((DATE($A476,7,1)-INDEX(球員主檔!$G$2:$G$749,MATCH($B476,球員主檔!$A$2:$A$749,0)))/365.25)</f>
        <v>30</v>
      </c>
      <c r="I476" s="12" t="n">
        <v>9</v>
      </c>
      <c r="J476" s="12" t="n">
        <v>5</v>
      </c>
      <c r="K476" s="12" t="n">
        <v>0</v>
      </c>
      <c r="L476" s="12" t="n">
        <v>0</v>
      </c>
      <c r="M476" s="12" t="n">
        <v>25</v>
      </c>
      <c r="N476" s="12" t="n">
        <v>25</v>
      </c>
      <c r="O476" s="12" t="n">
        <v>430</v>
      </c>
      <c r="P476" s="16" t="n">
        <f aca="false">O476/3</f>
        <v>143.333333333333</v>
      </c>
      <c r="Q476" s="17" t="str">
        <f aca="false">INT(O476/3)&amp;"."&amp;MOD(O476,3)</f>
        <v>143.1</v>
      </c>
      <c r="R476" s="12" t="n">
        <v>120</v>
      </c>
      <c r="S476" s="12" t="n">
        <v>59</v>
      </c>
      <c r="T476" s="12" t="n">
        <v>54</v>
      </c>
      <c r="U476" s="12" t="n">
        <v>6</v>
      </c>
      <c r="V476" s="12" t="n">
        <v>43</v>
      </c>
      <c r="W476" s="12" t="n">
        <v>102</v>
      </c>
      <c r="X476" s="12" t="n">
        <v>3</v>
      </c>
      <c r="Y476" s="18" t="n">
        <f aca="false">IF(O476=0,0,T476*27/O476)</f>
        <v>3.39069767441861</v>
      </c>
      <c r="Z476" s="18" t="n">
        <f aca="false">IF(P476=0,0,(V476+R476)/P476)</f>
        <v>1.13720930232558</v>
      </c>
      <c r="AA476" s="18" t="n">
        <f aca="false">IF(O476=0,0,W476*27/O476)</f>
        <v>6.4046511627907</v>
      </c>
      <c r="AB476" s="18" t="n">
        <f aca="false">IF(O476=0,0,V476*27/O476)</f>
        <v>2.7</v>
      </c>
      <c r="AC476" s="18" t="n">
        <f aca="false">IF(V476=0,0,W476/V476)</f>
        <v>2.37209302325581</v>
      </c>
      <c r="AD476" s="18" t="n">
        <f aca="false">IF(P476=0,0,(13*U476+3*(V476+X476)-2*W476)/P476+INDEX(球季參數!$C$2:$C$4,MATCH($A476,球季參數!$A$2:$A$4,0)))</f>
        <v>3.18372093023256</v>
      </c>
      <c r="AE476" s="11" t="n">
        <f aca="false">IF(P476&gt;=INDEX(球季參數!$F$2:$F$4,MATCH($A476,球季參數!$A$2:$A$4,0)),1,0)</f>
        <v>0</v>
      </c>
    </row>
    <row r="477" customFormat="false" ht="15" hidden="false" customHeight="false" outlineLevel="0" collapsed="false">
      <c r="A477" s="5" t="n">
        <v>2025</v>
      </c>
      <c r="B477" s="7" t="s">
        <v>1187</v>
      </c>
      <c r="C477" s="10" t="str">
        <f aca="false">INDEX(球員主檔!$B$2:$B$749,MATCH($B477,球員主檔!$A$2:$A$749,0))</f>
        <v>Soren Villalobos</v>
      </c>
      <c r="D477" s="7" t="s">
        <v>414</v>
      </c>
      <c r="E477" s="10" t="str">
        <f aca="false">INDEX(球隊主檔!$C$2:$C$31,MATCH($D477,球隊主檔!$A$2:$A$31,0))</f>
        <v>紐約大都會</v>
      </c>
      <c r="F477" s="10" t="str">
        <f aca="false">INDEX(球隊主檔!$D$2:$D$31,MATCH($D477,球隊主檔!$A$2:$A$31,0))</f>
        <v>國聯</v>
      </c>
      <c r="G477" s="7" t="s">
        <v>507</v>
      </c>
      <c r="H477" s="11" t="n">
        <f aca="false">INT((DATE($A477,7,1)-INDEX(球員主檔!$G$2:$G$749,MATCH($B477,球員主檔!$A$2:$A$749,0)))/365.25)</f>
        <v>24</v>
      </c>
      <c r="I477" s="12" t="n">
        <v>4</v>
      </c>
      <c r="J477" s="12" t="n">
        <v>7</v>
      </c>
      <c r="K477" s="12" t="n">
        <v>27</v>
      </c>
      <c r="L477" s="12" t="n">
        <v>0</v>
      </c>
      <c r="M477" s="12" t="n">
        <v>63</v>
      </c>
      <c r="N477" s="12" t="n">
        <v>0</v>
      </c>
      <c r="O477" s="12" t="n">
        <v>173</v>
      </c>
      <c r="P477" s="16" t="n">
        <f aca="false">O477/3</f>
        <v>57.6666666666667</v>
      </c>
      <c r="Q477" s="17" t="str">
        <f aca="false">INT(O477/3)&amp;"."&amp;MOD(O477,3)</f>
        <v>57.2</v>
      </c>
      <c r="R477" s="12" t="n">
        <v>41</v>
      </c>
      <c r="S477" s="12" t="n">
        <v>19</v>
      </c>
      <c r="T477" s="12" t="n">
        <v>17</v>
      </c>
      <c r="U477" s="12" t="n">
        <v>5</v>
      </c>
      <c r="V477" s="12" t="n">
        <v>14</v>
      </c>
      <c r="W477" s="12" t="n">
        <v>54</v>
      </c>
      <c r="X477" s="12" t="n">
        <v>3</v>
      </c>
      <c r="Y477" s="18" t="n">
        <f aca="false">IF(O477=0,0,T477*27/O477)</f>
        <v>2.65317919075145</v>
      </c>
      <c r="Z477" s="18" t="n">
        <f aca="false">IF(P477=0,0,(V477+R477)/P477)</f>
        <v>0.953757225433526</v>
      </c>
      <c r="AA477" s="18" t="n">
        <f aca="false">IF(O477=0,0,W477*27/O477)</f>
        <v>8.42774566473988</v>
      </c>
      <c r="AB477" s="18" t="n">
        <f aca="false">IF(O477=0,0,V477*27/O477)</f>
        <v>2.1849710982659</v>
      </c>
      <c r="AC477" s="18" t="n">
        <f aca="false">IF(V477=0,0,W477/V477)</f>
        <v>3.85714285714286</v>
      </c>
      <c r="AD477" s="18" t="n">
        <f aca="false">IF(P477=0,0,(13*U477+3*(V477+X477)-2*W477)/P477+INDEX(球季參數!$C$2:$C$4,MATCH($A477,球季參數!$A$2:$A$4,0)))</f>
        <v>3.23872832369942</v>
      </c>
      <c r="AE477" s="11" t="n">
        <f aca="false">IF(P477&gt;=INDEX(球季參數!$F$2:$F$4,MATCH($A477,球季參數!$A$2:$A$4,0)),1,0)</f>
        <v>0</v>
      </c>
    </row>
    <row r="478" customFormat="false" ht="15" hidden="false" customHeight="false" outlineLevel="0" collapsed="false">
      <c r="A478" s="5" t="n">
        <v>2025</v>
      </c>
      <c r="B478" s="7" t="s">
        <v>1189</v>
      </c>
      <c r="C478" s="10" t="str">
        <f aca="false">INDEX(球員主檔!$B$2:$B$749,MATCH($B478,球員主檔!$A$2:$A$749,0))</f>
        <v>Isaias Thorsby</v>
      </c>
      <c r="D478" s="7" t="s">
        <v>414</v>
      </c>
      <c r="E478" s="10" t="str">
        <f aca="false">INDEX(球隊主檔!$C$2:$C$31,MATCH($D478,球隊主檔!$A$2:$A$31,0))</f>
        <v>紐約大都會</v>
      </c>
      <c r="F478" s="10" t="str">
        <f aca="false">INDEX(球隊主檔!$D$2:$D$31,MATCH($D478,球隊主檔!$A$2:$A$31,0))</f>
        <v>國聯</v>
      </c>
      <c r="G478" s="7" t="s">
        <v>507</v>
      </c>
      <c r="H478" s="11" t="n">
        <f aca="false">INT((DATE($A478,7,1)-INDEX(球員主檔!$G$2:$G$749,MATCH($B478,球員主檔!$A$2:$A$749,0)))/365.25)</f>
        <v>25</v>
      </c>
      <c r="I478" s="12" t="n">
        <v>1</v>
      </c>
      <c r="J478" s="12" t="n">
        <v>8</v>
      </c>
      <c r="K478" s="12" t="n">
        <v>0</v>
      </c>
      <c r="L478" s="12" t="n">
        <v>13</v>
      </c>
      <c r="M478" s="12" t="n">
        <v>66</v>
      </c>
      <c r="N478" s="12" t="n">
        <v>0</v>
      </c>
      <c r="O478" s="12" t="n">
        <v>175</v>
      </c>
      <c r="P478" s="16" t="n">
        <f aca="false">O478/3</f>
        <v>58.3333333333333</v>
      </c>
      <c r="Q478" s="17" t="str">
        <f aca="false">INT(O478/3)&amp;"."&amp;MOD(O478,3)</f>
        <v>58.1</v>
      </c>
      <c r="R478" s="12" t="n">
        <v>48</v>
      </c>
      <c r="S478" s="12" t="n">
        <v>24</v>
      </c>
      <c r="T478" s="12" t="n">
        <v>24</v>
      </c>
      <c r="U478" s="12" t="n">
        <v>8</v>
      </c>
      <c r="V478" s="12" t="n">
        <v>29</v>
      </c>
      <c r="W478" s="12" t="n">
        <v>41</v>
      </c>
      <c r="X478" s="12" t="n">
        <v>3</v>
      </c>
      <c r="Y478" s="18" t="n">
        <f aca="false">IF(O478=0,0,T478*27/O478)</f>
        <v>3.70285714285714</v>
      </c>
      <c r="Z478" s="18" t="n">
        <f aca="false">IF(P478=0,0,(V478+R478)/P478)</f>
        <v>1.32</v>
      </c>
      <c r="AA478" s="18" t="n">
        <f aca="false">IF(O478=0,0,W478*27/O478)</f>
        <v>6.32571428571429</v>
      </c>
      <c r="AB478" s="18" t="n">
        <f aca="false">IF(O478=0,0,V478*27/O478)</f>
        <v>4.47428571428571</v>
      </c>
      <c r="AC478" s="18" t="n">
        <f aca="false">IF(V478=0,0,W478/V478)</f>
        <v>1.41379310344828</v>
      </c>
      <c r="AD478" s="18" t="n">
        <f aca="false">IF(P478=0,0,(13*U478+3*(V478+X478)-2*W478)/P478+INDEX(球季參數!$C$2:$C$4,MATCH($A478,球季參數!$A$2:$A$4,0)))</f>
        <v>5.12285714285714</v>
      </c>
      <c r="AE478" s="11" t="n">
        <f aca="false">IF(P478&gt;=INDEX(球季參數!$F$2:$F$4,MATCH($A478,球季參數!$A$2:$A$4,0)),1,0)</f>
        <v>0</v>
      </c>
    </row>
    <row r="479" customFormat="false" ht="15" hidden="false" customHeight="false" outlineLevel="0" collapsed="false">
      <c r="A479" s="5" t="n">
        <v>2025</v>
      </c>
      <c r="B479" s="7" t="s">
        <v>1191</v>
      </c>
      <c r="C479" s="10" t="str">
        <f aca="false">INDEX(球員主檔!$B$2:$B$749,MATCH($B479,球員主檔!$A$2:$A$749,0))</f>
        <v>Niklas Ibarra</v>
      </c>
      <c r="D479" s="7" t="s">
        <v>414</v>
      </c>
      <c r="E479" s="10" t="str">
        <f aca="false">INDEX(球隊主檔!$C$2:$C$31,MATCH($D479,球隊主檔!$A$2:$A$31,0))</f>
        <v>紐約大都會</v>
      </c>
      <c r="F479" s="10" t="str">
        <f aca="false">INDEX(球隊主檔!$D$2:$D$31,MATCH($D479,球隊主檔!$A$2:$A$31,0))</f>
        <v>國聯</v>
      </c>
      <c r="G479" s="7" t="s">
        <v>507</v>
      </c>
      <c r="H479" s="11" t="n">
        <f aca="false">INT((DATE($A479,7,1)-INDEX(球員主檔!$G$2:$G$749,MATCH($B479,球員主檔!$A$2:$A$749,0)))/365.25)</f>
        <v>28</v>
      </c>
      <c r="I479" s="12" t="n">
        <v>9</v>
      </c>
      <c r="J479" s="12" t="n">
        <v>0</v>
      </c>
      <c r="K479" s="12" t="n">
        <v>1</v>
      </c>
      <c r="L479" s="12" t="n">
        <v>23</v>
      </c>
      <c r="M479" s="12" t="n">
        <v>57</v>
      </c>
      <c r="N479" s="12" t="n">
        <v>0</v>
      </c>
      <c r="O479" s="12" t="n">
        <v>157</v>
      </c>
      <c r="P479" s="16" t="n">
        <f aca="false">O479/3</f>
        <v>52.3333333333333</v>
      </c>
      <c r="Q479" s="17" t="str">
        <f aca="false">INT(O479/3)&amp;"."&amp;MOD(O479,3)</f>
        <v>52.1</v>
      </c>
      <c r="R479" s="12" t="n">
        <v>49</v>
      </c>
      <c r="S479" s="12" t="n">
        <v>29</v>
      </c>
      <c r="T479" s="12" t="n">
        <v>28</v>
      </c>
      <c r="U479" s="12" t="n">
        <v>9</v>
      </c>
      <c r="V479" s="12" t="n">
        <v>13</v>
      </c>
      <c r="W479" s="12" t="n">
        <v>46</v>
      </c>
      <c r="X479" s="12" t="n">
        <v>2</v>
      </c>
      <c r="Y479" s="18" t="n">
        <f aca="false">IF(O479=0,0,T479*27/O479)</f>
        <v>4.81528662420382</v>
      </c>
      <c r="Z479" s="18" t="n">
        <f aca="false">IF(P479=0,0,(V479+R479)/P479)</f>
        <v>1.18471337579618</v>
      </c>
      <c r="AA479" s="18" t="n">
        <f aca="false">IF(O479=0,0,W479*27/O479)</f>
        <v>7.91082802547771</v>
      </c>
      <c r="AB479" s="18" t="n">
        <f aca="false">IF(O479=0,0,V479*27/O479)</f>
        <v>2.23566878980892</v>
      </c>
      <c r="AC479" s="18" t="n">
        <f aca="false">IF(V479=0,0,W479/V479)</f>
        <v>3.53846153846154</v>
      </c>
      <c r="AD479" s="18" t="n">
        <f aca="false">IF(P479=0,0,(13*U479+3*(V479+X479)-2*W479)/P479+INDEX(球季參數!$C$2:$C$4,MATCH($A479,球季參數!$A$2:$A$4,0)))</f>
        <v>4.4375796178344</v>
      </c>
      <c r="AE479" s="11" t="n">
        <f aca="false">IF(P479&gt;=INDEX(球季參數!$F$2:$F$4,MATCH($A479,球季參數!$A$2:$A$4,0)),1,0)</f>
        <v>0</v>
      </c>
    </row>
    <row r="480" customFormat="false" ht="15" hidden="false" customHeight="false" outlineLevel="0" collapsed="false">
      <c r="A480" s="5" t="n">
        <v>2025</v>
      </c>
      <c r="B480" s="7" t="s">
        <v>1761</v>
      </c>
      <c r="C480" s="10" t="str">
        <f aca="false">INDEX(球員主檔!$B$2:$B$749,MATCH($B480,球員主檔!$A$2:$A$749,0))</f>
        <v>Ulises Dubois</v>
      </c>
      <c r="D480" s="7" t="s">
        <v>414</v>
      </c>
      <c r="E480" s="10" t="str">
        <f aca="false">INDEX(球隊主檔!$C$2:$C$31,MATCH($D480,球隊主檔!$A$2:$A$31,0))</f>
        <v>紐約大都會</v>
      </c>
      <c r="F480" s="10" t="str">
        <f aca="false">INDEX(球隊主檔!$D$2:$D$31,MATCH($D480,球隊主檔!$A$2:$A$31,0))</f>
        <v>國聯</v>
      </c>
      <c r="G480" s="7" t="s">
        <v>507</v>
      </c>
      <c r="H480" s="11" t="n">
        <f aca="false">INT((DATE($A480,7,1)-INDEX(球員主檔!$G$2:$G$749,MATCH($B480,球員主檔!$A$2:$A$749,0)))/365.25)</f>
        <v>24</v>
      </c>
      <c r="I480" s="12" t="n">
        <v>1</v>
      </c>
      <c r="J480" s="12" t="n">
        <v>5</v>
      </c>
      <c r="K480" s="12" t="n">
        <v>0</v>
      </c>
      <c r="L480" s="12" t="n">
        <v>8</v>
      </c>
      <c r="M480" s="12" t="n">
        <v>73</v>
      </c>
      <c r="N480" s="12" t="n">
        <v>0</v>
      </c>
      <c r="O480" s="12" t="n">
        <v>234</v>
      </c>
      <c r="P480" s="16" t="n">
        <f aca="false">O480/3</f>
        <v>78</v>
      </c>
      <c r="Q480" s="17" t="str">
        <f aca="false">INT(O480/3)&amp;"."&amp;MOD(O480,3)</f>
        <v>78.0</v>
      </c>
      <c r="R480" s="12" t="n">
        <v>72</v>
      </c>
      <c r="S480" s="12" t="n">
        <v>51</v>
      </c>
      <c r="T480" s="12" t="n">
        <v>49</v>
      </c>
      <c r="U480" s="12" t="n">
        <v>10</v>
      </c>
      <c r="V480" s="12" t="n">
        <v>25</v>
      </c>
      <c r="W480" s="12" t="n">
        <v>91</v>
      </c>
      <c r="X480" s="12" t="n">
        <v>3</v>
      </c>
      <c r="Y480" s="18" t="n">
        <f aca="false">IF(O480=0,0,T480*27/O480)</f>
        <v>5.65384615384615</v>
      </c>
      <c r="Z480" s="18" t="n">
        <f aca="false">IF(P480=0,0,(V480+R480)/P480)</f>
        <v>1.24358974358974</v>
      </c>
      <c r="AA480" s="18" t="n">
        <f aca="false">IF(O480=0,0,W480*27/O480)</f>
        <v>10.5</v>
      </c>
      <c r="AB480" s="18" t="n">
        <f aca="false">IF(O480=0,0,V480*27/O480)</f>
        <v>2.88461538461538</v>
      </c>
      <c r="AC480" s="18" t="n">
        <f aca="false">IF(V480=0,0,W480/V480)</f>
        <v>3.64</v>
      </c>
      <c r="AD480" s="18" t="n">
        <f aca="false">IF(P480=0,0,(13*U480+3*(V480+X480)-2*W480)/P480+INDEX(球季參數!$C$2:$C$4,MATCH($A480,球季參數!$A$2:$A$4,0)))</f>
        <v>3.51025641025641</v>
      </c>
      <c r="AE480" s="11" t="n">
        <f aca="false">IF(P480&gt;=INDEX(球季參數!$F$2:$F$4,MATCH($A480,球季參數!$A$2:$A$4,0)),1,0)</f>
        <v>0</v>
      </c>
    </row>
    <row r="481" customFormat="false" ht="15" hidden="false" customHeight="false" outlineLevel="0" collapsed="false">
      <c r="A481" s="5" t="n">
        <v>2025</v>
      </c>
      <c r="B481" s="7" t="s">
        <v>1763</v>
      </c>
      <c r="C481" s="10" t="str">
        <f aca="false">INDEX(球員主檔!$B$2:$B$749,MATCH($B481,球員主檔!$A$2:$A$749,0))</f>
        <v>Vicente Ingersoll</v>
      </c>
      <c r="D481" s="7" t="s">
        <v>414</v>
      </c>
      <c r="E481" s="10" t="str">
        <f aca="false">INDEX(球隊主檔!$C$2:$C$31,MATCH($D481,球隊主檔!$A$2:$A$31,0))</f>
        <v>紐約大都會</v>
      </c>
      <c r="F481" s="10" t="str">
        <f aca="false">INDEX(球隊主檔!$D$2:$D$31,MATCH($D481,球隊主檔!$A$2:$A$31,0))</f>
        <v>國聯</v>
      </c>
      <c r="G481" s="7" t="s">
        <v>507</v>
      </c>
      <c r="H481" s="11" t="n">
        <f aca="false">INT((DATE($A481,7,1)-INDEX(球員主檔!$G$2:$G$749,MATCH($B481,球員主檔!$A$2:$A$749,0)))/365.25)</f>
        <v>26</v>
      </c>
      <c r="I481" s="12" t="n">
        <v>2</v>
      </c>
      <c r="J481" s="12" t="n">
        <v>6</v>
      </c>
      <c r="K481" s="12" t="n">
        <v>5</v>
      </c>
      <c r="L481" s="12" t="n">
        <v>9</v>
      </c>
      <c r="M481" s="12" t="n">
        <v>64</v>
      </c>
      <c r="N481" s="12" t="n">
        <v>0</v>
      </c>
      <c r="O481" s="12" t="n">
        <v>168</v>
      </c>
      <c r="P481" s="16" t="n">
        <f aca="false">O481/3</f>
        <v>56</v>
      </c>
      <c r="Q481" s="17" t="str">
        <f aca="false">INT(O481/3)&amp;"."&amp;MOD(O481,3)</f>
        <v>56.0</v>
      </c>
      <c r="R481" s="12" t="n">
        <v>44</v>
      </c>
      <c r="S481" s="12" t="n">
        <v>25</v>
      </c>
      <c r="T481" s="12" t="n">
        <v>23</v>
      </c>
      <c r="U481" s="12" t="n">
        <v>11</v>
      </c>
      <c r="V481" s="12" t="n">
        <v>28</v>
      </c>
      <c r="W481" s="12" t="n">
        <v>76</v>
      </c>
      <c r="X481" s="12" t="n">
        <v>2</v>
      </c>
      <c r="Y481" s="18" t="n">
        <f aca="false">IF(O481=0,0,T481*27/O481)</f>
        <v>3.69642857142857</v>
      </c>
      <c r="Z481" s="18" t="n">
        <f aca="false">IF(P481=0,0,(V481+R481)/P481)</f>
        <v>1.28571428571429</v>
      </c>
      <c r="AA481" s="18" t="n">
        <f aca="false">IF(O481=0,0,W481*27/O481)</f>
        <v>12.2142857142857</v>
      </c>
      <c r="AB481" s="18" t="n">
        <f aca="false">IF(O481=0,0,V481*27/O481)</f>
        <v>4.5</v>
      </c>
      <c r="AC481" s="18" t="n">
        <f aca="false">IF(V481=0,0,W481/V481)</f>
        <v>2.71428571428571</v>
      </c>
      <c r="AD481" s="18" t="n">
        <f aca="false">IF(P481=0,0,(13*U481+3*(V481+X481)-2*W481)/P481+INDEX(球季參數!$C$2:$C$4,MATCH($A481,球季參數!$A$2:$A$4,0)))</f>
        <v>4.54642857142857</v>
      </c>
      <c r="AE481" s="11" t="n">
        <f aca="false">IF(P481&gt;=INDEX(球季參數!$F$2:$F$4,MATCH($A481,球季參數!$A$2:$A$4,0)),1,0)</f>
        <v>0</v>
      </c>
    </row>
    <row r="482" customFormat="false" ht="15" hidden="false" customHeight="false" outlineLevel="0" collapsed="false">
      <c r="A482" s="5" t="n">
        <v>2025</v>
      </c>
      <c r="B482" s="7" t="s">
        <v>1217</v>
      </c>
      <c r="C482" s="10" t="str">
        <f aca="false">INDEX(球員主檔!$B$2:$B$749,MATCH($B482,球員主檔!$A$2:$A$749,0))</f>
        <v>Ignacio Goddard</v>
      </c>
      <c r="D482" s="7" t="s">
        <v>418</v>
      </c>
      <c r="E482" s="10" t="str">
        <f aca="false">INDEX(球隊主檔!$C$2:$C$31,MATCH($D482,球隊主檔!$A$2:$A$31,0))</f>
        <v>費城費城人</v>
      </c>
      <c r="F482" s="10" t="str">
        <f aca="false">INDEX(球隊主檔!$D$2:$D$31,MATCH($D482,球隊主檔!$A$2:$A$31,0))</f>
        <v>國聯</v>
      </c>
      <c r="G482" s="7" t="s">
        <v>496</v>
      </c>
      <c r="H482" s="11" t="n">
        <f aca="false">INT((DATE($A482,7,1)-INDEX(球員主檔!$G$2:$G$749,MATCH($B482,球員主檔!$A$2:$A$749,0)))/365.25)</f>
        <v>27</v>
      </c>
      <c r="I482" s="12" t="n">
        <v>7</v>
      </c>
      <c r="J482" s="12" t="n">
        <v>7</v>
      </c>
      <c r="K482" s="12" t="n">
        <v>0</v>
      </c>
      <c r="L482" s="12" t="n">
        <v>0</v>
      </c>
      <c r="M482" s="12" t="n">
        <v>24</v>
      </c>
      <c r="N482" s="12" t="n">
        <v>24</v>
      </c>
      <c r="O482" s="12" t="n">
        <v>388</v>
      </c>
      <c r="P482" s="16" t="n">
        <f aca="false">O482/3</f>
        <v>129.333333333333</v>
      </c>
      <c r="Q482" s="17" t="str">
        <f aca="false">INT(O482/3)&amp;"."&amp;MOD(O482,3)</f>
        <v>129.1</v>
      </c>
      <c r="R482" s="12" t="n">
        <v>109</v>
      </c>
      <c r="S482" s="12" t="n">
        <v>71</v>
      </c>
      <c r="T482" s="12" t="n">
        <v>64</v>
      </c>
      <c r="U482" s="12" t="n">
        <v>20</v>
      </c>
      <c r="V482" s="12" t="n">
        <v>23</v>
      </c>
      <c r="W482" s="12" t="n">
        <v>77</v>
      </c>
      <c r="X482" s="12" t="n">
        <v>6</v>
      </c>
      <c r="Y482" s="18" t="n">
        <f aca="false">IF(O482=0,0,T482*27/O482)</f>
        <v>4.45360824742268</v>
      </c>
      <c r="Z482" s="18" t="n">
        <f aca="false">IF(P482=0,0,(V482+R482)/P482)</f>
        <v>1.02061855670103</v>
      </c>
      <c r="AA482" s="18" t="n">
        <f aca="false">IF(O482=0,0,W482*27/O482)</f>
        <v>5.35824742268041</v>
      </c>
      <c r="AB482" s="18" t="n">
        <f aca="false">IF(O482=0,0,V482*27/O482)</f>
        <v>1.60051546391753</v>
      </c>
      <c r="AC482" s="18" t="n">
        <f aca="false">IF(V482=0,0,W482/V482)</f>
        <v>3.34782608695652</v>
      </c>
      <c r="AD482" s="18" t="n">
        <f aca="false">IF(P482=0,0,(13*U482+3*(V482+X482)-2*W482)/P482+INDEX(球季參數!$C$2:$C$4,MATCH($A482,球季參數!$A$2:$A$4,0)))</f>
        <v>4.59226804123711</v>
      </c>
      <c r="AE482" s="11" t="n">
        <f aca="false">IF(P482&gt;=INDEX(球季參數!$F$2:$F$4,MATCH($A482,球季參數!$A$2:$A$4,0)),1,0)</f>
        <v>0</v>
      </c>
    </row>
    <row r="483" customFormat="false" ht="15" hidden="false" customHeight="false" outlineLevel="0" collapsed="false">
      <c r="A483" s="5" t="n">
        <v>2025</v>
      </c>
      <c r="B483" s="7" t="s">
        <v>1219</v>
      </c>
      <c r="C483" s="10" t="str">
        <f aca="false">INDEX(球員主檔!$B$2:$B$749,MATCH($B483,球員主檔!$A$2:$A$749,0))</f>
        <v>Leandro Underhill</v>
      </c>
      <c r="D483" s="7" t="s">
        <v>418</v>
      </c>
      <c r="E483" s="10" t="str">
        <f aca="false">INDEX(球隊主檔!$C$2:$C$31,MATCH($D483,球隊主檔!$A$2:$A$31,0))</f>
        <v>費城費城人</v>
      </c>
      <c r="F483" s="10" t="str">
        <f aca="false">INDEX(球隊主檔!$D$2:$D$31,MATCH($D483,球隊主檔!$A$2:$A$31,0))</f>
        <v>國聯</v>
      </c>
      <c r="G483" s="7" t="s">
        <v>496</v>
      </c>
      <c r="H483" s="11" t="n">
        <f aca="false">INT((DATE($A483,7,1)-INDEX(球員主檔!$G$2:$G$749,MATCH($B483,球員主檔!$A$2:$A$749,0)))/365.25)</f>
        <v>25</v>
      </c>
      <c r="I483" s="12" t="n">
        <v>10</v>
      </c>
      <c r="J483" s="12" t="n">
        <v>11</v>
      </c>
      <c r="K483" s="12" t="n">
        <v>0</v>
      </c>
      <c r="L483" s="12" t="n">
        <v>0</v>
      </c>
      <c r="M483" s="12" t="n">
        <v>28</v>
      </c>
      <c r="N483" s="12" t="n">
        <v>28</v>
      </c>
      <c r="O483" s="12" t="n">
        <v>512</v>
      </c>
      <c r="P483" s="16" t="n">
        <f aca="false">O483/3</f>
        <v>170.666666666667</v>
      </c>
      <c r="Q483" s="17" t="str">
        <f aca="false">INT(O483/3)&amp;"."&amp;MOD(O483,3)</f>
        <v>170.2</v>
      </c>
      <c r="R483" s="12" t="n">
        <v>160</v>
      </c>
      <c r="S483" s="12" t="n">
        <v>97</v>
      </c>
      <c r="T483" s="12" t="n">
        <v>92</v>
      </c>
      <c r="U483" s="12" t="n">
        <v>18</v>
      </c>
      <c r="V483" s="12" t="n">
        <v>33</v>
      </c>
      <c r="W483" s="12" t="n">
        <v>166</v>
      </c>
      <c r="X483" s="12" t="n">
        <v>4</v>
      </c>
      <c r="Y483" s="18" t="n">
        <f aca="false">IF(O483=0,0,T483*27/O483)</f>
        <v>4.8515625</v>
      </c>
      <c r="Z483" s="18" t="n">
        <f aca="false">IF(P483=0,0,(V483+R483)/P483)</f>
        <v>1.130859375</v>
      </c>
      <c r="AA483" s="18" t="n">
        <f aca="false">IF(O483=0,0,W483*27/O483)</f>
        <v>8.75390625</v>
      </c>
      <c r="AB483" s="18" t="n">
        <f aca="false">IF(O483=0,0,V483*27/O483)</f>
        <v>1.740234375</v>
      </c>
      <c r="AC483" s="18" t="n">
        <f aca="false">IF(V483=0,0,W483/V483)</f>
        <v>5.03030303030303</v>
      </c>
      <c r="AD483" s="18" t="n">
        <f aca="false">IF(P483=0,0,(13*U483+3*(V483+X483)-2*W483)/P483+INDEX(球季參數!$C$2:$C$4,MATCH($A483,球季參數!$A$2:$A$4,0)))</f>
        <v>3.176171875</v>
      </c>
      <c r="AE483" s="11" t="n">
        <f aca="false">IF(P483&gt;=INDEX(球季參數!$F$2:$F$4,MATCH($A483,球季參數!$A$2:$A$4,0)),1,0)</f>
        <v>1</v>
      </c>
    </row>
    <row r="484" customFormat="false" ht="15" hidden="false" customHeight="false" outlineLevel="0" collapsed="false">
      <c r="A484" s="5" t="n">
        <v>2025</v>
      </c>
      <c r="B484" s="7" t="s">
        <v>1221</v>
      </c>
      <c r="C484" s="10" t="str">
        <f aca="false">INDEX(球員主檔!$B$2:$B$749,MATCH($B484,球員主檔!$A$2:$A$749,0))</f>
        <v>Yusuke Oyelaran</v>
      </c>
      <c r="D484" s="7" t="s">
        <v>418</v>
      </c>
      <c r="E484" s="10" t="str">
        <f aca="false">INDEX(球隊主檔!$C$2:$C$31,MATCH($D484,球隊主檔!$A$2:$A$31,0))</f>
        <v>費城費城人</v>
      </c>
      <c r="F484" s="10" t="str">
        <f aca="false">INDEX(球隊主檔!$D$2:$D$31,MATCH($D484,球隊主檔!$A$2:$A$31,0))</f>
        <v>國聯</v>
      </c>
      <c r="G484" s="7" t="s">
        <v>496</v>
      </c>
      <c r="H484" s="11" t="n">
        <f aca="false">INT((DATE($A484,7,1)-INDEX(球員主檔!$G$2:$G$749,MATCH($B484,球員主檔!$A$2:$A$749,0)))/365.25)</f>
        <v>35</v>
      </c>
      <c r="I484" s="12" t="n">
        <v>10</v>
      </c>
      <c r="J484" s="12" t="n">
        <v>3</v>
      </c>
      <c r="K484" s="12" t="n">
        <v>0</v>
      </c>
      <c r="L484" s="12" t="n">
        <v>0</v>
      </c>
      <c r="M484" s="12" t="n">
        <v>23</v>
      </c>
      <c r="N484" s="12" t="n">
        <v>23</v>
      </c>
      <c r="O484" s="12" t="n">
        <v>376</v>
      </c>
      <c r="P484" s="16" t="n">
        <f aca="false">O484/3</f>
        <v>125.333333333333</v>
      </c>
      <c r="Q484" s="17" t="str">
        <f aca="false">INT(O484/3)&amp;"."&amp;MOD(O484,3)</f>
        <v>125.1</v>
      </c>
      <c r="R484" s="12" t="n">
        <v>93</v>
      </c>
      <c r="S484" s="12" t="n">
        <v>48</v>
      </c>
      <c r="T484" s="12" t="n">
        <v>45</v>
      </c>
      <c r="U484" s="12" t="n">
        <v>18</v>
      </c>
      <c r="V484" s="12" t="n">
        <v>45</v>
      </c>
      <c r="W484" s="12" t="n">
        <v>86</v>
      </c>
      <c r="X484" s="12" t="n">
        <v>3</v>
      </c>
      <c r="Y484" s="18" t="n">
        <f aca="false">IF(O484=0,0,T484*27/O484)</f>
        <v>3.2313829787234</v>
      </c>
      <c r="Z484" s="18" t="n">
        <f aca="false">IF(P484=0,0,(V484+R484)/P484)</f>
        <v>1.10106382978723</v>
      </c>
      <c r="AA484" s="18" t="n">
        <f aca="false">IF(O484=0,0,W484*27/O484)</f>
        <v>6.17553191489362</v>
      </c>
      <c r="AB484" s="18" t="n">
        <f aca="false">IF(O484=0,0,V484*27/O484)</f>
        <v>3.2313829787234</v>
      </c>
      <c r="AC484" s="18" t="n">
        <f aca="false">IF(V484=0,0,W484/V484)</f>
        <v>1.91111111111111</v>
      </c>
      <c r="AD484" s="18" t="n">
        <f aca="false">IF(P484=0,0,(13*U484+3*(V484+X484)-2*W484)/P484+INDEX(球季參數!$C$2:$C$4,MATCH($A484,球季參數!$A$2:$A$4,0)))</f>
        <v>4.7436170212766</v>
      </c>
      <c r="AE484" s="11" t="n">
        <f aca="false">IF(P484&gt;=INDEX(球季參數!$F$2:$F$4,MATCH($A484,球季參數!$A$2:$A$4,0)),1,0)</f>
        <v>0</v>
      </c>
    </row>
    <row r="485" customFormat="false" ht="15" hidden="false" customHeight="false" outlineLevel="0" collapsed="false">
      <c r="A485" s="5" t="n">
        <v>2025</v>
      </c>
      <c r="B485" s="7" t="s">
        <v>1223</v>
      </c>
      <c r="C485" s="10" t="str">
        <f aca="false">INDEX(球員主檔!$B$2:$B$749,MATCH($B485,球員主檔!$A$2:$A$749,0))</f>
        <v>Benedikt Mbeki</v>
      </c>
      <c r="D485" s="7" t="s">
        <v>418</v>
      </c>
      <c r="E485" s="10" t="str">
        <f aca="false">INDEX(球隊主檔!$C$2:$C$31,MATCH($D485,球隊主檔!$A$2:$A$31,0))</f>
        <v>費城費城人</v>
      </c>
      <c r="F485" s="10" t="str">
        <f aca="false">INDEX(球隊主檔!$D$2:$D$31,MATCH($D485,球隊主檔!$A$2:$A$31,0))</f>
        <v>國聯</v>
      </c>
      <c r="G485" s="7" t="s">
        <v>496</v>
      </c>
      <c r="H485" s="11" t="n">
        <f aca="false">INT((DATE($A485,7,1)-INDEX(球員主檔!$G$2:$G$749,MATCH($B485,球員主檔!$A$2:$A$749,0)))/365.25)</f>
        <v>27</v>
      </c>
      <c r="I485" s="12" t="n">
        <v>12</v>
      </c>
      <c r="J485" s="12" t="n">
        <v>10</v>
      </c>
      <c r="K485" s="12" t="n">
        <v>0</v>
      </c>
      <c r="L485" s="12" t="n">
        <v>0</v>
      </c>
      <c r="M485" s="12" t="n">
        <v>32</v>
      </c>
      <c r="N485" s="12" t="n">
        <v>32</v>
      </c>
      <c r="O485" s="12" t="n">
        <v>514</v>
      </c>
      <c r="P485" s="16" t="n">
        <f aca="false">O485/3</f>
        <v>171.333333333333</v>
      </c>
      <c r="Q485" s="17" t="str">
        <f aca="false">INT(O485/3)&amp;"."&amp;MOD(O485,3)</f>
        <v>171.1</v>
      </c>
      <c r="R485" s="12" t="n">
        <v>137</v>
      </c>
      <c r="S485" s="12" t="n">
        <v>85</v>
      </c>
      <c r="T485" s="12" t="n">
        <v>85</v>
      </c>
      <c r="U485" s="12" t="n">
        <v>34</v>
      </c>
      <c r="V485" s="12" t="n">
        <v>35</v>
      </c>
      <c r="W485" s="12" t="n">
        <v>224</v>
      </c>
      <c r="X485" s="12" t="n">
        <v>8</v>
      </c>
      <c r="Y485" s="18" t="n">
        <f aca="false">IF(O485=0,0,T485*27/O485)</f>
        <v>4.46498054474708</v>
      </c>
      <c r="Z485" s="18" t="n">
        <f aca="false">IF(P485=0,0,(V485+R485)/P485)</f>
        <v>1.00389105058366</v>
      </c>
      <c r="AA485" s="18" t="n">
        <f aca="false">IF(O485=0,0,W485*27/O485)</f>
        <v>11.7665369649805</v>
      </c>
      <c r="AB485" s="18" t="n">
        <f aca="false">IF(O485=0,0,V485*27/O485)</f>
        <v>1.83852140077821</v>
      </c>
      <c r="AC485" s="18" t="n">
        <f aca="false">IF(V485=0,0,W485/V485)</f>
        <v>6.4</v>
      </c>
      <c r="AD485" s="18" t="n">
        <f aca="false">IF(P485=0,0,(13*U485+3*(V485+X485)-2*W485)/P485+INDEX(球季參數!$C$2:$C$4,MATCH($A485,球季參數!$A$2:$A$4,0)))</f>
        <v>3.81789883268483</v>
      </c>
      <c r="AE485" s="11" t="n">
        <f aca="false">IF(P485&gt;=INDEX(球季參數!$F$2:$F$4,MATCH($A485,球季參數!$A$2:$A$4,0)),1,0)</f>
        <v>1</v>
      </c>
    </row>
    <row r="486" customFormat="false" ht="15" hidden="false" customHeight="false" outlineLevel="0" collapsed="false">
      <c r="A486" s="5" t="n">
        <v>2025</v>
      </c>
      <c r="B486" s="7" t="s">
        <v>1767</v>
      </c>
      <c r="C486" s="10" t="str">
        <f aca="false">INDEX(球員主檔!$B$2:$B$749,MATCH($B486,球員主檔!$A$2:$A$749,0))</f>
        <v>Rintaro Oyelaran</v>
      </c>
      <c r="D486" s="7" t="s">
        <v>418</v>
      </c>
      <c r="E486" s="10" t="str">
        <f aca="false">INDEX(球隊主檔!$C$2:$C$31,MATCH($D486,球隊主檔!$A$2:$A$31,0))</f>
        <v>費城費城人</v>
      </c>
      <c r="F486" s="10" t="str">
        <f aca="false">INDEX(球隊主檔!$D$2:$D$31,MATCH($D486,球隊主檔!$A$2:$A$31,0))</f>
        <v>國聯</v>
      </c>
      <c r="G486" s="7" t="s">
        <v>496</v>
      </c>
      <c r="H486" s="11" t="n">
        <f aca="false">INT((DATE($A486,7,1)-INDEX(球員主檔!$G$2:$G$749,MATCH($B486,球員主檔!$A$2:$A$749,0)))/365.25)</f>
        <v>27</v>
      </c>
      <c r="I486" s="12" t="n">
        <v>13</v>
      </c>
      <c r="J486" s="12" t="n">
        <v>7</v>
      </c>
      <c r="K486" s="12" t="n">
        <v>0</v>
      </c>
      <c r="L486" s="12" t="n">
        <v>0</v>
      </c>
      <c r="M486" s="12" t="n">
        <v>30</v>
      </c>
      <c r="N486" s="12" t="n">
        <v>30</v>
      </c>
      <c r="O486" s="12" t="n">
        <v>566</v>
      </c>
      <c r="P486" s="16" t="n">
        <f aca="false">O486/3</f>
        <v>188.666666666667</v>
      </c>
      <c r="Q486" s="17" t="str">
        <f aca="false">INT(O486/3)&amp;"."&amp;MOD(O486,3)</f>
        <v>188.2</v>
      </c>
      <c r="R486" s="12" t="n">
        <v>143</v>
      </c>
      <c r="S486" s="12" t="n">
        <v>87</v>
      </c>
      <c r="T486" s="12" t="n">
        <v>82</v>
      </c>
      <c r="U486" s="12" t="n">
        <v>18</v>
      </c>
      <c r="V486" s="12" t="n">
        <v>36</v>
      </c>
      <c r="W486" s="12" t="n">
        <v>198</v>
      </c>
      <c r="X486" s="12" t="n">
        <v>11</v>
      </c>
      <c r="Y486" s="18" t="n">
        <f aca="false">IF(O486=0,0,T486*27/O486)</f>
        <v>3.91166077738516</v>
      </c>
      <c r="Z486" s="18" t="n">
        <f aca="false">IF(P486=0,0,(V486+R486)/P486)</f>
        <v>0.948763250883392</v>
      </c>
      <c r="AA486" s="18" t="n">
        <f aca="false">IF(O486=0,0,W486*27/O486)</f>
        <v>9.4452296819788</v>
      </c>
      <c r="AB486" s="18" t="n">
        <f aca="false">IF(O486=0,0,V486*27/O486)</f>
        <v>1.71731448763251</v>
      </c>
      <c r="AC486" s="18" t="n">
        <f aca="false">IF(V486=0,0,W486/V486)</f>
        <v>5.5</v>
      </c>
      <c r="AD486" s="18" t="n">
        <f aca="false">IF(P486=0,0,(13*U486+3*(V486+X486)-2*W486)/P486+INDEX(球季參數!$C$2:$C$4,MATCH($A486,球季參數!$A$2:$A$4,0)))</f>
        <v>2.9886925795053</v>
      </c>
      <c r="AE486" s="11" t="n">
        <f aca="false">IF(P486&gt;=INDEX(球季參數!$F$2:$F$4,MATCH($A486,球季參數!$A$2:$A$4,0)),1,0)</f>
        <v>1</v>
      </c>
    </row>
    <row r="487" customFormat="false" ht="15" hidden="false" customHeight="false" outlineLevel="0" collapsed="false">
      <c r="A487" s="5" t="n">
        <v>2025</v>
      </c>
      <c r="B487" s="7" t="s">
        <v>1227</v>
      </c>
      <c r="C487" s="10" t="str">
        <f aca="false">INDEX(球員主檔!$B$2:$B$749,MATCH($B487,球員主檔!$A$2:$A$749,0))</f>
        <v>Jasper Delacroix</v>
      </c>
      <c r="D487" s="7" t="s">
        <v>418</v>
      </c>
      <c r="E487" s="10" t="str">
        <f aca="false">INDEX(球隊主檔!$C$2:$C$31,MATCH($D487,球隊主檔!$A$2:$A$31,0))</f>
        <v>費城費城人</v>
      </c>
      <c r="F487" s="10" t="str">
        <f aca="false">INDEX(球隊主檔!$D$2:$D$31,MATCH($D487,球隊主檔!$A$2:$A$31,0))</f>
        <v>國聯</v>
      </c>
      <c r="G487" s="7" t="s">
        <v>507</v>
      </c>
      <c r="H487" s="11" t="n">
        <f aca="false">INT((DATE($A487,7,1)-INDEX(球員主檔!$G$2:$G$749,MATCH($B487,球員主檔!$A$2:$A$749,0)))/365.25)</f>
        <v>25</v>
      </c>
      <c r="I487" s="12" t="n">
        <v>7</v>
      </c>
      <c r="J487" s="12" t="n">
        <v>8</v>
      </c>
      <c r="K487" s="12" t="n">
        <v>18</v>
      </c>
      <c r="L487" s="12" t="n">
        <v>3</v>
      </c>
      <c r="M487" s="12" t="n">
        <v>71</v>
      </c>
      <c r="N487" s="12" t="n">
        <v>0</v>
      </c>
      <c r="O487" s="12" t="n">
        <v>231</v>
      </c>
      <c r="P487" s="16" t="n">
        <f aca="false">O487/3</f>
        <v>77</v>
      </c>
      <c r="Q487" s="17" t="str">
        <f aca="false">INT(O487/3)&amp;"."&amp;MOD(O487,3)</f>
        <v>77.0</v>
      </c>
      <c r="R487" s="12" t="n">
        <v>62</v>
      </c>
      <c r="S487" s="12" t="n">
        <v>28</v>
      </c>
      <c r="T487" s="12" t="n">
        <v>25</v>
      </c>
      <c r="U487" s="12" t="n">
        <v>5</v>
      </c>
      <c r="V487" s="12" t="n">
        <v>20</v>
      </c>
      <c r="W487" s="12" t="n">
        <v>96</v>
      </c>
      <c r="X487" s="12" t="n">
        <v>4</v>
      </c>
      <c r="Y487" s="18" t="n">
        <f aca="false">IF(O487=0,0,T487*27/O487)</f>
        <v>2.92207792207792</v>
      </c>
      <c r="Z487" s="18" t="n">
        <f aca="false">IF(P487=0,0,(V487+R487)/P487)</f>
        <v>1.06493506493506</v>
      </c>
      <c r="AA487" s="18" t="n">
        <f aca="false">IF(O487=0,0,W487*27/O487)</f>
        <v>11.2207792207792</v>
      </c>
      <c r="AB487" s="18" t="n">
        <f aca="false">IF(O487=0,0,V487*27/O487)</f>
        <v>2.33766233766234</v>
      </c>
      <c r="AC487" s="18" t="n">
        <f aca="false">IF(V487=0,0,W487/V487)</f>
        <v>4.8</v>
      </c>
      <c r="AD487" s="18" t="n">
        <f aca="false">IF(P487=0,0,(13*U487+3*(V487+X487)-2*W487)/P487+INDEX(球季參數!$C$2:$C$4,MATCH($A487,球季參數!$A$2:$A$4,0)))</f>
        <v>2.38571428571429</v>
      </c>
      <c r="AE487" s="11" t="n">
        <f aca="false">IF(P487&gt;=INDEX(球季參數!$F$2:$F$4,MATCH($A487,球季參數!$A$2:$A$4,0)),1,0)</f>
        <v>0</v>
      </c>
    </row>
    <row r="488" customFormat="false" ht="15" hidden="false" customHeight="false" outlineLevel="0" collapsed="false">
      <c r="A488" s="5" t="n">
        <v>2025</v>
      </c>
      <c r="B488" s="7" t="s">
        <v>1769</v>
      </c>
      <c r="C488" s="10" t="str">
        <f aca="false">INDEX(球員主檔!$B$2:$B$749,MATCH($B488,球員主檔!$A$2:$A$749,0))</f>
        <v>Lorenzo Arceneaux</v>
      </c>
      <c r="D488" s="7" t="s">
        <v>418</v>
      </c>
      <c r="E488" s="10" t="str">
        <f aca="false">INDEX(球隊主檔!$C$2:$C$31,MATCH($D488,球隊主檔!$A$2:$A$31,0))</f>
        <v>費城費城人</v>
      </c>
      <c r="F488" s="10" t="str">
        <f aca="false">INDEX(球隊主檔!$D$2:$D$31,MATCH($D488,球隊主檔!$A$2:$A$31,0))</f>
        <v>國聯</v>
      </c>
      <c r="G488" s="7" t="s">
        <v>507</v>
      </c>
      <c r="H488" s="11" t="n">
        <f aca="false">INT((DATE($A488,7,1)-INDEX(球員主檔!$G$2:$G$749,MATCH($B488,球員主檔!$A$2:$A$749,0)))/365.25)</f>
        <v>22</v>
      </c>
      <c r="I488" s="12" t="n">
        <v>4</v>
      </c>
      <c r="J488" s="12" t="n">
        <v>2</v>
      </c>
      <c r="K488" s="12" t="n">
        <v>3</v>
      </c>
      <c r="L488" s="12" t="n">
        <v>17</v>
      </c>
      <c r="M488" s="12" t="n">
        <v>70</v>
      </c>
      <c r="N488" s="12" t="n">
        <v>0</v>
      </c>
      <c r="O488" s="12" t="n">
        <v>227</v>
      </c>
      <c r="P488" s="16" t="n">
        <f aca="false">O488/3</f>
        <v>75.6666666666667</v>
      </c>
      <c r="Q488" s="17" t="str">
        <f aca="false">INT(O488/3)&amp;"."&amp;MOD(O488,3)</f>
        <v>75.2</v>
      </c>
      <c r="R488" s="12" t="n">
        <v>58</v>
      </c>
      <c r="S488" s="12" t="n">
        <v>37</v>
      </c>
      <c r="T488" s="12" t="n">
        <v>33</v>
      </c>
      <c r="U488" s="12" t="n">
        <v>13</v>
      </c>
      <c r="V488" s="12" t="n">
        <v>29</v>
      </c>
      <c r="W488" s="12" t="n">
        <v>79</v>
      </c>
      <c r="X488" s="12" t="n">
        <v>3</v>
      </c>
      <c r="Y488" s="18" t="n">
        <f aca="false">IF(O488=0,0,T488*27/O488)</f>
        <v>3.92511013215859</v>
      </c>
      <c r="Z488" s="18" t="n">
        <f aca="false">IF(P488=0,0,(V488+R488)/P488)</f>
        <v>1.14977973568282</v>
      </c>
      <c r="AA488" s="18" t="n">
        <f aca="false">IF(O488=0,0,W488*27/O488)</f>
        <v>9.39647577092511</v>
      </c>
      <c r="AB488" s="18" t="n">
        <f aca="false">IF(O488=0,0,V488*27/O488)</f>
        <v>3.44933920704846</v>
      </c>
      <c r="AC488" s="18" t="n">
        <f aca="false">IF(V488=0,0,W488/V488)</f>
        <v>2.72413793103448</v>
      </c>
      <c r="AD488" s="18" t="n">
        <f aca="false">IF(P488=0,0,(13*U488+3*(V488+X488)-2*W488)/P488+INDEX(球季參數!$C$2:$C$4,MATCH($A488,球季參數!$A$2:$A$4,0)))</f>
        <v>4.51409691629956</v>
      </c>
      <c r="AE488" s="11" t="n">
        <f aca="false">IF(P488&gt;=INDEX(球季參數!$F$2:$F$4,MATCH($A488,球季參數!$A$2:$A$4,0)),1,0)</f>
        <v>0</v>
      </c>
    </row>
    <row r="489" customFormat="false" ht="15" hidden="false" customHeight="false" outlineLevel="0" collapsed="false">
      <c r="A489" s="5" t="n">
        <v>2025</v>
      </c>
      <c r="B489" s="7" t="s">
        <v>1231</v>
      </c>
      <c r="C489" s="10" t="str">
        <f aca="false">INDEX(球員主檔!$B$2:$B$749,MATCH($B489,球員主檔!$A$2:$A$749,0))</f>
        <v>Tobias Ravenscroft</v>
      </c>
      <c r="D489" s="7" t="s">
        <v>418</v>
      </c>
      <c r="E489" s="10" t="str">
        <f aca="false">INDEX(球隊主檔!$C$2:$C$31,MATCH($D489,球隊主檔!$A$2:$A$31,0))</f>
        <v>費城費城人</v>
      </c>
      <c r="F489" s="10" t="str">
        <f aca="false">INDEX(球隊主檔!$D$2:$D$31,MATCH($D489,球隊主檔!$A$2:$A$31,0))</f>
        <v>國聯</v>
      </c>
      <c r="G489" s="7" t="s">
        <v>507</v>
      </c>
      <c r="H489" s="11" t="n">
        <f aca="false">INT((DATE($A489,7,1)-INDEX(球員主檔!$G$2:$G$749,MATCH($B489,球員主檔!$A$2:$A$749,0)))/365.25)</f>
        <v>28</v>
      </c>
      <c r="I489" s="12" t="n">
        <v>6</v>
      </c>
      <c r="J489" s="12" t="n">
        <v>0</v>
      </c>
      <c r="K489" s="12" t="n">
        <v>5</v>
      </c>
      <c r="L489" s="12" t="n">
        <v>2</v>
      </c>
      <c r="M489" s="12" t="n">
        <v>57</v>
      </c>
      <c r="N489" s="12" t="n">
        <v>0</v>
      </c>
      <c r="O489" s="12" t="n">
        <v>158</v>
      </c>
      <c r="P489" s="16" t="n">
        <f aca="false">O489/3</f>
        <v>52.6666666666667</v>
      </c>
      <c r="Q489" s="17" t="str">
        <f aca="false">INT(O489/3)&amp;"."&amp;MOD(O489,3)</f>
        <v>52.2</v>
      </c>
      <c r="R489" s="12" t="n">
        <v>44</v>
      </c>
      <c r="S489" s="12" t="n">
        <v>24</v>
      </c>
      <c r="T489" s="12" t="n">
        <v>23</v>
      </c>
      <c r="U489" s="12" t="n">
        <v>7</v>
      </c>
      <c r="V489" s="12" t="n">
        <v>19</v>
      </c>
      <c r="W489" s="12" t="n">
        <v>65</v>
      </c>
      <c r="X489" s="12" t="n">
        <v>2</v>
      </c>
      <c r="Y489" s="18" t="n">
        <f aca="false">IF(O489=0,0,T489*27/O489)</f>
        <v>3.93037974683544</v>
      </c>
      <c r="Z489" s="18" t="n">
        <f aca="false">IF(P489=0,0,(V489+R489)/P489)</f>
        <v>1.19620253164557</v>
      </c>
      <c r="AA489" s="18" t="n">
        <f aca="false">IF(O489=0,0,W489*27/O489)</f>
        <v>11.1075949367089</v>
      </c>
      <c r="AB489" s="18" t="n">
        <f aca="false">IF(O489=0,0,V489*27/O489)</f>
        <v>3.24683544303797</v>
      </c>
      <c r="AC489" s="18" t="n">
        <f aca="false">IF(V489=0,0,W489/V489)</f>
        <v>3.42105263157895</v>
      </c>
      <c r="AD489" s="18" t="n">
        <f aca="false">IF(P489=0,0,(13*U489+3*(V489+X489)-2*W489)/P489+INDEX(球季參數!$C$2:$C$4,MATCH($A489,球季參數!$A$2:$A$4,0)))</f>
        <v>3.55569620253165</v>
      </c>
      <c r="AE489" s="11" t="n">
        <f aca="false">IF(P489&gt;=INDEX(球季參數!$F$2:$F$4,MATCH($A489,球季參數!$A$2:$A$4,0)),1,0)</f>
        <v>0</v>
      </c>
    </row>
    <row r="490" customFormat="false" ht="15" hidden="false" customHeight="false" outlineLevel="0" collapsed="false">
      <c r="A490" s="5" t="n">
        <v>2025</v>
      </c>
      <c r="B490" s="7" t="s">
        <v>1233</v>
      </c>
      <c r="C490" s="10" t="str">
        <f aca="false">INDEX(球員主檔!$B$2:$B$749,MATCH($B490,球員主檔!$A$2:$A$749,0))</f>
        <v>Leandro Kowalczyk</v>
      </c>
      <c r="D490" s="7" t="s">
        <v>418</v>
      </c>
      <c r="E490" s="10" t="str">
        <f aca="false">INDEX(球隊主檔!$C$2:$C$31,MATCH($D490,球隊主檔!$A$2:$A$31,0))</f>
        <v>費城費城人</v>
      </c>
      <c r="F490" s="10" t="str">
        <f aca="false">INDEX(球隊主檔!$D$2:$D$31,MATCH($D490,球隊主檔!$A$2:$A$31,0))</f>
        <v>國聯</v>
      </c>
      <c r="G490" s="7" t="s">
        <v>507</v>
      </c>
      <c r="H490" s="11" t="n">
        <f aca="false">INT((DATE($A490,7,1)-INDEX(球員主檔!$G$2:$G$749,MATCH($B490,球員主檔!$A$2:$A$749,0)))/365.25)</f>
        <v>35</v>
      </c>
      <c r="I490" s="12" t="n">
        <v>1</v>
      </c>
      <c r="J490" s="12" t="n">
        <v>8</v>
      </c>
      <c r="K490" s="12" t="n">
        <v>3</v>
      </c>
      <c r="L490" s="12" t="n">
        <v>14</v>
      </c>
      <c r="M490" s="12" t="n">
        <v>40</v>
      </c>
      <c r="N490" s="12" t="n">
        <v>0</v>
      </c>
      <c r="O490" s="12" t="n">
        <v>135</v>
      </c>
      <c r="P490" s="16" t="n">
        <f aca="false">O490/3</f>
        <v>45</v>
      </c>
      <c r="Q490" s="17" t="str">
        <f aca="false">INT(O490/3)&amp;"."&amp;MOD(O490,3)</f>
        <v>45.0</v>
      </c>
      <c r="R490" s="12" t="n">
        <v>36</v>
      </c>
      <c r="S490" s="12" t="n">
        <v>22</v>
      </c>
      <c r="T490" s="12" t="n">
        <v>21</v>
      </c>
      <c r="U490" s="12" t="n">
        <v>5</v>
      </c>
      <c r="V490" s="12" t="n">
        <v>11</v>
      </c>
      <c r="W490" s="12" t="n">
        <v>29</v>
      </c>
      <c r="X490" s="12" t="n">
        <v>1</v>
      </c>
      <c r="Y490" s="18" t="n">
        <f aca="false">IF(O490=0,0,T490*27/O490)</f>
        <v>4.2</v>
      </c>
      <c r="Z490" s="18" t="n">
        <f aca="false">IF(P490=0,0,(V490+R490)/P490)</f>
        <v>1.04444444444444</v>
      </c>
      <c r="AA490" s="18" t="n">
        <f aca="false">IF(O490=0,0,W490*27/O490)</f>
        <v>5.8</v>
      </c>
      <c r="AB490" s="18" t="n">
        <f aca="false">IF(O490=0,0,V490*27/O490)</f>
        <v>2.2</v>
      </c>
      <c r="AC490" s="18" t="n">
        <f aca="false">IF(V490=0,0,W490/V490)</f>
        <v>2.63636363636364</v>
      </c>
      <c r="AD490" s="18" t="n">
        <f aca="false">IF(P490=0,0,(13*U490+3*(V490+X490)-2*W490)/P490+INDEX(球季參數!$C$2:$C$4,MATCH($A490,球季參數!$A$2:$A$4,0)))</f>
        <v>4.05555555555556</v>
      </c>
      <c r="AE490" s="11" t="n">
        <f aca="false">IF(P490&gt;=INDEX(球季參數!$F$2:$F$4,MATCH($A490,球季參數!$A$2:$A$4,0)),1,0)</f>
        <v>0</v>
      </c>
    </row>
    <row r="491" customFormat="false" ht="15" hidden="false" customHeight="false" outlineLevel="0" collapsed="false">
      <c r="A491" s="5" t="n">
        <v>2025</v>
      </c>
      <c r="B491" s="7" t="s">
        <v>1235</v>
      </c>
      <c r="C491" s="10" t="str">
        <f aca="false">INDEX(球員主檔!$B$2:$B$749,MATCH($B491,球員主檔!$A$2:$A$749,0))</f>
        <v>Vicente Stroheim</v>
      </c>
      <c r="D491" s="7" t="s">
        <v>418</v>
      </c>
      <c r="E491" s="10" t="str">
        <f aca="false">INDEX(球隊主檔!$C$2:$C$31,MATCH($D491,球隊主檔!$A$2:$A$31,0))</f>
        <v>費城費城人</v>
      </c>
      <c r="F491" s="10" t="str">
        <f aca="false">INDEX(球隊主檔!$D$2:$D$31,MATCH($D491,球隊主檔!$A$2:$A$31,0))</f>
        <v>國聯</v>
      </c>
      <c r="G491" s="7" t="s">
        <v>507</v>
      </c>
      <c r="H491" s="11" t="n">
        <f aca="false">INT((DATE($A491,7,1)-INDEX(球員主檔!$G$2:$G$749,MATCH($B491,球員主檔!$A$2:$A$749,0)))/365.25)</f>
        <v>30</v>
      </c>
      <c r="I491" s="12" t="n">
        <v>0</v>
      </c>
      <c r="J491" s="12" t="n">
        <v>5</v>
      </c>
      <c r="K491" s="12" t="n">
        <v>4</v>
      </c>
      <c r="L491" s="12" t="n">
        <v>25</v>
      </c>
      <c r="M491" s="12" t="n">
        <v>51</v>
      </c>
      <c r="N491" s="12" t="n">
        <v>0</v>
      </c>
      <c r="O491" s="12" t="n">
        <v>144</v>
      </c>
      <c r="P491" s="16" t="n">
        <f aca="false">O491/3</f>
        <v>48</v>
      </c>
      <c r="Q491" s="17" t="str">
        <f aca="false">INT(O491/3)&amp;"."&amp;MOD(O491,3)</f>
        <v>48.0</v>
      </c>
      <c r="R491" s="12" t="n">
        <v>38</v>
      </c>
      <c r="S491" s="12" t="n">
        <v>17</v>
      </c>
      <c r="T491" s="12" t="n">
        <v>15</v>
      </c>
      <c r="U491" s="12" t="n">
        <v>8</v>
      </c>
      <c r="V491" s="12" t="n">
        <v>18</v>
      </c>
      <c r="W491" s="12" t="n">
        <v>44</v>
      </c>
      <c r="X491" s="12" t="n">
        <v>1</v>
      </c>
      <c r="Y491" s="18" t="n">
        <f aca="false">IF(O491=0,0,T491*27/O491)</f>
        <v>2.8125</v>
      </c>
      <c r="Z491" s="18" t="n">
        <f aca="false">IF(P491=0,0,(V491+R491)/P491)</f>
        <v>1.16666666666667</v>
      </c>
      <c r="AA491" s="18" t="n">
        <f aca="false">IF(O491=0,0,W491*27/O491)</f>
        <v>8.25</v>
      </c>
      <c r="AB491" s="18" t="n">
        <f aca="false">IF(O491=0,0,V491*27/O491)</f>
        <v>3.375</v>
      </c>
      <c r="AC491" s="18" t="n">
        <f aca="false">IF(V491=0,0,W491/V491)</f>
        <v>2.44444444444444</v>
      </c>
      <c r="AD491" s="18" t="n">
        <f aca="false">IF(P491=0,0,(13*U491+3*(V491+X491)-2*W491)/P491+INDEX(球季參數!$C$2:$C$4,MATCH($A491,球季參數!$A$2:$A$4,0)))</f>
        <v>4.62083333333333</v>
      </c>
      <c r="AE491" s="11" t="n">
        <f aca="false">IF(P491&gt;=INDEX(球季參數!$F$2:$F$4,MATCH($A491,球季參數!$A$2:$A$4,0)),1,0)</f>
        <v>0</v>
      </c>
    </row>
    <row r="492" customFormat="false" ht="15" hidden="false" customHeight="false" outlineLevel="0" collapsed="false">
      <c r="A492" s="5" t="n">
        <v>2025</v>
      </c>
      <c r="B492" s="7" t="s">
        <v>951</v>
      </c>
      <c r="C492" s="10" t="str">
        <f aca="false">INDEX(球員主檔!$B$2:$B$749,MATCH($B492,球員主檔!$A$2:$A$749,0))</f>
        <v>Everett Yoshinaga</v>
      </c>
      <c r="D492" s="7" t="s">
        <v>422</v>
      </c>
      <c r="E492" s="10" t="str">
        <f aca="false">INDEX(球隊主檔!$C$2:$C$31,MATCH($D492,球隊主檔!$A$2:$A$31,0))</f>
        <v>華盛頓國民</v>
      </c>
      <c r="F492" s="10" t="str">
        <f aca="false">INDEX(球隊主檔!$D$2:$D$31,MATCH($D492,球隊主檔!$A$2:$A$31,0))</f>
        <v>國聯</v>
      </c>
      <c r="G492" s="7" t="s">
        <v>496</v>
      </c>
      <c r="H492" s="11" t="n">
        <f aca="false">INT((DATE($A492,7,1)-INDEX(球員主檔!$G$2:$G$749,MATCH($B492,球員主檔!$A$2:$A$749,0)))/365.25)</f>
        <v>29</v>
      </c>
      <c r="I492" s="12" t="n">
        <v>8</v>
      </c>
      <c r="J492" s="12" t="n">
        <v>6</v>
      </c>
      <c r="K492" s="12" t="n">
        <v>0</v>
      </c>
      <c r="L492" s="12" t="n">
        <v>0</v>
      </c>
      <c r="M492" s="12" t="n">
        <v>21</v>
      </c>
      <c r="N492" s="12" t="n">
        <v>21</v>
      </c>
      <c r="O492" s="12" t="n">
        <v>377</v>
      </c>
      <c r="P492" s="16" t="n">
        <f aca="false">O492/3</f>
        <v>125.666666666667</v>
      </c>
      <c r="Q492" s="17" t="str">
        <f aca="false">INT(O492/3)&amp;"."&amp;MOD(O492,3)</f>
        <v>125.2</v>
      </c>
      <c r="R492" s="12" t="n">
        <v>107</v>
      </c>
      <c r="S492" s="12" t="n">
        <v>65</v>
      </c>
      <c r="T492" s="12" t="n">
        <v>59</v>
      </c>
      <c r="U492" s="12" t="n">
        <v>12</v>
      </c>
      <c r="V492" s="12" t="n">
        <v>36</v>
      </c>
      <c r="W492" s="12" t="n">
        <v>184</v>
      </c>
      <c r="X492" s="12" t="n">
        <v>2</v>
      </c>
      <c r="Y492" s="18" t="n">
        <f aca="false">IF(O492=0,0,T492*27/O492)</f>
        <v>4.22546419098143</v>
      </c>
      <c r="Z492" s="18" t="n">
        <f aca="false">IF(P492=0,0,(V492+R492)/P492)</f>
        <v>1.13793103448276</v>
      </c>
      <c r="AA492" s="18" t="n">
        <f aca="false">IF(O492=0,0,W492*27/O492)</f>
        <v>13.1777188328912</v>
      </c>
      <c r="AB492" s="18" t="n">
        <f aca="false">IF(O492=0,0,V492*27/O492)</f>
        <v>2.57824933687003</v>
      </c>
      <c r="AC492" s="18" t="n">
        <f aca="false">IF(V492=0,0,W492/V492)</f>
        <v>5.11111111111111</v>
      </c>
      <c r="AD492" s="18" t="n">
        <f aca="false">IF(P492=0,0,(13*U492+3*(V492+X492)-2*W492)/P492+INDEX(球季參數!$C$2:$C$4,MATCH($A492,球季參數!$A$2:$A$4,0)))</f>
        <v>2.32015915119363</v>
      </c>
      <c r="AE492" s="11" t="n">
        <f aca="false">IF(P492&gt;=INDEX(球季參數!$F$2:$F$4,MATCH($A492,球季參數!$A$2:$A$4,0)),1,0)</f>
        <v>0</v>
      </c>
    </row>
    <row r="493" customFormat="false" ht="15" hidden="false" customHeight="false" outlineLevel="0" collapsed="false">
      <c r="A493" s="5" t="n">
        <v>2025</v>
      </c>
      <c r="B493" s="7" t="s">
        <v>1259</v>
      </c>
      <c r="C493" s="10" t="str">
        <f aca="false">INDEX(球員主檔!$B$2:$B$749,MATCH($B493,球員主檔!$A$2:$A$749,0))</f>
        <v>Thaddeus Nakagawa</v>
      </c>
      <c r="D493" s="7" t="s">
        <v>422</v>
      </c>
      <c r="E493" s="10" t="str">
        <f aca="false">INDEX(球隊主檔!$C$2:$C$31,MATCH($D493,球隊主檔!$A$2:$A$31,0))</f>
        <v>華盛頓國民</v>
      </c>
      <c r="F493" s="10" t="str">
        <f aca="false">INDEX(球隊主檔!$D$2:$D$31,MATCH($D493,球隊主檔!$A$2:$A$31,0))</f>
        <v>國聯</v>
      </c>
      <c r="G493" s="7" t="s">
        <v>496</v>
      </c>
      <c r="H493" s="11" t="n">
        <f aca="false">INT((DATE($A493,7,1)-INDEX(球員主檔!$G$2:$G$749,MATCH($B493,球員主檔!$A$2:$A$749,0)))/365.25)</f>
        <v>33</v>
      </c>
      <c r="I493" s="12" t="n">
        <v>6</v>
      </c>
      <c r="J493" s="12" t="n">
        <v>8</v>
      </c>
      <c r="K493" s="12" t="n">
        <v>0</v>
      </c>
      <c r="L493" s="12" t="n">
        <v>0</v>
      </c>
      <c r="M493" s="12" t="n">
        <v>19</v>
      </c>
      <c r="N493" s="12" t="n">
        <v>19</v>
      </c>
      <c r="O493" s="12" t="n">
        <v>295</v>
      </c>
      <c r="P493" s="16" t="n">
        <f aca="false">O493/3</f>
        <v>98.3333333333333</v>
      </c>
      <c r="Q493" s="17" t="str">
        <f aca="false">INT(O493/3)&amp;"."&amp;MOD(O493,3)</f>
        <v>98.1</v>
      </c>
      <c r="R493" s="12" t="n">
        <v>94</v>
      </c>
      <c r="S493" s="12" t="n">
        <v>71</v>
      </c>
      <c r="T493" s="12" t="n">
        <v>65</v>
      </c>
      <c r="U493" s="12" t="n">
        <v>7</v>
      </c>
      <c r="V493" s="12" t="n">
        <v>28</v>
      </c>
      <c r="W493" s="12" t="n">
        <v>104</v>
      </c>
      <c r="X493" s="12" t="n">
        <v>5</v>
      </c>
      <c r="Y493" s="18" t="n">
        <f aca="false">IF(O493=0,0,T493*27/O493)</f>
        <v>5.94915254237288</v>
      </c>
      <c r="Z493" s="18" t="n">
        <f aca="false">IF(P493=0,0,(V493+R493)/P493)</f>
        <v>1.2406779661017</v>
      </c>
      <c r="AA493" s="18" t="n">
        <f aca="false">IF(O493=0,0,W493*27/O493)</f>
        <v>9.51864406779661</v>
      </c>
      <c r="AB493" s="18" t="n">
        <f aca="false">IF(O493=0,0,V493*27/O493)</f>
        <v>2.56271186440678</v>
      </c>
      <c r="AC493" s="18" t="n">
        <f aca="false">IF(V493=0,0,W493/V493)</f>
        <v>3.71428571428571</v>
      </c>
      <c r="AD493" s="18" t="n">
        <f aca="false">IF(P493=0,0,(13*U493+3*(V493+X493)-2*W493)/P493+INDEX(球季參數!$C$2:$C$4,MATCH($A493,球季參數!$A$2:$A$4,0)))</f>
        <v>2.91694915254237</v>
      </c>
      <c r="AE493" s="11" t="n">
        <f aca="false">IF(P493&gt;=INDEX(球季參數!$F$2:$F$4,MATCH($A493,球季參數!$A$2:$A$4,0)),1,0)</f>
        <v>0</v>
      </c>
    </row>
    <row r="494" customFormat="false" ht="15" hidden="false" customHeight="false" outlineLevel="0" collapsed="false">
      <c r="A494" s="5" t="n">
        <v>2025</v>
      </c>
      <c r="B494" s="7" t="s">
        <v>1261</v>
      </c>
      <c r="C494" s="10" t="str">
        <f aca="false">INDEX(球員主檔!$B$2:$B$749,MATCH($B494,球員主檔!$A$2:$A$749,0))</f>
        <v>Soren Brightwell</v>
      </c>
      <c r="D494" s="7" t="s">
        <v>422</v>
      </c>
      <c r="E494" s="10" t="str">
        <f aca="false">INDEX(球隊主檔!$C$2:$C$31,MATCH($D494,球隊主檔!$A$2:$A$31,0))</f>
        <v>華盛頓國民</v>
      </c>
      <c r="F494" s="10" t="str">
        <f aca="false">INDEX(球隊主檔!$D$2:$D$31,MATCH($D494,球隊主檔!$A$2:$A$31,0))</f>
        <v>國聯</v>
      </c>
      <c r="G494" s="7" t="s">
        <v>496</v>
      </c>
      <c r="H494" s="11" t="n">
        <f aca="false">INT((DATE($A494,7,1)-INDEX(球員主檔!$G$2:$G$749,MATCH($B494,球員主檔!$A$2:$A$749,0)))/365.25)</f>
        <v>31</v>
      </c>
      <c r="I494" s="12" t="n">
        <v>9</v>
      </c>
      <c r="J494" s="12" t="n">
        <v>7</v>
      </c>
      <c r="K494" s="12" t="n">
        <v>0</v>
      </c>
      <c r="L494" s="12" t="n">
        <v>0</v>
      </c>
      <c r="M494" s="12" t="n">
        <v>24</v>
      </c>
      <c r="N494" s="12" t="n">
        <v>24</v>
      </c>
      <c r="O494" s="12" t="n">
        <v>381</v>
      </c>
      <c r="P494" s="16" t="n">
        <f aca="false">O494/3</f>
        <v>127</v>
      </c>
      <c r="Q494" s="17" t="str">
        <f aca="false">INT(O494/3)&amp;"."&amp;MOD(O494,3)</f>
        <v>127.0</v>
      </c>
      <c r="R494" s="12" t="n">
        <v>101</v>
      </c>
      <c r="S494" s="12" t="n">
        <v>66</v>
      </c>
      <c r="T494" s="12" t="n">
        <v>61</v>
      </c>
      <c r="U494" s="12" t="n">
        <v>14</v>
      </c>
      <c r="V494" s="12" t="n">
        <v>51</v>
      </c>
      <c r="W494" s="12" t="n">
        <v>97</v>
      </c>
      <c r="X494" s="12" t="n">
        <v>3</v>
      </c>
      <c r="Y494" s="18" t="n">
        <f aca="false">IF(O494=0,0,T494*27/O494)</f>
        <v>4.32283464566929</v>
      </c>
      <c r="Z494" s="18" t="n">
        <f aca="false">IF(P494=0,0,(V494+R494)/P494)</f>
        <v>1.19685039370079</v>
      </c>
      <c r="AA494" s="18" t="n">
        <f aca="false">IF(O494=0,0,W494*27/O494)</f>
        <v>6.8740157480315</v>
      </c>
      <c r="AB494" s="18" t="n">
        <f aca="false">IF(O494=0,0,V494*27/O494)</f>
        <v>3.61417322834646</v>
      </c>
      <c r="AC494" s="18" t="n">
        <f aca="false">IF(V494=0,0,W494/V494)</f>
        <v>1.90196078431373</v>
      </c>
      <c r="AD494" s="18" t="n">
        <f aca="false">IF(P494=0,0,(13*U494+3*(V494+X494)-2*W494)/P494+INDEX(球季參數!$C$2:$C$4,MATCH($A494,球季參數!$A$2:$A$4,0)))</f>
        <v>4.28110236220473</v>
      </c>
      <c r="AE494" s="11" t="n">
        <f aca="false">IF(P494&gt;=INDEX(球季參數!$F$2:$F$4,MATCH($A494,球季參數!$A$2:$A$4,0)),1,0)</f>
        <v>0</v>
      </c>
    </row>
    <row r="495" customFormat="false" ht="15" hidden="false" customHeight="false" outlineLevel="0" collapsed="false">
      <c r="A495" s="5" t="n">
        <v>2025</v>
      </c>
      <c r="B495" s="7" t="s">
        <v>1263</v>
      </c>
      <c r="C495" s="10" t="str">
        <f aca="false">INDEX(球員主檔!$B$2:$B$749,MATCH($B495,球員主檔!$A$2:$A$749,0))</f>
        <v>Ronin Hargreaves</v>
      </c>
      <c r="D495" s="7" t="s">
        <v>422</v>
      </c>
      <c r="E495" s="10" t="str">
        <f aca="false">INDEX(球隊主檔!$C$2:$C$31,MATCH($D495,球隊主檔!$A$2:$A$31,0))</f>
        <v>華盛頓國民</v>
      </c>
      <c r="F495" s="10" t="str">
        <f aca="false">INDEX(球隊主檔!$D$2:$D$31,MATCH($D495,球隊主檔!$A$2:$A$31,0))</f>
        <v>國聯</v>
      </c>
      <c r="G495" s="7" t="s">
        <v>496</v>
      </c>
      <c r="H495" s="11" t="n">
        <f aca="false">INT((DATE($A495,7,1)-INDEX(球員主檔!$G$2:$G$749,MATCH($B495,球員主檔!$A$2:$A$749,0)))/365.25)</f>
        <v>30</v>
      </c>
      <c r="I495" s="12" t="n">
        <v>7</v>
      </c>
      <c r="J495" s="12" t="n">
        <v>10</v>
      </c>
      <c r="K495" s="12" t="n">
        <v>0</v>
      </c>
      <c r="L495" s="12" t="n">
        <v>0</v>
      </c>
      <c r="M495" s="12" t="n">
        <v>26</v>
      </c>
      <c r="N495" s="12" t="n">
        <v>26</v>
      </c>
      <c r="O495" s="12" t="n">
        <v>467</v>
      </c>
      <c r="P495" s="16" t="n">
        <f aca="false">O495/3</f>
        <v>155.666666666667</v>
      </c>
      <c r="Q495" s="17" t="str">
        <f aca="false">INT(O495/3)&amp;"."&amp;MOD(O495,3)</f>
        <v>155.2</v>
      </c>
      <c r="R495" s="12" t="n">
        <v>157</v>
      </c>
      <c r="S495" s="12" t="n">
        <v>114</v>
      </c>
      <c r="T495" s="12" t="n">
        <v>107</v>
      </c>
      <c r="U495" s="12" t="n">
        <v>24</v>
      </c>
      <c r="V495" s="12" t="n">
        <v>40</v>
      </c>
      <c r="W495" s="12" t="n">
        <v>183</v>
      </c>
      <c r="X495" s="12" t="n">
        <v>4</v>
      </c>
      <c r="Y495" s="18" t="n">
        <f aca="false">IF(O495=0,0,T495*27/O495)</f>
        <v>6.18629550321199</v>
      </c>
      <c r="Z495" s="18" t="n">
        <f aca="false">IF(P495=0,0,(V495+R495)/P495)</f>
        <v>1.26552462526767</v>
      </c>
      <c r="AA495" s="18" t="n">
        <f aca="false">IF(O495=0,0,W495*27/O495)</f>
        <v>10.5802997858672</v>
      </c>
      <c r="AB495" s="18" t="n">
        <f aca="false">IF(O495=0,0,V495*27/O495)</f>
        <v>2.31263383297645</v>
      </c>
      <c r="AC495" s="18" t="n">
        <f aca="false">IF(V495=0,0,W495/V495)</f>
        <v>4.575</v>
      </c>
      <c r="AD495" s="18" t="n">
        <f aca="false">IF(P495=0,0,(13*U495+3*(V495+X495)-2*W495)/P495+INDEX(球季參數!$C$2:$C$4,MATCH($A495,球季參數!$A$2:$A$4,0)))</f>
        <v>3.60107066381156</v>
      </c>
      <c r="AE495" s="11" t="n">
        <f aca="false">IF(P495&gt;=INDEX(球季參數!$F$2:$F$4,MATCH($A495,球季參數!$A$2:$A$4,0)),1,0)</f>
        <v>0</v>
      </c>
    </row>
    <row r="496" customFormat="false" ht="15" hidden="false" customHeight="false" outlineLevel="0" collapsed="false">
      <c r="A496" s="5" t="n">
        <v>2025</v>
      </c>
      <c r="B496" s="7" t="s">
        <v>937</v>
      </c>
      <c r="C496" s="10" t="str">
        <f aca="false">INDEX(球員主檔!$B$2:$B$749,MATCH($B496,球員主檔!$A$2:$A$749,0))</f>
        <v>Konrad Garrity</v>
      </c>
      <c r="D496" s="7" t="s">
        <v>422</v>
      </c>
      <c r="E496" s="10" t="str">
        <f aca="false">INDEX(球隊主檔!$C$2:$C$31,MATCH($D496,球隊主檔!$A$2:$A$31,0))</f>
        <v>華盛頓國民</v>
      </c>
      <c r="F496" s="10" t="str">
        <f aca="false">INDEX(球隊主檔!$D$2:$D$31,MATCH($D496,球隊主檔!$A$2:$A$31,0))</f>
        <v>國聯</v>
      </c>
      <c r="G496" s="7" t="s">
        <v>496</v>
      </c>
      <c r="H496" s="11" t="n">
        <f aca="false">INT((DATE($A496,7,1)-INDEX(球員主檔!$G$2:$G$749,MATCH($B496,球員主檔!$A$2:$A$749,0)))/365.25)</f>
        <v>30</v>
      </c>
      <c r="I496" s="12" t="n">
        <v>7</v>
      </c>
      <c r="J496" s="12" t="n">
        <v>3</v>
      </c>
      <c r="K496" s="12" t="n">
        <v>0</v>
      </c>
      <c r="L496" s="12" t="n">
        <v>0</v>
      </c>
      <c r="M496" s="12" t="n">
        <v>13</v>
      </c>
      <c r="N496" s="12" t="n">
        <v>13</v>
      </c>
      <c r="O496" s="12" t="n">
        <v>197</v>
      </c>
      <c r="P496" s="16" t="n">
        <f aca="false">O496/3</f>
        <v>65.6666666666667</v>
      </c>
      <c r="Q496" s="17" t="str">
        <f aca="false">INT(O496/3)&amp;"."&amp;MOD(O496,3)</f>
        <v>65.2</v>
      </c>
      <c r="R496" s="12" t="n">
        <v>54</v>
      </c>
      <c r="S496" s="12" t="n">
        <v>31</v>
      </c>
      <c r="T496" s="12" t="n">
        <v>29</v>
      </c>
      <c r="U496" s="12" t="n">
        <v>12</v>
      </c>
      <c r="V496" s="12" t="n">
        <v>15</v>
      </c>
      <c r="W496" s="12" t="n">
        <v>56</v>
      </c>
      <c r="X496" s="12" t="n">
        <v>3</v>
      </c>
      <c r="Y496" s="18" t="n">
        <f aca="false">IF(O496=0,0,T496*27/O496)</f>
        <v>3.9746192893401</v>
      </c>
      <c r="Z496" s="18" t="n">
        <f aca="false">IF(P496=0,0,(V496+R496)/P496)</f>
        <v>1.0507614213198</v>
      </c>
      <c r="AA496" s="18" t="n">
        <f aca="false">IF(O496=0,0,W496*27/O496)</f>
        <v>7.6751269035533</v>
      </c>
      <c r="AB496" s="18" t="n">
        <f aca="false">IF(O496=0,0,V496*27/O496)</f>
        <v>2.05583756345178</v>
      </c>
      <c r="AC496" s="18" t="n">
        <f aca="false">IF(V496=0,0,W496/V496)</f>
        <v>3.73333333333333</v>
      </c>
      <c r="AD496" s="18" t="n">
        <f aca="false">IF(P496=0,0,(13*U496+3*(V496+X496)-2*W496)/P496+INDEX(球季參數!$C$2:$C$4,MATCH($A496,球季參數!$A$2:$A$4,0)))</f>
        <v>4.59238578680203</v>
      </c>
      <c r="AE496" s="11" t="n">
        <f aca="false">IF(P496&gt;=INDEX(球季參數!$F$2:$F$4,MATCH($A496,球季參數!$A$2:$A$4,0)),1,0)</f>
        <v>0</v>
      </c>
    </row>
    <row r="497" customFormat="false" ht="15" hidden="false" customHeight="false" outlineLevel="0" collapsed="false">
      <c r="A497" s="5" t="n">
        <v>2025</v>
      </c>
      <c r="B497" s="7" t="s">
        <v>1267</v>
      </c>
      <c r="C497" s="10" t="str">
        <f aca="false">INDEX(球員主檔!$B$2:$B$749,MATCH($B497,球員主檔!$A$2:$A$749,0))</f>
        <v>Ignacio Cavanaugh</v>
      </c>
      <c r="D497" s="7" t="s">
        <v>422</v>
      </c>
      <c r="E497" s="10" t="str">
        <f aca="false">INDEX(球隊主檔!$C$2:$C$31,MATCH($D497,球隊主檔!$A$2:$A$31,0))</f>
        <v>華盛頓國民</v>
      </c>
      <c r="F497" s="10" t="str">
        <f aca="false">INDEX(球隊主檔!$D$2:$D$31,MATCH($D497,球隊主檔!$A$2:$A$31,0))</f>
        <v>國聯</v>
      </c>
      <c r="G497" s="7" t="s">
        <v>507</v>
      </c>
      <c r="H497" s="11" t="n">
        <f aca="false">INT((DATE($A497,7,1)-INDEX(球員主檔!$G$2:$G$749,MATCH($B497,球員主檔!$A$2:$A$749,0)))/365.25)</f>
        <v>26</v>
      </c>
      <c r="I497" s="12" t="n">
        <v>8</v>
      </c>
      <c r="J497" s="12" t="n">
        <v>6</v>
      </c>
      <c r="K497" s="12" t="n">
        <v>29</v>
      </c>
      <c r="L497" s="12" t="n">
        <v>2</v>
      </c>
      <c r="M497" s="12" t="n">
        <v>47</v>
      </c>
      <c r="N497" s="12" t="n">
        <v>0</v>
      </c>
      <c r="O497" s="12" t="n">
        <v>122</v>
      </c>
      <c r="P497" s="16" t="n">
        <f aca="false">O497/3</f>
        <v>40.6666666666667</v>
      </c>
      <c r="Q497" s="17" t="str">
        <f aca="false">INT(O497/3)&amp;"."&amp;MOD(O497,3)</f>
        <v>40.2</v>
      </c>
      <c r="R497" s="12" t="n">
        <v>35</v>
      </c>
      <c r="S497" s="12" t="n">
        <v>17</v>
      </c>
      <c r="T497" s="12" t="n">
        <v>17</v>
      </c>
      <c r="U497" s="12" t="n">
        <v>6</v>
      </c>
      <c r="V497" s="12" t="n">
        <v>18</v>
      </c>
      <c r="W497" s="12" t="n">
        <v>54</v>
      </c>
      <c r="X497" s="12" t="n">
        <v>2</v>
      </c>
      <c r="Y497" s="18" t="n">
        <f aca="false">IF(O497=0,0,T497*27/O497)</f>
        <v>3.76229508196721</v>
      </c>
      <c r="Z497" s="18" t="n">
        <f aca="false">IF(P497=0,0,(V497+R497)/P497)</f>
        <v>1.30327868852459</v>
      </c>
      <c r="AA497" s="18" t="n">
        <f aca="false">IF(O497=0,0,W497*27/O497)</f>
        <v>11.9508196721311</v>
      </c>
      <c r="AB497" s="18" t="n">
        <f aca="false">IF(O497=0,0,V497*27/O497)</f>
        <v>3.98360655737705</v>
      </c>
      <c r="AC497" s="18" t="n">
        <f aca="false">IF(V497=0,0,W497/V497)</f>
        <v>3</v>
      </c>
      <c r="AD497" s="18" t="n">
        <f aca="false">IF(P497=0,0,(13*U497+3*(V497+X497)-2*W497)/P497+INDEX(球季參數!$C$2:$C$4,MATCH($A497,球季參數!$A$2:$A$4,0)))</f>
        <v>3.83770491803279</v>
      </c>
      <c r="AE497" s="11" t="n">
        <f aca="false">IF(P497&gt;=INDEX(球季參數!$F$2:$F$4,MATCH($A497,球季參數!$A$2:$A$4,0)),1,0)</f>
        <v>0</v>
      </c>
    </row>
    <row r="498" customFormat="false" ht="15" hidden="false" customHeight="false" outlineLevel="0" collapsed="false">
      <c r="A498" s="5" t="n">
        <v>2025</v>
      </c>
      <c r="B498" s="7" t="s">
        <v>1269</v>
      </c>
      <c r="C498" s="10" t="str">
        <f aca="false">INDEX(球員主檔!$B$2:$B$749,MATCH($B498,球員主檔!$A$2:$A$749,0))</f>
        <v>Jedidiah Gallimore</v>
      </c>
      <c r="D498" s="7" t="s">
        <v>422</v>
      </c>
      <c r="E498" s="10" t="str">
        <f aca="false">INDEX(球隊主檔!$C$2:$C$31,MATCH($D498,球隊主檔!$A$2:$A$31,0))</f>
        <v>華盛頓國民</v>
      </c>
      <c r="F498" s="10" t="str">
        <f aca="false">INDEX(球隊主檔!$D$2:$D$31,MATCH($D498,球隊主檔!$A$2:$A$31,0))</f>
        <v>國聯</v>
      </c>
      <c r="G498" s="7" t="s">
        <v>507</v>
      </c>
      <c r="H498" s="11" t="n">
        <f aca="false">INT((DATE($A498,7,1)-INDEX(球員主檔!$G$2:$G$749,MATCH($B498,球員主檔!$A$2:$A$749,0)))/365.25)</f>
        <v>29</v>
      </c>
      <c r="I498" s="12" t="n">
        <v>6</v>
      </c>
      <c r="J498" s="12" t="n">
        <v>3</v>
      </c>
      <c r="K498" s="12" t="n">
        <v>5</v>
      </c>
      <c r="L498" s="12" t="n">
        <v>2</v>
      </c>
      <c r="M498" s="12" t="n">
        <v>71</v>
      </c>
      <c r="N498" s="12" t="n">
        <v>0</v>
      </c>
      <c r="O498" s="12" t="n">
        <v>230</v>
      </c>
      <c r="P498" s="16" t="n">
        <f aca="false">O498/3</f>
        <v>76.6666666666667</v>
      </c>
      <c r="Q498" s="17" t="str">
        <f aca="false">INT(O498/3)&amp;"."&amp;MOD(O498,3)</f>
        <v>76.2</v>
      </c>
      <c r="R498" s="12" t="n">
        <v>60</v>
      </c>
      <c r="S498" s="12" t="n">
        <v>26</v>
      </c>
      <c r="T498" s="12" t="n">
        <v>25</v>
      </c>
      <c r="U498" s="12" t="n">
        <v>6</v>
      </c>
      <c r="V498" s="12" t="n">
        <v>27</v>
      </c>
      <c r="W498" s="12" t="n">
        <v>80</v>
      </c>
      <c r="X498" s="12" t="n">
        <v>3</v>
      </c>
      <c r="Y498" s="18" t="n">
        <f aca="false">IF(O498=0,0,T498*27/O498)</f>
        <v>2.93478260869565</v>
      </c>
      <c r="Z498" s="18" t="n">
        <f aca="false">IF(P498=0,0,(V498+R498)/P498)</f>
        <v>1.13478260869565</v>
      </c>
      <c r="AA498" s="18" t="n">
        <f aca="false">IF(O498=0,0,W498*27/O498)</f>
        <v>9.39130434782609</v>
      </c>
      <c r="AB498" s="18" t="n">
        <f aca="false">IF(O498=0,0,V498*27/O498)</f>
        <v>3.1695652173913</v>
      </c>
      <c r="AC498" s="18" t="n">
        <f aca="false">IF(V498=0,0,W498/V498)</f>
        <v>2.96296296296296</v>
      </c>
      <c r="AD498" s="18" t="n">
        <f aca="false">IF(P498=0,0,(13*U498+3*(V498+X498)-2*W498)/P498+INDEX(球季參數!$C$2:$C$4,MATCH($A498,球季參數!$A$2:$A$4,0)))</f>
        <v>3.20434782608696</v>
      </c>
      <c r="AE498" s="11" t="n">
        <f aca="false">IF(P498&gt;=INDEX(球季參數!$F$2:$F$4,MATCH($A498,球季參數!$A$2:$A$4,0)),1,0)</f>
        <v>0</v>
      </c>
    </row>
    <row r="499" customFormat="false" ht="15" hidden="false" customHeight="false" outlineLevel="0" collapsed="false">
      <c r="A499" s="5" t="n">
        <v>2025</v>
      </c>
      <c r="B499" s="7" t="s">
        <v>1271</v>
      </c>
      <c r="C499" s="10" t="str">
        <f aca="false">INDEX(球員主檔!$B$2:$B$749,MATCH($B499,球員主檔!$A$2:$A$749,0))</f>
        <v>Rhett Kiriakis</v>
      </c>
      <c r="D499" s="7" t="s">
        <v>422</v>
      </c>
      <c r="E499" s="10" t="str">
        <f aca="false">INDEX(球隊主檔!$C$2:$C$31,MATCH($D499,球隊主檔!$A$2:$A$31,0))</f>
        <v>華盛頓國民</v>
      </c>
      <c r="F499" s="10" t="str">
        <f aca="false">INDEX(球隊主檔!$D$2:$D$31,MATCH($D499,球隊主檔!$A$2:$A$31,0))</f>
        <v>國聯</v>
      </c>
      <c r="G499" s="7" t="s">
        <v>507</v>
      </c>
      <c r="H499" s="11" t="n">
        <f aca="false">INT((DATE($A499,7,1)-INDEX(球員主檔!$G$2:$G$749,MATCH($B499,球員主檔!$A$2:$A$749,0)))/365.25)</f>
        <v>31</v>
      </c>
      <c r="I499" s="12" t="n">
        <v>4</v>
      </c>
      <c r="J499" s="12" t="n">
        <v>8</v>
      </c>
      <c r="K499" s="12" t="n">
        <v>5</v>
      </c>
      <c r="L499" s="12" t="n">
        <v>25</v>
      </c>
      <c r="M499" s="12" t="n">
        <v>44</v>
      </c>
      <c r="N499" s="12" t="n">
        <v>0</v>
      </c>
      <c r="O499" s="12" t="n">
        <v>131</v>
      </c>
      <c r="P499" s="16" t="n">
        <f aca="false">O499/3</f>
        <v>43.6666666666667</v>
      </c>
      <c r="Q499" s="17" t="str">
        <f aca="false">INT(O499/3)&amp;"."&amp;MOD(O499,3)</f>
        <v>43.2</v>
      </c>
      <c r="R499" s="12" t="n">
        <v>28</v>
      </c>
      <c r="S499" s="12" t="n">
        <v>12</v>
      </c>
      <c r="T499" s="12" t="n">
        <v>12</v>
      </c>
      <c r="U499" s="12" t="n">
        <v>7</v>
      </c>
      <c r="V499" s="12" t="n">
        <v>15</v>
      </c>
      <c r="W499" s="12" t="n">
        <v>34</v>
      </c>
      <c r="X499" s="12" t="n">
        <v>1</v>
      </c>
      <c r="Y499" s="18" t="n">
        <f aca="false">IF(O499=0,0,T499*27/O499)</f>
        <v>2.47328244274809</v>
      </c>
      <c r="Z499" s="18" t="n">
        <f aca="false">IF(P499=0,0,(V499+R499)/P499)</f>
        <v>0.984732824427481</v>
      </c>
      <c r="AA499" s="18" t="n">
        <f aca="false">IF(O499=0,0,W499*27/O499)</f>
        <v>7.00763358778626</v>
      </c>
      <c r="AB499" s="18" t="n">
        <f aca="false">IF(O499=0,0,V499*27/O499)</f>
        <v>3.09160305343511</v>
      </c>
      <c r="AC499" s="18" t="n">
        <f aca="false">IF(V499=0,0,W499/V499)</f>
        <v>2.26666666666667</v>
      </c>
      <c r="AD499" s="18" t="n">
        <f aca="false">IF(P499=0,0,(13*U499+3*(V499+X499)-2*W499)/P499+INDEX(球季參數!$C$2:$C$4,MATCH($A499,球季參數!$A$2:$A$4,0)))</f>
        <v>4.72595419847328</v>
      </c>
      <c r="AE499" s="11" t="n">
        <f aca="false">IF(P499&gt;=INDEX(球季參數!$F$2:$F$4,MATCH($A499,球季參數!$A$2:$A$4,0)),1,0)</f>
        <v>0</v>
      </c>
    </row>
    <row r="500" customFormat="false" ht="15" hidden="false" customHeight="false" outlineLevel="0" collapsed="false">
      <c r="A500" s="5" t="n">
        <v>2025</v>
      </c>
      <c r="B500" s="7" t="s">
        <v>1115</v>
      </c>
      <c r="C500" s="10" t="str">
        <f aca="false">INDEX(球員主檔!$B$2:$B$749,MATCH($B500,球員主檔!$A$2:$A$749,0))</f>
        <v>Garrison Haverford</v>
      </c>
      <c r="D500" s="7" t="s">
        <v>422</v>
      </c>
      <c r="E500" s="10" t="str">
        <f aca="false">INDEX(球隊主檔!$C$2:$C$31,MATCH($D500,球隊主檔!$A$2:$A$31,0))</f>
        <v>華盛頓國民</v>
      </c>
      <c r="F500" s="10" t="str">
        <f aca="false">INDEX(球隊主檔!$D$2:$D$31,MATCH($D500,球隊主檔!$A$2:$A$31,0))</f>
        <v>國聯</v>
      </c>
      <c r="G500" s="7" t="s">
        <v>507</v>
      </c>
      <c r="H500" s="11" t="n">
        <f aca="false">INT((DATE($A500,7,1)-INDEX(球員主檔!$G$2:$G$749,MATCH($B500,球員主檔!$A$2:$A$749,0)))/365.25)</f>
        <v>31</v>
      </c>
      <c r="I500" s="12" t="n">
        <v>2</v>
      </c>
      <c r="J500" s="12" t="n">
        <v>2</v>
      </c>
      <c r="K500" s="12" t="n">
        <v>5</v>
      </c>
      <c r="L500" s="12" t="n">
        <v>13</v>
      </c>
      <c r="M500" s="12" t="n">
        <v>52</v>
      </c>
      <c r="N500" s="12" t="n">
        <v>0</v>
      </c>
      <c r="O500" s="12" t="n">
        <v>151</v>
      </c>
      <c r="P500" s="16" t="n">
        <f aca="false">O500/3</f>
        <v>50.3333333333333</v>
      </c>
      <c r="Q500" s="17" t="str">
        <f aca="false">INT(O500/3)&amp;"."&amp;MOD(O500,3)</f>
        <v>50.1</v>
      </c>
      <c r="R500" s="12" t="n">
        <v>46</v>
      </c>
      <c r="S500" s="12" t="n">
        <v>28</v>
      </c>
      <c r="T500" s="12" t="n">
        <v>27</v>
      </c>
      <c r="U500" s="12" t="n">
        <v>4</v>
      </c>
      <c r="V500" s="12" t="n">
        <v>14</v>
      </c>
      <c r="W500" s="12" t="n">
        <v>53</v>
      </c>
      <c r="X500" s="12" t="n">
        <v>2</v>
      </c>
      <c r="Y500" s="18" t="n">
        <f aca="false">IF(O500=0,0,T500*27/O500)</f>
        <v>4.82781456953642</v>
      </c>
      <c r="Z500" s="18" t="n">
        <f aca="false">IF(P500=0,0,(V500+R500)/P500)</f>
        <v>1.19205298013245</v>
      </c>
      <c r="AA500" s="18" t="n">
        <f aca="false">IF(O500=0,0,W500*27/O500)</f>
        <v>9.47682119205298</v>
      </c>
      <c r="AB500" s="18" t="n">
        <f aca="false">IF(O500=0,0,V500*27/O500)</f>
        <v>2.50331125827815</v>
      </c>
      <c r="AC500" s="18" t="n">
        <f aca="false">IF(V500=0,0,W500/V500)</f>
        <v>3.78571428571429</v>
      </c>
      <c r="AD500" s="18" t="n">
        <f aca="false">IF(P500=0,0,(13*U500+3*(V500+X500)-2*W500)/P500+INDEX(球季參數!$C$2:$C$4,MATCH($A500,球季參數!$A$2:$A$4,0)))</f>
        <v>2.98079470198676</v>
      </c>
      <c r="AE500" s="11" t="n">
        <f aca="false">IF(P500&gt;=INDEX(球季參數!$F$2:$F$4,MATCH($A500,球季參數!$A$2:$A$4,0)),1,0)</f>
        <v>0</v>
      </c>
    </row>
    <row r="501" customFormat="false" ht="15" hidden="false" customHeight="false" outlineLevel="0" collapsed="false">
      <c r="A501" s="5" t="n">
        <v>2025</v>
      </c>
      <c r="B501" s="7" t="s">
        <v>1275</v>
      </c>
      <c r="C501" s="10" t="str">
        <f aca="false">INDEX(球員主檔!$B$2:$B$749,MATCH($B501,球員主檔!$A$2:$A$749,0))</f>
        <v>Dimitri Vasquez</v>
      </c>
      <c r="D501" s="7" t="s">
        <v>422</v>
      </c>
      <c r="E501" s="10" t="str">
        <f aca="false">INDEX(球隊主檔!$C$2:$C$31,MATCH($D501,球隊主檔!$A$2:$A$31,0))</f>
        <v>華盛頓國民</v>
      </c>
      <c r="F501" s="10" t="str">
        <f aca="false">INDEX(球隊主檔!$D$2:$D$31,MATCH($D501,球隊主檔!$A$2:$A$31,0))</f>
        <v>國聯</v>
      </c>
      <c r="G501" s="7" t="s">
        <v>507</v>
      </c>
      <c r="H501" s="11" t="n">
        <f aca="false">INT((DATE($A501,7,1)-INDEX(球員主檔!$G$2:$G$749,MATCH($B501,球員主檔!$A$2:$A$749,0)))/365.25)</f>
        <v>23</v>
      </c>
      <c r="I501" s="12" t="n">
        <v>7</v>
      </c>
      <c r="J501" s="12" t="n">
        <v>1</v>
      </c>
      <c r="K501" s="12" t="n">
        <v>0</v>
      </c>
      <c r="L501" s="12" t="n">
        <v>34</v>
      </c>
      <c r="M501" s="12" t="n">
        <v>45</v>
      </c>
      <c r="N501" s="12" t="n">
        <v>0</v>
      </c>
      <c r="O501" s="12" t="n">
        <v>133</v>
      </c>
      <c r="P501" s="16" t="n">
        <f aca="false">O501/3</f>
        <v>44.3333333333333</v>
      </c>
      <c r="Q501" s="17" t="str">
        <f aca="false">INT(O501/3)&amp;"."&amp;MOD(O501,3)</f>
        <v>44.1</v>
      </c>
      <c r="R501" s="12" t="n">
        <v>39</v>
      </c>
      <c r="S501" s="12" t="n">
        <v>22</v>
      </c>
      <c r="T501" s="12" t="n">
        <v>22</v>
      </c>
      <c r="U501" s="12" t="n">
        <v>4</v>
      </c>
      <c r="V501" s="12" t="n">
        <v>22</v>
      </c>
      <c r="W501" s="12" t="n">
        <v>51</v>
      </c>
      <c r="X501" s="12" t="n">
        <v>1</v>
      </c>
      <c r="Y501" s="18" t="n">
        <f aca="false">IF(O501=0,0,T501*27/O501)</f>
        <v>4.46616541353384</v>
      </c>
      <c r="Z501" s="18" t="n">
        <f aca="false">IF(P501=0,0,(V501+R501)/P501)</f>
        <v>1.37593984962406</v>
      </c>
      <c r="AA501" s="18" t="n">
        <f aca="false">IF(O501=0,0,W501*27/O501)</f>
        <v>10.3533834586466</v>
      </c>
      <c r="AB501" s="18" t="n">
        <f aca="false">IF(O501=0,0,V501*27/O501)</f>
        <v>4.46616541353384</v>
      </c>
      <c r="AC501" s="18" t="n">
        <f aca="false">IF(V501=0,0,W501/V501)</f>
        <v>2.31818181818182</v>
      </c>
      <c r="AD501" s="18" t="n">
        <f aca="false">IF(P501=0,0,(13*U501+3*(V501+X501)-2*W501)/P501+INDEX(球季參數!$C$2:$C$4,MATCH($A501,球季參數!$A$2:$A$4,0)))</f>
        <v>3.52857142857143</v>
      </c>
      <c r="AE501" s="11" t="n">
        <f aca="false">IF(P501&gt;=INDEX(球季參數!$F$2:$F$4,MATCH($A501,球季參數!$A$2:$A$4,0)),1,0)</f>
        <v>0</v>
      </c>
    </row>
    <row r="502" customFormat="false" ht="15" hidden="false" customHeight="false" outlineLevel="0" collapsed="false">
      <c r="A502" s="5" t="n">
        <v>2025</v>
      </c>
      <c r="B502" s="7" t="s">
        <v>1297</v>
      </c>
      <c r="C502" s="10" t="str">
        <f aca="false">INDEX(球員主檔!$B$2:$B$749,MATCH($B502,球員主檔!$A$2:$A$749,0))</f>
        <v>Nolan Mbeki</v>
      </c>
      <c r="D502" s="7" t="s">
        <v>426</v>
      </c>
      <c r="E502" s="10" t="str">
        <f aca="false">INDEX(球隊主檔!$C$2:$C$31,MATCH($D502,球隊主檔!$A$2:$A$31,0))</f>
        <v>芝加哥小熊</v>
      </c>
      <c r="F502" s="10" t="str">
        <f aca="false">INDEX(球隊主檔!$D$2:$D$31,MATCH($D502,球隊主檔!$A$2:$A$31,0))</f>
        <v>國聯</v>
      </c>
      <c r="G502" s="7" t="s">
        <v>496</v>
      </c>
      <c r="H502" s="11" t="n">
        <f aca="false">INT((DATE($A502,7,1)-INDEX(球員主檔!$G$2:$G$749,MATCH($B502,球員主檔!$A$2:$A$749,0)))/365.25)</f>
        <v>27</v>
      </c>
      <c r="I502" s="12" t="n">
        <v>17</v>
      </c>
      <c r="J502" s="12" t="n">
        <v>5</v>
      </c>
      <c r="K502" s="12" t="n">
        <v>0</v>
      </c>
      <c r="L502" s="12" t="n">
        <v>0</v>
      </c>
      <c r="M502" s="12" t="n">
        <v>33</v>
      </c>
      <c r="N502" s="12" t="n">
        <v>33</v>
      </c>
      <c r="O502" s="12" t="n">
        <v>605</v>
      </c>
      <c r="P502" s="16" t="n">
        <f aca="false">O502/3</f>
        <v>201.666666666667</v>
      </c>
      <c r="Q502" s="17" t="str">
        <f aca="false">INT(O502/3)&amp;"."&amp;MOD(O502,3)</f>
        <v>201.2</v>
      </c>
      <c r="R502" s="12" t="n">
        <v>148</v>
      </c>
      <c r="S502" s="12" t="n">
        <v>59</v>
      </c>
      <c r="T502" s="12" t="n">
        <v>57</v>
      </c>
      <c r="U502" s="12" t="n">
        <v>20</v>
      </c>
      <c r="V502" s="12" t="n">
        <v>30</v>
      </c>
      <c r="W502" s="12" t="n">
        <v>221</v>
      </c>
      <c r="X502" s="12" t="n">
        <v>5</v>
      </c>
      <c r="Y502" s="18" t="n">
        <f aca="false">IF(O502=0,0,T502*27/O502)</f>
        <v>2.54380165289256</v>
      </c>
      <c r="Z502" s="18" t="n">
        <f aca="false">IF(P502=0,0,(V502+R502)/P502)</f>
        <v>0.882644628099174</v>
      </c>
      <c r="AA502" s="18" t="n">
        <f aca="false">IF(O502=0,0,W502*27/O502)</f>
        <v>9.86280991735537</v>
      </c>
      <c r="AB502" s="18" t="n">
        <f aca="false">IF(O502=0,0,V502*27/O502)</f>
        <v>1.33884297520661</v>
      </c>
      <c r="AC502" s="18" t="n">
        <f aca="false">IF(V502=0,0,W502/V502)</f>
        <v>7.36666666666667</v>
      </c>
      <c r="AD502" s="18" t="n">
        <f aca="false">IF(P502=0,0,(13*U502+3*(V502+X502)-2*W502)/P502+INDEX(球季參數!$C$2:$C$4,MATCH($A502,球季參數!$A$2:$A$4,0)))</f>
        <v>2.71818181818182</v>
      </c>
      <c r="AE502" s="11" t="n">
        <f aca="false">IF(P502&gt;=INDEX(球季參數!$F$2:$F$4,MATCH($A502,球季參數!$A$2:$A$4,0)),1,0)</f>
        <v>1</v>
      </c>
    </row>
    <row r="503" customFormat="false" ht="15" hidden="false" customHeight="false" outlineLevel="0" collapsed="false">
      <c r="A503" s="5" t="n">
        <v>2025</v>
      </c>
      <c r="B503" s="7" t="s">
        <v>1299</v>
      </c>
      <c r="C503" s="10" t="str">
        <f aca="false">INDEX(球員主檔!$B$2:$B$749,MATCH($B503,球員主檔!$A$2:$A$749,0))</f>
        <v>Benedikt Dubois</v>
      </c>
      <c r="D503" s="7" t="s">
        <v>426</v>
      </c>
      <c r="E503" s="10" t="str">
        <f aca="false">INDEX(球隊主檔!$C$2:$C$31,MATCH($D503,球隊主檔!$A$2:$A$31,0))</f>
        <v>芝加哥小熊</v>
      </c>
      <c r="F503" s="10" t="str">
        <f aca="false">INDEX(球隊主檔!$D$2:$D$31,MATCH($D503,球隊主檔!$A$2:$A$31,0))</f>
        <v>國聯</v>
      </c>
      <c r="G503" s="7" t="s">
        <v>496</v>
      </c>
      <c r="H503" s="11" t="n">
        <f aca="false">INT((DATE($A503,7,1)-INDEX(球員主檔!$G$2:$G$749,MATCH($B503,球員主檔!$A$2:$A$749,0)))/365.25)</f>
        <v>25</v>
      </c>
      <c r="I503" s="12" t="n">
        <v>12</v>
      </c>
      <c r="J503" s="12" t="n">
        <v>5</v>
      </c>
      <c r="K503" s="12" t="n">
        <v>0</v>
      </c>
      <c r="L503" s="12" t="n">
        <v>0</v>
      </c>
      <c r="M503" s="12" t="n">
        <v>24</v>
      </c>
      <c r="N503" s="12" t="n">
        <v>24</v>
      </c>
      <c r="O503" s="12" t="n">
        <v>391</v>
      </c>
      <c r="P503" s="16" t="n">
        <f aca="false">O503/3</f>
        <v>130.333333333333</v>
      </c>
      <c r="Q503" s="17" t="str">
        <f aca="false">INT(O503/3)&amp;"."&amp;MOD(O503,3)</f>
        <v>130.1</v>
      </c>
      <c r="R503" s="12" t="n">
        <v>102</v>
      </c>
      <c r="S503" s="12" t="n">
        <v>45</v>
      </c>
      <c r="T503" s="12" t="n">
        <v>45</v>
      </c>
      <c r="U503" s="12" t="n">
        <v>14</v>
      </c>
      <c r="V503" s="12" t="n">
        <v>33</v>
      </c>
      <c r="W503" s="12" t="n">
        <v>140</v>
      </c>
      <c r="X503" s="12" t="n">
        <v>7</v>
      </c>
      <c r="Y503" s="18" t="n">
        <f aca="false">IF(O503=0,0,T503*27/O503)</f>
        <v>3.1074168797954</v>
      </c>
      <c r="Z503" s="18" t="n">
        <f aca="false">IF(P503=0,0,(V503+R503)/P503)</f>
        <v>1.03580562659847</v>
      </c>
      <c r="AA503" s="18" t="n">
        <f aca="false">IF(O503=0,0,W503*27/O503)</f>
        <v>9.66751918158568</v>
      </c>
      <c r="AB503" s="18" t="n">
        <f aca="false">IF(O503=0,0,V503*27/O503)</f>
        <v>2.27877237851662</v>
      </c>
      <c r="AC503" s="18" t="n">
        <f aca="false">IF(V503=0,0,W503/V503)</f>
        <v>4.24242424242424</v>
      </c>
      <c r="AD503" s="18" t="n">
        <f aca="false">IF(P503=0,0,(13*U503+3*(V503+X503)-2*W503)/P503+INDEX(球季參數!$C$2:$C$4,MATCH($A503,球季參數!$A$2:$A$4,0)))</f>
        <v>3.26879795396419</v>
      </c>
      <c r="AE503" s="11" t="n">
        <f aca="false">IF(P503&gt;=INDEX(球季參數!$F$2:$F$4,MATCH($A503,球季參數!$A$2:$A$4,0)),1,0)</f>
        <v>0</v>
      </c>
    </row>
    <row r="504" customFormat="false" ht="15" hidden="false" customHeight="false" outlineLevel="0" collapsed="false">
      <c r="A504" s="5" t="n">
        <v>2025</v>
      </c>
      <c r="B504" s="7" t="s">
        <v>1301</v>
      </c>
      <c r="C504" s="10" t="str">
        <f aca="false">INDEX(球員主檔!$B$2:$B$749,MATCH($B504,球員主檔!$A$2:$A$749,0))</f>
        <v>Kellan Oyelaran</v>
      </c>
      <c r="D504" s="7" t="s">
        <v>426</v>
      </c>
      <c r="E504" s="10" t="str">
        <f aca="false">INDEX(球隊主檔!$C$2:$C$31,MATCH($D504,球隊主檔!$A$2:$A$31,0))</f>
        <v>芝加哥小熊</v>
      </c>
      <c r="F504" s="10" t="str">
        <f aca="false">INDEX(球隊主檔!$D$2:$D$31,MATCH($D504,球隊主檔!$A$2:$A$31,0))</f>
        <v>國聯</v>
      </c>
      <c r="G504" s="7" t="s">
        <v>496</v>
      </c>
      <c r="H504" s="11" t="n">
        <f aca="false">INT((DATE($A504,7,1)-INDEX(球員主檔!$G$2:$G$749,MATCH($B504,球員主檔!$A$2:$A$749,0)))/365.25)</f>
        <v>29</v>
      </c>
      <c r="I504" s="12" t="n">
        <v>15</v>
      </c>
      <c r="J504" s="12" t="n">
        <v>4</v>
      </c>
      <c r="K504" s="12" t="n">
        <v>0</v>
      </c>
      <c r="L504" s="12" t="n">
        <v>0</v>
      </c>
      <c r="M504" s="12" t="n">
        <v>28</v>
      </c>
      <c r="N504" s="12" t="n">
        <v>28</v>
      </c>
      <c r="O504" s="12" t="n">
        <v>413</v>
      </c>
      <c r="P504" s="16" t="n">
        <f aca="false">O504/3</f>
        <v>137.666666666667</v>
      </c>
      <c r="Q504" s="17" t="str">
        <f aca="false">INT(O504/3)&amp;"."&amp;MOD(O504,3)</f>
        <v>137.2</v>
      </c>
      <c r="R504" s="12" t="n">
        <v>101</v>
      </c>
      <c r="S504" s="12" t="n">
        <v>54</v>
      </c>
      <c r="T504" s="12" t="n">
        <v>48</v>
      </c>
      <c r="U504" s="12" t="n">
        <v>13</v>
      </c>
      <c r="V504" s="12" t="n">
        <v>26</v>
      </c>
      <c r="W504" s="12" t="n">
        <v>132</v>
      </c>
      <c r="X504" s="12" t="n">
        <v>3</v>
      </c>
      <c r="Y504" s="18" t="n">
        <f aca="false">IF(O504=0,0,T504*27/O504)</f>
        <v>3.13801452784504</v>
      </c>
      <c r="Z504" s="18" t="n">
        <f aca="false">IF(P504=0,0,(V504+R504)/P504)</f>
        <v>0.922518159806296</v>
      </c>
      <c r="AA504" s="18" t="n">
        <f aca="false">IF(O504=0,0,W504*27/O504)</f>
        <v>8.62953995157385</v>
      </c>
      <c r="AB504" s="18" t="n">
        <f aca="false">IF(O504=0,0,V504*27/O504)</f>
        <v>1.69975786924939</v>
      </c>
      <c r="AC504" s="18" t="n">
        <f aca="false">IF(V504=0,0,W504/V504)</f>
        <v>5.07692307692308</v>
      </c>
      <c r="AD504" s="18" t="n">
        <f aca="false">IF(P504=0,0,(13*U504+3*(V504+X504)-2*W504)/P504+INDEX(球季參數!$C$2:$C$4,MATCH($A504,球季參數!$A$2:$A$4,0)))</f>
        <v>3.04188861985472</v>
      </c>
      <c r="AE504" s="11" t="n">
        <f aca="false">IF(P504&gt;=INDEX(球季參數!$F$2:$F$4,MATCH($A504,球季參數!$A$2:$A$4,0)),1,0)</f>
        <v>0</v>
      </c>
    </row>
    <row r="505" customFormat="false" ht="15" hidden="false" customHeight="false" outlineLevel="0" collapsed="false">
      <c r="A505" s="5" t="n">
        <v>2025</v>
      </c>
      <c r="B505" s="7" t="s">
        <v>1619</v>
      </c>
      <c r="C505" s="10" t="str">
        <f aca="false">INDEX(球員主檔!$B$2:$B$749,MATCH($B505,球員主檔!$A$2:$A$749,0))</f>
        <v>Bernardo Esquivel</v>
      </c>
      <c r="D505" s="7" t="s">
        <v>426</v>
      </c>
      <c r="E505" s="10" t="str">
        <f aca="false">INDEX(球隊主檔!$C$2:$C$31,MATCH($D505,球隊主檔!$A$2:$A$31,0))</f>
        <v>芝加哥小熊</v>
      </c>
      <c r="F505" s="10" t="str">
        <f aca="false">INDEX(球隊主檔!$D$2:$D$31,MATCH($D505,球隊主檔!$A$2:$A$31,0))</f>
        <v>國聯</v>
      </c>
      <c r="G505" s="7" t="s">
        <v>496</v>
      </c>
      <c r="H505" s="11" t="n">
        <f aca="false">INT((DATE($A505,7,1)-INDEX(球員主檔!$G$2:$G$749,MATCH($B505,球員主檔!$A$2:$A$749,0)))/365.25)</f>
        <v>28</v>
      </c>
      <c r="I505" s="12" t="n">
        <v>4</v>
      </c>
      <c r="J505" s="12" t="n">
        <v>2</v>
      </c>
      <c r="K505" s="12" t="n">
        <v>0</v>
      </c>
      <c r="L505" s="12" t="n">
        <v>0</v>
      </c>
      <c r="M505" s="12" t="n">
        <v>11</v>
      </c>
      <c r="N505" s="12" t="n">
        <v>11</v>
      </c>
      <c r="O505" s="12" t="n">
        <v>194</v>
      </c>
      <c r="P505" s="16" t="n">
        <f aca="false">O505/3</f>
        <v>64.6666666666667</v>
      </c>
      <c r="Q505" s="17" t="str">
        <f aca="false">INT(O505/3)&amp;"."&amp;MOD(O505,3)</f>
        <v>64.2</v>
      </c>
      <c r="R505" s="12" t="n">
        <v>56</v>
      </c>
      <c r="S505" s="12" t="n">
        <v>27</v>
      </c>
      <c r="T505" s="12" t="n">
        <v>26</v>
      </c>
      <c r="U505" s="12" t="n">
        <v>11</v>
      </c>
      <c r="V505" s="12" t="n">
        <v>20</v>
      </c>
      <c r="W505" s="12" t="n">
        <v>72</v>
      </c>
      <c r="X505" s="12" t="n">
        <v>1</v>
      </c>
      <c r="Y505" s="18" t="n">
        <f aca="false">IF(O505=0,0,T505*27/O505)</f>
        <v>3.61855670103093</v>
      </c>
      <c r="Z505" s="18" t="n">
        <f aca="false">IF(P505=0,0,(V505+R505)/P505)</f>
        <v>1.17525773195876</v>
      </c>
      <c r="AA505" s="18" t="n">
        <f aca="false">IF(O505=0,0,W505*27/O505)</f>
        <v>10.020618556701</v>
      </c>
      <c r="AB505" s="18" t="n">
        <f aca="false">IF(O505=0,0,V505*27/O505)</f>
        <v>2.78350515463918</v>
      </c>
      <c r="AC505" s="18" t="n">
        <f aca="false">IF(V505=0,0,W505/V505)</f>
        <v>3.6</v>
      </c>
      <c r="AD505" s="18" t="n">
        <f aca="false">IF(P505=0,0,(13*U505+3*(V505+X505)-2*W505)/P505+INDEX(球季參數!$C$2:$C$4,MATCH($A505,球季參數!$A$2:$A$4,0)))</f>
        <v>4.05876288659794</v>
      </c>
      <c r="AE505" s="11" t="n">
        <f aca="false">IF(P505&gt;=INDEX(球季參數!$F$2:$F$4,MATCH($A505,球季參數!$A$2:$A$4,0)),1,0)</f>
        <v>0</v>
      </c>
    </row>
    <row r="506" customFormat="false" ht="15" hidden="false" customHeight="false" outlineLevel="0" collapsed="false">
      <c r="A506" s="5" t="n">
        <v>2025</v>
      </c>
      <c r="B506" s="7" t="s">
        <v>1305</v>
      </c>
      <c r="C506" s="10" t="str">
        <f aca="false">INDEX(球員主檔!$B$2:$B$749,MATCH($B506,球員主檔!$A$2:$A$749,0))</f>
        <v>Elias Yarbrough</v>
      </c>
      <c r="D506" s="7" t="s">
        <v>426</v>
      </c>
      <c r="E506" s="10" t="str">
        <f aca="false">INDEX(球隊主檔!$C$2:$C$31,MATCH($D506,球隊主檔!$A$2:$A$31,0))</f>
        <v>芝加哥小熊</v>
      </c>
      <c r="F506" s="10" t="str">
        <f aca="false">INDEX(球隊主檔!$D$2:$D$31,MATCH($D506,球隊主檔!$A$2:$A$31,0))</f>
        <v>國聯</v>
      </c>
      <c r="G506" s="7" t="s">
        <v>496</v>
      </c>
      <c r="H506" s="11" t="n">
        <f aca="false">INT((DATE($A506,7,1)-INDEX(球員主檔!$G$2:$G$749,MATCH($B506,球員主檔!$A$2:$A$749,0)))/365.25)</f>
        <v>25</v>
      </c>
      <c r="I506" s="12" t="n">
        <v>9</v>
      </c>
      <c r="J506" s="12" t="n">
        <v>6</v>
      </c>
      <c r="K506" s="12" t="n">
        <v>0</v>
      </c>
      <c r="L506" s="12" t="n">
        <v>0</v>
      </c>
      <c r="M506" s="12" t="n">
        <v>21</v>
      </c>
      <c r="N506" s="12" t="n">
        <v>21</v>
      </c>
      <c r="O506" s="12" t="n">
        <v>334</v>
      </c>
      <c r="P506" s="16" t="n">
        <f aca="false">O506/3</f>
        <v>111.333333333333</v>
      </c>
      <c r="Q506" s="17" t="str">
        <f aca="false">INT(O506/3)&amp;"."&amp;MOD(O506,3)</f>
        <v>111.1</v>
      </c>
      <c r="R506" s="12" t="n">
        <v>93</v>
      </c>
      <c r="S506" s="12" t="n">
        <v>65</v>
      </c>
      <c r="T506" s="12" t="n">
        <v>58</v>
      </c>
      <c r="U506" s="12" t="n">
        <v>10</v>
      </c>
      <c r="V506" s="12" t="n">
        <v>35</v>
      </c>
      <c r="W506" s="12" t="n">
        <v>87</v>
      </c>
      <c r="X506" s="12" t="n">
        <v>3</v>
      </c>
      <c r="Y506" s="18" t="n">
        <f aca="false">IF(O506=0,0,T506*27/O506)</f>
        <v>4.68862275449102</v>
      </c>
      <c r="Z506" s="18" t="n">
        <f aca="false">IF(P506=0,0,(V506+R506)/P506)</f>
        <v>1.1497005988024</v>
      </c>
      <c r="AA506" s="18" t="n">
        <f aca="false">IF(O506=0,0,W506*27/O506)</f>
        <v>7.03293413173653</v>
      </c>
      <c r="AB506" s="18" t="n">
        <f aca="false">IF(O506=0,0,V506*27/O506)</f>
        <v>2.82934131736527</v>
      </c>
      <c r="AC506" s="18" t="n">
        <f aca="false">IF(V506=0,0,W506/V506)</f>
        <v>2.48571428571429</v>
      </c>
      <c r="AD506" s="18" t="n">
        <f aca="false">IF(P506=0,0,(13*U506+3*(V506+X506)-2*W506)/P506+INDEX(球季參數!$C$2:$C$4,MATCH($A506,球季參數!$A$2:$A$4,0)))</f>
        <v>3.72874251497006</v>
      </c>
      <c r="AE506" s="11" t="n">
        <f aca="false">IF(P506&gt;=INDEX(球季參數!$F$2:$F$4,MATCH($A506,球季參數!$A$2:$A$4,0)),1,0)</f>
        <v>0</v>
      </c>
    </row>
    <row r="507" customFormat="false" ht="15" hidden="false" customHeight="false" outlineLevel="0" collapsed="false">
      <c r="A507" s="5" t="n">
        <v>2025</v>
      </c>
      <c r="B507" s="7" t="s">
        <v>1307</v>
      </c>
      <c r="C507" s="10" t="str">
        <f aca="false">INDEX(球員主檔!$B$2:$B$749,MATCH($B507,球員主檔!$A$2:$A$749,0))</f>
        <v>Seonwoo Kiriakis</v>
      </c>
      <c r="D507" s="7" t="s">
        <v>426</v>
      </c>
      <c r="E507" s="10" t="str">
        <f aca="false">INDEX(球隊主檔!$C$2:$C$31,MATCH($D507,球隊主檔!$A$2:$A$31,0))</f>
        <v>芝加哥小熊</v>
      </c>
      <c r="F507" s="10" t="str">
        <f aca="false">INDEX(球隊主檔!$D$2:$D$31,MATCH($D507,球隊主檔!$A$2:$A$31,0))</f>
        <v>國聯</v>
      </c>
      <c r="G507" s="7" t="s">
        <v>507</v>
      </c>
      <c r="H507" s="11" t="n">
        <f aca="false">INT((DATE($A507,7,1)-INDEX(球員主檔!$G$2:$G$749,MATCH($B507,球員主檔!$A$2:$A$749,0)))/365.25)</f>
        <v>26</v>
      </c>
      <c r="I507" s="12" t="n">
        <v>6</v>
      </c>
      <c r="J507" s="12" t="n">
        <v>8</v>
      </c>
      <c r="K507" s="12" t="n">
        <v>19</v>
      </c>
      <c r="L507" s="12" t="n">
        <v>1</v>
      </c>
      <c r="M507" s="12" t="n">
        <v>76</v>
      </c>
      <c r="N507" s="12" t="n">
        <v>0</v>
      </c>
      <c r="O507" s="12" t="n">
        <v>230</v>
      </c>
      <c r="P507" s="16" t="n">
        <f aca="false">O507/3</f>
        <v>76.6666666666667</v>
      </c>
      <c r="Q507" s="17" t="str">
        <f aca="false">INT(O507/3)&amp;"."&amp;MOD(O507,3)</f>
        <v>76.2</v>
      </c>
      <c r="R507" s="12" t="n">
        <v>60</v>
      </c>
      <c r="S507" s="12" t="n">
        <v>33</v>
      </c>
      <c r="T507" s="12" t="n">
        <v>32</v>
      </c>
      <c r="U507" s="12" t="n">
        <v>9</v>
      </c>
      <c r="V507" s="12" t="n">
        <v>36</v>
      </c>
      <c r="W507" s="12" t="n">
        <v>107</v>
      </c>
      <c r="X507" s="12" t="n">
        <v>2</v>
      </c>
      <c r="Y507" s="18" t="n">
        <f aca="false">IF(O507=0,0,T507*27/O507)</f>
        <v>3.75652173913044</v>
      </c>
      <c r="Z507" s="18" t="n">
        <f aca="false">IF(P507=0,0,(V507+R507)/P507)</f>
        <v>1.25217391304348</v>
      </c>
      <c r="AA507" s="18" t="n">
        <f aca="false">IF(O507=0,0,W507*27/O507)</f>
        <v>12.5608695652174</v>
      </c>
      <c r="AB507" s="18" t="n">
        <f aca="false">IF(O507=0,0,V507*27/O507)</f>
        <v>4.22608695652174</v>
      </c>
      <c r="AC507" s="18" t="n">
        <f aca="false">IF(V507=0,0,W507/V507)</f>
        <v>2.97222222222222</v>
      </c>
      <c r="AD507" s="18" t="n">
        <f aca="false">IF(P507=0,0,(13*U507+3*(V507+X507)-2*W507)/P507+INDEX(球季參數!$C$2:$C$4,MATCH($A507,球季參數!$A$2:$A$4,0)))</f>
        <v>3.32173913043478</v>
      </c>
      <c r="AE507" s="11" t="n">
        <f aca="false">IF(P507&gt;=INDEX(球季參數!$F$2:$F$4,MATCH($A507,球季參數!$A$2:$A$4,0)),1,0)</f>
        <v>0</v>
      </c>
    </row>
    <row r="508" customFormat="false" ht="15" hidden="false" customHeight="false" outlineLevel="0" collapsed="false">
      <c r="A508" s="5" t="n">
        <v>2025</v>
      </c>
      <c r="B508" s="7" t="s">
        <v>1309</v>
      </c>
      <c r="C508" s="10" t="str">
        <f aca="false">INDEX(球員主檔!$B$2:$B$749,MATCH($B508,球員主檔!$A$2:$A$749,0))</f>
        <v>Dorian Esquivel</v>
      </c>
      <c r="D508" s="7" t="s">
        <v>426</v>
      </c>
      <c r="E508" s="10" t="str">
        <f aca="false">INDEX(球隊主檔!$C$2:$C$31,MATCH($D508,球隊主檔!$A$2:$A$31,0))</f>
        <v>芝加哥小熊</v>
      </c>
      <c r="F508" s="10" t="str">
        <f aca="false">INDEX(球隊主檔!$D$2:$D$31,MATCH($D508,球隊主檔!$A$2:$A$31,0))</f>
        <v>國聯</v>
      </c>
      <c r="G508" s="7" t="s">
        <v>507</v>
      </c>
      <c r="H508" s="11" t="n">
        <f aca="false">INT((DATE($A508,7,1)-INDEX(球員主檔!$G$2:$G$749,MATCH($B508,球員主檔!$A$2:$A$749,0)))/365.25)</f>
        <v>23</v>
      </c>
      <c r="I508" s="12" t="n">
        <v>9</v>
      </c>
      <c r="J508" s="12" t="n">
        <v>2</v>
      </c>
      <c r="K508" s="12" t="n">
        <v>1</v>
      </c>
      <c r="L508" s="12" t="n">
        <v>18</v>
      </c>
      <c r="M508" s="12" t="n">
        <v>76</v>
      </c>
      <c r="N508" s="12" t="n">
        <v>0</v>
      </c>
      <c r="O508" s="12" t="n">
        <v>253</v>
      </c>
      <c r="P508" s="16" t="n">
        <f aca="false">O508/3</f>
        <v>84.3333333333333</v>
      </c>
      <c r="Q508" s="17" t="str">
        <f aca="false">INT(O508/3)&amp;"."&amp;MOD(O508,3)</f>
        <v>84.1</v>
      </c>
      <c r="R508" s="12" t="n">
        <v>79</v>
      </c>
      <c r="S508" s="12" t="n">
        <v>47</v>
      </c>
      <c r="T508" s="12" t="n">
        <v>46</v>
      </c>
      <c r="U508" s="12" t="n">
        <v>10</v>
      </c>
      <c r="V508" s="12" t="n">
        <v>41</v>
      </c>
      <c r="W508" s="12" t="n">
        <v>96</v>
      </c>
      <c r="X508" s="12" t="n">
        <v>2</v>
      </c>
      <c r="Y508" s="18" t="n">
        <f aca="false">IF(O508=0,0,T508*27/O508)</f>
        <v>4.90909090909091</v>
      </c>
      <c r="Z508" s="18" t="n">
        <f aca="false">IF(P508=0,0,(V508+R508)/P508)</f>
        <v>1.42292490118577</v>
      </c>
      <c r="AA508" s="18" t="n">
        <f aca="false">IF(O508=0,0,W508*27/O508)</f>
        <v>10.2450592885375</v>
      </c>
      <c r="AB508" s="18" t="n">
        <f aca="false">IF(O508=0,0,V508*27/O508)</f>
        <v>4.37549407114625</v>
      </c>
      <c r="AC508" s="18" t="n">
        <f aca="false">IF(V508=0,0,W508/V508)</f>
        <v>2.34146341463415</v>
      </c>
      <c r="AD508" s="18" t="n">
        <f aca="false">IF(P508=0,0,(13*U508+3*(V508+X508)-2*W508)/P508+INDEX(球季參數!$C$2:$C$4,MATCH($A508,球季參數!$A$2:$A$4,0)))</f>
        <v>3.89446640316206</v>
      </c>
      <c r="AE508" s="11" t="n">
        <f aca="false">IF(P508&gt;=INDEX(球季參數!$F$2:$F$4,MATCH($A508,球季參數!$A$2:$A$4,0)),1,0)</f>
        <v>0</v>
      </c>
    </row>
    <row r="509" customFormat="false" ht="15" hidden="false" customHeight="false" outlineLevel="0" collapsed="false">
      <c r="A509" s="5" t="n">
        <v>2025</v>
      </c>
      <c r="B509" s="7" t="s">
        <v>1311</v>
      </c>
      <c r="C509" s="10" t="str">
        <f aca="false">INDEX(球員主檔!$B$2:$B$749,MATCH($B509,球員主檔!$A$2:$A$749,0))</f>
        <v>Hugo Kestrel</v>
      </c>
      <c r="D509" s="7" t="s">
        <v>426</v>
      </c>
      <c r="E509" s="10" t="str">
        <f aca="false">INDEX(球隊主檔!$C$2:$C$31,MATCH($D509,球隊主檔!$A$2:$A$31,0))</f>
        <v>芝加哥小熊</v>
      </c>
      <c r="F509" s="10" t="str">
        <f aca="false">INDEX(球隊主檔!$D$2:$D$31,MATCH($D509,球隊主檔!$A$2:$A$31,0))</f>
        <v>國聯</v>
      </c>
      <c r="G509" s="7" t="s">
        <v>507</v>
      </c>
      <c r="H509" s="11" t="n">
        <f aca="false">INT((DATE($A509,7,1)-INDEX(球員主檔!$G$2:$G$749,MATCH($B509,球員主檔!$A$2:$A$749,0)))/365.25)</f>
        <v>30</v>
      </c>
      <c r="I509" s="12" t="n">
        <v>5</v>
      </c>
      <c r="J509" s="12" t="n">
        <v>0</v>
      </c>
      <c r="K509" s="12" t="n">
        <v>0</v>
      </c>
      <c r="L509" s="12" t="n">
        <v>21</v>
      </c>
      <c r="M509" s="12" t="n">
        <v>62</v>
      </c>
      <c r="N509" s="12" t="n">
        <v>0</v>
      </c>
      <c r="O509" s="12" t="n">
        <v>182</v>
      </c>
      <c r="P509" s="16" t="n">
        <f aca="false">O509/3</f>
        <v>60.6666666666667</v>
      </c>
      <c r="Q509" s="17" t="str">
        <f aca="false">INT(O509/3)&amp;"."&amp;MOD(O509,3)</f>
        <v>60.2</v>
      </c>
      <c r="R509" s="12" t="n">
        <v>46</v>
      </c>
      <c r="S509" s="12" t="n">
        <v>24</v>
      </c>
      <c r="T509" s="12" t="n">
        <v>24</v>
      </c>
      <c r="U509" s="12" t="n">
        <v>6</v>
      </c>
      <c r="V509" s="12" t="n">
        <v>13</v>
      </c>
      <c r="W509" s="12" t="n">
        <v>84</v>
      </c>
      <c r="X509" s="12" t="n">
        <v>2</v>
      </c>
      <c r="Y509" s="18" t="n">
        <f aca="false">IF(O509=0,0,T509*27/O509)</f>
        <v>3.56043956043956</v>
      </c>
      <c r="Z509" s="18" t="n">
        <f aca="false">IF(P509=0,0,(V509+R509)/P509)</f>
        <v>0.972527472527473</v>
      </c>
      <c r="AA509" s="18" t="n">
        <f aca="false">IF(O509=0,0,W509*27/O509)</f>
        <v>12.4615384615385</v>
      </c>
      <c r="AB509" s="18" t="n">
        <f aca="false">IF(O509=0,0,V509*27/O509)</f>
        <v>1.92857142857143</v>
      </c>
      <c r="AC509" s="18" t="n">
        <f aca="false">IF(V509=0,0,W509/V509)</f>
        <v>6.46153846153846</v>
      </c>
      <c r="AD509" s="18" t="n">
        <f aca="false">IF(P509=0,0,(13*U509+3*(V509+X509)-2*W509)/P509+INDEX(球季參數!$C$2:$C$4,MATCH($A509,球季參數!$A$2:$A$4,0)))</f>
        <v>2.35824175824176</v>
      </c>
      <c r="AE509" s="11" t="n">
        <f aca="false">IF(P509&gt;=INDEX(球季參數!$F$2:$F$4,MATCH($A509,球季參數!$A$2:$A$4,0)),1,0)</f>
        <v>0</v>
      </c>
    </row>
    <row r="510" customFormat="false" ht="15" hidden="false" customHeight="false" outlineLevel="0" collapsed="false">
      <c r="A510" s="5" t="n">
        <v>2025</v>
      </c>
      <c r="B510" s="7" t="s">
        <v>947</v>
      </c>
      <c r="C510" s="10" t="str">
        <f aca="false">INDEX(球員主檔!$B$2:$B$749,MATCH($B510,球員主檔!$A$2:$A$749,0))</f>
        <v>Konrad Alcorn</v>
      </c>
      <c r="D510" s="7" t="s">
        <v>426</v>
      </c>
      <c r="E510" s="10" t="str">
        <f aca="false">INDEX(球隊主檔!$C$2:$C$31,MATCH($D510,球隊主檔!$A$2:$A$31,0))</f>
        <v>芝加哥小熊</v>
      </c>
      <c r="F510" s="10" t="str">
        <f aca="false">INDEX(球隊主檔!$D$2:$D$31,MATCH($D510,球隊主檔!$A$2:$A$31,0))</f>
        <v>國聯</v>
      </c>
      <c r="G510" s="7" t="s">
        <v>507</v>
      </c>
      <c r="H510" s="11" t="n">
        <f aca="false">INT((DATE($A510,7,1)-INDEX(球員主檔!$G$2:$G$749,MATCH($B510,球員主檔!$A$2:$A$749,0)))/365.25)</f>
        <v>35</v>
      </c>
      <c r="I510" s="12" t="n">
        <v>5</v>
      </c>
      <c r="J510" s="12" t="n">
        <v>5</v>
      </c>
      <c r="K510" s="12" t="n">
        <v>1</v>
      </c>
      <c r="L510" s="12" t="n">
        <v>14</v>
      </c>
      <c r="M510" s="12" t="n">
        <v>60</v>
      </c>
      <c r="N510" s="12" t="n">
        <v>0</v>
      </c>
      <c r="O510" s="12" t="n">
        <v>179</v>
      </c>
      <c r="P510" s="16" t="n">
        <f aca="false">O510/3</f>
        <v>59.6666666666667</v>
      </c>
      <c r="Q510" s="17" t="str">
        <f aca="false">INT(O510/3)&amp;"."&amp;MOD(O510,3)</f>
        <v>59.2</v>
      </c>
      <c r="R510" s="12" t="n">
        <v>55</v>
      </c>
      <c r="S510" s="12" t="n">
        <v>33</v>
      </c>
      <c r="T510" s="12" t="n">
        <v>30</v>
      </c>
      <c r="U510" s="12" t="n">
        <v>9</v>
      </c>
      <c r="V510" s="12" t="n">
        <v>16</v>
      </c>
      <c r="W510" s="12" t="n">
        <v>51</v>
      </c>
      <c r="X510" s="12" t="n">
        <v>3</v>
      </c>
      <c r="Y510" s="18" t="n">
        <f aca="false">IF(O510=0,0,T510*27/O510)</f>
        <v>4.52513966480447</v>
      </c>
      <c r="Z510" s="18" t="n">
        <f aca="false">IF(P510=0,0,(V510+R510)/P510)</f>
        <v>1.18994413407821</v>
      </c>
      <c r="AA510" s="18" t="n">
        <f aca="false">IF(O510=0,0,W510*27/O510)</f>
        <v>7.6927374301676</v>
      </c>
      <c r="AB510" s="18" t="n">
        <f aca="false">IF(O510=0,0,V510*27/O510)</f>
        <v>2.41340782122905</v>
      </c>
      <c r="AC510" s="18" t="n">
        <f aca="false">IF(V510=0,0,W510/V510)</f>
        <v>3.1875</v>
      </c>
      <c r="AD510" s="18" t="n">
        <f aca="false">IF(P510=0,0,(13*U510+3*(V510+X510)-2*W510)/P510+INDEX(球季參數!$C$2:$C$4,MATCH($A510,球季參數!$A$2:$A$4,0)))</f>
        <v>4.30670391061453</v>
      </c>
      <c r="AE510" s="11" t="n">
        <f aca="false">IF(P510&gt;=INDEX(球季參數!$F$2:$F$4,MATCH($A510,球季參數!$A$2:$A$4,0)),1,0)</f>
        <v>0</v>
      </c>
    </row>
    <row r="511" customFormat="false" ht="15" hidden="false" customHeight="false" outlineLevel="0" collapsed="false">
      <c r="A511" s="5" t="n">
        <v>2025</v>
      </c>
      <c r="B511" s="7" t="s">
        <v>1779</v>
      </c>
      <c r="C511" s="10" t="str">
        <f aca="false">INDEX(球員主檔!$B$2:$B$749,MATCH($B511,球員主檔!$A$2:$A$749,0))</f>
        <v>Porter Caldera</v>
      </c>
      <c r="D511" s="7" t="s">
        <v>426</v>
      </c>
      <c r="E511" s="10" t="str">
        <f aca="false">INDEX(球隊主檔!$C$2:$C$31,MATCH($D511,球隊主檔!$A$2:$A$31,0))</f>
        <v>芝加哥小熊</v>
      </c>
      <c r="F511" s="10" t="str">
        <f aca="false">INDEX(球隊主檔!$D$2:$D$31,MATCH($D511,球隊主檔!$A$2:$A$31,0))</f>
        <v>國聯</v>
      </c>
      <c r="G511" s="7" t="s">
        <v>507</v>
      </c>
      <c r="H511" s="11" t="n">
        <f aca="false">INT((DATE($A511,7,1)-INDEX(球員主檔!$G$2:$G$749,MATCH($B511,球員主檔!$A$2:$A$749,0)))/365.25)</f>
        <v>21</v>
      </c>
      <c r="I511" s="12" t="n">
        <v>9</v>
      </c>
      <c r="J511" s="12" t="n">
        <v>3</v>
      </c>
      <c r="K511" s="12" t="n">
        <v>4</v>
      </c>
      <c r="L511" s="12" t="n">
        <v>29</v>
      </c>
      <c r="M511" s="12" t="n">
        <v>69</v>
      </c>
      <c r="N511" s="12" t="n">
        <v>0</v>
      </c>
      <c r="O511" s="12" t="n">
        <v>201</v>
      </c>
      <c r="P511" s="16" t="n">
        <f aca="false">O511/3</f>
        <v>67</v>
      </c>
      <c r="Q511" s="17" t="str">
        <f aca="false">INT(O511/3)&amp;"."&amp;MOD(O511,3)</f>
        <v>67.0</v>
      </c>
      <c r="R511" s="12" t="n">
        <v>71</v>
      </c>
      <c r="S511" s="12" t="n">
        <v>49</v>
      </c>
      <c r="T511" s="12" t="n">
        <v>46</v>
      </c>
      <c r="U511" s="12" t="n">
        <v>7</v>
      </c>
      <c r="V511" s="12" t="n">
        <v>17</v>
      </c>
      <c r="W511" s="12" t="n">
        <v>79</v>
      </c>
      <c r="X511" s="12" t="n">
        <v>2</v>
      </c>
      <c r="Y511" s="18" t="n">
        <f aca="false">IF(O511=0,0,T511*27/O511)</f>
        <v>6.17910447761194</v>
      </c>
      <c r="Z511" s="18" t="n">
        <f aca="false">IF(P511=0,0,(V511+R511)/P511)</f>
        <v>1.3134328358209</v>
      </c>
      <c r="AA511" s="18" t="n">
        <f aca="false">IF(O511=0,0,W511*27/O511)</f>
        <v>10.6119402985075</v>
      </c>
      <c r="AB511" s="18" t="n">
        <f aca="false">IF(O511=0,0,V511*27/O511)</f>
        <v>2.28358208955224</v>
      </c>
      <c r="AC511" s="18" t="n">
        <f aca="false">IF(V511=0,0,W511/V511)</f>
        <v>4.64705882352941</v>
      </c>
      <c r="AD511" s="18" t="n">
        <f aca="false">IF(P511=0,0,(13*U511+3*(V511+X511)-2*W511)/P511+INDEX(球季參數!$C$2:$C$4,MATCH($A511,球季參數!$A$2:$A$4,0)))</f>
        <v>2.95074626865672</v>
      </c>
      <c r="AE511" s="11" t="n">
        <f aca="false">IF(P511&gt;=INDEX(球季參數!$F$2:$F$4,MATCH($A511,球季參數!$A$2:$A$4,0)),1,0)</f>
        <v>0</v>
      </c>
    </row>
    <row r="512" customFormat="false" ht="15" hidden="false" customHeight="false" outlineLevel="0" collapsed="false">
      <c r="A512" s="5" t="n">
        <v>2025</v>
      </c>
      <c r="B512" s="7" t="s">
        <v>1337</v>
      </c>
      <c r="C512" s="10" t="str">
        <f aca="false">INDEX(球員主檔!$B$2:$B$749,MATCH($B512,球員主檔!$A$2:$A$749,0))</f>
        <v>Lucien Jovanović</v>
      </c>
      <c r="D512" s="7" t="s">
        <v>430</v>
      </c>
      <c r="E512" s="10" t="str">
        <f aca="false">INDEX(球隊主檔!$C$2:$C$31,MATCH($D512,球隊主檔!$A$2:$A$31,0))</f>
        <v>辛辛那提紅人</v>
      </c>
      <c r="F512" s="10" t="str">
        <f aca="false">INDEX(球隊主檔!$D$2:$D$31,MATCH($D512,球隊主檔!$A$2:$A$31,0))</f>
        <v>國聯</v>
      </c>
      <c r="G512" s="7" t="s">
        <v>496</v>
      </c>
      <c r="H512" s="11" t="n">
        <f aca="false">INT((DATE($A512,7,1)-INDEX(球員主檔!$G$2:$G$749,MATCH($B512,球員主檔!$A$2:$A$749,0)))/365.25)</f>
        <v>26</v>
      </c>
      <c r="I512" s="12" t="n">
        <v>11</v>
      </c>
      <c r="J512" s="12" t="n">
        <v>9</v>
      </c>
      <c r="K512" s="12" t="n">
        <v>0</v>
      </c>
      <c r="L512" s="12" t="n">
        <v>0</v>
      </c>
      <c r="M512" s="12" t="n">
        <v>26</v>
      </c>
      <c r="N512" s="12" t="n">
        <v>26</v>
      </c>
      <c r="O512" s="12" t="n">
        <v>380</v>
      </c>
      <c r="P512" s="16" t="n">
        <f aca="false">O512/3</f>
        <v>126.666666666667</v>
      </c>
      <c r="Q512" s="17" t="str">
        <f aca="false">INT(O512/3)&amp;"."&amp;MOD(O512,3)</f>
        <v>126.2</v>
      </c>
      <c r="R512" s="12" t="n">
        <v>109</v>
      </c>
      <c r="S512" s="12" t="n">
        <v>76</v>
      </c>
      <c r="T512" s="12" t="n">
        <v>72</v>
      </c>
      <c r="U512" s="12" t="n">
        <v>11</v>
      </c>
      <c r="V512" s="12" t="n">
        <v>61</v>
      </c>
      <c r="W512" s="12" t="n">
        <v>77</v>
      </c>
      <c r="X512" s="12" t="n">
        <v>2</v>
      </c>
      <c r="Y512" s="18" t="n">
        <f aca="false">IF(O512=0,0,T512*27/O512)</f>
        <v>5.11578947368421</v>
      </c>
      <c r="Z512" s="18" t="n">
        <f aca="false">IF(P512=0,0,(V512+R512)/P512)</f>
        <v>1.34210526315789</v>
      </c>
      <c r="AA512" s="18" t="n">
        <f aca="false">IF(O512=0,0,W512*27/O512)</f>
        <v>5.47105263157895</v>
      </c>
      <c r="AB512" s="18" t="n">
        <f aca="false">IF(O512=0,0,V512*27/O512)</f>
        <v>4.33421052631579</v>
      </c>
      <c r="AC512" s="18" t="n">
        <f aca="false">IF(V512=0,0,W512/V512)</f>
        <v>1.26229508196721</v>
      </c>
      <c r="AD512" s="18" t="n">
        <f aca="false">IF(P512=0,0,(13*U512+3*(V512+X512)-2*W512)/P512+INDEX(球季參數!$C$2:$C$4,MATCH($A512,球季參數!$A$2:$A$4,0)))</f>
        <v>4.50526315789474</v>
      </c>
      <c r="AE512" s="11" t="n">
        <f aca="false">IF(P512&gt;=INDEX(球季參數!$F$2:$F$4,MATCH($A512,球季參數!$A$2:$A$4,0)),1,0)</f>
        <v>0</v>
      </c>
    </row>
    <row r="513" customFormat="false" ht="15" hidden="false" customHeight="false" outlineLevel="0" collapsed="false">
      <c r="A513" s="5" t="n">
        <v>2025</v>
      </c>
      <c r="B513" s="7" t="s">
        <v>1339</v>
      </c>
      <c r="C513" s="10" t="str">
        <f aca="false">INDEX(球員主檔!$B$2:$B$749,MATCH($B513,球員主檔!$A$2:$A$749,0))</f>
        <v>Tobias Gallimore</v>
      </c>
      <c r="D513" s="7" t="s">
        <v>430</v>
      </c>
      <c r="E513" s="10" t="str">
        <f aca="false">INDEX(球隊主檔!$C$2:$C$31,MATCH($D513,球隊主檔!$A$2:$A$31,0))</f>
        <v>辛辛那提紅人</v>
      </c>
      <c r="F513" s="10" t="str">
        <f aca="false">INDEX(球隊主檔!$D$2:$D$31,MATCH($D513,球隊主檔!$A$2:$A$31,0))</f>
        <v>國聯</v>
      </c>
      <c r="G513" s="7" t="s">
        <v>496</v>
      </c>
      <c r="H513" s="11" t="n">
        <f aca="false">INT((DATE($A513,7,1)-INDEX(球員主檔!$G$2:$G$749,MATCH($B513,球員主檔!$A$2:$A$749,0)))/365.25)</f>
        <v>34</v>
      </c>
      <c r="I513" s="12" t="n">
        <v>8</v>
      </c>
      <c r="J513" s="12" t="n">
        <v>6</v>
      </c>
      <c r="K513" s="12" t="n">
        <v>0</v>
      </c>
      <c r="L513" s="12" t="n">
        <v>0</v>
      </c>
      <c r="M513" s="12" t="n">
        <v>21</v>
      </c>
      <c r="N513" s="12" t="n">
        <v>21</v>
      </c>
      <c r="O513" s="12" t="n">
        <v>401</v>
      </c>
      <c r="P513" s="16" t="n">
        <f aca="false">O513/3</f>
        <v>133.666666666667</v>
      </c>
      <c r="Q513" s="17" t="str">
        <f aca="false">INT(O513/3)&amp;"."&amp;MOD(O513,3)</f>
        <v>133.2</v>
      </c>
      <c r="R513" s="12" t="n">
        <v>108</v>
      </c>
      <c r="S513" s="12" t="n">
        <v>57</v>
      </c>
      <c r="T513" s="12" t="n">
        <v>57</v>
      </c>
      <c r="U513" s="12" t="n">
        <v>19</v>
      </c>
      <c r="V513" s="12" t="n">
        <v>42</v>
      </c>
      <c r="W513" s="12" t="n">
        <v>110</v>
      </c>
      <c r="X513" s="12" t="n">
        <v>3</v>
      </c>
      <c r="Y513" s="18" t="n">
        <f aca="false">IF(O513=0,0,T513*27/O513)</f>
        <v>3.83790523690773</v>
      </c>
      <c r="Z513" s="18" t="n">
        <f aca="false">IF(P513=0,0,(V513+R513)/P513)</f>
        <v>1.12219451371571</v>
      </c>
      <c r="AA513" s="18" t="n">
        <f aca="false">IF(O513=0,0,W513*27/O513)</f>
        <v>7.40648379052369</v>
      </c>
      <c r="AB513" s="18" t="n">
        <f aca="false">IF(O513=0,0,V513*27/O513)</f>
        <v>2.82793017456359</v>
      </c>
      <c r="AC513" s="18" t="n">
        <f aca="false">IF(V513=0,0,W513/V513)</f>
        <v>2.61904761904762</v>
      </c>
      <c r="AD513" s="18" t="n">
        <f aca="false">IF(P513=0,0,(13*U513+3*(V513+X513)-2*W513)/P513+INDEX(球季參數!$C$2:$C$4,MATCH($A513,球季參數!$A$2:$A$4,0)))</f>
        <v>4.31197007481297</v>
      </c>
      <c r="AE513" s="11" t="n">
        <f aca="false">IF(P513&gt;=INDEX(球季參數!$F$2:$F$4,MATCH($A513,球季參數!$A$2:$A$4,0)),1,0)</f>
        <v>0</v>
      </c>
    </row>
    <row r="514" customFormat="false" ht="15" hidden="false" customHeight="false" outlineLevel="0" collapsed="false">
      <c r="A514" s="5" t="n">
        <v>2025</v>
      </c>
      <c r="B514" s="7" t="s">
        <v>1341</v>
      </c>
      <c r="C514" s="10" t="str">
        <f aca="false">INDEX(球員主檔!$B$2:$B$749,MATCH($B514,球員主檔!$A$2:$A$749,0))</f>
        <v>Rhett Ingersoll</v>
      </c>
      <c r="D514" s="7" t="s">
        <v>430</v>
      </c>
      <c r="E514" s="10" t="str">
        <f aca="false">INDEX(球隊主檔!$C$2:$C$31,MATCH($D514,球隊主檔!$A$2:$A$31,0))</f>
        <v>辛辛那提紅人</v>
      </c>
      <c r="F514" s="10" t="str">
        <f aca="false">INDEX(球隊主檔!$D$2:$D$31,MATCH($D514,球隊主檔!$A$2:$A$31,0))</f>
        <v>國聯</v>
      </c>
      <c r="G514" s="7" t="s">
        <v>496</v>
      </c>
      <c r="H514" s="11" t="n">
        <f aca="false">INT((DATE($A514,7,1)-INDEX(球員主檔!$G$2:$G$749,MATCH($B514,球員主檔!$A$2:$A$749,0)))/365.25)</f>
        <v>24</v>
      </c>
      <c r="I514" s="12" t="n">
        <v>13</v>
      </c>
      <c r="J514" s="12" t="n">
        <v>7</v>
      </c>
      <c r="K514" s="12" t="n">
        <v>0</v>
      </c>
      <c r="L514" s="12" t="n">
        <v>0</v>
      </c>
      <c r="M514" s="12" t="n">
        <v>29</v>
      </c>
      <c r="N514" s="12" t="n">
        <v>29</v>
      </c>
      <c r="O514" s="12" t="n">
        <v>489</v>
      </c>
      <c r="P514" s="16" t="n">
        <f aca="false">O514/3</f>
        <v>163</v>
      </c>
      <c r="Q514" s="17" t="str">
        <f aca="false">INT(O514/3)&amp;"."&amp;MOD(O514,3)</f>
        <v>163.0</v>
      </c>
      <c r="R514" s="12" t="n">
        <v>126</v>
      </c>
      <c r="S514" s="12" t="n">
        <v>73</v>
      </c>
      <c r="T514" s="12" t="n">
        <v>71</v>
      </c>
      <c r="U514" s="12" t="n">
        <v>16</v>
      </c>
      <c r="V514" s="12" t="n">
        <v>56</v>
      </c>
      <c r="W514" s="12" t="n">
        <v>171</v>
      </c>
      <c r="X514" s="12" t="n">
        <v>7</v>
      </c>
      <c r="Y514" s="18" t="n">
        <f aca="false">IF(O514=0,0,T514*27/O514)</f>
        <v>3.92024539877301</v>
      </c>
      <c r="Z514" s="18" t="n">
        <f aca="false">IF(P514=0,0,(V514+R514)/P514)</f>
        <v>1.11656441717791</v>
      </c>
      <c r="AA514" s="18" t="n">
        <f aca="false">IF(O514=0,0,W514*27/O514)</f>
        <v>9.44171779141104</v>
      </c>
      <c r="AB514" s="18" t="n">
        <f aca="false">IF(O514=0,0,V514*27/O514)</f>
        <v>3.0920245398773</v>
      </c>
      <c r="AC514" s="18" t="n">
        <f aca="false">IF(V514=0,0,W514/V514)</f>
        <v>3.05357142857143</v>
      </c>
      <c r="AD514" s="18" t="n">
        <f aca="false">IF(P514=0,0,(13*U514+3*(V514+X514)-2*W514)/P514+INDEX(球季參數!$C$2:$C$4,MATCH($A514,球季參數!$A$2:$A$4,0)))</f>
        <v>3.43742331288344</v>
      </c>
      <c r="AE514" s="11" t="n">
        <f aca="false">IF(P514&gt;=INDEX(球季參數!$F$2:$F$4,MATCH($A514,球季參數!$A$2:$A$4,0)),1,0)</f>
        <v>1</v>
      </c>
    </row>
    <row r="515" customFormat="false" ht="15" hidden="false" customHeight="false" outlineLevel="0" collapsed="false">
      <c r="A515" s="5" t="n">
        <v>2025</v>
      </c>
      <c r="B515" s="7" t="s">
        <v>1785</v>
      </c>
      <c r="C515" s="10" t="str">
        <f aca="false">INDEX(球員主檔!$B$2:$B$749,MATCH($B515,球員主檔!$A$2:$A$749,0))</f>
        <v>Seonwoo Ashworth</v>
      </c>
      <c r="D515" s="7" t="s">
        <v>430</v>
      </c>
      <c r="E515" s="10" t="str">
        <f aca="false">INDEX(球隊主檔!$C$2:$C$31,MATCH($D515,球隊主檔!$A$2:$A$31,0))</f>
        <v>辛辛那提紅人</v>
      </c>
      <c r="F515" s="10" t="str">
        <f aca="false">INDEX(球隊主檔!$D$2:$D$31,MATCH($D515,球隊主檔!$A$2:$A$31,0))</f>
        <v>國聯</v>
      </c>
      <c r="G515" s="7" t="s">
        <v>496</v>
      </c>
      <c r="H515" s="11" t="n">
        <f aca="false">INT((DATE($A515,7,1)-INDEX(球員主檔!$G$2:$G$749,MATCH($B515,球員主檔!$A$2:$A$749,0)))/365.25)</f>
        <v>21</v>
      </c>
      <c r="I515" s="12" t="n">
        <v>15</v>
      </c>
      <c r="J515" s="12" t="n">
        <v>8</v>
      </c>
      <c r="K515" s="12" t="n">
        <v>0</v>
      </c>
      <c r="L515" s="12" t="n">
        <v>0</v>
      </c>
      <c r="M515" s="12" t="n">
        <v>33</v>
      </c>
      <c r="N515" s="12" t="n">
        <v>33</v>
      </c>
      <c r="O515" s="12" t="n">
        <v>603</v>
      </c>
      <c r="P515" s="16" t="n">
        <f aca="false">O515/3</f>
        <v>201</v>
      </c>
      <c r="Q515" s="17" t="str">
        <f aca="false">INT(O515/3)&amp;"."&amp;MOD(O515,3)</f>
        <v>201.0</v>
      </c>
      <c r="R515" s="12" t="n">
        <v>187</v>
      </c>
      <c r="S515" s="12" t="n">
        <v>101</v>
      </c>
      <c r="T515" s="12" t="n">
        <v>99</v>
      </c>
      <c r="U515" s="12" t="n">
        <v>24</v>
      </c>
      <c r="V515" s="12" t="n">
        <v>40</v>
      </c>
      <c r="W515" s="12" t="n">
        <v>169</v>
      </c>
      <c r="X515" s="12" t="n">
        <v>11</v>
      </c>
      <c r="Y515" s="18" t="n">
        <f aca="false">IF(O515=0,0,T515*27/O515)</f>
        <v>4.43283582089552</v>
      </c>
      <c r="Z515" s="18" t="n">
        <f aca="false">IF(P515=0,0,(V515+R515)/P515)</f>
        <v>1.12935323383085</v>
      </c>
      <c r="AA515" s="18" t="n">
        <f aca="false">IF(O515=0,0,W515*27/O515)</f>
        <v>7.56716417910448</v>
      </c>
      <c r="AB515" s="18" t="n">
        <f aca="false">IF(O515=0,0,V515*27/O515)</f>
        <v>1.7910447761194</v>
      </c>
      <c r="AC515" s="18" t="n">
        <f aca="false">IF(V515=0,0,W515/V515)</f>
        <v>4.225</v>
      </c>
      <c r="AD515" s="18" t="n">
        <f aca="false">IF(P515=0,0,(13*U515+3*(V515+X515)-2*W515)/P515+INDEX(球季參數!$C$2:$C$4,MATCH($A515,球季參數!$A$2:$A$4,0)))</f>
        <v>3.7318407960199</v>
      </c>
      <c r="AE515" s="11" t="n">
        <f aca="false">IF(P515&gt;=INDEX(球季參數!$F$2:$F$4,MATCH($A515,球季參數!$A$2:$A$4,0)),1,0)</f>
        <v>1</v>
      </c>
    </row>
    <row r="516" customFormat="false" ht="15" hidden="false" customHeight="false" outlineLevel="0" collapsed="false">
      <c r="A516" s="5" t="n">
        <v>2025</v>
      </c>
      <c r="B516" s="7" t="s">
        <v>1345</v>
      </c>
      <c r="C516" s="10" t="str">
        <f aca="false">INDEX(球員主檔!$B$2:$B$749,MATCH($B516,球員主檔!$A$2:$A$749,0))</f>
        <v>Caspian Larrabee</v>
      </c>
      <c r="D516" s="7" t="s">
        <v>430</v>
      </c>
      <c r="E516" s="10" t="str">
        <f aca="false">INDEX(球隊主檔!$C$2:$C$31,MATCH($D516,球隊主檔!$A$2:$A$31,0))</f>
        <v>辛辛那提紅人</v>
      </c>
      <c r="F516" s="10" t="str">
        <f aca="false">INDEX(球隊主檔!$D$2:$D$31,MATCH($D516,球隊主檔!$A$2:$A$31,0))</f>
        <v>國聯</v>
      </c>
      <c r="G516" s="7" t="s">
        <v>496</v>
      </c>
      <c r="H516" s="11" t="n">
        <f aca="false">INT((DATE($A516,7,1)-INDEX(球員主檔!$G$2:$G$749,MATCH($B516,球員主檔!$A$2:$A$749,0)))/365.25)</f>
        <v>24</v>
      </c>
      <c r="I516" s="12" t="n">
        <v>9</v>
      </c>
      <c r="J516" s="12" t="n">
        <v>8</v>
      </c>
      <c r="K516" s="12" t="n">
        <v>0</v>
      </c>
      <c r="L516" s="12" t="n">
        <v>0</v>
      </c>
      <c r="M516" s="12" t="n">
        <v>23</v>
      </c>
      <c r="N516" s="12" t="n">
        <v>23</v>
      </c>
      <c r="O516" s="12" t="n">
        <v>371</v>
      </c>
      <c r="P516" s="16" t="n">
        <f aca="false">O516/3</f>
        <v>123.666666666667</v>
      </c>
      <c r="Q516" s="17" t="str">
        <f aca="false">INT(O516/3)&amp;"."&amp;MOD(O516,3)</f>
        <v>123.2</v>
      </c>
      <c r="R516" s="12" t="n">
        <v>104</v>
      </c>
      <c r="S516" s="12" t="n">
        <v>64</v>
      </c>
      <c r="T516" s="12" t="n">
        <v>59</v>
      </c>
      <c r="U516" s="12" t="n">
        <v>19</v>
      </c>
      <c r="V516" s="12" t="n">
        <v>44</v>
      </c>
      <c r="W516" s="12" t="n">
        <v>81</v>
      </c>
      <c r="X516" s="12" t="n">
        <v>2</v>
      </c>
      <c r="Y516" s="18" t="n">
        <f aca="false">IF(O516=0,0,T516*27/O516)</f>
        <v>4.29380053908356</v>
      </c>
      <c r="Z516" s="18" t="n">
        <f aca="false">IF(P516=0,0,(V516+R516)/P516)</f>
        <v>1.19676549865229</v>
      </c>
      <c r="AA516" s="18" t="n">
        <f aca="false">IF(O516=0,0,W516*27/O516)</f>
        <v>5.89487870619946</v>
      </c>
      <c r="AB516" s="18" t="n">
        <f aca="false">IF(O516=0,0,V516*27/O516)</f>
        <v>3.20215633423181</v>
      </c>
      <c r="AC516" s="18" t="n">
        <f aca="false">IF(V516=0,0,W516/V516)</f>
        <v>1.84090909090909</v>
      </c>
      <c r="AD516" s="18" t="n">
        <f aca="false">IF(P516=0,0,(13*U516+3*(V516+X516)-2*W516)/P516+INDEX(球季參數!$C$2:$C$4,MATCH($A516,球季參數!$A$2:$A$4,0)))</f>
        <v>4.90323450134771</v>
      </c>
      <c r="AE516" s="11" t="n">
        <f aca="false">IF(P516&gt;=INDEX(球季參數!$F$2:$F$4,MATCH($A516,球季參數!$A$2:$A$4,0)),1,0)</f>
        <v>0</v>
      </c>
    </row>
    <row r="517" customFormat="false" ht="15" hidden="false" customHeight="false" outlineLevel="0" collapsed="false">
      <c r="A517" s="5" t="n">
        <v>2025</v>
      </c>
      <c r="B517" s="7" t="s">
        <v>1347</v>
      </c>
      <c r="C517" s="10" t="str">
        <f aca="false">INDEX(球員主檔!$B$2:$B$749,MATCH($B517,球員主檔!$A$2:$A$749,0))</f>
        <v>Leandro Blackwood</v>
      </c>
      <c r="D517" s="7" t="s">
        <v>430</v>
      </c>
      <c r="E517" s="10" t="str">
        <f aca="false">INDEX(球隊主檔!$C$2:$C$31,MATCH($D517,球隊主檔!$A$2:$A$31,0))</f>
        <v>辛辛那提紅人</v>
      </c>
      <c r="F517" s="10" t="str">
        <f aca="false">INDEX(球隊主檔!$D$2:$D$31,MATCH($D517,球隊主檔!$A$2:$A$31,0))</f>
        <v>國聯</v>
      </c>
      <c r="G517" s="7" t="s">
        <v>507</v>
      </c>
      <c r="H517" s="11" t="n">
        <f aca="false">INT((DATE($A517,7,1)-INDEX(球員主檔!$G$2:$G$749,MATCH($B517,球員主檔!$A$2:$A$749,0)))/365.25)</f>
        <v>26</v>
      </c>
      <c r="I517" s="12" t="n">
        <v>1</v>
      </c>
      <c r="J517" s="12" t="n">
        <v>2</v>
      </c>
      <c r="K517" s="12" t="n">
        <v>33</v>
      </c>
      <c r="L517" s="12" t="n">
        <v>1</v>
      </c>
      <c r="M517" s="12" t="n">
        <v>69</v>
      </c>
      <c r="N517" s="12" t="n">
        <v>0</v>
      </c>
      <c r="O517" s="12" t="n">
        <v>211</v>
      </c>
      <c r="P517" s="16" t="n">
        <f aca="false">O517/3</f>
        <v>70.3333333333333</v>
      </c>
      <c r="Q517" s="17" t="str">
        <f aca="false">INT(O517/3)&amp;"."&amp;MOD(O517,3)</f>
        <v>70.1</v>
      </c>
      <c r="R517" s="12" t="n">
        <v>49</v>
      </c>
      <c r="S517" s="12" t="n">
        <v>26</v>
      </c>
      <c r="T517" s="12" t="n">
        <v>23</v>
      </c>
      <c r="U517" s="12" t="n">
        <v>8</v>
      </c>
      <c r="V517" s="12" t="n">
        <v>22</v>
      </c>
      <c r="W517" s="12" t="n">
        <v>76</v>
      </c>
      <c r="X517" s="12" t="n">
        <v>4</v>
      </c>
      <c r="Y517" s="18" t="n">
        <f aca="false">IF(O517=0,0,T517*27/O517)</f>
        <v>2.94312796208531</v>
      </c>
      <c r="Z517" s="18" t="n">
        <f aca="false">IF(P517=0,0,(V517+R517)/P517)</f>
        <v>1.00947867298578</v>
      </c>
      <c r="AA517" s="18" t="n">
        <f aca="false">IF(O517=0,0,W517*27/O517)</f>
        <v>9.72511848341232</v>
      </c>
      <c r="AB517" s="18" t="n">
        <f aca="false">IF(O517=0,0,V517*27/O517)</f>
        <v>2.81516587677725</v>
      </c>
      <c r="AC517" s="18" t="n">
        <f aca="false">IF(V517=0,0,W517/V517)</f>
        <v>3.45454545454545</v>
      </c>
      <c r="AD517" s="18" t="n">
        <f aca="false">IF(P517=0,0,(13*U517+3*(V517+X517)-2*W517)/P517+INDEX(球季參數!$C$2:$C$4,MATCH($A517,球季參數!$A$2:$A$4,0)))</f>
        <v>3.52654028436019</v>
      </c>
      <c r="AE517" s="11" t="n">
        <f aca="false">IF(P517&gt;=INDEX(球季參數!$F$2:$F$4,MATCH($A517,球季參數!$A$2:$A$4,0)),1,0)</f>
        <v>0</v>
      </c>
    </row>
    <row r="518" customFormat="false" ht="15" hidden="false" customHeight="false" outlineLevel="0" collapsed="false">
      <c r="A518" s="5" t="n">
        <v>2025</v>
      </c>
      <c r="B518" s="7" t="s">
        <v>621</v>
      </c>
      <c r="C518" s="10" t="str">
        <f aca="false">INDEX(球員主檔!$B$2:$B$749,MATCH($B518,球員主檔!$A$2:$A$749,0))</f>
        <v>Caspian Montalvo</v>
      </c>
      <c r="D518" s="7" t="s">
        <v>430</v>
      </c>
      <c r="E518" s="10" t="str">
        <f aca="false">INDEX(球隊主檔!$C$2:$C$31,MATCH($D518,球隊主檔!$A$2:$A$31,0))</f>
        <v>辛辛那提紅人</v>
      </c>
      <c r="F518" s="10" t="str">
        <f aca="false">INDEX(球隊主檔!$D$2:$D$31,MATCH($D518,球隊主檔!$A$2:$A$31,0))</f>
        <v>國聯</v>
      </c>
      <c r="G518" s="7" t="s">
        <v>507</v>
      </c>
      <c r="H518" s="11" t="n">
        <f aca="false">INT((DATE($A518,7,1)-INDEX(球員主檔!$G$2:$G$749,MATCH($B518,球員主檔!$A$2:$A$749,0)))/365.25)</f>
        <v>35</v>
      </c>
      <c r="I518" s="12" t="n">
        <v>9</v>
      </c>
      <c r="J518" s="12" t="n">
        <v>3</v>
      </c>
      <c r="K518" s="12" t="n">
        <v>1</v>
      </c>
      <c r="L518" s="12" t="n">
        <v>9</v>
      </c>
      <c r="M518" s="12" t="n">
        <v>41</v>
      </c>
      <c r="N518" s="12" t="n">
        <v>0</v>
      </c>
      <c r="O518" s="12" t="n">
        <v>118</v>
      </c>
      <c r="P518" s="16" t="n">
        <f aca="false">O518/3</f>
        <v>39.3333333333333</v>
      </c>
      <c r="Q518" s="17" t="str">
        <f aca="false">INT(O518/3)&amp;"."&amp;MOD(O518,3)</f>
        <v>39.1</v>
      </c>
      <c r="R518" s="12" t="n">
        <v>36</v>
      </c>
      <c r="S518" s="12" t="n">
        <v>22</v>
      </c>
      <c r="T518" s="12" t="n">
        <v>22</v>
      </c>
      <c r="U518" s="12" t="n">
        <v>6</v>
      </c>
      <c r="V518" s="12" t="n">
        <v>21</v>
      </c>
      <c r="W518" s="12" t="n">
        <v>33</v>
      </c>
      <c r="X518" s="12" t="n">
        <v>1</v>
      </c>
      <c r="Y518" s="18" t="n">
        <f aca="false">IF(O518=0,0,T518*27/O518)</f>
        <v>5.03389830508475</v>
      </c>
      <c r="Z518" s="18" t="n">
        <f aca="false">IF(P518=0,0,(V518+R518)/P518)</f>
        <v>1.44915254237288</v>
      </c>
      <c r="AA518" s="18" t="n">
        <f aca="false">IF(O518=0,0,W518*27/O518)</f>
        <v>7.55084745762712</v>
      </c>
      <c r="AB518" s="18" t="n">
        <f aca="false">IF(O518=0,0,V518*27/O518)</f>
        <v>4.80508474576271</v>
      </c>
      <c r="AC518" s="18" t="n">
        <f aca="false">IF(V518=0,0,W518/V518)</f>
        <v>1.57142857142857</v>
      </c>
      <c r="AD518" s="18" t="n">
        <f aca="false">IF(P518=0,0,(13*U518+3*(V518+X518)-2*W518)/P518+INDEX(球季參數!$C$2:$C$4,MATCH($A518,球季參數!$A$2:$A$4,0)))</f>
        <v>5.08305084745763</v>
      </c>
      <c r="AE518" s="11" t="n">
        <f aca="false">IF(P518&gt;=INDEX(球季參數!$F$2:$F$4,MATCH($A518,球季參數!$A$2:$A$4,0)),1,0)</f>
        <v>0</v>
      </c>
    </row>
    <row r="519" customFormat="false" ht="15" hidden="false" customHeight="false" outlineLevel="0" collapsed="false">
      <c r="A519" s="5" t="n">
        <v>2025</v>
      </c>
      <c r="B519" s="7" t="s">
        <v>1351</v>
      </c>
      <c r="C519" s="10" t="str">
        <f aca="false">INDEX(球員主檔!$B$2:$B$749,MATCH($B519,球員主檔!$A$2:$A$749,0))</f>
        <v>Percival Uchendu</v>
      </c>
      <c r="D519" s="7" t="s">
        <v>430</v>
      </c>
      <c r="E519" s="10" t="str">
        <f aca="false">INDEX(球隊主檔!$C$2:$C$31,MATCH($D519,球隊主檔!$A$2:$A$31,0))</f>
        <v>辛辛那提紅人</v>
      </c>
      <c r="F519" s="10" t="str">
        <f aca="false">INDEX(球隊主檔!$D$2:$D$31,MATCH($D519,球隊主檔!$A$2:$A$31,0))</f>
        <v>國聯</v>
      </c>
      <c r="G519" s="7" t="s">
        <v>507</v>
      </c>
      <c r="H519" s="11" t="n">
        <f aca="false">INT((DATE($A519,7,1)-INDEX(球員主檔!$G$2:$G$749,MATCH($B519,球員主檔!$A$2:$A$749,0)))/365.25)</f>
        <v>28</v>
      </c>
      <c r="I519" s="12" t="n">
        <v>0</v>
      </c>
      <c r="J519" s="12" t="n">
        <v>6</v>
      </c>
      <c r="K519" s="12" t="n">
        <v>1</v>
      </c>
      <c r="L519" s="12" t="n">
        <v>7</v>
      </c>
      <c r="M519" s="12" t="n">
        <v>59</v>
      </c>
      <c r="N519" s="12" t="n">
        <v>0</v>
      </c>
      <c r="O519" s="12" t="n">
        <v>175</v>
      </c>
      <c r="P519" s="16" t="n">
        <f aca="false">O519/3</f>
        <v>58.3333333333333</v>
      </c>
      <c r="Q519" s="17" t="str">
        <f aca="false">INT(O519/3)&amp;"."&amp;MOD(O519,3)</f>
        <v>58.1</v>
      </c>
      <c r="R519" s="12" t="n">
        <v>44</v>
      </c>
      <c r="S519" s="12" t="n">
        <v>19</v>
      </c>
      <c r="T519" s="12" t="n">
        <v>18</v>
      </c>
      <c r="U519" s="12" t="n">
        <v>6</v>
      </c>
      <c r="V519" s="12" t="n">
        <v>13</v>
      </c>
      <c r="W519" s="12" t="n">
        <v>70</v>
      </c>
      <c r="X519" s="12" t="n">
        <v>1</v>
      </c>
      <c r="Y519" s="18" t="n">
        <f aca="false">IF(O519=0,0,T519*27/O519)</f>
        <v>2.77714285714286</v>
      </c>
      <c r="Z519" s="18" t="n">
        <f aca="false">IF(P519=0,0,(V519+R519)/P519)</f>
        <v>0.977142857142857</v>
      </c>
      <c r="AA519" s="18" t="n">
        <f aca="false">IF(O519=0,0,W519*27/O519)</f>
        <v>10.8</v>
      </c>
      <c r="AB519" s="18" t="n">
        <f aca="false">IF(O519=0,0,V519*27/O519)</f>
        <v>2.00571428571429</v>
      </c>
      <c r="AC519" s="18" t="n">
        <f aca="false">IF(V519=0,0,W519/V519)</f>
        <v>5.38461538461539</v>
      </c>
      <c r="AD519" s="18" t="n">
        <f aca="false">IF(P519=0,0,(13*U519+3*(V519+X519)-2*W519)/P519+INDEX(球季參數!$C$2:$C$4,MATCH($A519,球季參數!$A$2:$A$4,0)))</f>
        <v>2.75714285714286</v>
      </c>
      <c r="AE519" s="11" t="n">
        <f aca="false">IF(P519&gt;=INDEX(球季參數!$F$2:$F$4,MATCH($A519,球季參數!$A$2:$A$4,0)),1,0)</f>
        <v>0</v>
      </c>
    </row>
    <row r="520" customFormat="false" ht="15" hidden="false" customHeight="false" outlineLevel="0" collapsed="false">
      <c r="A520" s="5" t="n">
        <v>2025</v>
      </c>
      <c r="B520" s="7" t="s">
        <v>1353</v>
      </c>
      <c r="C520" s="10" t="str">
        <f aca="false">INDEX(球員主檔!$B$2:$B$749,MATCH($B520,球員主檔!$A$2:$A$749,0))</f>
        <v>Garrison Uchendu</v>
      </c>
      <c r="D520" s="7" t="s">
        <v>430</v>
      </c>
      <c r="E520" s="10" t="str">
        <f aca="false">INDEX(球隊主檔!$C$2:$C$31,MATCH($D520,球隊主檔!$A$2:$A$31,0))</f>
        <v>辛辛那提紅人</v>
      </c>
      <c r="F520" s="10" t="str">
        <f aca="false">INDEX(球隊主檔!$D$2:$D$31,MATCH($D520,球隊主檔!$A$2:$A$31,0))</f>
        <v>國聯</v>
      </c>
      <c r="G520" s="7" t="s">
        <v>507</v>
      </c>
      <c r="H520" s="11" t="n">
        <f aca="false">INT((DATE($A520,7,1)-INDEX(球員主檔!$G$2:$G$749,MATCH($B520,球員主檔!$A$2:$A$749,0)))/365.25)</f>
        <v>30</v>
      </c>
      <c r="I520" s="12" t="n">
        <v>2</v>
      </c>
      <c r="J520" s="12" t="n">
        <v>6</v>
      </c>
      <c r="K520" s="12" t="n">
        <v>6</v>
      </c>
      <c r="L520" s="12" t="n">
        <v>13</v>
      </c>
      <c r="M520" s="12" t="n">
        <v>38</v>
      </c>
      <c r="N520" s="12" t="n">
        <v>0</v>
      </c>
      <c r="O520" s="12" t="n">
        <v>115</v>
      </c>
      <c r="P520" s="16" t="n">
        <f aca="false">O520/3</f>
        <v>38.3333333333333</v>
      </c>
      <c r="Q520" s="17" t="str">
        <f aca="false">INT(O520/3)&amp;"."&amp;MOD(O520,3)</f>
        <v>38.1</v>
      </c>
      <c r="R520" s="12" t="n">
        <v>31</v>
      </c>
      <c r="S520" s="12" t="n">
        <v>18</v>
      </c>
      <c r="T520" s="12" t="n">
        <v>17</v>
      </c>
      <c r="U520" s="12" t="n">
        <v>5</v>
      </c>
      <c r="V520" s="12" t="n">
        <v>10</v>
      </c>
      <c r="W520" s="12" t="n">
        <v>32</v>
      </c>
      <c r="X520" s="12" t="n">
        <v>0</v>
      </c>
      <c r="Y520" s="18" t="n">
        <f aca="false">IF(O520=0,0,T520*27/O520)</f>
        <v>3.99130434782609</v>
      </c>
      <c r="Z520" s="18" t="n">
        <f aca="false">IF(P520=0,0,(V520+R520)/P520)</f>
        <v>1.0695652173913</v>
      </c>
      <c r="AA520" s="18" t="n">
        <f aca="false">IF(O520=0,0,W520*27/O520)</f>
        <v>7.51304347826087</v>
      </c>
      <c r="AB520" s="18" t="n">
        <f aca="false">IF(O520=0,0,V520*27/O520)</f>
        <v>2.34782608695652</v>
      </c>
      <c r="AC520" s="18" t="n">
        <f aca="false">IF(V520=0,0,W520/V520)</f>
        <v>3.2</v>
      </c>
      <c r="AD520" s="18" t="n">
        <f aca="false">IF(P520=0,0,(13*U520+3*(V520+X520)-2*W520)/P520+INDEX(球季參數!$C$2:$C$4,MATCH($A520,球季參數!$A$2:$A$4,0)))</f>
        <v>3.90869565217391</v>
      </c>
      <c r="AE520" s="11" t="n">
        <f aca="false">IF(P520&gt;=INDEX(球季參數!$F$2:$F$4,MATCH($A520,球季參數!$A$2:$A$4,0)),1,0)</f>
        <v>0</v>
      </c>
    </row>
    <row r="521" customFormat="false" ht="15" hidden="false" customHeight="false" outlineLevel="0" collapsed="false">
      <c r="A521" s="5" t="n">
        <v>2025</v>
      </c>
      <c r="B521" s="7" t="s">
        <v>1355</v>
      </c>
      <c r="C521" s="10" t="str">
        <f aca="false">INDEX(球員主檔!$B$2:$B$749,MATCH($B521,球員主檔!$A$2:$A$749,0))</f>
        <v>Osvaldo Fairbanks</v>
      </c>
      <c r="D521" s="7" t="s">
        <v>430</v>
      </c>
      <c r="E521" s="10" t="str">
        <f aca="false">INDEX(球隊主檔!$C$2:$C$31,MATCH($D521,球隊主檔!$A$2:$A$31,0))</f>
        <v>辛辛那提紅人</v>
      </c>
      <c r="F521" s="10" t="str">
        <f aca="false">INDEX(球隊主檔!$D$2:$D$31,MATCH($D521,球隊主檔!$A$2:$A$31,0))</f>
        <v>國聯</v>
      </c>
      <c r="G521" s="7" t="s">
        <v>507</v>
      </c>
      <c r="H521" s="11" t="n">
        <f aca="false">INT((DATE($A521,7,1)-INDEX(球員主檔!$G$2:$G$749,MATCH($B521,球員主檔!$A$2:$A$749,0)))/365.25)</f>
        <v>31</v>
      </c>
      <c r="I521" s="12" t="n">
        <v>2</v>
      </c>
      <c r="J521" s="12" t="n">
        <v>4</v>
      </c>
      <c r="K521" s="12" t="n">
        <v>5</v>
      </c>
      <c r="L521" s="12" t="n">
        <v>16</v>
      </c>
      <c r="M521" s="12" t="n">
        <v>63</v>
      </c>
      <c r="N521" s="12" t="n">
        <v>0</v>
      </c>
      <c r="O521" s="12" t="n">
        <v>201</v>
      </c>
      <c r="P521" s="16" t="n">
        <f aca="false">O521/3</f>
        <v>67</v>
      </c>
      <c r="Q521" s="17" t="str">
        <f aca="false">INT(O521/3)&amp;"."&amp;MOD(O521,3)</f>
        <v>67.0</v>
      </c>
      <c r="R521" s="12" t="n">
        <v>56</v>
      </c>
      <c r="S521" s="12" t="n">
        <v>38</v>
      </c>
      <c r="T521" s="12" t="n">
        <v>35</v>
      </c>
      <c r="U521" s="12" t="n">
        <v>9</v>
      </c>
      <c r="V521" s="12" t="n">
        <v>20</v>
      </c>
      <c r="W521" s="12" t="n">
        <v>50</v>
      </c>
      <c r="X521" s="12" t="n">
        <v>2</v>
      </c>
      <c r="Y521" s="18" t="n">
        <f aca="false">IF(O521=0,0,T521*27/O521)</f>
        <v>4.70149253731343</v>
      </c>
      <c r="Z521" s="18" t="n">
        <f aca="false">IF(P521=0,0,(V521+R521)/P521)</f>
        <v>1.13432835820896</v>
      </c>
      <c r="AA521" s="18" t="n">
        <f aca="false">IF(O521=0,0,W521*27/O521)</f>
        <v>6.71641791044776</v>
      </c>
      <c r="AB521" s="18" t="n">
        <f aca="false">IF(O521=0,0,V521*27/O521)</f>
        <v>2.6865671641791</v>
      </c>
      <c r="AC521" s="18" t="n">
        <f aca="false">IF(V521=0,0,W521/V521)</f>
        <v>2.5</v>
      </c>
      <c r="AD521" s="18" t="n">
        <f aca="false">IF(P521=0,0,(13*U521+3*(V521+X521)-2*W521)/P521+INDEX(球季參數!$C$2:$C$4,MATCH($A521,球季參數!$A$2:$A$4,0)))</f>
        <v>4.33880597014925</v>
      </c>
      <c r="AE521" s="11" t="n">
        <f aca="false">IF(P521&gt;=INDEX(球季參數!$F$2:$F$4,MATCH($A521,球季參數!$A$2:$A$4,0)),1,0)</f>
        <v>0</v>
      </c>
    </row>
    <row r="522" customFormat="false" ht="15" hidden="false" customHeight="false" outlineLevel="0" collapsed="false">
      <c r="A522" s="5" t="n">
        <v>2025</v>
      </c>
      <c r="B522" s="7" t="s">
        <v>1377</v>
      </c>
      <c r="C522" s="10" t="str">
        <f aca="false">INDEX(球員主檔!$B$2:$B$749,MATCH($B522,球員主檔!$A$2:$A$749,0))</f>
        <v>Vicente Blackwood</v>
      </c>
      <c r="D522" s="7" t="s">
        <v>434</v>
      </c>
      <c r="E522" s="10" t="str">
        <f aca="false">INDEX(球隊主檔!$C$2:$C$31,MATCH($D522,球隊主檔!$A$2:$A$31,0))</f>
        <v>密爾瓦基釀酒人</v>
      </c>
      <c r="F522" s="10" t="str">
        <f aca="false">INDEX(球隊主檔!$D$2:$D$31,MATCH($D522,球隊主檔!$A$2:$A$31,0))</f>
        <v>國聯</v>
      </c>
      <c r="G522" s="7" t="s">
        <v>496</v>
      </c>
      <c r="H522" s="11" t="n">
        <f aca="false">INT((DATE($A522,7,1)-INDEX(球員主檔!$G$2:$G$749,MATCH($B522,球員主檔!$A$2:$A$749,0)))/365.25)</f>
        <v>29</v>
      </c>
      <c r="I522" s="12" t="n">
        <v>8</v>
      </c>
      <c r="J522" s="12" t="n">
        <v>6</v>
      </c>
      <c r="K522" s="12" t="n">
        <v>0</v>
      </c>
      <c r="L522" s="12" t="n">
        <v>0</v>
      </c>
      <c r="M522" s="12" t="n">
        <v>21</v>
      </c>
      <c r="N522" s="12" t="n">
        <v>21</v>
      </c>
      <c r="O522" s="12" t="n">
        <v>339</v>
      </c>
      <c r="P522" s="16" t="n">
        <f aca="false">O522/3</f>
        <v>113</v>
      </c>
      <c r="Q522" s="17" t="str">
        <f aca="false">INT(O522/3)&amp;"."&amp;MOD(O522,3)</f>
        <v>113.0</v>
      </c>
      <c r="R522" s="12" t="n">
        <v>95</v>
      </c>
      <c r="S522" s="12" t="n">
        <v>61</v>
      </c>
      <c r="T522" s="12" t="n">
        <v>55</v>
      </c>
      <c r="U522" s="12" t="n">
        <v>14</v>
      </c>
      <c r="V522" s="12" t="n">
        <v>37</v>
      </c>
      <c r="W522" s="12" t="n">
        <v>120</v>
      </c>
      <c r="X522" s="12" t="n">
        <v>3</v>
      </c>
      <c r="Y522" s="18" t="n">
        <f aca="false">IF(O522=0,0,T522*27/O522)</f>
        <v>4.38053097345133</v>
      </c>
      <c r="Z522" s="18" t="n">
        <f aca="false">IF(P522=0,0,(V522+R522)/P522)</f>
        <v>1.16814159292035</v>
      </c>
      <c r="AA522" s="18" t="n">
        <f aca="false">IF(O522=0,0,W522*27/O522)</f>
        <v>9.55752212389381</v>
      </c>
      <c r="AB522" s="18" t="n">
        <f aca="false">IF(O522=0,0,V522*27/O522)</f>
        <v>2.94690265486726</v>
      </c>
      <c r="AC522" s="18" t="n">
        <f aca="false">IF(V522=0,0,W522/V522)</f>
        <v>3.24324324324324</v>
      </c>
      <c r="AD522" s="18" t="n">
        <f aca="false">IF(P522=0,0,(13*U522+3*(V522+X522)-2*W522)/P522+INDEX(球季參數!$C$2:$C$4,MATCH($A522,球季參數!$A$2:$A$4,0)))</f>
        <v>3.64867256637168</v>
      </c>
      <c r="AE522" s="11" t="n">
        <f aca="false">IF(P522&gt;=INDEX(球季參數!$F$2:$F$4,MATCH($A522,球季參數!$A$2:$A$4,0)),1,0)</f>
        <v>0</v>
      </c>
    </row>
    <row r="523" customFormat="false" ht="15" hidden="false" customHeight="false" outlineLevel="0" collapsed="false">
      <c r="A523" s="5" t="n">
        <v>2025</v>
      </c>
      <c r="B523" s="7" t="s">
        <v>1379</v>
      </c>
      <c r="C523" s="10" t="str">
        <f aca="false">INDEX(球員主檔!$B$2:$B$749,MATCH($B523,球員主檔!$A$2:$A$749,0))</f>
        <v>Ulises Okafor</v>
      </c>
      <c r="D523" s="7" t="s">
        <v>434</v>
      </c>
      <c r="E523" s="10" t="str">
        <f aca="false">INDEX(球隊主檔!$C$2:$C$31,MATCH($D523,球隊主檔!$A$2:$A$31,0))</f>
        <v>密爾瓦基釀酒人</v>
      </c>
      <c r="F523" s="10" t="str">
        <f aca="false">INDEX(球隊主檔!$D$2:$D$31,MATCH($D523,球隊主檔!$A$2:$A$31,0))</f>
        <v>國聯</v>
      </c>
      <c r="G523" s="7" t="s">
        <v>496</v>
      </c>
      <c r="H523" s="11" t="n">
        <f aca="false">INT((DATE($A523,7,1)-INDEX(球員主檔!$G$2:$G$749,MATCH($B523,球員主檔!$A$2:$A$749,0)))/365.25)</f>
        <v>28</v>
      </c>
      <c r="I523" s="12" t="n">
        <v>10</v>
      </c>
      <c r="J523" s="12" t="n">
        <v>8</v>
      </c>
      <c r="K523" s="12" t="n">
        <v>0</v>
      </c>
      <c r="L523" s="12" t="n">
        <v>0</v>
      </c>
      <c r="M523" s="12" t="n">
        <v>29</v>
      </c>
      <c r="N523" s="12" t="n">
        <v>29</v>
      </c>
      <c r="O523" s="12" t="n">
        <v>519</v>
      </c>
      <c r="P523" s="16" t="n">
        <f aca="false">O523/3</f>
        <v>173</v>
      </c>
      <c r="Q523" s="17" t="str">
        <f aca="false">INT(O523/3)&amp;"."&amp;MOD(O523,3)</f>
        <v>173.0</v>
      </c>
      <c r="R523" s="12" t="n">
        <v>148</v>
      </c>
      <c r="S523" s="12" t="n">
        <v>99</v>
      </c>
      <c r="T523" s="12" t="n">
        <v>94</v>
      </c>
      <c r="U523" s="12" t="n">
        <v>16</v>
      </c>
      <c r="V523" s="12" t="n">
        <v>48</v>
      </c>
      <c r="W523" s="12" t="n">
        <v>230</v>
      </c>
      <c r="X523" s="12" t="n">
        <v>9</v>
      </c>
      <c r="Y523" s="18" t="n">
        <f aca="false">IF(O523=0,0,T523*27/O523)</f>
        <v>4.89017341040462</v>
      </c>
      <c r="Z523" s="18" t="n">
        <f aca="false">IF(P523=0,0,(V523+R523)/P523)</f>
        <v>1.13294797687861</v>
      </c>
      <c r="AA523" s="18" t="n">
        <f aca="false">IF(O523=0,0,W523*27/O523)</f>
        <v>11.9653179190751</v>
      </c>
      <c r="AB523" s="18" t="n">
        <f aca="false">IF(O523=0,0,V523*27/O523)</f>
        <v>2.4971098265896</v>
      </c>
      <c r="AC523" s="18" t="n">
        <f aca="false">IF(V523=0,0,W523/V523)</f>
        <v>4.79166666666667</v>
      </c>
      <c r="AD523" s="18" t="n">
        <f aca="false">IF(P523=0,0,(13*U523+3*(V523+X523)-2*W523)/P523+INDEX(球季參數!$C$2:$C$4,MATCH($A523,球季參數!$A$2:$A$4,0)))</f>
        <v>2.63179190751445</v>
      </c>
      <c r="AE523" s="11" t="n">
        <f aca="false">IF(P523&gt;=INDEX(球季參數!$F$2:$F$4,MATCH($A523,球季參數!$A$2:$A$4,0)),1,0)</f>
        <v>1</v>
      </c>
    </row>
    <row r="524" customFormat="false" ht="15" hidden="false" customHeight="false" outlineLevel="0" collapsed="false">
      <c r="A524" s="5" t="n">
        <v>2025</v>
      </c>
      <c r="B524" s="7" t="s">
        <v>1381</v>
      </c>
      <c r="C524" s="10" t="str">
        <f aca="false">INDEX(球員主檔!$B$2:$B$749,MATCH($B524,球員主檔!$A$2:$A$749,0))</f>
        <v>Augustin Iwasaki</v>
      </c>
      <c r="D524" s="7" t="s">
        <v>434</v>
      </c>
      <c r="E524" s="10" t="str">
        <f aca="false">INDEX(球隊主檔!$C$2:$C$31,MATCH($D524,球隊主檔!$A$2:$A$31,0))</f>
        <v>密爾瓦基釀酒人</v>
      </c>
      <c r="F524" s="10" t="str">
        <f aca="false">INDEX(球隊主檔!$D$2:$D$31,MATCH($D524,球隊主檔!$A$2:$A$31,0))</f>
        <v>國聯</v>
      </c>
      <c r="G524" s="7" t="s">
        <v>496</v>
      </c>
      <c r="H524" s="11" t="n">
        <f aca="false">INT((DATE($A524,7,1)-INDEX(球員主檔!$G$2:$G$749,MATCH($B524,球員主檔!$A$2:$A$749,0)))/365.25)</f>
        <v>26</v>
      </c>
      <c r="I524" s="12" t="n">
        <v>10</v>
      </c>
      <c r="J524" s="12" t="n">
        <v>6</v>
      </c>
      <c r="K524" s="12" t="n">
        <v>0</v>
      </c>
      <c r="L524" s="12" t="n">
        <v>0</v>
      </c>
      <c r="M524" s="12" t="n">
        <v>26</v>
      </c>
      <c r="N524" s="12" t="n">
        <v>26</v>
      </c>
      <c r="O524" s="12" t="n">
        <v>437</v>
      </c>
      <c r="P524" s="16" t="n">
        <f aca="false">O524/3</f>
        <v>145.666666666667</v>
      </c>
      <c r="Q524" s="17" t="str">
        <f aca="false">INT(O524/3)&amp;"."&amp;MOD(O524,3)</f>
        <v>145.2</v>
      </c>
      <c r="R524" s="12" t="n">
        <v>110</v>
      </c>
      <c r="S524" s="12" t="n">
        <v>61</v>
      </c>
      <c r="T524" s="12" t="n">
        <v>59</v>
      </c>
      <c r="U524" s="12" t="n">
        <v>14</v>
      </c>
      <c r="V524" s="12" t="n">
        <v>30</v>
      </c>
      <c r="W524" s="12" t="n">
        <v>186</v>
      </c>
      <c r="X524" s="12" t="n">
        <v>9</v>
      </c>
      <c r="Y524" s="18" t="n">
        <f aca="false">IF(O524=0,0,T524*27/O524)</f>
        <v>3.64530892448513</v>
      </c>
      <c r="Z524" s="18" t="n">
        <f aca="false">IF(P524=0,0,(V524+R524)/P524)</f>
        <v>0.961098398169336</v>
      </c>
      <c r="AA524" s="18" t="n">
        <f aca="false">IF(O524=0,0,W524*27/O524)</f>
        <v>11.4919908466819</v>
      </c>
      <c r="AB524" s="18" t="n">
        <f aca="false">IF(O524=0,0,V524*27/O524)</f>
        <v>1.85354691075515</v>
      </c>
      <c r="AC524" s="18" t="n">
        <f aca="false">IF(V524=0,0,W524/V524)</f>
        <v>6.2</v>
      </c>
      <c r="AD524" s="18" t="n">
        <f aca="false">IF(P524=0,0,(13*U524+3*(V524+X524)-2*W524)/P524+INDEX(球季參數!$C$2:$C$4,MATCH($A524,球季參數!$A$2:$A$4,0)))</f>
        <v>2.59885583524027</v>
      </c>
      <c r="AE524" s="11" t="n">
        <f aca="false">IF(P524&gt;=INDEX(球季參數!$F$2:$F$4,MATCH($A524,球季參數!$A$2:$A$4,0)),1,0)</f>
        <v>0</v>
      </c>
    </row>
    <row r="525" customFormat="false" ht="15" hidden="false" customHeight="false" outlineLevel="0" collapsed="false">
      <c r="A525" s="5" t="n">
        <v>2025</v>
      </c>
      <c r="B525" s="7" t="s">
        <v>1383</v>
      </c>
      <c r="C525" s="10" t="str">
        <f aca="false">INDEX(球員主檔!$B$2:$B$749,MATCH($B525,球員主檔!$A$2:$A$749,0))</f>
        <v>Emilio Lemieux</v>
      </c>
      <c r="D525" s="7" t="s">
        <v>434</v>
      </c>
      <c r="E525" s="10" t="str">
        <f aca="false">INDEX(球隊主檔!$C$2:$C$31,MATCH($D525,球隊主檔!$A$2:$A$31,0))</f>
        <v>密爾瓦基釀酒人</v>
      </c>
      <c r="F525" s="10" t="str">
        <f aca="false">INDEX(球隊主檔!$D$2:$D$31,MATCH($D525,球隊主檔!$A$2:$A$31,0))</f>
        <v>國聯</v>
      </c>
      <c r="G525" s="7" t="s">
        <v>496</v>
      </c>
      <c r="H525" s="11" t="n">
        <f aca="false">INT((DATE($A525,7,1)-INDEX(球員主檔!$G$2:$G$749,MATCH($B525,球員主檔!$A$2:$A$749,0)))/365.25)</f>
        <v>25</v>
      </c>
      <c r="I525" s="12" t="n">
        <v>12</v>
      </c>
      <c r="J525" s="12" t="n">
        <v>7</v>
      </c>
      <c r="K525" s="12" t="n">
        <v>0</v>
      </c>
      <c r="L525" s="12" t="n">
        <v>0</v>
      </c>
      <c r="M525" s="12" t="n">
        <v>27</v>
      </c>
      <c r="N525" s="12" t="n">
        <v>27</v>
      </c>
      <c r="O525" s="12" t="n">
        <v>467</v>
      </c>
      <c r="P525" s="16" t="n">
        <f aca="false">O525/3</f>
        <v>155.666666666667</v>
      </c>
      <c r="Q525" s="17" t="str">
        <f aca="false">INT(O525/3)&amp;"."&amp;MOD(O525,3)</f>
        <v>155.2</v>
      </c>
      <c r="R525" s="12" t="n">
        <v>129</v>
      </c>
      <c r="S525" s="12" t="n">
        <v>66</v>
      </c>
      <c r="T525" s="12" t="n">
        <v>62</v>
      </c>
      <c r="U525" s="12" t="n">
        <v>30</v>
      </c>
      <c r="V525" s="12" t="n">
        <v>67</v>
      </c>
      <c r="W525" s="12" t="n">
        <v>128</v>
      </c>
      <c r="X525" s="12" t="n">
        <v>2</v>
      </c>
      <c r="Y525" s="18" t="n">
        <f aca="false">IF(O525=0,0,T525*27/O525)</f>
        <v>3.58458244111349</v>
      </c>
      <c r="Z525" s="18" t="n">
        <f aca="false">IF(P525=0,0,(V525+R525)/P525)</f>
        <v>1.25910064239829</v>
      </c>
      <c r="AA525" s="18" t="n">
        <f aca="false">IF(O525=0,0,W525*27/O525)</f>
        <v>7.40042826552463</v>
      </c>
      <c r="AB525" s="18" t="n">
        <f aca="false">IF(O525=0,0,V525*27/O525)</f>
        <v>3.87366167023555</v>
      </c>
      <c r="AC525" s="18" t="n">
        <f aca="false">IF(V525=0,0,W525/V525)</f>
        <v>1.91044776119403</v>
      </c>
      <c r="AD525" s="18" t="n">
        <f aca="false">IF(P525=0,0,(13*U525+3*(V525+X525)-2*W525)/P525+INDEX(球季參數!$C$2:$C$4,MATCH($A525,球季參數!$A$2:$A$4,0)))</f>
        <v>5.29057815845824</v>
      </c>
      <c r="AE525" s="11" t="n">
        <f aca="false">IF(P525&gt;=INDEX(球季參數!$F$2:$F$4,MATCH($A525,球季參數!$A$2:$A$4,0)),1,0)</f>
        <v>0</v>
      </c>
    </row>
    <row r="526" customFormat="false" ht="15" hidden="false" customHeight="false" outlineLevel="0" collapsed="false">
      <c r="A526" s="5" t="n">
        <v>2025</v>
      </c>
      <c r="B526" s="7" t="s">
        <v>1385</v>
      </c>
      <c r="C526" s="10" t="str">
        <f aca="false">INDEX(球員主檔!$B$2:$B$749,MATCH($B526,球員主檔!$A$2:$A$749,0))</f>
        <v>Joaquín Underhill</v>
      </c>
      <c r="D526" s="7" t="s">
        <v>434</v>
      </c>
      <c r="E526" s="10" t="str">
        <f aca="false">INDEX(球隊主檔!$C$2:$C$31,MATCH($D526,球隊主檔!$A$2:$A$31,0))</f>
        <v>密爾瓦基釀酒人</v>
      </c>
      <c r="F526" s="10" t="str">
        <f aca="false">INDEX(球隊主檔!$D$2:$D$31,MATCH($D526,球隊主檔!$A$2:$A$31,0))</f>
        <v>國聯</v>
      </c>
      <c r="G526" s="7" t="s">
        <v>496</v>
      </c>
      <c r="H526" s="11" t="n">
        <f aca="false">INT((DATE($A526,7,1)-INDEX(球員主檔!$G$2:$G$749,MATCH($B526,球員主檔!$A$2:$A$749,0)))/365.25)</f>
        <v>27</v>
      </c>
      <c r="I526" s="12" t="n">
        <v>14</v>
      </c>
      <c r="J526" s="12" t="n">
        <v>4</v>
      </c>
      <c r="K526" s="12" t="n">
        <v>0</v>
      </c>
      <c r="L526" s="12" t="n">
        <v>0</v>
      </c>
      <c r="M526" s="12" t="n">
        <v>33</v>
      </c>
      <c r="N526" s="12" t="n">
        <v>33</v>
      </c>
      <c r="O526" s="12" t="n">
        <v>541</v>
      </c>
      <c r="P526" s="16" t="n">
        <f aca="false">O526/3</f>
        <v>180.333333333333</v>
      </c>
      <c r="Q526" s="17" t="str">
        <f aca="false">INT(O526/3)&amp;"."&amp;MOD(O526,3)</f>
        <v>180.1</v>
      </c>
      <c r="R526" s="12" t="n">
        <v>132</v>
      </c>
      <c r="S526" s="12" t="n">
        <v>63</v>
      </c>
      <c r="T526" s="12" t="n">
        <v>60</v>
      </c>
      <c r="U526" s="12" t="n">
        <v>17</v>
      </c>
      <c r="V526" s="12" t="n">
        <v>79</v>
      </c>
      <c r="W526" s="12" t="n">
        <v>210</v>
      </c>
      <c r="X526" s="12" t="n">
        <v>9</v>
      </c>
      <c r="Y526" s="18" t="n">
        <f aca="false">IF(O526=0,0,T526*27/O526)</f>
        <v>2.99445471349353</v>
      </c>
      <c r="Z526" s="18" t="n">
        <f aca="false">IF(P526=0,0,(V526+R526)/P526)</f>
        <v>1.17005545286506</v>
      </c>
      <c r="AA526" s="18" t="n">
        <f aca="false">IF(O526=0,0,W526*27/O526)</f>
        <v>10.4805914972274</v>
      </c>
      <c r="AB526" s="18" t="n">
        <f aca="false">IF(O526=0,0,V526*27/O526)</f>
        <v>3.94269870609982</v>
      </c>
      <c r="AC526" s="18" t="n">
        <f aca="false">IF(V526=0,0,W526/V526)</f>
        <v>2.65822784810127</v>
      </c>
      <c r="AD526" s="18" t="n">
        <f aca="false">IF(P526=0,0,(13*U526+3*(V526+X526)-2*W526)/P526+INDEX(球季參數!$C$2:$C$4,MATCH($A526,球季參數!$A$2:$A$4,0)))</f>
        <v>3.46044362292052</v>
      </c>
      <c r="AE526" s="11" t="n">
        <f aca="false">IF(P526&gt;=INDEX(球季參數!$F$2:$F$4,MATCH($A526,球季參數!$A$2:$A$4,0)),1,0)</f>
        <v>1</v>
      </c>
    </row>
    <row r="527" customFormat="false" ht="15" hidden="false" customHeight="false" outlineLevel="0" collapsed="false">
      <c r="A527" s="5" t="n">
        <v>2025</v>
      </c>
      <c r="B527" s="7" t="s">
        <v>1387</v>
      </c>
      <c r="C527" s="10" t="str">
        <f aca="false">INDEX(球員主檔!$B$2:$B$749,MATCH($B527,球員主檔!$A$2:$A$749,0))</f>
        <v>Tristan Garrity</v>
      </c>
      <c r="D527" s="7" t="s">
        <v>434</v>
      </c>
      <c r="E527" s="10" t="str">
        <f aca="false">INDEX(球隊主檔!$C$2:$C$31,MATCH($D527,球隊主檔!$A$2:$A$31,0))</f>
        <v>密爾瓦基釀酒人</v>
      </c>
      <c r="F527" s="10" t="str">
        <f aca="false">INDEX(球隊主檔!$D$2:$D$31,MATCH($D527,球隊主檔!$A$2:$A$31,0))</f>
        <v>國聯</v>
      </c>
      <c r="G527" s="7" t="s">
        <v>507</v>
      </c>
      <c r="H527" s="11" t="n">
        <f aca="false">INT((DATE($A527,7,1)-INDEX(球員主檔!$G$2:$G$749,MATCH($B527,球員主檔!$A$2:$A$749,0)))/365.25)</f>
        <v>27</v>
      </c>
      <c r="I527" s="12" t="n">
        <v>9</v>
      </c>
      <c r="J527" s="12" t="n">
        <v>1</v>
      </c>
      <c r="K527" s="12" t="n">
        <v>34</v>
      </c>
      <c r="L527" s="12" t="n">
        <v>1</v>
      </c>
      <c r="M527" s="12" t="n">
        <v>45</v>
      </c>
      <c r="N527" s="12" t="n">
        <v>0</v>
      </c>
      <c r="O527" s="12" t="n">
        <v>147</v>
      </c>
      <c r="P527" s="16" t="n">
        <f aca="false">O527/3</f>
        <v>49</v>
      </c>
      <c r="Q527" s="17" t="str">
        <f aca="false">INT(O527/3)&amp;"."&amp;MOD(O527,3)</f>
        <v>49.0</v>
      </c>
      <c r="R527" s="12" t="n">
        <v>38</v>
      </c>
      <c r="S527" s="12" t="n">
        <v>22</v>
      </c>
      <c r="T527" s="12" t="n">
        <v>22</v>
      </c>
      <c r="U527" s="12" t="n">
        <v>8</v>
      </c>
      <c r="V527" s="12" t="n">
        <v>17</v>
      </c>
      <c r="W527" s="12" t="n">
        <v>53</v>
      </c>
      <c r="X527" s="12" t="n">
        <v>2</v>
      </c>
      <c r="Y527" s="18" t="n">
        <f aca="false">IF(O527=0,0,T527*27/O527)</f>
        <v>4.04081632653061</v>
      </c>
      <c r="Z527" s="18" t="n">
        <f aca="false">IF(P527=0,0,(V527+R527)/P527)</f>
        <v>1.12244897959184</v>
      </c>
      <c r="AA527" s="18" t="n">
        <f aca="false">IF(O527=0,0,W527*27/O527)</f>
        <v>9.73469387755102</v>
      </c>
      <c r="AB527" s="18" t="n">
        <f aca="false">IF(O527=0,0,V527*27/O527)</f>
        <v>3.12244897959184</v>
      </c>
      <c r="AC527" s="18" t="n">
        <f aca="false">IF(V527=0,0,W527/V527)</f>
        <v>3.11764705882353</v>
      </c>
      <c r="AD527" s="18" t="n">
        <f aca="false">IF(P527=0,0,(13*U527+3*(V527+X527)-2*W527)/P527+INDEX(球季參數!$C$2:$C$4,MATCH($A527,球季參數!$A$2:$A$4,0)))</f>
        <v>4.22244897959184</v>
      </c>
      <c r="AE527" s="11" t="n">
        <f aca="false">IF(P527&gt;=INDEX(球季參數!$F$2:$F$4,MATCH($A527,球季參數!$A$2:$A$4,0)),1,0)</f>
        <v>0</v>
      </c>
    </row>
    <row r="528" customFormat="false" ht="15" hidden="false" customHeight="false" outlineLevel="0" collapsed="false">
      <c r="A528" s="5" t="n">
        <v>2025</v>
      </c>
      <c r="B528" s="7" t="s">
        <v>1389</v>
      </c>
      <c r="C528" s="10" t="str">
        <f aca="false">INDEX(球員主檔!$B$2:$B$749,MATCH($B528,球員主檔!$A$2:$A$749,0))</f>
        <v>Emilio Dubois</v>
      </c>
      <c r="D528" s="7" t="s">
        <v>434</v>
      </c>
      <c r="E528" s="10" t="str">
        <f aca="false">INDEX(球隊主檔!$C$2:$C$31,MATCH($D528,球隊主檔!$A$2:$A$31,0))</f>
        <v>密爾瓦基釀酒人</v>
      </c>
      <c r="F528" s="10" t="str">
        <f aca="false">INDEX(球隊主檔!$D$2:$D$31,MATCH($D528,球隊主檔!$A$2:$A$31,0))</f>
        <v>國聯</v>
      </c>
      <c r="G528" s="7" t="s">
        <v>507</v>
      </c>
      <c r="H528" s="11" t="n">
        <f aca="false">INT((DATE($A528,7,1)-INDEX(球員主檔!$G$2:$G$749,MATCH($B528,球員主檔!$A$2:$A$749,0)))/365.25)</f>
        <v>29</v>
      </c>
      <c r="I528" s="12" t="n">
        <v>6</v>
      </c>
      <c r="J528" s="12" t="n">
        <v>2</v>
      </c>
      <c r="K528" s="12" t="n">
        <v>1</v>
      </c>
      <c r="L528" s="12" t="n">
        <v>16</v>
      </c>
      <c r="M528" s="12" t="n">
        <v>55</v>
      </c>
      <c r="N528" s="12" t="n">
        <v>0</v>
      </c>
      <c r="O528" s="12" t="n">
        <v>145</v>
      </c>
      <c r="P528" s="16" t="n">
        <f aca="false">O528/3</f>
        <v>48.3333333333333</v>
      </c>
      <c r="Q528" s="17" t="str">
        <f aca="false">INT(O528/3)&amp;"."&amp;MOD(O528,3)</f>
        <v>48.1</v>
      </c>
      <c r="R528" s="12" t="n">
        <v>36</v>
      </c>
      <c r="S528" s="12" t="n">
        <v>22</v>
      </c>
      <c r="T528" s="12" t="n">
        <v>20</v>
      </c>
      <c r="U528" s="12" t="n">
        <v>7</v>
      </c>
      <c r="V528" s="12" t="n">
        <v>22</v>
      </c>
      <c r="W528" s="12" t="n">
        <v>63</v>
      </c>
      <c r="X528" s="12" t="n">
        <v>1</v>
      </c>
      <c r="Y528" s="18" t="n">
        <f aca="false">IF(O528=0,0,T528*27/O528)</f>
        <v>3.72413793103448</v>
      </c>
      <c r="Z528" s="18" t="n">
        <f aca="false">IF(P528=0,0,(V528+R528)/P528)</f>
        <v>1.2</v>
      </c>
      <c r="AA528" s="18" t="n">
        <f aca="false">IF(O528=0,0,W528*27/O528)</f>
        <v>11.7310344827586</v>
      </c>
      <c r="AB528" s="18" t="n">
        <f aca="false">IF(O528=0,0,V528*27/O528)</f>
        <v>4.09655172413793</v>
      </c>
      <c r="AC528" s="18" t="n">
        <f aca="false">IF(V528=0,0,W528/V528)</f>
        <v>2.86363636363636</v>
      </c>
      <c r="AD528" s="18" t="n">
        <f aca="false">IF(P528=0,0,(13*U528+3*(V528+X528)-2*W528)/P528+INDEX(球季參數!$C$2:$C$4,MATCH($A528,球季參數!$A$2:$A$4,0)))</f>
        <v>3.80344827586207</v>
      </c>
      <c r="AE528" s="11" t="n">
        <f aca="false">IF(P528&gt;=INDEX(球季參數!$F$2:$F$4,MATCH($A528,球季參數!$A$2:$A$4,0)),1,0)</f>
        <v>0</v>
      </c>
    </row>
    <row r="529" customFormat="false" ht="15" hidden="false" customHeight="false" outlineLevel="0" collapsed="false">
      <c r="A529" s="5" t="n">
        <v>2025</v>
      </c>
      <c r="B529" s="7" t="s">
        <v>1391</v>
      </c>
      <c r="C529" s="10" t="str">
        <f aca="false">INDEX(球員主檔!$B$2:$B$749,MATCH($B529,球員主檔!$A$2:$A$749,0))</f>
        <v>Barrett Rasmussen</v>
      </c>
      <c r="D529" s="7" t="s">
        <v>434</v>
      </c>
      <c r="E529" s="10" t="str">
        <f aca="false">INDEX(球隊主檔!$C$2:$C$31,MATCH($D529,球隊主檔!$A$2:$A$31,0))</f>
        <v>密爾瓦基釀酒人</v>
      </c>
      <c r="F529" s="10" t="str">
        <f aca="false">INDEX(球隊主檔!$D$2:$D$31,MATCH($D529,球隊主檔!$A$2:$A$31,0))</f>
        <v>國聯</v>
      </c>
      <c r="G529" s="7" t="s">
        <v>507</v>
      </c>
      <c r="H529" s="11" t="n">
        <f aca="false">INT((DATE($A529,7,1)-INDEX(球員主檔!$G$2:$G$749,MATCH($B529,球員主檔!$A$2:$A$749,0)))/365.25)</f>
        <v>25</v>
      </c>
      <c r="I529" s="12" t="n">
        <v>2</v>
      </c>
      <c r="J529" s="12" t="n">
        <v>6</v>
      </c>
      <c r="K529" s="12" t="n">
        <v>5</v>
      </c>
      <c r="L529" s="12" t="n">
        <v>22</v>
      </c>
      <c r="M529" s="12" t="n">
        <v>75</v>
      </c>
      <c r="N529" s="12" t="n">
        <v>0</v>
      </c>
      <c r="O529" s="12" t="n">
        <v>227</v>
      </c>
      <c r="P529" s="16" t="n">
        <f aca="false">O529/3</f>
        <v>75.6666666666667</v>
      </c>
      <c r="Q529" s="17" t="str">
        <f aca="false">INT(O529/3)&amp;"."&amp;MOD(O529,3)</f>
        <v>75.2</v>
      </c>
      <c r="R529" s="12" t="n">
        <v>61</v>
      </c>
      <c r="S529" s="12" t="n">
        <v>38</v>
      </c>
      <c r="T529" s="12" t="n">
        <v>36</v>
      </c>
      <c r="U529" s="12" t="n">
        <v>10</v>
      </c>
      <c r="V529" s="12" t="n">
        <v>16</v>
      </c>
      <c r="W529" s="12" t="n">
        <v>92</v>
      </c>
      <c r="X529" s="12" t="n">
        <v>4</v>
      </c>
      <c r="Y529" s="18" t="n">
        <f aca="false">IF(O529=0,0,T529*27/O529)</f>
        <v>4.28193832599119</v>
      </c>
      <c r="Z529" s="18" t="n">
        <f aca="false">IF(P529=0,0,(V529+R529)/P529)</f>
        <v>1.01762114537445</v>
      </c>
      <c r="AA529" s="18" t="n">
        <f aca="false">IF(O529=0,0,W529*27/O529)</f>
        <v>10.942731277533</v>
      </c>
      <c r="AB529" s="18" t="n">
        <f aca="false">IF(O529=0,0,V529*27/O529)</f>
        <v>1.90308370044053</v>
      </c>
      <c r="AC529" s="18" t="n">
        <f aca="false">IF(V529=0,0,W529/V529)</f>
        <v>5.75</v>
      </c>
      <c r="AD529" s="18" t="n">
        <f aca="false">IF(P529=0,0,(13*U529+3*(V529+X529)-2*W529)/P529+INDEX(球季參數!$C$2:$C$4,MATCH($A529,球季參數!$A$2:$A$4,0)))</f>
        <v>3.17929515418502</v>
      </c>
      <c r="AE529" s="11" t="n">
        <f aca="false">IF(P529&gt;=INDEX(球季參數!$F$2:$F$4,MATCH($A529,球季參數!$A$2:$A$4,0)),1,0)</f>
        <v>0</v>
      </c>
    </row>
    <row r="530" customFormat="false" ht="15" hidden="false" customHeight="false" outlineLevel="0" collapsed="false">
      <c r="A530" s="5" t="n">
        <v>2025</v>
      </c>
      <c r="B530" s="7" t="s">
        <v>1393</v>
      </c>
      <c r="C530" s="10" t="str">
        <f aca="false">INDEX(球員主檔!$B$2:$B$749,MATCH($B530,球員主檔!$A$2:$A$749,0))</f>
        <v>Percival Ravenscroft</v>
      </c>
      <c r="D530" s="7" t="s">
        <v>434</v>
      </c>
      <c r="E530" s="10" t="str">
        <f aca="false">INDEX(球隊主檔!$C$2:$C$31,MATCH($D530,球隊主檔!$A$2:$A$31,0))</f>
        <v>密爾瓦基釀酒人</v>
      </c>
      <c r="F530" s="10" t="str">
        <f aca="false">INDEX(球隊主檔!$D$2:$D$31,MATCH($D530,球隊主檔!$A$2:$A$31,0))</f>
        <v>國聯</v>
      </c>
      <c r="G530" s="7" t="s">
        <v>507</v>
      </c>
      <c r="H530" s="11" t="n">
        <f aca="false">INT((DATE($A530,7,1)-INDEX(球員主檔!$G$2:$G$749,MATCH($B530,球員主檔!$A$2:$A$749,0)))/365.25)</f>
        <v>35</v>
      </c>
      <c r="I530" s="12" t="n">
        <v>8</v>
      </c>
      <c r="J530" s="12" t="n">
        <v>7</v>
      </c>
      <c r="K530" s="12" t="n">
        <v>0</v>
      </c>
      <c r="L530" s="12" t="n">
        <v>7</v>
      </c>
      <c r="M530" s="12" t="n">
        <v>38</v>
      </c>
      <c r="N530" s="12" t="n">
        <v>0</v>
      </c>
      <c r="O530" s="12" t="n">
        <v>99</v>
      </c>
      <c r="P530" s="16" t="n">
        <f aca="false">O530/3</f>
        <v>33</v>
      </c>
      <c r="Q530" s="17" t="str">
        <f aca="false">INT(O530/3)&amp;"."&amp;MOD(O530,3)</f>
        <v>33.0</v>
      </c>
      <c r="R530" s="12" t="n">
        <v>30</v>
      </c>
      <c r="S530" s="12" t="n">
        <v>16</v>
      </c>
      <c r="T530" s="12" t="n">
        <v>16</v>
      </c>
      <c r="U530" s="12" t="n">
        <v>3</v>
      </c>
      <c r="V530" s="12" t="n">
        <v>16</v>
      </c>
      <c r="W530" s="12" t="n">
        <v>36</v>
      </c>
      <c r="X530" s="12" t="n">
        <v>1</v>
      </c>
      <c r="Y530" s="18" t="n">
        <f aca="false">IF(O530=0,0,T530*27/O530)</f>
        <v>4.36363636363636</v>
      </c>
      <c r="Z530" s="18" t="n">
        <f aca="false">IF(P530=0,0,(V530+R530)/P530)</f>
        <v>1.39393939393939</v>
      </c>
      <c r="AA530" s="18" t="n">
        <f aca="false">IF(O530=0,0,W530*27/O530)</f>
        <v>9.81818181818182</v>
      </c>
      <c r="AB530" s="18" t="n">
        <f aca="false">IF(O530=0,0,V530*27/O530)</f>
        <v>4.36363636363636</v>
      </c>
      <c r="AC530" s="18" t="n">
        <f aca="false">IF(V530=0,0,W530/V530)</f>
        <v>2.25</v>
      </c>
      <c r="AD530" s="18" t="n">
        <f aca="false">IF(P530=0,0,(13*U530+3*(V530+X530)-2*W530)/P530+INDEX(球季參數!$C$2:$C$4,MATCH($A530,球季參數!$A$2:$A$4,0)))</f>
        <v>3.64545454545455</v>
      </c>
      <c r="AE530" s="11" t="n">
        <f aca="false">IF(P530&gt;=INDEX(球季參數!$F$2:$F$4,MATCH($A530,球季參數!$A$2:$A$4,0)),1,0)</f>
        <v>0</v>
      </c>
    </row>
    <row r="531" customFormat="false" ht="15" hidden="false" customHeight="false" outlineLevel="0" collapsed="false">
      <c r="A531" s="5" t="n">
        <v>2025</v>
      </c>
      <c r="B531" s="7" t="s">
        <v>1395</v>
      </c>
      <c r="C531" s="10" t="str">
        <f aca="false">INDEX(球員主檔!$B$2:$B$749,MATCH($B531,球員主檔!$A$2:$A$749,0))</f>
        <v>Benedikt Jovanović</v>
      </c>
      <c r="D531" s="7" t="s">
        <v>434</v>
      </c>
      <c r="E531" s="10" t="str">
        <f aca="false">INDEX(球隊主檔!$C$2:$C$31,MATCH($D531,球隊主檔!$A$2:$A$31,0))</f>
        <v>密爾瓦基釀酒人</v>
      </c>
      <c r="F531" s="10" t="str">
        <f aca="false">INDEX(球隊主檔!$D$2:$D$31,MATCH($D531,球隊主檔!$A$2:$A$31,0))</f>
        <v>國聯</v>
      </c>
      <c r="G531" s="7" t="s">
        <v>507</v>
      </c>
      <c r="H531" s="11" t="n">
        <f aca="false">INT((DATE($A531,7,1)-INDEX(球員主檔!$G$2:$G$749,MATCH($B531,球員主檔!$A$2:$A$749,0)))/365.25)</f>
        <v>28</v>
      </c>
      <c r="I531" s="12" t="n">
        <v>7</v>
      </c>
      <c r="J531" s="12" t="n">
        <v>6</v>
      </c>
      <c r="K531" s="12" t="n">
        <v>5</v>
      </c>
      <c r="L531" s="12" t="n">
        <v>13</v>
      </c>
      <c r="M531" s="12" t="n">
        <v>50</v>
      </c>
      <c r="N531" s="12" t="n">
        <v>0</v>
      </c>
      <c r="O531" s="12" t="n">
        <v>163</v>
      </c>
      <c r="P531" s="16" t="n">
        <f aca="false">O531/3</f>
        <v>54.3333333333333</v>
      </c>
      <c r="Q531" s="17" t="str">
        <f aca="false">INT(O531/3)&amp;"."&amp;MOD(O531,3)</f>
        <v>54.1</v>
      </c>
      <c r="R531" s="12" t="n">
        <v>47</v>
      </c>
      <c r="S531" s="12" t="n">
        <v>29</v>
      </c>
      <c r="T531" s="12" t="n">
        <v>26</v>
      </c>
      <c r="U531" s="12" t="n">
        <v>9</v>
      </c>
      <c r="V531" s="12" t="n">
        <v>19</v>
      </c>
      <c r="W531" s="12" t="n">
        <v>49</v>
      </c>
      <c r="X531" s="12" t="n">
        <v>2</v>
      </c>
      <c r="Y531" s="18" t="n">
        <f aca="false">IF(O531=0,0,T531*27/O531)</f>
        <v>4.30674846625767</v>
      </c>
      <c r="Z531" s="18" t="n">
        <f aca="false">IF(P531=0,0,(V531+R531)/P531)</f>
        <v>1.21472392638037</v>
      </c>
      <c r="AA531" s="18" t="n">
        <f aca="false">IF(O531=0,0,W531*27/O531)</f>
        <v>8.11656441717791</v>
      </c>
      <c r="AB531" s="18" t="n">
        <f aca="false">IF(O531=0,0,V531*27/O531)</f>
        <v>3.14723926380368</v>
      </c>
      <c r="AC531" s="18" t="n">
        <f aca="false">IF(V531=0,0,W531/V531)</f>
        <v>2.57894736842105</v>
      </c>
      <c r="AD531" s="18" t="n">
        <f aca="false">IF(P531=0,0,(13*U531+3*(V531+X531)-2*W531)/P531+INDEX(球季參數!$C$2:$C$4,MATCH($A531,球季參數!$A$2:$A$4,0)))</f>
        <v>4.60920245398773</v>
      </c>
      <c r="AE531" s="11" t="n">
        <f aca="false">IF(P531&gt;=INDEX(球季參數!$F$2:$F$4,MATCH($A531,球季參數!$A$2:$A$4,0)),1,0)</f>
        <v>0</v>
      </c>
    </row>
    <row r="532" customFormat="false" ht="15" hidden="false" customHeight="false" outlineLevel="0" collapsed="false">
      <c r="A532" s="5" t="n">
        <v>2025</v>
      </c>
      <c r="B532" s="7" t="s">
        <v>1417</v>
      </c>
      <c r="C532" s="10" t="str">
        <f aca="false">INDEX(球員主檔!$B$2:$B$749,MATCH($B532,球員主檔!$A$2:$A$749,0))</f>
        <v>Wyatt Larrabee</v>
      </c>
      <c r="D532" s="7" t="s">
        <v>438</v>
      </c>
      <c r="E532" s="10" t="str">
        <f aca="false">INDEX(球隊主檔!$C$2:$C$31,MATCH($D532,球隊主檔!$A$2:$A$31,0))</f>
        <v>匹茲堡海盜</v>
      </c>
      <c r="F532" s="10" t="str">
        <f aca="false">INDEX(球隊主檔!$D$2:$D$31,MATCH($D532,球隊主檔!$A$2:$A$31,0))</f>
        <v>國聯</v>
      </c>
      <c r="G532" s="7" t="s">
        <v>496</v>
      </c>
      <c r="H532" s="11" t="n">
        <f aca="false">INT((DATE($A532,7,1)-INDEX(球員主檔!$G$2:$G$749,MATCH($B532,球員主檔!$A$2:$A$749,0)))/365.25)</f>
        <v>26</v>
      </c>
      <c r="I532" s="12" t="n">
        <v>17</v>
      </c>
      <c r="J532" s="12" t="n">
        <v>7</v>
      </c>
      <c r="K532" s="12" t="n">
        <v>0</v>
      </c>
      <c r="L532" s="12" t="n">
        <v>0</v>
      </c>
      <c r="M532" s="12" t="n">
        <v>31</v>
      </c>
      <c r="N532" s="12" t="n">
        <v>31</v>
      </c>
      <c r="O532" s="12" t="n">
        <v>557</v>
      </c>
      <c r="P532" s="16" t="n">
        <f aca="false">O532/3</f>
        <v>185.666666666667</v>
      </c>
      <c r="Q532" s="17" t="str">
        <f aca="false">INT(O532/3)&amp;"."&amp;MOD(O532,3)</f>
        <v>185.2</v>
      </c>
      <c r="R532" s="12" t="n">
        <v>153</v>
      </c>
      <c r="S532" s="12" t="n">
        <v>73</v>
      </c>
      <c r="T532" s="12" t="n">
        <v>68</v>
      </c>
      <c r="U532" s="12" t="n">
        <v>22</v>
      </c>
      <c r="V532" s="12" t="n">
        <v>44</v>
      </c>
      <c r="W532" s="12" t="n">
        <v>229</v>
      </c>
      <c r="X532" s="12" t="n">
        <v>5</v>
      </c>
      <c r="Y532" s="18" t="n">
        <f aca="false">IF(O532=0,0,T532*27/O532)</f>
        <v>3.29622980251347</v>
      </c>
      <c r="Z532" s="18" t="n">
        <f aca="false">IF(P532=0,0,(V532+R532)/P532)</f>
        <v>1.06104129263914</v>
      </c>
      <c r="AA532" s="18" t="n">
        <f aca="false">IF(O532=0,0,W532*27/O532)</f>
        <v>11.1005385996409</v>
      </c>
      <c r="AB532" s="18" t="n">
        <f aca="false">IF(O532=0,0,V532*27/O532)</f>
        <v>2.13285457809695</v>
      </c>
      <c r="AC532" s="18" t="n">
        <f aca="false">IF(V532=0,0,W532/V532)</f>
        <v>5.20454545454545</v>
      </c>
      <c r="AD532" s="18" t="n">
        <f aca="false">IF(P532=0,0,(13*U532+3*(V532+X532)-2*W532)/P532+INDEX(球季參數!$C$2:$C$4,MATCH($A532,球季參數!$A$2:$A$4,0)))</f>
        <v>2.96535008976661</v>
      </c>
      <c r="AE532" s="11" t="n">
        <f aca="false">IF(P532&gt;=INDEX(球季參數!$F$2:$F$4,MATCH($A532,球季參數!$A$2:$A$4,0)),1,0)</f>
        <v>1</v>
      </c>
    </row>
    <row r="533" customFormat="false" ht="15" hidden="false" customHeight="false" outlineLevel="0" collapsed="false">
      <c r="A533" s="5" t="n">
        <v>2025</v>
      </c>
      <c r="B533" s="7" t="s">
        <v>1419</v>
      </c>
      <c r="C533" s="10" t="str">
        <f aca="false">INDEX(球員主檔!$B$2:$B$749,MATCH($B533,球員主檔!$A$2:$A$749,0))</f>
        <v>Oakley Ibarra</v>
      </c>
      <c r="D533" s="7" t="s">
        <v>438</v>
      </c>
      <c r="E533" s="10" t="str">
        <f aca="false">INDEX(球隊主檔!$C$2:$C$31,MATCH($D533,球隊主檔!$A$2:$A$31,0))</f>
        <v>匹茲堡海盜</v>
      </c>
      <c r="F533" s="10" t="str">
        <f aca="false">INDEX(球隊主檔!$D$2:$D$31,MATCH($D533,球隊主檔!$A$2:$A$31,0))</f>
        <v>國聯</v>
      </c>
      <c r="G533" s="7" t="s">
        <v>496</v>
      </c>
      <c r="H533" s="11" t="n">
        <f aca="false">INT((DATE($A533,7,1)-INDEX(球員主檔!$G$2:$G$749,MATCH($B533,球員主檔!$A$2:$A$749,0)))/365.25)</f>
        <v>26</v>
      </c>
      <c r="I533" s="12" t="n">
        <v>11</v>
      </c>
      <c r="J533" s="12" t="n">
        <v>4</v>
      </c>
      <c r="K533" s="12" t="n">
        <v>0</v>
      </c>
      <c r="L533" s="12" t="n">
        <v>0</v>
      </c>
      <c r="M533" s="12" t="n">
        <v>22</v>
      </c>
      <c r="N533" s="12" t="n">
        <v>22</v>
      </c>
      <c r="O533" s="12" t="n">
        <v>382</v>
      </c>
      <c r="P533" s="16" t="n">
        <f aca="false">O533/3</f>
        <v>127.333333333333</v>
      </c>
      <c r="Q533" s="17" t="str">
        <f aca="false">INT(O533/3)&amp;"."&amp;MOD(O533,3)</f>
        <v>127.1</v>
      </c>
      <c r="R533" s="12" t="n">
        <v>100</v>
      </c>
      <c r="S533" s="12" t="n">
        <v>53</v>
      </c>
      <c r="T533" s="12" t="n">
        <v>52</v>
      </c>
      <c r="U533" s="12" t="n">
        <v>17</v>
      </c>
      <c r="V533" s="12" t="n">
        <v>51</v>
      </c>
      <c r="W533" s="12" t="n">
        <v>142</v>
      </c>
      <c r="X533" s="12" t="n">
        <v>2</v>
      </c>
      <c r="Y533" s="18" t="n">
        <f aca="false">IF(O533=0,0,T533*27/O533)</f>
        <v>3.67539267015707</v>
      </c>
      <c r="Z533" s="18" t="n">
        <f aca="false">IF(P533=0,0,(V533+R533)/P533)</f>
        <v>1.18586387434555</v>
      </c>
      <c r="AA533" s="18" t="n">
        <f aca="false">IF(O533=0,0,W533*27/O533)</f>
        <v>10.0366492146597</v>
      </c>
      <c r="AB533" s="18" t="n">
        <f aca="false">IF(O533=0,0,V533*27/O533)</f>
        <v>3.60471204188482</v>
      </c>
      <c r="AC533" s="18" t="n">
        <f aca="false">IF(V533=0,0,W533/V533)</f>
        <v>2.7843137254902</v>
      </c>
      <c r="AD533" s="18" t="n">
        <f aca="false">IF(P533=0,0,(13*U533+3*(V533+X533)-2*W533)/P533+INDEX(球季參數!$C$2:$C$4,MATCH($A533,球季參數!$A$2:$A$4,0)))</f>
        <v>3.85392670157068</v>
      </c>
      <c r="AE533" s="11" t="n">
        <f aca="false">IF(P533&gt;=INDEX(球季參數!$F$2:$F$4,MATCH($A533,球季參數!$A$2:$A$4,0)),1,0)</f>
        <v>0</v>
      </c>
    </row>
    <row r="534" customFormat="false" ht="15" hidden="false" customHeight="false" outlineLevel="0" collapsed="false">
      <c r="A534" s="5" t="n">
        <v>2025</v>
      </c>
      <c r="B534" s="7" t="s">
        <v>1421</v>
      </c>
      <c r="C534" s="10" t="str">
        <f aca="false">INDEX(球員主檔!$B$2:$B$749,MATCH($B534,球員主檔!$A$2:$A$749,0))</f>
        <v>Ronin Rasmussen</v>
      </c>
      <c r="D534" s="7" t="s">
        <v>438</v>
      </c>
      <c r="E534" s="10" t="str">
        <f aca="false">INDEX(球隊主檔!$C$2:$C$31,MATCH($D534,球隊主檔!$A$2:$A$31,0))</f>
        <v>匹茲堡海盜</v>
      </c>
      <c r="F534" s="10" t="str">
        <f aca="false">INDEX(球隊主檔!$D$2:$D$31,MATCH($D534,球隊主檔!$A$2:$A$31,0))</f>
        <v>國聯</v>
      </c>
      <c r="G534" s="7" t="s">
        <v>496</v>
      </c>
      <c r="H534" s="11" t="n">
        <f aca="false">INT((DATE($A534,7,1)-INDEX(球員主檔!$G$2:$G$749,MATCH($B534,球員主檔!$A$2:$A$749,0)))/365.25)</f>
        <v>30</v>
      </c>
      <c r="I534" s="12" t="n">
        <v>10</v>
      </c>
      <c r="J534" s="12" t="n">
        <v>8</v>
      </c>
      <c r="K534" s="12" t="n">
        <v>0</v>
      </c>
      <c r="L534" s="12" t="n">
        <v>0</v>
      </c>
      <c r="M534" s="12" t="n">
        <v>31</v>
      </c>
      <c r="N534" s="12" t="n">
        <v>31</v>
      </c>
      <c r="O534" s="12" t="n">
        <v>511</v>
      </c>
      <c r="P534" s="16" t="n">
        <f aca="false">O534/3</f>
        <v>170.333333333333</v>
      </c>
      <c r="Q534" s="17" t="str">
        <f aca="false">INT(O534/3)&amp;"."&amp;MOD(O534,3)</f>
        <v>170.1</v>
      </c>
      <c r="R534" s="12" t="n">
        <v>164</v>
      </c>
      <c r="S534" s="12" t="n">
        <v>110</v>
      </c>
      <c r="T534" s="12" t="n">
        <v>100</v>
      </c>
      <c r="U534" s="12" t="n">
        <v>33</v>
      </c>
      <c r="V534" s="12" t="n">
        <v>65</v>
      </c>
      <c r="W534" s="12" t="n">
        <v>143</v>
      </c>
      <c r="X534" s="12" t="n">
        <v>6</v>
      </c>
      <c r="Y534" s="18" t="n">
        <f aca="false">IF(O534=0,0,T534*27/O534)</f>
        <v>5.28375733855186</v>
      </c>
      <c r="Z534" s="18" t="n">
        <f aca="false">IF(P534=0,0,(V534+R534)/P534)</f>
        <v>1.34442270058708</v>
      </c>
      <c r="AA534" s="18" t="n">
        <f aca="false">IF(O534=0,0,W534*27/O534)</f>
        <v>7.55577299412916</v>
      </c>
      <c r="AB534" s="18" t="n">
        <f aca="false">IF(O534=0,0,V534*27/O534)</f>
        <v>3.43444227005871</v>
      </c>
      <c r="AC534" s="18" t="n">
        <f aca="false">IF(V534=0,0,W534/V534)</f>
        <v>2.2</v>
      </c>
      <c r="AD534" s="18" t="n">
        <f aca="false">IF(P534=0,0,(13*U534+3*(V534+X534)-2*W534)/P534+INDEX(球季參數!$C$2:$C$4,MATCH($A534,球季參數!$A$2:$A$4,0)))</f>
        <v>5.19001956947162</v>
      </c>
      <c r="AE534" s="11" t="n">
        <f aca="false">IF(P534&gt;=INDEX(球季參數!$F$2:$F$4,MATCH($A534,球季參數!$A$2:$A$4,0)),1,0)</f>
        <v>1</v>
      </c>
    </row>
    <row r="535" customFormat="false" ht="15" hidden="false" customHeight="false" outlineLevel="0" collapsed="false">
      <c r="A535" s="5" t="n">
        <v>2025</v>
      </c>
      <c r="B535" s="7" t="s">
        <v>1423</v>
      </c>
      <c r="C535" s="10" t="str">
        <f aca="false">INDEX(球員主檔!$B$2:$B$749,MATCH($B535,球員主檔!$A$2:$A$749,0))</f>
        <v>Dashiell Stroheim</v>
      </c>
      <c r="D535" s="7" t="s">
        <v>438</v>
      </c>
      <c r="E535" s="10" t="str">
        <f aca="false">INDEX(球隊主檔!$C$2:$C$31,MATCH($D535,球隊主檔!$A$2:$A$31,0))</f>
        <v>匹茲堡海盜</v>
      </c>
      <c r="F535" s="10" t="str">
        <f aca="false">INDEX(球隊主檔!$D$2:$D$31,MATCH($D535,球隊主檔!$A$2:$A$31,0))</f>
        <v>國聯</v>
      </c>
      <c r="G535" s="7" t="s">
        <v>496</v>
      </c>
      <c r="H535" s="11" t="n">
        <f aca="false">INT((DATE($A535,7,1)-INDEX(球員主檔!$G$2:$G$749,MATCH($B535,球員主檔!$A$2:$A$749,0)))/365.25)</f>
        <v>30</v>
      </c>
      <c r="I535" s="12" t="n">
        <v>8</v>
      </c>
      <c r="J535" s="12" t="n">
        <v>11</v>
      </c>
      <c r="K535" s="12" t="n">
        <v>0</v>
      </c>
      <c r="L535" s="12" t="n">
        <v>0</v>
      </c>
      <c r="M535" s="12" t="n">
        <v>24</v>
      </c>
      <c r="N535" s="12" t="n">
        <v>24</v>
      </c>
      <c r="O535" s="12" t="n">
        <v>362</v>
      </c>
      <c r="P535" s="16" t="n">
        <f aca="false">O535/3</f>
        <v>120.666666666667</v>
      </c>
      <c r="Q535" s="17" t="str">
        <f aca="false">INT(O535/3)&amp;"."&amp;MOD(O535,3)</f>
        <v>120.2</v>
      </c>
      <c r="R535" s="12" t="n">
        <v>117</v>
      </c>
      <c r="S535" s="12" t="n">
        <v>79</v>
      </c>
      <c r="T535" s="12" t="n">
        <v>79</v>
      </c>
      <c r="U535" s="12" t="n">
        <v>11</v>
      </c>
      <c r="V535" s="12" t="n">
        <v>36</v>
      </c>
      <c r="W535" s="12" t="n">
        <v>113</v>
      </c>
      <c r="X535" s="12" t="n">
        <v>4</v>
      </c>
      <c r="Y535" s="18" t="n">
        <f aca="false">IF(O535=0,0,T535*27/O535)</f>
        <v>5.89226519337017</v>
      </c>
      <c r="Z535" s="18" t="n">
        <f aca="false">IF(P535=0,0,(V535+R535)/P535)</f>
        <v>1.26795580110497</v>
      </c>
      <c r="AA535" s="18" t="n">
        <f aca="false">IF(O535=0,0,W535*27/O535)</f>
        <v>8.42817679558011</v>
      </c>
      <c r="AB535" s="18" t="n">
        <f aca="false">IF(O535=0,0,V535*27/O535)</f>
        <v>2.68508287292818</v>
      </c>
      <c r="AC535" s="18" t="n">
        <f aca="false">IF(V535=0,0,W535/V535)</f>
        <v>3.13888888888889</v>
      </c>
      <c r="AD535" s="18" t="n">
        <f aca="false">IF(P535=0,0,(13*U535+3*(V535+X535)-2*W535)/P535+INDEX(球季參數!$C$2:$C$4,MATCH($A535,球季參數!$A$2:$A$4,0)))</f>
        <v>3.40662983425414</v>
      </c>
      <c r="AE535" s="11" t="n">
        <f aca="false">IF(P535&gt;=INDEX(球季參數!$F$2:$F$4,MATCH($A535,球季參數!$A$2:$A$4,0)),1,0)</f>
        <v>0</v>
      </c>
    </row>
    <row r="536" customFormat="false" ht="15" hidden="false" customHeight="false" outlineLevel="0" collapsed="false">
      <c r="A536" s="5" t="n">
        <v>2025</v>
      </c>
      <c r="B536" s="7" t="s">
        <v>1425</v>
      </c>
      <c r="C536" s="10" t="str">
        <f aca="false">INDEX(球員主檔!$B$2:$B$749,MATCH($B536,球員主檔!$A$2:$A$749,0))</f>
        <v>Minjae Sorrentino</v>
      </c>
      <c r="D536" s="7" t="s">
        <v>438</v>
      </c>
      <c r="E536" s="10" t="str">
        <f aca="false">INDEX(球隊主檔!$C$2:$C$31,MATCH($D536,球隊主檔!$A$2:$A$31,0))</f>
        <v>匹茲堡海盜</v>
      </c>
      <c r="F536" s="10" t="str">
        <f aca="false">INDEX(球隊主檔!$D$2:$D$31,MATCH($D536,球隊主檔!$A$2:$A$31,0))</f>
        <v>國聯</v>
      </c>
      <c r="G536" s="7" t="s">
        <v>496</v>
      </c>
      <c r="H536" s="11" t="n">
        <f aca="false">INT((DATE($A536,7,1)-INDEX(球員主檔!$G$2:$G$749,MATCH($B536,球員主檔!$A$2:$A$749,0)))/365.25)</f>
        <v>31</v>
      </c>
      <c r="I536" s="12" t="n">
        <v>7</v>
      </c>
      <c r="J536" s="12" t="n">
        <v>2</v>
      </c>
      <c r="K536" s="12" t="n">
        <v>0</v>
      </c>
      <c r="L536" s="12" t="n">
        <v>0</v>
      </c>
      <c r="M536" s="12" t="n">
        <v>13</v>
      </c>
      <c r="N536" s="12" t="n">
        <v>13</v>
      </c>
      <c r="O536" s="12" t="n">
        <v>200</v>
      </c>
      <c r="P536" s="16" t="n">
        <f aca="false">O536/3</f>
        <v>66.6666666666667</v>
      </c>
      <c r="Q536" s="17" t="str">
        <f aca="false">INT(O536/3)&amp;"."&amp;MOD(O536,3)</f>
        <v>66.2</v>
      </c>
      <c r="R536" s="12" t="n">
        <v>52</v>
      </c>
      <c r="S536" s="12" t="n">
        <v>25</v>
      </c>
      <c r="T536" s="12" t="n">
        <v>23</v>
      </c>
      <c r="U536" s="12" t="n">
        <v>12</v>
      </c>
      <c r="V536" s="12" t="n">
        <v>27</v>
      </c>
      <c r="W536" s="12" t="n">
        <v>83</v>
      </c>
      <c r="X536" s="12" t="n">
        <v>2</v>
      </c>
      <c r="Y536" s="18" t="n">
        <f aca="false">IF(O536=0,0,T536*27/O536)</f>
        <v>3.105</v>
      </c>
      <c r="Z536" s="18" t="n">
        <f aca="false">IF(P536=0,0,(V536+R536)/P536)</f>
        <v>1.185</v>
      </c>
      <c r="AA536" s="18" t="n">
        <f aca="false">IF(O536=0,0,W536*27/O536)</f>
        <v>11.205</v>
      </c>
      <c r="AB536" s="18" t="n">
        <f aca="false">IF(O536=0,0,V536*27/O536)</f>
        <v>3.645</v>
      </c>
      <c r="AC536" s="18" t="n">
        <f aca="false">IF(V536=0,0,W536/V536)</f>
        <v>3.07407407407407</v>
      </c>
      <c r="AD536" s="18" t="n">
        <f aca="false">IF(P536=0,0,(13*U536+3*(V536+X536)-2*W536)/P536+INDEX(球季參數!$C$2:$C$4,MATCH($A536,球季參數!$A$2:$A$4,0)))</f>
        <v>4.255</v>
      </c>
      <c r="AE536" s="11" t="n">
        <f aca="false">IF(P536&gt;=INDEX(球季參數!$F$2:$F$4,MATCH($A536,球季參數!$A$2:$A$4,0)),1,0)</f>
        <v>0</v>
      </c>
    </row>
    <row r="537" customFormat="false" ht="15" hidden="false" customHeight="false" outlineLevel="0" collapsed="false">
      <c r="A537" s="5" t="n">
        <v>2025</v>
      </c>
      <c r="B537" s="7" t="s">
        <v>1427</v>
      </c>
      <c r="C537" s="10" t="str">
        <f aca="false">INDEX(球員主檔!$B$2:$B$749,MATCH($B537,球員主檔!$A$2:$A$749,0))</f>
        <v>Camilo Prendergast</v>
      </c>
      <c r="D537" s="7" t="s">
        <v>438</v>
      </c>
      <c r="E537" s="10" t="str">
        <f aca="false">INDEX(球隊主檔!$C$2:$C$31,MATCH($D537,球隊主檔!$A$2:$A$31,0))</f>
        <v>匹茲堡海盜</v>
      </c>
      <c r="F537" s="10" t="str">
        <f aca="false">INDEX(球隊主檔!$D$2:$D$31,MATCH($D537,球隊主檔!$A$2:$A$31,0))</f>
        <v>國聯</v>
      </c>
      <c r="G537" s="7" t="s">
        <v>507</v>
      </c>
      <c r="H537" s="11" t="n">
        <f aca="false">INT((DATE($A537,7,1)-INDEX(球員主檔!$G$2:$G$749,MATCH($B537,球員主檔!$A$2:$A$749,0)))/365.25)</f>
        <v>29</v>
      </c>
      <c r="I537" s="12" t="n">
        <v>4</v>
      </c>
      <c r="J537" s="12" t="n">
        <v>6</v>
      </c>
      <c r="K537" s="12" t="n">
        <v>39</v>
      </c>
      <c r="L537" s="12" t="n">
        <v>2</v>
      </c>
      <c r="M537" s="12" t="n">
        <v>67</v>
      </c>
      <c r="N537" s="12" t="n">
        <v>0</v>
      </c>
      <c r="O537" s="12" t="n">
        <v>220</v>
      </c>
      <c r="P537" s="16" t="n">
        <f aca="false">O537/3</f>
        <v>73.3333333333333</v>
      </c>
      <c r="Q537" s="17" t="str">
        <f aca="false">INT(O537/3)&amp;"."&amp;MOD(O537,3)</f>
        <v>73.1</v>
      </c>
      <c r="R537" s="12" t="n">
        <v>61</v>
      </c>
      <c r="S537" s="12" t="n">
        <v>34</v>
      </c>
      <c r="T537" s="12" t="n">
        <v>33</v>
      </c>
      <c r="U537" s="12" t="n">
        <v>8</v>
      </c>
      <c r="V537" s="12" t="n">
        <v>26</v>
      </c>
      <c r="W537" s="12" t="n">
        <v>55</v>
      </c>
      <c r="X537" s="12" t="n">
        <v>2</v>
      </c>
      <c r="Y537" s="18" t="n">
        <f aca="false">IF(O537=0,0,T537*27/O537)</f>
        <v>4.05</v>
      </c>
      <c r="Z537" s="18" t="n">
        <f aca="false">IF(P537=0,0,(V537+R537)/P537)</f>
        <v>1.18636363636364</v>
      </c>
      <c r="AA537" s="18" t="n">
        <f aca="false">IF(O537=0,0,W537*27/O537)</f>
        <v>6.75</v>
      </c>
      <c r="AB537" s="18" t="n">
        <f aca="false">IF(O537=0,0,V537*27/O537)</f>
        <v>3.19090909090909</v>
      </c>
      <c r="AC537" s="18" t="n">
        <f aca="false">IF(V537=0,0,W537/V537)</f>
        <v>2.11538461538462</v>
      </c>
      <c r="AD537" s="18" t="n">
        <f aca="false">IF(P537=0,0,(13*U537+3*(V537+X537)-2*W537)/P537+INDEX(球季參數!$C$2:$C$4,MATCH($A537,球季參數!$A$2:$A$4,0)))</f>
        <v>4.16363636363636</v>
      </c>
      <c r="AE537" s="11" t="n">
        <f aca="false">IF(P537&gt;=INDEX(球季參數!$F$2:$F$4,MATCH($A537,球季參數!$A$2:$A$4,0)),1,0)</f>
        <v>0</v>
      </c>
    </row>
    <row r="538" customFormat="false" ht="15" hidden="false" customHeight="false" outlineLevel="0" collapsed="false">
      <c r="A538" s="5" t="n">
        <v>2025</v>
      </c>
      <c r="B538" s="7" t="s">
        <v>1787</v>
      </c>
      <c r="C538" s="10" t="str">
        <f aca="false">INDEX(球員主檔!$B$2:$B$749,MATCH($B538,球員主檔!$A$2:$A$749,0))</f>
        <v>Marcus Montalvo</v>
      </c>
      <c r="D538" s="7" t="s">
        <v>438</v>
      </c>
      <c r="E538" s="10" t="str">
        <f aca="false">INDEX(球隊主檔!$C$2:$C$31,MATCH($D538,球隊主檔!$A$2:$A$31,0))</f>
        <v>匹茲堡海盜</v>
      </c>
      <c r="F538" s="10" t="str">
        <f aca="false">INDEX(球隊主檔!$D$2:$D$31,MATCH($D538,球隊主檔!$A$2:$A$31,0))</f>
        <v>國聯</v>
      </c>
      <c r="G538" s="7" t="s">
        <v>507</v>
      </c>
      <c r="H538" s="11" t="n">
        <f aca="false">INT((DATE($A538,7,1)-INDEX(球員主檔!$G$2:$G$749,MATCH($B538,球員主檔!$A$2:$A$749,0)))/365.25)</f>
        <v>21</v>
      </c>
      <c r="I538" s="12" t="n">
        <v>9</v>
      </c>
      <c r="J538" s="12" t="n">
        <v>5</v>
      </c>
      <c r="K538" s="12" t="n">
        <v>1</v>
      </c>
      <c r="L538" s="12" t="n">
        <v>8</v>
      </c>
      <c r="M538" s="12" t="n">
        <v>47</v>
      </c>
      <c r="N538" s="12" t="n">
        <v>0</v>
      </c>
      <c r="O538" s="12" t="n">
        <v>139</v>
      </c>
      <c r="P538" s="16" t="n">
        <f aca="false">O538/3</f>
        <v>46.3333333333333</v>
      </c>
      <c r="Q538" s="17" t="str">
        <f aca="false">INT(O538/3)&amp;"."&amp;MOD(O538,3)</f>
        <v>46.1</v>
      </c>
      <c r="R538" s="12" t="n">
        <v>37</v>
      </c>
      <c r="S538" s="12" t="n">
        <v>22</v>
      </c>
      <c r="T538" s="12" t="n">
        <v>20</v>
      </c>
      <c r="U538" s="12" t="n">
        <v>6</v>
      </c>
      <c r="V538" s="12" t="n">
        <v>20</v>
      </c>
      <c r="W538" s="12" t="n">
        <v>50</v>
      </c>
      <c r="X538" s="12" t="n">
        <v>1</v>
      </c>
      <c r="Y538" s="18" t="n">
        <f aca="false">IF(O538=0,0,T538*27/O538)</f>
        <v>3.88489208633094</v>
      </c>
      <c r="Z538" s="18" t="n">
        <f aca="false">IF(P538=0,0,(V538+R538)/P538)</f>
        <v>1.23021582733813</v>
      </c>
      <c r="AA538" s="18" t="n">
        <f aca="false">IF(O538=0,0,W538*27/O538)</f>
        <v>9.71223021582734</v>
      </c>
      <c r="AB538" s="18" t="n">
        <f aca="false">IF(O538=0,0,V538*27/O538)</f>
        <v>3.88489208633094</v>
      </c>
      <c r="AC538" s="18" t="n">
        <f aca="false">IF(V538=0,0,W538/V538)</f>
        <v>2.5</v>
      </c>
      <c r="AD538" s="18" t="n">
        <f aca="false">IF(P538=0,0,(13*U538+3*(V538+X538)-2*W538)/P538+INDEX(球季參數!$C$2:$C$4,MATCH($A538,球季參數!$A$2:$A$4,0)))</f>
        <v>3.98489208633094</v>
      </c>
      <c r="AE538" s="11" t="n">
        <f aca="false">IF(P538&gt;=INDEX(球季參數!$F$2:$F$4,MATCH($A538,球季參數!$A$2:$A$4,0)),1,0)</f>
        <v>0</v>
      </c>
    </row>
    <row r="539" customFormat="false" ht="15" hidden="false" customHeight="false" outlineLevel="0" collapsed="false">
      <c r="A539" s="5" t="n">
        <v>2025</v>
      </c>
      <c r="B539" s="7" t="s">
        <v>1431</v>
      </c>
      <c r="C539" s="10" t="str">
        <f aca="false">INDEX(球員主檔!$B$2:$B$749,MATCH($B539,球員主檔!$A$2:$A$749,0))</f>
        <v>Zane Brightwell</v>
      </c>
      <c r="D539" s="7" t="s">
        <v>438</v>
      </c>
      <c r="E539" s="10" t="str">
        <f aca="false">INDEX(球隊主檔!$C$2:$C$31,MATCH($D539,球隊主檔!$A$2:$A$31,0))</f>
        <v>匹茲堡海盜</v>
      </c>
      <c r="F539" s="10" t="str">
        <f aca="false">INDEX(球隊主檔!$D$2:$D$31,MATCH($D539,球隊主檔!$A$2:$A$31,0))</f>
        <v>國聯</v>
      </c>
      <c r="G539" s="7" t="s">
        <v>507</v>
      </c>
      <c r="H539" s="11" t="n">
        <f aca="false">INT((DATE($A539,7,1)-INDEX(球員主檔!$G$2:$G$749,MATCH($B539,球員主檔!$A$2:$A$749,0)))/365.25)</f>
        <v>26</v>
      </c>
      <c r="I539" s="12" t="n">
        <v>7</v>
      </c>
      <c r="J539" s="12" t="n">
        <v>0</v>
      </c>
      <c r="K539" s="12" t="n">
        <v>3</v>
      </c>
      <c r="L539" s="12" t="n">
        <v>3</v>
      </c>
      <c r="M539" s="12" t="n">
        <v>55</v>
      </c>
      <c r="N539" s="12" t="n">
        <v>0</v>
      </c>
      <c r="O539" s="12" t="n">
        <v>175</v>
      </c>
      <c r="P539" s="16" t="n">
        <f aca="false">O539/3</f>
        <v>58.3333333333333</v>
      </c>
      <c r="Q539" s="17" t="str">
        <f aca="false">INT(O539/3)&amp;"."&amp;MOD(O539,3)</f>
        <v>58.1</v>
      </c>
      <c r="R539" s="12" t="n">
        <v>47</v>
      </c>
      <c r="S539" s="12" t="n">
        <v>30</v>
      </c>
      <c r="T539" s="12" t="n">
        <v>28</v>
      </c>
      <c r="U539" s="12" t="n">
        <v>8</v>
      </c>
      <c r="V539" s="12" t="n">
        <v>20</v>
      </c>
      <c r="W539" s="12" t="n">
        <v>65</v>
      </c>
      <c r="X539" s="12" t="n">
        <v>3</v>
      </c>
      <c r="Y539" s="18" t="n">
        <f aca="false">IF(O539=0,0,T539*27/O539)</f>
        <v>4.32</v>
      </c>
      <c r="Z539" s="18" t="n">
        <f aca="false">IF(P539=0,0,(V539+R539)/P539)</f>
        <v>1.14857142857143</v>
      </c>
      <c r="AA539" s="18" t="n">
        <f aca="false">IF(O539=0,0,W539*27/O539)</f>
        <v>10.0285714285714</v>
      </c>
      <c r="AB539" s="18" t="n">
        <f aca="false">IF(O539=0,0,V539*27/O539)</f>
        <v>3.08571428571429</v>
      </c>
      <c r="AC539" s="18" t="n">
        <f aca="false">IF(V539=0,0,W539/V539)</f>
        <v>3.25</v>
      </c>
      <c r="AD539" s="18" t="n">
        <f aca="false">IF(P539=0,0,(13*U539+3*(V539+X539)-2*W539)/P539+INDEX(球季參數!$C$2:$C$4,MATCH($A539,球季參數!$A$2:$A$4,0)))</f>
        <v>3.83714285714286</v>
      </c>
      <c r="AE539" s="11" t="n">
        <f aca="false">IF(P539&gt;=INDEX(球季參數!$F$2:$F$4,MATCH($A539,球季參數!$A$2:$A$4,0)),1,0)</f>
        <v>0</v>
      </c>
    </row>
    <row r="540" customFormat="false" ht="15" hidden="false" customHeight="false" outlineLevel="0" collapsed="false">
      <c r="A540" s="5" t="n">
        <v>2025</v>
      </c>
      <c r="B540" s="7" t="s">
        <v>1433</v>
      </c>
      <c r="C540" s="10" t="str">
        <f aca="false">INDEX(球員主檔!$B$2:$B$749,MATCH($B540,球員主檔!$A$2:$A$749,0))</f>
        <v>Silas Wexford</v>
      </c>
      <c r="D540" s="7" t="s">
        <v>438</v>
      </c>
      <c r="E540" s="10" t="str">
        <f aca="false">INDEX(球隊主檔!$C$2:$C$31,MATCH($D540,球隊主檔!$A$2:$A$31,0))</f>
        <v>匹茲堡海盜</v>
      </c>
      <c r="F540" s="10" t="str">
        <f aca="false">INDEX(球隊主檔!$D$2:$D$31,MATCH($D540,球隊主檔!$A$2:$A$31,0))</f>
        <v>國聯</v>
      </c>
      <c r="G540" s="7" t="s">
        <v>507</v>
      </c>
      <c r="H540" s="11" t="n">
        <f aca="false">INT((DATE($A540,7,1)-INDEX(球員主檔!$G$2:$G$749,MATCH($B540,球員主檔!$A$2:$A$749,0)))/365.25)</f>
        <v>28</v>
      </c>
      <c r="I540" s="12" t="n">
        <v>9</v>
      </c>
      <c r="J540" s="12" t="n">
        <v>0</v>
      </c>
      <c r="K540" s="12" t="n">
        <v>4</v>
      </c>
      <c r="L540" s="12" t="n">
        <v>6</v>
      </c>
      <c r="M540" s="12" t="n">
        <v>75</v>
      </c>
      <c r="N540" s="12" t="n">
        <v>0</v>
      </c>
      <c r="O540" s="12" t="n">
        <v>195</v>
      </c>
      <c r="P540" s="16" t="n">
        <f aca="false">O540/3</f>
        <v>65</v>
      </c>
      <c r="Q540" s="17" t="str">
        <f aca="false">INT(O540/3)&amp;"."&amp;MOD(O540,3)</f>
        <v>65.0</v>
      </c>
      <c r="R540" s="12" t="n">
        <v>53</v>
      </c>
      <c r="S540" s="12" t="n">
        <v>26</v>
      </c>
      <c r="T540" s="12" t="n">
        <v>23</v>
      </c>
      <c r="U540" s="12" t="n">
        <v>13</v>
      </c>
      <c r="V540" s="12" t="n">
        <v>21</v>
      </c>
      <c r="W540" s="12" t="n">
        <v>89</v>
      </c>
      <c r="X540" s="12" t="n">
        <v>3</v>
      </c>
      <c r="Y540" s="18" t="n">
        <f aca="false">IF(O540=0,0,T540*27/O540)</f>
        <v>3.18461538461538</v>
      </c>
      <c r="Z540" s="18" t="n">
        <f aca="false">IF(P540=0,0,(V540+R540)/P540)</f>
        <v>1.13846153846154</v>
      </c>
      <c r="AA540" s="18" t="n">
        <f aca="false">IF(O540=0,0,W540*27/O540)</f>
        <v>12.3230769230769</v>
      </c>
      <c r="AB540" s="18" t="n">
        <f aca="false">IF(O540=0,0,V540*27/O540)</f>
        <v>2.90769230769231</v>
      </c>
      <c r="AC540" s="18" t="n">
        <f aca="false">IF(V540=0,0,W540/V540)</f>
        <v>4.23809523809524</v>
      </c>
      <c r="AD540" s="18" t="n">
        <f aca="false">IF(P540=0,0,(13*U540+3*(V540+X540)-2*W540)/P540+INDEX(球季參數!$C$2:$C$4,MATCH($A540,球季參數!$A$2:$A$4,0)))</f>
        <v>4.06923076923077</v>
      </c>
      <c r="AE540" s="11" t="n">
        <f aca="false">IF(P540&gt;=INDEX(球季參數!$F$2:$F$4,MATCH($A540,球季參數!$A$2:$A$4,0)),1,0)</f>
        <v>0</v>
      </c>
    </row>
    <row r="541" customFormat="false" ht="15" hidden="false" customHeight="false" outlineLevel="0" collapsed="false">
      <c r="A541" s="5" t="n">
        <v>2025</v>
      </c>
      <c r="B541" s="7" t="s">
        <v>1435</v>
      </c>
      <c r="C541" s="10" t="str">
        <f aca="false">INDEX(球員主檔!$B$2:$B$749,MATCH($B541,球員主檔!$A$2:$A$749,0))</f>
        <v>Lucien Fairbanks</v>
      </c>
      <c r="D541" s="7" t="s">
        <v>438</v>
      </c>
      <c r="E541" s="10" t="str">
        <f aca="false">INDEX(球隊主檔!$C$2:$C$31,MATCH($D541,球隊主檔!$A$2:$A$31,0))</f>
        <v>匹茲堡海盜</v>
      </c>
      <c r="F541" s="10" t="str">
        <f aca="false">INDEX(球隊主檔!$D$2:$D$31,MATCH($D541,球隊主檔!$A$2:$A$31,0))</f>
        <v>國聯</v>
      </c>
      <c r="G541" s="7" t="s">
        <v>507</v>
      </c>
      <c r="H541" s="11" t="n">
        <f aca="false">INT((DATE($A541,7,1)-INDEX(球員主檔!$G$2:$G$749,MATCH($B541,球員主檔!$A$2:$A$749,0)))/365.25)</f>
        <v>27</v>
      </c>
      <c r="I541" s="12" t="n">
        <v>4</v>
      </c>
      <c r="J541" s="12" t="n">
        <v>0</v>
      </c>
      <c r="K541" s="12" t="n">
        <v>1</v>
      </c>
      <c r="L541" s="12" t="n">
        <v>3</v>
      </c>
      <c r="M541" s="12" t="n">
        <v>42</v>
      </c>
      <c r="N541" s="12" t="n">
        <v>0</v>
      </c>
      <c r="O541" s="12" t="n">
        <v>117</v>
      </c>
      <c r="P541" s="16" t="n">
        <f aca="false">O541/3</f>
        <v>39</v>
      </c>
      <c r="Q541" s="17" t="str">
        <f aca="false">INT(O541/3)&amp;"."&amp;MOD(O541,3)</f>
        <v>39.0</v>
      </c>
      <c r="R541" s="12" t="n">
        <v>31</v>
      </c>
      <c r="S541" s="12" t="n">
        <v>18</v>
      </c>
      <c r="T541" s="12" t="n">
        <v>17</v>
      </c>
      <c r="U541" s="12" t="n">
        <v>3</v>
      </c>
      <c r="V541" s="12" t="n">
        <v>15</v>
      </c>
      <c r="W541" s="12" t="n">
        <v>55</v>
      </c>
      <c r="X541" s="12" t="n">
        <v>2</v>
      </c>
      <c r="Y541" s="18" t="n">
        <f aca="false">IF(O541=0,0,T541*27/O541)</f>
        <v>3.92307692307692</v>
      </c>
      <c r="Z541" s="18" t="n">
        <f aca="false">IF(P541=0,0,(V541+R541)/P541)</f>
        <v>1.17948717948718</v>
      </c>
      <c r="AA541" s="18" t="n">
        <f aca="false">IF(O541=0,0,W541*27/O541)</f>
        <v>12.6923076923077</v>
      </c>
      <c r="AB541" s="18" t="n">
        <f aca="false">IF(O541=0,0,V541*27/O541)</f>
        <v>3.46153846153846</v>
      </c>
      <c r="AC541" s="18" t="n">
        <f aca="false">IF(V541=0,0,W541/V541)</f>
        <v>3.66666666666667</v>
      </c>
      <c r="AD541" s="18" t="n">
        <f aca="false">IF(P541=0,0,(13*U541+3*(V541+X541)-2*W541)/P541+INDEX(球季參數!$C$2:$C$4,MATCH($A541,球季參數!$A$2:$A$4,0)))</f>
        <v>2.58717948717949</v>
      </c>
      <c r="AE541" s="11" t="n">
        <f aca="false">IF(P541&gt;=INDEX(球季參數!$F$2:$F$4,MATCH($A541,球季參數!$A$2:$A$4,0)),1,0)</f>
        <v>0</v>
      </c>
    </row>
    <row r="542" customFormat="false" ht="15" hidden="false" customHeight="false" outlineLevel="0" collapsed="false">
      <c r="A542" s="5" t="n">
        <v>2025</v>
      </c>
      <c r="B542" s="7" t="s">
        <v>1457</v>
      </c>
      <c r="C542" s="10" t="str">
        <f aca="false">INDEX(球員主檔!$B$2:$B$749,MATCH($B542,球員主檔!$A$2:$A$749,0))</f>
        <v>Thiago Castellón</v>
      </c>
      <c r="D542" s="7" t="s">
        <v>442</v>
      </c>
      <c r="E542" s="10" t="str">
        <f aca="false">INDEX(球隊主檔!$C$2:$C$31,MATCH($D542,球隊主檔!$A$2:$A$31,0))</f>
        <v>聖路易紅雀</v>
      </c>
      <c r="F542" s="10" t="str">
        <f aca="false">INDEX(球隊主檔!$D$2:$D$31,MATCH($D542,球隊主檔!$A$2:$A$31,0))</f>
        <v>國聯</v>
      </c>
      <c r="G542" s="7" t="s">
        <v>496</v>
      </c>
      <c r="H542" s="11" t="n">
        <f aca="false">INT((DATE($A542,7,1)-INDEX(球員主檔!$G$2:$G$749,MATCH($B542,球員主檔!$A$2:$A$749,0)))/365.25)</f>
        <v>25</v>
      </c>
      <c r="I542" s="12" t="n">
        <v>5</v>
      </c>
      <c r="J542" s="12" t="n">
        <v>4</v>
      </c>
      <c r="K542" s="12" t="n">
        <v>0</v>
      </c>
      <c r="L542" s="12" t="n">
        <v>0</v>
      </c>
      <c r="M542" s="12" t="n">
        <v>13</v>
      </c>
      <c r="N542" s="12" t="n">
        <v>13</v>
      </c>
      <c r="O542" s="12" t="n">
        <v>221</v>
      </c>
      <c r="P542" s="16" t="n">
        <f aca="false">O542/3</f>
        <v>73.6666666666667</v>
      </c>
      <c r="Q542" s="17" t="str">
        <f aca="false">INT(O542/3)&amp;"."&amp;MOD(O542,3)</f>
        <v>73.2</v>
      </c>
      <c r="R542" s="12" t="n">
        <v>62</v>
      </c>
      <c r="S542" s="12" t="n">
        <v>43</v>
      </c>
      <c r="T542" s="12" t="n">
        <v>39</v>
      </c>
      <c r="U542" s="12" t="n">
        <v>6</v>
      </c>
      <c r="V542" s="12" t="n">
        <v>11</v>
      </c>
      <c r="W542" s="12" t="n">
        <v>106</v>
      </c>
      <c r="X542" s="12" t="n">
        <v>4</v>
      </c>
      <c r="Y542" s="18" t="n">
        <f aca="false">IF(O542=0,0,T542*27/O542)</f>
        <v>4.76470588235294</v>
      </c>
      <c r="Z542" s="18" t="n">
        <f aca="false">IF(P542=0,0,(V542+R542)/P542)</f>
        <v>0.990950226244344</v>
      </c>
      <c r="AA542" s="18" t="n">
        <f aca="false">IF(O542=0,0,W542*27/O542)</f>
        <v>12.9502262443439</v>
      </c>
      <c r="AB542" s="18" t="n">
        <f aca="false">IF(O542=0,0,V542*27/O542)</f>
        <v>1.34389140271493</v>
      </c>
      <c r="AC542" s="18" t="n">
        <f aca="false">IF(V542=0,0,W542/V542)</f>
        <v>9.63636363636364</v>
      </c>
      <c r="AD542" s="18" t="n">
        <f aca="false">IF(P542=0,0,(13*U542+3*(V542+X542)-2*W542)/P542+INDEX(球季參數!$C$2:$C$4,MATCH($A542,球季參數!$A$2:$A$4,0)))</f>
        <v>1.89185520361991</v>
      </c>
      <c r="AE542" s="11" t="n">
        <f aca="false">IF(P542&gt;=INDEX(球季參數!$F$2:$F$4,MATCH($A542,球季參數!$A$2:$A$4,0)),1,0)</f>
        <v>0</v>
      </c>
    </row>
    <row r="543" customFormat="false" ht="15" hidden="false" customHeight="false" outlineLevel="0" collapsed="false">
      <c r="A543" s="5" t="n">
        <v>2025</v>
      </c>
      <c r="B543" s="7" t="s">
        <v>1273</v>
      </c>
      <c r="C543" s="10" t="str">
        <f aca="false">INDEX(球員主檔!$B$2:$B$749,MATCH($B543,球員主檔!$A$2:$A$749,0))</f>
        <v>Mateo Haverford</v>
      </c>
      <c r="D543" s="7" t="s">
        <v>442</v>
      </c>
      <c r="E543" s="10" t="str">
        <f aca="false">INDEX(球隊主檔!$C$2:$C$31,MATCH($D543,球隊主檔!$A$2:$A$31,0))</f>
        <v>聖路易紅雀</v>
      </c>
      <c r="F543" s="10" t="str">
        <f aca="false">INDEX(球隊主檔!$D$2:$D$31,MATCH($D543,球隊主檔!$A$2:$A$31,0))</f>
        <v>國聯</v>
      </c>
      <c r="G543" s="7" t="s">
        <v>496</v>
      </c>
      <c r="H543" s="11" t="n">
        <f aca="false">INT((DATE($A543,7,1)-INDEX(球員主檔!$G$2:$G$749,MATCH($B543,球員主檔!$A$2:$A$749,0)))/365.25)</f>
        <v>35</v>
      </c>
      <c r="I543" s="12" t="n">
        <v>6</v>
      </c>
      <c r="J543" s="12" t="n">
        <v>12</v>
      </c>
      <c r="K543" s="12" t="n">
        <v>0</v>
      </c>
      <c r="L543" s="12" t="n">
        <v>0</v>
      </c>
      <c r="M543" s="12" t="n">
        <v>27</v>
      </c>
      <c r="N543" s="12" t="n">
        <v>27</v>
      </c>
      <c r="O543" s="12" t="n">
        <v>517</v>
      </c>
      <c r="P543" s="16" t="n">
        <f aca="false">O543/3</f>
        <v>172.333333333333</v>
      </c>
      <c r="Q543" s="17" t="str">
        <f aca="false">INT(O543/3)&amp;"."&amp;MOD(O543,3)</f>
        <v>172.1</v>
      </c>
      <c r="R543" s="12" t="n">
        <v>169</v>
      </c>
      <c r="S543" s="12" t="n">
        <v>120</v>
      </c>
      <c r="T543" s="12" t="n">
        <v>120</v>
      </c>
      <c r="U543" s="12" t="n">
        <v>17</v>
      </c>
      <c r="V543" s="12" t="n">
        <v>74</v>
      </c>
      <c r="W543" s="12" t="n">
        <v>107</v>
      </c>
      <c r="X543" s="12" t="n">
        <v>2</v>
      </c>
      <c r="Y543" s="18" t="n">
        <f aca="false">IF(O543=0,0,T543*27/O543)</f>
        <v>6.26692456479691</v>
      </c>
      <c r="Z543" s="18" t="n">
        <f aca="false">IF(P543=0,0,(V543+R543)/P543)</f>
        <v>1.4100580270793</v>
      </c>
      <c r="AA543" s="18" t="n">
        <f aca="false">IF(O543=0,0,W543*27/O543)</f>
        <v>5.58800773694391</v>
      </c>
      <c r="AB543" s="18" t="n">
        <f aca="false">IF(O543=0,0,V543*27/O543)</f>
        <v>3.86460348162476</v>
      </c>
      <c r="AC543" s="18" t="n">
        <f aca="false">IF(V543=0,0,W543/V543)</f>
        <v>1.44594594594595</v>
      </c>
      <c r="AD543" s="18" t="n">
        <f aca="false">IF(P543=0,0,(13*U543+3*(V543+X543)-2*W543)/P543+INDEX(球季參數!$C$2:$C$4,MATCH($A543,球季參數!$A$2:$A$4,0)))</f>
        <v>4.46363636363636</v>
      </c>
      <c r="AE543" s="11" t="n">
        <f aca="false">IF(P543&gt;=INDEX(球季參數!$F$2:$F$4,MATCH($A543,球季參數!$A$2:$A$4,0)),1,0)</f>
        <v>1</v>
      </c>
    </row>
    <row r="544" customFormat="false" ht="15" hidden="false" customHeight="false" outlineLevel="0" collapsed="false">
      <c r="A544" s="5" t="n">
        <v>2025</v>
      </c>
      <c r="B544" s="7" t="s">
        <v>1461</v>
      </c>
      <c r="C544" s="10" t="str">
        <f aca="false">INDEX(球員主檔!$B$2:$B$749,MATCH($B544,球員主檔!$A$2:$A$749,0))</f>
        <v>Ulises Garrity</v>
      </c>
      <c r="D544" s="7" t="s">
        <v>442</v>
      </c>
      <c r="E544" s="10" t="str">
        <f aca="false">INDEX(球隊主檔!$C$2:$C$31,MATCH($D544,球隊主檔!$A$2:$A$31,0))</f>
        <v>聖路易紅雀</v>
      </c>
      <c r="F544" s="10" t="str">
        <f aca="false">INDEX(球隊主檔!$D$2:$D$31,MATCH($D544,球隊主檔!$A$2:$A$31,0))</f>
        <v>國聯</v>
      </c>
      <c r="G544" s="7" t="s">
        <v>496</v>
      </c>
      <c r="H544" s="11" t="n">
        <f aca="false">INT((DATE($A544,7,1)-INDEX(球員主檔!$G$2:$G$749,MATCH($B544,球員主檔!$A$2:$A$749,0)))/365.25)</f>
        <v>34</v>
      </c>
      <c r="I544" s="12" t="n">
        <v>8</v>
      </c>
      <c r="J544" s="12" t="n">
        <v>4</v>
      </c>
      <c r="K544" s="12" t="n">
        <v>0</v>
      </c>
      <c r="L544" s="12" t="n">
        <v>0</v>
      </c>
      <c r="M544" s="12" t="n">
        <v>22</v>
      </c>
      <c r="N544" s="12" t="n">
        <v>22</v>
      </c>
      <c r="O544" s="12" t="n">
        <v>364</v>
      </c>
      <c r="P544" s="16" t="n">
        <f aca="false">O544/3</f>
        <v>121.333333333333</v>
      </c>
      <c r="Q544" s="17" t="str">
        <f aca="false">INT(O544/3)&amp;"."&amp;MOD(O544,3)</f>
        <v>121.1</v>
      </c>
      <c r="R544" s="12" t="n">
        <v>100</v>
      </c>
      <c r="S544" s="12" t="n">
        <v>62</v>
      </c>
      <c r="T544" s="12" t="n">
        <v>59</v>
      </c>
      <c r="U544" s="12" t="n">
        <v>14</v>
      </c>
      <c r="V544" s="12" t="n">
        <v>58</v>
      </c>
      <c r="W544" s="12" t="n">
        <v>124</v>
      </c>
      <c r="X544" s="12" t="n">
        <v>5</v>
      </c>
      <c r="Y544" s="18" t="n">
        <f aca="false">IF(O544=0,0,T544*27/O544)</f>
        <v>4.37637362637363</v>
      </c>
      <c r="Z544" s="18" t="n">
        <f aca="false">IF(P544=0,0,(V544+R544)/P544)</f>
        <v>1.3021978021978</v>
      </c>
      <c r="AA544" s="18" t="n">
        <f aca="false">IF(O544=0,0,W544*27/O544)</f>
        <v>9.1978021978022</v>
      </c>
      <c r="AB544" s="18" t="n">
        <f aca="false">IF(O544=0,0,V544*27/O544)</f>
        <v>4.3021978021978</v>
      </c>
      <c r="AC544" s="18" t="n">
        <f aca="false">IF(V544=0,0,W544/V544)</f>
        <v>2.13793103448276</v>
      </c>
      <c r="AD544" s="18" t="n">
        <f aca="false">IF(P544=0,0,(13*U544+3*(V544+X544)-2*W544)/P544+INDEX(球季參數!$C$2:$C$4,MATCH($A544,球季參數!$A$2:$A$4,0)))</f>
        <v>4.11373626373626</v>
      </c>
      <c r="AE544" s="11" t="n">
        <f aca="false">IF(P544&gt;=INDEX(球季參數!$F$2:$F$4,MATCH($A544,球季參數!$A$2:$A$4,0)),1,0)</f>
        <v>0</v>
      </c>
    </row>
    <row r="545" customFormat="false" ht="15" hidden="false" customHeight="false" outlineLevel="0" collapsed="false">
      <c r="A545" s="5" t="n">
        <v>2025</v>
      </c>
      <c r="B545" s="7" t="s">
        <v>1463</v>
      </c>
      <c r="C545" s="10" t="str">
        <f aca="false">INDEX(球員主檔!$B$2:$B$749,MATCH($B545,球員主檔!$A$2:$A$749,0))</f>
        <v>Dorian Rasmussen</v>
      </c>
      <c r="D545" s="7" t="s">
        <v>442</v>
      </c>
      <c r="E545" s="10" t="str">
        <f aca="false">INDEX(球隊主檔!$C$2:$C$31,MATCH($D545,球隊主檔!$A$2:$A$31,0))</f>
        <v>聖路易紅雀</v>
      </c>
      <c r="F545" s="10" t="str">
        <f aca="false">INDEX(球隊主檔!$D$2:$D$31,MATCH($D545,球隊主檔!$A$2:$A$31,0))</f>
        <v>國聯</v>
      </c>
      <c r="G545" s="7" t="s">
        <v>496</v>
      </c>
      <c r="H545" s="11" t="n">
        <f aca="false">INT((DATE($A545,7,1)-INDEX(球員主檔!$G$2:$G$749,MATCH($B545,球員主檔!$A$2:$A$749,0)))/365.25)</f>
        <v>27</v>
      </c>
      <c r="I545" s="12" t="n">
        <v>13</v>
      </c>
      <c r="J545" s="12" t="n">
        <v>7</v>
      </c>
      <c r="K545" s="12" t="n">
        <v>0</v>
      </c>
      <c r="L545" s="12" t="n">
        <v>0</v>
      </c>
      <c r="M545" s="12" t="n">
        <v>33</v>
      </c>
      <c r="N545" s="12" t="n">
        <v>33</v>
      </c>
      <c r="O545" s="12" t="n">
        <v>599</v>
      </c>
      <c r="P545" s="16" t="n">
        <f aca="false">O545/3</f>
        <v>199.666666666667</v>
      </c>
      <c r="Q545" s="17" t="str">
        <f aca="false">INT(O545/3)&amp;"."&amp;MOD(O545,3)</f>
        <v>199.2</v>
      </c>
      <c r="R545" s="12" t="n">
        <v>153</v>
      </c>
      <c r="S545" s="12" t="n">
        <v>76</v>
      </c>
      <c r="T545" s="12" t="n">
        <v>69</v>
      </c>
      <c r="U545" s="12" t="n">
        <v>23</v>
      </c>
      <c r="V545" s="12" t="n">
        <v>40</v>
      </c>
      <c r="W545" s="12" t="n">
        <v>182</v>
      </c>
      <c r="X545" s="12" t="n">
        <v>7</v>
      </c>
      <c r="Y545" s="18" t="n">
        <f aca="false">IF(O545=0,0,T545*27/O545)</f>
        <v>3.110183639399</v>
      </c>
      <c r="Z545" s="18" t="n">
        <f aca="false">IF(P545=0,0,(V545+R545)/P545)</f>
        <v>0.96661101836394</v>
      </c>
      <c r="AA545" s="18" t="n">
        <f aca="false">IF(O545=0,0,W545*27/O545)</f>
        <v>8.20367278797997</v>
      </c>
      <c r="AB545" s="18" t="n">
        <f aca="false">IF(O545=0,0,V545*27/O545)</f>
        <v>1.80300500834725</v>
      </c>
      <c r="AC545" s="18" t="n">
        <f aca="false">IF(V545=0,0,W545/V545)</f>
        <v>4.55</v>
      </c>
      <c r="AD545" s="18" t="n">
        <f aca="false">IF(P545=0,0,(13*U545+3*(V545+X545)-2*W545)/P545+INDEX(球季參數!$C$2:$C$4,MATCH($A545,球季參數!$A$2:$A$4,0)))</f>
        <v>3.48063439065109</v>
      </c>
      <c r="AE545" s="11" t="n">
        <f aca="false">IF(P545&gt;=INDEX(球季參數!$F$2:$F$4,MATCH($A545,球季參數!$A$2:$A$4,0)),1,0)</f>
        <v>1</v>
      </c>
    </row>
    <row r="546" customFormat="false" ht="15" hidden="false" customHeight="false" outlineLevel="0" collapsed="false">
      <c r="A546" s="5" t="n">
        <v>2025</v>
      </c>
      <c r="B546" s="7" t="s">
        <v>1465</v>
      </c>
      <c r="C546" s="10" t="str">
        <f aca="false">INDEX(球員主檔!$B$2:$B$749,MATCH($B546,球員主檔!$A$2:$A$749,0))</f>
        <v>Minjae Stroheim</v>
      </c>
      <c r="D546" s="7" t="s">
        <v>442</v>
      </c>
      <c r="E546" s="10" t="str">
        <f aca="false">INDEX(球隊主檔!$C$2:$C$31,MATCH($D546,球隊主檔!$A$2:$A$31,0))</f>
        <v>聖路易紅雀</v>
      </c>
      <c r="F546" s="10" t="str">
        <f aca="false">INDEX(球隊主檔!$D$2:$D$31,MATCH($D546,球隊主檔!$A$2:$A$31,0))</f>
        <v>國聯</v>
      </c>
      <c r="G546" s="7" t="s">
        <v>496</v>
      </c>
      <c r="H546" s="11" t="n">
        <f aca="false">INT((DATE($A546,7,1)-INDEX(球員主檔!$G$2:$G$749,MATCH($B546,球員主檔!$A$2:$A$749,0)))/365.25)</f>
        <v>30</v>
      </c>
      <c r="I546" s="12" t="n">
        <v>9</v>
      </c>
      <c r="J546" s="12" t="n">
        <v>4</v>
      </c>
      <c r="K546" s="12" t="n">
        <v>0</v>
      </c>
      <c r="L546" s="12" t="n">
        <v>0</v>
      </c>
      <c r="M546" s="12" t="n">
        <v>24</v>
      </c>
      <c r="N546" s="12" t="n">
        <v>24</v>
      </c>
      <c r="O546" s="12" t="n">
        <v>391</v>
      </c>
      <c r="P546" s="16" t="n">
        <f aca="false">O546/3</f>
        <v>130.333333333333</v>
      </c>
      <c r="Q546" s="17" t="str">
        <f aca="false">INT(O546/3)&amp;"."&amp;MOD(O546,3)</f>
        <v>130.1</v>
      </c>
      <c r="R546" s="12" t="n">
        <v>96</v>
      </c>
      <c r="S546" s="12" t="n">
        <v>55</v>
      </c>
      <c r="T546" s="12" t="n">
        <v>49</v>
      </c>
      <c r="U546" s="12" t="n">
        <v>14</v>
      </c>
      <c r="V546" s="12" t="n">
        <v>31</v>
      </c>
      <c r="W546" s="12" t="n">
        <v>156</v>
      </c>
      <c r="X546" s="12" t="n">
        <v>6</v>
      </c>
      <c r="Y546" s="18" t="n">
        <f aca="false">IF(O546=0,0,T546*27/O546)</f>
        <v>3.38363171355499</v>
      </c>
      <c r="Z546" s="18" t="n">
        <f aca="false">IF(P546=0,0,(V546+R546)/P546)</f>
        <v>0.974424552429667</v>
      </c>
      <c r="AA546" s="18" t="n">
        <f aca="false">IF(O546=0,0,W546*27/O546)</f>
        <v>10.772378516624</v>
      </c>
      <c r="AB546" s="18" t="n">
        <f aca="false">IF(O546=0,0,V546*27/O546)</f>
        <v>2.14066496163683</v>
      </c>
      <c r="AC546" s="18" t="n">
        <f aca="false">IF(V546=0,0,W546/V546)</f>
        <v>5.03225806451613</v>
      </c>
      <c r="AD546" s="18" t="n">
        <f aca="false">IF(P546=0,0,(13*U546+3*(V546+X546)-2*W546)/P546+INDEX(球季參數!$C$2:$C$4,MATCH($A546,球季參數!$A$2:$A$4,0)))</f>
        <v>2.9542199488491</v>
      </c>
      <c r="AE546" s="11" t="n">
        <f aca="false">IF(P546&gt;=INDEX(球季參數!$F$2:$F$4,MATCH($A546,球季參數!$A$2:$A$4,0)),1,0)</f>
        <v>0</v>
      </c>
    </row>
    <row r="547" customFormat="false" ht="15" hidden="false" customHeight="false" outlineLevel="0" collapsed="false">
      <c r="A547" s="5" t="n">
        <v>2025</v>
      </c>
      <c r="B547" s="7" t="s">
        <v>1467</v>
      </c>
      <c r="C547" s="10" t="str">
        <f aca="false">INDEX(球員主檔!$B$2:$B$749,MATCH($B547,球員主檔!$A$2:$A$749,0))</f>
        <v>Augustin Mbeki</v>
      </c>
      <c r="D547" s="7" t="s">
        <v>442</v>
      </c>
      <c r="E547" s="10" t="str">
        <f aca="false">INDEX(球隊主檔!$C$2:$C$31,MATCH($D547,球隊主檔!$A$2:$A$31,0))</f>
        <v>聖路易紅雀</v>
      </c>
      <c r="F547" s="10" t="str">
        <f aca="false">INDEX(球隊主檔!$D$2:$D$31,MATCH($D547,球隊主檔!$A$2:$A$31,0))</f>
        <v>國聯</v>
      </c>
      <c r="G547" s="7" t="s">
        <v>507</v>
      </c>
      <c r="H547" s="11" t="n">
        <f aca="false">INT((DATE($A547,7,1)-INDEX(球員主檔!$G$2:$G$749,MATCH($B547,球員主檔!$A$2:$A$749,0)))/365.25)</f>
        <v>28</v>
      </c>
      <c r="I547" s="12" t="n">
        <v>9</v>
      </c>
      <c r="J547" s="12" t="n">
        <v>1</v>
      </c>
      <c r="K547" s="12" t="n">
        <v>6</v>
      </c>
      <c r="L547" s="12" t="n">
        <v>12</v>
      </c>
      <c r="M547" s="12" t="n">
        <v>61</v>
      </c>
      <c r="N547" s="12" t="n">
        <v>0</v>
      </c>
      <c r="O547" s="12" t="n">
        <v>172</v>
      </c>
      <c r="P547" s="16" t="n">
        <f aca="false">O547/3</f>
        <v>57.3333333333333</v>
      </c>
      <c r="Q547" s="17" t="str">
        <f aca="false">INT(O547/3)&amp;"."&amp;MOD(O547,3)</f>
        <v>57.1</v>
      </c>
      <c r="R547" s="12" t="n">
        <v>50</v>
      </c>
      <c r="S547" s="12" t="n">
        <v>33</v>
      </c>
      <c r="T547" s="12" t="n">
        <v>29</v>
      </c>
      <c r="U547" s="12" t="n">
        <v>9</v>
      </c>
      <c r="V547" s="12" t="n">
        <v>22</v>
      </c>
      <c r="W547" s="12" t="n">
        <v>56</v>
      </c>
      <c r="X547" s="12" t="n">
        <v>2</v>
      </c>
      <c r="Y547" s="18" t="n">
        <f aca="false">IF(O547=0,0,T547*27/O547)</f>
        <v>4.55232558139535</v>
      </c>
      <c r="Z547" s="18" t="n">
        <f aca="false">IF(P547=0,0,(V547+R547)/P547)</f>
        <v>1.25581395348837</v>
      </c>
      <c r="AA547" s="18" t="n">
        <f aca="false">IF(O547=0,0,W547*27/O547)</f>
        <v>8.7906976744186</v>
      </c>
      <c r="AB547" s="18" t="n">
        <f aca="false">IF(O547=0,0,V547*27/O547)</f>
        <v>3.45348837209302</v>
      </c>
      <c r="AC547" s="18" t="n">
        <f aca="false">IF(V547=0,0,W547/V547)</f>
        <v>2.54545454545455</v>
      </c>
      <c r="AD547" s="18" t="n">
        <f aca="false">IF(P547=0,0,(13*U547+3*(V547+X547)-2*W547)/P547+INDEX(球季參數!$C$2:$C$4,MATCH($A547,球季參數!$A$2:$A$4,0)))</f>
        <v>4.44302325581395</v>
      </c>
      <c r="AE547" s="11" t="n">
        <f aca="false">IF(P547&gt;=INDEX(球季參數!$F$2:$F$4,MATCH($A547,球季參數!$A$2:$A$4,0)),1,0)</f>
        <v>0</v>
      </c>
    </row>
    <row r="548" customFormat="false" ht="15" hidden="false" customHeight="false" outlineLevel="0" collapsed="false">
      <c r="A548" s="5" t="n">
        <v>2025</v>
      </c>
      <c r="B548" s="7" t="s">
        <v>1469</v>
      </c>
      <c r="C548" s="10" t="str">
        <f aca="false">INDEX(球員主檔!$B$2:$B$749,MATCH($B548,球員主檔!$A$2:$A$749,0))</f>
        <v>Barrett Engelhardt</v>
      </c>
      <c r="D548" s="7" t="s">
        <v>442</v>
      </c>
      <c r="E548" s="10" t="str">
        <f aca="false">INDEX(球隊主檔!$C$2:$C$31,MATCH($D548,球隊主檔!$A$2:$A$31,0))</f>
        <v>聖路易紅雀</v>
      </c>
      <c r="F548" s="10" t="str">
        <f aca="false">INDEX(球隊主檔!$D$2:$D$31,MATCH($D548,球隊主檔!$A$2:$A$31,0))</f>
        <v>國聯</v>
      </c>
      <c r="G548" s="7" t="s">
        <v>507</v>
      </c>
      <c r="H548" s="11" t="n">
        <f aca="false">INT((DATE($A548,7,1)-INDEX(球員主檔!$G$2:$G$749,MATCH($B548,球員主檔!$A$2:$A$749,0)))/365.25)</f>
        <v>28</v>
      </c>
      <c r="I548" s="12" t="n">
        <v>0</v>
      </c>
      <c r="J548" s="12" t="n">
        <v>1</v>
      </c>
      <c r="K548" s="12" t="n">
        <v>2</v>
      </c>
      <c r="L548" s="12" t="n">
        <v>7</v>
      </c>
      <c r="M548" s="12" t="n">
        <v>42</v>
      </c>
      <c r="N548" s="12" t="n">
        <v>0</v>
      </c>
      <c r="O548" s="12" t="n">
        <v>120</v>
      </c>
      <c r="P548" s="16" t="n">
        <f aca="false">O548/3</f>
        <v>40</v>
      </c>
      <c r="Q548" s="17" t="str">
        <f aca="false">INT(O548/3)&amp;"."&amp;MOD(O548,3)</f>
        <v>40.0</v>
      </c>
      <c r="R548" s="12" t="n">
        <v>36</v>
      </c>
      <c r="S548" s="12" t="n">
        <v>23</v>
      </c>
      <c r="T548" s="12" t="n">
        <v>23</v>
      </c>
      <c r="U548" s="12" t="n">
        <v>3</v>
      </c>
      <c r="V548" s="12" t="n">
        <v>14</v>
      </c>
      <c r="W548" s="12" t="n">
        <v>53</v>
      </c>
      <c r="X548" s="12" t="n">
        <v>1</v>
      </c>
      <c r="Y548" s="18" t="n">
        <f aca="false">IF(O548=0,0,T548*27/O548)</f>
        <v>5.175</v>
      </c>
      <c r="Z548" s="18" t="n">
        <f aca="false">IF(P548=0,0,(V548+R548)/P548)</f>
        <v>1.25</v>
      </c>
      <c r="AA548" s="18" t="n">
        <f aca="false">IF(O548=0,0,W548*27/O548)</f>
        <v>11.925</v>
      </c>
      <c r="AB548" s="18" t="n">
        <f aca="false">IF(O548=0,0,V548*27/O548)</f>
        <v>3.15</v>
      </c>
      <c r="AC548" s="18" t="n">
        <f aca="false">IF(V548=0,0,W548/V548)</f>
        <v>3.78571428571429</v>
      </c>
      <c r="AD548" s="18" t="n">
        <f aca="false">IF(P548=0,0,(13*U548+3*(V548+X548)-2*W548)/P548+INDEX(球季參數!$C$2:$C$4,MATCH($A548,球季參數!$A$2:$A$4,0)))</f>
        <v>2.55</v>
      </c>
      <c r="AE548" s="11" t="n">
        <f aca="false">IF(P548&gt;=INDEX(球季參數!$F$2:$F$4,MATCH($A548,球季參數!$A$2:$A$4,0)),1,0)</f>
        <v>0</v>
      </c>
    </row>
    <row r="549" customFormat="false" ht="15" hidden="false" customHeight="false" outlineLevel="0" collapsed="false">
      <c r="A549" s="5" t="n">
        <v>2025</v>
      </c>
      <c r="B549" s="7" t="s">
        <v>1789</v>
      </c>
      <c r="C549" s="10" t="str">
        <f aca="false">INDEX(球員主檔!$B$2:$B$749,MATCH($B549,球員主檔!$A$2:$A$749,0))</f>
        <v>Yusuke Lemieux</v>
      </c>
      <c r="D549" s="7" t="s">
        <v>442</v>
      </c>
      <c r="E549" s="10" t="str">
        <f aca="false">INDEX(球隊主檔!$C$2:$C$31,MATCH($D549,球隊主檔!$A$2:$A$31,0))</f>
        <v>聖路易紅雀</v>
      </c>
      <c r="F549" s="10" t="str">
        <f aca="false">INDEX(球隊主檔!$D$2:$D$31,MATCH($D549,球隊主檔!$A$2:$A$31,0))</f>
        <v>國聯</v>
      </c>
      <c r="G549" s="7" t="s">
        <v>507</v>
      </c>
      <c r="H549" s="11" t="n">
        <f aca="false">INT((DATE($A549,7,1)-INDEX(球員主檔!$G$2:$G$749,MATCH($B549,球員主檔!$A$2:$A$749,0)))/365.25)</f>
        <v>21</v>
      </c>
      <c r="I549" s="12" t="n">
        <v>2</v>
      </c>
      <c r="J549" s="12" t="n">
        <v>3</v>
      </c>
      <c r="K549" s="12" t="n">
        <v>2</v>
      </c>
      <c r="L549" s="12" t="n">
        <v>32</v>
      </c>
      <c r="M549" s="12" t="n">
        <v>74</v>
      </c>
      <c r="N549" s="12" t="n">
        <v>0</v>
      </c>
      <c r="O549" s="12" t="n">
        <v>206</v>
      </c>
      <c r="P549" s="16" t="n">
        <f aca="false">O549/3</f>
        <v>68.6666666666667</v>
      </c>
      <c r="Q549" s="17" t="str">
        <f aca="false">INT(O549/3)&amp;"."&amp;MOD(O549,3)</f>
        <v>68.2</v>
      </c>
      <c r="R549" s="12" t="n">
        <v>63</v>
      </c>
      <c r="S549" s="12" t="n">
        <v>38</v>
      </c>
      <c r="T549" s="12" t="n">
        <v>35</v>
      </c>
      <c r="U549" s="12" t="n">
        <v>12</v>
      </c>
      <c r="V549" s="12" t="n">
        <v>35</v>
      </c>
      <c r="W549" s="12" t="n">
        <v>55</v>
      </c>
      <c r="X549" s="12" t="n">
        <v>4</v>
      </c>
      <c r="Y549" s="18" t="n">
        <f aca="false">IF(O549=0,0,T549*27/O549)</f>
        <v>4.5873786407767</v>
      </c>
      <c r="Z549" s="18" t="n">
        <f aca="false">IF(P549=0,0,(V549+R549)/P549)</f>
        <v>1.42718446601942</v>
      </c>
      <c r="AA549" s="18" t="n">
        <f aca="false">IF(O549=0,0,W549*27/O549)</f>
        <v>7.20873786407767</v>
      </c>
      <c r="AB549" s="18" t="n">
        <f aca="false">IF(O549=0,0,V549*27/O549)</f>
        <v>4.5873786407767</v>
      </c>
      <c r="AC549" s="18" t="n">
        <f aca="false">IF(V549=0,0,W549/V549)</f>
        <v>1.57142857142857</v>
      </c>
      <c r="AD549" s="18" t="n">
        <f aca="false">IF(P549=0,0,(13*U549+3*(V549+X549)-2*W549)/P549+INDEX(球季參數!$C$2:$C$4,MATCH($A549,球季參數!$A$2:$A$4,0)))</f>
        <v>5.47378640776699</v>
      </c>
      <c r="AE549" s="11" t="n">
        <f aca="false">IF(P549&gt;=INDEX(球季參數!$F$2:$F$4,MATCH($A549,球季參數!$A$2:$A$4,0)),1,0)</f>
        <v>0</v>
      </c>
    </row>
    <row r="550" customFormat="false" ht="15" hidden="false" customHeight="false" outlineLevel="0" collapsed="false">
      <c r="A550" s="5" t="n">
        <v>2025</v>
      </c>
      <c r="B550" s="7" t="s">
        <v>1473</v>
      </c>
      <c r="C550" s="10" t="str">
        <f aca="false">INDEX(球員主檔!$B$2:$B$749,MATCH($B550,球員主檔!$A$2:$A$749,0))</f>
        <v>Nolan Prendergast</v>
      </c>
      <c r="D550" s="7" t="s">
        <v>442</v>
      </c>
      <c r="E550" s="10" t="str">
        <f aca="false">INDEX(球隊主檔!$C$2:$C$31,MATCH($D550,球隊主檔!$A$2:$A$31,0))</f>
        <v>聖路易紅雀</v>
      </c>
      <c r="F550" s="10" t="str">
        <f aca="false">INDEX(球隊主檔!$D$2:$D$31,MATCH($D550,球隊主檔!$A$2:$A$31,0))</f>
        <v>國聯</v>
      </c>
      <c r="G550" s="7" t="s">
        <v>507</v>
      </c>
      <c r="H550" s="11" t="n">
        <f aca="false">INT((DATE($A550,7,1)-INDEX(球員主檔!$G$2:$G$749,MATCH($B550,球員主檔!$A$2:$A$749,0)))/365.25)</f>
        <v>26</v>
      </c>
      <c r="I550" s="12" t="n">
        <v>3</v>
      </c>
      <c r="J550" s="12" t="n">
        <v>3</v>
      </c>
      <c r="K550" s="12" t="n">
        <v>5</v>
      </c>
      <c r="L550" s="12" t="n">
        <v>33</v>
      </c>
      <c r="M550" s="12" t="n">
        <v>51</v>
      </c>
      <c r="N550" s="12" t="n">
        <v>0</v>
      </c>
      <c r="O550" s="12" t="n">
        <v>133</v>
      </c>
      <c r="P550" s="16" t="n">
        <f aca="false">O550/3</f>
        <v>44.3333333333333</v>
      </c>
      <c r="Q550" s="17" t="str">
        <f aca="false">INT(O550/3)&amp;"."&amp;MOD(O550,3)</f>
        <v>44.1</v>
      </c>
      <c r="R550" s="12" t="n">
        <v>41</v>
      </c>
      <c r="S550" s="12" t="n">
        <v>25</v>
      </c>
      <c r="T550" s="12" t="n">
        <v>23</v>
      </c>
      <c r="U550" s="12" t="n">
        <v>8</v>
      </c>
      <c r="V550" s="12" t="n">
        <v>25</v>
      </c>
      <c r="W550" s="12" t="n">
        <v>55</v>
      </c>
      <c r="X550" s="12" t="n">
        <v>1</v>
      </c>
      <c r="Y550" s="18" t="n">
        <f aca="false">IF(O550=0,0,T550*27/O550)</f>
        <v>4.66917293233083</v>
      </c>
      <c r="Z550" s="18" t="n">
        <f aca="false">IF(P550=0,0,(V550+R550)/P550)</f>
        <v>1.48872180451128</v>
      </c>
      <c r="AA550" s="18" t="n">
        <f aca="false">IF(O550=0,0,W550*27/O550)</f>
        <v>11.1654135338346</v>
      </c>
      <c r="AB550" s="18" t="n">
        <f aca="false">IF(O550=0,0,V550*27/O550)</f>
        <v>5.07518796992481</v>
      </c>
      <c r="AC550" s="18" t="n">
        <f aca="false">IF(V550=0,0,W550/V550)</f>
        <v>2.2</v>
      </c>
      <c r="AD550" s="18" t="n">
        <f aca="false">IF(P550=0,0,(13*U550+3*(V550+X550)-2*W550)/P550+INDEX(球季參數!$C$2:$C$4,MATCH($A550,球季參數!$A$2:$A$4,0)))</f>
        <v>4.72406015037594</v>
      </c>
      <c r="AE550" s="11" t="n">
        <f aca="false">IF(P550&gt;=INDEX(球季參數!$F$2:$F$4,MATCH($A550,球季參數!$A$2:$A$4,0)),1,0)</f>
        <v>0</v>
      </c>
    </row>
    <row r="551" customFormat="false" ht="15" hidden="false" customHeight="false" outlineLevel="0" collapsed="false">
      <c r="A551" s="5" t="n">
        <v>2025</v>
      </c>
      <c r="B551" s="7" t="s">
        <v>1475</v>
      </c>
      <c r="C551" s="10" t="str">
        <f aca="false">INDEX(球員主檔!$B$2:$B$749,MATCH($B551,球員主檔!$A$2:$A$749,0))</f>
        <v>Quentin Yoshinaga</v>
      </c>
      <c r="D551" s="7" t="s">
        <v>442</v>
      </c>
      <c r="E551" s="10" t="str">
        <f aca="false">INDEX(球隊主檔!$C$2:$C$31,MATCH($D551,球隊主檔!$A$2:$A$31,0))</f>
        <v>聖路易紅雀</v>
      </c>
      <c r="F551" s="10" t="str">
        <f aca="false">INDEX(球隊主檔!$D$2:$D$31,MATCH($D551,球隊主檔!$A$2:$A$31,0))</f>
        <v>國聯</v>
      </c>
      <c r="G551" s="7" t="s">
        <v>507</v>
      </c>
      <c r="H551" s="11" t="n">
        <f aca="false">INT((DATE($A551,7,1)-INDEX(球員主檔!$G$2:$G$749,MATCH($B551,球員主檔!$A$2:$A$749,0)))/365.25)</f>
        <v>33</v>
      </c>
      <c r="I551" s="12" t="n">
        <v>8</v>
      </c>
      <c r="J551" s="12" t="n">
        <v>2</v>
      </c>
      <c r="K551" s="12" t="n">
        <v>5</v>
      </c>
      <c r="L551" s="12" t="n">
        <v>31</v>
      </c>
      <c r="M551" s="12" t="n">
        <v>48</v>
      </c>
      <c r="N551" s="12" t="n">
        <v>0</v>
      </c>
      <c r="O551" s="12" t="n">
        <v>141</v>
      </c>
      <c r="P551" s="16" t="n">
        <f aca="false">O551/3</f>
        <v>47</v>
      </c>
      <c r="Q551" s="17" t="str">
        <f aca="false">INT(O551/3)&amp;"."&amp;MOD(O551,3)</f>
        <v>47.0</v>
      </c>
      <c r="R551" s="12" t="n">
        <v>39</v>
      </c>
      <c r="S551" s="12" t="n">
        <v>17</v>
      </c>
      <c r="T551" s="12" t="n">
        <v>17</v>
      </c>
      <c r="U551" s="12" t="n">
        <v>6</v>
      </c>
      <c r="V551" s="12" t="n">
        <v>18</v>
      </c>
      <c r="W551" s="12" t="n">
        <v>51</v>
      </c>
      <c r="X551" s="12" t="n">
        <v>2</v>
      </c>
      <c r="Y551" s="18" t="n">
        <f aca="false">IF(O551=0,0,T551*27/O551)</f>
        <v>3.25531914893617</v>
      </c>
      <c r="Z551" s="18" t="n">
        <f aca="false">IF(P551=0,0,(V551+R551)/P551)</f>
        <v>1.21276595744681</v>
      </c>
      <c r="AA551" s="18" t="n">
        <f aca="false">IF(O551=0,0,W551*27/O551)</f>
        <v>9.76595744680851</v>
      </c>
      <c r="AB551" s="18" t="n">
        <f aca="false">IF(O551=0,0,V551*27/O551)</f>
        <v>3.4468085106383</v>
      </c>
      <c r="AC551" s="18" t="n">
        <f aca="false">IF(V551=0,0,W551/V551)</f>
        <v>2.83333333333333</v>
      </c>
      <c r="AD551" s="18" t="n">
        <f aca="false">IF(P551=0,0,(13*U551+3*(V551+X551)-2*W551)/P551+INDEX(球季參數!$C$2:$C$4,MATCH($A551,球季參數!$A$2:$A$4,0)))</f>
        <v>3.86595744680851</v>
      </c>
      <c r="AE551" s="11" t="n">
        <f aca="false">IF(P551&gt;=INDEX(球季參數!$F$2:$F$4,MATCH($A551,球季參數!$A$2:$A$4,0)),1,0)</f>
        <v>0</v>
      </c>
    </row>
    <row r="552" customFormat="false" ht="15" hidden="false" customHeight="false" outlineLevel="0" collapsed="false">
      <c r="A552" s="5" t="n">
        <v>2025</v>
      </c>
      <c r="B552" s="7" t="s">
        <v>1497</v>
      </c>
      <c r="C552" s="10" t="str">
        <f aca="false">INDEX(球員主檔!$B$2:$B$749,MATCH($B552,球員主檔!$A$2:$A$749,0))</f>
        <v>Ulises Nakagawa</v>
      </c>
      <c r="D552" s="7" t="s">
        <v>446</v>
      </c>
      <c r="E552" s="10" t="str">
        <f aca="false">INDEX(球隊主檔!$C$2:$C$31,MATCH($D552,球隊主檔!$A$2:$A$31,0))</f>
        <v>亞利桑那響尾蛇</v>
      </c>
      <c r="F552" s="10" t="str">
        <f aca="false">INDEX(球隊主檔!$D$2:$D$31,MATCH($D552,球隊主檔!$A$2:$A$31,0))</f>
        <v>國聯</v>
      </c>
      <c r="G552" s="7" t="s">
        <v>496</v>
      </c>
      <c r="H552" s="11" t="n">
        <f aca="false">INT((DATE($A552,7,1)-INDEX(球員主檔!$G$2:$G$749,MATCH($B552,球員主檔!$A$2:$A$749,0)))/365.25)</f>
        <v>24</v>
      </c>
      <c r="I552" s="12" t="n">
        <v>11</v>
      </c>
      <c r="J552" s="12" t="n">
        <v>9</v>
      </c>
      <c r="K552" s="12" t="n">
        <v>0</v>
      </c>
      <c r="L552" s="12" t="n">
        <v>0</v>
      </c>
      <c r="M552" s="12" t="n">
        <v>31</v>
      </c>
      <c r="N552" s="12" t="n">
        <v>31</v>
      </c>
      <c r="O552" s="12" t="n">
        <v>512</v>
      </c>
      <c r="P552" s="16" t="n">
        <f aca="false">O552/3</f>
        <v>170.666666666667</v>
      </c>
      <c r="Q552" s="17" t="str">
        <f aca="false">INT(O552/3)&amp;"."&amp;MOD(O552,3)</f>
        <v>170.2</v>
      </c>
      <c r="R552" s="12" t="n">
        <v>160</v>
      </c>
      <c r="S552" s="12" t="n">
        <v>101</v>
      </c>
      <c r="T552" s="12" t="n">
        <v>93</v>
      </c>
      <c r="U552" s="12" t="n">
        <v>21</v>
      </c>
      <c r="V552" s="12" t="n">
        <v>57</v>
      </c>
      <c r="W552" s="12" t="n">
        <v>214</v>
      </c>
      <c r="X552" s="12" t="n">
        <v>5</v>
      </c>
      <c r="Y552" s="18" t="n">
        <f aca="false">IF(O552=0,0,T552*27/O552)</f>
        <v>4.904296875</v>
      </c>
      <c r="Z552" s="18" t="n">
        <f aca="false">IF(P552=0,0,(V552+R552)/P552)</f>
        <v>1.271484375</v>
      </c>
      <c r="AA552" s="18" t="n">
        <f aca="false">IF(O552=0,0,W552*27/O552)</f>
        <v>11.28515625</v>
      </c>
      <c r="AB552" s="18" t="n">
        <f aca="false">IF(O552=0,0,V552*27/O552)</f>
        <v>3.005859375</v>
      </c>
      <c r="AC552" s="18" t="n">
        <f aca="false">IF(V552=0,0,W552/V552)</f>
        <v>3.75438596491228</v>
      </c>
      <c r="AD552" s="18" t="n">
        <f aca="false">IF(P552=0,0,(13*U552+3*(V552+X552)-2*W552)/P552+INDEX(球季參數!$C$2:$C$4,MATCH($A552,球季參數!$A$2:$A$4,0)))</f>
        <v>3.281640625</v>
      </c>
      <c r="AE552" s="11" t="n">
        <f aca="false">IF(P552&gt;=INDEX(球季參數!$F$2:$F$4,MATCH($A552,球季參數!$A$2:$A$4,0)),1,0)</f>
        <v>1</v>
      </c>
    </row>
    <row r="553" customFormat="false" ht="15" hidden="false" customHeight="false" outlineLevel="0" collapsed="false">
      <c r="A553" s="5" t="n">
        <v>2025</v>
      </c>
      <c r="B553" s="7" t="s">
        <v>1499</v>
      </c>
      <c r="C553" s="10" t="str">
        <f aca="false">INDEX(球員主檔!$B$2:$B$749,MATCH($B553,球員主檔!$A$2:$A$749,0))</f>
        <v>Oakley Sorrentino</v>
      </c>
      <c r="D553" s="7" t="s">
        <v>446</v>
      </c>
      <c r="E553" s="10" t="str">
        <f aca="false">INDEX(球隊主檔!$C$2:$C$31,MATCH($D553,球隊主檔!$A$2:$A$31,0))</f>
        <v>亞利桑那響尾蛇</v>
      </c>
      <c r="F553" s="10" t="str">
        <f aca="false">INDEX(球隊主檔!$D$2:$D$31,MATCH($D553,球隊主檔!$A$2:$A$31,0))</f>
        <v>國聯</v>
      </c>
      <c r="G553" s="7" t="s">
        <v>496</v>
      </c>
      <c r="H553" s="11" t="n">
        <f aca="false">INT((DATE($A553,7,1)-INDEX(球員主檔!$G$2:$G$749,MATCH($B553,球員主檔!$A$2:$A$749,0)))/365.25)</f>
        <v>36</v>
      </c>
      <c r="I553" s="12" t="n">
        <v>3</v>
      </c>
      <c r="J553" s="12" t="n">
        <v>7</v>
      </c>
      <c r="K553" s="12" t="n">
        <v>0</v>
      </c>
      <c r="L553" s="12" t="n">
        <v>0</v>
      </c>
      <c r="M553" s="12" t="n">
        <v>17</v>
      </c>
      <c r="N553" s="12" t="n">
        <v>17</v>
      </c>
      <c r="O553" s="12" t="n">
        <v>278</v>
      </c>
      <c r="P553" s="16" t="n">
        <f aca="false">O553/3</f>
        <v>92.6666666666667</v>
      </c>
      <c r="Q553" s="17" t="str">
        <f aca="false">INT(O553/3)&amp;"."&amp;MOD(O553,3)</f>
        <v>92.2</v>
      </c>
      <c r="R553" s="12" t="n">
        <v>102</v>
      </c>
      <c r="S553" s="12" t="n">
        <v>74</v>
      </c>
      <c r="T553" s="12" t="n">
        <v>74</v>
      </c>
      <c r="U553" s="12" t="n">
        <v>11</v>
      </c>
      <c r="V553" s="12" t="n">
        <v>39</v>
      </c>
      <c r="W553" s="12" t="n">
        <v>44</v>
      </c>
      <c r="X553" s="12" t="n">
        <v>4</v>
      </c>
      <c r="Y553" s="18" t="n">
        <f aca="false">IF(O553=0,0,T553*27/O553)</f>
        <v>7.18705035971223</v>
      </c>
      <c r="Z553" s="18" t="n">
        <f aca="false">IF(P553=0,0,(V553+R553)/P553)</f>
        <v>1.52158273381295</v>
      </c>
      <c r="AA553" s="18" t="n">
        <f aca="false">IF(O553=0,0,W553*27/O553)</f>
        <v>4.27338129496403</v>
      </c>
      <c r="AB553" s="18" t="n">
        <f aca="false">IF(O553=0,0,V553*27/O553)</f>
        <v>3.78776978417266</v>
      </c>
      <c r="AC553" s="18" t="n">
        <f aca="false">IF(V553=0,0,W553/V553)</f>
        <v>1.12820512820513</v>
      </c>
      <c r="AD553" s="18" t="n">
        <f aca="false">IF(P553=0,0,(13*U553+3*(V553+X553)-2*W553)/P553+INDEX(球季參數!$C$2:$C$4,MATCH($A553,球季參數!$A$2:$A$4,0)))</f>
        <v>5.08561151079137</v>
      </c>
      <c r="AE553" s="11" t="n">
        <f aca="false">IF(P553&gt;=INDEX(球季參數!$F$2:$F$4,MATCH($A553,球季參數!$A$2:$A$4,0)),1,0)</f>
        <v>0</v>
      </c>
    </row>
    <row r="554" customFormat="false" ht="15" hidden="false" customHeight="false" outlineLevel="0" collapsed="false">
      <c r="A554" s="5" t="n">
        <v>2025</v>
      </c>
      <c r="B554" s="7" t="s">
        <v>1501</v>
      </c>
      <c r="C554" s="10" t="str">
        <f aca="false">INDEX(球員主檔!$B$2:$B$749,MATCH($B554,球員主檔!$A$2:$A$749,0))</f>
        <v>Percival Engelhardt</v>
      </c>
      <c r="D554" s="7" t="s">
        <v>446</v>
      </c>
      <c r="E554" s="10" t="str">
        <f aca="false">INDEX(球隊主檔!$C$2:$C$31,MATCH($D554,球隊主檔!$A$2:$A$31,0))</f>
        <v>亞利桑那響尾蛇</v>
      </c>
      <c r="F554" s="10" t="str">
        <f aca="false">INDEX(球隊主檔!$D$2:$D$31,MATCH($D554,球隊主檔!$A$2:$A$31,0))</f>
        <v>國聯</v>
      </c>
      <c r="G554" s="7" t="s">
        <v>496</v>
      </c>
      <c r="H554" s="11" t="n">
        <f aca="false">INT((DATE($A554,7,1)-INDEX(球員主檔!$G$2:$G$749,MATCH($B554,球員主檔!$A$2:$A$749,0)))/365.25)</f>
        <v>30</v>
      </c>
      <c r="I554" s="12" t="n">
        <v>11</v>
      </c>
      <c r="J554" s="12" t="n">
        <v>6</v>
      </c>
      <c r="K554" s="12" t="n">
        <v>0</v>
      </c>
      <c r="L554" s="12" t="n">
        <v>0</v>
      </c>
      <c r="M554" s="12" t="n">
        <v>24</v>
      </c>
      <c r="N554" s="12" t="n">
        <v>24</v>
      </c>
      <c r="O554" s="12" t="n">
        <v>349</v>
      </c>
      <c r="P554" s="16" t="n">
        <f aca="false">O554/3</f>
        <v>116.333333333333</v>
      </c>
      <c r="Q554" s="17" t="str">
        <f aca="false">INT(O554/3)&amp;"."&amp;MOD(O554,3)</f>
        <v>116.1</v>
      </c>
      <c r="R554" s="12" t="n">
        <v>93</v>
      </c>
      <c r="S554" s="12" t="n">
        <v>46</v>
      </c>
      <c r="T554" s="12" t="n">
        <v>44</v>
      </c>
      <c r="U554" s="12" t="n">
        <v>19</v>
      </c>
      <c r="V554" s="12" t="n">
        <v>39</v>
      </c>
      <c r="W554" s="12" t="n">
        <v>145</v>
      </c>
      <c r="X554" s="12" t="n">
        <v>1</v>
      </c>
      <c r="Y554" s="18" t="n">
        <f aca="false">IF(O554=0,0,T554*27/O554)</f>
        <v>3.40401146131805</v>
      </c>
      <c r="Z554" s="18" t="n">
        <f aca="false">IF(P554=0,0,(V554+R554)/P554)</f>
        <v>1.13467048710602</v>
      </c>
      <c r="AA554" s="18" t="n">
        <f aca="false">IF(O554=0,0,W554*27/O554)</f>
        <v>11.2177650429799</v>
      </c>
      <c r="AB554" s="18" t="n">
        <f aca="false">IF(O554=0,0,V554*27/O554)</f>
        <v>3.01719197707736</v>
      </c>
      <c r="AC554" s="18" t="n">
        <f aca="false">IF(V554=0,0,W554/V554)</f>
        <v>3.71794871794872</v>
      </c>
      <c r="AD554" s="18" t="n">
        <f aca="false">IF(P554=0,0,(13*U554+3*(V554+X554)-2*W554)/P554+INDEX(球季參數!$C$2:$C$4,MATCH($A554,球季參數!$A$2:$A$4,0)))</f>
        <v>3.76189111747851</v>
      </c>
      <c r="AE554" s="11" t="n">
        <f aca="false">IF(P554&gt;=INDEX(球季參數!$F$2:$F$4,MATCH($A554,球季參數!$A$2:$A$4,0)),1,0)</f>
        <v>0</v>
      </c>
    </row>
    <row r="555" customFormat="false" ht="15" hidden="false" customHeight="false" outlineLevel="0" collapsed="false">
      <c r="A555" s="5" t="n">
        <v>2025</v>
      </c>
      <c r="B555" s="7" t="s">
        <v>749</v>
      </c>
      <c r="C555" s="10" t="str">
        <f aca="false">INDEX(球員主檔!$B$2:$B$749,MATCH($B555,球員主檔!$A$2:$A$749,0))</f>
        <v>Emilio Zbornak</v>
      </c>
      <c r="D555" s="7" t="s">
        <v>446</v>
      </c>
      <c r="E555" s="10" t="str">
        <f aca="false">INDEX(球隊主檔!$C$2:$C$31,MATCH($D555,球隊主檔!$A$2:$A$31,0))</f>
        <v>亞利桑那響尾蛇</v>
      </c>
      <c r="F555" s="10" t="str">
        <f aca="false">INDEX(球隊主檔!$D$2:$D$31,MATCH($D555,球隊主檔!$A$2:$A$31,0))</f>
        <v>國聯</v>
      </c>
      <c r="G555" s="7" t="s">
        <v>496</v>
      </c>
      <c r="H555" s="11" t="n">
        <f aca="false">INT((DATE($A555,7,1)-INDEX(球員主檔!$G$2:$G$749,MATCH($B555,球員主檔!$A$2:$A$749,0)))/365.25)</f>
        <v>27</v>
      </c>
      <c r="I555" s="12" t="n">
        <v>8</v>
      </c>
      <c r="J555" s="12" t="n">
        <v>4</v>
      </c>
      <c r="K555" s="12" t="n">
        <v>0</v>
      </c>
      <c r="L555" s="12" t="n">
        <v>0</v>
      </c>
      <c r="M555" s="12" t="n">
        <v>21</v>
      </c>
      <c r="N555" s="12" t="n">
        <v>21</v>
      </c>
      <c r="O555" s="12" t="n">
        <v>321</v>
      </c>
      <c r="P555" s="16" t="n">
        <f aca="false">O555/3</f>
        <v>107</v>
      </c>
      <c r="Q555" s="17" t="str">
        <f aca="false">INT(O555/3)&amp;"."&amp;MOD(O555,3)</f>
        <v>107.0</v>
      </c>
      <c r="R555" s="12" t="n">
        <v>90</v>
      </c>
      <c r="S555" s="12" t="n">
        <v>45</v>
      </c>
      <c r="T555" s="12" t="n">
        <v>44</v>
      </c>
      <c r="U555" s="12" t="n">
        <v>17</v>
      </c>
      <c r="V555" s="12" t="n">
        <v>44</v>
      </c>
      <c r="W555" s="12" t="n">
        <v>107</v>
      </c>
      <c r="X555" s="12" t="n">
        <v>3</v>
      </c>
      <c r="Y555" s="18" t="n">
        <f aca="false">IF(O555=0,0,T555*27/O555)</f>
        <v>3.70093457943925</v>
      </c>
      <c r="Z555" s="18" t="n">
        <f aca="false">IF(P555=0,0,(V555+R555)/P555)</f>
        <v>1.25233644859813</v>
      </c>
      <c r="AA555" s="18" t="n">
        <f aca="false">IF(O555=0,0,W555*27/O555)</f>
        <v>9</v>
      </c>
      <c r="AB555" s="18" t="n">
        <f aca="false">IF(O555=0,0,V555*27/O555)</f>
        <v>3.70093457943925</v>
      </c>
      <c r="AC555" s="18" t="n">
        <f aca="false">IF(V555=0,0,W555/V555)</f>
        <v>2.43181818181818</v>
      </c>
      <c r="AD555" s="18" t="n">
        <f aca="false">IF(P555=0,0,(13*U555+3*(V555+X555)-2*W555)/P555+INDEX(球季參數!$C$2:$C$4,MATCH($A555,球季參數!$A$2:$A$4,0)))</f>
        <v>4.48317757009346</v>
      </c>
      <c r="AE555" s="11" t="n">
        <f aca="false">IF(P555&gt;=INDEX(球季參數!$F$2:$F$4,MATCH($A555,球季參數!$A$2:$A$4,0)),1,0)</f>
        <v>0</v>
      </c>
    </row>
    <row r="556" customFormat="false" ht="15" hidden="false" customHeight="false" outlineLevel="0" collapsed="false">
      <c r="A556" s="5" t="n">
        <v>2025</v>
      </c>
      <c r="B556" s="7" t="s">
        <v>1505</v>
      </c>
      <c r="C556" s="10" t="str">
        <f aca="false">INDEX(球員主檔!$B$2:$B$749,MATCH($B556,球員主檔!$A$2:$A$749,0))</f>
        <v>Griffin Ashworth</v>
      </c>
      <c r="D556" s="7" t="s">
        <v>446</v>
      </c>
      <c r="E556" s="10" t="str">
        <f aca="false">INDEX(球隊主檔!$C$2:$C$31,MATCH($D556,球隊主檔!$A$2:$A$31,0))</f>
        <v>亞利桑那響尾蛇</v>
      </c>
      <c r="F556" s="10" t="str">
        <f aca="false">INDEX(球隊主檔!$D$2:$D$31,MATCH($D556,球隊主檔!$A$2:$A$31,0))</f>
        <v>國聯</v>
      </c>
      <c r="G556" s="7" t="s">
        <v>496</v>
      </c>
      <c r="H556" s="11" t="n">
        <f aca="false">INT((DATE($A556,7,1)-INDEX(球員主檔!$G$2:$G$749,MATCH($B556,球員主檔!$A$2:$A$749,0)))/365.25)</f>
        <v>29</v>
      </c>
      <c r="I556" s="12" t="n">
        <v>11</v>
      </c>
      <c r="J556" s="12" t="n">
        <v>6</v>
      </c>
      <c r="K556" s="12" t="n">
        <v>0</v>
      </c>
      <c r="L556" s="12" t="n">
        <v>0</v>
      </c>
      <c r="M556" s="12" t="n">
        <v>28</v>
      </c>
      <c r="N556" s="12" t="n">
        <v>28</v>
      </c>
      <c r="O556" s="12" t="n">
        <v>467</v>
      </c>
      <c r="P556" s="16" t="n">
        <f aca="false">O556/3</f>
        <v>155.666666666667</v>
      </c>
      <c r="Q556" s="17" t="str">
        <f aca="false">INT(O556/3)&amp;"."&amp;MOD(O556,3)</f>
        <v>155.2</v>
      </c>
      <c r="R556" s="12" t="n">
        <v>119</v>
      </c>
      <c r="S556" s="12" t="n">
        <v>58</v>
      </c>
      <c r="T556" s="12" t="n">
        <v>58</v>
      </c>
      <c r="U556" s="12" t="n">
        <v>11</v>
      </c>
      <c r="V556" s="12" t="n">
        <v>32</v>
      </c>
      <c r="W556" s="12" t="n">
        <v>218</v>
      </c>
      <c r="X556" s="12" t="n">
        <v>2</v>
      </c>
      <c r="Y556" s="18" t="n">
        <f aca="false">IF(O556=0,0,T556*27/O556)</f>
        <v>3.35331905781585</v>
      </c>
      <c r="Z556" s="18" t="n">
        <f aca="false">IF(P556=0,0,(V556+R556)/P556)</f>
        <v>0.970021413276231</v>
      </c>
      <c r="AA556" s="18" t="n">
        <f aca="false">IF(O556=0,0,W556*27/O556)</f>
        <v>12.6038543897216</v>
      </c>
      <c r="AB556" s="18" t="n">
        <f aca="false">IF(O556=0,0,V556*27/O556)</f>
        <v>1.85010706638116</v>
      </c>
      <c r="AC556" s="18" t="n">
        <f aca="false">IF(V556=0,0,W556/V556)</f>
        <v>6.8125</v>
      </c>
      <c r="AD556" s="18" t="n">
        <f aca="false">IF(P556=0,0,(13*U556+3*(V556+X556)-2*W556)/P556+INDEX(球季參數!$C$2:$C$4,MATCH($A556,球季參數!$A$2:$A$4,0)))</f>
        <v>1.87301927194861</v>
      </c>
      <c r="AE556" s="11" t="n">
        <f aca="false">IF(P556&gt;=INDEX(球季參數!$F$2:$F$4,MATCH($A556,球季參數!$A$2:$A$4,0)),1,0)</f>
        <v>0</v>
      </c>
    </row>
    <row r="557" customFormat="false" ht="15" hidden="false" customHeight="false" outlineLevel="0" collapsed="false">
      <c r="A557" s="5" t="n">
        <v>2025</v>
      </c>
      <c r="B557" s="7" t="s">
        <v>1507</v>
      </c>
      <c r="C557" s="10" t="str">
        <f aca="false">INDEX(球員主檔!$B$2:$B$749,MATCH($B557,球員主檔!$A$2:$A$749,0))</f>
        <v>Matthias Dubois</v>
      </c>
      <c r="D557" s="7" t="s">
        <v>446</v>
      </c>
      <c r="E557" s="10" t="str">
        <f aca="false">INDEX(球隊主檔!$C$2:$C$31,MATCH($D557,球隊主檔!$A$2:$A$31,0))</f>
        <v>亞利桑那響尾蛇</v>
      </c>
      <c r="F557" s="10" t="str">
        <f aca="false">INDEX(球隊主檔!$D$2:$D$31,MATCH($D557,球隊主檔!$A$2:$A$31,0))</f>
        <v>國聯</v>
      </c>
      <c r="G557" s="7" t="s">
        <v>507</v>
      </c>
      <c r="H557" s="11" t="n">
        <f aca="false">INT((DATE($A557,7,1)-INDEX(球員主檔!$G$2:$G$749,MATCH($B557,球員主檔!$A$2:$A$749,0)))/365.25)</f>
        <v>29</v>
      </c>
      <c r="I557" s="12" t="n">
        <v>8</v>
      </c>
      <c r="J557" s="12" t="n">
        <v>0</v>
      </c>
      <c r="K557" s="12" t="n">
        <v>34</v>
      </c>
      <c r="L557" s="12" t="n">
        <v>0</v>
      </c>
      <c r="M557" s="12" t="n">
        <v>59</v>
      </c>
      <c r="N557" s="12" t="n">
        <v>0</v>
      </c>
      <c r="O557" s="12" t="n">
        <v>176</v>
      </c>
      <c r="P557" s="16" t="n">
        <f aca="false">O557/3</f>
        <v>58.6666666666667</v>
      </c>
      <c r="Q557" s="17" t="str">
        <f aca="false">INT(O557/3)&amp;"."&amp;MOD(O557,3)</f>
        <v>58.2</v>
      </c>
      <c r="R557" s="12" t="n">
        <v>42</v>
      </c>
      <c r="S557" s="12" t="n">
        <v>14</v>
      </c>
      <c r="T557" s="12" t="n">
        <v>14</v>
      </c>
      <c r="U557" s="12" t="n">
        <v>9</v>
      </c>
      <c r="V557" s="12" t="n">
        <v>25</v>
      </c>
      <c r="W557" s="12" t="n">
        <v>74</v>
      </c>
      <c r="X557" s="12" t="n">
        <v>3</v>
      </c>
      <c r="Y557" s="18" t="n">
        <f aca="false">IF(O557=0,0,T557*27/O557)</f>
        <v>2.14772727272727</v>
      </c>
      <c r="Z557" s="18" t="n">
        <f aca="false">IF(P557=0,0,(V557+R557)/P557)</f>
        <v>1.14204545454545</v>
      </c>
      <c r="AA557" s="18" t="n">
        <f aca="false">IF(O557=0,0,W557*27/O557)</f>
        <v>11.3522727272727</v>
      </c>
      <c r="AB557" s="18" t="n">
        <f aca="false">IF(O557=0,0,V557*27/O557)</f>
        <v>3.83522727272727</v>
      </c>
      <c r="AC557" s="18" t="n">
        <f aca="false">IF(V557=0,0,W557/V557)</f>
        <v>2.96</v>
      </c>
      <c r="AD557" s="18" t="n">
        <f aca="false">IF(P557=0,0,(13*U557+3*(V557+X557)-2*W557)/P557+INDEX(球季參數!$C$2:$C$4,MATCH($A557,球季參數!$A$2:$A$4,0)))</f>
        <v>4.00340909090909</v>
      </c>
      <c r="AE557" s="11" t="n">
        <f aca="false">IF(P557&gt;=INDEX(球季參數!$F$2:$F$4,MATCH($A557,球季參數!$A$2:$A$4,0)),1,0)</f>
        <v>0</v>
      </c>
    </row>
    <row r="558" customFormat="false" ht="15" hidden="false" customHeight="false" outlineLevel="0" collapsed="false">
      <c r="A558" s="5" t="n">
        <v>2025</v>
      </c>
      <c r="B558" s="7" t="s">
        <v>1509</v>
      </c>
      <c r="C558" s="10" t="str">
        <f aca="false">INDEX(球員主檔!$B$2:$B$749,MATCH($B558,球員主檔!$A$2:$A$749,0))</f>
        <v>Vicente Marchetti</v>
      </c>
      <c r="D558" s="7" t="s">
        <v>446</v>
      </c>
      <c r="E558" s="10" t="str">
        <f aca="false">INDEX(球隊主檔!$C$2:$C$31,MATCH($D558,球隊主檔!$A$2:$A$31,0))</f>
        <v>亞利桑那響尾蛇</v>
      </c>
      <c r="F558" s="10" t="str">
        <f aca="false">INDEX(球隊主檔!$D$2:$D$31,MATCH($D558,球隊主檔!$A$2:$A$31,0))</f>
        <v>國聯</v>
      </c>
      <c r="G558" s="7" t="s">
        <v>507</v>
      </c>
      <c r="H558" s="11" t="n">
        <f aca="false">INT((DATE($A558,7,1)-INDEX(球員主檔!$G$2:$G$749,MATCH($B558,球員主檔!$A$2:$A$749,0)))/365.25)</f>
        <v>29</v>
      </c>
      <c r="I558" s="12" t="n">
        <v>7</v>
      </c>
      <c r="J558" s="12" t="n">
        <v>0</v>
      </c>
      <c r="K558" s="12" t="n">
        <v>6</v>
      </c>
      <c r="L558" s="12" t="n">
        <v>33</v>
      </c>
      <c r="M558" s="12" t="n">
        <v>67</v>
      </c>
      <c r="N558" s="12" t="n">
        <v>0</v>
      </c>
      <c r="O558" s="12" t="n">
        <v>201</v>
      </c>
      <c r="P558" s="16" t="n">
        <f aca="false">O558/3</f>
        <v>67</v>
      </c>
      <c r="Q558" s="17" t="str">
        <f aca="false">INT(O558/3)&amp;"."&amp;MOD(O558,3)</f>
        <v>67.0</v>
      </c>
      <c r="R558" s="12" t="n">
        <v>64</v>
      </c>
      <c r="S558" s="12" t="n">
        <v>43</v>
      </c>
      <c r="T558" s="12" t="n">
        <v>39</v>
      </c>
      <c r="U558" s="12" t="n">
        <v>8</v>
      </c>
      <c r="V558" s="12" t="n">
        <v>11</v>
      </c>
      <c r="W558" s="12" t="n">
        <v>69</v>
      </c>
      <c r="X558" s="12" t="n">
        <v>2</v>
      </c>
      <c r="Y558" s="18" t="n">
        <f aca="false">IF(O558=0,0,T558*27/O558)</f>
        <v>5.23880597014925</v>
      </c>
      <c r="Z558" s="18" t="n">
        <f aca="false">IF(P558=0,0,(V558+R558)/P558)</f>
        <v>1.11940298507463</v>
      </c>
      <c r="AA558" s="18" t="n">
        <f aca="false">IF(O558=0,0,W558*27/O558)</f>
        <v>9.26865671641791</v>
      </c>
      <c r="AB558" s="18" t="n">
        <f aca="false">IF(O558=0,0,V558*27/O558)</f>
        <v>1.47761194029851</v>
      </c>
      <c r="AC558" s="18" t="n">
        <f aca="false">IF(V558=0,0,W558/V558)</f>
        <v>6.27272727272727</v>
      </c>
      <c r="AD558" s="18" t="n">
        <f aca="false">IF(P558=0,0,(13*U558+3*(V558+X558)-2*W558)/P558+INDEX(球季參數!$C$2:$C$4,MATCH($A558,球季參數!$A$2:$A$4,0)))</f>
        <v>3.17462686567164</v>
      </c>
      <c r="AE558" s="11" t="n">
        <f aca="false">IF(P558&gt;=INDEX(球季參數!$F$2:$F$4,MATCH($A558,球季參數!$A$2:$A$4,0)),1,0)</f>
        <v>0</v>
      </c>
    </row>
    <row r="559" customFormat="false" ht="15" hidden="false" customHeight="false" outlineLevel="0" collapsed="false">
      <c r="A559" s="5" t="n">
        <v>2025</v>
      </c>
      <c r="B559" s="7" t="s">
        <v>1511</v>
      </c>
      <c r="C559" s="10" t="str">
        <f aca="false">INDEX(球員主檔!$B$2:$B$749,MATCH($B559,球員主檔!$A$2:$A$749,0))</f>
        <v>Joaquín Vasquez</v>
      </c>
      <c r="D559" s="7" t="s">
        <v>446</v>
      </c>
      <c r="E559" s="10" t="str">
        <f aca="false">INDEX(球隊主檔!$C$2:$C$31,MATCH($D559,球隊主檔!$A$2:$A$31,0))</f>
        <v>亞利桑那響尾蛇</v>
      </c>
      <c r="F559" s="10" t="str">
        <f aca="false">INDEX(球隊主檔!$D$2:$D$31,MATCH($D559,球隊主檔!$A$2:$A$31,0))</f>
        <v>國聯</v>
      </c>
      <c r="G559" s="7" t="s">
        <v>507</v>
      </c>
      <c r="H559" s="11" t="n">
        <f aca="false">INT((DATE($A559,7,1)-INDEX(球員主檔!$G$2:$G$749,MATCH($B559,球員主檔!$A$2:$A$749,0)))/365.25)</f>
        <v>31</v>
      </c>
      <c r="I559" s="12" t="n">
        <v>3</v>
      </c>
      <c r="J559" s="12" t="n">
        <v>3</v>
      </c>
      <c r="K559" s="12" t="n">
        <v>3</v>
      </c>
      <c r="L559" s="12" t="n">
        <v>3</v>
      </c>
      <c r="M559" s="12" t="n">
        <v>72</v>
      </c>
      <c r="N559" s="12" t="n">
        <v>0</v>
      </c>
      <c r="O559" s="12" t="n">
        <v>194</v>
      </c>
      <c r="P559" s="16" t="n">
        <f aca="false">O559/3</f>
        <v>64.6666666666667</v>
      </c>
      <c r="Q559" s="17" t="str">
        <f aca="false">INT(O559/3)&amp;"."&amp;MOD(O559,3)</f>
        <v>64.2</v>
      </c>
      <c r="R559" s="12" t="n">
        <v>49</v>
      </c>
      <c r="S559" s="12" t="n">
        <v>21</v>
      </c>
      <c r="T559" s="12" t="n">
        <v>20</v>
      </c>
      <c r="U559" s="12" t="n">
        <v>10</v>
      </c>
      <c r="V559" s="12" t="n">
        <v>18</v>
      </c>
      <c r="W559" s="12" t="n">
        <v>51</v>
      </c>
      <c r="X559" s="12" t="n">
        <v>1</v>
      </c>
      <c r="Y559" s="18" t="n">
        <f aca="false">IF(O559=0,0,T559*27/O559)</f>
        <v>2.78350515463918</v>
      </c>
      <c r="Z559" s="18" t="n">
        <f aca="false">IF(P559=0,0,(V559+R559)/P559)</f>
        <v>1.0360824742268</v>
      </c>
      <c r="AA559" s="18" t="n">
        <f aca="false">IF(O559=0,0,W559*27/O559)</f>
        <v>7.0979381443299</v>
      </c>
      <c r="AB559" s="18" t="n">
        <f aca="false">IF(O559=0,0,V559*27/O559)</f>
        <v>2.50515463917526</v>
      </c>
      <c r="AC559" s="18" t="n">
        <f aca="false">IF(V559=0,0,W559/V559)</f>
        <v>2.83333333333333</v>
      </c>
      <c r="AD559" s="18" t="n">
        <f aca="false">IF(P559=0,0,(13*U559+3*(V559+X559)-2*W559)/P559+INDEX(球季參數!$C$2:$C$4,MATCH($A559,球季參數!$A$2:$A$4,0)))</f>
        <v>4.41443298969072</v>
      </c>
      <c r="AE559" s="11" t="n">
        <f aca="false">IF(P559&gt;=INDEX(球季參數!$F$2:$F$4,MATCH($A559,球季參數!$A$2:$A$4,0)),1,0)</f>
        <v>0</v>
      </c>
    </row>
    <row r="560" customFormat="false" ht="15" hidden="false" customHeight="false" outlineLevel="0" collapsed="false">
      <c r="A560" s="5" t="n">
        <v>2025</v>
      </c>
      <c r="B560" s="7" t="s">
        <v>1513</v>
      </c>
      <c r="C560" s="10" t="str">
        <f aca="false">INDEX(球員主檔!$B$2:$B$749,MATCH($B560,球員主檔!$A$2:$A$749,0))</f>
        <v>Zane Marchetti</v>
      </c>
      <c r="D560" s="7" t="s">
        <v>446</v>
      </c>
      <c r="E560" s="10" t="str">
        <f aca="false">INDEX(球隊主檔!$C$2:$C$31,MATCH($D560,球隊主檔!$A$2:$A$31,0))</f>
        <v>亞利桑那響尾蛇</v>
      </c>
      <c r="F560" s="10" t="str">
        <f aca="false">INDEX(球隊主檔!$D$2:$D$31,MATCH($D560,球隊主檔!$A$2:$A$31,0))</f>
        <v>國聯</v>
      </c>
      <c r="G560" s="7" t="s">
        <v>507</v>
      </c>
      <c r="H560" s="11" t="n">
        <f aca="false">INT((DATE($A560,7,1)-INDEX(球員主檔!$G$2:$G$749,MATCH($B560,球員主檔!$A$2:$A$749,0)))/365.25)</f>
        <v>29</v>
      </c>
      <c r="I560" s="12" t="n">
        <v>0</v>
      </c>
      <c r="J560" s="12" t="n">
        <v>1</v>
      </c>
      <c r="K560" s="12" t="n">
        <v>0</v>
      </c>
      <c r="L560" s="12" t="n">
        <v>15</v>
      </c>
      <c r="M560" s="12" t="n">
        <v>53</v>
      </c>
      <c r="N560" s="12" t="n">
        <v>0</v>
      </c>
      <c r="O560" s="12" t="n">
        <v>154</v>
      </c>
      <c r="P560" s="16" t="n">
        <f aca="false">O560/3</f>
        <v>51.3333333333333</v>
      </c>
      <c r="Q560" s="17" t="str">
        <f aca="false">INT(O560/3)&amp;"."&amp;MOD(O560,3)</f>
        <v>51.1</v>
      </c>
      <c r="R560" s="12" t="n">
        <v>39</v>
      </c>
      <c r="S560" s="12" t="n">
        <v>14</v>
      </c>
      <c r="T560" s="12" t="n">
        <v>14</v>
      </c>
      <c r="U560" s="12" t="n">
        <v>9</v>
      </c>
      <c r="V560" s="12" t="n">
        <v>22</v>
      </c>
      <c r="W560" s="12" t="n">
        <v>46</v>
      </c>
      <c r="X560" s="12" t="n">
        <v>2</v>
      </c>
      <c r="Y560" s="18" t="n">
        <f aca="false">IF(O560=0,0,T560*27/O560)</f>
        <v>2.45454545454545</v>
      </c>
      <c r="Z560" s="18" t="n">
        <f aca="false">IF(P560=0,0,(V560+R560)/P560)</f>
        <v>1.18831168831169</v>
      </c>
      <c r="AA560" s="18" t="n">
        <f aca="false">IF(O560=0,0,W560*27/O560)</f>
        <v>8.06493506493507</v>
      </c>
      <c r="AB560" s="18" t="n">
        <f aca="false">IF(O560=0,0,V560*27/O560)</f>
        <v>3.85714285714286</v>
      </c>
      <c r="AC560" s="18" t="n">
        <f aca="false">IF(V560=0,0,W560/V560)</f>
        <v>2.09090909090909</v>
      </c>
      <c r="AD560" s="18" t="n">
        <f aca="false">IF(P560=0,0,(13*U560+3*(V560+X560)-2*W560)/P560+INDEX(球季參數!$C$2:$C$4,MATCH($A560,球季參數!$A$2:$A$4,0)))</f>
        <v>4.98961038961039</v>
      </c>
      <c r="AE560" s="11" t="n">
        <f aca="false">IF(P560&gt;=INDEX(球季參數!$F$2:$F$4,MATCH($A560,球季參數!$A$2:$A$4,0)),1,0)</f>
        <v>0</v>
      </c>
    </row>
    <row r="561" customFormat="false" ht="15" hidden="false" customHeight="false" outlineLevel="0" collapsed="false">
      <c r="A561" s="5" t="n">
        <v>2025</v>
      </c>
      <c r="B561" s="7" t="s">
        <v>1515</v>
      </c>
      <c r="C561" s="10" t="str">
        <f aca="false">INDEX(球員主檔!$B$2:$B$749,MATCH($B561,球員主檔!$A$2:$A$749,0))</f>
        <v>Lorenzo Castellón</v>
      </c>
      <c r="D561" s="7" t="s">
        <v>446</v>
      </c>
      <c r="E561" s="10" t="str">
        <f aca="false">INDEX(球隊主檔!$C$2:$C$31,MATCH($D561,球隊主檔!$A$2:$A$31,0))</f>
        <v>亞利桑那響尾蛇</v>
      </c>
      <c r="F561" s="10" t="str">
        <f aca="false">INDEX(球隊主檔!$D$2:$D$31,MATCH($D561,球隊主檔!$A$2:$A$31,0))</f>
        <v>國聯</v>
      </c>
      <c r="G561" s="7" t="s">
        <v>507</v>
      </c>
      <c r="H561" s="11" t="n">
        <f aca="false">INT((DATE($A561,7,1)-INDEX(球員主檔!$G$2:$G$749,MATCH($B561,球員主檔!$A$2:$A$749,0)))/365.25)</f>
        <v>29</v>
      </c>
      <c r="I561" s="12" t="n">
        <v>7</v>
      </c>
      <c r="J561" s="12" t="n">
        <v>1</v>
      </c>
      <c r="K561" s="12" t="n">
        <v>2</v>
      </c>
      <c r="L561" s="12" t="n">
        <v>15</v>
      </c>
      <c r="M561" s="12" t="n">
        <v>52</v>
      </c>
      <c r="N561" s="12" t="n">
        <v>0</v>
      </c>
      <c r="O561" s="12" t="n">
        <v>153</v>
      </c>
      <c r="P561" s="16" t="n">
        <f aca="false">O561/3</f>
        <v>51</v>
      </c>
      <c r="Q561" s="17" t="str">
        <f aca="false">INT(O561/3)&amp;"."&amp;MOD(O561,3)</f>
        <v>51.0</v>
      </c>
      <c r="R561" s="12" t="n">
        <v>46</v>
      </c>
      <c r="S561" s="12" t="n">
        <v>24</v>
      </c>
      <c r="T561" s="12" t="n">
        <v>23</v>
      </c>
      <c r="U561" s="12" t="n">
        <v>8</v>
      </c>
      <c r="V561" s="12" t="n">
        <v>26</v>
      </c>
      <c r="W561" s="12" t="n">
        <v>47</v>
      </c>
      <c r="X561" s="12" t="n">
        <v>3</v>
      </c>
      <c r="Y561" s="18" t="n">
        <f aca="false">IF(O561=0,0,T561*27/O561)</f>
        <v>4.05882352941176</v>
      </c>
      <c r="Z561" s="18" t="n">
        <f aca="false">IF(P561=0,0,(V561+R561)/P561)</f>
        <v>1.41176470588235</v>
      </c>
      <c r="AA561" s="18" t="n">
        <f aca="false">IF(O561=0,0,W561*27/O561)</f>
        <v>8.29411764705882</v>
      </c>
      <c r="AB561" s="18" t="n">
        <f aca="false">IF(O561=0,0,V561*27/O561)</f>
        <v>4.58823529411765</v>
      </c>
      <c r="AC561" s="18" t="n">
        <f aca="false">IF(V561=0,0,W561/V561)</f>
        <v>1.80769230769231</v>
      </c>
      <c r="AD561" s="18" t="n">
        <f aca="false">IF(P561=0,0,(13*U561+3*(V561+X561)-2*W561)/P561+INDEX(球季參數!$C$2:$C$4,MATCH($A561,球季參數!$A$2:$A$4,0)))</f>
        <v>5.00196078431373</v>
      </c>
      <c r="AE561" s="11" t="n">
        <f aca="false">IF(P561&gt;=INDEX(球季參數!$F$2:$F$4,MATCH($A561,球季參數!$A$2:$A$4,0)),1,0)</f>
        <v>0</v>
      </c>
    </row>
    <row r="562" customFormat="false" ht="15" hidden="false" customHeight="false" outlineLevel="0" collapsed="false">
      <c r="A562" s="5" t="n">
        <v>2025</v>
      </c>
      <c r="B562" s="7" t="s">
        <v>1537</v>
      </c>
      <c r="C562" s="10" t="str">
        <f aca="false">INDEX(球員主檔!$B$2:$B$749,MATCH($B562,球員主檔!$A$2:$A$749,0))</f>
        <v>Seonwoo Castellón</v>
      </c>
      <c r="D562" s="7" t="s">
        <v>451</v>
      </c>
      <c r="E562" s="10" t="str">
        <f aca="false">INDEX(球隊主檔!$C$2:$C$31,MATCH($D562,球隊主檔!$A$2:$A$31,0))</f>
        <v>科羅拉多落磯</v>
      </c>
      <c r="F562" s="10" t="str">
        <f aca="false">INDEX(球隊主檔!$D$2:$D$31,MATCH($D562,球隊主檔!$A$2:$A$31,0))</f>
        <v>國聯</v>
      </c>
      <c r="G562" s="7" t="s">
        <v>496</v>
      </c>
      <c r="H562" s="11" t="n">
        <f aca="false">INT((DATE($A562,7,1)-INDEX(球員主檔!$G$2:$G$749,MATCH($B562,球員主檔!$A$2:$A$749,0)))/365.25)</f>
        <v>27</v>
      </c>
      <c r="I562" s="12" t="n">
        <v>9</v>
      </c>
      <c r="J562" s="12" t="n">
        <v>7</v>
      </c>
      <c r="K562" s="12" t="n">
        <v>0</v>
      </c>
      <c r="L562" s="12" t="n">
        <v>0</v>
      </c>
      <c r="M562" s="12" t="n">
        <v>29</v>
      </c>
      <c r="N562" s="12" t="n">
        <v>29</v>
      </c>
      <c r="O562" s="12" t="n">
        <v>453</v>
      </c>
      <c r="P562" s="16" t="n">
        <f aca="false">O562/3</f>
        <v>151</v>
      </c>
      <c r="Q562" s="17" t="str">
        <f aca="false">INT(O562/3)&amp;"."&amp;MOD(O562,3)</f>
        <v>151.0</v>
      </c>
      <c r="R562" s="12" t="n">
        <v>134</v>
      </c>
      <c r="S562" s="12" t="n">
        <v>96</v>
      </c>
      <c r="T562" s="12" t="n">
        <v>85</v>
      </c>
      <c r="U562" s="12" t="n">
        <v>14</v>
      </c>
      <c r="V562" s="12" t="n">
        <v>51</v>
      </c>
      <c r="W562" s="12" t="n">
        <v>109</v>
      </c>
      <c r="X562" s="12" t="n">
        <v>7</v>
      </c>
      <c r="Y562" s="18" t="n">
        <f aca="false">IF(O562=0,0,T562*27/O562)</f>
        <v>5.06622516556291</v>
      </c>
      <c r="Z562" s="18" t="n">
        <f aca="false">IF(P562=0,0,(V562+R562)/P562)</f>
        <v>1.22516556291391</v>
      </c>
      <c r="AA562" s="18" t="n">
        <f aca="false">IF(O562=0,0,W562*27/O562)</f>
        <v>6.49668874172185</v>
      </c>
      <c r="AB562" s="18" t="n">
        <f aca="false">IF(O562=0,0,V562*27/O562)</f>
        <v>3.03973509933775</v>
      </c>
      <c r="AC562" s="18" t="n">
        <f aca="false">IF(V562=0,0,W562/V562)</f>
        <v>2.13725490196078</v>
      </c>
      <c r="AD562" s="18" t="n">
        <f aca="false">IF(P562=0,0,(13*U562+3*(V562+X562)-2*W562)/P562+INDEX(球季參數!$C$2:$C$4,MATCH($A562,球季參數!$A$2:$A$4,0)))</f>
        <v>4.01390728476821</v>
      </c>
      <c r="AE562" s="11" t="n">
        <f aca="false">IF(P562&gt;=INDEX(球季參數!$F$2:$F$4,MATCH($A562,球季參數!$A$2:$A$4,0)),1,0)</f>
        <v>0</v>
      </c>
    </row>
    <row r="563" customFormat="false" ht="15" hidden="false" customHeight="false" outlineLevel="0" collapsed="false">
      <c r="A563" s="5" t="n">
        <v>2025</v>
      </c>
      <c r="B563" s="7" t="s">
        <v>1539</v>
      </c>
      <c r="C563" s="10" t="str">
        <f aca="false">INDEX(球員主檔!$B$2:$B$749,MATCH($B563,球員主檔!$A$2:$A$749,0))</f>
        <v>Minjae Underhill</v>
      </c>
      <c r="D563" s="7" t="s">
        <v>451</v>
      </c>
      <c r="E563" s="10" t="str">
        <f aca="false">INDEX(球隊主檔!$C$2:$C$31,MATCH($D563,球隊主檔!$A$2:$A$31,0))</f>
        <v>科羅拉多落磯</v>
      </c>
      <c r="F563" s="10" t="str">
        <f aca="false">INDEX(球隊主檔!$D$2:$D$31,MATCH($D563,球隊主檔!$A$2:$A$31,0))</f>
        <v>國聯</v>
      </c>
      <c r="G563" s="7" t="s">
        <v>496</v>
      </c>
      <c r="H563" s="11" t="n">
        <f aca="false">INT((DATE($A563,7,1)-INDEX(球員主檔!$G$2:$G$749,MATCH($B563,球員主檔!$A$2:$A$749,0)))/365.25)</f>
        <v>27</v>
      </c>
      <c r="I563" s="12" t="n">
        <v>13</v>
      </c>
      <c r="J563" s="12" t="n">
        <v>4</v>
      </c>
      <c r="K563" s="12" t="n">
        <v>0</v>
      </c>
      <c r="L563" s="12" t="n">
        <v>0</v>
      </c>
      <c r="M563" s="12" t="n">
        <v>25</v>
      </c>
      <c r="N563" s="12" t="n">
        <v>25</v>
      </c>
      <c r="O563" s="12" t="n">
        <v>399</v>
      </c>
      <c r="P563" s="16" t="n">
        <f aca="false">O563/3</f>
        <v>133</v>
      </c>
      <c r="Q563" s="17" t="str">
        <f aca="false">INT(O563/3)&amp;"."&amp;MOD(O563,3)</f>
        <v>133.0</v>
      </c>
      <c r="R563" s="12" t="n">
        <v>102</v>
      </c>
      <c r="S563" s="12" t="n">
        <v>52</v>
      </c>
      <c r="T563" s="12" t="n">
        <v>47</v>
      </c>
      <c r="U563" s="12" t="n">
        <v>32</v>
      </c>
      <c r="V563" s="12" t="n">
        <v>37</v>
      </c>
      <c r="W563" s="12" t="n">
        <v>150</v>
      </c>
      <c r="X563" s="12" t="n">
        <v>8</v>
      </c>
      <c r="Y563" s="18" t="n">
        <f aca="false">IF(O563=0,0,T563*27/O563)</f>
        <v>3.18045112781955</v>
      </c>
      <c r="Z563" s="18" t="n">
        <f aca="false">IF(P563=0,0,(V563+R563)/P563)</f>
        <v>1.04511278195489</v>
      </c>
      <c r="AA563" s="18" t="n">
        <f aca="false">IF(O563=0,0,W563*27/O563)</f>
        <v>10.1503759398496</v>
      </c>
      <c r="AB563" s="18" t="n">
        <f aca="false">IF(O563=0,0,V563*27/O563)</f>
        <v>2.50375939849624</v>
      </c>
      <c r="AC563" s="18" t="n">
        <f aca="false">IF(V563=0,0,W563/V563)</f>
        <v>4.05405405405405</v>
      </c>
      <c r="AD563" s="18" t="n">
        <f aca="false">IF(P563=0,0,(13*U563+3*(V563+X563)-2*W563)/P563+INDEX(球季參數!$C$2:$C$4,MATCH($A563,球季參數!$A$2:$A$4,0)))</f>
        <v>4.98721804511278</v>
      </c>
      <c r="AE563" s="11" t="n">
        <f aca="false">IF(P563&gt;=INDEX(球季參數!$F$2:$F$4,MATCH($A563,球季參數!$A$2:$A$4,0)),1,0)</f>
        <v>0</v>
      </c>
    </row>
    <row r="564" customFormat="false" ht="15" hidden="false" customHeight="false" outlineLevel="0" collapsed="false">
      <c r="A564" s="5" t="n">
        <v>2025</v>
      </c>
      <c r="B564" s="7" t="s">
        <v>1541</v>
      </c>
      <c r="C564" s="10" t="str">
        <f aca="false">INDEX(球員主檔!$B$2:$B$749,MATCH($B564,球員主檔!$A$2:$A$749,0))</f>
        <v>Silas Vasquez</v>
      </c>
      <c r="D564" s="7" t="s">
        <v>451</v>
      </c>
      <c r="E564" s="10" t="str">
        <f aca="false">INDEX(球隊主檔!$C$2:$C$31,MATCH($D564,球隊主檔!$A$2:$A$31,0))</f>
        <v>科羅拉多落磯</v>
      </c>
      <c r="F564" s="10" t="str">
        <f aca="false">INDEX(球隊主檔!$D$2:$D$31,MATCH($D564,球隊主檔!$A$2:$A$31,0))</f>
        <v>國聯</v>
      </c>
      <c r="G564" s="7" t="s">
        <v>496</v>
      </c>
      <c r="H564" s="11" t="n">
        <f aca="false">INT((DATE($A564,7,1)-INDEX(球員主檔!$G$2:$G$749,MATCH($B564,球員主檔!$A$2:$A$749,0)))/365.25)</f>
        <v>24</v>
      </c>
      <c r="I564" s="12" t="n">
        <v>14</v>
      </c>
      <c r="J564" s="12" t="n">
        <v>5</v>
      </c>
      <c r="K564" s="12" t="n">
        <v>0</v>
      </c>
      <c r="L564" s="12" t="n">
        <v>0</v>
      </c>
      <c r="M564" s="12" t="n">
        <v>24</v>
      </c>
      <c r="N564" s="12" t="n">
        <v>24</v>
      </c>
      <c r="O564" s="12" t="n">
        <v>449</v>
      </c>
      <c r="P564" s="16" t="n">
        <f aca="false">O564/3</f>
        <v>149.666666666667</v>
      </c>
      <c r="Q564" s="17" t="str">
        <f aca="false">INT(O564/3)&amp;"."&amp;MOD(O564,3)</f>
        <v>149.2</v>
      </c>
      <c r="R564" s="12" t="n">
        <v>101</v>
      </c>
      <c r="S564" s="12" t="n">
        <v>49</v>
      </c>
      <c r="T564" s="12" t="n">
        <v>45</v>
      </c>
      <c r="U564" s="12" t="n">
        <v>10</v>
      </c>
      <c r="V564" s="12" t="n">
        <v>68</v>
      </c>
      <c r="W564" s="12" t="n">
        <v>158</v>
      </c>
      <c r="X564" s="12" t="n">
        <v>9</v>
      </c>
      <c r="Y564" s="18" t="n">
        <f aca="false">IF(O564=0,0,T564*27/O564)</f>
        <v>2.70601336302895</v>
      </c>
      <c r="Z564" s="18" t="n">
        <f aca="false">IF(P564=0,0,(V564+R564)/P564)</f>
        <v>1.12917594654788</v>
      </c>
      <c r="AA564" s="18" t="n">
        <f aca="false">IF(O564=0,0,W564*27/O564)</f>
        <v>9.5011135857461</v>
      </c>
      <c r="AB564" s="18" t="n">
        <f aca="false">IF(O564=0,0,V564*27/O564)</f>
        <v>4.0890868596882</v>
      </c>
      <c r="AC564" s="18" t="n">
        <f aca="false">IF(V564=0,0,W564/V564)</f>
        <v>2.32352941176471</v>
      </c>
      <c r="AD564" s="18" t="n">
        <f aca="false">IF(P564=0,0,(13*U564+3*(V564+X564)-2*W564)/P564+INDEX(球季參數!$C$2:$C$4,MATCH($A564,球季參數!$A$2:$A$4,0)))</f>
        <v>3.40066815144766</v>
      </c>
      <c r="AE564" s="11" t="n">
        <f aca="false">IF(P564&gt;=INDEX(球季參數!$F$2:$F$4,MATCH($A564,球季參數!$A$2:$A$4,0)),1,0)</f>
        <v>0</v>
      </c>
    </row>
    <row r="565" customFormat="false" ht="15" hidden="false" customHeight="false" outlineLevel="0" collapsed="false">
      <c r="A565" s="5" t="n">
        <v>2025</v>
      </c>
      <c r="B565" s="7" t="s">
        <v>1543</v>
      </c>
      <c r="C565" s="10" t="str">
        <f aca="false">INDEX(球員主檔!$B$2:$B$749,MATCH($B565,球員主檔!$A$2:$A$749,0))</f>
        <v>Sawyer Yoshinaga</v>
      </c>
      <c r="D565" s="7" t="s">
        <v>451</v>
      </c>
      <c r="E565" s="10" t="str">
        <f aca="false">INDEX(球隊主檔!$C$2:$C$31,MATCH($D565,球隊主檔!$A$2:$A$31,0))</f>
        <v>科羅拉多落磯</v>
      </c>
      <c r="F565" s="10" t="str">
        <f aca="false">INDEX(球隊主檔!$D$2:$D$31,MATCH($D565,球隊主檔!$A$2:$A$31,0))</f>
        <v>國聯</v>
      </c>
      <c r="G565" s="7" t="s">
        <v>496</v>
      </c>
      <c r="H565" s="11" t="n">
        <f aca="false">INT((DATE($A565,7,1)-INDEX(球員主檔!$G$2:$G$749,MATCH($B565,球員主檔!$A$2:$A$749,0)))/365.25)</f>
        <v>28</v>
      </c>
      <c r="I565" s="12" t="n">
        <v>12</v>
      </c>
      <c r="J565" s="12" t="n">
        <v>4</v>
      </c>
      <c r="K565" s="12" t="n">
        <v>0</v>
      </c>
      <c r="L565" s="12" t="n">
        <v>0</v>
      </c>
      <c r="M565" s="12" t="n">
        <v>25</v>
      </c>
      <c r="N565" s="12" t="n">
        <v>25</v>
      </c>
      <c r="O565" s="12" t="n">
        <v>382</v>
      </c>
      <c r="P565" s="16" t="n">
        <f aca="false">O565/3</f>
        <v>127.333333333333</v>
      </c>
      <c r="Q565" s="17" t="str">
        <f aca="false">INT(O565/3)&amp;"."&amp;MOD(O565,3)</f>
        <v>127.1</v>
      </c>
      <c r="R565" s="12" t="n">
        <v>96</v>
      </c>
      <c r="S565" s="12" t="n">
        <v>44</v>
      </c>
      <c r="T565" s="12" t="n">
        <v>42</v>
      </c>
      <c r="U565" s="12" t="n">
        <v>13</v>
      </c>
      <c r="V565" s="12" t="n">
        <v>47</v>
      </c>
      <c r="W565" s="12" t="n">
        <v>151</v>
      </c>
      <c r="X565" s="12" t="n">
        <v>3</v>
      </c>
      <c r="Y565" s="18" t="n">
        <f aca="false">IF(O565=0,0,T565*27/O565)</f>
        <v>2.96858638743456</v>
      </c>
      <c r="Z565" s="18" t="n">
        <f aca="false">IF(P565=0,0,(V565+R565)/P565)</f>
        <v>1.12303664921466</v>
      </c>
      <c r="AA565" s="18" t="n">
        <f aca="false">IF(O565=0,0,W565*27/O565)</f>
        <v>10.6727748691099</v>
      </c>
      <c r="AB565" s="18" t="n">
        <f aca="false">IF(O565=0,0,V565*27/O565)</f>
        <v>3.32198952879581</v>
      </c>
      <c r="AC565" s="18" t="n">
        <f aca="false">IF(V565=0,0,W565/V565)</f>
        <v>3.21276595744681</v>
      </c>
      <c r="AD565" s="18" t="n">
        <f aca="false">IF(P565=0,0,(13*U565+3*(V565+X565)-2*W565)/P565+INDEX(球季參數!$C$2:$C$4,MATCH($A565,球季參數!$A$2:$A$4,0)))</f>
        <v>3.23350785340314</v>
      </c>
      <c r="AE565" s="11" t="n">
        <f aca="false">IF(P565&gt;=INDEX(球季參數!$F$2:$F$4,MATCH($A565,球季參數!$A$2:$A$4,0)),1,0)</f>
        <v>0</v>
      </c>
    </row>
    <row r="566" customFormat="false" ht="15" hidden="false" customHeight="false" outlineLevel="0" collapsed="false">
      <c r="A566" s="5" t="n">
        <v>2025</v>
      </c>
      <c r="B566" s="7" t="s">
        <v>1545</v>
      </c>
      <c r="C566" s="10" t="str">
        <f aca="false">INDEX(球員主檔!$B$2:$B$749,MATCH($B566,球員主檔!$A$2:$A$749,0))</f>
        <v>Wendell Haverford</v>
      </c>
      <c r="D566" s="7" t="s">
        <v>451</v>
      </c>
      <c r="E566" s="10" t="str">
        <f aca="false">INDEX(球隊主檔!$C$2:$C$31,MATCH($D566,球隊主檔!$A$2:$A$31,0))</f>
        <v>科羅拉多落磯</v>
      </c>
      <c r="F566" s="10" t="str">
        <f aca="false">INDEX(球隊主檔!$D$2:$D$31,MATCH($D566,球隊主檔!$A$2:$A$31,0))</f>
        <v>國聯</v>
      </c>
      <c r="G566" s="7" t="s">
        <v>496</v>
      </c>
      <c r="H566" s="11" t="n">
        <f aca="false">INT((DATE($A566,7,1)-INDEX(球員主檔!$G$2:$G$749,MATCH($B566,球員主檔!$A$2:$A$749,0)))/365.25)</f>
        <v>29</v>
      </c>
      <c r="I566" s="12" t="n">
        <v>12</v>
      </c>
      <c r="J566" s="12" t="n">
        <v>6</v>
      </c>
      <c r="K566" s="12" t="n">
        <v>0</v>
      </c>
      <c r="L566" s="12" t="n">
        <v>0</v>
      </c>
      <c r="M566" s="12" t="n">
        <v>31</v>
      </c>
      <c r="N566" s="12" t="n">
        <v>31</v>
      </c>
      <c r="O566" s="12" t="n">
        <v>561</v>
      </c>
      <c r="P566" s="16" t="n">
        <f aca="false">O566/3</f>
        <v>187</v>
      </c>
      <c r="Q566" s="17" t="str">
        <f aca="false">INT(O566/3)&amp;"."&amp;MOD(O566,3)</f>
        <v>187.0</v>
      </c>
      <c r="R566" s="12" t="n">
        <v>143</v>
      </c>
      <c r="S566" s="12" t="n">
        <v>91</v>
      </c>
      <c r="T566" s="12" t="n">
        <v>82</v>
      </c>
      <c r="U566" s="12" t="n">
        <v>7</v>
      </c>
      <c r="V566" s="12" t="n">
        <v>51</v>
      </c>
      <c r="W566" s="12" t="n">
        <v>291</v>
      </c>
      <c r="X566" s="12" t="n">
        <v>5</v>
      </c>
      <c r="Y566" s="18" t="n">
        <f aca="false">IF(O566=0,0,T566*27/O566)</f>
        <v>3.94652406417112</v>
      </c>
      <c r="Z566" s="18" t="n">
        <f aca="false">IF(P566=0,0,(V566+R566)/P566)</f>
        <v>1.03743315508021</v>
      </c>
      <c r="AA566" s="18" t="n">
        <f aca="false">IF(O566=0,0,W566*27/O566)</f>
        <v>14.0053475935829</v>
      </c>
      <c r="AB566" s="18" t="n">
        <f aca="false">IF(O566=0,0,V566*27/O566)</f>
        <v>2.45454545454545</v>
      </c>
      <c r="AC566" s="18" t="n">
        <f aca="false">IF(V566=0,0,W566/V566)</f>
        <v>5.70588235294118</v>
      </c>
      <c r="AD566" s="18" t="n">
        <f aca="false">IF(P566=0,0,(13*U566+3*(V566+X566)-2*W566)/P566+INDEX(球季參數!$C$2:$C$4,MATCH($A566,球季參數!$A$2:$A$4,0)))</f>
        <v>1.37272727272727</v>
      </c>
      <c r="AE566" s="11" t="n">
        <f aca="false">IF(P566&gt;=INDEX(球季參數!$F$2:$F$4,MATCH($A566,球季參數!$A$2:$A$4,0)),1,0)</f>
        <v>1</v>
      </c>
    </row>
    <row r="567" customFormat="false" ht="15" hidden="false" customHeight="false" outlineLevel="0" collapsed="false">
      <c r="A567" s="5" t="n">
        <v>2025</v>
      </c>
      <c r="B567" s="7" t="s">
        <v>1547</v>
      </c>
      <c r="C567" s="10" t="str">
        <f aca="false">INDEX(球員主檔!$B$2:$B$749,MATCH($B567,球員主檔!$A$2:$A$749,0))</f>
        <v>Niklas Yarbrough</v>
      </c>
      <c r="D567" s="7" t="s">
        <v>451</v>
      </c>
      <c r="E567" s="10" t="str">
        <f aca="false">INDEX(球隊主檔!$C$2:$C$31,MATCH($D567,球隊主檔!$A$2:$A$31,0))</f>
        <v>科羅拉多落磯</v>
      </c>
      <c r="F567" s="10" t="str">
        <f aca="false">INDEX(球隊主檔!$D$2:$D$31,MATCH($D567,球隊主檔!$A$2:$A$31,0))</f>
        <v>國聯</v>
      </c>
      <c r="G567" s="7" t="s">
        <v>507</v>
      </c>
      <c r="H567" s="11" t="n">
        <f aca="false">INT((DATE($A567,7,1)-INDEX(球員主檔!$G$2:$G$749,MATCH($B567,球員主檔!$A$2:$A$749,0)))/365.25)</f>
        <v>23</v>
      </c>
      <c r="I567" s="12" t="n">
        <v>5</v>
      </c>
      <c r="J567" s="12" t="n">
        <v>6</v>
      </c>
      <c r="K567" s="12" t="n">
        <v>37</v>
      </c>
      <c r="L567" s="12" t="n">
        <v>5</v>
      </c>
      <c r="M567" s="12" t="n">
        <v>45</v>
      </c>
      <c r="N567" s="12" t="n">
        <v>0</v>
      </c>
      <c r="O567" s="12" t="n">
        <v>131</v>
      </c>
      <c r="P567" s="16" t="n">
        <f aca="false">O567/3</f>
        <v>43.6666666666667</v>
      </c>
      <c r="Q567" s="17" t="str">
        <f aca="false">INT(O567/3)&amp;"."&amp;MOD(O567,3)</f>
        <v>43.2</v>
      </c>
      <c r="R567" s="12" t="n">
        <v>38</v>
      </c>
      <c r="S567" s="12" t="n">
        <v>21</v>
      </c>
      <c r="T567" s="12" t="n">
        <v>20</v>
      </c>
      <c r="U567" s="12" t="n">
        <v>8</v>
      </c>
      <c r="V567" s="12" t="n">
        <v>16</v>
      </c>
      <c r="W567" s="12" t="n">
        <v>39</v>
      </c>
      <c r="X567" s="12" t="n">
        <v>1</v>
      </c>
      <c r="Y567" s="18" t="n">
        <f aca="false">IF(O567=0,0,T567*27/O567)</f>
        <v>4.12213740458015</v>
      </c>
      <c r="Z567" s="18" t="n">
        <f aca="false">IF(P567=0,0,(V567+R567)/P567)</f>
        <v>1.23664122137405</v>
      </c>
      <c r="AA567" s="18" t="n">
        <f aca="false">IF(O567=0,0,W567*27/O567)</f>
        <v>8.0381679389313</v>
      </c>
      <c r="AB567" s="18" t="n">
        <f aca="false">IF(O567=0,0,V567*27/O567)</f>
        <v>3.29770992366412</v>
      </c>
      <c r="AC567" s="18" t="n">
        <f aca="false">IF(V567=0,0,W567/V567)</f>
        <v>2.4375</v>
      </c>
      <c r="AD567" s="18" t="n">
        <f aca="false">IF(P567=0,0,(13*U567+3*(V567+X567)-2*W567)/P567+INDEX(球季參數!$C$2:$C$4,MATCH($A567,球季參數!$A$2:$A$4,0)))</f>
        <v>4.86335877862596</v>
      </c>
      <c r="AE567" s="11" t="n">
        <f aca="false">IF(P567&gt;=INDEX(球季參數!$F$2:$F$4,MATCH($A567,球季參數!$A$2:$A$4,0)),1,0)</f>
        <v>0</v>
      </c>
    </row>
    <row r="568" customFormat="false" ht="15" hidden="false" customHeight="false" outlineLevel="0" collapsed="false">
      <c r="A568" s="5" t="n">
        <v>2025</v>
      </c>
      <c r="B568" s="7" t="s">
        <v>1549</v>
      </c>
      <c r="C568" s="10" t="str">
        <f aca="false">INDEX(球員主檔!$B$2:$B$749,MATCH($B568,球員主檔!$A$2:$A$749,0))</f>
        <v>Marcus Villalobos</v>
      </c>
      <c r="D568" s="7" t="s">
        <v>451</v>
      </c>
      <c r="E568" s="10" t="str">
        <f aca="false">INDEX(球隊主檔!$C$2:$C$31,MATCH($D568,球隊主檔!$A$2:$A$31,0))</f>
        <v>科羅拉多落磯</v>
      </c>
      <c r="F568" s="10" t="str">
        <f aca="false">INDEX(球隊主檔!$D$2:$D$31,MATCH($D568,球隊主檔!$A$2:$A$31,0))</f>
        <v>國聯</v>
      </c>
      <c r="G568" s="7" t="s">
        <v>507</v>
      </c>
      <c r="H568" s="11" t="n">
        <f aca="false">INT((DATE($A568,7,1)-INDEX(球員主檔!$G$2:$G$749,MATCH($B568,球員主檔!$A$2:$A$749,0)))/365.25)</f>
        <v>32</v>
      </c>
      <c r="I568" s="12" t="n">
        <v>2</v>
      </c>
      <c r="J568" s="12" t="n">
        <v>5</v>
      </c>
      <c r="K568" s="12" t="n">
        <v>4</v>
      </c>
      <c r="L568" s="12" t="n">
        <v>18</v>
      </c>
      <c r="M568" s="12" t="n">
        <v>62</v>
      </c>
      <c r="N568" s="12" t="n">
        <v>0</v>
      </c>
      <c r="O568" s="12" t="n">
        <v>185</v>
      </c>
      <c r="P568" s="16" t="n">
        <f aca="false">O568/3</f>
        <v>61.6666666666667</v>
      </c>
      <c r="Q568" s="17" t="str">
        <f aca="false">INT(O568/3)&amp;"."&amp;MOD(O568,3)</f>
        <v>61.2</v>
      </c>
      <c r="R568" s="12" t="n">
        <v>44</v>
      </c>
      <c r="S568" s="12" t="n">
        <v>19</v>
      </c>
      <c r="T568" s="12" t="n">
        <v>19</v>
      </c>
      <c r="U568" s="12" t="n">
        <v>7</v>
      </c>
      <c r="V568" s="12" t="n">
        <v>15</v>
      </c>
      <c r="W568" s="12" t="n">
        <v>50</v>
      </c>
      <c r="X568" s="12" t="n">
        <v>1</v>
      </c>
      <c r="Y568" s="18" t="n">
        <f aca="false">IF(O568=0,0,T568*27/O568)</f>
        <v>2.77297297297297</v>
      </c>
      <c r="Z568" s="18" t="n">
        <f aca="false">IF(P568=0,0,(V568+R568)/P568)</f>
        <v>0.956756756756757</v>
      </c>
      <c r="AA568" s="18" t="n">
        <f aca="false">IF(O568=0,0,W568*27/O568)</f>
        <v>7.2972972972973</v>
      </c>
      <c r="AB568" s="18" t="n">
        <f aca="false">IF(O568=0,0,V568*27/O568)</f>
        <v>2.18918918918919</v>
      </c>
      <c r="AC568" s="18" t="n">
        <f aca="false">IF(V568=0,0,W568/V568)</f>
        <v>3.33333333333333</v>
      </c>
      <c r="AD568" s="18" t="n">
        <f aca="false">IF(P568=0,0,(13*U568+3*(V568+X568)-2*W568)/P568+INDEX(球季參數!$C$2:$C$4,MATCH($A568,球季參數!$A$2:$A$4,0)))</f>
        <v>3.73243243243243</v>
      </c>
      <c r="AE568" s="11" t="n">
        <f aca="false">IF(P568&gt;=INDEX(球季參數!$F$2:$F$4,MATCH($A568,球季參數!$A$2:$A$4,0)),1,0)</f>
        <v>0</v>
      </c>
    </row>
    <row r="569" customFormat="false" ht="15" hidden="false" customHeight="false" outlineLevel="0" collapsed="false">
      <c r="A569" s="5" t="n">
        <v>2025</v>
      </c>
      <c r="B569" s="7" t="s">
        <v>1551</v>
      </c>
      <c r="C569" s="10" t="str">
        <f aca="false">INDEX(球員主檔!$B$2:$B$749,MATCH($B569,球員主檔!$A$2:$A$749,0))</f>
        <v>Rowan Beckwith</v>
      </c>
      <c r="D569" s="7" t="s">
        <v>451</v>
      </c>
      <c r="E569" s="10" t="str">
        <f aca="false">INDEX(球隊主檔!$C$2:$C$31,MATCH($D569,球隊主檔!$A$2:$A$31,0))</f>
        <v>科羅拉多落磯</v>
      </c>
      <c r="F569" s="10" t="str">
        <f aca="false">INDEX(球隊主檔!$D$2:$D$31,MATCH($D569,球隊主檔!$A$2:$A$31,0))</f>
        <v>國聯</v>
      </c>
      <c r="G569" s="7" t="s">
        <v>507</v>
      </c>
      <c r="H569" s="11" t="n">
        <f aca="false">INT((DATE($A569,7,1)-INDEX(球員主檔!$G$2:$G$749,MATCH($B569,球員主檔!$A$2:$A$749,0)))/365.25)</f>
        <v>29</v>
      </c>
      <c r="I569" s="12" t="n">
        <v>8</v>
      </c>
      <c r="J569" s="12" t="n">
        <v>0</v>
      </c>
      <c r="K569" s="12" t="n">
        <v>6</v>
      </c>
      <c r="L569" s="12" t="n">
        <v>23</v>
      </c>
      <c r="M569" s="12" t="n">
        <v>39</v>
      </c>
      <c r="N569" s="12" t="n">
        <v>0</v>
      </c>
      <c r="O569" s="12" t="n">
        <v>113</v>
      </c>
      <c r="P569" s="16" t="n">
        <f aca="false">O569/3</f>
        <v>37.6666666666667</v>
      </c>
      <c r="Q569" s="17" t="str">
        <f aca="false">INT(O569/3)&amp;"."&amp;MOD(O569,3)</f>
        <v>37.2</v>
      </c>
      <c r="R569" s="12" t="n">
        <v>27</v>
      </c>
      <c r="S569" s="12" t="n">
        <v>12</v>
      </c>
      <c r="T569" s="12" t="n">
        <v>11</v>
      </c>
      <c r="U569" s="12" t="n">
        <v>5</v>
      </c>
      <c r="V569" s="12" t="n">
        <v>8</v>
      </c>
      <c r="W569" s="12" t="n">
        <v>37</v>
      </c>
      <c r="X569" s="12" t="n">
        <v>2</v>
      </c>
      <c r="Y569" s="18" t="n">
        <f aca="false">IF(O569=0,0,T569*27/O569)</f>
        <v>2.6283185840708</v>
      </c>
      <c r="Z569" s="18" t="n">
        <f aca="false">IF(P569=0,0,(V569+R569)/P569)</f>
        <v>0.929203539823009</v>
      </c>
      <c r="AA569" s="18" t="n">
        <f aca="false">IF(O569=0,0,W569*27/O569)</f>
        <v>8.84070796460177</v>
      </c>
      <c r="AB569" s="18" t="n">
        <f aca="false">IF(O569=0,0,V569*27/O569)</f>
        <v>1.91150442477876</v>
      </c>
      <c r="AC569" s="18" t="n">
        <f aca="false">IF(V569=0,0,W569/V569)</f>
        <v>4.625</v>
      </c>
      <c r="AD569" s="18" t="n">
        <f aca="false">IF(P569=0,0,(13*U569+3*(V569+X569)-2*W569)/P569+INDEX(球季參數!$C$2:$C$4,MATCH($A569,球季參數!$A$2:$A$4,0)))</f>
        <v>3.65752212389381</v>
      </c>
      <c r="AE569" s="11" t="n">
        <f aca="false">IF(P569&gt;=INDEX(球季參數!$F$2:$F$4,MATCH($A569,球季參數!$A$2:$A$4,0)),1,0)</f>
        <v>0</v>
      </c>
    </row>
    <row r="570" customFormat="false" ht="15" hidden="false" customHeight="false" outlineLevel="0" collapsed="false">
      <c r="A570" s="5" t="n">
        <v>2025</v>
      </c>
      <c r="B570" s="7" t="s">
        <v>1553</v>
      </c>
      <c r="C570" s="10" t="str">
        <f aca="false">INDEX(球員主檔!$B$2:$B$749,MATCH($B570,球員主檔!$A$2:$A$749,0))</f>
        <v>Joaquín Delacroix</v>
      </c>
      <c r="D570" s="7" t="s">
        <v>451</v>
      </c>
      <c r="E570" s="10" t="str">
        <f aca="false">INDEX(球隊主檔!$C$2:$C$31,MATCH($D570,球隊主檔!$A$2:$A$31,0))</f>
        <v>科羅拉多落磯</v>
      </c>
      <c r="F570" s="10" t="str">
        <f aca="false">INDEX(球隊主檔!$D$2:$D$31,MATCH($D570,球隊主檔!$A$2:$A$31,0))</f>
        <v>國聯</v>
      </c>
      <c r="G570" s="7" t="s">
        <v>507</v>
      </c>
      <c r="H570" s="11" t="n">
        <f aca="false">INT((DATE($A570,7,1)-INDEX(球員主檔!$G$2:$G$749,MATCH($B570,球員主檔!$A$2:$A$749,0)))/365.25)</f>
        <v>28</v>
      </c>
      <c r="I570" s="12" t="n">
        <v>7</v>
      </c>
      <c r="J570" s="12" t="n">
        <v>6</v>
      </c>
      <c r="K570" s="12" t="n">
        <v>0</v>
      </c>
      <c r="L570" s="12" t="n">
        <v>20</v>
      </c>
      <c r="M570" s="12" t="n">
        <v>67</v>
      </c>
      <c r="N570" s="12" t="n">
        <v>0</v>
      </c>
      <c r="O570" s="12" t="n">
        <v>174</v>
      </c>
      <c r="P570" s="16" t="n">
        <f aca="false">O570/3</f>
        <v>58</v>
      </c>
      <c r="Q570" s="17" t="str">
        <f aca="false">INT(O570/3)&amp;"."&amp;MOD(O570,3)</f>
        <v>58.0</v>
      </c>
      <c r="R570" s="12" t="n">
        <v>48</v>
      </c>
      <c r="S570" s="12" t="n">
        <v>24</v>
      </c>
      <c r="T570" s="12" t="n">
        <v>24</v>
      </c>
      <c r="U570" s="12" t="n">
        <v>8</v>
      </c>
      <c r="V570" s="12" t="n">
        <v>26</v>
      </c>
      <c r="W570" s="12" t="n">
        <v>67</v>
      </c>
      <c r="X570" s="12" t="n">
        <v>2</v>
      </c>
      <c r="Y570" s="18" t="n">
        <f aca="false">IF(O570=0,0,T570*27/O570)</f>
        <v>3.72413793103448</v>
      </c>
      <c r="Z570" s="18" t="n">
        <f aca="false">IF(P570=0,0,(V570+R570)/P570)</f>
        <v>1.27586206896552</v>
      </c>
      <c r="AA570" s="18" t="n">
        <f aca="false">IF(O570=0,0,W570*27/O570)</f>
        <v>10.3965517241379</v>
      </c>
      <c r="AB570" s="18" t="n">
        <f aca="false">IF(O570=0,0,V570*27/O570)</f>
        <v>4.03448275862069</v>
      </c>
      <c r="AC570" s="18" t="n">
        <f aca="false">IF(V570=0,0,W570/V570)</f>
        <v>2.57692307692308</v>
      </c>
      <c r="AD570" s="18" t="n">
        <f aca="false">IF(P570=0,0,(13*U570+3*(V570+X570)-2*W570)/P570+INDEX(球季參數!$C$2:$C$4,MATCH($A570,球季參數!$A$2:$A$4,0)))</f>
        <v>4.03103448275862</v>
      </c>
      <c r="AE570" s="11" t="n">
        <f aca="false">IF(P570&gt;=INDEX(球季參數!$F$2:$F$4,MATCH($A570,球季參數!$A$2:$A$4,0)),1,0)</f>
        <v>0</v>
      </c>
    </row>
    <row r="571" customFormat="false" ht="15" hidden="false" customHeight="false" outlineLevel="0" collapsed="false">
      <c r="A571" s="5" t="n">
        <v>2025</v>
      </c>
      <c r="B571" s="7" t="s">
        <v>1555</v>
      </c>
      <c r="C571" s="10" t="str">
        <f aca="false">INDEX(球員主檔!$B$2:$B$749,MATCH($B571,球員主檔!$A$2:$A$749,0))</f>
        <v>Wyatt Engelhardt</v>
      </c>
      <c r="D571" s="7" t="s">
        <v>451</v>
      </c>
      <c r="E571" s="10" t="str">
        <f aca="false">INDEX(球隊主檔!$C$2:$C$31,MATCH($D571,球隊主檔!$A$2:$A$31,0))</f>
        <v>科羅拉多落磯</v>
      </c>
      <c r="F571" s="10" t="str">
        <f aca="false">INDEX(球隊主檔!$D$2:$D$31,MATCH($D571,球隊主檔!$A$2:$A$31,0))</f>
        <v>國聯</v>
      </c>
      <c r="G571" s="7" t="s">
        <v>507</v>
      </c>
      <c r="H571" s="11" t="n">
        <f aca="false">INT((DATE($A571,7,1)-INDEX(球員主檔!$G$2:$G$749,MATCH($B571,球員主檔!$A$2:$A$749,0)))/365.25)</f>
        <v>25</v>
      </c>
      <c r="I571" s="12" t="n">
        <v>8</v>
      </c>
      <c r="J571" s="12" t="n">
        <v>2</v>
      </c>
      <c r="K571" s="12" t="n">
        <v>1</v>
      </c>
      <c r="L571" s="12" t="n">
        <v>28</v>
      </c>
      <c r="M571" s="12" t="n">
        <v>51</v>
      </c>
      <c r="N571" s="12" t="n">
        <v>0</v>
      </c>
      <c r="O571" s="12" t="n">
        <v>145</v>
      </c>
      <c r="P571" s="16" t="n">
        <f aca="false">O571/3</f>
        <v>48.3333333333333</v>
      </c>
      <c r="Q571" s="17" t="str">
        <f aca="false">INT(O571/3)&amp;"."&amp;MOD(O571,3)</f>
        <v>48.1</v>
      </c>
      <c r="R571" s="12" t="n">
        <v>37</v>
      </c>
      <c r="S571" s="12" t="n">
        <v>20</v>
      </c>
      <c r="T571" s="12" t="n">
        <v>18</v>
      </c>
      <c r="U571" s="12" t="n">
        <v>3</v>
      </c>
      <c r="V571" s="12" t="n">
        <v>21</v>
      </c>
      <c r="W571" s="12" t="n">
        <v>59</v>
      </c>
      <c r="X571" s="12" t="n">
        <v>2</v>
      </c>
      <c r="Y571" s="18" t="n">
        <f aca="false">IF(O571=0,0,T571*27/O571)</f>
        <v>3.35172413793103</v>
      </c>
      <c r="Z571" s="18" t="n">
        <f aca="false">IF(P571=0,0,(V571+R571)/P571)</f>
        <v>1.2</v>
      </c>
      <c r="AA571" s="18" t="n">
        <f aca="false">IF(O571=0,0,W571*27/O571)</f>
        <v>10.9862068965517</v>
      </c>
      <c r="AB571" s="18" t="n">
        <f aca="false">IF(O571=0,0,V571*27/O571)</f>
        <v>3.91034482758621</v>
      </c>
      <c r="AC571" s="18" t="n">
        <f aca="false">IF(V571=0,0,W571/V571)</f>
        <v>2.80952380952381</v>
      </c>
      <c r="AD571" s="18" t="n">
        <f aca="false">IF(P571=0,0,(13*U571+3*(V571+X571)-2*W571)/P571+INDEX(球季參數!$C$2:$C$4,MATCH($A571,球季參數!$A$2:$A$4,0)))</f>
        <v>2.89310344827586</v>
      </c>
      <c r="AE571" s="11" t="n">
        <f aca="false">IF(P571&gt;=INDEX(球季參數!$F$2:$F$4,MATCH($A571,球季參數!$A$2:$A$4,0)),1,0)</f>
        <v>0</v>
      </c>
    </row>
    <row r="572" customFormat="false" ht="15" hidden="false" customHeight="false" outlineLevel="0" collapsed="false">
      <c r="A572" s="5" t="n">
        <v>2025</v>
      </c>
      <c r="B572" s="7" t="s">
        <v>1577</v>
      </c>
      <c r="C572" s="10" t="str">
        <f aca="false">INDEX(球員主檔!$B$2:$B$749,MATCH($B572,球員主檔!$A$2:$A$749,0))</f>
        <v>Lorenzo Kowalczyk</v>
      </c>
      <c r="D572" s="7" t="s">
        <v>455</v>
      </c>
      <c r="E572" s="10" t="str">
        <f aca="false">INDEX(球隊主檔!$C$2:$C$31,MATCH($D572,球隊主檔!$A$2:$A$31,0))</f>
        <v>洛杉磯道奇</v>
      </c>
      <c r="F572" s="10" t="str">
        <f aca="false">INDEX(球隊主檔!$D$2:$D$31,MATCH($D572,球隊主檔!$A$2:$A$31,0))</f>
        <v>國聯</v>
      </c>
      <c r="G572" s="7" t="s">
        <v>496</v>
      </c>
      <c r="H572" s="11" t="n">
        <f aca="false">INT((DATE($A572,7,1)-INDEX(球員主檔!$G$2:$G$749,MATCH($B572,球員主檔!$A$2:$A$749,0)))/365.25)</f>
        <v>30</v>
      </c>
      <c r="I572" s="12" t="n">
        <v>12</v>
      </c>
      <c r="J572" s="12" t="n">
        <v>4</v>
      </c>
      <c r="K572" s="12" t="n">
        <v>0</v>
      </c>
      <c r="L572" s="12" t="n">
        <v>0</v>
      </c>
      <c r="M572" s="12" t="n">
        <v>22</v>
      </c>
      <c r="N572" s="12" t="n">
        <v>22</v>
      </c>
      <c r="O572" s="12" t="n">
        <v>419</v>
      </c>
      <c r="P572" s="16" t="n">
        <f aca="false">O572/3</f>
        <v>139.666666666667</v>
      </c>
      <c r="Q572" s="17" t="str">
        <f aca="false">INT(O572/3)&amp;"."&amp;MOD(O572,3)</f>
        <v>139.2</v>
      </c>
      <c r="R572" s="12" t="n">
        <v>108</v>
      </c>
      <c r="S572" s="12" t="n">
        <v>50</v>
      </c>
      <c r="T572" s="12" t="n">
        <v>45</v>
      </c>
      <c r="U572" s="12" t="n">
        <v>20</v>
      </c>
      <c r="V572" s="12" t="n">
        <v>29</v>
      </c>
      <c r="W572" s="12" t="n">
        <v>141</v>
      </c>
      <c r="X572" s="12" t="n">
        <v>6</v>
      </c>
      <c r="Y572" s="18" t="n">
        <f aca="false">IF(O572=0,0,T572*27/O572)</f>
        <v>2.89976133651551</v>
      </c>
      <c r="Z572" s="18" t="n">
        <f aca="false">IF(P572=0,0,(V572+R572)/P572)</f>
        <v>0.98090692124105</v>
      </c>
      <c r="AA572" s="18" t="n">
        <f aca="false">IF(O572=0,0,W572*27/O572)</f>
        <v>9.08591885441527</v>
      </c>
      <c r="AB572" s="18" t="n">
        <f aca="false">IF(O572=0,0,V572*27/O572)</f>
        <v>1.86873508353222</v>
      </c>
      <c r="AC572" s="18" t="n">
        <f aca="false">IF(V572=0,0,W572/V572)</f>
        <v>4.86206896551724</v>
      </c>
      <c r="AD572" s="18" t="n">
        <f aca="false">IF(P572=0,0,(13*U572+3*(V572+X572)-2*W572)/P572+INDEX(球季參數!$C$2:$C$4,MATCH($A572,球季參數!$A$2:$A$4,0)))</f>
        <v>3.69427207637232</v>
      </c>
      <c r="AE572" s="11" t="n">
        <f aca="false">IF(P572&gt;=INDEX(球季參數!$F$2:$F$4,MATCH($A572,球季參數!$A$2:$A$4,0)),1,0)</f>
        <v>0</v>
      </c>
    </row>
    <row r="573" customFormat="false" ht="15" hidden="false" customHeight="false" outlineLevel="0" collapsed="false">
      <c r="A573" s="5" t="n">
        <v>2025</v>
      </c>
      <c r="B573" s="7" t="s">
        <v>1579</v>
      </c>
      <c r="C573" s="10" t="str">
        <f aca="false">INDEX(球員主檔!$B$2:$B$749,MATCH($B573,球員主檔!$A$2:$A$749,0))</f>
        <v>Yusuke Engelhardt</v>
      </c>
      <c r="D573" s="7" t="s">
        <v>455</v>
      </c>
      <c r="E573" s="10" t="str">
        <f aca="false">INDEX(球隊主檔!$C$2:$C$31,MATCH($D573,球隊主檔!$A$2:$A$31,0))</f>
        <v>洛杉磯道奇</v>
      </c>
      <c r="F573" s="10" t="str">
        <f aca="false">INDEX(球隊主檔!$D$2:$D$31,MATCH($D573,球隊主檔!$A$2:$A$31,0))</f>
        <v>國聯</v>
      </c>
      <c r="G573" s="7" t="s">
        <v>496</v>
      </c>
      <c r="H573" s="11" t="n">
        <f aca="false">INT((DATE($A573,7,1)-INDEX(球員主檔!$G$2:$G$749,MATCH($B573,球員主檔!$A$2:$A$749,0)))/365.25)</f>
        <v>25</v>
      </c>
      <c r="I573" s="12" t="n">
        <v>2</v>
      </c>
      <c r="J573" s="12" t="n">
        <v>4</v>
      </c>
      <c r="K573" s="12" t="n">
        <v>0</v>
      </c>
      <c r="L573" s="12" t="n">
        <v>0</v>
      </c>
      <c r="M573" s="12" t="n">
        <v>8</v>
      </c>
      <c r="N573" s="12" t="n">
        <v>8</v>
      </c>
      <c r="O573" s="12" t="n">
        <v>141</v>
      </c>
      <c r="P573" s="16" t="n">
        <f aca="false">O573/3</f>
        <v>47</v>
      </c>
      <c r="Q573" s="17" t="str">
        <f aca="false">INT(O573/3)&amp;"."&amp;MOD(O573,3)</f>
        <v>47.0</v>
      </c>
      <c r="R573" s="12" t="n">
        <v>44</v>
      </c>
      <c r="S573" s="12" t="n">
        <v>33</v>
      </c>
      <c r="T573" s="12" t="n">
        <v>32</v>
      </c>
      <c r="U573" s="12" t="n">
        <v>6</v>
      </c>
      <c r="V573" s="12" t="n">
        <v>12</v>
      </c>
      <c r="W573" s="12" t="n">
        <v>49</v>
      </c>
      <c r="X573" s="12" t="n">
        <v>2</v>
      </c>
      <c r="Y573" s="18" t="n">
        <f aca="false">IF(O573=0,0,T573*27/O573)</f>
        <v>6.12765957446809</v>
      </c>
      <c r="Z573" s="18" t="n">
        <f aca="false">IF(P573=0,0,(V573+R573)/P573)</f>
        <v>1.19148936170213</v>
      </c>
      <c r="AA573" s="18" t="n">
        <f aca="false">IF(O573=0,0,W573*27/O573)</f>
        <v>9.38297872340426</v>
      </c>
      <c r="AB573" s="18" t="n">
        <f aca="false">IF(O573=0,0,V573*27/O573)</f>
        <v>2.29787234042553</v>
      </c>
      <c r="AC573" s="18" t="n">
        <f aca="false">IF(V573=0,0,W573/V573)</f>
        <v>4.08333333333333</v>
      </c>
      <c r="AD573" s="18" t="n">
        <f aca="false">IF(P573=0,0,(13*U573+3*(V573+X573)-2*W573)/P573+INDEX(球季參數!$C$2:$C$4,MATCH($A573,球季參數!$A$2:$A$4,0)))</f>
        <v>3.56808510638298</v>
      </c>
      <c r="AE573" s="11" t="n">
        <f aca="false">IF(P573&gt;=INDEX(球季參數!$F$2:$F$4,MATCH($A573,球季參數!$A$2:$A$4,0)),1,0)</f>
        <v>0</v>
      </c>
    </row>
    <row r="574" customFormat="false" ht="15" hidden="false" customHeight="false" outlineLevel="0" collapsed="false">
      <c r="A574" s="5" t="n">
        <v>2025</v>
      </c>
      <c r="B574" s="7" t="s">
        <v>1581</v>
      </c>
      <c r="C574" s="10" t="str">
        <f aca="false">INDEX(球員主檔!$B$2:$B$749,MATCH($B574,球員主檔!$A$2:$A$749,0))</f>
        <v>Konrad Montalvo</v>
      </c>
      <c r="D574" s="7" t="s">
        <v>455</v>
      </c>
      <c r="E574" s="10" t="str">
        <f aca="false">INDEX(球隊主檔!$C$2:$C$31,MATCH($D574,球隊主檔!$A$2:$A$31,0))</f>
        <v>洛杉磯道奇</v>
      </c>
      <c r="F574" s="10" t="str">
        <f aca="false">INDEX(球隊主檔!$D$2:$D$31,MATCH($D574,球隊主檔!$A$2:$A$31,0))</f>
        <v>國聯</v>
      </c>
      <c r="G574" s="7" t="s">
        <v>496</v>
      </c>
      <c r="H574" s="11" t="n">
        <f aca="false">INT((DATE($A574,7,1)-INDEX(球員主檔!$G$2:$G$749,MATCH($B574,球員主檔!$A$2:$A$749,0)))/365.25)</f>
        <v>32</v>
      </c>
      <c r="I574" s="12" t="n">
        <v>9</v>
      </c>
      <c r="J574" s="12" t="n">
        <v>4</v>
      </c>
      <c r="K574" s="12" t="n">
        <v>0</v>
      </c>
      <c r="L574" s="12" t="n">
        <v>0</v>
      </c>
      <c r="M574" s="12" t="n">
        <v>24</v>
      </c>
      <c r="N574" s="12" t="n">
        <v>24</v>
      </c>
      <c r="O574" s="12" t="n">
        <v>450</v>
      </c>
      <c r="P574" s="16" t="n">
        <f aca="false">O574/3</f>
        <v>150</v>
      </c>
      <c r="Q574" s="17" t="str">
        <f aca="false">INT(O574/3)&amp;"."&amp;MOD(O574,3)</f>
        <v>150.0</v>
      </c>
      <c r="R574" s="12" t="n">
        <v>127</v>
      </c>
      <c r="S574" s="12" t="n">
        <v>64</v>
      </c>
      <c r="T574" s="12" t="n">
        <v>63</v>
      </c>
      <c r="U574" s="12" t="n">
        <v>23</v>
      </c>
      <c r="V574" s="12" t="n">
        <v>67</v>
      </c>
      <c r="W574" s="12" t="n">
        <v>153</v>
      </c>
      <c r="X574" s="12" t="n">
        <v>5</v>
      </c>
      <c r="Y574" s="18" t="n">
        <f aca="false">IF(O574=0,0,T574*27/O574)</f>
        <v>3.78</v>
      </c>
      <c r="Z574" s="18" t="n">
        <f aca="false">IF(P574=0,0,(V574+R574)/P574)</f>
        <v>1.29333333333333</v>
      </c>
      <c r="AA574" s="18" t="n">
        <f aca="false">IF(O574=0,0,W574*27/O574)</f>
        <v>9.18</v>
      </c>
      <c r="AB574" s="18" t="n">
        <f aca="false">IF(O574=0,0,V574*27/O574)</f>
        <v>4.02</v>
      </c>
      <c r="AC574" s="18" t="n">
        <f aca="false">IF(V574=0,0,W574/V574)</f>
        <v>2.28358208955224</v>
      </c>
      <c r="AD574" s="18" t="n">
        <f aca="false">IF(P574=0,0,(13*U574+3*(V574+X574)-2*W574)/P574+INDEX(球季參數!$C$2:$C$4,MATCH($A574,球季參數!$A$2:$A$4,0)))</f>
        <v>4.49333333333333</v>
      </c>
      <c r="AE574" s="11" t="n">
        <f aca="false">IF(P574&gt;=INDEX(球季參數!$F$2:$F$4,MATCH($A574,球季參數!$A$2:$A$4,0)),1,0)</f>
        <v>0</v>
      </c>
    </row>
    <row r="575" customFormat="false" ht="15" hidden="false" customHeight="false" outlineLevel="0" collapsed="false">
      <c r="A575" s="5" t="n">
        <v>2025</v>
      </c>
      <c r="B575" s="7" t="s">
        <v>1583</v>
      </c>
      <c r="C575" s="10" t="str">
        <f aca="false">INDEX(球員主檔!$B$2:$B$749,MATCH($B575,球員主檔!$A$2:$A$749,0))</f>
        <v>Thiago Marchetti</v>
      </c>
      <c r="D575" s="7" t="s">
        <v>455</v>
      </c>
      <c r="E575" s="10" t="str">
        <f aca="false">INDEX(球隊主檔!$C$2:$C$31,MATCH($D575,球隊主檔!$A$2:$A$31,0))</f>
        <v>洛杉磯道奇</v>
      </c>
      <c r="F575" s="10" t="str">
        <f aca="false">INDEX(球隊主檔!$D$2:$D$31,MATCH($D575,球隊主檔!$A$2:$A$31,0))</f>
        <v>國聯</v>
      </c>
      <c r="G575" s="7" t="s">
        <v>496</v>
      </c>
      <c r="H575" s="11" t="n">
        <f aca="false">INT((DATE($A575,7,1)-INDEX(球員主檔!$G$2:$G$749,MATCH($B575,球員主檔!$A$2:$A$749,0)))/365.25)</f>
        <v>28</v>
      </c>
      <c r="I575" s="12" t="n">
        <v>13</v>
      </c>
      <c r="J575" s="12" t="n">
        <v>6</v>
      </c>
      <c r="K575" s="12" t="n">
        <v>0</v>
      </c>
      <c r="L575" s="12" t="n">
        <v>0</v>
      </c>
      <c r="M575" s="12" t="n">
        <v>27</v>
      </c>
      <c r="N575" s="12" t="n">
        <v>27</v>
      </c>
      <c r="O575" s="12" t="n">
        <v>434</v>
      </c>
      <c r="P575" s="16" t="n">
        <f aca="false">O575/3</f>
        <v>144.666666666667</v>
      </c>
      <c r="Q575" s="17" t="str">
        <f aca="false">INT(O575/3)&amp;"."&amp;MOD(O575,3)</f>
        <v>144.2</v>
      </c>
      <c r="R575" s="12" t="n">
        <v>122</v>
      </c>
      <c r="S575" s="12" t="n">
        <v>62</v>
      </c>
      <c r="T575" s="12" t="n">
        <v>61</v>
      </c>
      <c r="U575" s="12" t="n">
        <v>13</v>
      </c>
      <c r="V575" s="12" t="n">
        <v>31</v>
      </c>
      <c r="W575" s="12" t="n">
        <v>161</v>
      </c>
      <c r="X575" s="12" t="n">
        <v>6</v>
      </c>
      <c r="Y575" s="18" t="n">
        <f aca="false">IF(O575=0,0,T575*27/O575)</f>
        <v>3.79493087557604</v>
      </c>
      <c r="Z575" s="18" t="n">
        <f aca="false">IF(P575=0,0,(V575+R575)/P575)</f>
        <v>1.05760368663594</v>
      </c>
      <c r="AA575" s="18" t="n">
        <f aca="false">IF(O575=0,0,W575*27/O575)</f>
        <v>10.0161290322581</v>
      </c>
      <c r="AB575" s="18" t="n">
        <f aca="false">IF(O575=0,0,V575*27/O575)</f>
        <v>1.92857142857143</v>
      </c>
      <c r="AC575" s="18" t="n">
        <f aca="false">IF(V575=0,0,W575/V575)</f>
        <v>5.19354838709677</v>
      </c>
      <c r="AD575" s="18" t="n">
        <f aca="false">IF(P575=0,0,(13*U575+3*(V575+X575)-2*W575)/P575+INDEX(球季參數!$C$2:$C$4,MATCH($A575,球季參數!$A$2:$A$4,0)))</f>
        <v>2.80967741935484</v>
      </c>
      <c r="AE575" s="11" t="n">
        <f aca="false">IF(P575&gt;=INDEX(球季參數!$F$2:$F$4,MATCH($A575,球季參數!$A$2:$A$4,0)),1,0)</f>
        <v>0</v>
      </c>
    </row>
    <row r="576" customFormat="false" ht="15" hidden="false" customHeight="false" outlineLevel="0" collapsed="false">
      <c r="A576" s="5" t="n">
        <v>2025</v>
      </c>
      <c r="B576" s="7" t="s">
        <v>1585</v>
      </c>
      <c r="C576" s="10" t="str">
        <f aca="false">INDEX(球員主檔!$B$2:$B$749,MATCH($B576,球員主檔!$A$2:$A$749,0))</f>
        <v>Leandro Ashworth</v>
      </c>
      <c r="D576" s="7" t="s">
        <v>455</v>
      </c>
      <c r="E576" s="10" t="str">
        <f aca="false">INDEX(球隊主檔!$C$2:$C$31,MATCH($D576,球隊主檔!$A$2:$A$31,0))</f>
        <v>洛杉磯道奇</v>
      </c>
      <c r="F576" s="10" t="str">
        <f aca="false">INDEX(球隊主檔!$D$2:$D$31,MATCH($D576,球隊主檔!$A$2:$A$31,0))</f>
        <v>國聯</v>
      </c>
      <c r="G576" s="7" t="s">
        <v>496</v>
      </c>
      <c r="H576" s="11" t="n">
        <f aca="false">INT((DATE($A576,7,1)-INDEX(球員主檔!$G$2:$G$749,MATCH($B576,球員主檔!$A$2:$A$749,0)))/365.25)</f>
        <v>32</v>
      </c>
      <c r="I576" s="12" t="n">
        <v>5</v>
      </c>
      <c r="J576" s="12" t="n">
        <v>4</v>
      </c>
      <c r="K576" s="12" t="n">
        <v>0</v>
      </c>
      <c r="L576" s="12" t="n">
        <v>0</v>
      </c>
      <c r="M576" s="12" t="n">
        <v>16</v>
      </c>
      <c r="N576" s="12" t="n">
        <v>16</v>
      </c>
      <c r="O576" s="12" t="n">
        <v>236</v>
      </c>
      <c r="P576" s="16" t="n">
        <f aca="false">O576/3</f>
        <v>78.6666666666667</v>
      </c>
      <c r="Q576" s="17" t="str">
        <f aca="false">INT(O576/3)&amp;"."&amp;MOD(O576,3)</f>
        <v>78.2</v>
      </c>
      <c r="R576" s="12" t="n">
        <v>77</v>
      </c>
      <c r="S576" s="12" t="n">
        <v>48</v>
      </c>
      <c r="T576" s="12" t="n">
        <v>46</v>
      </c>
      <c r="U576" s="12" t="n">
        <v>17</v>
      </c>
      <c r="V576" s="12" t="n">
        <v>22</v>
      </c>
      <c r="W576" s="12" t="n">
        <v>62</v>
      </c>
      <c r="X576" s="12" t="n">
        <v>2</v>
      </c>
      <c r="Y576" s="18" t="n">
        <f aca="false">IF(O576=0,0,T576*27/O576)</f>
        <v>5.26271186440678</v>
      </c>
      <c r="Z576" s="18" t="n">
        <f aca="false">IF(P576=0,0,(V576+R576)/P576)</f>
        <v>1.25847457627119</v>
      </c>
      <c r="AA576" s="18" t="n">
        <f aca="false">IF(O576=0,0,W576*27/O576)</f>
        <v>7.09322033898305</v>
      </c>
      <c r="AB576" s="18" t="n">
        <f aca="false">IF(O576=0,0,V576*27/O576)</f>
        <v>2.51694915254237</v>
      </c>
      <c r="AC576" s="18" t="n">
        <f aca="false">IF(V576=0,0,W576/V576)</f>
        <v>2.81818181818182</v>
      </c>
      <c r="AD576" s="18" t="n">
        <f aca="false">IF(P576=0,0,(13*U576+3*(V576+X576)-2*W576)/P576+INDEX(球季參數!$C$2:$C$4,MATCH($A576,球季參數!$A$2:$A$4,0)))</f>
        <v>5.24830508474576</v>
      </c>
      <c r="AE576" s="11" t="n">
        <f aca="false">IF(P576&gt;=INDEX(球季參數!$F$2:$F$4,MATCH($A576,球季參數!$A$2:$A$4,0)),1,0)</f>
        <v>0</v>
      </c>
    </row>
    <row r="577" customFormat="false" ht="15" hidden="false" customHeight="false" outlineLevel="0" collapsed="false">
      <c r="A577" s="5" t="n">
        <v>2025</v>
      </c>
      <c r="B577" s="7" t="s">
        <v>1587</v>
      </c>
      <c r="C577" s="10" t="str">
        <f aca="false">INDEX(球員主檔!$B$2:$B$749,MATCH($B577,球員主檔!$A$2:$A$749,0))</f>
        <v>Oakley Yarbrough</v>
      </c>
      <c r="D577" s="7" t="s">
        <v>455</v>
      </c>
      <c r="E577" s="10" t="str">
        <f aca="false">INDEX(球隊主檔!$C$2:$C$31,MATCH($D577,球隊主檔!$A$2:$A$31,0))</f>
        <v>洛杉磯道奇</v>
      </c>
      <c r="F577" s="10" t="str">
        <f aca="false">INDEX(球隊主檔!$D$2:$D$31,MATCH($D577,球隊主檔!$A$2:$A$31,0))</f>
        <v>國聯</v>
      </c>
      <c r="G577" s="7" t="s">
        <v>507</v>
      </c>
      <c r="H577" s="11" t="n">
        <f aca="false">INT((DATE($A577,7,1)-INDEX(球員主檔!$G$2:$G$749,MATCH($B577,球員主檔!$A$2:$A$749,0)))/365.25)</f>
        <v>26</v>
      </c>
      <c r="I577" s="12" t="n">
        <v>1</v>
      </c>
      <c r="J577" s="12" t="n">
        <v>1</v>
      </c>
      <c r="K577" s="12" t="n">
        <v>1</v>
      </c>
      <c r="L577" s="12" t="n">
        <v>10</v>
      </c>
      <c r="M577" s="12" t="n">
        <v>49</v>
      </c>
      <c r="N577" s="12" t="n">
        <v>0</v>
      </c>
      <c r="O577" s="12" t="n">
        <v>140</v>
      </c>
      <c r="P577" s="16" t="n">
        <f aca="false">O577/3</f>
        <v>46.6666666666667</v>
      </c>
      <c r="Q577" s="17" t="str">
        <f aca="false">INT(O577/3)&amp;"."&amp;MOD(O577,3)</f>
        <v>46.2</v>
      </c>
      <c r="R577" s="12" t="n">
        <v>46</v>
      </c>
      <c r="S577" s="12" t="n">
        <v>35</v>
      </c>
      <c r="T577" s="12" t="n">
        <v>31</v>
      </c>
      <c r="U577" s="12" t="n">
        <v>6</v>
      </c>
      <c r="V577" s="12" t="n">
        <v>16</v>
      </c>
      <c r="W577" s="12" t="n">
        <v>53</v>
      </c>
      <c r="X577" s="12" t="n">
        <v>1</v>
      </c>
      <c r="Y577" s="18" t="n">
        <f aca="false">IF(O577=0,0,T577*27/O577)</f>
        <v>5.97857142857143</v>
      </c>
      <c r="Z577" s="18" t="n">
        <f aca="false">IF(P577=0,0,(V577+R577)/P577)</f>
        <v>1.32857142857143</v>
      </c>
      <c r="AA577" s="18" t="n">
        <f aca="false">IF(O577=0,0,W577*27/O577)</f>
        <v>10.2214285714286</v>
      </c>
      <c r="AB577" s="18" t="n">
        <f aca="false">IF(O577=0,0,V577*27/O577)</f>
        <v>3.08571428571429</v>
      </c>
      <c r="AC577" s="18" t="n">
        <f aca="false">IF(V577=0,0,W577/V577)</f>
        <v>3.3125</v>
      </c>
      <c r="AD577" s="18" t="n">
        <f aca="false">IF(P577=0,0,(13*U577+3*(V577+X577)-2*W577)/P577+INDEX(球季參數!$C$2:$C$4,MATCH($A577,球季參數!$A$2:$A$4,0)))</f>
        <v>3.59285714285714</v>
      </c>
      <c r="AE577" s="11" t="n">
        <f aca="false">IF(P577&gt;=INDEX(球季參數!$F$2:$F$4,MATCH($A577,球季參數!$A$2:$A$4,0)),1,0)</f>
        <v>0</v>
      </c>
    </row>
    <row r="578" customFormat="false" ht="15" hidden="false" customHeight="false" outlineLevel="0" collapsed="false">
      <c r="A578" s="5" t="n">
        <v>2025</v>
      </c>
      <c r="B578" s="7" t="s">
        <v>1503</v>
      </c>
      <c r="C578" s="10" t="str">
        <f aca="false">INDEX(球員主檔!$B$2:$B$749,MATCH($B578,球員主檔!$A$2:$A$749,0))</f>
        <v>Ignacio Jaramillo</v>
      </c>
      <c r="D578" s="7" t="s">
        <v>455</v>
      </c>
      <c r="E578" s="10" t="str">
        <f aca="false">INDEX(球隊主檔!$C$2:$C$31,MATCH($D578,球隊主檔!$A$2:$A$31,0))</f>
        <v>洛杉磯道奇</v>
      </c>
      <c r="F578" s="10" t="str">
        <f aca="false">INDEX(球隊主檔!$D$2:$D$31,MATCH($D578,球隊主檔!$A$2:$A$31,0))</f>
        <v>國聯</v>
      </c>
      <c r="G578" s="7" t="s">
        <v>507</v>
      </c>
      <c r="H578" s="11" t="n">
        <f aca="false">INT((DATE($A578,7,1)-INDEX(球員主檔!$G$2:$G$749,MATCH($B578,球員主檔!$A$2:$A$749,0)))/365.25)</f>
        <v>26</v>
      </c>
      <c r="I578" s="12" t="n">
        <v>6</v>
      </c>
      <c r="J578" s="12" t="n">
        <v>1</v>
      </c>
      <c r="K578" s="12" t="n">
        <v>1</v>
      </c>
      <c r="L578" s="12" t="n">
        <v>26</v>
      </c>
      <c r="M578" s="12" t="n">
        <v>61</v>
      </c>
      <c r="N578" s="12" t="n">
        <v>0</v>
      </c>
      <c r="O578" s="12" t="n">
        <v>167</v>
      </c>
      <c r="P578" s="16" t="n">
        <f aca="false">O578/3</f>
        <v>55.6666666666667</v>
      </c>
      <c r="Q578" s="17" t="str">
        <f aca="false">INT(O578/3)&amp;"."&amp;MOD(O578,3)</f>
        <v>55.2</v>
      </c>
      <c r="R578" s="12" t="n">
        <v>41</v>
      </c>
      <c r="S578" s="12" t="n">
        <v>24</v>
      </c>
      <c r="T578" s="12" t="n">
        <v>22</v>
      </c>
      <c r="U578" s="12" t="n">
        <v>7</v>
      </c>
      <c r="V578" s="12" t="n">
        <v>23</v>
      </c>
      <c r="W578" s="12" t="n">
        <v>68</v>
      </c>
      <c r="X578" s="12" t="n">
        <v>1</v>
      </c>
      <c r="Y578" s="18" t="n">
        <f aca="false">IF(O578=0,0,T578*27/O578)</f>
        <v>3.55688622754491</v>
      </c>
      <c r="Z578" s="18" t="n">
        <f aca="false">IF(P578=0,0,(V578+R578)/P578)</f>
        <v>1.1497005988024</v>
      </c>
      <c r="AA578" s="18" t="n">
        <f aca="false">IF(O578=0,0,W578*27/O578)</f>
        <v>10.9940119760479</v>
      </c>
      <c r="AB578" s="18" t="n">
        <f aca="false">IF(O578=0,0,V578*27/O578)</f>
        <v>3.7185628742515</v>
      </c>
      <c r="AC578" s="18" t="n">
        <f aca="false">IF(V578=0,0,W578/V578)</f>
        <v>2.95652173913043</v>
      </c>
      <c r="AD578" s="18" t="n">
        <f aca="false">IF(P578=0,0,(13*U578+3*(V578+X578)-2*W578)/P578+INDEX(球季參數!$C$2:$C$4,MATCH($A578,球季參數!$A$2:$A$4,0)))</f>
        <v>3.58502994011976</v>
      </c>
      <c r="AE578" s="11" t="n">
        <f aca="false">IF(P578&gt;=INDEX(球季參數!$F$2:$F$4,MATCH($A578,球季參數!$A$2:$A$4,0)),1,0)</f>
        <v>0</v>
      </c>
    </row>
    <row r="579" customFormat="false" ht="15" hidden="false" customHeight="false" outlineLevel="0" collapsed="false">
      <c r="A579" s="5" t="n">
        <v>2025</v>
      </c>
      <c r="B579" s="7" t="s">
        <v>1591</v>
      </c>
      <c r="C579" s="10" t="str">
        <f aca="false">INDEX(球員主檔!$B$2:$B$749,MATCH($B579,球員主檔!$A$2:$A$749,0))</f>
        <v>Kellan Lemieux</v>
      </c>
      <c r="D579" s="7" t="s">
        <v>455</v>
      </c>
      <c r="E579" s="10" t="str">
        <f aca="false">INDEX(球隊主檔!$C$2:$C$31,MATCH($D579,球隊主檔!$A$2:$A$31,0))</f>
        <v>洛杉磯道奇</v>
      </c>
      <c r="F579" s="10" t="str">
        <f aca="false">INDEX(球隊主檔!$D$2:$D$31,MATCH($D579,球隊主檔!$A$2:$A$31,0))</f>
        <v>國聯</v>
      </c>
      <c r="G579" s="7" t="s">
        <v>507</v>
      </c>
      <c r="H579" s="11" t="n">
        <f aca="false">INT((DATE($A579,7,1)-INDEX(球員主檔!$G$2:$G$749,MATCH($B579,球員主檔!$A$2:$A$749,0)))/365.25)</f>
        <v>32</v>
      </c>
      <c r="I579" s="12" t="n">
        <v>8</v>
      </c>
      <c r="J579" s="12" t="n">
        <v>0</v>
      </c>
      <c r="K579" s="12" t="n">
        <v>3</v>
      </c>
      <c r="L579" s="12" t="n">
        <v>4</v>
      </c>
      <c r="M579" s="12" t="n">
        <v>38</v>
      </c>
      <c r="N579" s="12" t="n">
        <v>0</v>
      </c>
      <c r="O579" s="12" t="n">
        <v>101</v>
      </c>
      <c r="P579" s="16" t="n">
        <f aca="false">O579/3</f>
        <v>33.6666666666667</v>
      </c>
      <c r="Q579" s="17" t="str">
        <f aca="false">INT(O579/3)&amp;"."&amp;MOD(O579,3)</f>
        <v>33.2</v>
      </c>
      <c r="R579" s="12" t="n">
        <v>31</v>
      </c>
      <c r="S579" s="12" t="n">
        <v>19</v>
      </c>
      <c r="T579" s="12" t="n">
        <v>18</v>
      </c>
      <c r="U579" s="12" t="n">
        <v>4</v>
      </c>
      <c r="V579" s="12" t="n">
        <v>13</v>
      </c>
      <c r="W579" s="12" t="n">
        <v>27</v>
      </c>
      <c r="X579" s="12" t="n">
        <v>1</v>
      </c>
      <c r="Y579" s="18" t="n">
        <f aca="false">IF(O579=0,0,T579*27/O579)</f>
        <v>4.81188118811881</v>
      </c>
      <c r="Z579" s="18" t="n">
        <f aca="false">IF(P579=0,0,(V579+R579)/P579)</f>
        <v>1.30693069306931</v>
      </c>
      <c r="AA579" s="18" t="n">
        <f aca="false">IF(O579=0,0,W579*27/O579)</f>
        <v>7.21782178217822</v>
      </c>
      <c r="AB579" s="18" t="n">
        <f aca="false">IF(O579=0,0,V579*27/O579)</f>
        <v>3.47524752475248</v>
      </c>
      <c r="AC579" s="18" t="n">
        <f aca="false">IF(V579=0,0,W579/V579)</f>
        <v>2.07692307692308</v>
      </c>
      <c r="AD579" s="18" t="n">
        <f aca="false">IF(P579=0,0,(13*U579+3*(V579+X579)-2*W579)/P579+INDEX(球季參數!$C$2:$C$4,MATCH($A579,球季參數!$A$2:$A$4,0)))</f>
        <v>4.28811881188119</v>
      </c>
      <c r="AE579" s="11" t="n">
        <f aca="false">IF(P579&gt;=INDEX(球季參數!$F$2:$F$4,MATCH($A579,球季參數!$A$2:$A$4,0)),1,0)</f>
        <v>0</v>
      </c>
    </row>
    <row r="580" customFormat="false" ht="15" hidden="false" customHeight="false" outlineLevel="0" collapsed="false">
      <c r="A580" s="5" t="n">
        <v>2025</v>
      </c>
      <c r="B580" s="7" t="s">
        <v>1593</v>
      </c>
      <c r="C580" s="10" t="str">
        <f aca="false">INDEX(球員主檔!$B$2:$B$749,MATCH($B580,球員主檔!$A$2:$A$749,0))</f>
        <v>Bernardo Tremblay</v>
      </c>
      <c r="D580" s="7" t="s">
        <v>455</v>
      </c>
      <c r="E580" s="10" t="str">
        <f aca="false">INDEX(球隊主檔!$C$2:$C$31,MATCH($D580,球隊主檔!$A$2:$A$31,0))</f>
        <v>洛杉磯道奇</v>
      </c>
      <c r="F580" s="10" t="str">
        <f aca="false">INDEX(球隊主檔!$D$2:$D$31,MATCH($D580,球隊主檔!$A$2:$A$31,0))</f>
        <v>國聯</v>
      </c>
      <c r="G580" s="7" t="s">
        <v>507</v>
      </c>
      <c r="H580" s="11" t="n">
        <f aca="false">INT((DATE($A580,7,1)-INDEX(球員主檔!$G$2:$G$749,MATCH($B580,球員主檔!$A$2:$A$749,0)))/365.25)</f>
        <v>33</v>
      </c>
      <c r="I580" s="12" t="n">
        <v>3</v>
      </c>
      <c r="J580" s="12" t="n">
        <v>2</v>
      </c>
      <c r="K580" s="12" t="n">
        <v>3</v>
      </c>
      <c r="L580" s="12" t="n">
        <v>12</v>
      </c>
      <c r="M580" s="12" t="n">
        <v>46</v>
      </c>
      <c r="N580" s="12" t="n">
        <v>0</v>
      </c>
      <c r="O580" s="12" t="n">
        <v>143</v>
      </c>
      <c r="P580" s="16" t="n">
        <f aca="false">O580/3</f>
        <v>47.6666666666667</v>
      </c>
      <c r="Q580" s="17" t="str">
        <f aca="false">INT(O580/3)&amp;"."&amp;MOD(O580,3)</f>
        <v>47.2</v>
      </c>
      <c r="R580" s="12" t="n">
        <v>38</v>
      </c>
      <c r="S580" s="12" t="n">
        <v>21</v>
      </c>
      <c r="T580" s="12" t="n">
        <v>21</v>
      </c>
      <c r="U580" s="12" t="n">
        <v>5</v>
      </c>
      <c r="V580" s="12" t="n">
        <v>15</v>
      </c>
      <c r="W580" s="12" t="n">
        <v>29</v>
      </c>
      <c r="X580" s="12" t="n">
        <v>2</v>
      </c>
      <c r="Y580" s="18" t="n">
        <f aca="false">IF(O580=0,0,T580*27/O580)</f>
        <v>3.96503496503497</v>
      </c>
      <c r="Z580" s="18" t="n">
        <f aca="false">IF(P580=0,0,(V580+R580)/P580)</f>
        <v>1.11188811188811</v>
      </c>
      <c r="AA580" s="18" t="n">
        <f aca="false">IF(O580=0,0,W580*27/O580)</f>
        <v>5.47552447552448</v>
      </c>
      <c r="AB580" s="18" t="n">
        <f aca="false">IF(O580=0,0,V580*27/O580)</f>
        <v>2.83216783216783</v>
      </c>
      <c r="AC580" s="18" t="n">
        <f aca="false">IF(V580=0,0,W580/V580)</f>
        <v>1.93333333333333</v>
      </c>
      <c r="AD580" s="18" t="n">
        <f aca="false">IF(P580=0,0,(13*U580+3*(V580+X580)-2*W580)/P580+INDEX(球季參數!$C$2:$C$4,MATCH($A580,球季參數!$A$2:$A$4,0)))</f>
        <v>4.31678321678322</v>
      </c>
      <c r="AE580" s="11" t="n">
        <f aca="false">IF(P580&gt;=INDEX(球季參數!$F$2:$F$4,MATCH($A580,球季參數!$A$2:$A$4,0)),1,0)</f>
        <v>0</v>
      </c>
    </row>
    <row r="581" customFormat="false" ht="15" hidden="false" customHeight="false" outlineLevel="0" collapsed="false">
      <c r="A581" s="5" t="n">
        <v>2025</v>
      </c>
      <c r="B581" s="7" t="s">
        <v>1595</v>
      </c>
      <c r="C581" s="10" t="str">
        <f aca="false">INDEX(球員主檔!$B$2:$B$749,MATCH($B581,球員主檔!$A$2:$A$749,0))</f>
        <v>Cedric Nakagawa</v>
      </c>
      <c r="D581" s="7" t="s">
        <v>455</v>
      </c>
      <c r="E581" s="10" t="str">
        <f aca="false">INDEX(球隊主檔!$C$2:$C$31,MATCH($D581,球隊主檔!$A$2:$A$31,0))</f>
        <v>洛杉磯道奇</v>
      </c>
      <c r="F581" s="10" t="str">
        <f aca="false">INDEX(球隊主檔!$D$2:$D$31,MATCH($D581,球隊主檔!$A$2:$A$31,0))</f>
        <v>國聯</v>
      </c>
      <c r="G581" s="7" t="s">
        <v>507</v>
      </c>
      <c r="H581" s="11" t="n">
        <f aca="false">INT((DATE($A581,7,1)-INDEX(球員主檔!$G$2:$G$749,MATCH($B581,球員主檔!$A$2:$A$749,0)))/365.25)</f>
        <v>25</v>
      </c>
      <c r="I581" s="12" t="n">
        <v>5</v>
      </c>
      <c r="J581" s="12" t="n">
        <v>5</v>
      </c>
      <c r="K581" s="12" t="n">
        <v>3</v>
      </c>
      <c r="L581" s="12" t="n">
        <v>19</v>
      </c>
      <c r="M581" s="12" t="n">
        <v>38</v>
      </c>
      <c r="N581" s="12" t="n">
        <v>0</v>
      </c>
      <c r="O581" s="12" t="n">
        <v>107</v>
      </c>
      <c r="P581" s="16" t="n">
        <f aca="false">O581/3</f>
        <v>35.6666666666667</v>
      </c>
      <c r="Q581" s="17" t="str">
        <f aca="false">INT(O581/3)&amp;"."&amp;MOD(O581,3)</f>
        <v>35.2</v>
      </c>
      <c r="R581" s="12" t="n">
        <v>33</v>
      </c>
      <c r="S581" s="12" t="n">
        <v>21</v>
      </c>
      <c r="T581" s="12" t="n">
        <v>20</v>
      </c>
      <c r="U581" s="12" t="n">
        <v>4</v>
      </c>
      <c r="V581" s="12" t="n">
        <v>12</v>
      </c>
      <c r="W581" s="12" t="n">
        <v>23</v>
      </c>
      <c r="X581" s="12" t="n">
        <v>0</v>
      </c>
      <c r="Y581" s="18" t="n">
        <f aca="false">IF(O581=0,0,T581*27/O581)</f>
        <v>5.04672897196262</v>
      </c>
      <c r="Z581" s="18" t="n">
        <f aca="false">IF(P581=0,0,(V581+R581)/P581)</f>
        <v>1.26168224299065</v>
      </c>
      <c r="AA581" s="18" t="n">
        <f aca="false">IF(O581=0,0,W581*27/O581)</f>
        <v>5.80373831775701</v>
      </c>
      <c r="AB581" s="18" t="n">
        <f aca="false">IF(O581=0,0,V581*27/O581)</f>
        <v>3.02803738317757</v>
      </c>
      <c r="AC581" s="18" t="n">
        <f aca="false">IF(V581=0,0,W581/V581)</f>
        <v>1.91666666666667</v>
      </c>
      <c r="AD581" s="18" t="n">
        <f aca="false">IF(P581=0,0,(13*U581+3*(V581+X581)-2*W581)/P581+INDEX(球季參數!$C$2:$C$4,MATCH($A581,球季參數!$A$2:$A$4,0)))</f>
        <v>4.27757009345794</v>
      </c>
      <c r="AE581" s="11" t="n">
        <f aca="false">IF(P581&gt;=INDEX(球季參數!$F$2:$F$4,MATCH($A581,球季參數!$A$2:$A$4,0)),1,0)</f>
        <v>0</v>
      </c>
    </row>
    <row r="582" customFormat="false" ht="15" hidden="false" customHeight="false" outlineLevel="0" collapsed="false">
      <c r="A582" s="5" t="n">
        <v>2025</v>
      </c>
      <c r="B582" s="7" t="s">
        <v>1617</v>
      </c>
      <c r="C582" s="10" t="str">
        <f aca="false">INDEX(球員主檔!$B$2:$B$749,MATCH($B582,球員主檔!$A$2:$A$749,0))</f>
        <v>Ronin Wainwright</v>
      </c>
      <c r="D582" s="7" t="s">
        <v>459</v>
      </c>
      <c r="E582" s="10" t="str">
        <f aca="false">INDEX(球隊主檔!$C$2:$C$31,MATCH($D582,球隊主檔!$A$2:$A$31,0))</f>
        <v>聖地牙哥教士</v>
      </c>
      <c r="F582" s="10" t="str">
        <f aca="false">INDEX(球隊主檔!$D$2:$D$31,MATCH($D582,球隊主檔!$A$2:$A$31,0))</f>
        <v>國聯</v>
      </c>
      <c r="G582" s="7" t="s">
        <v>496</v>
      </c>
      <c r="H582" s="11" t="n">
        <f aca="false">INT((DATE($A582,7,1)-INDEX(球員主檔!$G$2:$G$749,MATCH($B582,球員主檔!$A$2:$A$749,0)))/365.25)</f>
        <v>23</v>
      </c>
      <c r="I582" s="12" t="n">
        <v>10</v>
      </c>
      <c r="J582" s="12" t="n">
        <v>8</v>
      </c>
      <c r="K582" s="12" t="n">
        <v>0</v>
      </c>
      <c r="L582" s="12" t="n">
        <v>0</v>
      </c>
      <c r="M582" s="12" t="n">
        <v>25</v>
      </c>
      <c r="N582" s="12" t="n">
        <v>25</v>
      </c>
      <c r="O582" s="12" t="n">
        <v>394</v>
      </c>
      <c r="P582" s="16" t="n">
        <f aca="false">O582/3</f>
        <v>131.333333333333</v>
      </c>
      <c r="Q582" s="17" t="str">
        <f aca="false">INT(O582/3)&amp;"."&amp;MOD(O582,3)</f>
        <v>131.1</v>
      </c>
      <c r="R582" s="12" t="n">
        <v>109</v>
      </c>
      <c r="S582" s="12" t="n">
        <v>59</v>
      </c>
      <c r="T582" s="12" t="n">
        <v>58</v>
      </c>
      <c r="U582" s="12" t="n">
        <v>8</v>
      </c>
      <c r="V582" s="12" t="n">
        <v>32</v>
      </c>
      <c r="W582" s="12" t="n">
        <v>151</v>
      </c>
      <c r="X582" s="12" t="n">
        <v>4</v>
      </c>
      <c r="Y582" s="18" t="n">
        <f aca="false">IF(O582=0,0,T582*27/O582)</f>
        <v>3.9746192893401</v>
      </c>
      <c r="Z582" s="18" t="n">
        <f aca="false">IF(P582=0,0,(V582+R582)/P582)</f>
        <v>1.07360406091371</v>
      </c>
      <c r="AA582" s="18" t="n">
        <f aca="false">IF(O582=0,0,W582*27/O582)</f>
        <v>10.3477157360406</v>
      </c>
      <c r="AB582" s="18" t="n">
        <f aca="false">IF(O582=0,0,V582*27/O582)</f>
        <v>2.19289340101523</v>
      </c>
      <c r="AC582" s="18" t="n">
        <f aca="false">IF(V582=0,0,W582/V582)</f>
        <v>4.71875</v>
      </c>
      <c r="AD582" s="18" t="n">
        <f aca="false">IF(P582=0,0,(13*U582+3*(V582+X582)-2*W582)/P582+INDEX(球季參數!$C$2:$C$4,MATCH($A582,球季參數!$A$2:$A$4,0)))</f>
        <v>2.41472081218274</v>
      </c>
      <c r="AE582" s="11" t="n">
        <f aca="false">IF(P582&gt;=INDEX(球季參數!$F$2:$F$4,MATCH($A582,球季參數!$A$2:$A$4,0)),1,0)</f>
        <v>0</v>
      </c>
    </row>
    <row r="583" customFormat="false" ht="15" hidden="false" customHeight="false" outlineLevel="0" collapsed="false">
      <c r="A583" s="5" t="n">
        <v>2025</v>
      </c>
      <c r="B583" s="7" t="s">
        <v>981</v>
      </c>
      <c r="C583" s="10" t="str">
        <f aca="false">INDEX(球員主檔!$B$2:$B$749,MATCH($B583,球員主檔!$A$2:$A$749,0))</f>
        <v>Minjae Cavanaugh</v>
      </c>
      <c r="D583" s="7" t="s">
        <v>459</v>
      </c>
      <c r="E583" s="10" t="str">
        <f aca="false">INDEX(球隊主檔!$C$2:$C$31,MATCH($D583,球隊主檔!$A$2:$A$31,0))</f>
        <v>聖地牙哥教士</v>
      </c>
      <c r="F583" s="10" t="str">
        <f aca="false">INDEX(球隊主檔!$D$2:$D$31,MATCH($D583,球隊主檔!$A$2:$A$31,0))</f>
        <v>國聯</v>
      </c>
      <c r="G583" s="7" t="s">
        <v>496</v>
      </c>
      <c r="H583" s="11" t="n">
        <f aca="false">INT((DATE($A583,7,1)-INDEX(球員主檔!$G$2:$G$749,MATCH($B583,球員主檔!$A$2:$A$749,0)))/365.25)</f>
        <v>35</v>
      </c>
      <c r="I583" s="12" t="n">
        <v>11</v>
      </c>
      <c r="J583" s="12" t="n">
        <v>6</v>
      </c>
      <c r="K583" s="12" t="n">
        <v>0</v>
      </c>
      <c r="L583" s="12" t="n">
        <v>0</v>
      </c>
      <c r="M583" s="12" t="n">
        <v>24</v>
      </c>
      <c r="N583" s="12" t="n">
        <v>24</v>
      </c>
      <c r="O583" s="12" t="n">
        <v>357</v>
      </c>
      <c r="P583" s="16" t="n">
        <f aca="false">O583/3</f>
        <v>119</v>
      </c>
      <c r="Q583" s="17" t="str">
        <f aca="false">INT(O583/3)&amp;"."&amp;MOD(O583,3)</f>
        <v>119.0</v>
      </c>
      <c r="R583" s="12" t="n">
        <v>107</v>
      </c>
      <c r="S583" s="12" t="n">
        <v>62</v>
      </c>
      <c r="T583" s="12" t="n">
        <v>55</v>
      </c>
      <c r="U583" s="12" t="n">
        <v>18</v>
      </c>
      <c r="V583" s="12" t="n">
        <v>53</v>
      </c>
      <c r="W583" s="12" t="n">
        <v>109</v>
      </c>
      <c r="X583" s="12" t="n">
        <v>5</v>
      </c>
      <c r="Y583" s="18" t="n">
        <f aca="false">IF(O583=0,0,T583*27/O583)</f>
        <v>4.15966386554622</v>
      </c>
      <c r="Z583" s="18" t="n">
        <f aca="false">IF(P583=0,0,(V583+R583)/P583)</f>
        <v>1.34453781512605</v>
      </c>
      <c r="AA583" s="18" t="n">
        <f aca="false">IF(O583=0,0,W583*27/O583)</f>
        <v>8.2436974789916</v>
      </c>
      <c r="AB583" s="18" t="n">
        <f aca="false">IF(O583=0,0,V583*27/O583)</f>
        <v>4.00840336134454</v>
      </c>
      <c r="AC583" s="18" t="n">
        <f aca="false">IF(V583=0,0,W583/V583)</f>
        <v>2.05660377358491</v>
      </c>
      <c r="AD583" s="18" t="n">
        <f aca="false">IF(P583=0,0,(13*U583+3*(V583+X583)-2*W583)/P583+INDEX(球季參數!$C$2:$C$4,MATCH($A583,球季參數!$A$2:$A$4,0)))</f>
        <v>4.69663865546219</v>
      </c>
      <c r="AE583" s="11" t="n">
        <f aca="false">IF(P583&gt;=INDEX(球季參數!$F$2:$F$4,MATCH($A583,球季參數!$A$2:$A$4,0)),1,0)</f>
        <v>0</v>
      </c>
    </row>
    <row r="584" customFormat="false" ht="15" hidden="false" customHeight="false" outlineLevel="0" collapsed="false">
      <c r="A584" s="5" t="n">
        <v>2025</v>
      </c>
      <c r="B584" s="7" t="s">
        <v>1621</v>
      </c>
      <c r="C584" s="10" t="str">
        <f aca="false">INDEX(球員主檔!$B$2:$B$749,MATCH($B584,球員主檔!$A$2:$A$749,0))</f>
        <v>Rintaro Halloway</v>
      </c>
      <c r="D584" s="7" t="s">
        <v>459</v>
      </c>
      <c r="E584" s="10" t="str">
        <f aca="false">INDEX(球隊主檔!$C$2:$C$31,MATCH($D584,球隊主檔!$A$2:$A$31,0))</f>
        <v>聖地牙哥教士</v>
      </c>
      <c r="F584" s="10" t="str">
        <f aca="false">INDEX(球隊主檔!$D$2:$D$31,MATCH($D584,球隊主檔!$A$2:$A$31,0))</f>
        <v>國聯</v>
      </c>
      <c r="G584" s="7" t="s">
        <v>496</v>
      </c>
      <c r="H584" s="11" t="n">
        <f aca="false">INT((DATE($A584,7,1)-INDEX(球員主檔!$G$2:$G$749,MATCH($B584,球員主檔!$A$2:$A$749,0)))/365.25)</f>
        <v>25</v>
      </c>
      <c r="I584" s="12" t="n">
        <v>12</v>
      </c>
      <c r="J584" s="12" t="n">
        <v>9</v>
      </c>
      <c r="K584" s="12" t="n">
        <v>0</v>
      </c>
      <c r="L584" s="12" t="n">
        <v>0</v>
      </c>
      <c r="M584" s="12" t="n">
        <v>32</v>
      </c>
      <c r="N584" s="12" t="n">
        <v>32</v>
      </c>
      <c r="O584" s="12" t="n">
        <v>611</v>
      </c>
      <c r="P584" s="16" t="n">
        <f aca="false">O584/3</f>
        <v>203.666666666667</v>
      </c>
      <c r="Q584" s="17" t="str">
        <f aca="false">INT(O584/3)&amp;"."&amp;MOD(O584,3)</f>
        <v>203.2</v>
      </c>
      <c r="R584" s="12" t="n">
        <v>160</v>
      </c>
      <c r="S584" s="12" t="n">
        <v>100</v>
      </c>
      <c r="T584" s="12" t="n">
        <v>92</v>
      </c>
      <c r="U584" s="12" t="n">
        <v>25</v>
      </c>
      <c r="V584" s="12" t="n">
        <v>86</v>
      </c>
      <c r="W584" s="12" t="n">
        <v>253</v>
      </c>
      <c r="X584" s="12" t="n">
        <v>4</v>
      </c>
      <c r="Y584" s="18" t="n">
        <f aca="false">IF(O584=0,0,T584*27/O584)</f>
        <v>4.06546644844517</v>
      </c>
      <c r="Z584" s="18" t="n">
        <f aca="false">IF(P584=0,0,(V584+R584)/P584)</f>
        <v>1.20785597381342</v>
      </c>
      <c r="AA584" s="18" t="n">
        <f aca="false">IF(O584=0,0,W584*27/O584)</f>
        <v>11.1800327332242</v>
      </c>
      <c r="AB584" s="18" t="n">
        <f aca="false">IF(O584=0,0,V584*27/O584)</f>
        <v>3.80032733224223</v>
      </c>
      <c r="AC584" s="18" t="n">
        <f aca="false">IF(V584=0,0,W584/V584)</f>
        <v>2.94186046511628</v>
      </c>
      <c r="AD584" s="18" t="n">
        <f aca="false">IF(P584=0,0,(13*U584+3*(V584+X584)-2*W584)/P584+INDEX(球季參數!$C$2:$C$4,MATCH($A584,球季參數!$A$2:$A$4,0)))</f>
        <v>3.53698854337152</v>
      </c>
      <c r="AE584" s="11" t="n">
        <f aca="false">IF(P584&gt;=INDEX(球季參數!$F$2:$F$4,MATCH($A584,球季參數!$A$2:$A$4,0)),1,0)</f>
        <v>1</v>
      </c>
    </row>
    <row r="585" customFormat="false" ht="15" hidden="false" customHeight="false" outlineLevel="0" collapsed="false">
      <c r="A585" s="5" t="n">
        <v>2025</v>
      </c>
      <c r="B585" s="7" t="s">
        <v>1623</v>
      </c>
      <c r="C585" s="10" t="str">
        <f aca="false">INDEX(球員主檔!$B$2:$B$749,MATCH($B585,球員主檔!$A$2:$A$749,0))</f>
        <v>Lucien Arceneaux</v>
      </c>
      <c r="D585" s="7" t="s">
        <v>459</v>
      </c>
      <c r="E585" s="10" t="str">
        <f aca="false">INDEX(球隊主檔!$C$2:$C$31,MATCH($D585,球隊主檔!$A$2:$A$31,0))</f>
        <v>聖地牙哥教士</v>
      </c>
      <c r="F585" s="10" t="str">
        <f aca="false">INDEX(球隊主檔!$D$2:$D$31,MATCH($D585,球隊主檔!$A$2:$A$31,0))</f>
        <v>國聯</v>
      </c>
      <c r="G585" s="7" t="s">
        <v>496</v>
      </c>
      <c r="H585" s="11" t="n">
        <f aca="false">INT((DATE($A585,7,1)-INDEX(球員主檔!$G$2:$G$749,MATCH($B585,球員主檔!$A$2:$A$749,0)))/365.25)</f>
        <v>27</v>
      </c>
      <c r="I585" s="12" t="n">
        <v>7</v>
      </c>
      <c r="J585" s="12" t="n">
        <v>3</v>
      </c>
      <c r="K585" s="12" t="n">
        <v>0</v>
      </c>
      <c r="L585" s="12" t="n">
        <v>0</v>
      </c>
      <c r="M585" s="12" t="n">
        <v>14</v>
      </c>
      <c r="N585" s="12" t="n">
        <v>14</v>
      </c>
      <c r="O585" s="12" t="n">
        <v>247</v>
      </c>
      <c r="P585" s="16" t="n">
        <f aca="false">O585/3</f>
        <v>82.3333333333333</v>
      </c>
      <c r="Q585" s="17" t="str">
        <f aca="false">INT(O585/3)&amp;"."&amp;MOD(O585,3)</f>
        <v>82.1</v>
      </c>
      <c r="R585" s="12" t="n">
        <v>72</v>
      </c>
      <c r="S585" s="12" t="n">
        <v>39</v>
      </c>
      <c r="T585" s="12" t="n">
        <v>39</v>
      </c>
      <c r="U585" s="12" t="n">
        <v>16</v>
      </c>
      <c r="V585" s="12" t="n">
        <v>10</v>
      </c>
      <c r="W585" s="12" t="n">
        <v>78</v>
      </c>
      <c r="X585" s="12" t="n">
        <v>3</v>
      </c>
      <c r="Y585" s="18" t="n">
        <f aca="false">IF(O585=0,0,T585*27/O585)</f>
        <v>4.26315789473684</v>
      </c>
      <c r="Z585" s="18" t="n">
        <f aca="false">IF(P585=0,0,(V585+R585)/P585)</f>
        <v>0.995951417004049</v>
      </c>
      <c r="AA585" s="18" t="n">
        <f aca="false">IF(O585=0,0,W585*27/O585)</f>
        <v>8.52631578947369</v>
      </c>
      <c r="AB585" s="18" t="n">
        <f aca="false">IF(O585=0,0,V585*27/O585)</f>
        <v>1.09311740890688</v>
      </c>
      <c r="AC585" s="18" t="n">
        <f aca="false">IF(V585=0,0,W585/V585)</f>
        <v>7.8</v>
      </c>
      <c r="AD585" s="18" t="n">
        <f aca="false">IF(P585=0,0,(13*U585+3*(V585+X585)-2*W585)/P585+INDEX(球季參數!$C$2:$C$4,MATCH($A585,球季參數!$A$2:$A$4,0)))</f>
        <v>4.20526315789474</v>
      </c>
      <c r="AE585" s="11" t="n">
        <f aca="false">IF(P585&gt;=INDEX(球季參數!$F$2:$F$4,MATCH($A585,球季參數!$A$2:$A$4,0)),1,0)</f>
        <v>0</v>
      </c>
    </row>
    <row r="586" customFormat="false" ht="15" hidden="false" customHeight="false" outlineLevel="0" collapsed="false">
      <c r="A586" s="5" t="n">
        <v>2025</v>
      </c>
      <c r="B586" s="7" t="s">
        <v>1625</v>
      </c>
      <c r="C586" s="10" t="str">
        <f aca="false">INDEX(球員主檔!$B$2:$B$749,MATCH($B586,球員主檔!$A$2:$A$749,0))</f>
        <v>Marcus Iwasaki</v>
      </c>
      <c r="D586" s="7" t="s">
        <v>459</v>
      </c>
      <c r="E586" s="10" t="str">
        <f aca="false">INDEX(球隊主檔!$C$2:$C$31,MATCH($D586,球隊主檔!$A$2:$A$31,0))</f>
        <v>聖地牙哥教士</v>
      </c>
      <c r="F586" s="10" t="str">
        <f aca="false">INDEX(球隊主檔!$D$2:$D$31,MATCH($D586,球隊主檔!$A$2:$A$31,0))</f>
        <v>國聯</v>
      </c>
      <c r="G586" s="7" t="s">
        <v>496</v>
      </c>
      <c r="H586" s="11" t="n">
        <f aca="false">INT((DATE($A586,7,1)-INDEX(球員主檔!$G$2:$G$749,MATCH($B586,球員主檔!$A$2:$A$749,0)))/365.25)</f>
        <v>27</v>
      </c>
      <c r="I586" s="12" t="n">
        <v>11</v>
      </c>
      <c r="J586" s="12" t="n">
        <v>12</v>
      </c>
      <c r="K586" s="12" t="n">
        <v>0</v>
      </c>
      <c r="L586" s="12" t="n">
        <v>0</v>
      </c>
      <c r="M586" s="12" t="n">
        <v>31</v>
      </c>
      <c r="N586" s="12" t="n">
        <v>31</v>
      </c>
      <c r="O586" s="12" t="n">
        <v>588</v>
      </c>
      <c r="P586" s="16" t="n">
        <f aca="false">O586/3</f>
        <v>196</v>
      </c>
      <c r="Q586" s="17" t="str">
        <f aca="false">INT(O586/3)&amp;"."&amp;MOD(O586,3)</f>
        <v>196.0</v>
      </c>
      <c r="R586" s="12" t="n">
        <v>182</v>
      </c>
      <c r="S586" s="12" t="n">
        <v>120</v>
      </c>
      <c r="T586" s="12" t="n">
        <v>119</v>
      </c>
      <c r="U586" s="12" t="n">
        <v>18</v>
      </c>
      <c r="V586" s="12" t="n">
        <v>72</v>
      </c>
      <c r="W586" s="12" t="n">
        <v>258</v>
      </c>
      <c r="X586" s="12" t="n">
        <v>8</v>
      </c>
      <c r="Y586" s="18" t="n">
        <f aca="false">IF(O586=0,0,T586*27/O586)</f>
        <v>5.46428571428571</v>
      </c>
      <c r="Z586" s="18" t="n">
        <f aca="false">IF(P586=0,0,(V586+R586)/P586)</f>
        <v>1.29591836734694</v>
      </c>
      <c r="AA586" s="18" t="n">
        <f aca="false">IF(O586=0,0,W586*27/O586)</f>
        <v>11.8469387755102</v>
      </c>
      <c r="AB586" s="18" t="n">
        <f aca="false">IF(O586=0,0,V586*27/O586)</f>
        <v>3.30612244897959</v>
      </c>
      <c r="AC586" s="18" t="n">
        <f aca="false">IF(V586=0,0,W586/V586)</f>
        <v>3.58333333333333</v>
      </c>
      <c r="AD586" s="18" t="n">
        <f aca="false">IF(P586=0,0,(13*U586+3*(V586+X586)-2*W586)/P586+INDEX(球季參數!$C$2:$C$4,MATCH($A586,球季參數!$A$2:$A$4,0)))</f>
        <v>2.88571428571429</v>
      </c>
      <c r="AE586" s="11" t="n">
        <f aca="false">IF(P586&gt;=INDEX(球季參數!$F$2:$F$4,MATCH($A586,球季參數!$A$2:$A$4,0)),1,0)</f>
        <v>1</v>
      </c>
    </row>
    <row r="587" customFormat="false" ht="15" hidden="false" customHeight="false" outlineLevel="0" collapsed="false">
      <c r="A587" s="5" t="n">
        <v>2025</v>
      </c>
      <c r="B587" s="7" t="s">
        <v>1627</v>
      </c>
      <c r="C587" s="10" t="str">
        <f aca="false">INDEX(球員主檔!$B$2:$B$749,MATCH($B587,球員主檔!$A$2:$A$749,0))</f>
        <v>Leandro Halloway</v>
      </c>
      <c r="D587" s="7" t="s">
        <v>459</v>
      </c>
      <c r="E587" s="10" t="str">
        <f aca="false">INDEX(球隊主檔!$C$2:$C$31,MATCH($D587,球隊主檔!$A$2:$A$31,0))</f>
        <v>聖地牙哥教士</v>
      </c>
      <c r="F587" s="10" t="str">
        <f aca="false">INDEX(球隊主檔!$D$2:$D$31,MATCH($D587,球隊主檔!$A$2:$A$31,0))</f>
        <v>國聯</v>
      </c>
      <c r="G587" s="7" t="s">
        <v>507</v>
      </c>
      <c r="H587" s="11" t="n">
        <f aca="false">INT((DATE($A587,7,1)-INDEX(球員主檔!$G$2:$G$749,MATCH($B587,球員主檔!$A$2:$A$749,0)))/365.25)</f>
        <v>28</v>
      </c>
      <c r="I587" s="12" t="n">
        <v>7</v>
      </c>
      <c r="J587" s="12" t="n">
        <v>3</v>
      </c>
      <c r="K587" s="12" t="n">
        <v>31</v>
      </c>
      <c r="L587" s="12" t="n">
        <v>0</v>
      </c>
      <c r="M587" s="12" t="n">
        <v>66</v>
      </c>
      <c r="N587" s="12" t="n">
        <v>0</v>
      </c>
      <c r="O587" s="12" t="n">
        <v>174</v>
      </c>
      <c r="P587" s="16" t="n">
        <f aca="false">O587/3</f>
        <v>58</v>
      </c>
      <c r="Q587" s="17" t="str">
        <f aca="false">INT(O587/3)&amp;"."&amp;MOD(O587,3)</f>
        <v>58.0</v>
      </c>
      <c r="R587" s="12" t="n">
        <v>45</v>
      </c>
      <c r="S587" s="12" t="n">
        <v>28</v>
      </c>
      <c r="T587" s="12" t="n">
        <v>25</v>
      </c>
      <c r="U587" s="12" t="n">
        <v>7</v>
      </c>
      <c r="V587" s="12" t="n">
        <v>19</v>
      </c>
      <c r="W587" s="12" t="n">
        <v>61</v>
      </c>
      <c r="X587" s="12" t="n">
        <v>1</v>
      </c>
      <c r="Y587" s="18" t="n">
        <f aca="false">IF(O587=0,0,T587*27/O587)</f>
        <v>3.87931034482759</v>
      </c>
      <c r="Z587" s="18" t="n">
        <f aca="false">IF(P587=0,0,(V587+R587)/P587)</f>
        <v>1.10344827586207</v>
      </c>
      <c r="AA587" s="18" t="n">
        <f aca="false">IF(O587=0,0,W587*27/O587)</f>
        <v>9.46551724137931</v>
      </c>
      <c r="AB587" s="18" t="n">
        <f aca="false">IF(O587=0,0,V587*27/O587)</f>
        <v>2.94827586206897</v>
      </c>
      <c r="AC587" s="18" t="n">
        <f aca="false">IF(V587=0,0,W587/V587)</f>
        <v>3.21052631578947</v>
      </c>
      <c r="AD587" s="18" t="n">
        <f aca="false">IF(P587=0,0,(13*U587+3*(V587+X587)-2*W587)/P587+INDEX(球季參數!$C$2:$C$4,MATCH($A587,球季參數!$A$2:$A$4,0)))</f>
        <v>3.6</v>
      </c>
      <c r="AE587" s="11" t="n">
        <f aca="false">IF(P587&gt;=INDEX(球季參數!$F$2:$F$4,MATCH($A587,球季參數!$A$2:$A$4,0)),1,0)</f>
        <v>0</v>
      </c>
    </row>
    <row r="588" customFormat="false" ht="15" hidden="false" customHeight="false" outlineLevel="0" collapsed="false">
      <c r="A588" s="5" t="n">
        <v>2025</v>
      </c>
      <c r="B588" s="7" t="s">
        <v>1799</v>
      </c>
      <c r="C588" s="10" t="str">
        <f aca="false">INDEX(球員主檔!$B$2:$B$749,MATCH($B588,球員主檔!$A$2:$A$749,0))</f>
        <v>Rhett Caldera</v>
      </c>
      <c r="D588" s="7" t="s">
        <v>459</v>
      </c>
      <c r="E588" s="10" t="str">
        <f aca="false">INDEX(球隊主檔!$C$2:$C$31,MATCH($D588,球隊主檔!$A$2:$A$31,0))</f>
        <v>聖地牙哥教士</v>
      </c>
      <c r="F588" s="10" t="str">
        <f aca="false">INDEX(球隊主檔!$D$2:$D$31,MATCH($D588,球隊主檔!$A$2:$A$31,0))</f>
        <v>國聯</v>
      </c>
      <c r="G588" s="7" t="s">
        <v>507</v>
      </c>
      <c r="H588" s="11" t="n">
        <f aca="false">INT((DATE($A588,7,1)-INDEX(球員主檔!$G$2:$G$749,MATCH($B588,球員主檔!$A$2:$A$749,0)))/365.25)</f>
        <v>24</v>
      </c>
      <c r="I588" s="12" t="n">
        <v>0</v>
      </c>
      <c r="J588" s="12" t="n">
        <v>0</v>
      </c>
      <c r="K588" s="12" t="n">
        <v>6</v>
      </c>
      <c r="L588" s="12" t="n">
        <v>20</v>
      </c>
      <c r="M588" s="12" t="n">
        <v>61</v>
      </c>
      <c r="N588" s="12" t="n">
        <v>0</v>
      </c>
      <c r="O588" s="12" t="n">
        <v>193</v>
      </c>
      <c r="P588" s="16" t="n">
        <f aca="false">O588/3</f>
        <v>64.3333333333333</v>
      </c>
      <c r="Q588" s="17" t="str">
        <f aca="false">INT(O588/3)&amp;"."&amp;MOD(O588,3)</f>
        <v>64.1</v>
      </c>
      <c r="R588" s="12" t="n">
        <v>48</v>
      </c>
      <c r="S588" s="12" t="n">
        <v>20</v>
      </c>
      <c r="T588" s="12" t="n">
        <v>20</v>
      </c>
      <c r="U588" s="12" t="n">
        <v>6</v>
      </c>
      <c r="V588" s="12" t="n">
        <v>25</v>
      </c>
      <c r="W588" s="12" t="n">
        <v>63</v>
      </c>
      <c r="X588" s="12" t="n">
        <v>3</v>
      </c>
      <c r="Y588" s="18" t="n">
        <f aca="false">IF(O588=0,0,T588*27/O588)</f>
        <v>2.7979274611399</v>
      </c>
      <c r="Z588" s="18" t="n">
        <f aca="false">IF(P588=0,0,(V588+R588)/P588)</f>
        <v>1.13471502590674</v>
      </c>
      <c r="AA588" s="18" t="n">
        <f aca="false">IF(O588=0,0,W588*27/O588)</f>
        <v>8.81347150259067</v>
      </c>
      <c r="AB588" s="18" t="n">
        <f aca="false">IF(O588=0,0,V588*27/O588)</f>
        <v>3.49740932642487</v>
      </c>
      <c r="AC588" s="18" t="n">
        <f aca="false">IF(V588=0,0,W588/V588)</f>
        <v>2.52</v>
      </c>
      <c r="AD588" s="18" t="n">
        <f aca="false">IF(P588=0,0,(13*U588+3*(V588+X588)-2*W588)/P588+INDEX(球季參數!$C$2:$C$4,MATCH($A588,球季參數!$A$2:$A$4,0)))</f>
        <v>3.65958549222798</v>
      </c>
      <c r="AE588" s="11" t="n">
        <f aca="false">IF(P588&gt;=INDEX(球季參數!$F$2:$F$4,MATCH($A588,球季參數!$A$2:$A$4,0)),1,0)</f>
        <v>0</v>
      </c>
    </row>
    <row r="589" customFormat="false" ht="15" hidden="false" customHeight="false" outlineLevel="0" collapsed="false">
      <c r="A589" s="5" t="n">
        <v>2025</v>
      </c>
      <c r="B589" s="7" t="s">
        <v>1631</v>
      </c>
      <c r="C589" s="10" t="str">
        <f aca="false">INDEX(球員主檔!$B$2:$B$749,MATCH($B589,球員主檔!$A$2:$A$749,0))</f>
        <v>Everett Alcorn</v>
      </c>
      <c r="D589" s="7" t="s">
        <v>459</v>
      </c>
      <c r="E589" s="10" t="str">
        <f aca="false">INDEX(球隊主檔!$C$2:$C$31,MATCH($D589,球隊主檔!$A$2:$A$31,0))</f>
        <v>聖地牙哥教士</v>
      </c>
      <c r="F589" s="10" t="str">
        <f aca="false">INDEX(球隊主檔!$D$2:$D$31,MATCH($D589,球隊主檔!$A$2:$A$31,0))</f>
        <v>國聯</v>
      </c>
      <c r="G589" s="7" t="s">
        <v>507</v>
      </c>
      <c r="H589" s="11" t="n">
        <f aca="false">INT((DATE($A589,7,1)-INDEX(球員主檔!$G$2:$G$749,MATCH($B589,球員主檔!$A$2:$A$749,0)))/365.25)</f>
        <v>29</v>
      </c>
      <c r="I589" s="12" t="n">
        <v>4</v>
      </c>
      <c r="J589" s="12" t="n">
        <v>4</v>
      </c>
      <c r="K589" s="12" t="n">
        <v>4</v>
      </c>
      <c r="L589" s="12" t="n">
        <v>6</v>
      </c>
      <c r="M589" s="12" t="n">
        <v>45</v>
      </c>
      <c r="N589" s="12" t="n">
        <v>0</v>
      </c>
      <c r="O589" s="12" t="n">
        <v>135</v>
      </c>
      <c r="P589" s="16" t="n">
        <f aca="false">O589/3</f>
        <v>45</v>
      </c>
      <c r="Q589" s="17" t="str">
        <f aca="false">INT(O589/3)&amp;"."&amp;MOD(O589,3)</f>
        <v>45.0</v>
      </c>
      <c r="R589" s="12" t="n">
        <v>40</v>
      </c>
      <c r="S589" s="12" t="n">
        <v>22</v>
      </c>
      <c r="T589" s="12" t="n">
        <v>20</v>
      </c>
      <c r="U589" s="12" t="n">
        <v>3</v>
      </c>
      <c r="V589" s="12" t="n">
        <v>27</v>
      </c>
      <c r="W589" s="12" t="n">
        <v>57</v>
      </c>
      <c r="X589" s="12" t="n">
        <v>2</v>
      </c>
      <c r="Y589" s="18" t="n">
        <f aca="false">IF(O589=0,0,T589*27/O589)</f>
        <v>4</v>
      </c>
      <c r="Z589" s="18" t="n">
        <f aca="false">IF(P589=0,0,(V589+R589)/P589)</f>
        <v>1.48888888888889</v>
      </c>
      <c r="AA589" s="18" t="n">
        <f aca="false">IF(O589=0,0,W589*27/O589)</f>
        <v>11.4</v>
      </c>
      <c r="AB589" s="18" t="n">
        <f aca="false">IF(O589=0,0,V589*27/O589)</f>
        <v>5.4</v>
      </c>
      <c r="AC589" s="18" t="n">
        <f aca="false">IF(V589=0,0,W589/V589)</f>
        <v>2.11111111111111</v>
      </c>
      <c r="AD589" s="18" t="n">
        <f aca="false">IF(P589=0,0,(13*U589+3*(V589+X589)-2*W589)/P589+INDEX(球季參數!$C$2:$C$4,MATCH($A589,球季參數!$A$2:$A$4,0)))</f>
        <v>3.36666666666667</v>
      </c>
      <c r="AE589" s="11" t="n">
        <f aca="false">IF(P589&gt;=INDEX(球季參數!$F$2:$F$4,MATCH($A589,球季參數!$A$2:$A$4,0)),1,0)</f>
        <v>0</v>
      </c>
    </row>
    <row r="590" customFormat="false" ht="15" hidden="false" customHeight="false" outlineLevel="0" collapsed="false">
      <c r="A590" s="5" t="n">
        <v>2025</v>
      </c>
      <c r="B590" s="7" t="s">
        <v>1633</v>
      </c>
      <c r="C590" s="10" t="str">
        <f aca="false">INDEX(球員主檔!$B$2:$B$749,MATCH($B590,球員主檔!$A$2:$A$749,0))</f>
        <v>Silas Garrity</v>
      </c>
      <c r="D590" s="7" t="s">
        <v>459</v>
      </c>
      <c r="E590" s="10" t="str">
        <f aca="false">INDEX(球隊主檔!$C$2:$C$31,MATCH($D590,球隊主檔!$A$2:$A$31,0))</f>
        <v>聖地牙哥教士</v>
      </c>
      <c r="F590" s="10" t="str">
        <f aca="false">INDEX(球隊主檔!$D$2:$D$31,MATCH($D590,球隊主檔!$A$2:$A$31,0))</f>
        <v>國聯</v>
      </c>
      <c r="G590" s="7" t="s">
        <v>507</v>
      </c>
      <c r="H590" s="11" t="n">
        <f aca="false">INT((DATE($A590,7,1)-INDEX(球員主檔!$G$2:$G$749,MATCH($B590,球員主檔!$A$2:$A$749,0)))/365.25)</f>
        <v>27</v>
      </c>
      <c r="I590" s="12" t="n">
        <v>7</v>
      </c>
      <c r="J590" s="12" t="n">
        <v>3</v>
      </c>
      <c r="K590" s="12" t="n">
        <v>4</v>
      </c>
      <c r="L590" s="12" t="n">
        <v>7</v>
      </c>
      <c r="M590" s="12" t="n">
        <v>74</v>
      </c>
      <c r="N590" s="12" t="n">
        <v>0</v>
      </c>
      <c r="O590" s="12" t="n">
        <v>235</v>
      </c>
      <c r="P590" s="16" t="n">
        <f aca="false">O590/3</f>
        <v>78.3333333333333</v>
      </c>
      <c r="Q590" s="17" t="str">
        <f aca="false">INT(O590/3)&amp;"."&amp;MOD(O590,3)</f>
        <v>78.1</v>
      </c>
      <c r="R590" s="12" t="n">
        <v>78</v>
      </c>
      <c r="S590" s="12" t="n">
        <v>53</v>
      </c>
      <c r="T590" s="12" t="n">
        <v>49</v>
      </c>
      <c r="U590" s="12" t="n">
        <v>16</v>
      </c>
      <c r="V590" s="12" t="n">
        <v>28</v>
      </c>
      <c r="W590" s="12" t="n">
        <v>86</v>
      </c>
      <c r="X590" s="12" t="n">
        <v>4</v>
      </c>
      <c r="Y590" s="18" t="n">
        <f aca="false">IF(O590=0,0,T590*27/O590)</f>
        <v>5.62978723404255</v>
      </c>
      <c r="Z590" s="18" t="n">
        <f aca="false">IF(P590=0,0,(V590+R590)/P590)</f>
        <v>1.3531914893617</v>
      </c>
      <c r="AA590" s="18" t="n">
        <f aca="false">IF(O590=0,0,W590*27/O590)</f>
        <v>9.88085106382979</v>
      </c>
      <c r="AB590" s="18" t="n">
        <f aca="false">IF(O590=0,0,V590*27/O590)</f>
        <v>3.21702127659575</v>
      </c>
      <c r="AC590" s="18" t="n">
        <f aca="false">IF(V590=0,0,W590/V590)</f>
        <v>3.07142857142857</v>
      </c>
      <c r="AD590" s="18" t="n">
        <f aca="false">IF(P590=0,0,(13*U590+3*(V590+X590)-2*W590)/P590+INDEX(球季參數!$C$2:$C$4,MATCH($A590,球季參數!$A$2:$A$4,0)))</f>
        <v>4.78510638297872</v>
      </c>
      <c r="AE590" s="11" t="n">
        <f aca="false">IF(P590&gt;=INDEX(球季參數!$F$2:$F$4,MATCH($A590,球季參數!$A$2:$A$4,0)),1,0)</f>
        <v>0</v>
      </c>
    </row>
    <row r="591" customFormat="false" ht="15" hidden="false" customHeight="false" outlineLevel="0" collapsed="false">
      <c r="A591" s="5" t="n">
        <v>2025</v>
      </c>
      <c r="B591" s="7" t="s">
        <v>1635</v>
      </c>
      <c r="C591" s="10" t="str">
        <f aca="false">INDEX(球員主檔!$B$2:$B$749,MATCH($B591,球員主檔!$A$2:$A$749,0))</f>
        <v>Cedric Cavanaugh</v>
      </c>
      <c r="D591" s="7" t="s">
        <v>459</v>
      </c>
      <c r="E591" s="10" t="str">
        <f aca="false">INDEX(球隊主檔!$C$2:$C$31,MATCH($D591,球隊主檔!$A$2:$A$31,0))</f>
        <v>聖地牙哥教士</v>
      </c>
      <c r="F591" s="10" t="str">
        <f aca="false">INDEX(球隊主檔!$D$2:$D$31,MATCH($D591,球隊主檔!$A$2:$A$31,0))</f>
        <v>國聯</v>
      </c>
      <c r="G591" s="7" t="s">
        <v>507</v>
      </c>
      <c r="H591" s="11" t="n">
        <f aca="false">INT((DATE($A591,7,1)-INDEX(球員主檔!$G$2:$G$749,MATCH($B591,球員主檔!$A$2:$A$749,0)))/365.25)</f>
        <v>26</v>
      </c>
      <c r="I591" s="12" t="n">
        <v>6</v>
      </c>
      <c r="J591" s="12" t="n">
        <v>1</v>
      </c>
      <c r="K591" s="12" t="n">
        <v>2</v>
      </c>
      <c r="L591" s="12" t="n">
        <v>11</v>
      </c>
      <c r="M591" s="12" t="n">
        <v>56</v>
      </c>
      <c r="N591" s="12" t="n">
        <v>0</v>
      </c>
      <c r="O591" s="12" t="n">
        <v>152</v>
      </c>
      <c r="P591" s="16" t="n">
        <f aca="false">O591/3</f>
        <v>50.6666666666667</v>
      </c>
      <c r="Q591" s="17" t="str">
        <f aca="false">INT(O591/3)&amp;"."&amp;MOD(O591,3)</f>
        <v>50.2</v>
      </c>
      <c r="R591" s="12" t="n">
        <v>44</v>
      </c>
      <c r="S591" s="12" t="n">
        <v>24</v>
      </c>
      <c r="T591" s="12" t="n">
        <v>23</v>
      </c>
      <c r="U591" s="12" t="n">
        <v>7</v>
      </c>
      <c r="V591" s="12" t="n">
        <v>22</v>
      </c>
      <c r="W591" s="12" t="n">
        <v>70</v>
      </c>
      <c r="X591" s="12" t="n">
        <v>3</v>
      </c>
      <c r="Y591" s="18" t="n">
        <f aca="false">IF(O591=0,0,T591*27/O591)</f>
        <v>4.08552631578947</v>
      </c>
      <c r="Z591" s="18" t="n">
        <f aca="false">IF(P591=0,0,(V591+R591)/P591)</f>
        <v>1.30263157894737</v>
      </c>
      <c r="AA591" s="18" t="n">
        <f aca="false">IF(O591=0,0,W591*27/O591)</f>
        <v>12.4342105263158</v>
      </c>
      <c r="AB591" s="18" t="n">
        <f aca="false">IF(O591=0,0,V591*27/O591)</f>
        <v>3.90789473684211</v>
      </c>
      <c r="AC591" s="18" t="n">
        <f aca="false">IF(V591=0,0,W591/V591)</f>
        <v>3.18181818181818</v>
      </c>
      <c r="AD591" s="18" t="n">
        <f aca="false">IF(P591=0,0,(13*U591+3*(V591+X591)-2*W591)/P591+INDEX(球季參數!$C$2:$C$4,MATCH($A591,球季參數!$A$2:$A$4,0)))</f>
        <v>3.61315789473684</v>
      </c>
      <c r="AE591" s="11" t="n">
        <f aca="false">IF(P591&gt;=INDEX(球季參數!$F$2:$F$4,MATCH($A591,球季參數!$A$2:$A$4,0)),1,0)</f>
        <v>0</v>
      </c>
    </row>
    <row r="592" customFormat="false" ht="15" hidden="false" customHeight="false" outlineLevel="0" collapsed="false">
      <c r="A592" s="5" t="n">
        <v>2025</v>
      </c>
      <c r="B592" s="7" t="s">
        <v>1805</v>
      </c>
      <c r="C592" s="10" t="str">
        <f aca="false">INDEX(球員主檔!$B$2:$B$749,MATCH($B592,球員主檔!$A$2:$A$749,0))</f>
        <v>Soren Iwasaki</v>
      </c>
      <c r="D592" s="7" t="s">
        <v>463</v>
      </c>
      <c r="E592" s="10" t="str">
        <f aca="false">INDEX(球隊主檔!$C$2:$C$31,MATCH($D592,球隊主檔!$A$2:$A$31,0))</f>
        <v>舊金山巨人</v>
      </c>
      <c r="F592" s="10" t="str">
        <f aca="false">INDEX(球隊主檔!$D$2:$D$31,MATCH($D592,球隊主檔!$A$2:$A$31,0))</f>
        <v>國聯</v>
      </c>
      <c r="G592" s="7" t="s">
        <v>496</v>
      </c>
      <c r="H592" s="11" t="n">
        <f aca="false">INT((DATE($A592,7,1)-INDEX(球員主檔!$G$2:$G$749,MATCH($B592,球員主檔!$A$2:$A$749,0)))/365.25)</f>
        <v>22</v>
      </c>
      <c r="I592" s="12" t="n">
        <v>16</v>
      </c>
      <c r="J592" s="12" t="n">
        <v>4</v>
      </c>
      <c r="K592" s="12" t="n">
        <v>0</v>
      </c>
      <c r="L592" s="12" t="n">
        <v>0</v>
      </c>
      <c r="M592" s="12" t="n">
        <v>30</v>
      </c>
      <c r="N592" s="12" t="n">
        <v>30</v>
      </c>
      <c r="O592" s="12" t="n">
        <v>482</v>
      </c>
      <c r="P592" s="16" t="n">
        <f aca="false">O592/3</f>
        <v>160.666666666667</v>
      </c>
      <c r="Q592" s="17" t="str">
        <f aca="false">INT(O592/3)&amp;"."&amp;MOD(O592,3)</f>
        <v>160.2</v>
      </c>
      <c r="R592" s="12" t="n">
        <v>107</v>
      </c>
      <c r="S592" s="12" t="n">
        <v>42</v>
      </c>
      <c r="T592" s="12" t="n">
        <v>40</v>
      </c>
      <c r="U592" s="12" t="n">
        <v>23</v>
      </c>
      <c r="V592" s="12" t="n">
        <v>62</v>
      </c>
      <c r="W592" s="12" t="n">
        <v>144</v>
      </c>
      <c r="X592" s="12" t="n">
        <v>9</v>
      </c>
      <c r="Y592" s="18" t="n">
        <f aca="false">IF(O592=0,0,T592*27/O592)</f>
        <v>2.24066390041494</v>
      </c>
      <c r="Z592" s="18" t="n">
        <f aca="false">IF(P592=0,0,(V592+R592)/P592)</f>
        <v>1.05186721991701</v>
      </c>
      <c r="AA592" s="18" t="n">
        <f aca="false">IF(O592=0,0,W592*27/O592)</f>
        <v>8.06639004149378</v>
      </c>
      <c r="AB592" s="18" t="n">
        <f aca="false">IF(O592=0,0,V592*27/O592)</f>
        <v>3.47302904564315</v>
      </c>
      <c r="AC592" s="18" t="n">
        <f aca="false">IF(V592=0,0,W592/V592)</f>
        <v>2.32258064516129</v>
      </c>
      <c r="AD592" s="18" t="n">
        <f aca="false">IF(P592=0,0,(13*U592+3*(V592+X592)-2*W592)/P592+INDEX(球季參數!$C$2:$C$4,MATCH($A592,球季參數!$A$2:$A$4,0)))</f>
        <v>4.4941908713693</v>
      </c>
      <c r="AE592" s="11" t="n">
        <f aca="false">IF(P592&gt;=INDEX(球季參數!$F$2:$F$4,MATCH($A592,球季參數!$A$2:$A$4,0)),1,0)</f>
        <v>0</v>
      </c>
    </row>
    <row r="593" customFormat="false" ht="15" hidden="false" customHeight="false" outlineLevel="0" collapsed="false">
      <c r="A593" s="5" t="n">
        <v>2025</v>
      </c>
      <c r="B593" s="7" t="s">
        <v>1659</v>
      </c>
      <c r="C593" s="10" t="str">
        <f aca="false">INDEX(球員主檔!$B$2:$B$749,MATCH($B593,球員主檔!$A$2:$A$749,0))</f>
        <v>Garrison Jaramillo</v>
      </c>
      <c r="D593" s="7" t="s">
        <v>463</v>
      </c>
      <c r="E593" s="10" t="str">
        <f aca="false">INDEX(球隊主檔!$C$2:$C$31,MATCH($D593,球隊主檔!$A$2:$A$31,0))</f>
        <v>舊金山巨人</v>
      </c>
      <c r="F593" s="10" t="str">
        <f aca="false">INDEX(球隊主檔!$D$2:$D$31,MATCH($D593,球隊主檔!$A$2:$A$31,0))</f>
        <v>國聯</v>
      </c>
      <c r="G593" s="7" t="s">
        <v>496</v>
      </c>
      <c r="H593" s="11" t="n">
        <f aca="false">INT((DATE($A593,7,1)-INDEX(球員主檔!$G$2:$G$749,MATCH($B593,球員主檔!$A$2:$A$749,0)))/365.25)</f>
        <v>30</v>
      </c>
      <c r="I593" s="12" t="n">
        <v>16</v>
      </c>
      <c r="J593" s="12" t="n">
        <v>9</v>
      </c>
      <c r="K593" s="12" t="n">
        <v>0</v>
      </c>
      <c r="L593" s="12" t="n">
        <v>0</v>
      </c>
      <c r="M593" s="12" t="n">
        <v>33</v>
      </c>
      <c r="N593" s="12" t="n">
        <v>33</v>
      </c>
      <c r="O593" s="12" t="n">
        <v>495</v>
      </c>
      <c r="P593" s="16" t="n">
        <f aca="false">O593/3</f>
        <v>165</v>
      </c>
      <c r="Q593" s="17" t="str">
        <f aca="false">INT(O593/3)&amp;"."&amp;MOD(O593,3)</f>
        <v>165.0</v>
      </c>
      <c r="R593" s="12" t="n">
        <v>141</v>
      </c>
      <c r="S593" s="12" t="n">
        <v>87</v>
      </c>
      <c r="T593" s="12" t="n">
        <v>81</v>
      </c>
      <c r="U593" s="12" t="n">
        <v>22</v>
      </c>
      <c r="V593" s="12" t="n">
        <v>66</v>
      </c>
      <c r="W593" s="12" t="n">
        <v>164</v>
      </c>
      <c r="X593" s="12" t="n">
        <v>9</v>
      </c>
      <c r="Y593" s="18" t="n">
        <f aca="false">IF(O593=0,0,T593*27/O593)</f>
        <v>4.41818181818182</v>
      </c>
      <c r="Z593" s="18" t="n">
        <f aca="false">IF(P593=0,0,(V593+R593)/P593)</f>
        <v>1.25454545454545</v>
      </c>
      <c r="AA593" s="18" t="n">
        <f aca="false">IF(O593=0,0,W593*27/O593)</f>
        <v>8.94545454545455</v>
      </c>
      <c r="AB593" s="18" t="n">
        <f aca="false">IF(O593=0,0,V593*27/O593)</f>
        <v>3.6</v>
      </c>
      <c r="AC593" s="18" t="n">
        <f aca="false">IF(V593=0,0,W593/V593)</f>
        <v>2.48484848484849</v>
      </c>
      <c r="AD593" s="18" t="n">
        <f aca="false">IF(P593=0,0,(13*U593+3*(V593+X593)-2*W593)/P593+INDEX(球季參數!$C$2:$C$4,MATCH($A593,球季參數!$A$2:$A$4,0)))</f>
        <v>4.20909090909091</v>
      </c>
      <c r="AE593" s="11" t="n">
        <f aca="false">IF(P593&gt;=INDEX(球季參數!$F$2:$F$4,MATCH($A593,球季參數!$A$2:$A$4,0)),1,0)</f>
        <v>1</v>
      </c>
    </row>
    <row r="594" customFormat="false" ht="15" hidden="false" customHeight="false" outlineLevel="0" collapsed="false">
      <c r="A594" s="5" t="n">
        <v>2025</v>
      </c>
      <c r="B594" s="7" t="s">
        <v>1807</v>
      </c>
      <c r="C594" s="10" t="str">
        <f aca="false">INDEX(球員主檔!$B$2:$B$749,MATCH($B594,球員主檔!$A$2:$A$749,0))</f>
        <v>Wyatt Haverford</v>
      </c>
      <c r="D594" s="7" t="s">
        <v>463</v>
      </c>
      <c r="E594" s="10" t="str">
        <f aca="false">INDEX(球隊主檔!$C$2:$C$31,MATCH($D594,球隊主檔!$A$2:$A$31,0))</f>
        <v>舊金山巨人</v>
      </c>
      <c r="F594" s="10" t="str">
        <f aca="false">INDEX(球隊主檔!$D$2:$D$31,MATCH($D594,球隊主檔!$A$2:$A$31,0))</f>
        <v>國聯</v>
      </c>
      <c r="G594" s="7" t="s">
        <v>496</v>
      </c>
      <c r="H594" s="11" t="n">
        <f aca="false">INT((DATE($A594,7,1)-INDEX(球員主檔!$G$2:$G$749,MATCH($B594,球員主檔!$A$2:$A$749,0)))/365.25)</f>
        <v>22</v>
      </c>
      <c r="I594" s="12" t="n">
        <v>8</v>
      </c>
      <c r="J594" s="12" t="n">
        <v>5</v>
      </c>
      <c r="K594" s="12" t="n">
        <v>0</v>
      </c>
      <c r="L594" s="12" t="n">
        <v>0</v>
      </c>
      <c r="M594" s="12" t="n">
        <v>22</v>
      </c>
      <c r="N594" s="12" t="n">
        <v>22</v>
      </c>
      <c r="O594" s="12" t="n">
        <v>353</v>
      </c>
      <c r="P594" s="16" t="n">
        <f aca="false">O594/3</f>
        <v>117.666666666667</v>
      </c>
      <c r="Q594" s="17" t="str">
        <f aca="false">INT(O594/3)&amp;"."&amp;MOD(O594,3)</f>
        <v>117.2</v>
      </c>
      <c r="R594" s="12" t="n">
        <v>96</v>
      </c>
      <c r="S594" s="12" t="n">
        <v>45</v>
      </c>
      <c r="T594" s="12" t="n">
        <v>44</v>
      </c>
      <c r="U594" s="12" t="n">
        <v>12</v>
      </c>
      <c r="V594" s="12" t="n">
        <v>47</v>
      </c>
      <c r="W594" s="12" t="n">
        <v>89</v>
      </c>
      <c r="X594" s="12" t="n">
        <v>7</v>
      </c>
      <c r="Y594" s="18" t="n">
        <f aca="false">IF(O594=0,0,T594*27/O594)</f>
        <v>3.36543909348442</v>
      </c>
      <c r="Z594" s="18" t="n">
        <f aca="false">IF(P594=0,0,(V594+R594)/P594)</f>
        <v>1.21529745042493</v>
      </c>
      <c r="AA594" s="18" t="n">
        <f aca="false">IF(O594=0,0,W594*27/O594)</f>
        <v>6.80736543909348</v>
      </c>
      <c r="AB594" s="18" t="n">
        <f aca="false">IF(O594=0,0,V594*27/O594)</f>
        <v>3.59490084985836</v>
      </c>
      <c r="AC594" s="18" t="n">
        <f aca="false">IF(V594=0,0,W594/V594)</f>
        <v>1.8936170212766</v>
      </c>
      <c r="AD594" s="18" t="n">
        <f aca="false">IF(P594=0,0,(13*U594+3*(V594+X594)-2*W594)/P594+INDEX(球季參數!$C$2:$C$4,MATCH($A594,球季參數!$A$2:$A$4,0)))</f>
        <v>4.28980169971671</v>
      </c>
      <c r="AE594" s="11" t="n">
        <f aca="false">IF(P594&gt;=INDEX(球季參數!$F$2:$F$4,MATCH($A594,球季參數!$A$2:$A$4,0)),1,0)</f>
        <v>0</v>
      </c>
    </row>
    <row r="595" customFormat="false" ht="15" hidden="false" customHeight="false" outlineLevel="0" collapsed="false">
      <c r="A595" s="5" t="n">
        <v>2025</v>
      </c>
      <c r="B595" s="7" t="s">
        <v>1663</v>
      </c>
      <c r="C595" s="10" t="str">
        <f aca="false">INDEX(球員主檔!$B$2:$B$749,MATCH($B595,球員主檔!$A$2:$A$749,0))</f>
        <v>Joaquín Jovanović</v>
      </c>
      <c r="D595" s="7" t="s">
        <v>463</v>
      </c>
      <c r="E595" s="10" t="str">
        <f aca="false">INDEX(球隊主檔!$C$2:$C$31,MATCH($D595,球隊主檔!$A$2:$A$31,0))</f>
        <v>舊金山巨人</v>
      </c>
      <c r="F595" s="10" t="str">
        <f aca="false">INDEX(球隊主檔!$D$2:$D$31,MATCH($D595,球隊主檔!$A$2:$A$31,0))</f>
        <v>國聯</v>
      </c>
      <c r="G595" s="7" t="s">
        <v>496</v>
      </c>
      <c r="H595" s="11" t="n">
        <f aca="false">INT((DATE($A595,7,1)-INDEX(球員主檔!$G$2:$G$749,MATCH($B595,球員主檔!$A$2:$A$749,0)))/365.25)</f>
        <v>28</v>
      </c>
      <c r="I595" s="12" t="n">
        <v>15</v>
      </c>
      <c r="J595" s="12" t="n">
        <v>5</v>
      </c>
      <c r="K595" s="12" t="n">
        <v>0</v>
      </c>
      <c r="L595" s="12" t="n">
        <v>0</v>
      </c>
      <c r="M595" s="12" t="n">
        <v>33</v>
      </c>
      <c r="N595" s="12" t="n">
        <v>33</v>
      </c>
      <c r="O595" s="12" t="n">
        <v>620</v>
      </c>
      <c r="P595" s="16" t="n">
        <f aca="false">O595/3</f>
        <v>206.666666666667</v>
      </c>
      <c r="Q595" s="17" t="str">
        <f aca="false">INT(O595/3)&amp;"."&amp;MOD(O595,3)</f>
        <v>206.2</v>
      </c>
      <c r="R595" s="12" t="n">
        <v>163</v>
      </c>
      <c r="S595" s="12" t="n">
        <v>69</v>
      </c>
      <c r="T595" s="12" t="n">
        <v>63</v>
      </c>
      <c r="U595" s="12" t="n">
        <v>38</v>
      </c>
      <c r="V595" s="12" t="n">
        <v>95</v>
      </c>
      <c r="W595" s="12" t="n">
        <v>237</v>
      </c>
      <c r="X595" s="12" t="n">
        <v>5</v>
      </c>
      <c r="Y595" s="18" t="n">
        <f aca="false">IF(O595=0,0,T595*27/O595)</f>
        <v>2.74354838709677</v>
      </c>
      <c r="Z595" s="18" t="n">
        <f aca="false">IF(P595=0,0,(V595+R595)/P595)</f>
        <v>1.24838709677419</v>
      </c>
      <c r="AA595" s="18" t="n">
        <f aca="false">IF(O595=0,0,W595*27/O595)</f>
        <v>10.3209677419355</v>
      </c>
      <c r="AB595" s="18" t="n">
        <f aca="false">IF(O595=0,0,V595*27/O595)</f>
        <v>4.13709677419355</v>
      </c>
      <c r="AC595" s="18" t="n">
        <f aca="false">IF(V595=0,0,W595/V595)</f>
        <v>2.49473684210526</v>
      </c>
      <c r="AD595" s="18" t="n">
        <f aca="false">IF(P595=0,0,(13*U595+3*(V595+X595)-2*W595)/P595+INDEX(球季參數!$C$2:$C$4,MATCH($A595,球季參數!$A$2:$A$4,0)))</f>
        <v>4.64838709677419</v>
      </c>
      <c r="AE595" s="11" t="n">
        <f aca="false">IF(P595&gt;=INDEX(球季參數!$F$2:$F$4,MATCH($A595,球季參數!$A$2:$A$4,0)),1,0)</f>
        <v>1</v>
      </c>
    </row>
    <row r="596" customFormat="false" ht="15" hidden="false" customHeight="false" outlineLevel="0" collapsed="false">
      <c r="A596" s="5" t="n">
        <v>2025</v>
      </c>
      <c r="B596" s="7" t="s">
        <v>1665</v>
      </c>
      <c r="C596" s="10" t="str">
        <f aca="false">INDEX(球員主檔!$B$2:$B$749,MATCH($B596,球員主檔!$A$2:$A$749,0))</f>
        <v>Wyatt Wainwright</v>
      </c>
      <c r="D596" s="7" t="s">
        <v>463</v>
      </c>
      <c r="E596" s="10" t="str">
        <f aca="false">INDEX(球隊主檔!$C$2:$C$31,MATCH($D596,球隊主檔!$A$2:$A$31,0))</f>
        <v>舊金山巨人</v>
      </c>
      <c r="F596" s="10" t="str">
        <f aca="false">INDEX(球隊主檔!$D$2:$D$31,MATCH($D596,球隊主檔!$A$2:$A$31,0))</f>
        <v>國聯</v>
      </c>
      <c r="G596" s="7" t="s">
        <v>496</v>
      </c>
      <c r="H596" s="11" t="n">
        <f aca="false">INT((DATE($A596,7,1)-INDEX(球員主檔!$G$2:$G$749,MATCH($B596,球員主檔!$A$2:$A$749,0)))/365.25)</f>
        <v>28</v>
      </c>
      <c r="I596" s="12" t="n">
        <v>9</v>
      </c>
      <c r="J596" s="12" t="n">
        <v>5</v>
      </c>
      <c r="K596" s="12" t="n">
        <v>0</v>
      </c>
      <c r="L596" s="12" t="n">
        <v>0</v>
      </c>
      <c r="M596" s="12" t="n">
        <v>22</v>
      </c>
      <c r="N596" s="12" t="n">
        <v>22</v>
      </c>
      <c r="O596" s="12" t="n">
        <v>411</v>
      </c>
      <c r="P596" s="16" t="n">
        <f aca="false">O596/3</f>
        <v>137</v>
      </c>
      <c r="Q596" s="17" t="str">
        <f aca="false">INT(O596/3)&amp;"."&amp;MOD(O596,3)</f>
        <v>137.0</v>
      </c>
      <c r="R596" s="12" t="n">
        <v>117</v>
      </c>
      <c r="S596" s="12" t="n">
        <v>60</v>
      </c>
      <c r="T596" s="12" t="n">
        <v>56</v>
      </c>
      <c r="U596" s="12" t="n">
        <v>19</v>
      </c>
      <c r="V596" s="12" t="n">
        <v>50</v>
      </c>
      <c r="W596" s="12" t="n">
        <v>133</v>
      </c>
      <c r="X596" s="12" t="n">
        <v>4</v>
      </c>
      <c r="Y596" s="18" t="n">
        <f aca="false">IF(O596=0,0,T596*27/O596)</f>
        <v>3.67883211678832</v>
      </c>
      <c r="Z596" s="18" t="n">
        <f aca="false">IF(P596=0,0,(V596+R596)/P596)</f>
        <v>1.21897810218978</v>
      </c>
      <c r="AA596" s="18" t="n">
        <f aca="false">IF(O596=0,0,W596*27/O596)</f>
        <v>8.73722627737226</v>
      </c>
      <c r="AB596" s="18" t="n">
        <f aca="false">IF(O596=0,0,V596*27/O596)</f>
        <v>3.28467153284672</v>
      </c>
      <c r="AC596" s="18" t="n">
        <f aca="false">IF(V596=0,0,W596/V596)</f>
        <v>2.66</v>
      </c>
      <c r="AD596" s="18" t="n">
        <f aca="false">IF(P596=0,0,(13*U596+3*(V596+X596)-2*W596)/P596+INDEX(球季參數!$C$2:$C$4,MATCH($A596,球季參數!$A$2:$A$4,0)))</f>
        <v>4.14379562043796</v>
      </c>
      <c r="AE596" s="11" t="n">
        <f aca="false">IF(P596&gt;=INDEX(球季參數!$F$2:$F$4,MATCH($A596,球季參數!$A$2:$A$4,0)),1,0)</f>
        <v>0</v>
      </c>
    </row>
    <row r="597" customFormat="false" ht="15" hidden="false" customHeight="false" outlineLevel="0" collapsed="false">
      <c r="A597" s="5" t="n">
        <v>2025</v>
      </c>
      <c r="B597" s="7" t="s">
        <v>619</v>
      </c>
      <c r="C597" s="10" t="str">
        <f aca="false">INDEX(球員主檔!$B$2:$B$749,MATCH($B597,球員主檔!$A$2:$A$749,0))</f>
        <v>Quentin Lindquist</v>
      </c>
      <c r="D597" s="7" t="s">
        <v>463</v>
      </c>
      <c r="E597" s="10" t="str">
        <f aca="false">INDEX(球隊主檔!$C$2:$C$31,MATCH($D597,球隊主檔!$A$2:$A$31,0))</f>
        <v>舊金山巨人</v>
      </c>
      <c r="F597" s="10" t="str">
        <f aca="false">INDEX(球隊主檔!$D$2:$D$31,MATCH($D597,球隊主檔!$A$2:$A$31,0))</f>
        <v>國聯</v>
      </c>
      <c r="G597" s="7" t="s">
        <v>507</v>
      </c>
      <c r="H597" s="11" t="n">
        <f aca="false">INT((DATE($A597,7,1)-INDEX(球員主檔!$G$2:$G$749,MATCH($B597,球員主檔!$A$2:$A$749,0)))/365.25)</f>
        <v>35</v>
      </c>
      <c r="I597" s="12" t="n">
        <v>8</v>
      </c>
      <c r="J597" s="12" t="n">
        <v>1</v>
      </c>
      <c r="K597" s="12" t="n">
        <v>4</v>
      </c>
      <c r="L597" s="12" t="n">
        <v>18</v>
      </c>
      <c r="M597" s="12" t="n">
        <v>71</v>
      </c>
      <c r="N597" s="12" t="n">
        <v>0</v>
      </c>
      <c r="O597" s="12" t="n">
        <v>228</v>
      </c>
      <c r="P597" s="16" t="n">
        <f aca="false">O597/3</f>
        <v>76</v>
      </c>
      <c r="Q597" s="17" t="str">
        <f aca="false">INT(O597/3)&amp;"."&amp;MOD(O597,3)</f>
        <v>76.0</v>
      </c>
      <c r="R597" s="12" t="n">
        <v>73</v>
      </c>
      <c r="S597" s="12" t="n">
        <v>42</v>
      </c>
      <c r="T597" s="12" t="n">
        <v>41</v>
      </c>
      <c r="U597" s="12" t="n">
        <v>10</v>
      </c>
      <c r="V597" s="12" t="n">
        <v>22</v>
      </c>
      <c r="W597" s="12" t="n">
        <v>83</v>
      </c>
      <c r="X597" s="12" t="n">
        <v>2</v>
      </c>
      <c r="Y597" s="18" t="n">
        <f aca="false">IF(O597=0,0,T597*27/O597)</f>
        <v>4.85526315789474</v>
      </c>
      <c r="Z597" s="18" t="n">
        <f aca="false">IF(P597=0,0,(V597+R597)/P597)</f>
        <v>1.25</v>
      </c>
      <c r="AA597" s="18" t="n">
        <f aca="false">IF(O597=0,0,W597*27/O597)</f>
        <v>9.82894736842105</v>
      </c>
      <c r="AB597" s="18" t="n">
        <f aca="false">IF(O597=0,0,V597*27/O597)</f>
        <v>2.60526315789474</v>
      </c>
      <c r="AC597" s="18" t="n">
        <f aca="false">IF(V597=0,0,W597/V597)</f>
        <v>3.77272727272727</v>
      </c>
      <c r="AD597" s="18" t="n">
        <f aca="false">IF(P597=0,0,(13*U597+3*(V597+X597)-2*W597)/P597+INDEX(球季參數!$C$2:$C$4,MATCH($A597,球季參數!$A$2:$A$4,0)))</f>
        <v>3.57368421052632</v>
      </c>
      <c r="AE597" s="11" t="n">
        <f aca="false">IF(P597&gt;=INDEX(球季參數!$F$2:$F$4,MATCH($A597,球季參數!$A$2:$A$4,0)),1,0)</f>
        <v>0</v>
      </c>
    </row>
    <row r="598" customFormat="false" ht="15" hidden="false" customHeight="false" outlineLevel="0" collapsed="false">
      <c r="A598" s="5" t="n">
        <v>2025</v>
      </c>
      <c r="B598" s="7" t="s">
        <v>1669</v>
      </c>
      <c r="C598" s="10" t="str">
        <f aca="false">INDEX(球員主檔!$B$2:$B$749,MATCH($B598,球員主檔!$A$2:$A$749,0))</f>
        <v>Rintaro Gallimore</v>
      </c>
      <c r="D598" s="7" t="s">
        <v>463</v>
      </c>
      <c r="E598" s="10" t="str">
        <f aca="false">INDEX(球隊主檔!$C$2:$C$31,MATCH($D598,球隊主檔!$A$2:$A$31,0))</f>
        <v>舊金山巨人</v>
      </c>
      <c r="F598" s="10" t="str">
        <f aca="false">INDEX(球隊主檔!$D$2:$D$31,MATCH($D598,球隊主檔!$A$2:$A$31,0))</f>
        <v>國聯</v>
      </c>
      <c r="G598" s="7" t="s">
        <v>507</v>
      </c>
      <c r="H598" s="11" t="n">
        <f aca="false">INT((DATE($A598,7,1)-INDEX(球員主檔!$G$2:$G$749,MATCH($B598,球員主檔!$A$2:$A$749,0)))/365.25)</f>
        <v>29</v>
      </c>
      <c r="I598" s="12" t="n">
        <v>4</v>
      </c>
      <c r="J598" s="12" t="n">
        <v>3</v>
      </c>
      <c r="K598" s="12" t="n">
        <v>5</v>
      </c>
      <c r="L598" s="12" t="n">
        <v>10</v>
      </c>
      <c r="M598" s="12" t="n">
        <v>66</v>
      </c>
      <c r="N598" s="12" t="n">
        <v>0</v>
      </c>
      <c r="O598" s="12" t="n">
        <v>181</v>
      </c>
      <c r="P598" s="16" t="n">
        <f aca="false">O598/3</f>
        <v>60.3333333333333</v>
      </c>
      <c r="Q598" s="17" t="str">
        <f aca="false">INT(O598/3)&amp;"."&amp;MOD(O598,3)</f>
        <v>60.1</v>
      </c>
      <c r="R598" s="12" t="n">
        <v>52</v>
      </c>
      <c r="S598" s="12" t="n">
        <v>32</v>
      </c>
      <c r="T598" s="12" t="n">
        <v>30</v>
      </c>
      <c r="U598" s="12" t="n">
        <v>13</v>
      </c>
      <c r="V598" s="12" t="n">
        <v>19</v>
      </c>
      <c r="W598" s="12" t="n">
        <v>67</v>
      </c>
      <c r="X598" s="12" t="n">
        <v>2</v>
      </c>
      <c r="Y598" s="18" t="n">
        <f aca="false">IF(O598=0,0,T598*27/O598)</f>
        <v>4.47513812154696</v>
      </c>
      <c r="Z598" s="18" t="n">
        <f aca="false">IF(P598=0,0,(V598+R598)/P598)</f>
        <v>1.1767955801105</v>
      </c>
      <c r="AA598" s="18" t="n">
        <f aca="false">IF(O598=0,0,W598*27/O598)</f>
        <v>9.99447513812155</v>
      </c>
      <c r="AB598" s="18" t="n">
        <f aca="false">IF(O598=0,0,V598*27/O598)</f>
        <v>2.83425414364641</v>
      </c>
      <c r="AC598" s="18" t="n">
        <f aca="false">IF(V598=0,0,W598/V598)</f>
        <v>3.52631578947368</v>
      </c>
      <c r="AD598" s="18" t="n">
        <f aca="false">IF(P598=0,0,(13*U598+3*(V598+X598)-2*W598)/P598+INDEX(球季參數!$C$2:$C$4,MATCH($A598,球季參數!$A$2:$A$4,0)))</f>
        <v>4.72430939226519</v>
      </c>
      <c r="AE598" s="11" t="n">
        <f aca="false">IF(P598&gt;=INDEX(球季參數!$F$2:$F$4,MATCH($A598,球季參數!$A$2:$A$4,0)),1,0)</f>
        <v>0</v>
      </c>
    </row>
    <row r="599" customFormat="false" ht="15" hidden="false" customHeight="false" outlineLevel="0" collapsed="false">
      <c r="A599" s="5" t="n">
        <v>2025</v>
      </c>
      <c r="B599" s="7" t="s">
        <v>1809</v>
      </c>
      <c r="C599" s="10" t="str">
        <f aca="false">INDEX(球員主檔!$B$2:$B$749,MATCH($B599,球員主檔!$A$2:$A$749,0))</f>
        <v>Everett Thorsby</v>
      </c>
      <c r="D599" s="7" t="s">
        <v>463</v>
      </c>
      <c r="E599" s="10" t="str">
        <f aca="false">INDEX(球隊主檔!$C$2:$C$31,MATCH($D599,球隊主檔!$A$2:$A$31,0))</f>
        <v>舊金山巨人</v>
      </c>
      <c r="F599" s="10" t="str">
        <f aca="false">INDEX(球隊主檔!$D$2:$D$31,MATCH($D599,球隊主檔!$A$2:$A$31,0))</f>
        <v>國聯</v>
      </c>
      <c r="G599" s="7" t="s">
        <v>507</v>
      </c>
      <c r="H599" s="11" t="n">
        <f aca="false">INT((DATE($A599,7,1)-INDEX(球員主檔!$G$2:$G$749,MATCH($B599,球員主檔!$A$2:$A$749,0)))/365.25)</f>
        <v>20</v>
      </c>
      <c r="I599" s="12" t="n">
        <v>8</v>
      </c>
      <c r="J599" s="12" t="n">
        <v>8</v>
      </c>
      <c r="K599" s="12" t="n">
        <v>0</v>
      </c>
      <c r="L599" s="12" t="n">
        <v>15</v>
      </c>
      <c r="M599" s="12" t="n">
        <v>58</v>
      </c>
      <c r="N599" s="12" t="n">
        <v>0</v>
      </c>
      <c r="O599" s="12" t="n">
        <v>189</v>
      </c>
      <c r="P599" s="16" t="n">
        <f aca="false">O599/3</f>
        <v>63</v>
      </c>
      <c r="Q599" s="17" t="str">
        <f aca="false">INT(O599/3)&amp;"."&amp;MOD(O599,3)</f>
        <v>63.0</v>
      </c>
      <c r="R599" s="12" t="n">
        <v>54</v>
      </c>
      <c r="S599" s="12" t="n">
        <v>29</v>
      </c>
      <c r="T599" s="12" t="n">
        <v>27</v>
      </c>
      <c r="U599" s="12" t="n">
        <v>8</v>
      </c>
      <c r="V599" s="12" t="n">
        <v>20</v>
      </c>
      <c r="W599" s="12" t="n">
        <v>57</v>
      </c>
      <c r="X599" s="12" t="n">
        <v>3</v>
      </c>
      <c r="Y599" s="18" t="n">
        <f aca="false">IF(O599=0,0,T599*27/O599)</f>
        <v>3.85714285714286</v>
      </c>
      <c r="Z599" s="18" t="n">
        <f aca="false">IF(P599=0,0,(V599+R599)/P599)</f>
        <v>1.17460317460317</v>
      </c>
      <c r="AA599" s="18" t="n">
        <f aca="false">IF(O599=0,0,W599*27/O599)</f>
        <v>8.14285714285714</v>
      </c>
      <c r="AB599" s="18" t="n">
        <f aca="false">IF(O599=0,0,V599*27/O599)</f>
        <v>2.85714285714286</v>
      </c>
      <c r="AC599" s="18" t="n">
        <f aca="false">IF(V599=0,0,W599/V599)</f>
        <v>2.85</v>
      </c>
      <c r="AD599" s="18" t="n">
        <f aca="false">IF(P599=0,0,(13*U599+3*(V599+X599)-2*W599)/P599+INDEX(球季參數!$C$2:$C$4,MATCH($A599,球季參數!$A$2:$A$4,0)))</f>
        <v>4.03650793650794</v>
      </c>
      <c r="AE599" s="11" t="n">
        <f aca="false">IF(P599&gt;=INDEX(球季參數!$F$2:$F$4,MATCH($A599,球季參數!$A$2:$A$4,0)),1,0)</f>
        <v>0</v>
      </c>
    </row>
    <row r="600" customFormat="false" ht="15" hidden="false" customHeight="false" outlineLevel="0" collapsed="false">
      <c r="A600" s="5" t="n">
        <v>2025</v>
      </c>
      <c r="B600" s="7" t="s">
        <v>1673</v>
      </c>
      <c r="C600" s="10" t="str">
        <f aca="false">INDEX(球員主檔!$B$2:$B$749,MATCH($B600,球員主檔!$A$2:$A$749,0))</f>
        <v>Bernardo Quiroga</v>
      </c>
      <c r="D600" s="7" t="s">
        <v>463</v>
      </c>
      <c r="E600" s="10" t="str">
        <f aca="false">INDEX(球隊主檔!$C$2:$C$31,MATCH($D600,球隊主檔!$A$2:$A$31,0))</f>
        <v>舊金山巨人</v>
      </c>
      <c r="F600" s="10" t="str">
        <f aca="false">INDEX(球隊主檔!$D$2:$D$31,MATCH($D600,球隊主檔!$A$2:$A$31,0))</f>
        <v>國聯</v>
      </c>
      <c r="G600" s="7" t="s">
        <v>507</v>
      </c>
      <c r="H600" s="11" t="n">
        <f aca="false">INT((DATE($A600,7,1)-INDEX(球員主檔!$G$2:$G$749,MATCH($B600,球員主檔!$A$2:$A$749,0)))/365.25)</f>
        <v>25</v>
      </c>
      <c r="I600" s="12" t="n">
        <v>7</v>
      </c>
      <c r="J600" s="12" t="n">
        <v>4</v>
      </c>
      <c r="K600" s="12" t="n">
        <v>6</v>
      </c>
      <c r="L600" s="12" t="n">
        <v>22</v>
      </c>
      <c r="M600" s="12" t="n">
        <v>46</v>
      </c>
      <c r="N600" s="12" t="n">
        <v>0</v>
      </c>
      <c r="O600" s="12" t="n">
        <v>149</v>
      </c>
      <c r="P600" s="16" t="n">
        <f aca="false">O600/3</f>
        <v>49.6666666666667</v>
      </c>
      <c r="Q600" s="17" t="str">
        <f aca="false">INT(O600/3)&amp;"."&amp;MOD(O600,3)</f>
        <v>49.2</v>
      </c>
      <c r="R600" s="12" t="n">
        <v>42</v>
      </c>
      <c r="S600" s="12" t="n">
        <v>25</v>
      </c>
      <c r="T600" s="12" t="n">
        <v>24</v>
      </c>
      <c r="U600" s="12" t="n">
        <v>4</v>
      </c>
      <c r="V600" s="12" t="n">
        <v>25</v>
      </c>
      <c r="W600" s="12" t="n">
        <v>63</v>
      </c>
      <c r="X600" s="12" t="n">
        <v>3</v>
      </c>
      <c r="Y600" s="18" t="n">
        <f aca="false">IF(O600=0,0,T600*27/O600)</f>
        <v>4.3489932885906</v>
      </c>
      <c r="Z600" s="18" t="n">
        <f aca="false">IF(P600=0,0,(V600+R600)/P600)</f>
        <v>1.3489932885906</v>
      </c>
      <c r="AA600" s="18" t="n">
        <f aca="false">IF(O600=0,0,W600*27/O600)</f>
        <v>11.4161073825503</v>
      </c>
      <c r="AB600" s="18" t="n">
        <f aca="false">IF(O600=0,0,V600*27/O600)</f>
        <v>4.53020134228188</v>
      </c>
      <c r="AC600" s="18" t="n">
        <f aca="false">IF(V600=0,0,W600/V600)</f>
        <v>2.52</v>
      </c>
      <c r="AD600" s="18" t="n">
        <f aca="false">IF(P600=0,0,(13*U600+3*(V600+X600)-2*W600)/P600+INDEX(球季參數!$C$2:$C$4,MATCH($A600,球季參數!$A$2:$A$4,0)))</f>
        <v>3.30134228187919</v>
      </c>
      <c r="AE600" s="11" t="n">
        <f aca="false">IF(P600&gt;=INDEX(球季參數!$F$2:$F$4,MATCH($A600,球季參數!$A$2:$A$4,0)),1,0)</f>
        <v>0</v>
      </c>
    </row>
    <row r="601" customFormat="false" ht="15" hidden="false" customHeight="false" outlineLevel="0" collapsed="false">
      <c r="A601" s="5" t="n">
        <v>2025</v>
      </c>
      <c r="B601" s="7" t="s">
        <v>1675</v>
      </c>
      <c r="C601" s="10" t="str">
        <f aca="false">INDEX(球員主檔!$B$2:$B$749,MATCH($B601,球員主檔!$A$2:$A$749,0))</f>
        <v>Lorenzo Novotný</v>
      </c>
      <c r="D601" s="7" t="s">
        <v>463</v>
      </c>
      <c r="E601" s="10" t="str">
        <f aca="false">INDEX(球隊主檔!$C$2:$C$31,MATCH($D601,球隊主檔!$A$2:$A$31,0))</f>
        <v>舊金山巨人</v>
      </c>
      <c r="F601" s="10" t="str">
        <f aca="false">INDEX(球隊主檔!$D$2:$D$31,MATCH($D601,球隊主檔!$A$2:$A$31,0))</f>
        <v>國聯</v>
      </c>
      <c r="G601" s="7" t="s">
        <v>507</v>
      </c>
      <c r="H601" s="11" t="n">
        <f aca="false">INT((DATE($A601,7,1)-INDEX(球員主檔!$G$2:$G$749,MATCH($B601,球員主檔!$A$2:$A$749,0)))/365.25)</f>
        <v>30</v>
      </c>
      <c r="I601" s="12" t="n">
        <v>7</v>
      </c>
      <c r="J601" s="12" t="n">
        <v>6</v>
      </c>
      <c r="K601" s="12" t="n">
        <v>0</v>
      </c>
      <c r="L601" s="12" t="n">
        <v>27</v>
      </c>
      <c r="M601" s="12" t="n">
        <v>51</v>
      </c>
      <c r="N601" s="12" t="n">
        <v>0</v>
      </c>
      <c r="O601" s="12" t="n">
        <v>162</v>
      </c>
      <c r="P601" s="16" t="n">
        <f aca="false">O601/3</f>
        <v>54</v>
      </c>
      <c r="Q601" s="17" t="str">
        <f aca="false">INT(O601/3)&amp;"."&amp;MOD(O601,3)</f>
        <v>54.0</v>
      </c>
      <c r="R601" s="12" t="n">
        <v>46</v>
      </c>
      <c r="S601" s="12" t="n">
        <v>26</v>
      </c>
      <c r="T601" s="12" t="n">
        <v>26</v>
      </c>
      <c r="U601" s="12" t="n">
        <v>5</v>
      </c>
      <c r="V601" s="12" t="n">
        <v>14</v>
      </c>
      <c r="W601" s="12" t="n">
        <v>46</v>
      </c>
      <c r="X601" s="12" t="n">
        <v>1</v>
      </c>
      <c r="Y601" s="18" t="n">
        <f aca="false">IF(O601=0,0,T601*27/O601)</f>
        <v>4.33333333333333</v>
      </c>
      <c r="Z601" s="18" t="n">
        <f aca="false">IF(P601=0,0,(V601+R601)/P601)</f>
        <v>1.11111111111111</v>
      </c>
      <c r="AA601" s="18" t="n">
        <f aca="false">IF(O601=0,0,W601*27/O601)</f>
        <v>7.66666666666667</v>
      </c>
      <c r="AB601" s="18" t="n">
        <f aca="false">IF(O601=0,0,V601*27/O601)</f>
        <v>2.33333333333333</v>
      </c>
      <c r="AC601" s="18" t="n">
        <f aca="false">IF(V601=0,0,W601/V601)</f>
        <v>3.28571428571429</v>
      </c>
      <c r="AD601" s="18" t="n">
        <f aca="false">IF(P601=0,0,(13*U601+3*(V601+X601)-2*W601)/P601+INDEX(球季參數!$C$2:$C$4,MATCH($A601,球季參數!$A$2:$A$4,0)))</f>
        <v>3.43333333333333</v>
      </c>
      <c r="AE601" s="11" t="n">
        <f aca="false">IF(P601&gt;=INDEX(球季參數!$F$2:$F$4,MATCH($A601,球季參數!$A$2:$A$4,0)),1,0)</f>
        <v>0</v>
      </c>
    </row>
    <row r="602" customFormat="false" ht="15" hidden="false" customHeight="false" outlineLevel="0" collapsed="false">
      <c r="A602" s="5" t="n">
        <v>2026</v>
      </c>
      <c r="B602" s="7" t="s">
        <v>493</v>
      </c>
      <c r="C602" s="10" t="str">
        <f aca="false">INDEX(球員主檔!$B$2:$B$749,MATCH($B602,球員主檔!$A$2:$A$749,0))</f>
        <v>Ulises Halloway</v>
      </c>
      <c r="D602" s="7" t="s">
        <v>340</v>
      </c>
      <c r="E602" s="10" t="str">
        <f aca="false">INDEX(球隊主檔!$C$2:$C$31,MATCH($D602,球隊主檔!$A$2:$A$31,0))</f>
        <v>巴爾的摩金鶯</v>
      </c>
      <c r="F602" s="10" t="str">
        <f aca="false">INDEX(球隊主檔!$D$2:$D$31,MATCH($D602,球隊主檔!$A$2:$A$31,0))</f>
        <v>美聯</v>
      </c>
      <c r="G602" s="7" t="s">
        <v>496</v>
      </c>
      <c r="H602" s="11" t="n">
        <f aca="false">INT((DATE($A602,7,1)-INDEX(球員主檔!$G$2:$G$749,MATCH($B602,球員主檔!$A$2:$A$749,0)))/365.25)</f>
        <v>27</v>
      </c>
      <c r="I602" s="12" t="n">
        <v>12</v>
      </c>
      <c r="J602" s="12" t="n">
        <v>9</v>
      </c>
      <c r="K602" s="12" t="n">
        <v>0</v>
      </c>
      <c r="L602" s="12" t="n">
        <v>0</v>
      </c>
      <c r="M602" s="12" t="n">
        <v>32</v>
      </c>
      <c r="N602" s="12" t="n">
        <v>32</v>
      </c>
      <c r="O602" s="12" t="n">
        <v>485</v>
      </c>
      <c r="P602" s="16" t="n">
        <f aca="false">O602/3</f>
        <v>161.666666666667</v>
      </c>
      <c r="Q602" s="17" t="str">
        <f aca="false">INT(O602/3)&amp;"."&amp;MOD(O602,3)</f>
        <v>161.2</v>
      </c>
      <c r="R602" s="12" t="n">
        <v>135</v>
      </c>
      <c r="S602" s="12" t="n">
        <v>91</v>
      </c>
      <c r="T602" s="12" t="n">
        <v>82</v>
      </c>
      <c r="U602" s="12" t="n">
        <v>14</v>
      </c>
      <c r="V602" s="12" t="n">
        <v>31</v>
      </c>
      <c r="W602" s="12" t="n">
        <v>186</v>
      </c>
      <c r="X602" s="12" t="n">
        <v>4</v>
      </c>
      <c r="Y602" s="18" t="n">
        <f aca="false">IF(O602=0,0,T602*27/O602)</f>
        <v>4.56494845360825</v>
      </c>
      <c r="Z602" s="18" t="n">
        <f aca="false">IF(P602=0,0,(V602+R602)/P602)</f>
        <v>1.02680412371134</v>
      </c>
      <c r="AA602" s="18" t="n">
        <f aca="false">IF(O602=0,0,W602*27/O602)</f>
        <v>10.3546391752577</v>
      </c>
      <c r="AB602" s="18" t="n">
        <f aca="false">IF(O602=0,0,V602*27/O602)</f>
        <v>1.72577319587629</v>
      </c>
      <c r="AC602" s="18" t="n">
        <f aca="false">IF(V602=0,0,W602/V602)</f>
        <v>6</v>
      </c>
      <c r="AD602" s="18" t="n">
        <f aca="false">IF(P602=0,0,(13*U602+3*(V602+X602)-2*W602)/P602+INDEX(球季參數!$C$2:$C$4,MATCH($A602,球季參數!$A$2:$A$4,0)))</f>
        <v>2.55422680412371</v>
      </c>
      <c r="AE602" s="11" t="n">
        <f aca="false">IF(P602&gt;=INDEX(球季參數!$F$2:$F$4,MATCH($A602,球季參數!$A$2:$A$4,0)),1,0)</f>
        <v>0</v>
      </c>
    </row>
    <row r="603" customFormat="false" ht="15" hidden="false" customHeight="false" outlineLevel="0" collapsed="false">
      <c r="A603" s="5" t="n">
        <v>2026</v>
      </c>
      <c r="B603" s="7" t="s">
        <v>497</v>
      </c>
      <c r="C603" s="10" t="str">
        <f aca="false">INDEX(球員主檔!$B$2:$B$749,MATCH($B603,球員主檔!$A$2:$A$749,0))</f>
        <v>Emilio Blackwood</v>
      </c>
      <c r="D603" s="7" t="s">
        <v>340</v>
      </c>
      <c r="E603" s="10" t="str">
        <f aca="false">INDEX(球隊主檔!$C$2:$C$31,MATCH($D603,球隊主檔!$A$2:$A$31,0))</f>
        <v>巴爾的摩金鶯</v>
      </c>
      <c r="F603" s="10" t="str">
        <f aca="false">INDEX(球隊主檔!$D$2:$D$31,MATCH($D603,球隊主檔!$A$2:$A$31,0))</f>
        <v>美聯</v>
      </c>
      <c r="G603" s="7" t="s">
        <v>496</v>
      </c>
      <c r="H603" s="11" t="n">
        <f aca="false">INT((DATE($A603,7,1)-INDEX(球員主檔!$G$2:$G$749,MATCH($B603,球員主檔!$A$2:$A$749,0)))/365.25)</f>
        <v>32</v>
      </c>
      <c r="I603" s="12" t="n">
        <v>10</v>
      </c>
      <c r="J603" s="12" t="n">
        <v>9</v>
      </c>
      <c r="K603" s="12" t="n">
        <v>0</v>
      </c>
      <c r="L603" s="12" t="n">
        <v>0</v>
      </c>
      <c r="M603" s="12" t="n">
        <v>29</v>
      </c>
      <c r="N603" s="12" t="n">
        <v>29</v>
      </c>
      <c r="O603" s="12" t="n">
        <v>478</v>
      </c>
      <c r="P603" s="16" t="n">
        <f aca="false">O603/3</f>
        <v>159.333333333333</v>
      </c>
      <c r="Q603" s="17" t="str">
        <f aca="false">INT(O603/3)&amp;"."&amp;MOD(O603,3)</f>
        <v>159.1</v>
      </c>
      <c r="R603" s="12" t="n">
        <v>148</v>
      </c>
      <c r="S603" s="12" t="n">
        <v>85</v>
      </c>
      <c r="T603" s="12" t="n">
        <v>81</v>
      </c>
      <c r="U603" s="12" t="n">
        <v>29</v>
      </c>
      <c r="V603" s="12" t="n">
        <v>57</v>
      </c>
      <c r="W603" s="12" t="n">
        <v>171</v>
      </c>
      <c r="X603" s="12" t="n">
        <v>4</v>
      </c>
      <c r="Y603" s="18" t="n">
        <f aca="false">IF(O603=0,0,T603*27/O603)</f>
        <v>4.57531380753138</v>
      </c>
      <c r="Z603" s="18" t="n">
        <f aca="false">IF(P603=0,0,(V603+R603)/P603)</f>
        <v>1.28661087866109</v>
      </c>
      <c r="AA603" s="18" t="n">
        <f aca="false">IF(O603=0,0,W603*27/O603)</f>
        <v>9.65899581589958</v>
      </c>
      <c r="AB603" s="18" t="n">
        <f aca="false">IF(O603=0,0,V603*27/O603)</f>
        <v>3.21966527196653</v>
      </c>
      <c r="AC603" s="18" t="n">
        <f aca="false">IF(V603=0,0,W603/V603)</f>
        <v>3</v>
      </c>
      <c r="AD603" s="18" t="n">
        <f aca="false">IF(P603=0,0,(13*U603+3*(V603+X603)-2*W603)/P603+INDEX(球季參數!$C$2:$C$4,MATCH($A603,球季參數!$A$2:$A$4,0)))</f>
        <v>4.44820083682008</v>
      </c>
      <c r="AE603" s="11" t="n">
        <f aca="false">IF(P603&gt;=INDEX(球季參數!$F$2:$F$4,MATCH($A603,球季參數!$A$2:$A$4,0)),1,0)</f>
        <v>0</v>
      </c>
    </row>
    <row r="604" customFormat="false" ht="15" hidden="false" customHeight="false" outlineLevel="0" collapsed="false">
      <c r="A604" s="5" t="n">
        <v>2026</v>
      </c>
      <c r="B604" s="7" t="s">
        <v>499</v>
      </c>
      <c r="C604" s="10" t="str">
        <f aca="false">INDEX(球員主檔!$B$2:$B$749,MATCH($B604,球員主檔!$A$2:$A$749,0))</f>
        <v>Holden Zielinski</v>
      </c>
      <c r="D604" s="7" t="s">
        <v>340</v>
      </c>
      <c r="E604" s="10" t="str">
        <f aca="false">INDEX(球隊主檔!$C$2:$C$31,MATCH($D604,球隊主檔!$A$2:$A$31,0))</f>
        <v>巴爾的摩金鶯</v>
      </c>
      <c r="F604" s="10" t="str">
        <f aca="false">INDEX(球隊主檔!$D$2:$D$31,MATCH($D604,球隊主檔!$A$2:$A$31,0))</f>
        <v>美聯</v>
      </c>
      <c r="G604" s="7" t="s">
        <v>496</v>
      </c>
      <c r="H604" s="11" t="n">
        <f aca="false">INT((DATE($A604,7,1)-INDEX(球員主檔!$G$2:$G$749,MATCH($B604,球員主檔!$A$2:$A$749,0)))/365.25)</f>
        <v>29</v>
      </c>
      <c r="I604" s="12" t="n">
        <v>16</v>
      </c>
      <c r="J604" s="12" t="n">
        <v>8</v>
      </c>
      <c r="K604" s="12" t="n">
        <v>0</v>
      </c>
      <c r="L604" s="12" t="n">
        <v>0</v>
      </c>
      <c r="M604" s="12" t="n">
        <v>33</v>
      </c>
      <c r="N604" s="12" t="n">
        <v>33</v>
      </c>
      <c r="O604" s="12" t="n">
        <v>496</v>
      </c>
      <c r="P604" s="16" t="n">
        <f aca="false">O604/3</f>
        <v>165.333333333333</v>
      </c>
      <c r="Q604" s="17" t="str">
        <f aca="false">INT(O604/3)&amp;"."&amp;MOD(O604,3)</f>
        <v>165.1</v>
      </c>
      <c r="R604" s="12" t="n">
        <v>139</v>
      </c>
      <c r="S604" s="12" t="n">
        <v>74</v>
      </c>
      <c r="T604" s="12" t="n">
        <v>68</v>
      </c>
      <c r="U604" s="12" t="n">
        <v>21</v>
      </c>
      <c r="V604" s="12" t="n">
        <v>46</v>
      </c>
      <c r="W604" s="12" t="n">
        <v>172</v>
      </c>
      <c r="X604" s="12" t="n">
        <v>7</v>
      </c>
      <c r="Y604" s="18" t="n">
        <f aca="false">IF(O604=0,0,T604*27/O604)</f>
        <v>3.70161290322581</v>
      </c>
      <c r="Z604" s="18" t="n">
        <f aca="false">IF(P604=0,0,(V604+R604)/P604)</f>
        <v>1.11895161290323</v>
      </c>
      <c r="AA604" s="18" t="n">
        <f aca="false">IF(O604=0,0,W604*27/O604)</f>
        <v>9.36290322580645</v>
      </c>
      <c r="AB604" s="18" t="n">
        <f aca="false">IF(O604=0,0,V604*27/O604)</f>
        <v>2.50403225806452</v>
      </c>
      <c r="AC604" s="18" t="n">
        <f aca="false">IF(V604=0,0,W604/V604)</f>
        <v>3.73913043478261</v>
      </c>
      <c r="AD604" s="18" t="n">
        <f aca="false">IF(P604=0,0,(13*U604+3*(V604+X604)-2*W604)/P604+INDEX(球季參數!$C$2:$C$4,MATCH($A604,球季參數!$A$2:$A$4,0)))</f>
        <v>3.61225806451613</v>
      </c>
      <c r="AE604" s="11" t="n">
        <f aca="false">IF(P604&gt;=INDEX(球季參數!$F$2:$F$4,MATCH($A604,球季參數!$A$2:$A$4,0)),1,0)</f>
        <v>1</v>
      </c>
    </row>
    <row r="605" customFormat="false" ht="15" hidden="false" customHeight="false" outlineLevel="0" collapsed="false">
      <c r="A605" s="5" t="n">
        <v>2026</v>
      </c>
      <c r="B605" s="7" t="s">
        <v>501</v>
      </c>
      <c r="C605" s="10" t="str">
        <f aca="false">INDEX(球員主檔!$B$2:$B$749,MATCH($B605,球員主檔!$A$2:$A$749,0))</f>
        <v>Augustin Halloway</v>
      </c>
      <c r="D605" s="7" t="s">
        <v>340</v>
      </c>
      <c r="E605" s="10" t="str">
        <f aca="false">INDEX(球隊主檔!$C$2:$C$31,MATCH($D605,球隊主檔!$A$2:$A$31,0))</f>
        <v>巴爾的摩金鶯</v>
      </c>
      <c r="F605" s="10" t="str">
        <f aca="false">INDEX(球隊主檔!$D$2:$D$31,MATCH($D605,球隊主檔!$A$2:$A$31,0))</f>
        <v>美聯</v>
      </c>
      <c r="G605" s="7" t="s">
        <v>496</v>
      </c>
      <c r="H605" s="11" t="n">
        <f aca="false">INT((DATE($A605,7,1)-INDEX(球員主檔!$G$2:$G$749,MATCH($B605,球員主檔!$A$2:$A$749,0)))/365.25)</f>
        <v>26</v>
      </c>
      <c r="I605" s="12" t="n">
        <v>13</v>
      </c>
      <c r="J605" s="12" t="n">
        <v>6</v>
      </c>
      <c r="K605" s="12" t="n">
        <v>0</v>
      </c>
      <c r="L605" s="12" t="n">
        <v>0</v>
      </c>
      <c r="M605" s="12" t="n">
        <v>30</v>
      </c>
      <c r="N605" s="12" t="n">
        <v>30</v>
      </c>
      <c r="O605" s="12" t="n">
        <v>479</v>
      </c>
      <c r="P605" s="16" t="n">
        <f aca="false">O605/3</f>
        <v>159.666666666667</v>
      </c>
      <c r="Q605" s="17" t="str">
        <f aca="false">INT(O605/3)&amp;"."&amp;MOD(O605,3)</f>
        <v>159.2</v>
      </c>
      <c r="R605" s="12" t="n">
        <v>131</v>
      </c>
      <c r="S605" s="12" t="n">
        <v>67</v>
      </c>
      <c r="T605" s="12" t="n">
        <v>67</v>
      </c>
      <c r="U605" s="12" t="n">
        <v>14</v>
      </c>
      <c r="V605" s="12" t="n">
        <v>47</v>
      </c>
      <c r="W605" s="12" t="n">
        <v>130</v>
      </c>
      <c r="X605" s="12" t="n">
        <v>4</v>
      </c>
      <c r="Y605" s="18" t="n">
        <f aca="false">IF(O605=0,0,T605*27/O605)</f>
        <v>3.77661795407098</v>
      </c>
      <c r="Z605" s="18" t="n">
        <f aca="false">IF(P605=0,0,(V605+R605)/P605)</f>
        <v>1.11482254697286</v>
      </c>
      <c r="AA605" s="18" t="n">
        <f aca="false">IF(O605=0,0,W605*27/O605)</f>
        <v>7.32776617954071</v>
      </c>
      <c r="AB605" s="18" t="n">
        <f aca="false">IF(O605=0,0,V605*27/O605)</f>
        <v>2.64926931106472</v>
      </c>
      <c r="AC605" s="18" t="n">
        <f aca="false">IF(V605=0,0,W605/V605)</f>
        <v>2.76595744680851</v>
      </c>
      <c r="AD605" s="18" t="n">
        <f aca="false">IF(P605=0,0,(13*U605+3*(V605+X605)-2*W605)/P605+INDEX(球季參數!$C$2:$C$4,MATCH($A605,球季參數!$A$2:$A$4,0)))</f>
        <v>3.54972860125261</v>
      </c>
      <c r="AE605" s="11" t="n">
        <f aca="false">IF(P605&gt;=INDEX(球季參數!$F$2:$F$4,MATCH($A605,球季參數!$A$2:$A$4,0)),1,0)</f>
        <v>0</v>
      </c>
    </row>
    <row r="606" customFormat="false" ht="15" hidden="false" customHeight="false" outlineLevel="0" collapsed="false">
      <c r="A606" s="5" t="n">
        <v>2026</v>
      </c>
      <c r="B606" s="7" t="s">
        <v>915</v>
      </c>
      <c r="C606" s="10" t="str">
        <f aca="false">INDEX(球員主檔!$B$2:$B$749,MATCH($B606,球員主檔!$A$2:$A$749,0))</f>
        <v>Mateo Kowalczyk</v>
      </c>
      <c r="D606" s="7" t="s">
        <v>340</v>
      </c>
      <c r="E606" s="10" t="str">
        <f aca="false">INDEX(球隊主檔!$C$2:$C$31,MATCH($D606,球隊主檔!$A$2:$A$31,0))</f>
        <v>巴爾的摩金鶯</v>
      </c>
      <c r="F606" s="10" t="str">
        <f aca="false">INDEX(球隊主檔!$D$2:$D$31,MATCH($D606,球隊主檔!$A$2:$A$31,0))</f>
        <v>美聯</v>
      </c>
      <c r="G606" s="7" t="s">
        <v>496</v>
      </c>
      <c r="H606" s="11" t="n">
        <f aca="false">INT((DATE($A606,7,1)-INDEX(球員主檔!$G$2:$G$749,MATCH($B606,球員主檔!$A$2:$A$749,0)))/365.25)</f>
        <v>29</v>
      </c>
      <c r="I606" s="12" t="n">
        <v>12</v>
      </c>
      <c r="J606" s="12" t="n">
        <v>3</v>
      </c>
      <c r="K606" s="12" t="n">
        <v>0</v>
      </c>
      <c r="L606" s="12" t="n">
        <v>0</v>
      </c>
      <c r="M606" s="12" t="n">
        <v>25</v>
      </c>
      <c r="N606" s="12" t="n">
        <v>25</v>
      </c>
      <c r="O606" s="12" t="n">
        <v>453</v>
      </c>
      <c r="P606" s="16" t="n">
        <f aca="false">O606/3</f>
        <v>151</v>
      </c>
      <c r="Q606" s="17" t="str">
        <f aca="false">INT(O606/3)&amp;"."&amp;MOD(O606,3)</f>
        <v>151.0</v>
      </c>
      <c r="R606" s="12" t="n">
        <v>113</v>
      </c>
      <c r="S606" s="12" t="n">
        <v>47</v>
      </c>
      <c r="T606" s="12" t="n">
        <v>43</v>
      </c>
      <c r="U606" s="12" t="n">
        <v>19</v>
      </c>
      <c r="V606" s="12" t="n">
        <v>29</v>
      </c>
      <c r="W606" s="12" t="n">
        <v>189</v>
      </c>
      <c r="X606" s="12" t="n">
        <v>6</v>
      </c>
      <c r="Y606" s="18" t="n">
        <f aca="false">IF(O606=0,0,T606*27/O606)</f>
        <v>2.56291390728477</v>
      </c>
      <c r="Z606" s="18" t="n">
        <f aca="false">IF(P606=0,0,(V606+R606)/P606)</f>
        <v>0.940397350993378</v>
      </c>
      <c r="AA606" s="18" t="n">
        <f aca="false">IF(O606=0,0,W606*27/O606)</f>
        <v>11.2649006622517</v>
      </c>
      <c r="AB606" s="18" t="n">
        <f aca="false">IF(O606=0,0,V606*27/O606)</f>
        <v>1.72847682119205</v>
      </c>
      <c r="AC606" s="18" t="n">
        <f aca="false">IF(V606=0,0,W606/V606)</f>
        <v>6.51724137931035</v>
      </c>
      <c r="AD606" s="18" t="n">
        <f aca="false">IF(P606=0,0,(13*U606+3*(V606+X606)-2*W606)/P606+INDEX(球季參數!$C$2:$C$4,MATCH($A606,球季參數!$A$2:$A$4,0)))</f>
        <v>2.90781456953642</v>
      </c>
      <c r="AE606" s="11" t="n">
        <f aca="false">IF(P606&gt;=INDEX(球季參數!$F$2:$F$4,MATCH($A606,球季參數!$A$2:$A$4,0)),1,0)</f>
        <v>0</v>
      </c>
    </row>
    <row r="607" customFormat="false" ht="15" hidden="false" customHeight="false" outlineLevel="0" collapsed="false">
      <c r="A607" s="5" t="n">
        <v>2026</v>
      </c>
      <c r="B607" s="7" t="s">
        <v>505</v>
      </c>
      <c r="C607" s="10" t="str">
        <f aca="false">INDEX(球員主檔!$B$2:$B$749,MATCH($B607,球員主檔!$A$2:$A$749,0))</f>
        <v>Jasper Novotný</v>
      </c>
      <c r="D607" s="7" t="s">
        <v>340</v>
      </c>
      <c r="E607" s="10" t="str">
        <f aca="false">INDEX(球隊主檔!$C$2:$C$31,MATCH($D607,球隊主檔!$A$2:$A$31,0))</f>
        <v>巴爾的摩金鶯</v>
      </c>
      <c r="F607" s="10" t="str">
        <f aca="false">INDEX(球隊主檔!$D$2:$D$31,MATCH($D607,球隊主檔!$A$2:$A$31,0))</f>
        <v>美聯</v>
      </c>
      <c r="G607" s="7" t="s">
        <v>507</v>
      </c>
      <c r="H607" s="11" t="n">
        <f aca="false">INT((DATE($A607,7,1)-INDEX(球員主檔!$G$2:$G$749,MATCH($B607,球員主檔!$A$2:$A$749,0)))/365.25)</f>
        <v>32</v>
      </c>
      <c r="I607" s="12" t="n">
        <v>3</v>
      </c>
      <c r="J607" s="12" t="n">
        <v>1</v>
      </c>
      <c r="K607" s="12" t="n">
        <v>2</v>
      </c>
      <c r="L607" s="12" t="n">
        <v>8</v>
      </c>
      <c r="M607" s="12" t="n">
        <v>76</v>
      </c>
      <c r="N607" s="12" t="n">
        <v>0</v>
      </c>
      <c r="O607" s="12" t="n">
        <v>247</v>
      </c>
      <c r="P607" s="16" t="n">
        <f aca="false">O607/3</f>
        <v>82.3333333333333</v>
      </c>
      <c r="Q607" s="17" t="str">
        <f aca="false">INT(O607/3)&amp;"."&amp;MOD(O607,3)</f>
        <v>82.1</v>
      </c>
      <c r="R607" s="12" t="n">
        <v>73</v>
      </c>
      <c r="S607" s="12" t="n">
        <v>45</v>
      </c>
      <c r="T607" s="12" t="n">
        <v>41</v>
      </c>
      <c r="U607" s="12" t="n">
        <v>5</v>
      </c>
      <c r="V607" s="12" t="n">
        <v>24</v>
      </c>
      <c r="W607" s="12" t="n">
        <v>71</v>
      </c>
      <c r="X607" s="12" t="n">
        <v>5</v>
      </c>
      <c r="Y607" s="18" t="n">
        <f aca="false">IF(O607=0,0,T607*27/O607)</f>
        <v>4.48178137651822</v>
      </c>
      <c r="Z607" s="18" t="n">
        <f aca="false">IF(P607=0,0,(V607+R607)/P607)</f>
        <v>1.17813765182186</v>
      </c>
      <c r="AA607" s="18" t="n">
        <f aca="false">IF(O607=0,0,W607*27/O607)</f>
        <v>7.76113360323887</v>
      </c>
      <c r="AB607" s="18" t="n">
        <f aca="false">IF(O607=0,0,V607*27/O607)</f>
        <v>2.62348178137652</v>
      </c>
      <c r="AC607" s="18" t="n">
        <f aca="false">IF(V607=0,0,W607/V607)</f>
        <v>2.95833333333333</v>
      </c>
      <c r="AD607" s="18" t="n">
        <f aca="false">IF(P607=0,0,(13*U607+3*(V607+X607)-2*W607)/P607+INDEX(球季參數!$C$2:$C$4,MATCH($A607,球季參數!$A$2:$A$4,0)))</f>
        <v>3.20145748987854</v>
      </c>
      <c r="AE607" s="11" t="n">
        <f aca="false">IF(P607&gt;=INDEX(球季參數!$F$2:$F$4,MATCH($A607,球季參數!$A$2:$A$4,0)),1,0)</f>
        <v>0</v>
      </c>
    </row>
    <row r="608" customFormat="false" ht="15" hidden="false" customHeight="false" outlineLevel="0" collapsed="false">
      <c r="A608" s="5" t="n">
        <v>2026</v>
      </c>
      <c r="B608" s="7" t="s">
        <v>508</v>
      </c>
      <c r="C608" s="10" t="str">
        <f aca="false">INDEX(球員主檔!$B$2:$B$749,MATCH($B608,球員主檔!$A$2:$A$749,0))</f>
        <v>Thiago Gallimore</v>
      </c>
      <c r="D608" s="7" t="s">
        <v>340</v>
      </c>
      <c r="E608" s="10" t="str">
        <f aca="false">INDEX(球隊主檔!$C$2:$C$31,MATCH($D608,球隊主檔!$A$2:$A$31,0))</f>
        <v>巴爾的摩金鶯</v>
      </c>
      <c r="F608" s="10" t="str">
        <f aca="false">INDEX(球隊主檔!$D$2:$D$31,MATCH($D608,球隊主檔!$A$2:$A$31,0))</f>
        <v>美聯</v>
      </c>
      <c r="G608" s="7" t="s">
        <v>507</v>
      </c>
      <c r="H608" s="11" t="n">
        <f aca="false">INT((DATE($A608,7,1)-INDEX(球員主檔!$G$2:$G$749,MATCH($B608,球員主檔!$A$2:$A$749,0)))/365.25)</f>
        <v>28</v>
      </c>
      <c r="I608" s="12" t="n">
        <v>3</v>
      </c>
      <c r="J608" s="12" t="n">
        <v>3</v>
      </c>
      <c r="K608" s="12" t="n">
        <v>1</v>
      </c>
      <c r="L608" s="12" t="n">
        <v>6</v>
      </c>
      <c r="M608" s="12" t="n">
        <v>51</v>
      </c>
      <c r="N608" s="12" t="n">
        <v>0</v>
      </c>
      <c r="O608" s="12" t="n">
        <v>137</v>
      </c>
      <c r="P608" s="16" t="n">
        <f aca="false">O608/3</f>
        <v>45.6666666666667</v>
      </c>
      <c r="Q608" s="17" t="str">
        <f aca="false">INT(O608/3)&amp;"."&amp;MOD(O608,3)</f>
        <v>45.2</v>
      </c>
      <c r="R608" s="12" t="n">
        <v>40</v>
      </c>
      <c r="S608" s="12" t="n">
        <v>20</v>
      </c>
      <c r="T608" s="12" t="n">
        <v>20</v>
      </c>
      <c r="U608" s="12" t="n">
        <v>6</v>
      </c>
      <c r="V608" s="12" t="n">
        <v>9</v>
      </c>
      <c r="W608" s="12" t="n">
        <v>51</v>
      </c>
      <c r="X608" s="12" t="n">
        <v>1</v>
      </c>
      <c r="Y608" s="18" t="n">
        <f aca="false">IF(O608=0,0,T608*27/O608)</f>
        <v>3.94160583941606</v>
      </c>
      <c r="Z608" s="18" t="n">
        <f aca="false">IF(P608=0,0,(V608+R608)/P608)</f>
        <v>1.07299270072993</v>
      </c>
      <c r="AA608" s="18" t="n">
        <f aca="false">IF(O608=0,0,W608*27/O608)</f>
        <v>10.051094890511</v>
      </c>
      <c r="AB608" s="18" t="n">
        <f aca="false">IF(O608=0,0,V608*27/O608)</f>
        <v>1.77372262773723</v>
      </c>
      <c r="AC608" s="18" t="n">
        <f aca="false">IF(V608=0,0,W608/V608)</f>
        <v>5.66666666666667</v>
      </c>
      <c r="AD608" s="18" t="n">
        <f aca="false">IF(P608=0,0,(13*U608+3*(V608+X608)-2*W608)/P608+INDEX(球季參數!$C$2:$C$4,MATCH($A608,球季參數!$A$2:$A$4,0)))</f>
        <v>3.21138686131387</v>
      </c>
      <c r="AE608" s="11" t="n">
        <f aca="false">IF(P608&gt;=INDEX(球季參數!$F$2:$F$4,MATCH($A608,球季參數!$A$2:$A$4,0)),1,0)</f>
        <v>0</v>
      </c>
    </row>
    <row r="609" customFormat="false" ht="15" hidden="false" customHeight="false" outlineLevel="0" collapsed="false">
      <c r="A609" s="5" t="n">
        <v>2026</v>
      </c>
      <c r="B609" s="7" t="s">
        <v>510</v>
      </c>
      <c r="C609" s="10" t="str">
        <f aca="false">INDEX(球員主檔!$B$2:$B$749,MATCH($B609,球員主檔!$A$2:$A$749,0))</f>
        <v>Thiago Uchendu</v>
      </c>
      <c r="D609" s="7" t="s">
        <v>340</v>
      </c>
      <c r="E609" s="10" t="str">
        <f aca="false">INDEX(球隊主檔!$C$2:$C$31,MATCH($D609,球隊主檔!$A$2:$A$31,0))</f>
        <v>巴爾的摩金鶯</v>
      </c>
      <c r="F609" s="10" t="str">
        <f aca="false">INDEX(球隊主檔!$D$2:$D$31,MATCH($D609,球隊主檔!$A$2:$A$31,0))</f>
        <v>美聯</v>
      </c>
      <c r="G609" s="7" t="s">
        <v>507</v>
      </c>
      <c r="H609" s="11" t="n">
        <f aca="false">INT((DATE($A609,7,1)-INDEX(球員主檔!$G$2:$G$749,MATCH($B609,球員主檔!$A$2:$A$749,0)))/365.25)</f>
        <v>31</v>
      </c>
      <c r="I609" s="12" t="n">
        <v>2</v>
      </c>
      <c r="J609" s="12" t="n">
        <v>6</v>
      </c>
      <c r="K609" s="12" t="n">
        <v>6</v>
      </c>
      <c r="L609" s="12" t="n">
        <v>27</v>
      </c>
      <c r="M609" s="12" t="n">
        <v>56</v>
      </c>
      <c r="N609" s="12" t="n">
        <v>0</v>
      </c>
      <c r="O609" s="12" t="n">
        <v>179</v>
      </c>
      <c r="P609" s="16" t="n">
        <f aca="false">O609/3</f>
        <v>59.6666666666667</v>
      </c>
      <c r="Q609" s="17" t="str">
        <f aca="false">INT(O609/3)&amp;"."&amp;MOD(O609,3)</f>
        <v>59.2</v>
      </c>
      <c r="R609" s="12" t="n">
        <v>47</v>
      </c>
      <c r="S609" s="12" t="n">
        <v>27</v>
      </c>
      <c r="T609" s="12" t="n">
        <v>24</v>
      </c>
      <c r="U609" s="12" t="n">
        <v>10</v>
      </c>
      <c r="V609" s="12" t="n">
        <v>22</v>
      </c>
      <c r="W609" s="12" t="n">
        <v>64</v>
      </c>
      <c r="X609" s="12" t="n">
        <v>3</v>
      </c>
      <c r="Y609" s="18" t="n">
        <f aca="false">IF(O609=0,0,T609*27/O609)</f>
        <v>3.62011173184358</v>
      </c>
      <c r="Z609" s="18" t="n">
        <f aca="false">IF(P609=0,0,(V609+R609)/P609)</f>
        <v>1.15642458100559</v>
      </c>
      <c r="AA609" s="18" t="n">
        <f aca="false">IF(O609=0,0,W609*27/O609)</f>
        <v>9.6536312849162</v>
      </c>
      <c r="AB609" s="18" t="n">
        <f aca="false">IF(O609=0,0,V609*27/O609)</f>
        <v>3.31843575418994</v>
      </c>
      <c r="AC609" s="18" t="n">
        <f aca="false">IF(V609=0,0,W609/V609)</f>
        <v>2.90909090909091</v>
      </c>
      <c r="AD609" s="18" t="n">
        <f aca="false">IF(P609=0,0,(13*U609+3*(V609+X609)-2*W609)/P609+INDEX(球季參數!$C$2:$C$4,MATCH($A609,球季參數!$A$2:$A$4,0)))</f>
        <v>4.37050279329609</v>
      </c>
      <c r="AE609" s="11" t="n">
        <f aca="false">IF(P609&gt;=INDEX(球季參數!$F$2:$F$4,MATCH($A609,球季參數!$A$2:$A$4,0)),1,0)</f>
        <v>0</v>
      </c>
    </row>
    <row r="610" customFormat="false" ht="15" hidden="false" customHeight="false" outlineLevel="0" collapsed="false">
      <c r="A610" s="5" t="n">
        <v>2026</v>
      </c>
      <c r="B610" s="7" t="s">
        <v>512</v>
      </c>
      <c r="C610" s="10" t="str">
        <f aca="false">INDEX(球員主檔!$B$2:$B$749,MATCH($B610,球員主檔!$A$2:$A$749,0))</f>
        <v>Desmond Tremblay</v>
      </c>
      <c r="D610" s="7" t="s">
        <v>340</v>
      </c>
      <c r="E610" s="10" t="str">
        <f aca="false">INDEX(球隊主檔!$C$2:$C$31,MATCH($D610,球隊主檔!$A$2:$A$31,0))</f>
        <v>巴爾的摩金鶯</v>
      </c>
      <c r="F610" s="10" t="str">
        <f aca="false">INDEX(球隊主檔!$D$2:$D$31,MATCH($D610,球隊主檔!$A$2:$A$31,0))</f>
        <v>美聯</v>
      </c>
      <c r="G610" s="7" t="s">
        <v>507</v>
      </c>
      <c r="H610" s="11" t="n">
        <f aca="false">INT((DATE($A610,7,1)-INDEX(球員主檔!$G$2:$G$749,MATCH($B610,球員主檔!$A$2:$A$749,0)))/365.25)</f>
        <v>27</v>
      </c>
      <c r="I610" s="12" t="n">
        <v>5</v>
      </c>
      <c r="J610" s="12" t="n">
        <v>1</v>
      </c>
      <c r="K610" s="12" t="n">
        <v>1</v>
      </c>
      <c r="L610" s="12" t="n">
        <v>28</v>
      </c>
      <c r="M610" s="12" t="n">
        <v>76</v>
      </c>
      <c r="N610" s="12" t="n">
        <v>0</v>
      </c>
      <c r="O610" s="12" t="n">
        <v>212</v>
      </c>
      <c r="P610" s="16" t="n">
        <f aca="false">O610/3</f>
        <v>70.6666666666667</v>
      </c>
      <c r="Q610" s="17" t="str">
        <f aca="false">INT(O610/3)&amp;"."&amp;MOD(O610,3)</f>
        <v>70.2</v>
      </c>
      <c r="R610" s="12" t="n">
        <v>67</v>
      </c>
      <c r="S610" s="12" t="n">
        <v>43</v>
      </c>
      <c r="T610" s="12" t="n">
        <v>40</v>
      </c>
      <c r="U610" s="12" t="n">
        <v>6</v>
      </c>
      <c r="V610" s="12" t="n">
        <v>23</v>
      </c>
      <c r="W610" s="12" t="n">
        <v>80</v>
      </c>
      <c r="X610" s="12" t="n">
        <v>4</v>
      </c>
      <c r="Y610" s="18" t="n">
        <f aca="false">IF(O610=0,0,T610*27/O610)</f>
        <v>5.09433962264151</v>
      </c>
      <c r="Z610" s="18" t="n">
        <f aca="false">IF(P610=0,0,(V610+R610)/P610)</f>
        <v>1.27358490566038</v>
      </c>
      <c r="AA610" s="18" t="n">
        <f aca="false">IF(O610=0,0,W610*27/O610)</f>
        <v>10.188679245283</v>
      </c>
      <c r="AB610" s="18" t="n">
        <f aca="false">IF(O610=0,0,V610*27/O610)</f>
        <v>2.92924528301887</v>
      </c>
      <c r="AC610" s="18" t="n">
        <f aca="false">IF(V610=0,0,W610/V610)</f>
        <v>3.47826086956522</v>
      </c>
      <c r="AD610" s="18" t="n">
        <f aca="false">IF(P610=0,0,(13*U610+3*(V610+X610)-2*W610)/P610+INDEX(球季參數!$C$2:$C$4,MATCH($A610,球季參數!$A$2:$A$4,0)))</f>
        <v>3.06584905660377</v>
      </c>
      <c r="AE610" s="11" t="n">
        <f aca="false">IF(P610&gt;=INDEX(球季參數!$F$2:$F$4,MATCH($A610,球季參數!$A$2:$A$4,0)),1,0)</f>
        <v>0</v>
      </c>
    </row>
    <row r="611" customFormat="false" ht="15" hidden="false" customHeight="false" outlineLevel="0" collapsed="false">
      <c r="A611" s="5" t="n">
        <v>2026</v>
      </c>
      <c r="B611" s="7" t="s">
        <v>514</v>
      </c>
      <c r="C611" s="10" t="str">
        <f aca="false">INDEX(球員主檔!$B$2:$B$749,MATCH($B611,球員主檔!$A$2:$A$749,0))</f>
        <v>Kellan Jernigan</v>
      </c>
      <c r="D611" s="7" t="s">
        <v>340</v>
      </c>
      <c r="E611" s="10" t="str">
        <f aca="false">INDEX(球隊主檔!$C$2:$C$31,MATCH($D611,球隊主檔!$A$2:$A$31,0))</f>
        <v>巴爾的摩金鶯</v>
      </c>
      <c r="F611" s="10" t="str">
        <f aca="false">INDEX(球隊主檔!$D$2:$D$31,MATCH($D611,球隊主檔!$A$2:$A$31,0))</f>
        <v>美聯</v>
      </c>
      <c r="G611" s="7" t="s">
        <v>507</v>
      </c>
      <c r="H611" s="11" t="n">
        <f aca="false">INT((DATE($A611,7,1)-INDEX(球員主檔!$G$2:$G$749,MATCH($B611,球員主檔!$A$2:$A$749,0)))/365.25)</f>
        <v>29</v>
      </c>
      <c r="I611" s="12" t="n">
        <v>1</v>
      </c>
      <c r="J611" s="12" t="n">
        <v>7</v>
      </c>
      <c r="K611" s="12" t="n">
        <v>1</v>
      </c>
      <c r="L611" s="12" t="n">
        <v>15</v>
      </c>
      <c r="M611" s="12" t="n">
        <v>52</v>
      </c>
      <c r="N611" s="12" t="n">
        <v>0</v>
      </c>
      <c r="O611" s="12" t="n">
        <v>157</v>
      </c>
      <c r="P611" s="16" t="n">
        <f aca="false">O611/3</f>
        <v>52.3333333333333</v>
      </c>
      <c r="Q611" s="17" t="str">
        <f aca="false">INT(O611/3)&amp;"."&amp;MOD(O611,3)</f>
        <v>52.1</v>
      </c>
      <c r="R611" s="12" t="n">
        <v>42</v>
      </c>
      <c r="S611" s="12" t="n">
        <v>21</v>
      </c>
      <c r="T611" s="12" t="n">
        <v>21</v>
      </c>
      <c r="U611" s="12" t="n">
        <v>6</v>
      </c>
      <c r="V611" s="12" t="n">
        <v>11</v>
      </c>
      <c r="W611" s="12" t="n">
        <v>52</v>
      </c>
      <c r="X611" s="12" t="n">
        <v>1</v>
      </c>
      <c r="Y611" s="18" t="n">
        <f aca="false">IF(O611=0,0,T611*27/O611)</f>
        <v>3.61146496815287</v>
      </c>
      <c r="Z611" s="18" t="n">
        <f aca="false">IF(P611=0,0,(V611+R611)/P611)</f>
        <v>1.01273885350318</v>
      </c>
      <c r="AA611" s="18" t="n">
        <f aca="false">IF(O611=0,0,W611*27/O611)</f>
        <v>8.94267515923567</v>
      </c>
      <c r="AB611" s="18" t="n">
        <f aca="false">IF(O611=0,0,V611*27/O611)</f>
        <v>1.89171974522293</v>
      </c>
      <c r="AC611" s="18" t="n">
        <f aca="false">IF(V611=0,0,W611/V611)</f>
        <v>4.72727272727273</v>
      </c>
      <c r="AD611" s="18" t="n">
        <f aca="false">IF(P611=0,0,(13*U611+3*(V611+X611)-2*W611)/P611+INDEX(球季參數!$C$2:$C$4,MATCH($A611,球季參數!$A$2:$A$4,0)))</f>
        <v>3.27108280254777</v>
      </c>
      <c r="AE611" s="11" t="n">
        <f aca="false">IF(P611&gt;=INDEX(球季參數!$F$2:$F$4,MATCH($A611,球季參數!$A$2:$A$4,0)),1,0)</f>
        <v>0</v>
      </c>
    </row>
    <row r="612" customFormat="false" ht="15" hidden="false" customHeight="false" outlineLevel="0" collapsed="false">
      <c r="A612" s="5" t="n">
        <v>2026</v>
      </c>
      <c r="B612" s="7" t="s">
        <v>537</v>
      </c>
      <c r="C612" s="10" t="str">
        <f aca="false">INDEX(球員主檔!$B$2:$B$749,MATCH($B612,球員主檔!$A$2:$A$749,0))</f>
        <v>Joaquín Ibarra</v>
      </c>
      <c r="D612" s="7" t="s">
        <v>346</v>
      </c>
      <c r="E612" s="10" t="str">
        <f aca="false">INDEX(球隊主檔!$C$2:$C$31,MATCH($D612,球隊主檔!$A$2:$A$31,0))</f>
        <v>波士頓紅襪</v>
      </c>
      <c r="F612" s="10" t="str">
        <f aca="false">INDEX(球隊主檔!$D$2:$D$31,MATCH($D612,球隊主檔!$A$2:$A$31,0))</f>
        <v>美聯</v>
      </c>
      <c r="G612" s="7" t="s">
        <v>496</v>
      </c>
      <c r="H612" s="11" t="n">
        <f aca="false">INT((DATE($A612,7,1)-INDEX(球員主檔!$G$2:$G$749,MATCH($B612,球員主檔!$A$2:$A$749,0)))/365.25)</f>
        <v>34</v>
      </c>
      <c r="I612" s="12" t="n">
        <v>15</v>
      </c>
      <c r="J612" s="12" t="n">
        <v>4</v>
      </c>
      <c r="K612" s="12" t="n">
        <v>0</v>
      </c>
      <c r="L612" s="12" t="n">
        <v>0</v>
      </c>
      <c r="M612" s="12" t="n">
        <v>29</v>
      </c>
      <c r="N612" s="12" t="n">
        <v>29</v>
      </c>
      <c r="O612" s="12" t="n">
        <v>430</v>
      </c>
      <c r="P612" s="16" t="n">
        <f aca="false">O612/3</f>
        <v>143.333333333333</v>
      </c>
      <c r="Q612" s="17" t="str">
        <f aca="false">INT(O612/3)&amp;"."&amp;MOD(O612,3)</f>
        <v>143.1</v>
      </c>
      <c r="R612" s="12" t="n">
        <v>98</v>
      </c>
      <c r="S612" s="12" t="n">
        <v>42</v>
      </c>
      <c r="T612" s="12" t="n">
        <v>40</v>
      </c>
      <c r="U612" s="12" t="n">
        <v>19</v>
      </c>
      <c r="V612" s="12" t="n">
        <v>62</v>
      </c>
      <c r="W612" s="12" t="n">
        <v>138</v>
      </c>
      <c r="X612" s="12" t="n">
        <v>4</v>
      </c>
      <c r="Y612" s="18" t="n">
        <f aca="false">IF(O612=0,0,T612*27/O612)</f>
        <v>2.51162790697674</v>
      </c>
      <c r="Z612" s="18" t="n">
        <f aca="false">IF(P612=0,0,(V612+R612)/P612)</f>
        <v>1.11627906976744</v>
      </c>
      <c r="AA612" s="18" t="n">
        <f aca="false">IF(O612=0,0,W612*27/O612)</f>
        <v>8.66511627906977</v>
      </c>
      <c r="AB612" s="18" t="n">
        <f aca="false">IF(O612=0,0,V612*27/O612)</f>
        <v>3.89302325581395</v>
      </c>
      <c r="AC612" s="18" t="n">
        <f aca="false">IF(V612=0,0,W612/V612)</f>
        <v>2.2258064516129</v>
      </c>
      <c r="AD612" s="18" t="n">
        <f aca="false">IF(P612=0,0,(13*U612+3*(V612+X612)-2*W612)/P612+INDEX(球季參數!$C$2:$C$4,MATCH($A612,球季參數!$A$2:$A$4,0)))</f>
        <v>4.25906976744186</v>
      </c>
      <c r="AE612" s="11" t="n">
        <f aca="false">IF(P612&gt;=INDEX(球季參數!$F$2:$F$4,MATCH($A612,球季參數!$A$2:$A$4,0)),1,0)</f>
        <v>0</v>
      </c>
    </row>
    <row r="613" customFormat="false" ht="15" hidden="false" customHeight="false" outlineLevel="0" collapsed="false">
      <c r="A613" s="5" t="n">
        <v>2026</v>
      </c>
      <c r="B613" s="7" t="s">
        <v>539</v>
      </c>
      <c r="C613" s="10" t="str">
        <f aca="false">INDEX(球員主檔!$B$2:$B$749,MATCH($B613,球員主檔!$A$2:$A$749,0))</f>
        <v>Lorenzo Jaramillo</v>
      </c>
      <c r="D613" s="7" t="s">
        <v>346</v>
      </c>
      <c r="E613" s="10" t="str">
        <f aca="false">INDEX(球隊主檔!$C$2:$C$31,MATCH($D613,球隊主檔!$A$2:$A$31,0))</f>
        <v>波士頓紅襪</v>
      </c>
      <c r="F613" s="10" t="str">
        <f aca="false">INDEX(球隊主檔!$D$2:$D$31,MATCH($D613,球隊主檔!$A$2:$A$31,0))</f>
        <v>美聯</v>
      </c>
      <c r="G613" s="7" t="s">
        <v>496</v>
      </c>
      <c r="H613" s="11" t="n">
        <f aca="false">INT((DATE($A613,7,1)-INDEX(球員主檔!$G$2:$G$749,MATCH($B613,球員主檔!$A$2:$A$749,0)))/365.25)</f>
        <v>30</v>
      </c>
      <c r="I613" s="12" t="n">
        <v>12</v>
      </c>
      <c r="J613" s="12" t="n">
        <v>5</v>
      </c>
      <c r="K613" s="12" t="n">
        <v>0</v>
      </c>
      <c r="L613" s="12" t="n">
        <v>0</v>
      </c>
      <c r="M613" s="12" t="n">
        <v>26</v>
      </c>
      <c r="N613" s="12" t="n">
        <v>26</v>
      </c>
      <c r="O613" s="12" t="n">
        <v>403</v>
      </c>
      <c r="P613" s="16" t="n">
        <f aca="false">O613/3</f>
        <v>134.333333333333</v>
      </c>
      <c r="Q613" s="17" t="str">
        <f aca="false">INT(O613/3)&amp;"."&amp;MOD(O613,3)</f>
        <v>134.1</v>
      </c>
      <c r="R613" s="12" t="n">
        <v>102</v>
      </c>
      <c r="S613" s="12" t="n">
        <v>54</v>
      </c>
      <c r="T613" s="12" t="n">
        <v>54</v>
      </c>
      <c r="U613" s="12" t="n">
        <v>34</v>
      </c>
      <c r="V613" s="12" t="n">
        <v>28</v>
      </c>
      <c r="W613" s="12" t="n">
        <v>135</v>
      </c>
      <c r="X613" s="12" t="n">
        <v>8</v>
      </c>
      <c r="Y613" s="18" t="n">
        <f aca="false">IF(O613=0,0,T613*27/O613)</f>
        <v>3.61786600496278</v>
      </c>
      <c r="Z613" s="18" t="n">
        <f aca="false">IF(P613=0,0,(V613+R613)/P613)</f>
        <v>0.967741935483871</v>
      </c>
      <c r="AA613" s="18" t="n">
        <f aca="false">IF(O613=0,0,W613*27/O613)</f>
        <v>9.04466501240695</v>
      </c>
      <c r="AB613" s="18" t="n">
        <f aca="false">IF(O613=0,0,V613*27/O613)</f>
        <v>1.87593052109181</v>
      </c>
      <c r="AC613" s="18" t="n">
        <f aca="false">IF(V613=0,0,W613/V613)</f>
        <v>4.82142857142857</v>
      </c>
      <c r="AD613" s="18" t="n">
        <f aca="false">IF(P613=0,0,(13*U613+3*(V613+X613)-2*W613)/P613+INDEX(球季參數!$C$2:$C$4,MATCH($A613,球季參數!$A$2:$A$4,0)))</f>
        <v>5.16436724565757</v>
      </c>
      <c r="AE613" s="11" t="n">
        <f aca="false">IF(P613&gt;=INDEX(球季參數!$F$2:$F$4,MATCH($A613,球季參數!$A$2:$A$4,0)),1,0)</f>
        <v>0</v>
      </c>
    </row>
    <row r="614" customFormat="false" ht="15" hidden="false" customHeight="false" outlineLevel="0" collapsed="false">
      <c r="A614" s="5" t="n">
        <v>2026</v>
      </c>
      <c r="B614" s="7" t="s">
        <v>1193</v>
      </c>
      <c r="C614" s="10" t="str">
        <f aca="false">INDEX(球員主檔!$B$2:$B$749,MATCH($B614,球員主檔!$A$2:$A$749,0))</f>
        <v>Sousuke Ravenscroft</v>
      </c>
      <c r="D614" s="7" t="s">
        <v>346</v>
      </c>
      <c r="E614" s="10" t="str">
        <f aca="false">INDEX(球隊主檔!$C$2:$C$31,MATCH($D614,球隊主檔!$A$2:$A$31,0))</f>
        <v>波士頓紅襪</v>
      </c>
      <c r="F614" s="10" t="str">
        <f aca="false">INDEX(球隊主檔!$D$2:$D$31,MATCH($D614,球隊主檔!$A$2:$A$31,0))</f>
        <v>美聯</v>
      </c>
      <c r="G614" s="7" t="s">
        <v>496</v>
      </c>
      <c r="H614" s="11" t="n">
        <f aca="false">INT((DATE($A614,7,1)-INDEX(球員主檔!$G$2:$G$749,MATCH($B614,球員主檔!$A$2:$A$749,0)))/365.25)</f>
        <v>33</v>
      </c>
      <c r="I614" s="12" t="n">
        <v>15</v>
      </c>
      <c r="J614" s="12" t="n">
        <v>5</v>
      </c>
      <c r="K614" s="12" t="n">
        <v>0</v>
      </c>
      <c r="L614" s="12" t="n">
        <v>0</v>
      </c>
      <c r="M614" s="12" t="n">
        <v>28</v>
      </c>
      <c r="N614" s="12" t="n">
        <v>28</v>
      </c>
      <c r="O614" s="12" t="n">
        <v>460</v>
      </c>
      <c r="P614" s="16" t="n">
        <f aca="false">O614/3</f>
        <v>153.333333333333</v>
      </c>
      <c r="Q614" s="17" t="str">
        <f aca="false">INT(O614/3)&amp;"."&amp;MOD(O614,3)</f>
        <v>153.1</v>
      </c>
      <c r="R614" s="12" t="n">
        <v>128</v>
      </c>
      <c r="S614" s="12" t="n">
        <v>56</v>
      </c>
      <c r="T614" s="12" t="n">
        <v>56</v>
      </c>
      <c r="U614" s="12" t="n">
        <v>14</v>
      </c>
      <c r="V614" s="12" t="n">
        <v>62</v>
      </c>
      <c r="W614" s="12" t="n">
        <v>156</v>
      </c>
      <c r="X614" s="12" t="n">
        <v>5</v>
      </c>
      <c r="Y614" s="18" t="n">
        <f aca="false">IF(O614=0,0,T614*27/O614)</f>
        <v>3.28695652173913</v>
      </c>
      <c r="Z614" s="18" t="n">
        <f aca="false">IF(P614=0,0,(V614+R614)/P614)</f>
        <v>1.23913043478261</v>
      </c>
      <c r="AA614" s="18" t="n">
        <f aca="false">IF(O614=0,0,W614*27/O614)</f>
        <v>9.15652173913044</v>
      </c>
      <c r="AB614" s="18" t="n">
        <f aca="false">IF(O614=0,0,V614*27/O614)</f>
        <v>3.63913043478261</v>
      </c>
      <c r="AC614" s="18" t="n">
        <f aca="false">IF(V614=0,0,W614/V614)</f>
        <v>2.51612903225806</v>
      </c>
      <c r="AD614" s="18" t="n">
        <f aca="false">IF(P614=0,0,(13*U614+3*(V614+X614)-2*W614)/P614+INDEX(球季參數!$C$2:$C$4,MATCH($A614,球季參數!$A$2:$A$4,0)))</f>
        <v>3.54304347826087</v>
      </c>
      <c r="AE614" s="11" t="n">
        <f aca="false">IF(P614&gt;=INDEX(球季參數!$F$2:$F$4,MATCH($A614,球季參數!$A$2:$A$4,0)),1,0)</f>
        <v>0</v>
      </c>
    </row>
    <row r="615" customFormat="false" ht="15" hidden="false" customHeight="false" outlineLevel="0" collapsed="false">
      <c r="A615" s="5" t="n">
        <v>2026</v>
      </c>
      <c r="B615" s="7" t="s">
        <v>543</v>
      </c>
      <c r="C615" s="10" t="str">
        <f aca="false">INDEX(球員主檔!$B$2:$B$749,MATCH($B615,球員主檔!$A$2:$A$749,0))</f>
        <v>Thiago Eberhardt</v>
      </c>
      <c r="D615" s="7" t="s">
        <v>346</v>
      </c>
      <c r="E615" s="10" t="str">
        <f aca="false">INDEX(球隊主檔!$C$2:$C$31,MATCH($D615,球隊主檔!$A$2:$A$31,0))</f>
        <v>波士頓紅襪</v>
      </c>
      <c r="F615" s="10" t="str">
        <f aca="false">INDEX(球隊主檔!$D$2:$D$31,MATCH($D615,球隊主檔!$A$2:$A$31,0))</f>
        <v>美聯</v>
      </c>
      <c r="G615" s="7" t="s">
        <v>496</v>
      </c>
      <c r="H615" s="11" t="n">
        <f aca="false">INT((DATE($A615,7,1)-INDEX(球員主檔!$G$2:$G$749,MATCH($B615,球員主檔!$A$2:$A$749,0)))/365.25)</f>
        <v>31</v>
      </c>
      <c r="I615" s="12" t="n">
        <v>12</v>
      </c>
      <c r="J615" s="12" t="n">
        <v>6</v>
      </c>
      <c r="K615" s="12" t="n">
        <v>0</v>
      </c>
      <c r="L615" s="12" t="n">
        <v>0</v>
      </c>
      <c r="M615" s="12" t="n">
        <v>32</v>
      </c>
      <c r="N615" s="12" t="n">
        <v>32</v>
      </c>
      <c r="O615" s="12" t="n">
        <v>526</v>
      </c>
      <c r="P615" s="16" t="n">
        <f aca="false">O615/3</f>
        <v>175.333333333333</v>
      </c>
      <c r="Q615" s="17" t="str">
        <f aca="false">INT(O615/3)&amp;"."&amp;MOD(O615,3)</f>
        <v>175.1</v>
      </c>
      <c r="R615" s="12" t="n">
        <v>140</v>
      </c>
      <c r="S615" s="12" t="n">
        <v>81</v>
      </c>
      <c r="T615" s="12" t="n">
        <v>81</v>
      </c>
      <c r="U615" s="12" t="n">
        <v>16</v>
      </c>
      <c r="V615" s="12" t="n">
        <v>59</v>
      </c>
      <c r="W615" s="12" t="n">
        <v>143</v>
      </c>
      <c r="X615" s="12" t="n">
        <v>9</v>
      </c>
      <c r="Y615" s="18" t="n">
        <f aca="false">IF(O615=0,0,T615*27/O615)</f>
        <v>4.15779467680608</v>
      </c>
      <c r="Z615" s="18" t="n">
        <f aca="false">IF(P615=0,0,(V615+R615)/P615)</f>
        <v>1.13498098859316</v>
      </c>
      <c r="AA615" s="18" t="n">
        <f aca="false">IF(O615=0,0,W615*27/O615)</f>
        <v>7.34030418250951</v>
      </c>
      <c r="AB615" s="18" t="n">
        <f aca="false">IF(O615=0,0,V615*27/O615)</f>
        <v>3.02851711026616</v>
      </c>
      <c r="AC615" s="18" t="n">
        <f aca="false">IF(V615=0,0,W615/V615)</f>
        <v>2.42372881355932</v>
      </c>
      <c r="AD615" s="18" t="n">
        <f aca="false">IF(P615=0,0,(13*U615+3*(V615+X615)-2*W615)/P615+INDEX(球季參數!$C$2:$C$4,MATCH($A615,球季參數!$A$2:$A$4,0)))</f>
        <v>3.79863117870722</v>
      </c>
      <c r="AE615" s="11" t="n">
        <f aca="false">IF(P615&gt;=INDEX(球季參數!$F$2:$F$4,MATCH($A615,球季參數!$A$2:$A$4,0)),1,0)</f>
        <v>1</v>
      </c>
    </row>
    <row r="616" customFormat="false" ht="15" hidden="false" customHeight="false" outlineLevel="0" collapsed="false">
      <c r="A616" s="5" t="n">
        <v>2026</v>
      </c>
      <c r="B616" s="7" t="s">
        <v>545</v>
      </c>
      <c r="C616" s="10" t="str">
        <f aca="false">INDEX(球員主檔!$B$2:$B$749,MATCH($B616,球員主檔!$A$2:$A$749,0))</f>
        <v>Tristan Sorrentino</v>
      </c>
      <c r="D616" s="7" t="s">
        <v>346</v>
      </c>
      <c r="E616" s="10" t="str">
        <f aca="false">INDEX(球隊主檔!$C$2:$C$31,MATCH($D616,球隊主檔!$A$2:$A$31,0))</f>
        <v>波士頓紅襪</v>
      </c>
      <c r="F616" s="10" t="str">
        <f aca="false">INDEX(球隊主檔!$D$2:$D$31,MATCH($D616,球隊主檔!$A$2:$A$31,0))</f>
        <v>美聯</v>
      </c>
      <c r="G616" s="7" t="s">
        <v>496</v>
      </c>
      <c r="H616" s="11" t="n">
        <f aca="false">INT((DATE($A616,7,1)-INDEX(球員主檔!$G$2:$G$749,MATCH($B616,球員主檔!$A$2:$A$749,0)))/365.25)</f>
        <v>27</v>
      </c>
      <c r="I616" s="12" t="n">
        <v>5</v>
      </c>
      <c r="J616" s="12" t="n">
        <v>2</v>
      </c>
      <c r="K616" s="12" t="n">
        <v>0</v>
      </c>
      <c r="L616" s="12" t="n">
        <v>0</v>
      </c>
      <c r="M616" s="12" t="n">
        <v>12</v>
      </c>
      <c r="N616" s="12" t="n">
        <v>12</v>
      </c>
      <c r="O616" s="12" t="n">
        <v>202</v>
      </c>
      <c r="P616" s="16" t="n">
        <f aca="false">O616/3</f>
        <v>67.3333333333333</v>
      </c>
      <c r="Q616" s="17" t="str">
        <f aca="false">INT(O616/3)&amp;"."&amp;MOD(O616,3)</f>
        <v>67.1</v>
      </c>
      <c r="R616" s="12" t="n">
        <v>58</v>
      </c>
      <c r="S616" s="12" t="n">
        <v>31</v>
      </c>
      <c r="T616" s="12" t="n">
        <v>28</v>
      </c>
      <c r="U616" s="12" t="n">
        <v>4</v>
      </c>
      <c r="V616" s="12" t="n">
        <v>16</v>
      </c>
      <c r="W616" s="12" t="n">
        <v>58</v>
      </c>
      <c r="X616" s="12" t="n">
        <v>3</v>
      </c>
      <c r="Y616" s="18" t="n">
        <f aca="false">IF(O616=0,0,T616*27/O616)</f>
        <v>3.74257425742574</v>
      </c>
      <c r="Z616" s="18" t="n">
        <f aca="false">IF(P616=0,0,(V616+R616)/P616)</f>
        <v>1.0990099009901</v>
      </c>
      <c r="AA616" s="18" t="n">
        <f aca="false">IF(O616=0,0,W616*27/O616)</f>
        <v>7.75247524752475</v>
      </c>
      <c r="AB616" s="18" t="n">
        <f aca="false">IF(O616=0,0,V616*27/O616)</f>
        <v>2.13861386138614</v>
      </c>
      <c r="AC616" s="18" t="n">
        <f aca="false">IF(V616=0,0,W616/V616)</f>
        <v>3.625</v>
      </c>
      <c r="AD616" s="18" t="n">
        <f aca="false">IF(P616=0,0,(13*U616+3*(V616+X616)-2*W616)/P616+INDEX(球季參數!$C$2:$C$4,MATCH($A616,球季參數!$A$2:$A$4,0)))</f>
        <v>2.9760396039604</v>
      </c>
      <c r="AE616" s="11" t="n">
        <f aca="false">IF(P616&gt;=INDEX(球季參數!$F$2:$F$4,MATCH($A616,球季參數!$A$2:$A$4,0)),1,0)</f>
        <v>0</v>
      </c>
    </row>
    <row r="617" customFormat="false" ht="15" hidden="false" customHeight="false" outlineLevel="0" collapsed="false">
      <c r="A617" s="5" t="n">
        <v>2026</v>
      </c>
      <c r="B617" s="7" t="s">
        <v>547</v>
      </c>
      <c r="C617" s="10" t="str">
        <f aca="false">INDEX(球員主檔!$B$2:$B$749,MATCH($B617,球員主檔!$A$2:$A$749,0))</f>
        <v>Percival Wainwright</v>
      </c>
      <c r="D617" s="7" t="s">
        <v>346</v>
      </c>
      <c r="E617" s="10" t="str">
        <f aca="false">INDEX(球隊主檔!$C$2:$C$31,MATCH($D617,球隊主檔!$A$2:$A$31,0))</f>
        <v>波士頓紅襪</v>
      </c>
      <c r="F617" s="10" t="str">
        <f aca="false">INDEX(球隊主檔!$D$2:$D$31,MATCH($D617,球隊主檔!$A$2:$A$31,0))</f>
        <v>美聯</v>
      </c>
      <c r="G617" s="7" t="s">
        <v>507</v>
      </c>
      <c r="H617" s="11" t="n">
        <f aca="false">INT((DATE($A617,7,1)-INDEX(球員主檔!$G$2:$G$749,MATCH($B617,球員主檔!$A$2:$A$749,0)))/365.25)</f>
        <v>26</v>
      </c>
      <c r="I617" s="12" t="n">
        <v>6</v>
      </c>
      <c r="J617" s="12" t="n">
        <v>0</v>
      </c>
      <c r="K617" s="12" t="n">
        <v>19</v>
      </c>
      <c r="L617" s="12" t="n">
        <v>3</v>
      </c>
      <c r="M617" s="12" t="n">
        <v>67</v>
      </c>
      <c r="N617" s="12" t="n">
        <v>0</v>
      </c>
      <c r="O617" s="12" t="n">
        <v>193</v>
      </c>
      <c r="P617" s="16" t="n">
        <f aca="false">O617/3</f>
        <v>64.3333333333333</v>
      </c>
      <c r="Q617" s="17" t="str">
        <f aca="false">INT(O617/3)&amp;"."&amp;MOD(O617,3)</f>
        <v>64.1</v>
      </c>
      <c r="R617" s="12" t="n">
        <v>41</v>
      </c>
      <c r="S617" s="12" t="n">
        <v>17</v>
      </c>
      <c r="T617" s="12" t="n">
        <v>16</v>
      </c>
      <c r="U617" s="12" t="n">
        <v>7</v>
      </c>
      <c r="V617" s="12" t="n">
        <v>22</v>
      </c>
      <c r="W617" s="12" t="n">
        <v>55</v>
      </c>
      <c r="X617" s="12" t="n">
        <v>3</v>
      </c>
      <c r="Y617" s="18" t="n">
        <f aca="false">IF(O617=0,0,T617*27/O617)</f>
        <v>2.23834196891192</v>
      </c>
      <c r="Z617" s="18" t="n">
        <f aca="false">IF(P617=0,0,(V617+R617)/P617)</f>
        <v>0.979274611398964</v>
      </c>
      <c r="AA617" s="18" t="n">
        <f aca="false">IF(O617=0,0,W617*27/O617)</f>
        <v>7.69430051813472</v>
      </c>
      <c r="AB617" s="18" t="n">
        <f aca="false">IF(O617=0,0,V617*27/O617)</f>
        <v>3.07772020725389</v>
      </c>
      <c r="AC617" s="18" t="n">
        <f aca="false">IF(V617=0,0,W617/V617)</f>
        <v>2.5</v>
      </c>
      <c r="AD617" s="18" t="n">
        <f aca="false">IF(P617=0,0,(13*U617+3*(V617+X617)-2*W617)/P617+INDEX(球季參數!$C$2:$C$4,MATCH($A617,球季參數!$A$2:$A$4,0)))</f>
        <v>3.95046632124352</v>
      </c>
      <c r="AE617" s="11" t="n">
        <f aca="false">IF(P617&gt;=INDEX(球季參數!$F$2:$F$4,MATCH($A617,球季參數!$A$2:$A$4,0)),1,0)</f>
        <v>0</v>
      </c>
    </row>
    <row r="618" customFormat="false" ht="15" hidden="false" customHeight="false" outlineLevel="0" collapsed="false">
      <c r="A618" s="5" t="n">
        <v>2026</v>
      </c>
      <c r="B618" s="7" t="s">
        <v>549</v>
      </c>
      <c r="C618" s="10" t="str">
        <f aca="false">INDEX(球員主檔!$B$2:$B$749,MATCH($B618,球員主檔!$A$2:$A$749,0))</f>
        <v>Cedric Mbeki</v>
      </c>
      <c r="D618" s="7" t="s">
        <v>346</v>
      </c>
      <c r="E618" s="10" t="str">
        <f aca="false">INDEX(球隊主檔!$C$2:$C$31,MATCH($D618,球隊主檔!$A$2:$A$31,0))</f>
        <v>波士頓紅襪</v>
      </c>
      <c r="F618" s="10" t="str">
        <f aca="false">INDEX(球隊主檔!$D$2:$D$31,MATCH($D618,球隊主檔!$A$2:$A$31,0))</f>
        <v>美聯</v>
      </c>
      <c r="G618" s="7" t="s">
        <v>507</v>
      </c>
      <c r="H618" s="11" t="n">
        <f aca="false">INT((DATE($A618,7,1)-INDEX(球員主檔!$G$2:$G$749,MATCH($B618,球員主檔!$A$2:$A$749,0)))/365.25)</f>
        <v>25</v>
      </c>
      <c r="I618" s="12" t="n">
        <v>0</v>
      </c>
      <c r="J618" s="12" t="n">
        <v>3</v>
      </c>
      <c r="K618" s="12" t="n">
        <v>0</v>
      </c>
      <c r="L618" s="12" t="n">
        <v>13</v>
      </c>
      <c r="M618" s="12" t="n">
        <v>59</v>
      </c>
      <c r="N618" s="12" t="n">
        <v>0</v>
      </c>
      <c r="O618" s="12" t="n">
        <v>188</v>
      </c>
      <c r="P618" s="16" t="n">
        <f aca="false">O618/3</f>
        <v>62.6666666666667</v>
      </c>
      <c r="Q618" s="17" t="str">
        <f aca="false">INT(O618/3)&amp;"."&amp;MOD(O618,3)</f>
        <v>62.2</v>
      </c>
      <c r="R618" s="12" t="n">
        <v>54</v>
      </c>
      <c r="S618" s="12" t="n">
        <v>27</v>
      </c>
      <c r="T618" s="12" t="n">
        <v>27</v>
      </c>
      <c r="U618" s="12" t="n">
        <v>9</v>
      </c>
      <c r="V618" s="12" t="n">
        <v>14</v>
      </c>
      <c r="W618" s="12" t="n">
        <v>69</v>
      </c>
      <c r="X618" s="12" t="n">
        <v>3</v>
      </c>
      <c r="Y618" s="18" t="n">
        <f aca="false">IF(O618=0,0,T618*27/O618)</f>
        <v>3.87765957446809</v>
      </c>
      <c r="Z618" s="18" t="n">
        <f aca="false">IF(P618=0,0,(V618+R618)/P618)</f>
        <v>1.08510638297872</v>
      </c>
      <c r="AA618" s="18" t="n">
        <f aca="false">IF(O618=0,0,W618*27/O618)</f>
        <v>9.90957446808511</v>
      </c>
      <c r="AB618" s="18" t="n">
        <f aca="false">IF(O618=0,0,V618*27/O618)</f>
        <v>2.01063829787234</v>
      </c>
      <c r="AC618" s="18" t="n">
        <f aca="false">IF(V618=0,0,W618/V618)</f>
        <v>4.92857142857143</v>
      </c>
      <c r="AD618" s="18" t="n">
        <f aca="false">IF(P618=0,0,(13*U618+3*(V618+X618)-2*W618)/P618+INDEX(球季參數!$C$2:$C$4,MATCH($A618,球季參數!$A$2:$A$4,0)))</f>
        <v>3.55872340425532</v>
      </c>
      <c r="AE618" s="11" t="n">
        <f aca="false">IF(P618&gt;=INDEX(球季參數!$F$2:$F$4,MATCH($A618,球季參數!$A$2:$A$4,0)),1,0)</f>
        <v>0</v>
      </c>
    </row>
    <row r="619" customFormat="false" ht="15" hidden="false" customHeight="false" outlineLevel="0" collapsed="false">
      <c r="A619" s="5" t="n">
        <v>2026</v>
      </c>
      <c r="B619" s="7" t="s">
        <v>1821</v>
      </c>
      <c r="C619" s="10" t="str">
        <f aca="false">INDEX(球員主檔!$B$2:$B$749,MATCH($B619,球員主檔!$A$2:$A$749,0))</f>
        <v>Ignacio Yarbrough</v>
      </c>
      <c r="D619" s="7" t="s">
        <v>346</v>
      </c>
      <c r="E619" s="10" t="str">
        <f aca="false">INDEX(球隊主檔!$C$2:$C$31,MATCH($D619,球隊主檔!$A$2:$A$31,0))</f>
        <v>波士頓紅襪</v>
      </c>
      <c r="F619" s="10" t="str">
        <f aca="false">INDEX(球隊主檔!$D$2:$D$31,MATCH($D619,球隊主檔!$A$2:$A$31,0))</f>
        <v>美聯</v>
      </c>
      <c r="G619" s="7" t="s">
        <v>507</v>
      </c>
      <c r="H619" s="11" t="n">
        <f aca="false">INT((DATE($A619,7,1)-INDEX(球員主檔!$G$2:$G$749,MATCH($B619,球員主檔!$A$2:$A$749,0)))/365.25)</f>
        <v>24</v>
      </c>
      <c r="I619" s="12" t="n">
        <v>1</v>
      </c>
      <c r="J619" s="12" t="n">
        <v>8</v>
      </c>
      <c r="K619" s="12" t="n">
        <v>6</v>
      </c>
      <c r="L619" s="12" t="n">
        <v>25</v>
      </c>
      <c r="M619" s="12" t="n">
        <v>72</v>
      </c>
      <c r="N619" s="12" t="n">
        <v>0</v>
      </c>
      <c r="O619" s="12" t="n">
        <v>215</v>
      </c>
      <c r="P619" s="16" t="n">
        <f aca="false">O619/3</f>
        <v>71.6666666666667</v>
      </c>
      <c r="Q619" s="17" t="str">
        <f aca="false">INT(O619/3)&amp;"."&amp;MOD(O619,3)</f>
        <v>71.2</v>
      </c>
      <c r="R619" s="12" t="n">
        <v>58</v>
      </c>
      <c r="S619" s="12" t="n">
        <v>37</v>
      </c>
      <c r="T619" s="12" t="n">
        <v>36</v>
      </c>
      <c r="U619" s="12" t="n">
        <v>8</v>
      </c>
      <c r="V619" s="12" t="n">
        <v>24</v>
      </c>
      <c r="W619" s="12" t="n">
        <v>85</v>
      </c>
      <c r="X619" s="12" t="n">
        <v>2</v>
      </c>
      <c r="Y619" s="18" t="n">
        <f aca="false">IF(O619=0,0,T619*27/O619)</f>
        <v>4.52093023255814</v>
      </c>
      <c r="Z619" s="18" t="n">
        <f aca="false">IF(P619=0,0,(V619+R619)/P619)</f>
        <v>1.14418604651163</v>
      </c>
      <c r="AA619" s="18" t="n">
        <f aca="false">IF(O619=0,0,W619*27/O619)</f>
        <v>10.6744186046512</v>
      </c>
      <c r="AB619" s="18" t="n">
        <f aca="false">IF(O619=0,0,V619*27/O619)</f>
        <v>3.01395348837209</v>
      </c>
      <c r="AC619" s="18" t="n">
        <f aca="false">IF(V619=0,0,W619/V619)</f>
        <v>3.54166666666667</v>
      </c>
      <c r="AD619" s="18" t="n">
        <f aca="false">IF(P619=0,0,(13*U619+3*(V619+X619)-2*W619)/P619+INDEX(球季參數!$C$2:$C$4,MATCH($A619,球季參數!$A$2:$A$4,0)))</f>
        <v>3.24744186046512</v>
      </c>
      <c r="AE619" s="11" t="n">
        <f aca="false">IF(P619&gt;=INDEX(球季參數!$F$2:$F$4,MATCH($A619,球季參數!$A$2:$A$4,0)),1,0)</f>
        <v>0</v>
      </c>
    </row>
    <row r="620" customFormat="false" ht="15" hidden="false" customHeight="false" outlineLevel="0" collapsed="false">
      <c r="A620" s="5" t="n">
        <v>2026</v>
      </c>
      <c r="B620" s="7" t="s">
        <v>551</v>
      </c>
      <c r="C620" s="10" t="str">
        <f aca="false">INDEX(球員主檔!$B$2:$B$749,MATCH($B620,球員主檔!$A$2:$A$749,0))</f>
        <v>Dashiell Ingersoll</v>
      </c>
      <c r="D620" s="7" t="s">
        <v>346</v>
      </c>
      <c r="E620" s="10" t="str">
        <f aca="false">INDEX(球隊主檔!$C$2:$C$31,MATCH($D620,球隊主檔!$A$2:$A$31,0))</f>
        <v>波士頓紅襪</v>
      </c>
      <c r="F620" s="10" t="str">
        <f aca="false">INDEX(球隊主檔!$D$2:$D$31,MATCH($D620,球隊主檔!$A$2:$A$31,0))</f>
        <v>美聯</v>
      </c>
      <c r="G620" s="7" t="s">
        <v>507</v>
      </c>
      <c r="H620" s="11" t="n">
        <f aca="false">INT((DATE($A620,7,1)-INDEX(球員主檔!$G$2:$G$749,MATCH($B620,球員主檔!$A$2:$A$749,0)))/365.25)</f>
        <v>29</v>
      </c>
      <c r="I620" s="12" t="n">
        <v>4</v>
      </c>
      <c r="J620" s="12" t="n">
        <v>5</v>
      </c>
      <c r="K620" s="12" t="n">
        <v>5</v>
      </c>
      <c r="L620" s="12" t="n">
        <v>16</v>
      </c>
      <c r="M620" s="12" t="n">
        <v>52</v>
      </c>
      <c r="N620" s="12" t="n">
        <v>0</v>
      </c>
      <c r="O620" s="12" t="n">
        <v>171</v>
      </c>
      <c r="P620" s="16" t="n">
        <f aca="false">O620/3</f>
        <v>57</v>
      </c>
      <c r="Q620" s="17" t="str">
        <f aca="false">INT(O620/3)&amp;"."&amp;MOD(O620,3)</f>
        <v>57.0</v>
      </c>
      <c r="R620" s="12" t="n">
        <v>51</v>
      </c>
      <c r="S620" s="12" t="n">
        <v>32</v>
      </c>
      <c r="T620" s="12" t="n">
        <v>30</v>
      </c>
      <c r="U620" s="12" t="n">
        <v>7</v>
      </c>
      <c r="V620" s="12" t="n">
        <v>20</v>
      </c>
      <c r="W620" s="12" t="n">
        <v>68</v>
      </c>
      <c r="X620" s="12" t="n">
        <v>1</v>
      </c>
      <c r="Y620" s="18" t="n">
        <f aca="false">IF(O620=0,0,T620*27/O620)</f>
        <v>4.73684210526316</v>
      </c>
      <c r="Z620" s="18" t="n">
        <f aca="false">IF(P620=0,0,(V620+R620)/P620)</f>
        <v>1.24561403508772</v>
      </c>
      <c r="AA620" s="18" t="n">
        <f aca="false">IF(O620=0,0,W620*27/O620)</f>
        <v>10.7368421052632</v>
      </c>
      <c r="AB620" s="18" t="n">
        <f aca="false">IF(O620=0,0,V620*27/O620)</f>
        <v>3.15789473684211</v>
      </c>
      <c r="AC620" s="18" t="n">
        <f aca="false">IF(V620=0,0,W620/V620)</f>
        <v>3.4</v>
      </c>
      <c r="AD620" s="18" t="n">
        <f aca="false">IF(P620=0,0,(13*U620+3*(V620+X620)-2*W620)/P620+INDEX(球季參數!$C$2:$C$4,MATCH($A620,球季參數!$A$2:$A$4,0)))</f>
        <v>3.39578947368421</v>
      </c>
      <c r="AE620" s="11" t="n">
        <f aca="false">IF(P620&gt;=INDEX(球季參數!$F$2:$F$4,MATCH($A620,球季參數!$A$2:$A$4,0)),1,0)</f>
        <v>0</v>
      </c>
    </row>
    <row r="621" customFormat="false" ht="15" hidden="false" customHeight="false" outlineLevel="0" collapsed="false">
      <c r="A621" s="5" t="n">
        <v>2026</v>
      </c>
      <c r="B621" s="7" t="s">
        <v>555</v>
      </c>
      <c r="C621" s="10" t="str">
        <f aca="false">INDEX(球員主檔!$B$2:$B$749,MATCH($B621,球員主檔!$A$2:$A$749,0))</f>
        <v>Haruto Larrabee</v>
      </c>
      <c r="D621" s="7" t="s">
        <v>346</v>
      </c>
      <c r="E621" s="10" t="str">
        <f aca="false">INDEX(球隊主檔!$C$2:$C$31,MATCH($D621,球隊主檔!$A$2:$A$31,0))</f>
        <v>波士頓紅襪</v>
      </c>
      <c r="F621" s="10" t="str">
        <f aca="false">INDEX(球隊主檔!$D$2:$D$31,MATCH($D621,球隊主檔!$A$2:$A$31,0))</f>
        <v>美聯</v>
      </c>
      <c r="G621" s="7" t="s">
        <v>507</v>
      </c>
      <c r="H621" s="11" t="n">
        <f aca="false">INT((DATE($A621,7,1)-INDEX(球員主檔!$G$2:$G$749,MATCH($B621,球員主檔!$A$2:$A$749,0)))/365.25)</f>
        <v>31</v>
      </c>
      <c r="I621" s="12" t="n">
        <v>7</v>
      </c>
      <c r="J621" s="12" t="n">
        <v>0</v>
      </c>
      <c r="K621" s="12" t="n">
        <v>2</v>
      </c>
      <c r="L621" s="12" t="n">
        <v>18</v>
      </c>
      <c r="M621" s="12" t="n">
        <v>58</v>
      </c>
      <c r="N621" s="12" t="n">
        <v>0</v>
      </c>
      <c r="O621" s="12" t="n">
        <v>188</v>
      </c>
      <c r="P621" s="16" t="n">
        <f aca="false">O621/3</f>
        <v>62.6666666666667</v>
      </c>
      <c r="Q621" s="17" t="str">
        <f aca="false">INT(O621/3)&amp;"."&amp;MOD(O621,3)</f>
        <v>62.2</v>
      </c>
      <c r="R621" s="12" t="n">
        <v>49</v>
      </c>
      <c r="S621" s="12" t="n">
        <v>27</v>
      </c>
      <c r="T621" s="12" t="n">
        <v>24</v>
      </c>
      <c r="U621" s="12" t="n">
        <v>11</v>
      </c>
      <c r="V621" s="12" t="n">
        <v>27</v>
      </c>
      <c r="W621" s="12" t="n">
        <v>71</v>
      </c>
      <c r="X621" s="12" t="n">
        <v>4</v>
      </c>
      <c r="Y621" s="18" t="n">
        <f aca="false">IF(O621=0,0,T621*27/O621)</f>
        <v>3.4468085106383</v>
      </c>
      <c r="Z621" s="18" t="n">
        <f aca="false">IF(P621=0,0,(V621+R621)/P621)</f>
        <v>1.21276595744681</v>
      </c>
      <c r="AA621" s="18" t="n">
        <f aca="false">IF(O621=0,0,W621*27/O621)</f>
        <v>10.1968085106383</v>
      </c>
      <c r="AB621" s="18" t="n">
        <f aca="false">IF(O621=0,0,V621*27/O621)</f>
        <v>3.87765957446809</v>
      </c>
      <c r="AC621" s="18" t="n">
        <f aca="false">IF(V621=0,0,W621/V621)</f>
        <v>2.62962962962963</v>
      </c>
      <c r="AD621" s="18" t="n">
        <f aca="false">IF(P621=0,0,(13*U621+3*(V621+X621)-2*W621)/P621+INDEX(球季參數!$C$2:$C$4,MATCH($A621,球季參數!$A$2:$A$4,0)))</f>
        <v>4.58</v>
      </c>
      <c r="AE621" s="11" t="n">
        <f aca="false">IF(P621&gt;=INDEX(球季參數!$F$2:$F$4,MATCH($A621,球季參數!$A$2:$A$4,0)),1,0)</f>
        <v>0</v>
      </c>
    </row>
    <row r="622" customFormat="false" ht="15" hidden="false" customHeight="false" outlineLevel="0" collapsed="false">
      <c r="A622" s="5" t="n">
        <v>2026</v>
      </c>
      <c r="B622" s="7" t="s">
        <v>1823</v>
      </c>
      <c r="C622" s="10" t="str">
        <f aca="false">INDEX(球員主檔!$B$2:$B$749,MATCH($B622,球員主檔!$A$2:$A$749,0))</f>
        <v>Vicente Garrity</v>
      </c>
      <c r="D622" s="7" t="s">
        <v>350</v>
      </c>
      <c r="E622" s="10" t="str">
        <f aca="false">INDEX(球隊主檔!$C$2:$C$31,MATCH($D622,球隊主檔!$A$2:$A$31,0))</f>
        <v>紐約洋基</v>
      </c>
      <c r="F622" s="10" t="str">
        <f aca="false">INDEX(球隊主檔!$D$2:$D$31,MATCH($D622,球隊主檔!$A$2:$A$31,0))</f>
        <v>美聯</v>
      </c>
      <c r="G622" s="7" t="s">
        <v>496</v>
      </c>
      <c r="H622" s="11" t="n">
        <f aca="false">INT((DATE($A622,7,1)-INDEX(球員主檔!$G$2:$G$749,MATCH($B622,球員主檔!$A$2:$A$749,0)))/365.25)</f>
        <v>21</v>
      </c>
      <c r="I622" s="12" t="n">
        <v>10</v>
      </c>
      <c r="J622" s="12" t="n">
        <v>5</v>
      </c>
      <c r="K622" s="12" t="n">
        <v>0</v>
      </c>
      <c r="L622" s="12" t="n">
        <v>0</v>
      </c>
      <c r="M622" s="12" t="n">
        <v>27</v>
      </c>
      <c r="N622" s="12" t="n">
        <v>27</v>
      </c>
      <c r="O622" s="12" t="n">
        <v>464</v>
      </c>
      <c r="P622" s="16" t="n">
        <f aca="false">O622/3</f>
        <v>154.666666666667</v>
      </c>
      <c r="Q622" s="17" t="str">
        <f aca="false">INT(O622/3)&amp;"."&amp;MOD(O622,3)</f>
        <v>154.2</v>
      </c>
      <c r="R622" s="12" t="n">
        <v>120</v>
      </c>
      <c r="S622" s="12" t="n">
        <v>66</v>
      </c>
      <c r="T622" s="12" t="n">
        <v>60</v>
      </c>
      <c r="U622" s="12" t="n">
        <v>14</v>
      </c>
      <c r="V622" s="12" t="n">
        <v>32</v>
      </c>
      <c r="W622" s="12" t="n">
        <v>131</v>
      </c>
      <c r="X622" s="12" t="n">
        <v>6</v>
      </c>
      <c r="Y622" s="18" t="n">
        <f aca="false">IF(O622=0,0,T622*27/O622)</f>
        <v>3.49137931034483</v>
      </c>
      <c r="Z622" s="18" t="n">
        <f aca="false">IF(P622=0,0,(V622+R622)/P622)</f>
        <v>0.982758620689655</v>
      </c>
      <c r="AA622" s="18" t="n">
        <f aca="false">IF(O622=0,0,W622*27/O622)</f>
        <v>7.62284482758621</v>
      </c>
      <c r="AB622" s="18" t="n">
        <f aca="false">IF(O622=0,0,V622*27/O622)</f>
        <v>1.86206896551724</v>
      </c>
      <c r="AC622" s="18" t="n">
        <f aca="false">IF(V622=0,0,W622/V622)</f>
        <v>4.09375</v>
      </c>
      <c r="AD622" s="18" t="n">
        <f aca="false">IF(P622=0,0,(13*U622+3*(V622+X622)-2*W622)/P622+INDEX(球季參數!$C$2:$C$4,MATCH($A622,球季參數!$A$2:$A$4,0)))</f>
        <v>3.2998275862069</v>
      </c>
      <c r="AE622" s="11" t="n">
        <f aca="false">IF(P622&gt;=INDEX(球季參數!$F$2:$F$4,MATCH($A622,球季參數!$A$2:$A$4,0)),1,0)</f>
        <v>0</v>
      </c>
    </row>
    <row r="623" customFormat="false" ht="15" hidden="false" customHeight="false" outlineLevel="0" collapsed="false">
      <c r="A623" s="5" t="n">
        <v>2026</v>
      </c>
      <c r="B623" s="7" t="s">
        <v>579</v>
      </c>
      <c r="C623" s="10" t="str">
        <f aca="false">INDEX(球員主檔!$B$2:$B$749,MATCH($B623,球員主檔!$A$2:$A$749,0))</f>
        <v>Dimitri Marchetti</v>
      </c>
      <c r="D623" s="7" t="s">
        <v>350</v>
      </c>
      <c r="E623" s="10" t="str">
        <f aca="false">INDEX(球隊主檔!$C$2:$C$31,MATCH($D623,球隊主檔!$A$2:$A$31,0))</f>
        <v>紐約洋基</v>
      </c>
      <c r="F623" s="10" t="str">
        <f aca="false">INDEX(球隊主檔!$D$2:$D$31,MATCH($D623,球隊主檔!$A$2:$A$31,0))</f>
        <v>美聯</v>
      </c>
      <c r="G623" s="7" t="s">
        <v>496</v>
      </c>
      <c r="H623" s="11" t="n">
        <f aca="false">INT((DATE($A623,7,1)-INDEX(球員主檔!$G$2:$G$749,MATCH($B623,球員主檔!$A$2:$A$749,0)))/365.25)</f>
        <v>26</v>
      </c>
      <c r="I623" s="12" t="n">
        <v>14</v>
      </c>
      <c r="J623" s="12" t="n">
        <v>5</v>
      </c>
      <c r="K623" s="12" t="n">
        <v>0</v>
      </c>
      <c r="L623" s="12" t="n">
        <v>0</v>
      </c>
      <c r="M623" s="12" t="n">
        <v>26</v>
      </c>
      <c r="N623" s="12" t="n">
        <v>26</v>
      </c>
      <c r="O623" s="12" t="n">
        <v>479</v>
      </c>
      <c r="P623" s="16" t="n">
        <f aca="false">O623/3</f>
        <v>159.666666666667</v>
      </c>
      <c r="Q623" s="17" t="str">
        <f aca="false">INT(O623/3)&amp;"."&amp;MOD(O623,3)</f>
        <v>159.2</v>
      </c>
      <c r="R623" s="12" t="n">
        <v>118</v>
      </c>
      <c r="S623" s="12" t="n">
        <v>60</v>
      </c>
      <c r="T623" s="12" t="n">
        <v>54</v>
      </c>
      <c r="U623" s="12" t="n">
        <v>18</v>
      </c>
      <c r="V623" s="12" t="n">
        <v>47</v>
      </c>
      <c r="W623" s="12" t="n">
        <v>96</v>
      </c>
      <c r="X623" s="12" t="n">
        <v>8</v>
      </c>
      <c r="Y623" s="18" t="n">
        <f aca="false">IF(O623=0,0,T623*27/O623)</f>
        <v>3.04384133611691</v>
      </c>
      <c r="Z623" s="18" t="n">
        <f aca="false">IF(P623=0,0,(V623+R623)/P623)</f>
        <v>1.03340292275574</v>
      </c>
      <c r="AA623" s="18" t="n">
        <f aca="false">IF(O623=0,0,W623*27/O623)</f>
        <v>5.41127348643006</v>
      </c>
      <c r="AB623" s="18" t="n">
        <f aca="false">IF(O623=0,0,V623*27/O623)</f>
        <v>2.64926931106472</v>
      </c>
      <c r="AC623" s="18" t="n">
        <f aca="false">IF(V623=0,0,W623/V623)</f>
        <v>2.04255319148936</v>
      </c>
      <c r="AD623" s="18" t="n">
        <f aca="false">IF(P623=0,0,(13*U623+3*(V623+X623)-2*W623)/P623+INDEX(球季參數!$C$2:$C$4,MATCH($A623,球季參數!$A$2:$A$4,0)))</f>
        <v>4.3764509394572</v>
      </c>
      <c r="AE623" s="11" t="n">
        <f aca="false">IF(P623&gt;=INDEX(球季參數!$F$2:$F$4,MATCH($A623,球季參數!$A$2:$A$4,0)),1,0)</f>
        <v>0</v>
      </c>
    </row>
    <row r="624" customFormat="false" ht="15" hidden="false" customHeight="false" outlineLevel="0" collapsed="false">
      <c r="A624" s="5" t="n">
        <v>2026</v>
      </c>
      <c r="B624" s="7" t="s">
        <v>581</v>
      </c>
      <c r="C624" s="10" t="str">
        <f aca="false">INDEX(球員主檔!$B$2:$B$749,MATCH($B624,球員主檔!$A$2:$A$749,0))</f>
        <v>Mateo Wexford</v>
      </c>
      <c r="D624" s="7" t="s">
        <v>350</v>
      </c>
      <c r="E624" s="10" t="str">
        <f aca="false">INDEX(球隊主檔!$C$2:$C$31,MATCH($D624,球隊主檔!$A$2:$A$31,0))</f>
        <v>紐約洋基</v>
      </c>
      <c r="F624" s="10" t="str">
        <f aca="false">INDEX(球隊主檔!$D$2:$D$31,MATCH($D624,球隊主檔!$A$2:$A$31,0))</f>
        <v>美聯</v>
      </c>
      <c r="G624" s="7" t="s">
        <v>496</v>
      </c>
      <c r="H624" s="11" t="n">
        <f aca="false">INT((DATE($A624,7,1)-INDEX(球員主檔!$G$2:$G$749,MATCH($B624,球員主檔!$A$2:$A$749,0)))/365.25)</f>
        <v>33</v>
      </c>
      <c r="I624" s="12" t="n">
        <v>9</v>
      </c>
      <c r="J624" s="12" t="n">
        <v>4</v>
      </c>
      <c r="K624" s="12" t="n">
        <v>0</v>
      </c>
      <c r="L624" s="12" t="n">
        <v>0</v>
      </c>
      <c r="M624" s="12" t="n">
        <v>17</v>
      </c>
      <c r="N624" s="12" t="n">
        <v>17</v>
      </c>
      <c r="O624" s="12" t="n">
        <v>296</v>
      </c>
      <c r="P624" s="16" t="n">
        <f aca="false">O624/3</f>
        <v>98.6666666666667</v>
      </c>
      <c r="Q624" s="17" t="str">
        <f aca="false">INT(O624/3)&amp;"."&amp;MOD(O624,3)</f>
        <v>98.2</v>
      </c>
      <c r="R624" s="12" t="n">
        <v>86</v>
      </c>
      <c r="S624" s="12" t="n">
        <v>48</v>
      </c>
      <c r="T624" s="12" t="n">
        <v>45</v>
      </c>
      <c r="U624" s="12" t="n">
        <v>9</v>
      </c>
      <c r="V624" s="12" t="n">
        <v>45</v>
      </c>
      <c r="W624" s="12" t="n">
        <v>83</v>
      </c>
      <c r="X624" s="12" t="n">
        <v>2</v>
      </c>
      <c r="Y624" s="18" t="n">
        <f aca="false">IF(O624=0,0,T624*27/O624)</f>
        <v>4.10472972972973</v>
      </c>
      <c r="Z624" s="18" t="n">
        <f aca="false">IF(P624=0,0,(V624+R624)/P624)</f>
        <v>1.3277027027027</v>
      </c>
      <c r="AA624" s="18" t="n">
        <f aca="false">IF(O624=0,0,W624*27/O624)</f>
        <v>7.57094594594595</v>
      </c>
      <c r="AB624" s="18" t="n">
        <f aca="false">IF(O624=0,0,V624*27/O624)</f>
        <v>4.10472972972973</v>
      </c>
      <c r="AC624" s="18" t="n">
        <f aca="false">IF(V624=0,0,W624/V624)</f>
        <v>1.84444444444444</v>
      </c>
      <c r="AD624" s="18" t="n">
        <f aca="false">IF(P624=0,0,(13*U624+3*(V624+X624)-2*W624)/P624+INDEX(球季參數!$C$2:$C$4,MATCH($A624,球季參數!$A$2:$A$4,0)))</f>
        <v>4.01243243243243</v>
      </c>
      <c r="AE624" s="11" t="n">
        <f aca="false">IF(P624&gt;=INDEX(球季參數!$F$2:$F$4,MATCH($A624,球季參數!$A$2:$A$4,0)),1,0)</f>
        <v>0</v>
      </c>
    </row>
    <row r="625" customFormat="false" ht="15" hidden="false" customHeight="false" outlineLevel="0" collapsed="false">
      <c r="A625" s="5" t="n">
        <v>2026</v>
      </c>
      <c r="B625" s="7" t="s">
        <v>583</v>
      </c>
      <c r="C625" s="10" t="str">
        <f aca="false">INDEX(球員主檔!$B$2:$B$749,MATCH($B625,球員主檔!$A$2:$A$749,0))</f>
        <v>Kellan Montalvo</v>
      </c>
      <c r="D625" s="7" t="s">
        <v>350</v>
      </c>
      <c r="E625" s="10" t="str">
        <f aca="false">INDEX(球隊主檔!$C$2:$C$31,MATCH($D625,球隊主檔!$A$2:$A$31,0))</f>
        <v>紐約洋基</v>
      </c>
      <c r="F625" s="10" t="str">
        <f aca="false">INDEX(球隊主檔!$D$2:$D$31,MATCH($D625,球隊主檔!$A$2:$A$31,0))</f>
        <v>美聯</v>
      </c>
      <c r="G625" s="7" t="s">
        <v>496</v>
      </c>
      <c r="H625" s="11" t="n">
        <f aca="false">INT((DATE($A625,7,1)-INDEX(球員主檔!$G$2:$G$749,MATCH($B625,球員主檔!$A$2:$A$749,0)))/365.25)</f>
        <v>26</v>
      </c>
      <c r="I625" s="12" t="n">
        <v>10</v>
      </c>
      <c r="J625" s="12" t="n">
        <v>4</v>
      </c>
      <c r="K625" s="12" t="n">
        <v>0</v>
      </c>
      <c r="L625" s="12" t="n">
        <v>0</v>
      </c>
      <c r="M625" s="12" t="n">
        <v>24</v>
      </c>
      <c r="N625" s="12" t="n">
        <v>24</v>
      </c>
      <c r="O625" s="12" t="n">
        <v>383</v>
      </c>
      <c r="P625" s="16" t="n">
        <f aca="false">O625/3</f>
        <v>127.666666666667</v>
      </c>
      <c r="Q625" s="17" t="str">
        <f aca="false">INT(O625/3)&amp;"."&amp;MOD(O625,3)</f>
        <v>127.2</v>
      </c>
      <c r="R625" s="12" t="n">
        <v>100</v>
      </c>
      <c r="S625" s="12" t="n">
        <v>48</v>
      </c>
      <c r="T625" s="12" t="n">
        <v>45</v>
      </c>
      <c r="U625" s="12" t="n">
        <v>15</v>
      </c>
      <c r="V625" s="12" t="n">
        <v>36</v>
      </c>
      <c r="W625" s="12" t="n">
        <v>146</v>
      </c>
      <c r="X625" s="12" t="n">
        <v>5</v>
      </c>
      <c r="Y625" s="18" t="n">
        <f aca="false">IF(O625=0,0,T625*27/O625)</f>
        <v>3.17232375979112</v>
      </c>
      <c r="Z625" s="18" t="n">
        <f aca="false">IF(P625=0,0,(V625+R625)/P625)</f>
        <v>1.06527415143603</v>
      </c>
      <c r="AA625" s="18" t="n">
        <f aca="false">IF(O625=0,0,W625*27/O625)</f>
        <v>10.2924281984334</v>
      </c>
      <c r="AB625" s="18" t="n">
        <f aca="false">IF(O625=0,0,V625*27/O625)</f>
        <v>2.5378590078329</v>
      </c>
      <c r="AC625" s="18" t="n">
        <f aca="false">IF(V625=0,0,W625/V625)</f>
        <v>4.05555555555556</v>
      </c>
      <c r="AD625" s="18" t="n">
        <f aca="false">IF(P625=0,0,(13*U625+3*(V625+X625)-2*W625)/P625+INDEX(球季參數!$C$2:$C$4,MATCH($A625,球季參數!$A$2:$A$4,0)))</f>
        <v>3.28365535248042</v>
      </c>
      <c r="AE625" s="11" t="n">
        <f aca="false">IF(P625&gt;=INDEX(球季參數!$F$2:$F$4,MATCH($A625,球季參數!$A$2:$A$4,0)),1,0)</f>
        <v>0</v>
      </c>
    </row>
    <row r="626" customFormat="false" ht="15" hidden="false" customHeight="false" outlineLevel="0" collapsed="false">
      <c r="A626" s="5" t="n">
        <v>2026</v>
      </c>
      <c r="B626" s="7" t="s">
        <v>657</v>
      </c>
      <c r="C626" s="10" t="str">
        <f aca="false">INDEX(球員主檔!$B$2:$B$749,MATCH($B626,球員主檔!$A$2:$A$749,0))</f>
        <v>Dashiell Tremblay</v>
      </c>
      <c r="D626" s="7" t="s">
        <v>350</v>
      </c>
      <c r="E626" s="10" t="str">
        <f aca="false">INDEX(球隊主檔!$C$2:$C$31,MATCH($D626,球隊主檔!$A$2:$A$31,0))</f>
        <v>紐約洋基</v>
      </c>
      <c r="F626" s="10" t="str">
        <f aca="false">INDEX(球隊主檔!$D$2:$D$31,MATCH($D626,球隊主檔!$A$2:$A$31,0))</f>
        <v>美聯</v>
      </c>
      <c r="G626" s="7" t="s">
        <v>496</v>
      </c>
      <c r="H626" s="11" t="n">
        <f aca="false">INT((DATE($A626,7,1)-INDEX(球員主檔!$G$2:$G$749,MATCH($B626,球員主檔!$A$2:$A$749,0)))/365.25)</f>
        <v>30</v>
      </c>
      <c r="I626" s="12" t="n">
        <v>6</v>
      </c>
      <c r="J626" s="12" t="n">
        <v>4</v>
      </c>
      <c r="K626" s="12" t="n">
        <v>0</v>
      </c>
      <c r="L626" s="12" t="n">
        <v>0</v>
      </c>
      <c r="M626" s="12" t="n">
        <v>13</v>
      </c>
      <c r="N626" s="12" t="n">
        <v>13</v>
      </c>
      <c r="O626" s="12" t="n">
        <v>219</v>
      </c>
      <c r="P626" s="16" t="n">
        <f aca="false">O626/3</f>
        <v>73</v>
      </c>
      <c r="Q626" s="17" t="str">
        <f aca="false">INT(O626/3)&amp;"."&amp;MOD(O626,3)</f>
        <v>73.0</v>
      </c>
      <c r="R626" s="12" t="n">
        <v>63</v>
      </c>
      <c r="S626" s="12" t="n">
        <v>39</v>
      </c>
      <c r="T626" s="12" t="n">
        <v>38</v>
      </c>
      <c r="U626" s="12" t="n">
        <v>15</v>
      </c>
      <c r="V626" s="12" t="n">
        <v>29</v>
      </c>
      <c r="W626" s="12" t="n">
        <v>63</v>
      </c>
      <c r="X626" s="12" t="n">
        <v>2</v>
      </c>
      <c r="Y626" s="18" t="n">
        <f aca="false">IF(O626=0,0,T626*27/O626)</f>
        <v>4.68493150684932</v>
      </c>
      <c r="Z626" s="18" t="n">
        <f aca="false">IF(P626=0,0,(V626+R626)/P626)</f>
        <v>1.26027397260274</v>
      </c>
      <c r="AA626" s="18" t="n">
        <f aca="false">IF(O626=0,0,W626*27/O626)</f>
        <v>7.76712328767123</v>
      </c>
      <c r="AB626" s="18" t="n">
        <f aca="false">IF(O626=0,0,V626*27/O626)</f>
        <v>3.57534246575342</v>
      </c>
      <c r="AC626" s="18" t="n">
        <f aca="false">IF(V626=0,0,W626/V626)</f>
        <v>2.17241379310345</v>
      </c>
      <c r="AD626" s="18" t="n">
        <f aca="false">IF(P626=0,0,(13*U626+3*(V626+X626)-2*W626)/P626+INDEX(球季參數!$C$2:$C$4,MATCH($A626,球季參數!$A$2:$A$4,0)))</f>
        <v>5.29917808219178</v>
      </c>
      <c r="AE626" s="11" t="n">
        <f aca="false">IF(P626&gt;=INDEX(球季參數!$F$2:$F$4,MATCH($A626,球季參數!$A$2:$A$4,0)),1,0)</f>
        <v>0</v>
      </c>
    </row>
    <row r="627" customFormat="false" ht="15" hidden="false" customHeight="false" outlineLevel="0" collapsed="false">
      <c r="A627" s="5" t="n">
        <v>2026</v>
      </c>
      <c r="B627" s="7" t="s">
        <v>587</v>
      </c>
      <c r="C627" s="10" t="str">
        <f aca="false">INDEX(球員主檔!$B$2:$B$749,MATCH($B627,球員主檔!$A$2:$A$749,0))</f>
        <v>Minjae Caldera</v>
      </c>
      <c r="D627" s="7" t="s">
        <v>350</v>
      </c>
      <c r="E627" s="10" t="str">
        <f aca="false">INDEX(球隊主檔!$C$2:$C$31,MATCH($D627,球隊主檔!$A$2:$A$31,0))</f>
        <v>紐約洋基</v>
      </c>
      <c r="F627" s="10" t="str">
        <f aca="false">INDEX(球隊主檔!$D$2:$D$31,MATCH($D627,球隊主檔!$A$2:$A$31,0))</f>
        <v>美聯</v>
      </c>
      <c r="G627" s="7" t="s">
        <v>507</v>
      </c>
      <c r="H627" s="11" t="n">
        <f aca="false">INT((DATE($A627,7,1)-INDEX(球員主檔!$G$2:$G$749,MATCH($B627,球員主檔!$A$2:$A$749,0)))/365.25)</f>
        <v>29</v>
      </c>
      <c r="I627" s="12" t="n">
        <v>7</v>
      </c>
      <c r="J627" s="12" t="n">
        <v>8</v>
      </c>
      <c r="K627" s="12" t="n">
        <v>32</v>
      </c>
      <c r="L627" s="12" t="n">
        <v>4</v>
      </c>
      <c r="M627" s="12" t="n">
        <v>47</v>
      </c>
      <c r="N627" s="12" t="n">
        <v>0</v>
      </c>
      <c r="O627" s="12" t="n">
        <v>148</v>
      </c>
      <c r="P627" s="16" t="n">
        <f aca="false">O627/3</f>
        <v>49.3333333333333</v>
      </c>
      <c r="Q627" s="17" t="str">
        <f aca="false">INT(O627/3)&amp;"."&amp;MOD(O627,3)</f>
        <v>49.1</v>
      </c>
      <c r="R627" s="12" t="n">
        <v>37</v>
      </c>
      <c r="S627" s="12" t="n">
        <v>18</v>
      </c>
      <c r="T627" s="12" t="n">
        <v>16</v>
      </c>
      <c r="U627" s="12" t="n">
        <v>6</v>
      </c>
      <c r="V627" s="12" t="n">
        <v>20</v>
      </c>
      <c r="W627" s="12" t="n">
        <v>48</v>
      </c>
      <c r="X627" s="12" t="n">
        <v>3</v>
      </c>
      <c r="Y627" s="18" t="n">
        <f aca="false">IF(O627=0,0,T627*27/O627)</f>
        <v>2.91891891891892</v>
      </c>
      <c r="Z627" s="18" t="n">
        <f aca="false">IF(P627=0,0,(V627+R627)/P627)</f>
        <v>1.15540540540541</v>
      </c>
      <c r="AA627" s="18" t="n">
        <f aca="false">IF(O627=0,0,W627*27/O627)</f>
        <v>8.75675675675676</v>
      </c>
      <c r="AB627" s="18" t="n">
        <f aca="false">IF(O627=0,0,V627*27/O627)</f>
        <v>3.64864864864865</v>
      </c>
      <c r="AC627" s="18" t="n">
        <f aca="false">IF(V627=0,0,W627/V627)</f>
        <v>2.4</v>
      </c>
      <c r="AD627" s="18" t="n">
        <f aca="false">IF(P627=0,0,(13*U627+3*(V627+X627)-2*W627)/P627+INDEX(球季參數!$C$2:$C$4,MATCH($A627,球季參數!$A$2:$A$4,0)))</f>
        <v>4.11378378378378</v>
      </c>
      <c r="AE627" s="11" t="n">
        <f aca="false">IF(P627&gt;=INDEX(球季參數!$F$2:$F$4,MATCH($A627,球季參數!$A$2:$A$4,0)),1,0)</f>
        <v>0</v>
      </c>
    </row>
    <row r="628" customFormat="false" ht="15" hidden="false" customHeight="false" outlineLevel="0" collapsed="false">
      <c r="A628" s="5" t="n">
        <v>2026</v>
      </c>
      <c r="B628" s="7" t="s">
        <v>589</v>
      </c>
      <c r="C628" s="10" t="str">
        <f aca="false">INDEX(球員主檔!$B$2:$B$749,MATCH($B628,球員主檔!$A$2:$A$749,0))</f>
        <v>Cassius Kestrel</v>
      </c>
      <c r="D628" s="7" t="s">
        <v>350</v>
      </c>
      <c r="E628" s="10" t="str">
        <f aca="false">INDEX(球隊主檔!$C$2:$C$31,MATCH($D628,球隊主檔!$A$2:$A$31,0))</f>
        <v>紐約洋基</v>
      </c>
      <c r="F628" s="10" t="str">
        <f aca="false">INDEX(球隊主檔!$D$2:$D$31,MATCH($D628,球隊主檔!$A$2:$A$31,0))</f>
        <v>美聯</v>
      </c>
      <c r="G628" s="7" t="s">
        <v>507</v>
      </c>
      <c r="H628" s="11" t="n">
        <f aca="false">INT((DATE($A628,7,1)-INDEX(球員主檔!$G$2:$G$749,MATCH($B628,球員主檔!$A$2:$A$749,0)))/365.25)</f>
        <v>32</v>
      </c>
      <c r="I628" s="12" t="n">
        <v>0</v>
      </c>
      <c r="J628" s="12" t="n">
        <v>3</v>
      </c>
      <c r="K628" s="12" t="n">
        <v>6</v>
      </c>
      <c r="L628" s="12" t="n">
        <v>26</v>
      </c>
      <c r="M628" s="12" t="n">
        <v>45</v>
      </c>
      <c r="N628" s="12" t="n">
        <v>0</v>
      </c>
      <c r="O628" s="12" t="n">
        <v>126</v>
      </c>
      <c r="P628" s="16" t="n">
        <f aca="false">O628/3</f>
        <v>42</v>
      </c>
      <c r="Q628" s="17" t="str">
        <f aca="false">INT(O628/3)&amp;"."&amp;MOD(O628,3)</f>
        <v>42.0</v>
      </c>
      <c r="R628" s="12" t="n">
        <v>40</v>
      </c>
      <c r="S628" s="12" t="n">
        <v>27</v>
      </c>
      <c r="T628" s="12" t="n">
        <v>24</v>
      </c>
      <c r="U628" s="12" t="n">
        <v>4</v>
      </c>
      <c r="V628" s="12" t="n">
        <v>7</v>
      </c>
      <c r="W628" s="12" t="n">
        <v>50</v>
      </c>
      <c r="X628" s="12" t="n">
        <v>2</v>
      </c>
      <c r="Y628" s="18" t="n">
        <f aca="false">IF(O628=0,0,T628*27/O628)</f>
        <v>5.14285714285714</v>
      </c>
      <c r="Z628" s="18" t="n">
        <f aca="false">IF(P628=0,0,(V628+R628)/P628)</f>
        <v>1.11904761904762</v>
      </c>
      <c r="AA628" s="18" t="n">
        <f aca="false">IF(O628=0,0,W628*27/O628)</f>
        <v>10.7142857142857</v>
      </c>
      <c r="AB628" s="18" t="n">
        <f aca="false">IF(O628=0,0,V628*27/O628)</f>
        <v>1.5</v>
      </c>
      <c r="AC628" s="18" t="n">
        <f aca="false">IF(V628=0,0,W628/V628)</f>
        <v>7.14285714285714</v>
      </c>
      <c r="AD628" s="18" t="n">
        <f aca="false">IF(P628=0,0,(13*U628+3*(V628+X628)-2*W628)/P628+INDEX(球季參數!$C$2:$C$4,MATCH($A628,球季參數!$A$2:$A$4,0)))</f>
        <v>2.58</v>
      </c>
      <c r="AE628" s="11" t="n">
        <f aca="false">IF(P628&gt;=INDEX(球季參數!$F$2:$F$4,MATCH($A628,球季參數!$A$2:$A$4,0)),1,0)</f>
        <v>0</v>
      </c>
    </row>
    <row r="629" customFormat="false" ht="15" hidden="false" customHeight="false" outlineLevel="0" collapsed="false">
      <c r="A629" s="5" t="n">
        <v>2026</v>
      </c>
      <c r="B629" s="7" t="s">
        <v>1825</v>
      </c>
      <c r="C629" s="10" t="str">
        <f aca="false">INDEX(球員主檔!$B$2:$B$749,MATCH($B629,球員主檔!$A$2:$A$749,0))</f>
        <v>Jasper Fontaine</v>
      </c>
      <c r="D629" s="7" t="s">
        <v>350</v>
      </c>
      <c r="E629" s="10" t="str">
        <f aca="false">INDEX(球隊主檔!$C$2:$C$31,MATCH($D629,球隊主檔!$A$2:$A$31,0))</f>
        <v>紐約洋基</v>
      </c>
      <c r="F629" s="10" t="str">
        <f aca="false">INDEX(球隊主檔!$D$2:$D$31,MATCH($D629,球隊主檔!$A$2:$A$31,0))</f>
        <v>美聯</v>
      </c>
      <c r="G629" s="7" t="s">
        <v>507</v>
      </c>
      <c r="H629" s="11" t="n">
        <f aca="false">INT((DATE($A629,7,1)-INDEX(球員主檔!$G$2:$G$749,MATCH($B629,球員主檔!$A$2:$A$749,0)))/365.25)</f>
        <v>19</v>
      </c>
      <c r="I629" s="12" t="n">
        <v>8</v>
      </c>
      <c r="J629" s="12" t="n">
        <v>6</v>
      </c>
      <c r="K629" s="12" t="n">
        <v>5</v>
      </c>
      <c r="L629" s="12" t="n">
        <v>22</v>
      </c>
      <c r="M629" s="12" t="n">
        <v>49</v>
      </c>
      <c r="N629" s="12" t="n">
        <v>0</v>
      </c>
      <c r="O629" s="12" t="n">
        <v>155</v>
      </c>
      <c r="P629" s="16" t="n">
        <f aca="false">O629/3</f>
        <v>51.6666666666667</v>
      </c>
      <c r="Q629" s="17" t="str">
        <f aca="false">INT(O629/3)&amp;"."&amp;MOD(O629,3)</f>
        <v>51.2</v>
      </c>
      <c r="R629" s="12" t="n">
        <v>53</v>
      </c>
      <c r="S629" s="12" t="n">
        <v>39</v>
      </c>
      <c r="T629" s="12" t="n">
        <v>39</v>
      </c>
      <c r="U629" s="12" t="n">
        <v>4</v>
      </c>
      <c r="V629" s="12" t="n">
        <v>17</v>
      </c>
      <c r="W629" s="12" t="n">
        <v>34</v>
      </c>
      <c r="X629" s="12" t="n">
        <v>2</v>
      </c>
      <c r="Y629" s="18" t="n">
        <f aca="false">IF(O629=0,0,T629*27/O629)</f>
        <v>6.79354838709677</v>
      </c>
      <c r="Z629" s="18" t="n">
        <f aca="false">IF(P629=0,0,(V629+R629)/P629)</f>
        <v>1.35483870967742</v>
      </c>
      <c r="AA629" s="18" t="n">
        <f aca="false">IF(O629=0,0,W629*27/O629)</f>
        <v>5.92258064516129</v>
      </c>
      <c r="AB629" s="18" t="n">
        <f aca="false">IF(O629=0,0,V629*27/O629)</f>
        <v>2.96129032258065</v>
      </c>
      <c r="AC629" s="18" t="n">
        <f aca="false">IF(V629=0,0,W629/V629)</f>
        <v>2</v>
      </c>
      <c r="AD629" s="18" t="n">
        <f aca="false">IF(P629=0,0,(13*U629+3*(V629+X629)-2*W629)/P629+INDEX(球季參數!$C$2:$C$4,MATCH($A629,球季參數!$A$2:$A$4,0)))</f>
        <v>3.87354838709677</v>
      </c>
      <c r="AE629" s="11" t="n">
        <f aca="false">IF(P629&gt;=INDEX(球季參數!$F$2:$F$4,MATCH($A629,球季參數!$A$2:$A$4,0)),1,0)</f>
        <v>0</v>
      </c>
    </row>
    <row r="630" customFormat="false" ht="15" hidden="false" customHeight="false" outlineLevel="0" collapsed="false">
      <c r="A630" s="5" t="n">
        <v>2026</v>
      </c>
      <c r="B630" s="7" t="s">
        <v>593</v>
      </c>
      <c r="C630" s="10" t="str">
        <f aca="false">INDEX(球員主檔!$B$2:$B$749,MATCH($B630,球員主檔!$A$2:$A$749,0))</f>
        <v>Tobias Ulloa</v>
      </c>
      <c r="D630" s="7" t="s">
        <v>350</v>
      </c>
      <c r="E630" s="10" t="str">
        <f aca="false">INDEX(球隊主檔!$C$2:$C$31,MATCH($D630,球隊主檔!$A$2:$A$31,0))</f>
        <v>紐約洋基</v>
      </c>
      <c r="F630" s="10" t="str">
        <f aca="false">INDEX(球隊主檔!$D$2:$D$31,MATCH($D630,球隊主檔!$A$2:$A$31,0))</f>
        <v>美聯</v>
      </c>
      <c r="G630" s="7" t="s">
        <v>507</v>
      </c>
      <c r="H630" s="11" t="n">
        <f aca="false">INT((DATE($A630,7,1)-INDEX(球員主檔!$G$2:$G$749,MATCH($B630,球員主檔!$A$2:$A$749,0)))/365.25)</f>
        <v>28</v>
      </c>
      <c r="I630" s="12" t="n">
        <v>2</v>
      </c>
      <c r="J630" s="12" t="n">
        <v>6</v>
      </c>
      <c r="K630" s="12" t="n">
        <v>6</v>
      </c>
      <c r="L630" s="12" t="n">
        <v>2</v>
      </c>
      <c r="M630" s="12" t="n">
        <v>48</v>
      </c>
      <c r="N630" s="12" t="n">
        <v>0</v>
      </c>
      <c r="O630" s="12" t="n">
        <v>146</v>
      </c>
      <c r="P630" s="16" t="n">
        <f aca="false">O630/3</f>
        <v>48.6666666666667</v>
      </c>
      <c r="Q630" s="17" t="str">
        <f aca="false">INT(O630/3)&amp;"."&amp;MOD(O630,3)</f>
        <v>48.2</v>
      </c>
      <c r="R630" s="12" t="n">
        <v>39</v>
      </c>
      <c r="S630" s="12" t="n">
        <v>23</v>
      </c>
      <c r="T630" s="12" t="n">
        <v>22</v>
      </c>
      <c r="U630" s="12" t="n">
        <v>4</v>
      </c>
      <c r="V630" s="12" t="n">
        <v>14</v>
      </c>
      <c r="W630" s="12" t="n">
        <v>44</v>
      </c>
      <c r="X630" s="12" t="n">
        <v>2</v>
      </c>
      <c r="Y630" s="18" t="n">
        <f aca="false">IF(O630=0,0,T630*27/O630)</f>
        <v>4.06849315068493</v>
      </c>
      <c r="Z630" s="18" t="n">
        <f aca="false">IF(P630=0,0,(V630+R630)/P630)</f>
        <v>1.08904109589041</v>
      </c>
      <c r="AA630" s="18" t="n">
        <f aca="false">IF(O630=0,0,W630*27/O630)</f>
        <v>8.13698630136986</v>
      </c>
      <c r="AB630" s="18" t="n">
        <f aca="false">IF(O630=0,0,V630*27/O630)</f>
        <v>2.58904109589041</v>
      </c>
      <c r="AC630" s="18" t="n">
        <f aca="false">IF(V630=0,0,W630/V630)</f>
        <v>3.14285714285714</v>
      </c>
      <c r="AD630" s="18" t="n">
        <f aca="false">IF(P630=0,0,(13*U630+3*(V630+X630)-2*W630)/P630+INDEX(球季參數!$C$2:$C$4,MATCH($A630,球季參數!$A$2:$A$4,0)))</f>
        <v>3.32657534246575</v>
      </c>
      <c r="AE630" s="11" t="n">
        <f aca="false">IF(P630&gt;=INDEX(球季參數!$F$2:$F$4,MATCH($A630,球季參數!$A$2:$A$4,0)),1,0)</f>
        <v>0</v>
      </c>
    </row>
    <row r="631" customFormat="false" ht="15" hidden="false" customHeight="false" outlineLevel="0" collapsed="false">
      <c r="A631" s="5" t="n">
        <v>2026</v>
      </c>
      <c r="B631" s="7" t="s">
        <v>595</v>
      </c>
      <c r="C631" s="10" t="str">
        <f aca="false">INDEX(球員主檔!$B$2:$B$749,MATCH($B631,球員主檔!$A$2:$A$749,0))</f>
        <v>Augustin Wainwright</v>
      </c>
      <c r="D631" s="7" t="s">
        <v>350</v>
      </c>
      <c r="E631" s="10" t="str">
        <f aca="false">INDEX(球隊主檔!$C$2:$C$31,MATCH($D631,球隊主檔!$A$2:$A$31,0))</f>
        <v>紐約洋基</v>
      </c>
      <c r="F631" s="10" t="str">
        <f aca="false">INDEX(球隊主檔!$D$2:$D$31,MATCH($D631,球隊主檔!$A$2:$A$31,0))</f>
        <v>美聯</v>
      </c>
      <c r="G631" s="7" t="s">
        <v>507</v>
      </c>
      <c r="H631" s="11" t="n">
        <f aca="false">INT((DATE($A631,7,1)-INDEX(球員主檔!$G$2:$G$749,MATCH($B631,球員主檔!$A$2:$A$749,0)))/365.25)</f>
        <v>30</v>
      </c>
      <c r="I631" s="12" t="n">
        <v>0</v>
      </c>
      <c r="J631" s="12" t="n">
        <v>2</v>
      </c>
      <c r="K631" s="12" t="n">
        <v>0</v>
      </c>
      <c r="L631" s="12" t="n">
        <v>14</v>
      </c>
      <c r="M631" s="12" t="n">
        <v>50</v>
      </c>
      <c r="N631" s="12" t="n">
        <v>0</v>
      </c>
      <c r="O631" s="12" t="n">
        <v>143</v>
      </c>
      <c r="P631" s="16" t="n">
        <f aca="false">O631/3</f>
        <v>47.6666666666667</v>
      </c>
      <c r="Q631" s="17" t="str">
        <f aca="false">INT(O631/3)&amp;"."&amp;MOD(O631,3)</f>
        <v>47.2</v>
      </c>
      <c r="R631" s="12" t="n">
        <v>38</v>
      </c>
      <c r="S631" s="12" t="n">
        <v>24</v>
      </c>
      <c r="T631" s="12" t="n">
        <v>22</v>
      </c>
      <c r="U631" s="12" t="n">
        <v>7</v>
      </c>
      <c r="V631" s="12" t="n">
        <v>16</v>
      </c>
      <c r="W631" s="12" t="n">
        <v>41</v>
      </c>
      <c r="X631" s="12" t="n">
        <v>1</v>
      </c>
      <c r="Y631" s="18" t="n">
        <f aca="false">IF(O631=0,0,T631*27/O631)</f>
        <v>4.15384615384615</v>
      </c>
      <c r="Z631" s="18" t="n">
        <f aca="false">IF(P631=0,0,(V631+R631)/P631)</f>
        <v>1.13286713286713</v>
      </c>
      <c r="AA631" s="18" t="n">
        <f aca="false">IF(O631=0,0,W631*27/O631)</f>
        <v>7.74125874125874</v>
      </c>
      <c r="AB631" s="18" t="n">
        <f aca="false">IF(O631=0,0,V631*27/O631)</f>
        <v>3.02097902097902</v>
      </c>
      <c r="AC631" s="18" t="n">
        <f aca="false">IF(V631=0,0,W631/V631)</f>
        <v>2.5625</v>
      </c>
      <c r="AD631" s="18" t="n">
        <f aca="false">IF(P631=0,0,(13*U631+3*(V631+X631)-2*W631)/P631+INDEX(球季參數!$C$2:$C$4,MATCH($A631,球季參數!$A$2:$A$4,0)))</f>
        <v>4.33874125874126</v>
      </c>
      <c r="AE631" s="11" t="n">
        <f aca="false">IF(P631&gt;=INDEX(球季參數!$F$2:$F$4,MATCH($A631,球季參數!$A$2:$A$4,0)),1,0)</f>
        <v>0</v>
      </c>
    </row>
    <row r="632" customFormat="false" ht="15" hidden="false" customHeight="false" outlineLevel="0" collapsed="false">
      <c r="A632" s="5" t="n">
        <v>2026</v>
      </c>
      <c r="B632" s="7" t="s">
        <v>863</v>
      </c>
      <c r="C632" s="10" t="str">
        <f aca="false">INDEX(球員主檔!$B$2:$B$749,MATCH($B632,球員主檔!$A$2:$A$749,0))</f>
        <v>Minjae Ostrowski</v>
      </c>
      <c r="D632" s="7" t="s">
        <v>354</v>
      </c>
      <c r="E632" s="10" t="str">
        <f aca="false">INDEX(球隊主檔!$C$2:$C$31,MATCH($D632,球隊主檔!$A$2:$A$31,0))</f>
        <v>坦帕灣光芒</v>
      </c>
      <c r="F632" s="10" t="str">
        <f aca="false">INDEX(球隊主檔!$D$2:$D$31,MATCH($D632,球隊主檔!$A$2:$A$31,0))</f>
        <v>美聯</v>
      </c>
      <c r="G632" s="7" t="s">
        <v>496</v>
      </c>
      <c r="H632" s="11" t="n">
        <f aca="false">INT((DATE($A632,7,1)-INDEX(球員主檔!$G$2:$G$749,MATCH($B632,球員主檔!$A$2:$A$749,0)))/365.25)</f>
        <v>33</v>
      </c>
      <c r="I632" s="12" t="n">
        <v>6</v>
      </c>
      <c r="J632" s="12" t="n">
        <v>9</v>
      </c>
      <c r="K632" s="12" t="n">
        <v>0</v>
      </c>
      <c r="L632" s="12" t="n">
        <v>0</v>
      </c>
      <c r="M632" s="12" t="n">
        <v>22</v>
      </c>
      <c r="N632" s="12" t="n">
        <v>22</v>
      </c>
      <c r="O632" s="12" t="n">
        <v>387</v>
      </c>
      <c r="P632" s="16" t="n">
        <f aca="false">O632/3</f>
        <v>129</v>
      </c>
      <c r="Q632" s="17" t="str">
        <f aca="false">INT(O632/3)&amp;"."&amp;MOD(O632,3)</f>
        <v>129.0</v>
      </c>
      <c r="R632" s="12" t="n">
        <v>134</v>
      </c>
      <c r="S632" s="12" t="n">
        <v>87</v>
      </c>
      <c r="T632" s="12" t="n">
        <v>86</v>
      </c>
      <c r="U632" s="12" t="n">
        <v>16</v>
      </c>
      <c r="V632" s="12" t="n">
        <v>16</v>
      </c>
      <c r="W632" s="12" t="n">
        <v>129</v>
      </c>
      <c r="X632" s="12" t="n">
        <v>7</v>
      </c>
      <c r="Y632" s="18" t="n">
        <f aca="false">IF(O632=0,0,T632*27/O632)</f>
        <v>6</v>
      </c>
      <c r="Z632" s="18" t="n">
        <f aca="false">IF(P632=0,0,(V632+R632)/P632)</f>
        <v>1.16279069767442</v>
      </c>
      <c r="AA632" s="18" t="n">
        <f aca="false">IF(O632=0,0,W632*27/O632)</f>
        <v>9</v>
      </c>
      <c r="AB632" s="18" t="n">
        <f aca="false">IF(O632=0,0,V632*27/O632)</f>
        <v>1.11627906976744</v>
      </c>
      <c r="AC632" s="18" t="n">
        <f aca="false">IF(V632=0,0,W632/V632)</f>
        <v>8.0625</v>
      </c>
      <c r="AD632" s="18" t="n">
        <f aca="false">IF(P632=0,0,(13*U632+3*(V632+X632)-2*W632)/P632+INDEX(球季參數!$C$2:$C$4,MATCH($A632,球季參數!$A$2:$A$4,0)))</f>
        <v>3.22728682170543</v>
      </c>
      <c r="AE632" s="11" t="n">
        <f aca="false">IF(P632&gt;=INDEX(球季參數!$F$2:$F$4,MATCH($A632,球季參數!$A$2:$A$4,0)),1,0)</f>
        <v>0</v>
      </c>
    </row>
    <row r="633" customFormat="false" ht="15" hidden="false" customHeight="false" outlineLevel="0" collapsed="false">
      <c r="A633" s="5" t="n">
        <v>2026</v>
      </c>
      <c r="B633" s="7" t="s">
        <v>1689</v>
      </c>
      <c r="C633" s="10" t="str">
        <f aca="false">INDEX(球員主檔!$B$2:$B$749,MATCH($B633,球員主檔!$A$2:$A$749,0))</f>
        <v>Ulises Kowalczyk</v>
      </c>
      <c r="D633" s="7" t="s">
        <v>354</v>
      </c>
      <c r="E633" s="10" t="str">
        <f aca="false">INDEX(球隊主檔!$C$2:$C$31,MATCH($D633,球隊主檔!$A$2:$A$31,0))</f>
        <v>坦帕灣光芒</v>
      </c>
      <c r="F633" s="10" t="str">
        <f aca="false">INDEX(球隊主檔!$D$2:$D$31,MATCH($D633,球隊主檔!$A$2:$A$31,0))</f>
        <v>美聯</v>
      </c>
      <c r="G633" s="7" t="s">
        <v>496</v>
      </c>
      <c r="H633" s="11" t="n">
        <f aca="false">INT((DATE($A633,7,1)-INDEX(球員主檔!$G$2:$G$749,MATCH($B633,球員主檔!$A$2:$A$749,0)))/365.25)</f>
        <v>21</v>
      </c>
      <c r="I633" s="12" t="n">
        <v>9</v>
      </c>
      <c r="J633" s="12" t="n">
        <v>14</v>
      </c>
      <c r="K633" s="12" t="n">
        <v>0</v>
      </c>
      <c r="L633" s="12" t="n">
        <v>0</v>
      </c>
      <c r="M633" s="12" t="n">
        <v>30</v>
      </c>
      <c r="N633" s="12" t="n">
        <v>30</v>
      </c>
      <c r="O633" s="12" t="n">
        <v>480</v>
      </c>
      <c r="P633" s="16" t="n">
        <f aca="false">O633/3</f>
        <v>160</v>
      </c>
      <c r="Q633" s="17" t="str">
        <f aca="false">INT(O633/3)&amp;"."&amp;MOD(O633,3)</f>
        <v>160.0</v>
      </c>
      <c r="R633" s="12" t="n">
        <v>147</v>
      </c>
      <c r="S633" s="12" t="n">
        <v>109</v>
      </c>
      <c r="T633" s="12" t="n">
        <v>99</v>
      </c>
      <c r="U633" s="12" t="n">
        <v>20</v>
      </c>
      <c r="V633" s="12" t="n">
        <v>49</v>
      </c>
      <c r="W633" s="12" t="n">
        <v>151</v>
      </c>
      <c r="X633" s="12" t="n">
        <v>3</v>
      </c>
      <c r="Y633" s="18" t="n">
        <f aca="false">IF(O633=0,0,T633*27/O633)</f>
        <v>5.56875</v>
      </c>
      <c r="Z633" s="18" t="n">
        <f aca="false">IF(P633=0,0,(V633+R633)/P633)</f>
        <v>1.225</v>
      </c>
      <c r="AA633" s="18" t="n">
        <f aca="false">IF(O633=0,0,W633*27/O633)</f>
        <v>8.49375</v>
      </c>
      <c r="AB633" s="18" t="n">
        <f aca="false">IF(O633=0,0,V633*27/O633)</f>
        <v>2.75625</v>
      </c>
      <c r="AC633" s="18" t="n">
        <f aca="false">IF(V633=0,0,W633/V633)</f>
        <v>3.08163265306122</v>
      </c>
      <c r="AD633" s="18" t="n">
        <f aca="false">IF(P633=0,0,(13*U633+3*(V633+X633)-2*W633)/P633+INDEX(球季參數!$C$2:$C$4,MATCH($A633,球季參數!$A$2:$A$4,0)))</f>
        <v>3.7925</v>
      </c>
      <c r="AE633" s="11" t="n">
        <f aca="false">IF(P633&gt;=INDEX(球季參數!$F$2:$F$4,MATCH($A633,球季參數!$A$2:$A$4,0)),1,0)</f>
        <v>0</v>
      </c>
    </row>
    <row r="634" customFormat="false" ht="15" hidden="false" customHeight="false" outlineLevel="0" collapsed="false">
      <c r="A634" s="5" t="n">
        <v>2026</v>
      </c>
      <c r="B634" s="7" t="s">
        <v>1063</v>
      </c>
      <c r="C634" s="10" t="str">
        <f aca="false">INDEX(球員主檔!$B$2:$B$749,MATCH($B634,球員主檔!$A$2:$A$749,0))</f>
        <v>Camilo Paszkiewicz</v>
      </c>
      <c r="D634" s="7" t="s">
        <v>354</v>
      </c>
      <c r="E634" s="10" t="str">
        <f aca="false">INDEX(球隊主檔!$C$2:$C$31,MATCH($D634,球隊主檔!$A$2:$A$31,0))</f>
        <v>坦帕灣光芒</v>
      </c>
      <c r="F634" s="10" t="str">
        <f aca="false">INDEX(球隊主檔!$D$2:$D$31,MATCH($D634,球隊主檔!$A$2:$A$31,0))</f>
        <v>美聯</v>
      </c>
      <c r="G634" s="7" t="s">
        <v>496</v>
      </c>
      <c r="H634" s="11" t="n">
        <f aca="false">INT((DATE($A634,7,1)-INDEX(球員主檔!$G$2:$G$749,MATCH($B634,球員主檔!$A$2:$A$749,0)))/365.25)</f>
        <v>33</v>
      </c>
      <c r="I634" s="12" t="n">
        <v>5</v>
      </c>
      <c r="J634" s="12" t="n">
        <v>4</v>
      </c>
      <c r="K634" s="12" t="n">
        <v>0</v>
      </c>
      <c r="L634" s="12" t="n">
        <v>0</v>
      </c>
      <c r="M634" s="12" t="n">
        <v>14</v>
      </c>
      <c r="N634" s="12" t="n">
        <v>14</v>
      </c>
      <c r="O634" s="12" t="n">
        <v>217</v>
      </c>
      <c r="P634" s="16" t="n">
        <f aca="false">O634/3</f>
        <v>72.3333333333333</v>
      </c>
      <c r="Q634" s="17" t="str">
        <f aca="false">INT(O634/3)&amp;"."&amp;MOD(O634,3)</f>
        <v>72.1</v>
      </c>
      <c r="R634" s="12" t="n">
        <v>68</v>
      </c>
      <c r="S634" s="12" t="n">
        <v>43</v>
      </c>
      <c r="T634" s="12" t="n">
        <v>40</v>
      </c>
      <c r="U634" s="12" t="n">
        <v>7</v>
      </c>
      <c r="V634" s="12" t="n">
        <v>17</v>
      </c>
      <c r="W634" s="12" t="n">
        <v>53</v>
      </c>
      <c r="X634" s="12" t="n">
        <v>1</v>
      </c>
      <c r="Y634" s="18" t="n">
        <f aca="false">IF(O634=0,0,T634*27/O634)</f>
        <v>4.97695852534562</v>
      </c>
      <c r="Z634" s="18" t="n">
        <f aca="false">IF(P634=0,0,(V634+R634)/P634)</f>
        <v>1.17511520737327</v>
      </c>
      <c r="AA634" s="18" t="n">
        <f aca="false">IF(O634=0,0,W634*27/O634)</f>
        <v>6.59447004608295</v>
      </c>
      <c r="AB634" s="18" t="n">
        <f aca="false">IF(O634=0,0,V634*27/O634)</f>
        <v>2.11520737327189</v>
      </c>
      <c r="AC634" s="18" t="n">
        <f aca="false">IF(V634=0,0,W634/V634)</f>
        <v>3.11764705882353</v>
      </c>
      <c r="AD634" s="18" t="n">
        <f aca="false">IF(P634=0,0,(13*U634+3*(V634+X634)-2*W634)/P634+INDEX(球季參數!$C$2:$C$4,MATCH($A634,球季參數!$A$2:$A$4,0)))</f>
        <v>3.61917050691244</v>
      </c>
      <c r="AE634" s="11" t="n">
        <f aca="false">IF(P634&gt;=INDEX(球季參數!$F$2:$F$4,MATCH($A634,球季參數!$A$2:$A$4,0)),1,0)</f>
        <v>0</v>
      </c>
    </row>
    <row r="635" customFormat="false" ht="15" hidden="false" customHeight="false" outlineLevel="0" collapsed="false">
      <c r="A635" s="5" t="n">
        <v>2026</v>
      </c>
      <c r="B635" s="7" t="s">
        <v>623</v>
      </c>
      <c r="C635" s="10" t="str">
        <f aca="false">INDEX(球員主檔!$B$2:$B$749,MATCH($B635,球員主檔!$A$2:$A$749,0))</f>
        <v>Alonso Lindquist</v>
      </c>
      <c r="D635" s="7" t="s">
        <v>354</v>
      </c>
      <c r="E635" s="10" t="str">
        <f aca="false">INDEX(球隊主檔!$C$2:$C$31,MATCH($D635,球隊主檔!$A$2:$A$31,0))</f>
        <v>坦帕灣光芒</v>
      </c>
      <c r="F635" s="10" t="str">
        <f aca="false">INDEX(球隊主檔!$D$2:$D$31,MATCH($D635,球隊主檔!$A$2:$A$31,0))</f>
        <v>美聯</v>
      </c>
      <c r="G635" s="7" t="s">
        <v>496</v>
      </c>
      <c r="H635" s="11" t="n">
        <f aca="false">INT((DATE($A635,7,1)-INDEX(球員主檔!$G$2:$G$749,MATCH($B635,球員主檔!$A$2:$A$749,0)))/365.25)</f>
        <v>28</v>
      </c>
      <c r="I635" s="12" t="n">
        <v>7</v>
      </c>
      <c r="J635" s="12" t="n">
        <v>11</v>
      </c>
      <c r="K635" s="12" t="n">
        <v>0</v>
      </c>
      <c r="L635" s="12" t="n">
        <v>0</v>
      </c>
      <c r="M635" s="12" t="n">
        <v>31</v>
      </c>
      <c r="N635" s="12" t="n">
        <v>31</v>
      </c>
      <c r="O635" s="12" t="n">
        <v>562</v>
      </c>
      <c r="P635" s="16" t="n">
        <f aca="false">O635/3</f>
        <v>187.333333333333</v>
      </c>
      <c r="Q635" s="17" t="str">
        <f aca="false">INT(O635/3)&amp;"."&amp;MOD(O635,3)</f>
        <v>187.1</v>
      </c>
      <c r="R635" s="12" t="n">
        <v>169</v>
      </c>
      <c r="S635" s="12" t="n">
        <v>118</v>
      </c>
      <c r="T635" s="12" t="n">
        <v>116</v>
      </c>
      <c r="U635" s="12" t="n">
        <v>27</v>
      </c>
      <c r="V635" s="12" t="n">
        <v>40</v>
      </c>
      <c r="W635" s="12" t="n">
        <v>172</v>
      </c>
      <c r="X635" s="12" t="n">
        <v>2</v>
      </c>
      <c r="Y635" s="18" t="n">
        <f aca="false">IF(O635=0,0,T635*27/O635)</f>
        <v>5.5729537366548</v>
      </c>
      <c r="Z635" s="18" t="n">
        <f aca="false">IF(P635=0,0,(V635+R635)/P635)</f>
        <v>1.11565836298932</v>
      </c>
      <c r="AA635" s="18" t="n">
        <f aca="false">IF(O635=0,0,W635*27/O635)</f>
        <v>8.26334519572954</v>
      </c>
      <c r="AB635" s="18" t="n">
        <f aca="false">IF(O635=0,0,V635*27/O635)</f>
        <v>1.92170818505338</v>
      </c>
      <c r="AC635" s="18" t="n">
        <f aca="false">IF(V635=0,0,W635/V635)</f>
        <v>4.3</v>
      </c>
      <c r="AD635" s="18" t="n">
        <f aca="false">IF(P635=0,0,(13*U635+3*(V635+X635)-2*W635)/P635+INDEX(球季參數!$C$2:$C$4,MATCH($A635,球季參數!$A$2:$A$4,0)))</f>
        <v>3.78996441281139</v>
      </c>
      <c r="AE635" s="11" t="n">
        <f aca="false">IF(P635&gt;=INDEX(球季參數!$F$2:$F$4,MATCH($A635,球季參數!$A$2:$A$4,0)),1,0)</f>
        <v>1</v>
      </c>
    </row>
    <row r="636" customFormat="false" ht="15" hidden="false" customHeight="false" outlineLevel="0" collapsed="false">
      <c r="A636" s="5" t="n">
        <v>2026</v>
      </c>
      <c r="B636" s="7" t="s">
        <v>625</v>
      </c>
      <c r="C636" s="10" t="str">
        <f aca="false">INDEX(球員主檔!$B$2:$B$749,MATCH($B636,球員主檔!$A$2:$A$749,0))</f>
        <v>Dimitri Gallimore</v>
      </c>
      <c r="D636" s="7" t="s">
        <v>354</v>
      </c>
      <c r="E636" s="10" t="str">
        <f aca="false">INDEX(球隊主檔!$C$2:$C$31,MATCH($D636,球隊主檔!$A$2:$A$31,0))</f>
        <v>坦帕灣光芒</v>
      </c>
      <c r="F636" s="10" t="str">
        <f aca="false">INDEX(球隊主檔!$D$2:$D$31,MATCH($D636,球隊主檔!$A$2:$A$31,0))</f>
        <v>美聯</v>
      </c>
      <c r="G636" s="7" t="s">
        <v>496</v>
      </c>
      <c r="H636" s="11" t="n">
        <f aca="false">INT((DATE($A636,7,1)-INDEX(球員主檔!$G$2:$G$749,MATCH($B636,球員主檔!$A$2:$A$749,0)))/365.25)</f>
        <v>32</v>
      </c>
      <c r="I636" s="12" t="n">
        <v>11</v>
      </c>
      <c r="J636" s="12" t="n">
        <v>6</v>
      </c>
      <c r="K636" s="12" t="n">
        <v>0</v>
      </c>
      <c r="L636" s="12" t="n">
        <v>0</v>
      </c>
      <c r="M636" s="12" t="n">
        <v>31</v>
      </c>
      <c r="N636" s="12" t="n">
        <v>31</v>
      </c>
      <c r="O636" s="12" t="n">
        <v>589</v>
      </c>
      <c r="P636" s="16" t="n">
        <f aca="false">O636/3</f>
        <v>196.333333333333</v>
      </c>
      <c r="Q636" s="17" t="str">
        <f aca="false">INT(O636/3)&amp;"."&amp;MOD(O636,3)</f>
        <v>196.1</v>
      </c>
      <c r="R636" s="12" t="n">
        <v>157</v>
      </c>
      <c r="S636" s="12" t="n">
        <v>93</v>
      </c>
      <c r="T636" s="12" t="n">
        <v>82</v>
      </c>
      <c r="U636" s="12" t="n">
        <v>17</v>
      </c>
      <c r="V636" s="12" t="n">
        <v>64</v>
      </c>
      <c r="W636" s="12" t="n">
        <v>219</v>
      </c>
      <c r="X636" s="12" t="n">
        <v>11</v>
      </c>
      <c r="Y636" s="18" t="n">
        <f aca="false">IF(O636=0,0,T636*27/O636)</f>
        <v>3.75891341256367</v>
      </c>
      <c r="Z636" s="18" t="n">
        <f aca="false">IF(P636=0,0,(V636+R636)/P636)</f>
        <v>1.12563667232598</v>
      </c>
      <c r="AA636" s="18" t="n">
        <f aca="false">IF(O636=0,0,W636*27/O636)</f>
        <v>10.0390492359932</v>
      </c>
      <c r="AB636" s="18" t="n">
        <f aca="false">IF(O636=0,0,V636*27/O636)</f>
        <v>2.93378607809847</v>
      </c>
      <c r="AC636" s="18" t="n">
        <f aca="false">IF(V636=0,0,W636/V636)</f>
        <v>3.421875</v>
      </c>
      <c r="AD636" s="18" t="n">
        <f aca="false">IF(P636=0,0,(13*U636+3*(V636+X636)-2*W636)/P636+INDEX(球季參數!$C$2:$C$4,MATCH($A636,球季參數!$A$2:$A$4,0)))</f>
        <v>3.12074702886248</v>
      </c>
      <c r="AE636" s="11" t="n">
        <f aca="false">IF(P636&gt;=INDEX(球季參數!$F$2:$F$4,MATCH($A636,球季參數!$A$2:$A$4,0)),1,0)</f>
        <v>1</v>
      </c>
    </row>
    <row r="637" customFormat="false" ht="15" hidden="false" customHeight="false" outlineLevel="0" collapsed="false">
      <c r="A637" s="5" t="n">
        <v>2026</v>
      </c>
      <c r="B637" s="7" t="s">
        <v>627</v>
      </c>
      <c r="C637" s="10" t="str">
        <f aca="false">INDEX(球員主檔!$B$2:$B$749,MATCH($B637,球員主檔!$A$2:$A$749,0))</f>
        <v>Minjae Lindquist</v>
      </c>
      <c r="D637" s="7" t="s">
        <v>354</v>
      </c>
      <c r="E637" s="10" t="str">
        <f aca="false">INDEX(球隊主檔!$C$2:$C$31,MATCH($D637,球隊主檔!$A$2:$A$31,0))</f>
        <v>坦帕灣光芒</v>
      </c>
      <c r="F637" s="10" t="str">
        <f aca="false">INDEX(球隊主檔!$D$2:$D$31,MATCH($D637,球隊主檔!$A$2:$A$31,0))</f>
        <v>美聯</v>
      </c>
      <c r="G637" s="7" t="s">
        <v>507</v>
      </c>
      <c r="H637" s="11" t="n">
        <f aca="false">INT((DATE($A637,7,1)-INDEX(球員主檔!$G$2:$G$749,MATCH($B637,球員主檔!$A$2:$A$749,0)))/365.25)</f>
        <v>28</v>
      </c>
      <c r="I637" s="12" t="n">
        <v>0</v>
      </c>
      <c r="J637" s="12" t="n">
        <v>7</v>
      </c>
      <c r="K637" s="12" t="n">
        <v>19</v>
      </c>
      <c r="L637" s="12" t="n">
        <v>4</v>
      </c>
      <c r="M637" s="12" t="n">
        <v>47</v>
      </c>
      <c r="N637" s="12" t="n">
        <v>0</v>
      </c>
      <c r="O637" s="12" t="n">
        <v>149</v>
      </c>
      <c r="P637" s="16" t="n">
        <f aca="false">O637/3</f>
        <v>49.6666666666667</v>
      </c>
      <c r="Q637" s="17" t="str">
        <f aca="false">INT(O637/3)&amp;"."&amp;MOD(O637,3)</f>
        <v>49.2</v>
      </c>
      <c r="R637" s="12" t="n">
        <v>36</v>
      </c>
      <c r="S637" s="12" t="n">
        <v>18</v>
      </c>
      <c r="T637" s="12" t="n">
        <v>18</v>
      </c>
      <c r="U637" s="12" t="n">
        <v>6</v>
      </c>
      <c r="V637" s="12" t="n">
        <v>17</v>
      </c>
      <c r="W637" s="12" t="n">
        <v>60</v>
      </c>
      <c r="X637" s="12" t="n">
        <v>3</v>
      </c>
      <c r="Y637" s="18" t="n">
        <f aca="false">IF(O637=0,0,T637*27/O637)</f>
        <v>3.26174496644295</v>
      </c>
      <c r="Z637" s="18" t="n">
        <f aca="false">IF(P637=0,0,(V637+R637)/P637)</f>
        <v>1.06711409395973</v>
      </c>
      <c r="AA637" s="18" t="n">
        <f aca="false">IF(O637=0,0,W637*27/O637)</f>
        <v>10.8724832214765</v>
      </c>
      <c r="AB637" s="18" t="n">
        <f aca="false">IF(O637=0,0,V637*27/O637)</f>
        <v>3.08053691275168</v>
      </c>
      <c r="AC637" s="18" t="n">
        <f aca="false">IF(V637=0,0,W637/V637)</f>
        <v>3.52941176470588</v>
      </c>
      <c r="AD637" s="18" t="n">
        <f aca="false">IF(P637=0,0,(13*U637+3*(V637+X637)-2*W637)/P637+INDEX(球季參數!$C$2:$C$4,MATCH($A637,球季參數!$A$2:$A$4,0)))</f>
        <v>3.44241610738255</v>
      </c>
      <c r="AE637" s="11" t="n">
        <f aca="false">IF(P637&gt;=INDEX(球季參數!$F$2:$F$4,MATCH($A637,球季參數!$A$2:$A$4,0)),1,0)</f>
        <v>0</v>
      </c>
    </row>
    <row r="638" customFormat="false" ht="15" hidden="false" customHeight="false" outlineLevel="0" collapsed="false">
      <c r="A638" s="5" t="n">
        <v>2026</v>
      </c>
      <c r="B638" s="7" t="s">
        <v>629</v>
      </c>
      <c r="C638" s="10" t="str">
        <f aca="false">INDEX(球員主檔!$B$2:$B$749,MATCH($B638,球員主檔!$A$2:$A$749,0))</f>
        <v>Wendell Yoshinaga</v>
      </c>
      <c r="D638" s="7" t="s">
        <v>354</v>
      </c>
      <c r="E638" s="10" t="str">
        <f aca="false">INDEX(球隊主檔!$C$2:$C$31,MATCH($D638,球隊主檔!$A$2:$A$31,0))</f>
        <v>坦帕灣光芒</v>
      </c>
      <c r="F638" s="10" t="str">
        <f aca="false">INDEX(球隊主檔!$D$2:$D$31,MATCH($D638,球隊主檔!$A$2:$A$31,0))</f>
        <v>美聯</v>
      </c>
      <c r="G638" s="7" t="s">
        <v>507</v>
      </c>
      <c r="H638" s="11" t="n">
        <f aca="false">INT((DATE($A638,7,1)-INDEX(球員主檔!$G$2:$G$749,MATCH($B638,球員主檔!$A$2:$A$749,0)))/365.25)</f>
        <v>26</v>
      </c>
      <c r="I638" s="12" t="n">
        <v>4</v>
      </c>
      <c r="J638" s="12" t="n">
        <v>3</v>
      </c>
      <c r="K638" s="12" t="n">
        <v>2</v>
      </c>
      <c r="L638" s="12" t="n">
        <v>25</v>
      </c>
      <c r="M638" s="12" t="n">
        <v>49</v>
      </c>
      <c r="N638" s="12" t="n">
        <v>0</v>
      </c>
      <c r="O638" s="12" t="n">
        <v>155</v>
      </c>
      <c r="P638" s="16" t="n">
        <f aca="false">O638/3</f>
        <v>51.6666666666667</v>
      </c>
      <c r="Q638" s="17" t="str">
        <f aca="false">INT(O638/3)&amp;"."&amp;MOD(O638,3)</f>
        <v>51.2</v>
      </c>
      <c r="R638" s="12" t="n">
        <v>48</v>
      </c>
      <c r="S638" s="12" t="n">
        <v>29</v>
      </c>
      <c r="T638" s="12" t="n">
        <v>27</v>
      </c>
      <c r="U638" s="12" t="n">
        <v>4</v>
      </c>
      <c r="V638" s="12" t="n">
        <v>27</v>
      </c>
      <c r="W638" s="12" t="n">
        <v>64</v>
      </c>
      <c r="X638" s="12" t="n">
        <v>1</v>
      </c>
      <c r="Y638" s="18" t="n">
        <f aca="false">IF(O638=0,0,T638*27/O638)</f>
        <v>4.70322580645161</v>
      </c>
      <c r="Z638" s="18" t="n">
        <f aca="false">IF(P638=0,0,(V638+R638)/P638)</f>
        <v>1.45161290322581</v>
      </c>
      <c r="AA638" s="18" t="n">
        <f aca="false">IF(O638=0,0,W638*27/O638)</f>
        <v>11.1483870967742</v>
      </c>
      <c r="AB638" s="18" t="n">
        <f aca="false">IF(O638=0,0,V638*27/O638)</f>
        <v>4.70322580645161</v>
      </c>
      <c r="AC638" s="18" t="n">
        <f aca="false">IF(V638=0,0,W638/V638)</f>
        <v>2.37037037037037</v>
      </c>
      <c r="AD638" s="18" t="n">
        <f aca="false">IF(P638=0,0,(13*U638+3*(V638+X638)-2*W638)/P638+INDEX(球季參數!$C$2:$C$4,MATCH($A638,球季參數!$A$2:$A$4,0)))</f>
        <v>3.23483870967742</v>
      </c>
      <c r="AE638" s="11" t="n">
        <f aca="false">IF(P638&gt;=INDEX(球季參數!$F$2:$F$4,MATCH($A638,球季參數!$A$2:$A$4,0)),1,0)</f>
        <v>0</v>
      </c>
    </row>
    <row r="639" customFormat="false" ht="15" hidden="false" customHeight="false" outlineLevel="0" collapsed="false">
      <c r="A639" s="5" t="n">
        <v>2026</v>
      </c>
      <c r="B639" s="7" t="s">
        <v>1833</v>
      </c>
      <c r="C639" s="10" t="str">
        <f aca="false">INDEX(球員主檔!$B$2:$B$749,MATCH($B639,球員主檔!$A$2:$A$749,0))</f>
        <v>Haruto Underhill</v>
      </c>
      <c r="D639" s="7" t="s">
        <v>354</v>
      </c>
      <c r="E639" s="10" t="str">
        <f aca="false">INDEX(球隊主檔!$C$2:$C$31,MATCH($D639,球隊主檔!$A$2:$A$31,0))</f>
        <v>坦帕灣光芒</v>
      </c>
      <c r="F639" s="10" t="str">
        <f aca="false">INDEX(球隊主檔!$D$2:$D$31,MATCH($D639,球隊主檔!$A$2:$A$31,0))</f>
        <v>美聯</v>
      </c>
      <c r="G639" s="7" t="s">
        <v>507</v>
      </c>
      <c r="H639" s="11" t="n">
        <f aca="false">INT((DATE($A639,7,1)-INDEX(球員主檔!$G$2:$G$749,MATCH($B639,球員主檔!$A$2:$A$749,0)))/365.25)</f>
        <v>25</v>
      </c>
      <c r="I639" s="12" t="n">
        <v>4</v>
      </c>
      <c r="J639" s="12" t="n">
        <v>4</v>
      </c>
      <c r="K639" s="12" t="n">
        <v>6</v>
      </c>
      <c r="L639" s="12" t="n">
        <v>19</v>
      </c>
      <c r="M639" s="12" t="n">
        <v>57</v>
      </c>
      <c r="N639" s="12" t="n">
        <v>0</v>
      </c>
      <c r="O639" s="12" t="n">
        <v>176</v>
      </c>
      <c r="P639" s="16" t="n">
        <f aca="false">O639/3</f>
        <v>58.6666666666667</v>
      </c>
      <c r="Q639" s="17" t="str">
        <f aca="false">INT(O639/3)&amp;"."&amp;MOD(O639,3)</f>
        <v>58.2</v>
      </c>
      <c r="R639" s="12" t="n">
        <v>50</v>
      </c>
      <c r="S639" s="12" t="n">
        <v>29</v>
      </c>
      <c r="T639" s="12" t="n">
        <v>28</v>
      </c>
      <c r="U639" s="12" t="n">
        <v>12</v>
      </c>
      <c r="V639" s="12" t="n">
        <v>21</v>
      </c>
      <c r="W639" s="12" t="n">
        <v>43</v>
      </c>
      <c r="X639" s="12" t="n">
        <v>4</v>
      </c>
      <c r="Y639" s="18" t="n">
        <f aca="false">IF(O639=0,0,T639*27/O639)</f>
        <v>4.29545454545455</v>
      </c>
      <c r="Z639" s="18" t="n">
        <f aca="false">IF(P639=0,0,(V639+R639)/P639)</f>
        <v>1.21022727272727</v>
      </c>
      <c r="AA639" s="18" t="n">
        <f aca="false">IF(O639=0,0,W639*27/O639)</f>
        <v>6.59659090909091</v>
      </c>
      <c r="AB639" s="18" t="n">
        <f aca="false">IF(O639=0,0,V639*27/O639)</f>
        <v>3.22159090909091</v>
      </c>
      <c r="AC639" s="18" t="n">
        <f aca="false">IF(V639=0,0,W639/V639)</f>
        <v>2.04761904761905</v>
      </c>
      <c r="AD639" s="18" t="n">
        <f aca="false">IF(P639=0,0,(13*U639+3*(V639+X639)-2*W639)/P639+INDEX(球季參數!$C$2:$C$4,MATCH($A639,球季參數!$A$2:$A$4,0)))</f>
        <v>5.55159090909091</v>
      </c>
      <c r="AE639" s="11" t="n">
        <f aca="false">IF(P639&gt;=INDEX(球季參數!$F$2:$F$4,MATCH($A639,球季參數!$A$2:$A$4,0)),1,0)</f>
        <v>0</v>
      </c>
    </row>
    <row r="640" customFormat="false" ht="15" hidden="false" customHeight="false" outlineLevel="0" collapsed="false">
      <c r="A640" s="5" t="n">
        <v>2026</v>
      </c>
      <c r="B640" s="7" t="s">
        <v>633</v>
      </c>
      <c r="C640" s="10" t="str">
        <f aca="false">INDEX(球員主檔!$B$2:$B$749,MATCH($B640,球員主檔!$A$2:$A$749,0))</f>
        <v>Dorian Zamarripa</v>
      </c>
      <c r="D640" s="7" t="s">
        <v>354</v>
      </c>
      <c r="E640" s="10" t="str">
        <f aca="false">INDEX(球隊主檔!$C$2:$C$31,MATCH($D640,球隊主檔!$A$2:$A$31,0))</f>
        <v>坦帕灣光芒</v>
      </c>
      <c r="F640" s="10" t="str">
        <f aca="false">INDEX(球隊主檔!$D$2:$D$31,MATCH($D640,球隊主檔!$A$2:$A$31,0))</f>
        <v>美聯</v>
      </c>
      <c r="G640" s="7" t="s">
        <v>507</v>
      </c>
      <c r="H640" s="11" t="n">
        <f aca="false">INT((DATE($A640,7,1)-INDEX(球員主檔!$G$2:$G$749,MATCH($B640,球員主檔!$A$2:$A$749,0)))/365.25)</f>
        <v>29</v>
      </c>
      <c r="I640" s="12" t="n">
        <v>7</v>
      </c>
      <c r="J640" s="12" t="n">
        <v>2</v>
      </c>
      <c r="K640" s="12" t="n">
        <v>4</v>
      </c>
      <c r="L640" s="12" t="n">
        <v>26</v>
      </c>
      <c r="M640" s="12" t="n">
        <v>72</v>
      </c>
      <c r="N640" s="12" t="n">
        <v>0</v>
      </c>
      <c r="O640" s="12" t="n">
        <v>199</v>
      </c>
      <c r="P640" s="16" t="n">
        <f aca="false">O640/3</f>
        <v>66.3333333333333</v>
      </c>
      <c r="Q640" s="17" t="str">
        <f aca="false">INT(O640/3)&amp;"."&amp;MOD(O640,3)</f>
        <v>66.1</v>
      </c>
      <c r="R640" s="12" t="n">
        <v>58</v>
      </c>
      <c r="S640" s="12" t="n">
        <v>38</v>
      </c>
      <c r="T640" s="12" t="n">
        <v>35</v>
      </c>
      <c r="U640" s="12" t="n">
        <v>12</v>
      </c>
      <c r="V640" s="12" t="n">
        <v>23</v>
      </c>
      <c r="W640" s="12" t="n">
        <v>63</v>
      </c>
      <c r="X640" s="12" t="n">
        <v>1</v>
      </c>
      <c r="Y640" s="18" t="n">
        <f aca="false">IF(O640=0,0,T640*27/O640)</f>
        <v>4.74874371859297</v>
      </c>
      <c r="Z640" s="18" t="n">
        <f aca="false">IF(P640=0,0,(V640+R640)/P640)</f>
        <v>1.22110552763819</v>
      </c>
      <c r="AA640" s="18" t="n">
        <f aca="false">IF(O640=0,0,W640*27/O640)</f>
        <v>8.54773869346734</v>
      </c>
      <c r="AB640" s="18" t="n">
        <f aca="false">IF(O640=0,0,V640*27/O640)</f>
        <v>3.12060301507538</v>
      </c>
      <c r="AC640" s="18" t="n">
        <f aca="false">IF(V640=0,0,W640/V640)</f>
        <v>2.73913043478261</v>
      </c>
      <c r="AD640" s="18" t="n">
        <f aca="false">IF(P640=0,0,(13*U640+3*(V640+X640)-2*W640)/P640+INDEX(球季參數!$C$2:$C$4,MATCH($A640,球季參數!$A$2:$A$4,0)))</f>
        <v>4.61768844221106</v>
      </c>
      <c r="AE640" s="11" t="n">
        <f aca="false">IF(P640&gt;=INDEX(球季參數!$F$2:$F$4,MATCH($A640,球季參數!$A$2:$A$4,0)),1,0)</f>
        <v>0</v>
      </c>
    </row>
    <row r="641" customFormat="false" ht="15" hidden="false" customHeight="false" outlineLevel="0" collapsed="false">
      <c r="A641" s="5" t="n">
        <v>2026</v>
      </c>
      <c r="B641" s="7" t="s">
        <v>635</v>
      </c>
      <c r="C641" s="10" t="str">
        <f aca="false">INDEX(球員主檔!$B$2:$B$749,MATCH($B641,球員主檔!$A$2:$A$749,0))</f>
        <v>Thaddeus Vasquez</v>
      </c>
      <c r="D641" s="7" t="s">
        <v>354</v>
      </c>
      <c r="E641" s="10" t="str">
        <f aca="false">INDEX(球隊主檔!$C$2:$C$31,MATCH($D641,球隊主檔!$A$2:$A$31,0))</f>
        <v>坦帕灣光芒</v>
      </c>
      <c r="F641" s="10" t="str">
        <f aca="false">INDEX(球隊主檔!$D$2:$D$31,MATCH($D641,球隊主檔!$A$2:$A$31,0))</f>
        <v>美聯</v>
      </c>
      <c r="G641" s="7" t="s">
        <v>507</v>
      </c>
      <c r="H641" s="11" t="n">
        <f aca="false">INT((DATE($A641,7,1)-INDEX(球員主檔!$G$2:$G$749,MATCH($B641,球員主檔!$A$2:$A$749,0)))/365.25)</f>
        <v>29</v>
      </c>
      <c r="I641" s="12" t="n">
        <v>1</v>
      </c>
      <c r="J641" s="12" t="n">
        <v>0</v>
      </c>
      <c r="K641" s="12" t="n">
        <v>1</v>
      </c>
      <c r="L641" s="12" t="n">
        <v>9</v>
      </c>
      <c r="M641" s="12" t="n">
        <v>66</v>
      </c>
      <c r="N641" s="12" t="n">
        <v>0</v>
      </c>
      <c r="O641" s="12" t="n">
        <v>207</v>
      </c>
      <c r="P641" s="16" t="n">
        <f aca="false">O641/3</f>
        <v>69</v>
      </c>
      <c r="Q641" s="17" t="str">
        <f aca="false">INT(O641/3)&amp;"."&amp;MOD(O641,3)</f>
        <v>69.0</v>
      </c>
      <c r="R641" s="12" t="n">
        <v>54</v>
      </c>
      <c r="S641" s="12" t="n">
        <v>29</v>
      </c>
      <c r="T641" s="12" t="n">
        <v>28</v>
      </c>
      <c r="U641" s="12" t="n">
        <v>8</v>
      </c>
      <c r="V641" s="12" t="n">
        <v>28</v>
      </c>
      <c r="W641" s="12" t="n">
        <v>60</v>
      </c>
      <c r="X641" s="12" t="n">
        <v>4</v>
      </c>
      <c r="Y641" s="18" t="n">
        <f aca="false">IF(O641=0,0,T641*27/O641)</f>
        <v>3.65217391304348</v>
      </c>
      <c r="Z641" s="18" t="n">
        <f aca="false">IF(P641=0,0,(V641+R641)/P641)</f>
        <v>1.18840579710145</v>
      </c>
      <c r="AA641" s="18" t="n">
        <f aca="false">IF(O641=0,0,W641*27/O641)</f>
        <v>7.82608695652174</v>
      </c>
      <c r="AB641" s="18" t="n">
        <f aca="false">IF(O641=0,0,V641*27/O641)</f>
        <v>3.65217391304348</v>
      </c>
      <c r="AC641" s="18" t="n">
        <f aca="false">IF(V641=0,0,W641/V641)</f>
        <v>2.14285714285714</v>
      </c>
      <c r="AD641" s="18" t="n">
        <f aca="false">IF(P641=0,0,(13*U641+3*(V641+X641)-2*W641)/P641+INDEX(球季參數!$C$2:$C$4,MATCH($A641,球季參數!$A$2:$A$4,0)))</f>
        <v>4.23942028985507</v>
      </c>
      <c r="AE641" s="11" t="n">
        <f aca="false">IF(P641&gt;=INDEX(球季參數!$F$2:$F$4,MATCH($A641,球季參數!$A$2:$A$4,0)),1,0)</f>
        <v>0</v>
      </c>
    </row>
    <row r="642" customFormat="false" ht="15" hidden="false" customHeight="false" outlineLevel="0" collapsed="false">
      <c r="A642" s="5" t="n">
        <v>2026</v>
      </c>
      <c r="B642" s="7" t="s">
        <v>1839</v>
      </c>
      <c r="C642" s="10" t="str">
        <f aca="false">INDEX(球員主檔!$B$2:$B$749,MATCH($B642,球員主檔!$A$2:$A$749,0))</f>
        <v>Vicente Haverford</v>
      </c>
      <c r="D642" s="7" t="s">
        <v>358</v>
      </c>
      <c r="E642" s="10" t="str">
        <f aca="false">INDEX(球隊主檔!$C$2:$C$31,MATCH($D642,球隊主檔!$A$2:$A$31,0))</f>
        <v>多倫多藍鳥</v>
      </c>
      <c r="F642" s="10" t="str">
        <f aca="false">INDEX(球隊主檔!$D$2:$D$31,MATCH($D642,球隊主檔!$A$2:$A$31,0))</f>
        <v>美聯</v>
      </c>
      <c r="G642" s="7" t="s">
        <v>496</v>
      </c>
      <c r="H642" s="11" t="n">
        <f aca="false">INT((DATE($A642,7,1)-INDEX(球員主檔!$G$2:$G$749,MATCH($B642,球員主檔!$A$2:$A$749,0)))/365.25)</f>
        <v>19</v>
      </c>
      <c r="I642" s="12" t="n">
        <v>10</v>
      </c>
      <c r="J642" s="12" t="n">
        <v>8</v>
      </c>
      <c r="K642" s="12" t="n">
        <v>0</v>
      </c>
      <c r="L642" s="12" t="n">
        <v>0</v>
      </c>
      <c r="M642" s="12" t="n">
        <v>32</v>
      </c>
      <c r="N642" s="12" t="n">
        <v>32</v>
      </c>
      <c r="O642" s="12" t="n">
        <v>514</v>
      </c>
      <c r="P642" s="16" t="n">
        <f aca="false">O642/3</f>
        <v>171.333333333333</v>
      </c>
      <c r="Q642" s="17" t="str">
        <f aca="false">INT(O642/3)&amp;"."&amp;MOD(O642,3)</f>
        <v>171.1</v>
      </c>
      <c r="R642" s="12" t="n">
        <v>143</v>
      </c>
      <c r="S642" s="12" t="n">
        <v>96</v>
      </c>
      <c r="T642" s="12" t="n">
        <v>88</v>
      </c>
      <c r="U642" s="12" t="n">
        <v>18</v>
      </c>
      <c r="V642" s="12" t="n">
        <v>53</v>
      </c>
      <c r="W642" s="12" t="n">
        <v>139</v>
      </c>
      <c r="X642" s="12" t="n">
        <v>9</v>
      </c>
      <c r="Y642" s="18" t="n">
        <f aca="false">IF(O642=0,0,T642*27/O642)</f>
        <v>4.62256809338521</v>
      </c>
      <c r="Z642" s="18" t="n">
        <f aca="false">IF(P642=0,0,(V642+R642)/P642)</f>
        <v>1.14396887159533</v>
      </c>
      <c r="AA642" s="18" t="n">
        <f aca="false">IF(O642=0,0,W642*27/O642)</f>
        <v>7.30155642023346</v>
      </c>
      <c r="AB642" s="18" t="n">
        <f aca="false">IF(O642=0,0,V642*27/O642)</f>
        <v>2.784046692607</v>
      </c>
      <c r="AC642" s="18" t="n">
        <f aca="false">IF(V642=0,0,W642/V642)</f>
        <v>2.62264150943396</v>
      </c>
      <c r="AD642" s="18" t="n">
        <f aca="false">IF(P642=0,0,(13*U642+3*(V642+X642)-2*W642)/P642+INDEX(球季參數!$C$2:$C$4,MATCH($A642,球季參數!$A$2:$A$4,0)))</f>
        <v>3.90879377431907</v>
      </c>
      <c r="AE642" s="11" t="n">
        <f aca="false">IF(P642&gt;=INDEX(球季參數!$F$2:$F$4,MATCH($A642,球季參數!$A$2:$A$4,0)),1,0)</f>
        <v>1</v>
      </c>
    </row>
    <row r="643" customFormat="false" ht="15" hidden="false" customHeight="false" outlineLevel="0" collapsed="false">
      <c r="A643" s="5" t="n">
        <v>2026</v>
      </c>
      <c r="B643" s="7" t="s">
        <v>1695</v>
      </c>
      <c r="C643" s="10" t="str">
        <f aca="false">INDEX(球員主檔!$B$2:$B$749,MATCH($B643,球員主檔!$A$2:$A$749,0))</f>
        <v>Mateo Ostrowski</v>
      </c>
      <c r="D643" s="7" t="s">
        <v>358</v>
      </c>
      <c r="E643" s="10" t="str">
        <f aca="false">INDEX(球隊主檔!$C$2:$C$31,MATCH($D643,球隊主檔!$A$2:$A$31,0))</f>
        <v>多倫多藍鳥</v>
      </c>
      <c r="F643" s="10" t="str">
        <f aca="false">INDEX(球隊主檔!$D$2:$D$31,MATCH($D643,球隊主檔!$A$2:$A$31,0))</f>
        <v>美聯</v>
      </c>
      <c r="G643" s="7" t="s">
        <v>496</v>
      </c>
      <c r="H643" s="11" t="n">
        <f aca="false">INT((DATE($A643,7,1)-INDEX(球員主檔!$G$2:$G$749,MATCH($B643,球員主檔!$A$2:$A$749,0)))/365.25)</f>
        <v>23</v>
      </c>
      <c r="I643" s="12" t="n">
        <v>9</v>
      </c>
      <c r="J643" s="12" t="n">
        <v>8</v>
      </c>
      <c r="K643" s="12" t="n">
        <v>0</v>
      </c>
      <c r="L643" s="12" t="n">
        <v>0</v>
      </c>
      <c r="M643" s="12" t="n">
        <v>27</v>
      </c>
      <c r="N643" s="12" t="n">
        <v>27</v>
      </c>
      <c r="O643" s="12" t="n">
        <v>512</v>
      </c>
      <c r="P643" s="16" t="n">
        <f aca="false">O643/3</f>
        <v>170.666666666667</v>
      </c>
      <c r="Q643" s="17" t="str">
        <f aca="false">INT(O643/3)&amp;"."&amp;MOD(O643,3)</f>
        <v>170.2</v>
      </c>
      <c r="R643" s="12" t="n">
        <v>145</v>
      </c>
      <c r="S643" s="12" t="n">
        <v>99</v>
      </c>
      <c r="T643" s="12" t="n">
        <v>88</v>
      </c>
      <c r="U643" s="12" t="n">
        <v>12</v>
      </c>
      <c r="V643" s="12" t="n">
        <v>47</v>
      </c>
      <c r="W643" s="12" t="n">
        <v>197</v>
      </c>
      <c r="X643" s="12" t="n">
        <v>9</v>
      </c>
      <c r="Y643" s="18" t="n">
        <f aca="false">IF(O643=0,0,T643*27/O643)</f>
        <v>4.640625</v>
      </c>
      <c r="Z643" s="18" t="n">
        <f aca="false">IF(P643=0,0,(V643+R643)/P643)</f>
        <v>1.125</v>
      </c>
      <c r="AA643" s="18" t="n">
        <f aca="false">IF(O643=0,0,W643*27/O643)</f>
        <v>10.388671875</v>
      </c>
      <c r="AB643" s="18" t="n">
        <f aca="false">IF(O643=0,0,V643*27/O643)</f>
        <v>2.478515625</v>
      </c>
      <c r="AC643" s="18" t="n">
        <f aca="false">IF(V643=0,0,W643/V643)</f>
        <v>4.19148936170213</v>
      </c>
      <c r="AD643" s="18" t="n">
        <f aca="false">IF(P643=0,0,(13*U643+3*(V643+X643)-2*W643)/P643+INDEX(球季參數!$C$2:$C$4,MATCH($A643,球季參數!$A$2:$A$4,0)))</f>
        <v>2.66984375</v>
      </c>
      <c r="AE643" s="11" t="n">
        <f aca="false">IF(P643&gt;=INDEX(球季參數!$F$2:$F$4,MATCH($A643,球季參數!$A$2:$A$4,0)),1,0)</f>
        <v>1</v>
      </c>
    </row>
    <row r="644" customFormat="false" ht="15" hidden="false" customHeight="false" outlineLevel="0" collapsed="false">
      <c r="A644" s="5" t="n">
        <v>2026</v>
      </c>
      <c r="B644" s="7" t="s">
        <v>661</v>
      </c>
      <c r="C644" s="10" t="str">
        <f aca="false">INDEX(球員主檔!$B$2:$B$749,MATCH($B644,球員主檔!$A$2:$A$749,0))</f>
        <v>Joaquín Vandermeer</v>
      </c>
      <c r="D644" s="7" t="s">
        <v>358</v>
      </c>
      <c r="E644" s="10" t="str">
        <f aca="false">INDEX(球隊主檔!$C$2:$C$31,MATCH($D644,球隊主檔!$A$2:$A$31,0))</f>
        <v>多倫多藍鳥</v>
      </c>
      <c r="F644" s="10" t="str">
        <f aca="false">INDEX(球隊主檔!$D$2:$D$31,MATCH($D644,球隊主檔!$A$2:$A$31,0))</f>
        <v>美聯</v>
      </c>
      <c r="G644" s="7" t="s">
        <v>496</v>
      </c>
      <c r="H644" s="11" t="n">
        <f aca="false">INT((DATE($A644,7,1)-INDEX(球員主檔!$G$2:$G$749,MATCH($B644,球員主檔!$A$2:$A$749,0)))/365.25)</f>
        <v>26</v>
      </c>
      <c r="I644" s="12" t="n">
        <v>17</v>
      </c>
      <c r="J644" s="12" t="n">
        <v>8</v>
      </c>
      <c r="K644" s="12" t="n">
        <v>0</v>
      </c>
      <c r="L644" s="12" t="n">
        <v>0</v>
      </c>
      <c r="M644" s="12" t="n">
        <v>33</v>
      </c>
      <c r="N644" s="12" t="n">
        <v>33</v>
      </c>
      <c r="O644" s="12" t="n">
        <v>531</v>
      </c>
      <c r="P644" s="16" t="n">
        <f aca="false">O644/3</f>
        <v>177</v>
      </c>
      <c r="Q644" s="17" t="str">
        <f aca="false">INT(O644/3)&amp;"."&amp;MOD(O644,3)</f>
        <v>177.0</v>
      </c>
      <c r="R644" s="12" t="n">
        <v>134</v>
      </c>
      <c r="S644" s="12" t="n">
        <v>62</v>
      </c>
      <c r="T644" s="12" t="n">
        <v>62</v>
      </c>
      <c r="U644" s="12" t="n">
        <v>27</v>
      </c>
      <c r="V644" s="12" t="n">
        <v>57</v>
      </c>
      <c r="W644" s="12" t="n">
        <v>230</v>
      </c>
      <c r="X644" s="12" t="n">
        <v>5</v>
      </c>
      <c r="Y644" s="18" t="n">
        <f aca="false">IF(O644=0,0,T644*27/O644)</f>
        <v>3.15254237288136</v>
      </c>
      <c r="Z644" s="18" t="n">
        <f aca="false">IF(P644=0,0,(V644+R644)/P644)</f>
        <v>1.07909604519774</v>
      </c>
      <c r="AA644" s="18" t="n">
        <f aca="false">IF(O644=0,0,W644*27/O644)</f>
        <v>11.6949152542373</v>
      </c>
      <c r="AB644" s="18" t="n">
        <f aca="false">IF(O644=0,0,V644*27/O644)</f>
        <v>2.89830508474576</v>
      </c>
      <c r="AC644" s="18" t="n">
        <f aca="false">IF(V644=0,0,W644/V644)</f>
        <v>4.03508771929825</v>
      </c>
      <c r="AD644" s="18" t="n">
        <f aca="false">IF(P644=0,0,(13*U644+3*(V644+X644)-2*W644)/P644+INDEX(球季參數!$C$2:$C$4,MATCH($A644,球季參數!$A$2:$A$4,0)))</f>
        <v>3.51502824858757</v>
      </c>
      <c r="AE644" s="11" t="n">
        <f aca="false">IF(P644&gt;=INDEX(球季參數!$F$2:$F$4,MATCH($A644,球季參數!$A$2:$A$4,0)),1,0)</f>
        <v>1</v>
      </c>
    </row>
    <row r="645" customFormat="false" ht="15" hidden="false" customHeight="false" outlineLevel="0" collapsed="false">
      <c r="A645" s="5" t="n">
        <v>2026</v>
      </c>
      <c r="B645" s="7" t="s">
        <v>663</v>
      </c>
      <c r="C645" s="10" t="str">
        <f aca="false">INDEX(球員主檔!$B$2:$B$749,MATCH($B645,球員主檔!$A$2:$A$749,0))</f>
        <v>Niklas Cavanaugh</v>
      </c>
      <c r="D645" s="7" t="s">
        <v>358</v>
      </c>
      <c r="E645" s="10" t="str">
        <f aca="false">INDEX(球隊主檔!$C$2:$C$31,MATCH($D645,球隊主檔!$A$2:$A$31,0))</f>
        <v>多倫多藍鳥</v>
      </c>
      <c r="F645" s="10" t="str">
        <f aca="false">INDEX(球隊主檔!$D$2:$D$31,MATCH($D645,球隊主檔!$A$2:$A$31,0))</f>
        <v>美聯</v>
      </c>
      <c r="G645" s="7" t="s">
        <v>496</v>
      </c>
      <c r="H645" s="11" t="n">
        <f aca="false">INT((DATE($A645,7,1)-INDEX(球員主檔!$G$2:$G$749,MATCH($B645,球員主檔!$A$2:$A$749,0)))/365.25)</f>
        <v>29</v>
      </c>
      <c r="I645" s="12" t="n">
        <v>11</v>
      </c>
      <c r="J645" s="12" t="n">
        <v>6</v>
      </c>
      <c r="K645" s="12" t="n">
        <v>0</v>
      </c>
      <c r="L645" s="12" t="n">
        <v>0</v>
      </c>
      <c r="M645" s="12" t="n">
        <v>31</v>
      </c>
      <c r="N645" s="12" t="n">
        <v>31</v>
      </c>
      <c r="O645" s="12" t="n">
        <v>530</v>
      </c>
      <c r="P645" s="16" t="n">
        <f aca="false">O645/3</f>
        <v>176.666666666667</v>
      </c>
      <c r="Q645" s="17" t="str">
        <f aca="false">INT(O645/3)&amp;"."&amp;MOD(O645,3)</f>
        <v>176.2</v>
      </c>
      <c r="R645" s="12" t="n">
        <v>143</v>
      </c>
      <c r="S645" s="12" t="n">
        <v>77</v>
      </c>
      <c r="T645" s="12" t="n">
        <v>72</v>
      </c>
      <c r="U645" s="12" t="n">
        <v>14</v>
      </c>
      <c r="V645" s="12" t="n">
        <v>73</v>
      </c>
      <c r="W645" s="12" t="n">
        <v>226</v>
      </c>
      <c r="X645" s="12" t="n">
        <v>4</v>
      </c>
      <c r="Y645" s="18" t="n">
        <f aca="false">IF(O645=0,0,T645*27/O645)</f>
        <v>3.66792452830189</v>
      </c>
      <c r="Z645" s="18" t="n">
        <f aca="false">IF(P645=0,0,(V645+R645)/P645)</f>
        <v>1.22264150943396</v>
      </c>
      <c r="AA645" s="18" t="n">
        <f aca="false">IF(O645=0,0,W645*27/O645)</f>
        <v>11.5132075471698</v>
      </c>
      <c r="AB645" s="18" t="n">
        <f aca="false">IF(O645=0,0,V645*27/O645)</f>
        <v>3.7188679245283</v>
      </c>
      <c r="AC645" s="18" t="n">
        <f aca="false">IF(V645=0,0,W645/V645)</f>
        <v>3.0958904109589</v>
      </c>
      <c r="AD645" s="18" t="n">
        <f aca="false">IF(P645=0,0,(13*U645+3*(V645+X645)-2*W645)/P645+INDEX(球季參數!$C$2:$C$4,MATCH($A645,球季參數!$A$2:$A$4,0)))</f>
        <v>2.85924528301887</v>
      </c>
      <c r="AE645" s="11" t="n">
        <f aca="false">IF(P645&gt;=INDEX(球季參數!$F$2:$F$4,MATCH($A645,球季參數!$A$2:$A$4,0)),1,0)</f>
        <v>1</v>
      </c>
    </row>
    <row r="646" customFormat="false" ht="15" hidden="false" customHeight="false" outlineLevel="0" collapsed="false">
      <c r="A646" s="5" t="n">
        <v>2026</v>
      </c>
      <c r="B646" s="7" t="s">
        <v>665</v>
      </c>
      <c r="C646" s="10" t="str">
        <f aca="false">INDEX(球員主檔!$B$2:$B$749,MATCH($B646,球員主檔!$A$2:$A$749,0))</f>
        <v>Ignacio Rasmussen</v>
      </c>
      <c r="D646" s="7" t="s">
        <v>358</v>
      </c>
      <c r="E646" s="10" t="str">
        <f aca="false">INDEX(球隊主檔!$C$2:$C$31,MATCH($D646,球隊主檔!$A$2:$A$31,0))</f>
        <v>多倫多藍鳥</v>
      </c>
      <c r="F646" s="10" t="str">
        <f aca="false">INDEX(球隊主檔!$D$2:$D$31,MATCH($D646,球隊主檔!$A$2:$A$31,0))</f>
        <v>美聯</v>
      </c>
      <c r="G646" s="7" t="s">
        <v>496</v>
      </c>
      <c r="H646" s="11" t="n">
        <f aca="false">INT((DATE($A646,7,1)-INDEX(球員主檔!$G$2:$G$749,MATCH($B646,球員主檔!$A$2:$A$749,0)))/365.25)</f>
        <v>27</v>
      </c>
      <c r="I646" s="12" t="n">
        <v>13</v>
      </c>
      <c r="J646" s="12" t="n">
        <v>4</v>
      </c>
      <c r="K646" s="12" t="n">
        <v>0</v>
      </c>
      <c r="L646" s="12" t="n">
        <v>0</v>
      </c>
      <c r="M646" s="12" t="n">
        <v>22</v>
      </c>
      <c r="N646" s="12" t="n">
        <v>22</v>
      </c>
      <c r="O646" s="12" t="n">
        <v>401</v>
      </c>
      <c r="P646" s="16" t="n">
        <f aca="false">O646/3</f>
        <v>133.666666666667</v>
      </c>
      <c r="Q646" s="17" t="str">
        <f aca="false">INT(O646/3)&amp;"."&amp;MOD(O646,3)</f>
        <v>133.2</v>
      </c>
      <c r="R646" s="12" t="n">
        <v>99</v>
      </c>
      <c r="S646" s="12" t="n">
        <v>51</v>
      </c>
      <c r="T646" s="12" t="n">
        <v>47</v>
      </c>
      <c r="U646" s="12" t="n">
        <v>19</v>
      </c>
      <c r="V646" s="12" t="n">
        <v>36</v>
      </c>
      <c r="W646" s="12" t="n">
        <v>124</v>
      </c>
      <c r="X646" s="12" t="n">
        <v>5</v>
      </c>
      <c r="Y646" s="18" t="n">
        <f aca="false">IF(O646=0,0,T646*27/O646)</f>
        <v>3.1645885286783</v>
      </c>
      <c r="Z646" s="18" t="n">
        <f aca="false">IF(P646=0,0,(V646+R646)/P646)</f>
        <v>1.00997506234414</v>
      </c>
      <c r="AA646" s="18" t="n">
        <f aca="false">IF(O646=0,0,W646*27/O646)</f>
        <v>8.34912718204489</v>
      </c>
      <c r="AB646" s="18" t="n">
        <f aca="false">IF(O646=0,0,V646*27/O646)</f>
        <v>2.42394014962594</v>
      </c>
      <c r="AC646" s="18" t="n">
        <f aca="false">IF(V646=0,0,W646/V646)</f>
        <v>3.44444444444444</v>
      </c>
      <c r="AD646" s="18" t="n">
        <f aca="false">IF(P646=0,0,(13*U646+3*(V646+X646)-2*W646)/P646+INDEX(球季參數!$C$2:$C$4,MATCH($A646,球季參數!$A$2:$A$4,0)))</f>
        <v>3.99271820448878</v>
      </c>
      <c r="AE646" s="11" t="n">
        <f aca="false">IF(P646&gt;=INDEX(球季參數!$F$2:$F$4,MATCH($A646,球季參數!$A$2:$A$4,0)),1,0)</f>
        <v>0</v>
      </c>
    </row>
    <row r="647" customFormat="false" ht="15" hidden="false" customHeight="false" outlineLevel="0" collapsed="false">
      <c r="A647" s="5" t="n">
        <v>2026</v>
      </c>
      <c r="B647" s="7" t="s">
        <v>1391</v>
      </c>
      <c r="C647" s="10" t="str">
        <f aca="false">INDEX(球員主檔!$B$2:$B$749,MATCH($B647,球員主檔!$A$2:$A$749,0))</f>
        <v>Barrett Rasmussen</v>
      </c>
      <c r="D647" s="7" t="s">
        <v>358</v>
      </c>
      <c r="E647" s="10" t="str">
        <f aca="false">INDEX(球隊主檔!$C$2:$C$31,MATCH($D647,球隊主檔!$A$2:$A$31,0))</f>
        <v>多倫多藍鳥</v>
      </c>
      <c r="F647" s="10" t="str">
        <f aca="false">INDEX(球隊主檔!$D$2:$D$31,MATCH($D647,球隊主檔!$A$2:$A$31,0))</f>
        <v>美聯</v>
      </c>
      <c r="G647" s="7" t="s">
        <v>507</v>
      </c>
      <c r="H647" s="11" t="n">
        <f aca="false">INT((DATE($A647,7,1)-INDEX(球員主檔!$G$2:$G$749,MATCH($B647,球員主檔!$A$2:$A$749,0)))/365.25)</f>
        <v>26</v>
      </c>
      <c r="I647" s="12" t="n">
        <v>1</v>
      </c>
      <c r="J647" s="12" t="n">
        <v>5</v>
      </c>
      <c r="K647" s="12" t="n">
        <v>21</v>
      </c>
      <c r="L647" s="12" t="n">
        <v>2</v>
      </c>
      <c r="M647" s="12" t="n">
        <v>49</v>
      </c>
      <c r="N647" s="12" t="n">
        <v>0</v>
      </c>
      <c r="O647" s="12" t="n">
        <v>151</v>
      </c>
      <c r="P647" s="16" t="n">
        <f aca="false">O647/3</f>
        <v>50.3333333333333</v>
      </c>
      <c r="Q647" s="17" t="str">
        <f aca="false">INT(O647/3)&amp;"."&amp;MOD(O647,3)</f>
        <v>50.1</v>
      </c>
      <c r="R647" s="12" t="n">
        <v>40</v>
      </c>
      <c r="S647" s="12" t="n">
        <v>22</v>
      </c>
      <c r="T647" s="12" t="n">
        <v>20</v>
      </c>
      <c r="U647" s="12" t="n">
        <v>9</v>
      </c>
      <c r="V647" s="12" t="n">
        <v>14</v>
      </c>
      <c r="W647" s="12" t="n">
        <v>61</v>
      </c>
      <c r="X647" s="12" t="n">
        <v>2</v>
      </c>
      <c r="Y647" s="18" t="n">
        <f aca="false">IF(O647=0,0,T647*27/O647)</f>
        <v>3.57615894039735</v>
      </c>
      <c r="Z647" s="18" t="n">
        <f aca="false">IF(P647=0,0,(V647+R647)/P647)</f>
        <v>1.07284768211921</v>
      </c>
      <c r="AA647" s="18" t="n">
        <f aca="false">IF(O647=0,0,W647*27/O647)</f>
        <v>10.9072847682119</v>
      </c>
      <c r="AB647" s="18" t="n">
        <f aca="false">IF(O647=0,0,V647*27/O647)</f>
        <v>2.50331125827815</v>
      </c>
      <c r="AC647" s="18" t="n">
        <f aca="false">IF(V647=0,0,W647/V647)</f>
        <v>4.35714285714286</v>
      </c>
      <c r="AD647" s="18" t="n">
        <f aca="false">IF(P647=0,0,(13*U647+3*(V647+X647)-2*W647)/P647+INDEX(球季參數!$C$2:$C$4,MATCH($A647,球季參數!$A$2:$A$4,0)))</f>
        <v>3.93430463576159</v>
      </c>
      <c r="AE647" s="11" t="n">
        <f aca="false">IF(P647&gt;=INDEX(球季參數!$F$2:$F$4,MATCH($A647,球季參數!$A$2:$A$4,0)),1,0)</f>
        <v>0</v>
      </c>
    </row>
    <row r="648" customFormat="false" ht="15" hidden="false" customHeight="false" outlineLevel="0" collapsed="false">
      <c r="A648" s="5" t="n">
        <v>2026</v>
      </c>
      <c r="B648" s="7" t="s">
        <v>669</v>
      </c>
      <c r="C648" s="10" t="str">
        <f aca="false">INDEX(球員主檔!$B$2:$B$749,MATCH($B648,球員主檔!$A$2:$A$749,0))</f>
        <v>Emilio Villalobos</v>
      </c>
      <c r="D648" s="7" t="s">
        <v>358</v>
      </c>
      <c r="E648" s="10" t="str">
        <f aca="false">INDEX(球隊主檔!$C$2:$C$31,MATCH($D648,球隊主檔!$A$2:$A$31,0))</f>
        <v>多倫多藍鳥</v>
      </c>
      <c r="F648" s="10" t="str">
        <f aca="false">INDEX(球隊主檔!$D$2:$D$31,MATCH($D648,球隊主檔!$A$2:$A$31,0))</f>
        <v>美聯</v>
      </c>
      <c r="G648" s="7" t="s">
        <v>507</v>
      </c>
      <c r="H648" s="11" t="n">
        <f aca="false">INT((DATE($A648,7,1)-INDEX(球員主檔!$G$2:$G$749,MATCH($B648,球員主檔!$A$2:$A$749,0)))/365.25)</f>
        <v>33</v>
      </c>
      <c r="I648" s="12" t="n">
        <v>8</v>
      </c>
      <c r="J648" s="12" t="n">
        <v>6</v>
      </c>
      <c r="K648" s="12" t="n">
        <v>6</v>
      </c>
      <c r="L648" s="12" t="n">
        <v>32</v>
      </c>
      <c r="M648" s="12" t="n">
        <v>62</v>
      </c>
      <c r="N648" s="12" t="n">
        <v>0</v>
      </c>
      <c r="O648" s="12" t="n">
        <v>167</v>
      </c>
      <c r="P648" s="16" t="n">
        <f aca="false">O648/3</f>
        <v>55.6666666666667</v>
      </c>
      <c r="Q648" s="17" t="str">
        <f aca="false">INT(O648/3)&amp;"."&amp;MOD(O648,3)</f>
        <v>55.2</v>
      </c>
      <c r="R648" s="12" t="n">
        <v>51</v>
      </c>
      <c r="S648" s="12" t="n">
        <v>27</v>
      </c>
      <c r="T648" s="12" t="n">
        <v>27</v>
      </c>
      <c r="U648" s="12" t="n">
        <v>6</v>
      </c>
      <c r="V648" s="12" t="n">
        <v>16</v>
      </c>
      <c r="W648" s="12" t="n">
        <v>79</v>
      </c>
      <c r="X648" s="12" t="n">
        <v>3</v>
      </c>
      <c r="Y648" s="18" t="n">
        <f aca="false">IF(O648=0,0,T648*27/O648)</f>
        <v>4.36526946107784</v>
      </c>
      <c r="Z648" s="18" t="n">
        <f aca="false">IF(P648=0,0,(V648+R648)/P648)</f>
        <v>1.20359281437126</v>
      </c>
      <c r="AA648" s="18" t="n">
        <f aca="false">IF(O648=0,0,W648*27/O648)</f>
        <v>12.7724550898204</v>
      </c>
      <c r="AB648" s="18" t="n">
        <f aca="false">IF(O648=0,0,V648*27/O648)</f>
        <v>2.58682634730539</v>
      </c>
      <c r="AC648" s="18" t="n">
        <f aca="false">IF(V648=0,0,W648/V648)</f>
        <v>4.9375</v>
      </c>
      <c r="AD648" s="18" t="n">
        <f aca="false">IF(P648=0,0,(13*U648+3*(V648+X648)-2*W648)/P648+INDEX(球季參數!$C$2:$C$4,MATCH($A648,球季參數!$A$2:$A$4,0)))</f>
        <v>2.66682634730539</v>
      </c>
      <c r="AE648" s="11" t="n">
        <f aca="false">IF(P648&gt;=INDEX(球季參數!$F$2:$F$4,MATCH($A648,球季參數!$A$2:$A$4,0)),1,0)</f>
        <v>0</v>
      </c>
    </row>
    <row r="649" customFormat="false" ht="15" hidden="false" customHeight="false" outlineLevel="0" collapsed="false">
      <c r="A649" s="5" t="n">
        <v>2026</v>
      </c>
      <c r="B649" s="7" t="s">
        <v>671</v>
      </c>
      <c r="C649" s="10" t="str">
        <f aca="false">INDEX(球員主檔!$B$2:$B$749,MATCH($B649,球員主檔!$A$2:$A$749,0))</f>
        <v>Joaquín Wainwright</v>
      </c>
      <c r="D649" s="7" t="s">
        <v>358</v>
      </c>
      <c r="E649" s="10" t="str">
        <f aca="false">INDEX(球隊主檔!$C$2:$C$31,MATCH($D649,球隊主檔!$A$2:$A$31,0))</f>
        <v>多倫多藍鳥</v>
      </c>
      <c r="F649" s="10" t="str">
        <f aca="false">INDEX(球隊主檔!$D$2:$D$31,MATCH($D649,球隊主檔!$A$2:$A$31,0))</f>
        <v>美聯</v>
      </c>
      <c r="G649" s="7" t="s">
        <v>507</v>
      </c>
      <c r="H649" s="11" t="n">
        <f aca="false">INT((DATE($A649,7,1)-INDEX(球員主檔!$G$2:$G$749,MATCH($B649,球員主檔!$A$2:$A$749,0)))/365.25)</f>
        <v>29</v>
      </c>
      <c r="I649" s="12" t="n">
        <v>2</v>
      </c>
      <c r="J649" s="12" t="n">
        <v>5</v>
      </c>
      <c r="K649" s="12" t="n">
        <v>3</v>
      </c>
      <c r="L649" s="12" t="n">
        <v>25</v>
      </c>
      <c r="M649" s="12" t="n">
        <v>68</v>
      </c>
      <c r="N649" s="12" t="n">
        <v>0</v>
      </c>
      <c r="O649" s="12" t="n">
        <v>221</v>
      </c>
      <c r="P649" s="16" t="n">
        <f aca="false">O649/3</f>
        <v>73.6666666666667</v>
      </c>
      <c r="Q649" s="17" t="str">
        <f aca="false">INT(O649/3)&amp;"."&amp;MOD(O649,3)</f>
        <v>73.2</v>
      </c>
      <c r="R649" s="12" t="n">
        <v>58</v>
      </c>
      <c r="S649" s="12" t="n">
        <v>35</v>
      </c>
      <c r="T649" s="12" t="n">
        <v>31</v>
      </c>
      <c r="U649" s="12" t="n">
        <v>9</v>
      </c>
      <c r="V649" s="12" t="n">
        <v>31</v>
      </c>
      <c r="W649" s="12" t="n">
        <v>85</v>
      </c>
      <c r="X649" s="12" t="n">
        <v>4</v>
      </c>
      <c r="Y649" s="18" t="n">
        <f aca="false">IF(O649=0,0,T649*27/O649)</f>
        <v>3.78733031674208</v>
      </c>
      <c r="Z649" s="18" t="n">
        <f aca="false">IF(P649=0,0,(V649+R649)/P649)</f>
        <v>1.20814479638009</v>
      </c>
      <c r="AA649" s="18" t="n">
        <f aca="false">IF(O649=0,0,W649*27/O649)</f>
        <v>10.3846153846154</v>
      </c>
      <c r="AB649" s="18" t="n">
        <f aca="false">IF(O649=0,0,V649*27/O649)</f>
        <v>3.78733031674208</v>
      </c>
      <c r="AC649" s="18" t="n">
        <f aca="false">IF(V649=0,0,W649/V649)</f>
        <v>2.74193548387097</v>
      </c>
      <c r="AD649" s="18" t="n">
        <f aca="false">IF(P649=0,0,(13*U649+3*(V649+X649)-2*W649)/P649+INDEX(球季參數!$C$2:$C$4,MATCH($A649,球季參數!$A$2:$A$4,0)))</f>
        <v>3.78588235294118</v>
      </c>
      <c r="AE649" s="11" t="n">
        <f aca="false">IF(P649&gt;=INDEX(球季參數!$F$2:$F$4,MATCH($A649,球季參數!$A$2:$A$4,0)),1,0)</f>
        <v>0</v>
      </c>
    </row>
    <row r="650" customFormat="false" ht="15" hidden="false" customHeight="false" outlineLevel="0" collapsed="false">
      <c r="A650" s="5" t="n">
        <v>2026</v>
      </c>
      <c r="B650" s="7" t="s">
        <v>673</v>
      </c>
      <c r="C650" s="10" t="str">
        <f aca="false">INDEX(球員主檔!$B$2:$B$749,MATCH($B650,球員主檔!$A$2:$A$749,0))</f>
        <v>Nolan Yarbrough</v>
      </c>
      <c r="D650" s="7" t="s">
        <v>358</v>
      </c>
      <c r="E650" s="10" t="str">
        <f aca="false">INDEX(球隊主檔!$C$2:$C$31,MATCH($D650,球隊主檔!$A$2:$A$31,0))</f>
        <v>多倫多藍鳥</v>
      </c>
      <c r="F650" s="10" t="str">
        <f aca="false">INDEX(球隊主檔!$D$2:$D$31,MATCH($D650,球隊主檔!$A$2:$A$31,0))</f>
        <v>美聯</v>
      </c>
      <c r="G650" s="7" t="s">
        <v>507</v>
      </c>
      <c r="H650" s="11" t="n">
        <f aca="false">INT((DATE($A650,7,1)-INDEX(球員主檔!$G$2:$G$749,MATCH($B650,球員主檔!$A$2:$A$749,0)))/365.25)</f>
        <v>30</v>
      </c>
      <c r="I650" s="12" t="n">
        <v>9</v>
      </c>
      <c r="J650" s="12" t="n">
        <v>7</v>
      </c>
      <c r="K650" s="12" t="n">
        <v>0</v>
      </c>
      <c r="L650" s="12" t="n">
        <v>23</v>
      </c>
      <c r="M650" s="12" t="n">
        <v>72</v>
      </c>
      <c r="N650" s="12" t="n">
        <v>0</v>
      </c>
      <c r="O650" s="12" t="n">
        <v>228</v>
      </c>
      <c r="P650" s="16" t="n">
        <f aca="false">O650/3</f>
        <v>76</v>
      </c>
      <c r="Q650" s="17" t="str">
        <f aca="false">INT(O650/3)&amp;"."&amp;MOD(O650,3)</f>
        <v>76.0</v>
      </c>
      <c r="R650" s="12" t="n">
        <v>65</v>
      </c>
      <c r="S650" s="12" t="n">
        <v>42</v>
      </c>
      <c r="T650" s="12" t="n">
        <v>40</v>
      </c>
      <c r="U650" s="12" t="n">
        <v>9</v>
      </c>
      <c r="V650" s="12" t="n">
        <v>21</v>
      </c>
      <c r="W650" s="12" t="n">
        <v>58</v>
      </c>
      <c r="X650" s="12" t="n">
        <v>2</v>
      </c>
      <c r="Y650" s="18" t="n">
        <f aca="false">IF(O650=0,0,T650*27/O650)</f>
        <v>4.73684210526316</v>
      </c>
      <c r="Z650" s="18" t="n">
        <f aca="false">IF(P650=0,0,(V650+R650)/P650)</f>
        <v>1.13157894736842</v>
      </c>
      <c r="AA650" s="18" t="n">
        <f aca="false">IF(O650=0,0,W650*27/O650)</f>
        <v>6.86842105263158</v>
      </c>
      <c r="AB650" s="18" t="n">
        <f aca="false">IF(O650=0,0,V650*27/O650)</f>
        <v>2.48684210526316</v>
      </c>
      <c r="AC650" s="18" t="n">
        <f aca="false">IF(V650=0,0,W650/V650)</f>
        <v>2.76190476190476</v>
      </c>
      <c r="AD650" s="18" t="n">
        <f aca="false">IF(P650=0,0,(13*U650+3*(V650+X650)-2*W650)/P650+INDEX(球季參數!$C$2:$C$4,MATCH($A650,球季參數!$A$2:$A$4,0)))</f>
        <v>4.00105263157895</v>
      </c>
      <c r="AE650" s="11" t="n">
        <f aca="false">IF(P650&gt;=INDEX(球季參數!$F$2:$F$4,MATCH($A650,球季參數!$A$2:$A$4,0)),1,0)</f>
        <v>0</v>
      </c>
    </row>
    <row r="651" customFormat="false" ht="15" hidden="false" customHeight="false" outlineLevel="0" collapsed="false">
      <c r="A651" s="5" t="n">
        <v>2026</v>
      </c>
      <c r="B651" s="7" t="s">
        <v>675</v>
      </c>
      <c r="C651" s="10" t="str">
        <f aca="false">INDEX(球員主檔!$B$2:$B$749,MATCH($B651,球員主檔!$A$2:$A$749,0))</f>
        <v>Mateo Jaramillo</v>
      </c>
      <c r="D651" s="7" t="s">
        <v>358</v>
      </c>
      <c r="E651" s="10" t="str">
        <f aca="false">INDEX(球隊主檔!$C$2:$C$31,MATCH($D651,球隊主檔!$A$2:$A$31,0))</f>
        <v>多倫多藍鳥</v>
      </c>
      <c r="F651" s="10" t="str">
        <f aca="false">INDEX(球隊主檔!$D$2:$D$31,MATCH($D651,球隊主檔!$A$2:$A$31,0))</f>
        <v>美聯</v>
      </c>
      <c r="G651" s="7" t="s">
        <v>507</v>
      </c>
      <c r="H651" s="11" t="n">
        <f aca="false">INT((DATE($A651,7,1)-INDEX(球員主檔!$G$2:$G$749,MATCH($B651,球員主檔!$A$2:$A$749,0)))/365.25)</f>
        <v>31</v>
      </c>
      <c r="I651" s="12" t="n">
        <v>3</v>
      </c>
      <c r="J651" s="12" t="n">
        <v>3</v>
      </c>
      <c r="K651" s="12" t="n">
        <v>3</v>
      </c>
      <c r="L651" s="12" t="n">
        <v>2</v>
      </c>
      <c r="M651" s="12" t="n">
        <v>58</v>
      </c>
      <c r="N651" s="12" t="n">
        <v>0</v>
      </c>
      <c r="O651" s="12" t="n">
        <v>180</v>
      </c>
      <c r="P651" s="16" t="n">
        <f aca="false">O651/3</f>
        <v>60</v>
      </c>
      <c r="Q651" s="17" t="str">
        <f aca="false">INT(O651/3)&amp;"."&amp;MOD(O651,3)</f>
        <v>60.0</v>
      </c>
      <c r="R651" s="12" t="n">
        <v>50</v>
      </c>
      <c r="S651" s="12" t="n">
        <v>28</v>
      </c>
      <c r="T651" s="12" t="n">
        <v>28</v>
      </c>
      <c r="U651" s="12" t="n">
        <v>10</v>
      </c>
      <c r="V651" s="12" t="n">
        <v>20</v>
      </c>
      <c r="W651" s="12" t="n">
        <v>66</v>
      </c>
      <c r="X651" s="12" t="n">
        <v>1</v>
      </c>
      <c r="Y651" s="18" t="n">
        <f aca="false">IF(O651=0,0,T651*27/O651)</f>
        <v>4.2</v>
      </c>
      <c r="Z651" s="18" t="n">
        <f aca="false">IF(P651=0,0,(V651+R651)/P651)</f>
        <v>1.16666666666667</v>
      </c>
      <c r="AA651" s="18" t="n">
        <f aca="false">IF(O651=0,0,W651*27/O651)</f>
        <v>9.9</v>
      </c>
      <c r="AB651" s="18" t="n">
        <f aca="false">IF(O651=0,0,V651*27/O651)</f>
        <v>3</v>
      </c>
      <c r="AC651" s="18" t="n">
        <f aca="false">IF(V651=0,0,W651/V651)</f>
        <v>3.3</v>
      </c>
      <c r="AD651" s="18" t="n">
        <f aca="false">IF(P651=0,0,(13*U651+3*(V651+X651)-2*W651)/P651+INDEX(球季參數!$C$2:$C$4,MATCH($A651,球季參數!$A$2:$A$4,0)))</f>
        <v>4.09666666666667</v>
      </c>
      <c r="AE651" s="11" t="n">
        <f aca="false">IF(P651&gt;=INDEX(球季參數!$F$2:$F$4,MATCH($A651,球季參數!$A$2:$A$4,0)),1,0)</f>
        <v>0</v>
      </c>
    </row>
    <row r="652" customFormat="false" ht="15" hidden="false" customHeight="false" outlineLevel="0" collapsed="false">
      <c r="A652" s="5" t="n">
        <v>2026</v>
      </c>
      <c r="B652" s="7" t="s">
        <v>1843</v>
      </c>
      <c r="C652" s="10" t="str">
        <f aca="false">INDEX(球員主檔!$B$2:$B$749,MATCH($B652,球員主檔!$A$2:$A$749,0))</f>
        <v>Emilio Ashworth</v>
      </c>
      <c r="D652" s="7" t="s">
        <v>362</v>
      </c>
      <c r="E652" s="10" t="str">
        <f aca="false">INDEX(球隊主檔!$C$2:$C$31,MATCH($D652,球隊主檔!$A$2:$A$31,0))</f>
        <v>芝加哥白襪</v>
      </c>
      <c r="F652" s="10" t="str">
        <f aca="false">INDEX(球隊主檔!$D$2:$D$31,MATCH($D652,球隊主檔!$A$2:$A$31,0))</f>
        <v>美聯</v>
      </c>
      <c r="G652" s="7" t="s">
        <v>496</v>
      </c>
      <c r="H652" s="11" t="n">
        <f aca="false">INT((DATE($A652,7,1)-INDEX(球員主檔!$G$2:$G$749,MATCH($B652,球員主檔!$A$2:$A$749,0)))/365.25)</f>
        <v>23</v>
      </c>
      <c r="I652" s="12" t="n">
        <v>11</v>
      </c>
      <c r="J652" s="12" t="n">
        <v>9</v>
      </c>
      <c r="K652" s="12" t="n">
        <v>0</v>
      </c>
      <c r="L652" s="12" t="n">
        <v>0</v>
      </c>
      <c r="M652" s="12" t="n">
        <v>33</v>
      </c>
      <c r="N652" s="12" t="n">
        <v>33</v>
      </c>
      <c r="O652" s="12" t="n">
        <v>595</v>
      </c>
      <c r="P652" s="16" t="n">
        <f aca="false">O652/3</f>
        <v>198.333333333333</v>
      </c>
      <c r="Q652" s="17" t="str">
        <f aca="false">INT(O652/3)&amp;"."&amp;MOD(O652,3)</f>
        <v>198.1</v>
      </c>
      <c r="R652" s="12" t="n">
        <v>172</v>
      </c>
      <c r="S652" s="12" t="n">
        <v>105</v>
      </c>
      <c r="T652" s="12" t="n">
        <v>99</v>
      </c>
      <c r="U652" s="12" t="n">
        <v>32</v>
      </c>
      <c r="V652" s="12" t="n">
        <v>100</v>
      </c>
      <c r="W652" s="12" t="n">
        <v>225</v>
      </c>
      <c r="X652" s="12" t="n">
        <v>7</v>
      </c>
      <c r="Y652" s="18" t="n">
        <f aca="false">IF(O652=0,0,T652*27/O652)</f>
        <v>4.49243697478992</v>
      </c>
      <c r="Z652" s="18" t="n">
        <f aca="false">IF(P652=0,0,(V652+R652)/P652)</f>
        <v>1.37142857142857</v>
      </c>
      <c r="AA652" s="18" t="n">
        <f aca="false">IF(O652=0,0,W652*27/O652)</f>
        <v>10.2100840336134</v>
      </c>
      <c r="AB652" s="18" t="n">
        <f aca="false">IF(O652=0,0,V652*27/O652)</f>
        <v>4.53781512605042</v>
      </c>
      <c r="AC652" s="18" t="n">
        <f aca="false">IF(V652=0,0,W652/V652)</f>
        <v>2.25</v>
      </c>
      <c r="AD652" s="18" t="n">
        <f aca="false">IF(P652=0,0,(13*U652+3*(V652+X652)-2*W652)/P652+INDEX(球季參數!$C$2:$C$4,MATCH($A652,球季參數!$A$2:$A$4,0)))</f>
        <v>4.52705882352941</v>
      </c>
      <c r="AE652" s="11" t="n">
        <f aca="false">IF(P652&gt;=INDEX(球季參數!$F$2:$F$4,MATCH($A652,球季參數!$A$2:$A$4,0)),1,0)</f>
        <v>1</v>
      </c>
    </row>
    <row r="653" customFormat="false" ht="15" hidden="false" customHeight="false" outlineLevel="0" collapsed="false">
      <c r="A653" s="5" t="n">
        <v>2026</v>
      </c>
      <c r="B653" s="7" t="s">
        <v>699</v>
      </c>
      <c r="C653" s="10" t="str">
        <f aca="false">INDEX(球員主檔!$B$2:$B$749,MATCH($B653,球員主檔!$A$2:$A$749,0))</f>
        <v>Jedidiah Haverford</v>
      </c>
      <c r="D653" s="7" t="s">
        <v>362</v>
      </c>
      <c r="E653" s="10" t="str">
        <f aca="false">INDEX(球隊主檔!$C$2:$C$31,MATCH($D653,球隊主檔!$A$2:$A$31,0))</f>
        <v>芝加哥白襪</v>
      </c>
      <c r="F653" s="10" t="str">
        <f aca="false">INDEX(球隊主檔!$D$2:$D$31,MATCH($D653,球隊主檔!$A$2:$A$31,0))</f>
        <v>美聯</v>
      </c>
      <c r="G653" s="7" t="s">
        <v>496</v>
      </c>
      <c r="H653" s="11" t="n">
        <f aca="false">INT((DATE($A653,7,1)-INDEX(球員主檔!$G$2:$G$749,MATCH($B653,球員主檔!$A$2:$A$749,0)))/365.25)</f>
        <v>31</v>
      </c>
      <c r="I653" s="12" t="n">
        <v>14</v>
      </c>
      <c r="J653" s="12" t="n">
        <v>4</v>
      </c>
      <c r="K653" s="12" t="n">
        <v>0</v>
      </c>
      <c r="L653" s="12" t="n">
        <v>0</v>
      </c>
      <c r="M653" s="12" t="n">
        <v>30</v>
      </c>
      <c r="N653" s="12" t="n">
        <v>30</v>
      </c>
      <c r="O653" s="12" t="n">
        <v>472</v>
      </c>
      <c r="P653" s="16" t="n">
        <f aca="false">O653/3</f>
        <v>157.333333333333</v>
      </c>
      <c r="Q653" s="17" t="str">
        <f aca="false">INT(O653/3)&amp;"."&amp;MOD(O653,3)</f>
        <v>157.1</v>
      </c>
      <c r="R653" s="12" t="n">
        <v>123</v>
      </c>
      <c r="S653" s="12" t="n">
        <v>54</v>
      </c>
      <c r="T653" s="12" t="n">
        <v>49</v>
      </c>
      <c r="U653" s="12" t="n">
        <v>28</v>
      </c>
      <c r="V653" s="12" t="n">
        <v>40</v>
      </c>
      <c r="W653" s="12" t="n">
        <v>168</v>
      </c>
      <c r="X653" s="12" t="n">
        <v>6</v>
      </c>
      <c r="Y653" s="18" t="n">
        <f aca="false">IF(O653=0,0,T653*27/O653)</f>
        <v>2.80296610169492</v>
      </c>
      <c r="Z653" s="18" t="n">
        <f aca="false">IF(P653=0,0,(V653+R653)/P653)</f>
        <v>1.03601694915254</v>
      </c>
      <c r="AA653" s="18" t="n">
        <f aca="false">IF(O653=0,0,W653*27/O653)</f>
        <v>9.61016949152542</v>
      </c>
      <c r="AB653" s="18" t="n">
        <f aca="false">IF(O653=0,0,V653*27/O653)</f>
        <v>2.28813559322034</v>
      </c>
      <c r="AC653" s="18" t="n">
        <f aca="false">IF(V653=0,0,W653/V653)</f>
        <v>4.2</v>
      </c>
      <c r="AD653" s="18" t="n">
        <f aca="false">IF(P653=0,0,(13*U653+3*(V653+X653)-2*W653)/P653+INDEX(球季參數!$C$2:$C$4,MATCH($A653,球季參數!$A$2:$A$4,0)))</f>
        <v>4.13508474576271</v>
      </c>
      <c r="AE653" s="11" t="n">
        <f aca="false">IF(P653&gt;=INDEX(球季參數!$F$2:$F$4,MATCH($A653,球季參數!$A$2:$A$4,0)),1,0)</f>
        <v>0</v>
      </c>
    </row>
    <row r="654" customFormat="false" ht="15" hidden="false" customHeight="false" outlineLevel="0" collapsed="false">
      <c r="A654" s="5" t="n">
        <v>2026</v>
      </c>
      <c r="B654" s="7" t="s">
        <v>701</v>
      </c>
      <c r="C654" s="10" t="str">
        <f aca="false">INDEX(球員主檔!$B$2:$B$749,MATCH($B654,球員主檔!$A$2:$A$749,0))</f>
        <v>Jedidiah Prendergast</v>
      </c>
      <c r="D654" s="7" t="s">
        <v>362</v>
      </c>
      <c r="E654" s="10" t="str">
        <f aca="false">INDEX(球隊主檔!$C$2:$C$31,MATCH($D654,球隊主檔!$A$2:$A$31,0))</f>
        <v>芝加哥白襪</v>
      </c>
      <c r="F654" s="10" t="str">
        <f aca="false">INDEX(球隊主檔!$D$2:$D$31,MATCH($D654,球隊主檔!$A$2:$A$31,0))</f>
        <v>美聯</v>
      </c>
      <c r="G654" s="7" t="s">
        <v>496</v>
      </c>
      <c r="H654" s="11" t="n">
        <f aca="false">INT((DATE($A654,7,1)-INDEX(球員主檔!$G$2:$G$749,MATCH($B654,球員主檔!$A$2:$A$749,0)))/365.25)</f>
        <v>30</v>
      </c>
      <c r="I654" s="12" t="n">
        <v>8</v>
      </c>
      <c r="J654" s="12" t="n">
        <v>7</v>
      </c>
      <c r="K654" s="12" t="n">
        <v>0</v>
      </c>
      <c r="L654" s="12" t="n">
        <v>0</v>
      </c>
      <c r="M654" s="12" t="n">
        <v>21</v>
      </c>
      <c r="N654" s="12" t="n">
        <v>21</v>
      </c>
      <c r="O654" s="12" t="n">
        <v>332</v>
      </c>
      <c r="P654" s="16" t="n">
        <f aca="false">O654/3</f>
        <v>110.666666666667</v>
      </c>
      <c r="Q654" s="17" t="str">
        <f aca="false">INT(O654/3)&amp;"."&amp;MOD(O654,3)</f>
        <v>110.2</v>
      </c>
      <c r="R654" s="12" t="n">
        <v>103</v>
      </c>
      <c r="S654" s="12" t="n">
        <v>73</v>
      </c>
      <c r="T654" s="12" t="n">
        <v>65</v>
      </c>
      <c r="U654" s="12" t="n">
        <v>13</v>
      </c>
      <c r="V654" s="12" t="n">
        <v>20</v>
      </c>
      <c r="W654" s="12" t="n">
        <v>116</v>
      </c>
      <c r="X654" s="12" t="n">
        <v>5</v>
      </c>
      <c r="Y654" s="18" t="n">
        <f aca="false">IF(O654=0,0,T654*27/O654)</f>
        <v>5.28614457831325</v>
      </c>
      <c r="Z654" s="18" t="n">
        <f aca="false">IF(P654=0,0,(V654+R654)/P654)</f>
        <v>1.11144578313253</v>
      </c>
      <c r="AA654" s="18" t="n">
        <f aca="false">IF(O654=0,0,W654*27/O654)</f>
        <v>9.43373493975904</v>
      </c>
      <c r="AB654" s="18" t="n">
        <f aca="false">IF(O654=0,0,V654*27/O654)</f>
        <v>1.62650602409639</v>
      </c>
      <c r="AC654" s="18" t="n">
        <f aca="false">IF(V654=0,0,W654/V654)</f>
        <v>5.8</v>
      </c>
      <c r="AD654" s="18" t="n">
        <f aca="false">IF(P654=0,0,(13*U654+3*(V654+X654)-2*W654)/P654+INDEX(球季參數!$C$2:$C$4,MATCH($A654,球季參數!$A$2:$A$4,0)))</f>
        <v>3.18843373493976</v>
      </c>
      <c r="AE654" s="11" t="n">
        <f aca="false">IF(P654&gt;=INDEX(球季參數!$F$2:$F$4,MATCH($A654,球季參數!$A$2:$A$4,0)),1,0)</f>
        <v>0</v>
      </c>
    </row>
    <row r="655" customFormat="false" ht="15" hidden="false" customHeight="false" outlineLevel="0" collapsed="false">
      <c r="A655" s="5" t="n">
        <v>2026</v>
      </c>
      <c r="B655" s="7" t="s">
        <v>703</v>
      </c>
      <c r="C655" s="10" t="str">
        <f aca="false">INDEX(球員主檔!$B$2:$B$749,MATCH($B655,球員主檔!$A$2:$A$749,0))</f>
        <v>Augustin Quiroga</v>
      </c>
      <c r="D655" s="7" t="s">
        <v>362</v>
      </c>
      <c r="E655" s="10" t="str">
        <f aca="false">INDEX(球隊主檔!$C$2:$C$31,MATCH($D655,球隊主檔!$A$2:$A$31,0))</f>
        <v>芝加哥白襪</v>
      </c>
      <c r="F655" s="10" t="str">
        <f aca="false">INDEX(球隊主檔!$D$2:$D$31,MATCH($D655,球隊主檔!$A$2:$A$31,0))</f>
        <v>美聯</v>
      </c>
      <c r="G655" s="7" t="s">
        <v>496</v>
      </c>
      <c r="H655" s="11" t="n">
        <f aca="false">INT((DATE($A655,7,1)-INDEX(球員主檔!$G$2:$G$749,MATCH($B655,球員主檔!$A$2:$A$749,0)))/365.25)</f>
        <v>32</v>
      </c>
      <c r="I655" s="12" t="n">
        <v>7</v>
      </c>
      <c r="J655" s="12" t="n">
        <v>5</v>
      </c>
      <c r="K655" s="12" t="n">
        <v>0</v>
      </c>
      <c r="L655" s="12" t="n">
        <v>0</v>
      </c>
      <c r="M655" s="12" t="n">
        <v>16</v>
      </c>
      <c r="N655" s="12" t="n">
        <v>16</v>
      </c>
      <c r="O655" s="12" t="n">
        <v>258</v>
      </c>
      <c r="P655" s="16" t="n">
        <f aca="false">O655/3</f>
        <v>86</v>
      </c>
      <c r="Q655" s="17" t="str">
        <f aca="false">INT(O655/3)&amp;"."&amp;MOD(O655,3)</f>
        <v>86.0</v>
      </c>
      <c r="R655" s="12" t="n">
        <v>73</v>
      </c>
      <c r="S655" s="12" t="n">
        <v>50</v>
      </c>
      <c r="T655" s="12" t="n">
        <v>45</v>
      </c>
      <c r="U655" s="12" t="n">
        <v>16</v>
      </c>
      <c r="V655" s="12" t="n">
        <v>15</v>
      </c>
      <c r="W655" s="12" t="n">
        <v>90</v>
      </c>
      <c r="X655" s="12" t="n">
        <v>3</v>
      </c>
      <c r="Y655" s="18" t="n">
        <f aca="false">IF(O655=0,0,T655*27/O655)</f>
        <v>4.7093023255814</v>
      </c>
      <c r="Z655" s="18" t="n">
        <f aca="false">IF(P655=0,0,(V655+R655)/P655)</f>
        <v>1.02325581395349</v>
      </c>
      <c r="AA655" s="18" t="n">
        <f aca="false">IF(O655=0,0,W655*27/O655)</f>
        <v>9.41860465116279</v>
      </c>
      <c r="AB655" s="18" t="n">
        <f aca="false">IF(O655=0,0,V655*27/O655)</f>
        <v>1.56976744186047</v>
      </c>
      <c r="AC655" s="18" t="n">
        <f aca="false">IF(V655=0,0,W655/V655)</f>
        <v>6</v>
      </c>
      <c r="AD655" s="18" t="n">
        <f aca="false">IF(P655=0,0,(13*U655+3*(V655+X655)-2*W655)/P655+INDEX(球季參數!$C$2:$C$4,MATCH($A655,球季參數!$A$2:$A$4,0)))</f>
        <v>4.03348837209302</v>
      </c>
      <c r="AE655" s="11" t="n">
        <f aca="false">IF(P655&gt;=INDEX(球季參數!$F$2:$F$4,MATCH($A655,球季參數!$A$2:$A$4,0)),1,0)</f>
        <v>0</v>
      </c>
    </row>
    <row r="656" customFormat="false" ht="15" hidden="false" customHeight="false" outlineLevel="0" collapsed="false">
      <c r="A656" s="5" t="n">
        <v>2026</v>
      </c>
      <c r="B656" s="7" t="s">
        <v>705</v>
      </c>
      <c r="C656" s="10" t="str">
        <f aca="false">INDEX(球員主檔!$B$2:$B$749,MATCH($B656,球員主檔!$A$2:$A$749,0))</f>
        <v>Ignacio Haverford</v>
      </c>
      <c r="D656" s="7" t="s">
        <v>362</v>
      </c>
      <c r="E656" s="10" t="str">
        <f aca="false">INDEX(球隊主檔!$C$2:$C$31,MATCH($D656,球隊主檔!$A$2:$A$31,0))</f>
        <v>芝加哥白襪</v>
      </c>
      <c r="F656" s="10" t="str">
        <f aca="false">INDEX(球隊主檔!$D$2:$D$31,MATCH($D656,球隊主檔!$A$2:$A$31,0))</f>
        <v>美聯</v>
      </c>
      <c r="G656" s="7" t="s">
        <v>496</v>
      </c>
      <c r="H656" s="11" t="n">
        <f aca="false">INT((DATE($A656,7,1)-INDEX(球員主檔!$G$2:$G$749,MATCH($B656,球員主檔!$A$2:$A$749,0)))/365.25)</f>
        <v>29</v>
      </c>
      <c r="I656" s="12" t="n">
        <v>7</v>
      </c>
      <c r="J656" s="12" t="n">
        <v>8</v>
      </c>
      <c r="K656" s="12" t="n">
        <v>0</v>
      </c>
      <c r="L656" s="12" t="n">
        <v>0</v>
      </c>
      <c r="M656" s="12" t="n">
        <v>22</v>
      </c>
      <c r="N656" s="12" t="n">
        <v>22</v>
      </c>
      <c r="O656" s="12" t="n">
        <v>325</v>
      </c>
      <c r="P656" s="16" t="n">
        <f aca="false">O656/3</f>
        <v>108.333333333333</v>
      </c>
      <c r="Q656" s="17" t="str">
        <f aca="false">INT(O656/3)&amp;"."&amp;MOD(O656,3)</f>
        <v>108.1</v>
      </c>
      <c r="R656" s="12" t="n">
        <v>109</v>
      </c>
      <c r="S656" s="12" t="n">
        <v>65</v>
      </c>
      <c r="T656" s="12" t="n">
        <v>65</v>
      </c>
      <c r="U656" s="12" t="n">
        <v>16</v>
      </c>
      <c r="V656" s="12" t="n">
        <v>44</v>
      </c>
      <c r="W656" s="12" t="n">
        <v>104</v>
      </c>
      <c r="X656" s="12" t="n">
        <v>7</v>
      </c>
      <c r="Y656" s="18" t="n">
        <f aca="false">IF(O656=0,0,T656*27/O656)</f>
        <v>5.4</v>
      </c>
      <c r="Z656" s="18" t="n">
        <f aca="false">IF(P656=0,0,(V656+R656)/P656)</f>
        <v>1.41230769230769</v>
      </c>
      <c r="AA656" s="18" t="n">
        <f aca="false">IF(O656=0,0,W656*27/O656)</f>
        <v>8.64</v>
      </c>
      <c r="AB656" s="18" t="n">
        <f aca="false">IF(O656=0,0,V656*27/O656)</f>
        <v>3.65538461538462</v>
      </c>
      <c r="AC656" s="18" t="n">
        <f aca="false">IF(V656=0,0,W656/V656)</f>
        <v>2.36363636363636</v>
      </c>
      <c r="AD656" s="18" t="n">
        <f aca="false">IF(P656=0,0,(13*U656+3*(V656+X656)-2*W656)/P656+INDEX(球季參數!$C$2:$C$4,MATCH($A656,球季參數!$A$2:$A$4,0)))</f>
        <v>4.49230769230769</v>
      </c>
      <c r="AE656" s="11" t="n">
        <f aca="false">IF(P656&gt;=INDEX(球季參數!$F$2:$F$4,MATCH($A656,球季參數!$A$2:$A$4,0)),1,0)</f>
        <v>0</v>
      </c>
    </row>
    <row r="657" customFormat="false" ht="15" hidden="false" customHeight="false" outlineLevel="0" collapsed="false">
      <c r="A657" s="5" t="n">
        <v>2026</v>
      </c>
      <c r="B657" s="7" t="s">
        <v>707</v>
      </c>
      <c r="C657" s="10" t="str">
        <f aca="false">INDEX(球員主檔!$B$2:$B$749,MATCH($B657,球員主檔!$A$2:$A$749,0))</f>
        <v>Rintaro Engelhardt</v>
      </c>
      <c r="D657" s="7" t="s">
        <v>362</v>
      </c>
      <c r="E657" s="10" t="str">
        <f aca="false">INDEX(球隊主檔!$C$2:$C$31,MATCH($D657,球隊主檔!$A$2:$A$31,0))</f>
        <v>芝加哥白襪</v>
      </c>
      <c r="F657" s="10" t="str">
        <f aca="false">INDEX(球隊主檔!$D$2:$D$31,MATCH($D657,球隊主檔!$A$2:$A$31,0))</f>
        <v>美聯</v>
      </c>
      <c r="G657" s="7" t="s">
        <v>507</v>
      </c>
      <c r="H657" s="11" t="n">
        <f aca="false">INT((DATE($A657,7,1)-INDEX(球員主檔!$G$2:$G$749,MATCH($B657,球員主檔!$A$2:$A$749,0)))/365.25)</f>
        <v>31</v>
      </c>
      <c r="I657" s="12" t="n">
        <v>3</v>
      </c>
      <c r="J657" s="12" t="n">
        <v>1</v>
      </c>
      <c r="K657" s="12" t="n">
        <v>1</v>
      </c>
      <c r="L657" s="12" t="n">
        <v>28</v>
      </c>
      <c r="M657" s="12" t="n">
        <v>65</v>
      </c>
      <c r="N657" s="12" t="n">
        <v>0</v>
      </c>
      <c r="O657" s="12" t="n">
        <v>180</v>
      </c>
      <c r="P657" s="16" t="n">
        <f aca="false">O657/3</f>
        <v>60</v>
      </c>
      <c r="Q657" s="17" t="str">
        <f aca="false">INT(O657/3)&amp;"."&amp;MOD(O657,3)</f>
        <v>60.0</v>
      </c>
      <c r="R657" s="12" t="n">
        <v>55</v>
      </c>
      <c r="S657" s="12" t="n">
        <v>38</v>
      </c>
      <c r="T657" s="12" t="n">
        <v>36</v>
      </c>
      <c r="U657" s="12" t="n">
        <v>7</v>
      </c>
      <c r="V657" s="12" t="n">
        <v>31</v>
      </c>
      <c r="W657" s="12" t="n">
        <v>69</v>
      </c>
      <c r="X657" s="12" t="n">
        <v>3</v>
      </c>
      <c r="Y657" s="18" t="n">
        <f aca="false">IF(O657=0,0,T657*27/O657)</f>
        <v>5.4</v>
      </c>
      <c r="Z657" s="18" t="n">
        <f aca="false">IF(P657=0,0,(V657+R657)/P657)</f>
        <v>1.43333333333333</v>
      </c>
      <c r="AA657" s="18" t="n">
        <f aca="false">IF(O657=0,0,W657*27/O657)</f>
        <v>10.35</v>
      </c>
      <c r="AB657" s="18" t="n">
        <f aca="false">IF(O657=0,0,V657*27/O657)</f>
        <v>4.65</v>
      </c>
      <c r="AC657" s="18" t="n">
        <f aca="false">IF(V657=0,0,W657/V657)</f>
        <v>2.2258064516129</v>
      </c>
      <c r="AD657" s="18" t="n">
        <f aca="false">IF(P657=0,0,(13*U657+3*(V657+X657)-2*W657)/P657+INDEX(球季參數!$C$2:$C$4,MATCH($A657,球季參數!$A$2:$A$4,0)))</f>
        <v>3.99666666666667</v>
      </c>
      <c r="AE657" s="11" t="n">
        <f aca="false">IF(P657&gt;=INDEX(球季參數!$F$2:$F$4,MATCH($A657,球季參數!$A$2:$A$4,0)),1,0)</f>
        <v>0</v>
      </c>
    </row>
    <row r="658" customFormat="false" ht="15" hidden="false" customHeight="false" outlineLevel="0" collapsed="false">
      <c r="A658" s="5" t="n">
        <v>2026</v>
      </c>
      <c r="B658" s="7" t="s">
        <v>709</v>
      </c>
      <c r="C658" s="10" t="str">
        <f aca="false">INDEX(球員主檔!$B$2:$B$749,MATCH($B658,球員主檔!$A$2:$A$749,0))</f>
        <v>Tristan Cavanaugh</v>
      </c>
      <c r="D658" s="7" t="s">
        <v>362</v>
      </c>
      <c r="E658" s="10" t="str">
        <f aca="false">INDEX(球隊主檔!$C$2:$C$31,MATCH($D658,球隊主檔!$A$2:$A$31,0))</f>
        <v>芝加哥白襪</v>
      </c>
      <c r="F658" s="10" t="str">
        <f aca="false">INDEX(球隊主檔!$D$2:$D$31,MATCH($D658,球隊主檔!$A$2:$A$31,0))</f>
        <v>美聯</v>
      </c>
      <c r="G658" s="7" t="s">
        <v>507</v>
      </c>
      <c r="H658" s="11" t="n">
        <f aca="false">INT((DATE($A658,7,1)-INDEX(球員主檔!$G$2:$G$749,MATCH($B658,球員主檔!$A$2:$A$749,0)))/365.25)</f>
        <v>32</v>
      </c>
      <c r="I658" s="12" t="n">
        <v>8</v>
      </c>
      <c r="J658" s="12" t="n">
        <v>5</v>
      </c>
      <c r="K658" s="12" t="n">
        <v>5</v>
      </c>
      <c r="L658" s="12" t="n">
        <v>19</v>
      </c>
      <c r="M658" s="12" t="n">
        <v>46</v>
      </c>
      <c r="N658" s="12" t="n">
        <v>0</v>
      </c>
      <c r="O658" s="12" t="n">
        <v>120</v>
      </c>
      <c r="P658" s="16" t="n">
        <f aca="false">O658/3</f>
        <v>40</v>
      </c>
      <c r="Q658" s="17" t="str">
        <f aca="false">INT(O658/3)&amp;"."&amp;MOD(O658,3)</f>
        <v>40.0</v>
      </c>
      <c r="R658" s="12" t="n">
        <v>38</v>
      </c>
      <c r="S658" s="12" t="n">
        <v>24</v>
      </c>
      <c r="T658" s="12" t="n">
        <v>24</v>
      </c>
      <c r="U658" s="12" t="n">
        <v>7</v>
      </c>
      <c r="V658" s="12" t="n">
        <v>10</v>
      </c>
      <c r="W658" s="12" t="n">
        <v>38</v>
      </c>
      <c r="X658" s="12" t="n">
        <v>2</v>
      </c>
      <c r="Y658" s="18" t="n">
        <f aca="false">IF(O658=0,0,T658*27/O658)</f>
        <v>5.4</v>
      </c>
      <c r="Z658" s="18" t="n">
        <f aca="false">IF(P658=0,0,(V658+R658)/P658)</f>
        <v>1.2</v>
      </c>
      <c r="AA658" s="18" t="n">
        <f aca="false">IF(O658=0,0,W658*27/O658)</f>
        <v>8.55</v>
      </c>
      <c r="AB658" s="18" t="n">
        <f aca="false">IF(O658=0,0,V658*27/O658)</f>
        <v>2.25</v>
      </c>
      <c r="AC658" s="18" t="n">
        <f aca="false">IF(V658=0,0,W658/V658)</f>
        <v>3.8</v>
      </c>
      <c r="AD658" s="18" t="n">
        <f aca="false">IF(P658=0,0,(13*U658+3*(V658+X658)-2*W658)/P658+INDEX(球季參數!$C$2:$C$4,MATCH($A658,球季參數!$A$2:$A$4,0)))</f>
        <v>4.355</v>
      </c>
      <c r="AE658" s="11" t="n">
        <f aca="false">IF(P658&gt;=INDEX(球季參數!$F$2:$F$4,MATCH($A658,球季參數!$A$2:$A$4,0)),1,0)</f>
        <v>0</v>
      </c>
    </row>
    <row r="659" customFormat="false" ht="15" hidden="false" customHeight="false" outlineLevel="0" collapsed="false">
      <c r="A659" s="5" t="n">
        <v>2026</v>
      </c>
      <c r="B659" s="7" t="s">
        <v>711</v>
      </c>
      <c r="C659" s="10" t="str">
        <f aca="false">INDEX(球員主檔!$B$2:$B$749,MATCH($B659,球員主檔!$A$2:$A$749,0))</f>
        <v>Rowan Rasmussen</v>
      </c>
      <c r="D659" s="7" t="s">
        <v>362</v>
      </c>
      <c r="E659" s="10" t="str">
        <f aca="false">INDEX(球隊主檔!$C$2:$C$31,MATCH($D659,球隊主檔!$A$2:$A$31,0))</f>
        <v>芝加哥白襪</v>
      </c>
      <c r="F659" s="10" t="str">
        <f aca="false">INDEX(球隊主檔!$D$2:$D$31,MATCH($D659,球隊主檔!$A$2:$A$31,0))</f>
        <v>美聯</v>
      </c>
      <c r="G659" s="7" t="s">
        <v>507</v>
      </c>
      <c r="H659" s="11" t="n">
        <f aca="false">INT((DATE($A659,7,1)-INDEX(球員主檔!$G$2:$G$749,MATCH($B659,球員主檔!$A$2:$A$749,0)))/365.25)</f>
        <v>30</v>
      </c>
      <c r="I659" s="12" t="n">
        <v>4</v>
      </c>
      <c r="J659" s="12" t="n">
        <v>0</v>
      </c>
      <c r="K659" s="12" t="n">
        <v>3</v>
      </c>
      <c r="L659" s="12" t="n">
        <v>30</v>
      </c>
      <c r="M659" s="12" t="n">
        <v>66</v>
      </c>
      <c r="N659" s="12" t="n">
        <v>0</v>
      </c>
      <c r="O659" s="12" t="n">
        <v>222</v>
      </c>
      <c r="P659" s="16" t="n">
        <f aca="false">O659/3</f>
        <v>74</v>
      </c>
      <c r="Q659" s="17" t="str">
        <f aca="false">INT(O659/3)&amp;"."&amp;MOD(O659,3)</f>
        <v>74.0</v>
      </c>
      <c r="R659" s="12" t="n">
        <v>61</v>
      </c>
      <c r="S659" s="12" t="n">
        <v>41</v>
      </c>
      <c r="T659" s="12" t="n">
        <v>36</v>
      </c>
      <c r="U659" s="12" t="n">
        <v>8</v>
      </c>
      <c r="V659" s="12" t="n">
        <v>16</v>
      </c>
      <c r="W659" s="12" t="n">
        <v>77</v>
      </c>
      <c r="X659" s="12" t="n">
        <v>4</v>
      </c>
      <c r="Y659" s="18" t="n">
        <f aca="false">IF(O659=0,0,T659*27/O659)</f>
        <v>4.37837837837838</v>
      </c>
      <c r="Z659" s="18" t="n">
        <f aca="false">IF(P659=0,0,(V659+R659)/P659)</f>
        <v>1.04054054054054</v>
      </c>
      <c r="AA659" s="18" t="n">
        <f aca="false">IF(O659=0,0,W659*27/O659)</f>
        <v>9.36486486486487</v>
      </c>
      <c r="AB659" s="18" t="n">
        <f aca="false">IF(O659=0,0,V659*27/O659)</f>
        <v>1.94594594594595</v>
      </c>
      <c r="AC659" s="18" t="n">
        <f aca="false">IF(V659=0,0,W659/V659)</f>
        <v>4.8125</v>
      </c>
      <c r="AD659" s="18" t="n">
        <f aca="false">IF(P659=0,0,(13*U659+3*(V659+X659)-2*W659)/P659+INDEX(球季參數!$C$2:$C$4,MATCH($A659,球季參數!$A$2:$A$4,0)))</f>
        <v>3.21513513513514</v>
      </c>
      <c r="AE659" s="11" t="n">
        <f aca="false">IF(P659&gt;=INDEX(球季參數!$F$2:$F$4,MATCH($A659,球季參數!$A$2:$A$4,0)),1,0)</f>
        <v>0</v>
      </c>
    </row>
    <row r="660" customFormat="false" ht="15" hidden="false" customHeight="false" outlineLevel="0" collapsed="false">
      <c r="A660" s="5" t="n">
        <v>2026</v>
      </c>
      <c r="B660" s="7" t="s">
        <v>1845</v>
      </c>
      <c r="C660" s="10" t="str">
        <f aca="false">INDEX(球員主檔!$B$2:$B$749,MATCH($B660,球員主檔!$A$2:$A$749,0))</f>
        <v>Marcus Esquivel</v>
      </c>
      <c r="D660" s="7" t="s">
        <v>362</v>
      </c>
      <c r="E660" s="10" t="str">
        <f aca="false">INDEX(球隊主檔!$C$2:$C$31,MATCH($D660,球隊主檔!$A$2:$A$31,0))</f>
        <v>芝加哥白襪</v>
      </c>
      <c r="F660" s="10" t="str">
        <f aca="false">INDEX(球隊主檔!$D$2:$D$31,MATCH($D660,球隊主檔!$A$2:$A$31,0))</f>
        <v>美聯</v>
      </c>
      <c r="G660" s="7" t="s">
        <v>507</v>
      </c>
      <c r="H660" s="11" t="n">
        <f aca="false">INT((DATE($A660,7,1)-INDEX(球員主檔!$G$2:$G$749,MATCH($B660,球員主檔!$A$2:$A$749,0)))/365.25)</f>
        <v>20</v>
      </c>
      <c r="I660" s="12" t="n">
        <v>7</v>
      </c>
      <c r="J660" s="12" t="n">
        <v>5</v>
      </c>
      <c r="K660" s="12" t="n">
        <v>0</v>
      </c>
      <c r="L660" s="12" t="n">
        <v>25</v>
      </c>
      <c r="M660" s="12" t="n">
        <v>41</v>
      </c>
      <c r="N660" s="12" t="n">
        <v>0</v>
      </c>
      <c r="O660" s="12" t="n">
        <v>129</v>
      </c>
      <c r="P660" s="16" t="n">
        <f aca="false">O660/3</f>
        <v>43</v>
      </c>
      <c r="Q660" s="17" t="str">
        <f aca="false">INT(O660/3)&amp;"."&amp;MOD(O660,3)</f>
        <v>43.0</v>
      </c>
      <c r="R660" s="12" t="n">
        <v>34</v>
      </c>
      <c r="S660" s="12" t="n">
        <v>19</v>
      </c>
      <c r="T660" s="12" t="n">
        <v>18</v>
      </c>
      <c r="U660" s="12" t="n">
        <v>7</v>
      </c>
      <c r="V660" s="12" t="n">
        <v>9</v>
      </c>
      <c r="W660" s="12" t="n">
        <v>30</v>
      </c>
      <c r="X660" s="12" t="n">
        <v>2</v>
      </c>
      <c r="Y660" s="18" t="n">
        <f aca="false">IF(O660=0,0,T660*27/O660)</f>
        <v>3.76744186046512</v>
      </c>
      <c r="Z660" s="18" t="n">
        <f aca="false">IF(P660=0,0,(V660+R660)/P660)</f>
        <v>1</v>
      </c>
      <c r="AA660" s="18" t="n">
        <f aca="false">IF(O660=0,0,W660*27/O660)</f>
        <v>6.27906976744186</v>
      </c>
      <c r="AB660" s="18" t="n">
        <f aca="false">IF(O660=0,0,V660*27/O660)</f>
        <v>1.88372093023256</v>
      </c>
      <c r="AC660" s="18" t="n">
        <f aca="false">IF(V660=0,0,W660/V660)</f>
        <v>3.33333333333333</v>
      </c>
      <c r="AD660" s="18" t="n">
        <f aca="false">IF(P660=0,0,(13*U660+3*(V660+X660)-2*W660)/P660+INDEX(球季參數!$C$2:$C$4,MATCH($A660,球季參數!$A$2:$A$4,0)))</f>
        <v>4.56837209302326</v>
      </c>
      <c r="AE660" s="11" t="n">
        <f aca="false">IF(P660&gt;=INDEX(球季參數!$F$2:$F$4,MATCH($A660,球季參數!$A$2:$A$4,0)),1,0)</f>
        <v>0</v>
      </c>
    </row>
    <row r="661" customFormat="false" ht="15" hidden="false" customHeight="false" outlineLevel="0" collapsed="false">
      <c r="A661" s="5" t="n">
        <v>2026</v>
      </c>
      <c r="B661" s="7" t="s">
        <v>715</v>
      </c>
      <c r="C661" s="10" t="str">
        <f aca="false">INDEX(球員主檔!$B$2:$B$749,MATCH($B661,球員主檔!$A$2:$A$749,0))</f>
        <v>Marcus Lindquist</v>
      </c>
      <c r="D661" s="7" t="s">
        <v>362</v>
      </c>
      <c r="E661" s="10" t="str">
        <f aca="false">INDEX(球隊主檔!$C$2:$C$31,MATCH($D661,球隊主檔!$A$2:$A$31,0))</f>
        <v>芝加哥白襪</v>
      </c>
      <c r="F661" s="10" t="str">
        <f aca="false">INDEX(球隊主檔!$D$2:$D$31,MATCH($D661,球隊主檔!$A$2:$A$31,0))</f>
        <v>美聯</v>
      </c>
      <c r="G661" s="7" t="s">
        <v>507</v>
      </c>
      <c r="H661" s="11" t="n">
        <f aca="false">INT((DATE($A661,7,1)-INDEX(球員主檔!$G$2:$G$749,MATCH($B661,球員主檔!$A$2:$A$749,0)))/365.25)</f>
        <v>27</v>
      </c>
      <c r="I661" s="12" t="n">
        <v>9</v>
      </c>
      <c r="J661" s="12" t="n">
        <v>8</v>
      </c>
      <c r="K661" s="12" t="n">
        <v>5</v>
      </c>
      <c r="L661" s="12" t="n">
        <v>30</v>
      </c>
      <c r="M661" s="12" t="n">
        <v>52</v>
      </c>
      <c r="N661" s="12" t="n">
        <v>0</v>
      </c>
      <c r="O661" s="12" t="n">
        <v>151</v>
      </c>
      <c r="P661" s="16" t="n">
        <f aca="false">O661/3</f>
        <v>50.3333333333333</v>
      </c>
      <c r="Q661" s="17" t="str">
        <f aca="false">INT(O661/3)&amp;"."&amp;MOD(O661,3)</f>
        <v>50.1</v>
      </c>
      <c r="R661" s="12" t="n">
        <v>47</v>
      </c>
      <c r="S661" s="12" t="n">
        <v>27</v>
      </c>
      <c r="T661" s="12" t="n">
        <v>26</v>
      </c>
      <c r="U661" s="12" t="n">
        <v>4</v>
      </c>
      <c r="V661" s="12" t="n">
        <v>31</v>
      </c>
      <c r="W661" s="12" t="n">
        <v>56</v>
      </c>
      <c r="X661" s="12" t="n">
        <v>1</v>
      </c>
      <c r="Y661" s="18" t="n">
        <f aca="false">IF(O661=0,0,T661*27/O661)</f>
        <v>4.64900662251656</v>
      </c>
      <c r="Z661" s="18" t="n">
        <f aca="false">IF(P661=0,0,(V661+R661)/P661)</f>
        <v>1.54966887417219</v>
      </c>
      <c r="AA661" s="18" t="n">
        <f aca="false">IF(O661=0,0,W661*27/O661)</f>
        <v>10.0132450331126</v>
      </c>
      <c r="AB661" s="18" t="n">
        <f aca="false">IF(O661=0,0,V661*27/O661)</f>
        <v>5.54304635761589</v>
      </c>
      <c r="AC661" s="18" t="n">
        <f aca="false">IF(V661=0,0,W661/V661)</f>
        <v>1.80645161290323</v>
      </c>
      <c r="AD661" s="18" t="n">
        <f aca="false">IF(P661=0,0,(13*U661+3*(V661+X661)-2*W661)/P661+INDEX(球季參數!$C$2:$C$4,MATCH($A661,球季參數!$A$2:$A$4,0)))</f>
        <v>3.79523178807947</v>
      </c>
      <c r="AE661" s="11" t="n">
        <f aca="false">IF(P661&gt;=INDEX(球季參數!$F$2:$F$4,MATCH($A661,球季參數!$A$2:$A$4,0)),1,0)</f>
        <v>0</v>
      </c>
    </row>
    <row r="662" customFormat="false" ht="15" hidden="false" customHeight="false" outlineLevel="0" collapsed="false">
      <c r="A662" s="5" t="n">
        <v>2026</v>
      </c>
      <c r="B662" s="7" t="s">
        <v>1847</v>
      </c>
      <c r="C662" s="10" t="str">
        <f aca="false">INDEX(球員主檔!$B$2:$B$749,MATCH($B662,球員主檔!$A$2:$A$749,0))</f>
        <v>Elias Ravenscroft</v>
      </c>
      <c r="D662" s="7" t="s">
        <v>367</v>
      </c>
      <c r="E662" s="10" t="str">
        <f aca="false">INDEX(球隊主檔!$C$2:$C$31,MATCH($D662,球隊主檔!$A$2:$A$31,0))</f>
        <v>克里夫蘭守護者</v>
      </c>
      <c r="F662" s="10" t="str">
        <f aca="false">INDEX(球隊主檔!$D$2:$D$31,MATCH($D662,球隊主檔!$A$2:$A$31,0))</f>
        <v>美聯</v>
      </c>
      <c r="G662" s="7" t="s">
        <v>496</v>
      </c>
      <c r="H662" s="11" t="n">
        <f aca="false">INT((DATE($A662,7,1)-INDEX(球員主檔!$G$2:$G$749,MATCH($B662,球員主檔!$A$2:$A$749,0)))/365.25)</f>
        <v>23</v>
      </c>
      <c r="I662" s="12" t="n">
        <v>14</v>
      </c>
      <c r="J662" s="12" t="n">
        <v>8</v>
      </c>
      <c r="K662" s="12" t="n">
        <v>0</v>
      </c>
      <c r="L662" s="12" t="n">
        <v>0</v>
      </c>
      <c r="M662" s="12" t="n">
        <v>31</v>
      </c>
      <c r="N662" s="12" t="n">
        <v>31</v>
      </c>
      <c r="O662" s="12" t="n">
        <v>561</v>
      </c>
      <c r="P662" s="16" t="n">
        <f aca="false">O662/3</f>
        <v>187</v>
      </c>
      <c r="Q662" s="17" t="str">
        <f aca="false">INT(O662/3)&amp;"."&amp;MOD(O662,3)</f>
        <v>187.0</v>
      </c>
      <c r="R662" s="12" t="n">
        <v>174</v>
      </c>
      <c r="S662" s="12" t="n">
        <v>106</v>
      </c>
      <c r="T662" s="12" t="n">
        <v>98</v>
      </c>
      <c r="U662" s="12" t="n">
        <v>18</v>
      </c>
      <c r="V662" s="12" t="n">
        <v>70</v>
      </c>
      <c r="W662" s="12" t="n">
        <v>203</v>
      </c>
      <c r="X662" s="12" t="n">
        <v>4</v>
      </c>
      <c r="Y662" s="18" t="n">
        <f aca="false">IF(O662=0,0,T662*27/O662)</f>
        <v>4.71657754010695</v>
      </c>
      <c r="Z662" s="18" t="n">
        <f aca="false">IF(P662=0,0,(V662+R662)/P662)</f>
        <v>1.3048128342246</v>
      </c>
      <c r="AA662" s="18" t="n">
        <f aca="false">IF(O662=0,0,W662*27/O662)</f>
        <v>9.77005347593583</v>
      </c>
      <c r="AB662" s="18" t="n">
        <f aca="false">IF(O662=0,0,V662*27/O662)</f>
        <v>3.36898395721925</v>
      </c>
      <c r="AC662" s="18" t="n">
        <f aca="false">IF(V662=0,0,W662/V662)</f>
        <v>2.9</v>
      </c>
      <c r="AD662" s="18" t="n">
        <f aca="false">IF(P662=0,0,(13*U662+3*(V662+X662)-2*W662)/P662+INDEX(球季參數!$C$2:$C$4,MATCH($A662,球季參數!$A$2:$A$4,0)))</f>
        <v>3.34737967914439</v>
      </c>
      <c r="AE662" s="11" t="n">
        <f aca="false">IF(P662&gt;=INDEX(球季參數!$F$2:$F$4,MATCH($A662,球季參數!$A$2:$A$4,0)),1,0)</f>
        <v>1</v>
      </c>
    </row>
    <row r="663" customFormat="false" ht="15" hidden="false" customHeight="false" outlineLevel="0" collapsed="false">
      <c r="A663" s="5" t="n">
        <v>2026</v>
      </c>
      <c r="B663" s="7" t="s">
        <v>739</v>
      </c>
      <c r="C663" s="10" t="str">
        <f aca="false">INDEX(球員主檔!$B$2:$B$749,MATCH($B663,球員主檔!$A$2:$A$749,0))</f>
        <v>Emilio Quiroga</v>
      </c>
      <c r="D663" s="7" t="s">
        <v>367</v>
      </c>
      <c r="E663" s="10" t="str">
        <f aca="false">INDEX(球隊主檔!$C$2:$C$31,MATCH($D663,球隊主檔!$A$2:$A$31,0))</f>
        <v>克里夫蘭守護者</v>
      </c>
      <c r="F663" s="10" t="str">
        <f aca="false">INDEX(球隊主檔!$D$2:$D$31,MATCH($D663,球隊主檔!$A$2:$A$31,0))</f>
        <v>美聯</v>
      </c>
      <c r="G663" s="7" t="s">
        <v>496</v>
      </c>
      <c r="H663" s="11" t="n">
        <f aca="false">INT((DATE($A663,7,1)-INDEX(球員主檔!$G$2:$G$749,MATCH($B663,球員主檔!$A$2:$A$749,0)))/365.25)</f>
        <v>33</v>
      </c>
      <c r="I663" s="12" t="n">
        <v>14</v>
      </c>
      <c r="J663" s="12" t="n">
        <v>8</v>
      </c>
      <c r="K663" s="12" t="n">
        <v>0</v>
      </c>
      <c r="L663" s="12" t="n">
        <v>0</v>
      </c>
      <c r="M663" s="12" t="n">
        <v>31</v>
      </c>
      <c r="N663" s="12" t="n">
        <v>31</v>
      </c>
      <c r="O663" s="12" t="n">
        <v>566</v>
      </c>
      <c r="P663" s="16" t="n">
        <f aca="false">O663/3</f>
        <v>188.666666666667</v>
      </c>
      <c r="Q663" s="17" t="str">
        <f aca="false">INT(O663/3)&amp;"."&amp;MOD(O663,3)</f>
        <v>188.2</v>
      </c>
      <c r="R663" s="12" t="n">
        <v>151</v>
      </c>
      <c r="S663" s="12" t="n">
        <v>105</v>
      </c>
      <c r="T663" s="12" t="n">
        <v>93</v>
      </c>
      <c r="U663" s="12" t="n">
        <v>35</v>
      </c>
      <c r="V663" s="12" t="n">
        <v>64</v>
      </c>
      <c r="W663" s="12" t="n">
        <v>175</v>
      </c>
      <c r="X663" s="12" t="n">
        <v>2</v>
      </c>
      <c r="Y663" s="18" t="n">
        <f aca="false">IF(O663=0,0,T663*27/O663)</f>
        <v>4.43639575971732</v>
      </c>
      <c r="Z663" s="18" t="n">
        <f aca="false">IF(P663=0,0,(V663+R663)/P663)</f>
        <v>1.13957597173145</v>
      </c>
      <c r="AA663" s="18" t="n">
        <f aca="false">IF(O663=0,0,W663*27/O663)</f>
        <v>8.34805653710247</v>
      </c>
      <c r="AB663" s="18" t="n">
        <f aca="false">IF(O663=0,0,V663*27/O663)</f>
        <v>3.0530035335689</v>
      </c>
      <c r="AC663" s="18" t="n">
        <f aca="false">IF(V663=0,0,W663/V663)</f>
        <v>2.734375</v>
      </c>
      <c r="AD663" s="18" t="n">
        <f aca="false">IF(P663=0,0,(13*U663+3*(V663+X663)-2*W663)/P663+INDEX(球季參數!$C$2:$C$4,MATCH($A663,球季參數!$A$2:$A$4,0)))</f>
        <v>4.68600706713781</v>
      </c>
      <c r="AE663" s="11" t="n">
        <f aca="false">IF(P663&gt;=INDEX(球季參數!$F$2:$F$4,MATCH($A663,球季參數!$A$2:$A$4,0)),1,0)</f>
        <v>1</v>
      </c>
    </row>
    <row r="664" customFormat="false" ht="15" hidden="false" customHeight="false" outlineLevel="0" collapsed="false">
      <c r="A664" s="5" t="n">
        <v>2026</v>
      </c>
      <c r="B664" s="7" t="s">
        <v>741</v>
      </c>
      <c r="C664" s="10" t="str">
        <f aca="false">INDEX(球員主檔!$B$2:$B$749,MATCH($B664,球員主檔!$A$2:$A$749,0))</f>
        <v>Rowan Jovanović</v>
      </c>
      <c r="D664" s="7" t="s">
        <v>367</v>
      </c>
      <c r="E664" s="10" t="str">
        <f aca="false">INDEX(球隊主檔!$C$2:$C$31,MATCH($D664,球隊主檔!$A$2:$A$31,0))</f>
        <v>克里夫蘭守護者</v>
      </c>
      <c r="F664" s="10" t="str">
        <f aca="false">INDEX(球隊主檔!$D$2:$D$31,MATCH($D664,球隊主檔!$A$2:$A$31,0))</f>
        <v>美聯</v>
      </c>
      <c r="G664" s="7" t="s">
        <v>496</v>
      </c>
      <c r="H664" s="11" t="n">
        <f aca="false">INT((DATE($A664,7,1)-INDEX(球員主檔!$G$2:$G$749,MATCH($B664,球員主檔!$A$2:$A$749,0)))/365.25)</f>
        <v>37</v>
      </c>
      <c r="I664" s="12" t="n">
        <v>7</v>
      </c>
      <c r="J664" s="12" t="n">
        <v>6</v>
      </c>
      <c r="K664" s="12" t="n">
        <v>0</v>
      </c>
      <c r="L664" s="12" t="n">
        <v>0</v>
      </c>
      <c r="M664" s="12" t="n">
        <v>22</v>
      </c>
      <c r="N664" s="12" t="n">
        <v>22</v>
      </c>
      <c r="O664" s="12" t="n">
        <v>392</v>
      </c>
      <c r="P664" s="16" t="n">
        <f aca="false">O664/3</f>
        <v>130.666666666667</v>
      </c>
      <c r="Q664" s="17" t="str">
        <f aca="false">INT(O664/3)&amp;"."&amp;MOD(O664,3)</f>
        <v>130.2</v>
      </c>
      <c r="R664" s="12" t="n">
        <v>107</v>
      </c>
      <c r="S664" s="12" t="n">
        <v>67</v>
      </c>
      <c r="T664" s="12" t="n">
        <v>59</v>
      </c>
      <c r="U664" s="12" t="n">
        <v>18</v>
      </c>
      <c r="V664" s="12" t="n">
        <v>45</v>
      </c>
      <c r="W664" s="12" t="n">
        <v>103</v>
      </c>
      <c r="X664" s="12" t="n">
        <v>7</v>
      </c>
      <c r="Y664" s="18" t="n">
        <f aca="false">IF(O664=0,0,T664*27/O664)</f>
        <v>4.06377551020408</v>
      </c>
      <c r="Z664" s="18" t="n">
        <f aca="false">IF(P664=0,0,(V664+R664)/P664)</f>
        <v>1.16326530612245</v>
      </c>
      <c r="AA664" s="18" t="n">
        <f aca="false">IF(O664=0,0,W664*27/O664)</f>
        <v>7.09438775510204</v>
      </c>
      <c r="AB664" s="18" t="n">
        <f aca="false">IF(O664=0,0,V664*27/O664)</f>
        <v>3.09948979591837</v>
      </c>
      <c r="AC664" s="18" t="n">
        <f aca="false">IF(V664=0,0,W664/V664)</f>
        <v>2.28888888888889</v>
      </c>
      <c r="AD664" s="18" t="n">
        <f aca="false">IF(P664=0,0,(13*U664+3*(V664+X664)-2*W664)/P664+INDEX(球季參數!$C$2:$C$4,MATCH($A664,球季參數!$A$2:$A$4,0)))</f>
        <v>4.48816326530612</v>
      </c>
      <c r="AE664" s="11" t="n">
        <f aca="false">IF(P664&gt;=INDEX(球季參數!$F$2:$F$4,MATCH($A664,球季參數!$A$2:$A$4,0)),1,0)</f>
        <v>0</v>
      </c>
    </row>
    <row r="665" customFormat="false" ht="15" hidden="false" customHeight="false" outlineLevel="0" collapsed="false">
      <c r="A665" s="5" t="n">
        <v>2026</v>
      </c>
      <c r="B665" s="7" t="s">
        <v>743</v>
      </c>
      <c r="C665" s="10" t="str">
        <f aca="false">INDEX(球員主檔!$B$2:$B$749,MATCH($B665,球員主檔!$A$2:$A$749,0))</f>
        <v>Lorenzo Nakagawa</v>
      </c>
      <c r="D665" s="7" t="s">
        <v>367</v>
      </c>
      <c r="E665" s="10" t="str">
        <f aca="false">INDEX(球隊主檔!$C$2:$C$31,MATCH($D665,球隊主檔!$A$2:$A$31,0))</f>
        <v>克里夫蘭守護者</v>
      </c>
      <c r="F665" s="10" t="str">
        <f aca="false">INDEX(球隊主檔!$D$2:$D$31,MATCH($D665,球隊主檔!$A$2:$A$31,0))</f>
        <v>美聯</v>
      </c>
      <c r="G665" s="7" t="s">
        <v>496</v>
      </c>
      <c r="H665" s="11" t="n">
        <f aca="false">INT((DATE($A665,7,1)-INDEX(球員主檔!$G$2:$G$749,MATCH($B665,球員主檔!$A$2:$A$749,0)))/365.25)</f>
        <v>26</v>
      </c>
      <c r="I665" s="12" t="n">
        <v>7</v>
      </c>
      <c r="J665" s="12" t="n">
        <v>3</v>
      </c>
      <c r="K665" s="12" t="n">
        <v>0</v>
      </c>
      <c r="L665" s="12" t="n">
        <v>0</v>
      </c>
      <c r="M665" s="12" t="n">
        <v>17</v>
      </c>
      <c r="N665" s="12" t="n">
        <v>17</v>
      </c>
      <c r="O665" s="12" t="n">
        <v>266</v>
      </c>
      <c r="P665" s="16" t="n">
        <f aca="false">O665/3</f>
        <v>88.6666666666667</v>
      </c>
      <c r="Q665" s="17" t="str">
        <f aca="false">INT(O665/3)&amp;"."&amp;MOD(O665,3)</f>
        <v>88.2</v>
      </c>
      <c r="R665" s="12" t="n">
        <v>69</v>
      </c>
      <c r="S665" s="12" t="n">
        <v>39</v>
      </c>
      <c r="T665" s="12" t="n">
        <v>35</v>
      </c>
      <c r="U665" s="12" t="n">
        <v>15</v>
      </c>
      <c r="V665" s="12" t="n">
        <v>21</v>
      </c>
      <c r="W665" s="12" t="n">
        <v>111</v>
      </c>
      <c r="X665" s="12" t="n">
        <v>3</v>
      </c>
      <c r="Y665" s="18" t="n">
        <f aca="false">IF(O665=0,0,T665*27/O665)</f>
        <v>3.55263157894737</v>
      </c>
      <c r="Z665" s="18" t="n">
        <f aca="false">IF(P665=0,0,(V665+R665)/P665)</f>
        <v>1.01503759398496</v>
      </c>
      <c r="AA665" s="18" t="n">
        <f aca="false">IF(O665=0,0,W665*27/O665)</f>
        <v>11.2669172932331</v>
      </c>
      <c r="AB665" s="18" t="n">
        <f aca="false">IF(O665=0,0,V665*27/O665)</f>
        <v>2.13157894736842</v>
      </c>
      <c r="AC665" s="18" t="n">
        <f aca="false">IF(V665=0,0,W665/V665)</f>
        <v>5.28571428571429</v>
      </c>
      <c r="AD665" s="18" t="n">
        <f aca="false">IF(P665=0,0,(13*U665+3*(V665+X665)-2*W665)/P665+INDEX(球季參數!$C$2:$C$4,MATCH($A665,球季參數!$A$2:$A$4,0)))</f>
        <v>3.58751879699248</v>
      </c>
      <c r="AE665" s="11" t="n">
        <f aca="false">IF(P665&gt;=INDEX(球季參數!$F$2:$F$4,MATCH($A665,球季參數!$A$2:$A$4,0)),1,0)</f>
        <v>0</v>
      </c>
    </row>
    <row r="666" customFormat="false" ht="15" hidden="false" customHeight="false" outlineLevel="0" collapsed="false">
      <c r="A666" s="5" t="n">
        <v>2026</v>
      </c>
      <c r="B666" s="7" t="s">
        <v>745</v>
      </c>
      <c r="C666" s="10" t="str">
        <f aca="false">INDEX(球員主檔!$B$2:$B$749,MATCH($B666,球員主檔!$A$2:$A$749,0))</f>
        <v>Landon Blackwood</v>
      </c>
      <c r="D666" s="7" t="s">
        <v>367</v>
      </c>
      <c r="E666" s="10" t="str">
        <f aca="false">INDEX(球隊主檔!$C$2:$C$31,MATCH($D666,球隊主檔!$A$2:$A$31,0))</f>
        <v>克里夫蘭守護者</v>
      </c>
      <c r="F666" s="10" t="str">
        <f aca="false">INDEX(球隊主檔!$D$2:$D$31,MATCH($D666,球隊主檔!$A$2:$A$31,0))</f>
        <v>美聯</v>
      </c>
      <c r="G666" s="7" t="s">
        <v>496</v>
      </c>
      <c r="H666" s="11" t="n">
        <f aca="false">INT((DATE($A666,7,1)-INDEX(球員主檔!$G$2:$G$749,MATCH($B666,球員主檔!$A$2:$A$749,0)))/365.25)</f>
        <v>31</v>
      </c>
      <c r="I666" s="12" t="n">
        <v>12</v>
      </c>
      <c r="J666" s="12" t="n">
        <v>5</v>
      </c>
      <c r="K666" s="12" t="n">
        <v>0</v>
      </c>
      <c r="L666" s="12" t="n">
        <v>0</v>
      </c>
      <c r="M666" s="12" t="n">
        <v>29</v>
      </c>
      <c r="N666" s="12" t="n">
        <v>29</v>
      </c>
      <c r="O666" s="12" t="n">
        <v>530</v>
      </c>
      <c r="P666" s="16" t="n">
        <f aca="false">O666/3</f>
        <v>176.666666666667</v>
      </c>
      <c r="Q666" s="17" t="str">
        <f aca="false">INT(O666/3)&amp;"."&amp;MOD(O666,3)</f>
        <v>176.2</v>
      </c>
      <c r="R666" s="12" t="n">
        <v>142</v>
      </c>
      <c r="S666" s="12" t="n">
        <v>73</v>
      </c>
      <c r="T666" s="12" t="n">
        <v>68</v>
      </c>
      <c r="U666" s="12" t="n">
        <v>20</v>
      </c>
      <c r="V666" s="12" t="n">
        <v>61</v>
      </c>
      <c r="W666" s="12" t="n">
        <v>161</v>
      </c>
      <c r="X666" s="12" t="n">
        <v>6</v>
      </c>
      <c r="Y666" s="18" t="n">
        <f aca="false">IF(O666=0,0,T666*27/O666)</f>
        <v>3.46415094339623</v>
      </c>
      <c r="Z666" s="18" t="n">
        <f aca="false">IF(P666=0,0,(V666+R666)/P666)</f>
        <v>1.14905660377359</v>
      </c>
      <c r="AA666" s="18" t="n">
        <f aca="false">IF(O666=0,0,W666*27/O666)</f>
        <v>8.20188679245283</v>
      </c>
      <c r="AB666" s="18" t="n">
        <f aca="false">IF(O666=0,0,V666*27/O666)</f>
        <v>3.10754716981132</v>
      </c>
      <c r="AC666" s="18" t="n">
        <f aca="false">IF(V666=0,0,W666/V666)</f>
        <v>2.63934426229508</v>
      </c>
      <c r="AD666" s="18" t="n">
        <f aca="false">IF(P666=0,0,(13*U666+3*(V666+X666)-2*W666)/P666+INDEX(球季參數!$C$2:$C$4,MATCH($A666,球季參數!$A$2:$A$4,0)))</f>
        <v>3.86679245283019</v>
      </c>
      <c r="AE666" s="11" t="n">
        <f aca="false">IF(P666&gt;=INDEX(球季參數!$F$2:$F$4,MATCH($A666,球季參數!$A$2:$A$4,0)),1,0)</f>
        <v>1</v>
      </c>
    </row>
    <row r="667" customFormat="false" ht="15" hidden="false" customHeight="false" outlineLevel="0" collapsed="false">
      <c r="A667" s="5" t="n">
        <v>2026</v>
      </c>
      <c r="B667" s="7" t="s">
        <v>783</v>
      </c>
      <c r="C667" s="10" t="str">
        <f aca="false">INDEX(球員主檔!$B$2:$B$749,MATCH($B667,球員主檔!$A$2:$A$749,0))</f>
        <v>Rowan Nakagawa</v>
      </c>
      <c r="D667" s="7" t="s">
        <v>367</v>
      </c>
      <c r="E667" s="10" t="str">
        <f aca="false">INDEX(球隊主檔!$C$2:$C$31,MATCH($D667,球隊主檔!$A$2:$A$31,0))</f>
        <v>克里夫蘭守護者</v>
      </c>
      <c r="F667" s="10" t="str">
        <f aca="false">INDEX(球隊主檔!$D$2:$D$31,MATCH($D667,球隊主檔!$A$2:$A$31,0))</f>
        <v>美聯</v>
      </c>
      <c r="G667" s="7" t="s">
        <v>507</v>
      </c>
      <c r="H667" s="11" t="n">
        <f aca="false">INT((DATE($A667,7,1)-INDEX(球員主檔!$G$2:$G$749,MATCH($B667,球員主檔!$A$2:$A$749,0)))/365.25)</f>
        <v>34</v>
      </c>
      <c r="I667" s="12" t="n">
        <v>5</v>
      </c>
      <c r="J667" s="12" t="n">
        <v>6</v>
      </c>
      <c r="K667" s="12" t="n">
        <v>2</v>
      </c>
      <c r="L667" s="12" t="n">
        <v>29</v>
      </c>
      <c r="M667" s="12" t="n">
        <v>75</v>
      </c>
      <c r="N667" s="12" t="n">
        <v>0</v>
      </c>
      <c r="O667" s="12" t="n">
        <v>196</v>
      </c>
      <c r="P667" s="16" t="n">
        <f aca="false">O667/3</f>
        <v>65.3333333333333</v>
      </c>
      <c r="Q667" s="17" t="str">
        <f aca="false">INT(O667/3)&amp;"."&amp;MOD(O667,3)</f>
        <v>65.1</v>
      </c>
      <c r="R667" s="12" t="n">
        <v>61</v>
      </c>
      <c r="S667" s="12" t="n">
        <v>41</v>
      </c>
      <c r="T667" s="12" t="n">
        <v>40</v>
      </c>
      <c r="U667" s="12" t="n">
        <v>10</v>
      </c>
      <c r="V667" s="12" t="n">
        <v>22</v>
      </c>
      <c r="W667" s="12" t="n">
        <v>64</v>
      </c>
      <c r="X667" s="12" t="n">
        <v>1</v>
      </c>
      <c r="Y667" s="18" t="n">
        <f aca="false">IF(O667=0,0,T667*27/O667)</f>
        <v>5.51020408163265</v>
      </c>
      <c r="Z667" s="18" t="n">
        <f aca="false">IF(P667=0,0,(V667+R667)/P667)</f>
        <v>1.27040816326531</v>
      </c>
      <c r="AA667" s="18" t="n">
        <f aca="false">IF(O667=0,0,W667*27/O667)</f>
        <v>8.81632653061224</v>
      </c>
      <c r="AB667" s="18" t="n">
        <f aca="false">IF(O667=0,0,V667*27/O667)</f>
        <v>3.03061224489796</v>
      </c>
      <c r="AC667" s="18" t="n">
        <f aca="false">IF(V667=0,0,W667/V667)</f>
        <v>2.90909090909091</v>
      </c>
      <c r="AD667" s="18" t="n">
        <f aca="false">IF(P667=0,0,(13*U667+3*(V667+X667)-2*W667)/P667+INDEX(球季參數!$C$2:$C$4,MATCH($A667,球季參數!$A$2:$A$4,0)))</f>
        <v>4.16673469387755</v>
      </c>
      <c r="AE667" s="11" t="n">
        <f aca="false">IF(P667&gt;=INDEX(球季參數!$F$2:$F$4,MATCH($A667,球季參數!$A$2:$A$4,0)),1,0)</f>
        <v>0</v>
      </c>
    </row>
    <row r="668" customFormat="false" ht="15" hidden="false" customHeight="false" outlineLevel="0" collapsed="false">
      <c r="A668" s="5" t="n">
        <v>2026</v>
      </c>
      <c r="B668" s="7" t="s">
        <v>1849</v>
      </c>
      <c r="C668" s="10" t="str">
        <f aca="false">INDEX(球員主檔!$B$2:$B$749,MATCH($B668,球員主檔!$A$2:$A$749,0))</f>
        <v>Augustin Whitmore</v>
      </c>
      <c r="D668" s="7" t="s">
        <v>367</v>
      </c>
      <c r="E668" s="10" t="str">
        <f aca="false">INDEX(球隊主檔!$C$2:$C$31,MATCH($D668,球隊主檔!$A$2:$A$31,0))</f>
        <v>克里夫蘭守護者</v>
      </c>
      <c r="F668" s="10" t="str">
        <f aca="false">INDEX(球隊主檔!$D$2:$D$31,MATCH($D668,球隊主檔!$A$2:$A$31,0))</f>
        <v>美聯</v>
      </c>
      <c r="G668" s="7" t="s">
        <v>507</v>
      </c>
      <c r="H668" s="11" t="n">
        <f aca="false">INT((DATE($A668,7,1)-INDEX(球員主檔!$G$2:$G$749,MATCH($B668,球員主檔!$A$2:$A$749,0)))/365.25)</f>
        <v>22</v>
      </c>
      <c r="I668" s="12" t="n">
        <v>4</v>
      </c>
      <c r="J668" s="12" t="n">
        <v>7</v>
      </c>
      <c r="K668" s="12" t="n">
        <v>3</v>
      </c>
      <c r="L668" s="12" t="n">
        <v>13</v>
      </c>
      <c r="M668" s="12" t="n">
        <v>61</v>
      </c>
      <c r="N668" s="12" t="n">
        <v>0</v>
      </c>
      <c r="O668" s="12" t="n">
        <v>181</v>
      </c>
      <c r="P668" s="16" t="n">
        <f aca="false">O668/3</f>
        <v>60.3333333333333</v>
      </c>
      <c r="Q668" s="17" t="str">
        <f aca="false">INT(O668/3)&amp;"."&amp;MOD(O668,3)</f>
        <v>60.1</v>
      </c>
      <c r="R668" s="12" t="n">
        <v>60</v>
      </c>
      <c r="S668" s="12" t="n">
        <v>37</v>
      </c>
      <c r="T668" s="12" t="n">
        <v>36</v>
      </c>
      <c r="U668" s="12" t="n">
        <v>10</v>
      </c>
      <c r="V668" s="12" t="n">
        <v>19</v>
      </c>
      <c r="W668" s="12" t="n">
        <v>69</v>
      </c>
      <c r="X668" s="12" t="n">
        <v>2</v>
      </c>
      <c r="Y668" s="18" t="n">
        <f aca="false">IF(O668=0,0,T668*27/O668)</f>
        <v>5.37016574585635</v>
      </c>
      <c r="Z668" s="18" t="n">
        <f aca="false">IF(P668=0,0,(V668+R668)/P668)</f>
        <v>1.30939226519337</v>
      </c>
      <c r="AA668" s="18" t="n">
        <f aca="false">IF(O668=0,0,W668*27/O668)</f>
        <v>10.292817679558</v>
      </c>
      <c r="AB668" s="18" t="n">
        <f aca="false">IF(O668=0,0,V668*27/O668)</f>
        <v>2.83425414364641</v>
      </c>
      <c r="AC668" s="18" t="n">
        <f aca="false">IF(V668=0,0,W668/V668)</f>
        <v>3.63157894736842</v>
      </c>
      <c r="AD668" s="18" t="n">
        <f aca="false">IF(P668=0,0,(13*U668+3*(V668+X668)-2*W668)/P668+INDEX(球季參數!$C$2:$C$4,MATCH($A668,球季參數!$A$2:$A$4,0)))</f>
        <v>3.99160220994475</v>
      </c>
      <c r="AE668" s="11" t="n">
        <f aca="false">IF(P668&gt;=INDEX(球季參數!$F$2:$F$4,MATCH($A668,球季參數!$A$2:$A$4,0)),1,0)</f>
        <v>0</v>
      </c>
    </row>
    <row r="669" customFormat="false" ht="15" hidden="false" customHeight="false" outlineLevel="0" collapsed="false">
      <c r="A669" s="5" t="n">
        <v>2026</v>
      </c>
      <c r="B669" s="7" t="s">
        <v>751</v>
      </c>
      <c r="C669" s="10" t="str">
        <f aca="false">INDEX(球員主檔!$B$2:$B$749,MATCH($B669,球員主檔!$A$2:$A$749,0))</f>
        <v>Cedric Eberhardt</v>
      </c>
      <c r="D669" s="7" t="s">
        <v>367</v>
      </c>
      <c r="E669" s="10" t="str">
        <f aca="false">INDEX(球隊主檔!$C$2:$C$31,MATCH($D669,球隊主檔!$A$2:$A$31,0))</f>
        <v>克里夫蘭守護者</v>
      </c>
      <c r="F669" s="10" t="str">
        <f aca="false">INDEX(球隊主檔!$D$2:$D$31,MATCH($D669,球隊主檔!$A$2:$A$31,0))</f>
        <v>美聯</v>
      </c>
      <c r="G669" s="7" t="s">
        <v>507</v>
      </c>
      <c r="H669" s="11" t="n">
        <f aca="false">INT((DATE($A669,7,1)-INDEX(球員主檔!$G$2:$G$749,MATCH($B669,球員主檔!$A$2:$A$749,0)))/365.25)</f>
        <v>26</v>
      </c>
      <c r="I669" s="12" t="n">
        <v>6</v>
      </c>
      <c r="J669" s="12" t="n">
        <v>0</v>
      </c>
      <c r="K669" s="12" t="n">
        <v>3</v>
      </c>
      <c r="L669" s="12" t="n">
        <v>20</v>
      </c>
      <c r="M669" s="12" t="n">
        <v>57</v>
      </c>
      <c r="N669" s="12" t="n">
        <v>0</v>
      </c>
      <c r="O669" s="12" t="n">
        <v>164</v>
      </c>
      <c r="P669" s="16" t="n">
        <f aca="false">O669/3</f>
        <v>54.6666666666667</v>
      </c>
      <c r="Q669" s="17" t="str">
        <f aca="false">INT(O669/3)&amp;"."&amp;MOD(O669,3)</f>
        <v>54.2</v>
      </c>
      <c r="R669" s="12" t="n">
        <v>37</v>
      </c>
      <c r="S669" s="12" t="n">
        <v>19</v>
      </c>
      <c r="T669" s="12" t="n">
        <v>17</v>
      </c>
      <c r="U669" s="12" t="n">
        <v>4</v>
      </c>
      <c r="V669" s="12" t="n">
        <v>12</v>
      </c>
      <c r="W669" s="12" t="n">
        <v>85</v>
      </c>
      <c r="X669" s="12" t="n">
        <v>1</v>
      </c>
      <c r="Y669" s="18" t="n">
        <f aca="false">IF(O669=0,0,T669*27/O669)</f>
        <v>2.79878048780488</v>
      </c>
      <c r="Z669" s="18" t="n">
        <f aca="false">IF(P669=0,0,(V669+R669)/P669)</f>
        <v>0.896341463414634</v>
      </c>
      <c r="AA669" s="18" t="n">
        <f aca="false">IF(O669=0,0,W669*27/O669)</f>
        <v>13.9939024390244</v>
      </c>
      <c r="AB669" s="18" t="n">
        <f aca="false">IF(O669=0,0,V669*27/O669)</f>
        <v>1.97560975609756</v>
      </c>
      <c r="AC669" s="18" t="n">
        <f aca="false">IF(V669=0,0,W669/V669)</f>
        <v>7.08333333333333</v>
      </c>
      <c r="AD669" s="18" t="n">
        <f aca="false">IF(P669=0,0,(13*U669+3*(V669+X669)-2*W669)/P669+INDEX(球季參數!$C$2:$C$4,MATCH($A669,球季參數!$A$2:$A$4,0)))</f>
        <v>1.63487804878049</v>
      </c>
      <c r="AE669" s="11" t="n">
        <f aca="false">IF(P669&gt;=INDEX(球季參數!$F$2:$F$4,MATCH($A669,球季參數!$A$2:$A$4,0)),1,0)</f>
        <v>0</v>
      </c>
    </row>
    <row r="670" customFormat="false" ht="15" hidden="false" customHeight="false" outlineLevel="0" collapsed="false">
      <c r="A670" s="5" t="n">
        <v>2026</v>
      </c>
      <c r="B670" s="7" t="s">
        <v>753</v>
      </c>
      <c r="C670" s="10" t="str">
        <f aca="false">INDEX(球員主檔!$B$2:$B$749,MATCH($B670,球員主檔!$A$2:$A$749,0))</f>
        <v>Fletcher Vandermeer</v>
      </c>
      <c r="D670" s="7" t="s">
        <v>367</v>
      </c>
      <c r="E670" s="10" t="str">
        <f aca="false">INDEX(球隊主檔!$C$2:$C$31,MATCH($D670,球隊主檔!$A$2:$A$31,0))</f>
        <v>克里夫蘭守護者</v>
      </c>
      <c r="F670" s="10" t="str">
        <f aca="false">INDEX(球隊主檔!$D$2:$D$31,MATCH($D670,球隊主檔!$A$2:$A$31,0))</f>
        <v>美聯</v>
      </c>
      <c r="G670" s="7" t="s">
        <v>507</v>
      </c>
      <c r="H670" s="11" t="n">
        <f aca="false">INT((DATE($A670,7,1)-INDEX(球員主檔!$G$2:$G$749,MATCH($B670,球員主檔!$A$2:$A$749,0)))/365.25)</f>
        <v>31</v>
      </c>
      <c r="I670" s="12" t="n">
        <v>9</v>
      </c>
      <c r="J670" s="12" t="n">
        <v>0</v>
      </c>
      <c r="K670" s="12" t="n">
        <v>3</v>
      </c>
      <c r="L670" s="12" t="n">
        <v>28</v>
      </c>
      <c r="M670" s="12" t="n">
        <v>75</v>
      </c>
      <c r="N670" s="12" t="n">
        <v>0</v>
      </c>
      <c r="O670" s="12" t="n">
        <v>218</v>
      </c>
      <c r="P670" s="16" t="n">
        <f aca="false">O670/3</f>
        <v>72.6666666666667</v>
      </c>
      <c r="Q670" s="17" t="str">
        <f aca="false">INT(O670/3)&amp;"."&amp;MOD(O670,3)</f>
        <v>72.2</v>
      </c>
      <c r="R670" s="12" t="n">
        <v>76</v>
      </c>
      <c r="S670" s="12" t="n">
        <v>54</v>
      </c>
      <c r="T670" s="12" t="n">
        <v>50</v>
      </c>
      <c r="U670" s="12" t="n">
        <v>8</v>
      </c>
      <c r="V670" s="12" t="n">
        <v>18</v>
      </c>
      <c r="W670" s="12" t="n">
        <v>81</v>
      </c>
      <c r="X670" s="12" t="n">
        <v>3</v>
      </c>
      <c r="Y670" s="18" t="n">
        <f aca="false">IF(O670=0,0,T670*27/O670)</f>
        <v>6.19266055045872</v>
      </c>
      <c r="Z670" s="18" t="n">
        <f aca="false">IF(P670=0,0,(V670+R670)/P670)</f>
        <v>1.29357798165138</v>
      </c>
      <c r="AA670" s="18" t="n">
        <f aca="false">IF(O670=0,0,W670*27/O670)</f>
        <v>10.0321100917431</v>
      </c>
      <c r="AB670" s="18" t="n">
        <f aca="false">IF(O670=0,0,V670*27/O670)</f>
        <v>2.22935779816514</v>
      </c>
      <c r="AC670" s="18" t="n">
        <f aca="false">IF(V670=0,0,W670/V670)</f>
        <v>4.5</v>
      </c>
      <c r="AD670" s="18" t="n">
        <f aca="false">IF(P670=0,0,(13*U670+3*(V670+X670)-2*W670)/P670+INDEX(球季參數!$C$2:$C$4,MATCH($A670,球季參數!$A$2:$A$4,0)))</f>
        <v>3.14880733944954</v>
      </c>
      <c r="AE670" s="11" t="n">
        <f aca="false">IF(P670&gt;=INDEX(球季參數!$F$2:$F$4,MATCH($A670,球季參數!$A$2:$A$4,0)),1,0)</f>
        <v>0</v>
      </c>
    </row>
    <row r="671" customFormat="false" ht="15" hidden="false" customHeight="false" outlineLevel="0" collapsed="false">
      <c r="A671" s="5" t="n">
        <v>2026</v>
      </c>
      <c r="B671" s="7" t="s">
        <v>1851</v>
      </c>
      <c r="C671" s="10" t="str">
        <f aca="false">INDEX(球員主檔!$B$2:$B$749,MATCH($B671,球員主檔!$A$2:$A$749,0))</f>
        <v>Bernardo Mbeki</v>
      </c>
      <c r="D671" s="7" t="s">
        <v>367</v>
      </c>
      <c r="E671" s="10" t="str">
        <f aca="false">INDEX(球隊主檔!$C$2:$C$31,MATCH($D671,球隊主檔!$A$2:$A$31,0))</f>
        <v>克里夫蘭守護者</v>
      </c>
      <c r="F671" s="10" t="str">
        <f aca="false">INDEX(球隊主檔!$D$2:$D$31,MATCH($D671,球隊主檔!$A$2:$A$31,0))</f>
        <v>美聯</v>
      </c>
      <c r="G671" s="7" t="s">
        <v>507</v>
      </c>
      <c r="H671" s="11" t="n">
        <f aca="false">INT((DATE($A671,7,1)-INDEX(球員主檔!$G$2:$G$749,MATCH($B671,球員主檔!$A$2:$A$749,0)))/365.25)</f>
        <v>22</v>
      </c>
      <c r="I671" s="12" t="n">
        <v>4</v>
      </c>
      <c r="J671" s="12" t="n">
        <v>7</v>
      </c>
      <c r="K671" s="12" t="n">
        <v>0</v>
      </c>
      <c r="L671" s="12" t="n">
        <v>26</v>
      </c>
      <c r="M671" s="12" t="n">
        <v>45</v>
      </c>
      <c r="N671" s="12" t="n">
        <v>0</v>
      </c>
      <c r="O671" s="12" t="n">
        <v>119</v>
      </c>
      <c r="P671" s="16" t="n">
        <f aca="false">O671/3</f>
        <v>39.6666666666667</v>
      </c>
      <c r="Q671" s="17" t="str">
        <f aca="false">INT(O671/3)&amp;"."&amp;MOD(O671,3)</f>
        <v>39.2</v>
      </c>
      <c r="R671" s="12" t="n">
        <v>33</v>
      </c>
      <c r="S671" s="12" t="n">
        <v>18</v>
      </c>
      <c r="T671" s="12" t="n">
        <v>17</v>
      </c>
      <c r="U671" s="12" t="n">
        <v>6</v>
      </c>
      <c r="V671" s="12" t="n">
        <v>18</v>
      </c>
      <c r="W671" s="12" t="n">
        <v>29</v>
      </c>
      <c r="X671" s="12" t="n">
        <v>2</v>
      </c>
      <c r="Y671" s="18" t="n">
        <f aca="false">IF(O671=0,0,T671*27/O671)</f>
        <v>3.85714285714286</v>
      </c>
      <c r="Z671" s="18" t="n">
        <f aca="false">IF(P671=0,0,(V671+R671)/P671)</f>
        <v>1.28571428571429</v>
      </c>
      <c r="AA671" s="18" t="n">
        <f aca="false">IF(O671=0,0,W671*27/O671)</f>
        <v>6.57983193277311</v>
      </c>
      <c r="AB671" s="18" t="n">
        <f aca="false">IF(O671=0,0,V671*27/O671)</f>
        <v>4.08403361344538</v>
      </c>
      <c r="AC671" s="18" t="n">
        <f aca="false">IF(V671=0,0,W671/V671)</f>
        <v>1.61111111111111</v>
      </c>
      <c r="AD671" s="18" t="n">
        <f aca="false">IF(P671=0,0,(13*U671+3*(V671+X671)-2*W671)/P671+INDEX(球季參數!$C$2:$C$4,MATCH($A671,球季參數!$A$2:$A$4,0)))</f>
        <v>5.09680672268908</v>
      </c>
      <c r="AE671" s="11" t="n">
        <f aca="false">IF(P671&gt;=INDEX(球季參數!$F$2:$F$4,MATCH($A671,球季參數!$A$2:$A$4,0)),1,0)</f>
        <v>0</v>
      </c>
    </row>
    <row r="672" customFormat="false" ht="15" hidden="false" customHeight="false" outlineLevel="0" collapsed="false">
      <c r="A672" s="5" t="n">
        <v>2026</v>
      </c>
      <c r="B672" s="7" t="s">
        <v>777</v>
      </c>
      <c r="C672" s="10" t="str">
        <f aca="false">INDEX(球員主檔!$B$2:$B$749,MATCH($B672,球員主檔!$A$2:$A$749,0))</f>
        <v>Jasper Goddard</v>
      </c>
      <c r="D672" s="7" t="s">
        <v>371</v>
      </c>
      <c r="E672" s="10" t="str">
        <f aca="false">INDEX(球隊主檔!$C$2:$C$31,MATCH($D672,球隊主檔!$A$2:$A$31,0))</f>
        <v>底特律老虎</v>
      </c>
      <c r="F672" s="10" t="str">
        <f aca="false">INDEX(球隊主檔!$D$2:$D$31,MATCH($D672,球隊主檔!$A$2:$A$31,0))</f>
        <v>美聯</v>
      </c>
      <c r="G672" s="7" t="s">
        <v>496</v>
      </c>
      <c r="H672" s="11" t="n">
        <f aca="false">INT((DATE($A672,7,1)-INDEX(球員主檔!$G$2:$G$749,MATCH($B672,球員主檔!$A$2:$A$749,0)))/365.25)</f>
        <v>24</v>
      </c>
      <c r="I672" s="12" t="n">
        <v>13</v>
      </c>
      <c r="J672" s="12" t="n">
        <v>9</v>
      </c>
      <c r="K672" s="12" t="n">
        <v>0</v>
      </c>
      <c r="L672" s="12" t="n">
        <v>0</v>
      </c>
      <c r="M672" s="12" t="n">
        <v>29</v>
      </c>
      <c r="N672" s="12" t="n">
        <v>29</v>
      </c>
      <c r="O672" s="12" t="n">
        <v>456</v>
      </c>
      <c r="P672" s="16" t="n">
        <f aca="false">O672/3</f>
        <v>152</v>
      </c>
      <c r="Q672" s="17" t="str">
        <f aca="false">INT(O672/3)&amp;"."&amp;MOD(O672,3)</f>
        <v>152.0</v>
      </c>
      <c r="R672" s="12" t="n">
        <v>141</v>
      </c>
      <c r="S672" s="12" t="n">
        <v>86</v>
      </c>
      <c r="T672" s="12" t="n">
        <v>84</v>
      </c>
      <c r="U672" s="12" t="n">
        <v>8</v>
      </c>
      <c r="V672" s="12" t="n">
        <v>48</v>
      </c>
      <c r="W672" s="12" t="n">
        <v>135</v>
      </c>
      <c r="X672" s="12" t="n">
        <v>2</v>
      </c>
      <c r="Y672" s="18" t="n">
        <f aca="false">IF(O672=0,0,T672*27/O672)</f>
        <v>4.97368421052632</v>
      </c>
      <c r="Z672" s="18" t="n">
        <f aca="false">IF(P672=0,0,(V672+R672)/P672)</f>
        <v>1.24342105263158</v>
      </c>
      <c r="AA672" s="18" t="n">
        <f aca="false">IF(O672=0,0,W672*27/O672)</f>
        <v>7.99342105263158</v>
      </c>
      <c r="AB672" s="18" t="n">
        <f aca="false">IF(O672=0,0,V672*27/O672)</f>
        <v>2.84210526315789</v>
      </c>
      <c r="AC672" s="18" t="n">
        <f aca="false">IF(V672=0,0,W672/V672)</f>
        <v>2.8125</v>
      </c>
      <c r="AD672" s="18" t="n">
        <f aca="false">IF(P672=0,0,(13*U672+3*(V672+X672)-2*W672)/P672+INDEX(球季參數!$C$2:$C$4,MATCH($A672,球季參數!$A$2:$A$4,0)))</f>
        <v>2.97473684210526</v>
      </c>
      <c r="AE672" s="11" t="n">
        <f aca="false">IF(P672&gt;=INDEX(球季參數!$F$2:$F$4,MATCH($A672,球季參數!$A$2:$A$4,0)),1,0)</f>
        <v>0</v>
      </c>
    </row>
    <row r="673" customFormat="false" ht="15" hidden="false" customHeight="false" outlineLevel="0" collapsed="false">
      <c r="A673" s="5" t="n">
        <v>2026</v>
      </c>
      <c r="B673" s="7" t="s">
        <v>779</v>
      </c>
      <c r="C673" s="10" t="str">
        <f aca="false">INDEX(球員主檔!$B$2:$B$749,MATCH($B673,球員主檔!$A$2:$A$749,0))</f>
        <v>Sousuke Blackwood</v>
      </c>
      <c r="D673" s="7" t="s">
        <v>371</v>
      </c>
      <c r="E673" s="10" t="str">
        <f aca="false">INDEX(球隊主檔!$C$2:$C$31,MATCH($D673,球隊主檔!$A$2:$A$31,0))</f>
        <v>底特律老虎</v>
      </c>
      <c r="F673" s="10" t="str">
        <f aca="false">INDEX(球隊主檔!$D$2:$D$31,MATCH($D673,球隊主檔!$A$2:$A$31,0))</f>
        <v>美聯</v>
      </c>
      <c r="G673" s="7" t="s">
        <v>496</v>
      </c>
      <c r="H673" s="11" t="n">
        <f aca="false">INT((DATE($A673,7,1)-INDEX(球員主檔!$G$2:$G$749,MATCH($B673,球員主檔!$A$2:$A$749,0)))/365.25)</f>
        <v>30</v>
      </c>
      <c r="I673" s="12" t="n">
        <v>13</v>
      </c>
      <c r="J673" s="12" t="n">
        <v>9</v>
      </c>
      <c r="K673" s="12" t="n">
        <v>0</v>
      </c>
      <c r="L673" s="12" t="n">
        <v>0</v>
      </c>
      <c r="M673" s="12" t="n">
        <v>33</v>
      </c>
      <c r="N673" s="12" t="n">
        <v>33</v>
      </c>
      <c r="O673" s="12" t="n">
        <v>489</v>
      </c>
      <c r="P673" s="16" t="n">
        <f aca="false">O673/3</f>
        <v>163</v>
      </c>
      <c r="Q673" s="17" t="str">
        <f aca="false">INT(O673/3)&amp;"."&amp;MOD(O673,3)</f>
        <v>163.0</v>
      </c>
      <c r="R673" s="12" t="n">
        <v>142</v>
      </c>
      <c r="S673" s="12" t="n">
        <v>91</v>
      </c>
      <c r="T673" s="12" t="n">
        <v>85</v>
      </c>
      <c r="U673" s="12" t="n">
        <v>25</v>
      </c>
      <c r="V673" s="12" t="n">
        <v>33</v>
      </c>
      <c r="W673" s="12" t="n">
        <v>101</v>
      </c>
      <c r="X673" s="12" t="n">
        <v>2</v>
      </c>
      <c r="Y673" s="18" t="n">
        <f aca="false">IF(O673=0,0,T673*27/O673)</f>
        <v>4.69325153374233</v>
      </c>
      <c r="Z673" s="18" t="n">
        <f aca="false">IF(P673=0,0,(V673+R673)/P673)</f>
        <v>1.07361963190184</v>
      </c>
      <c r="AA673" s="18" t="n">
        <f aca="false">IF(O673=0,0,W673*27/O673)</f>
        <v>5.57668711656442</v>
      </c>
      <c r="AB673" s="18" t="n">
        <f aca="false">IF(O673=0,0,V673*27/O673)</f>
        <v>1.82208588957055</v>
      </c>
      <c r="AC673" s="18" t="n">
        <f aca="false">IF(V673=0,0,W673/V673)</f>
        <v>3.06060606060606</v>
      </c>
      <c r="AD673" s="18" t="n">
        <f aca="false">IF(P673=0,0,(13*U673+3*(V673+X673)-2*W673)/P673+INDEX(球季參數!$C$2:$C$4,MATCH($A673,球季參數!$A$2:$A$4,0)))</f>
        <v>4.47877300613497</v>
      </c>
      <c r="AE673" s="11" t="n">
        <f aca="false">IF(P673&gt;=INDEX(球季參數!$F$2:$F$4,MATCH($A673,球季參數!$A$2:$A$4,0)),1,0)</f>
        <v>1</v>
      </c>
    </row>
    <row r="674" customFormat="false" ht="15" hidden="false" customHeight="false" outlineLevel="0" collapsed="false">
      <c r="A674" s="5" t="n">
        <v>2026</v>
      </c>
      <c r="B674" s="7" t="s">
        <v>781</v>
      </c>
      <c r="C674" s="10" t="str">
        <f aca="false">INDEX(球員主檔!$B$2:$B$749,MATCH($B674,球員主檔!$A$2:$A$749,0))</f>
        <v>Ronin Oyelaran</v>
      </c>
      <c r="D674" s="7" t="s">
        <v>371</v>
      </c>
      <c r="E674" s="10" t="str">
        <f aca="false">INDEX(球隊主檔!$C$2:$C$31,MATCH($D674,球隊主檔!$A$2:$A$31,0))</f>
        <v>底特律老虎</v>
      </c>
      <c r="F674" s="10" t="str">
        <f aca="false">INDEX(球隊主檔!$D$2:$D$31,MATCH($D674,球隊主檔!$A$2:$A$31,0))</f>
        <v>美聯</v>
      </c>
      <c r="G674" s="7" t="s">
        <v>496</v>
      </c>
      <c r="H674" s="11" t="n">
        <f aca="false">INT((DATE($A674,7,1)-INDEX(球員主檔!$G$2:$G$749,MATCH($B674,球員主檔!$A$2:$A$749,0)))/365.25)</f>
        <v>28</v>
      </c>
      <c r="I674" s="12" t="n">
        <v>13</v>
      </c>
      <c r="J674" s="12" t="n">
        <v>8</v>
      </c>
      <c r="K674" s="12" t="n">
        <v>0</v>
      </c>
      <c r="L674" s="12" t="n">
        <v>0</v>
      </c>
      <c r="M674" s="12" t="n">
        <v>31</v>
      </c>
      <c r="N674" s="12" t="n">
        <v>31</v>
      </c>
      <c r="O674" s="12" t="n">
        <v>583</v>
      </c>
      <c r="P674" s="16" t="n">
        <f aca="false">O674/3</f>
        <v>194.333333333333</v>
      </c>
      <c r="Q674" s="17" t="str">
        <f aca="false">INT(O674/3)&amp;"."&amp;MOD(O674,3)</f>
        <v>194.1</v>
      </c>
      <c r="R674" s="12" t="n">
        <v>165</v>
      </c>
      <c r="S674" s="12" t="n">
        <v>88</v>
      </c>
      <c r="T674" s="12" t="n">
        <v>78</v>
      </c>
      <c r="U674" s="12" t="n">
        <v>22</v>
      </c>
      <c r="V674" s="12" t="n">
        <v>51</v>
      </c>
      <c r="W674" s="12" t="n">
        <v>236</v>
      </c>
      <c r="X674" s="12" t="n">
        <v>7</v>
      </c>
      <c r="Y674" s="18" t="n">
        <f aca="false">IF(O674=0,0,T674*27/O674)</f>
        <v>3.61234991423671</v>
      </c>
      <c r="Z674" s="18" t="n">
        <f aca="false">IF(P674=0,0,(V674+R674)/P674)</f>
        <v>1.1114922813036</v>
      </c>
      <c r="AA674" s="18" t="n">
        <f aca="false">IF(O674=0,0,W674*27/O674)</f>
        <v>10.9296740994854</v>
      </c>
      <c r="AB674" s="18" t="n">
        <f aca="false">IF(O674=0,0,V674*27/O674)</f>
        <v>2.36192109777015</v>
      </c>
      <c r="AC674" s="18" t="n">
        <f aca="false">IF(V674=0,0,W674/V674)</f>
        <v>4.62745098039216</v>
      </c>
      <c r="AD674" s="18" t="n">
        <f aca="false">IF(P674=0,0,(13*U674+3*(V674+X674)-2*W674)/P674+INDEX(球季參數!$C$2:$C$4,MATCH($A674,球季參數!$A$2:$A$4,0)))</f>
        <v>3.01825042881647</v>
      </c>
      <c r="AE674" s="11" t="n">
        <f aca="false">IF(P674&gt;=INDEX(球季參數!$F$2:$F$4,MATCH($A674,球季參數!$A$2:$A$4,0)),1,0)</f>
        <v>1</v>
      </c>
    </row>
    <row r="675" customFormat="false" ht="15" hidden="false" customHeight="false" outlineLevel="0" collapsed="false">
      <c r="A675" s="5" t="n">
        <v>2026</v>
      </c>
      <c r="B675" s="7" t="s">
        <v>1855</v>
      </c>
      <c r="C675" s="10" t="str">
        <f aca="false">INDEX(球員主檔!$B$2:$B$749,MATCH($B675,球員主檔!$A$2:$A$749,0))</f>
        <v>Oakley Garrity</v>
      </c>
      <c r="D675" s="7" t="s">
        <v>371</v>
      </c>
      <c r="E675" s="10" t="str">
        <f aca="false">INDEX(球隊主檔!$C$2:$C$31,MATCH($D675,球隊主檔!$A$2:$A$31,0))</f>
        <v>底特律老虎</v>
      </c>
      <c r="F675" s="10" t="str">
        <f aca="false">INDEX(球隊主檔!$D$2:$D$31,MATCH($D675,球隊主檔!$A$2:$A$31,0))</f>
        <v>美聯</v>
      </c>
      <c r="G675" s="7" t="s">
        <v>496</v>
      </c>
      <c r="H675" s="11" t="n">
        <f aca="false">INT((DATE($A675,7,1)-INDEX(球員主檔!$G$2:$G$749,MATCH($B675,球員主檔!$A$2:$A$749,0)))/365.25)</f>
        <v>26</v>
      </c>
      <c r="I675" s="12" t="n">
        <v>13</v>
      </c>
      <c r="J675" s="12" t="n">
        <v>8</v>
      </c>
      <c r="K675" s="12" t="n">
        <v>0</v>
      </c>
      <c r="L675" s="12" t="n">
        <v>0</v>
      </c>
      <c r="M675" s="12" t="n">
        <v>29</v>
      </c>
      <c r="N675" s="12" t="n">
        <v>29</v>
      </c>
      <c r="O675" s="12" t="n">
        <v>543</v>
      </c>
      <c r="P675" s="16" t="n">
        <f aca="false">O675/3</f>
        <v>181</v>
      </c>
      <c r="Q675" s="17" t="str">
        <f aca="false">INT(O675/3)&amp;"."&amp;MOD(O675,3)</f>
        <v>181.0</v>
      </c>
      <c r="R675" s="12" t="n">
        <v>166</v>
      </c>
      <c r="S675" s="12" t="n">
        <v>98</v>
      </c>
      <c r="T675" s="12" t="n">
        <v>93</v>
      </c>
      <c r="U675" s="12" t="n">
        <v>37</v>
      </c>
      <c r="V675" s="12" t="n">
        <v>60</v>
      </c>
      <c r="W675" s="12" t="n">
        <v>167</v>
      </c>
      <c r="X675" s="12" t="n">
        <v>5</v>
      </c>
      <c r="Y675" s="18" t="n">
        <f aca="false">IF(O675=0,0,T675*27/O675)</f>
        <v>4.62430939226519</v>
      </c>
      <c r="Z675" s="18" t="n">
        <f aca="false">IF(P675=0,0,(V675+R675)/P675)</f>
        <v>1.24861878453039</v>
      </c>
      <c r="AA675" s="18" t="n">
        <f aca="false">IF(O675=0,0,W675*27/O675)</f>
        <v>8.30386740331492</v>
      </c>
      <c r="AB675" s="18" t="n">
        <f aca="false">IF(O675=0,0,V675*27/O675)</f>
        <v>2.98342541436464</v>
      </c>
      <c r="AC675" s="18" t="n">
        <f aca="false">IF(V675=0,0,W675/V675)</f>
        <v>2.78333333333333</v>
      </c>
      <c r="AD675" s="18" t="n">
        <f aca="false">IF(P675=0,0,(13*U675+3*(V675+X675)-2*W675)/P675+INDEX(球季參數!$C$2:$C$4,MATCH($A675,球季參數!$A$2:$A$4,0)))</f>
        <v>4.96950276243094</v>
      </c>
      <c r="AE675" s="11" t="n">
        <f aca="false">IF(P675&gt;=INDEX(球季參數!$F$2:$F$4,MATCH($A675,球季參數!$A$2:$A$4,0)),1,0)</f>
        <v>1</v>
      </c>
    </row>
    <row r="676" customFormat="false" ht="15" hidden="false" customHeight="false" outlineLevel="0" collapsed="false">
      <c r="A676" s="5" t="n">
        <v>2026</v>
      </c>
      <c r="B676" s="7" t="s">
        <v>785</v>
      </c>
      <c r="C676" s="10" t="str">
        <f aca="false">INDEX(球員主檔!$B$2:$B$749,MATCH($B676,球員主檔!$A$2:$A$749,0))</f>
        <v>Emilio Okafor</v>
      </c>
      <c r="D676" s="7" t="s">
        <v>371</v>
      </c>
      <c r="E676" s="10" t="str">
        <f aca="false">INDEX(球隊主檔!$C$2:$C$31,MATCH($D676,球隊主檔!$A$2:$A$31,0))</f>
        <v>底特律老虎</v>
      </c>
      <c r="F676" s="10" t="str">
        <f aca="false">INDEX(球隊主檔!$D$2:$D$31,MATCH($D676,球隊主檔!$A$2:$A$31,0))</f>
        <v>美聯</v>
      </c>
      <c r="G676" s="7" t="s">
        <v>496</v>
      </c>
      <c r="H676" s="11" t="n">
        <f aca="false">INT((DATE($A676,7,1)-INDEX(球員主檔!$G$2:$G$749,MATCH($B676,球員主檔!$A$2:$A$749,0)))/365.25)</f>
        <v>32</v>
      </c>
      <c r="I676" s="12" t="n">
        <v>6</v>
      </c>
      <c r="J676" s="12" t="n">
        <v>6</v>
      </c>
      <c r="K676" s="12" t="n">
        <v>0</v>
      </c>
      <c r="L676" s="12" t="n">
        <v>0</v>
      </c>
      <c r="M676" s="12" t="n">
        <v>21</v>
      </c>
      <c r="N676" s="12" t="n">
        <v>21</v>
      </c>
      <c r="O676" s="12" t="n">
        <v>313</v>
      </c>
      <c r="P676" s="16" t="n">
        <f aca="false">O676/3</f>
        <v>104.333333333333</v>
      </c>
      <c r="Q676" s="17" t="str">
        <f aca="false">INT(O676/3)&amp;"."&amp;MOD(O676,3)</f>
        <v>104.1</v>
      </c>
      <c r="R676" s="12" t="n">
        <v>101</v>
      </c>
      <c r="S676" s="12" t="n">
        <v>76</v>
      </c>
      <c r="T676" s="12" t="n">
        <v>68</v>
      </c>
      <c r="U676" s="12" t="n">
        <v>15</v>
      </c>
      <c r="V676" s="12" t="n">
        <v>26</v>
      </c>
      <c r="W676" s="12" t="n">
        <v>102</v>
      </c>
      <c r="X676" s="12" t="n">
        <v>6</v>
      </c>
      <c r="Y676" s="18" t="n">
        <f aca="false">IF(O676=0,0,T676*27/O676)</f>
        <v>5.86581469648562</v>
      </c>
      <c r="Z676" s="18" t="n">
        <f aca="false">IF(P676=0,0,(V676+R676)/P676)</f>
        <v>1.21725239616613</v>
      </c>
      <c r="AA676" s="18" t="n">
        <f aca="false">IF(O676=0,0,W676*27/O676)</f>
        <v>8.79872204472843</v>
      </c>
      <c r="AB676" s="18" t="n">
        <f aca="false">IF(O676=0,0,V676*27/O676)</f>
        <v>2.24281150159744</v>
      </c>
      <c r="AC676" s="18" t="n">
        <f aca="false">IF(V676=0,0,W676/V676)</f>
        <v>3.92307692307692</v>
      </c>
      <c r="AD676" s="18" t="n">
        <f aca="false">IF(P676=0,0,(13*U676+3*(V676+X676)-2*W676)/P676+INDEX(球季參數!$C$2:$C$4,MATCH($A676,球季參數!$A$2:$A$4,0)))</f>
        <v>3.91386581469649</v>
      </c>
      <c r="AE676" s="11" t="n">
        <f aca="false">IF(P676&gt;=INDEX(球季參數!$F$2:$F$4,MATCH($A676,球季參數!$A$2:$A$4,0)),1,0)</f>
        <v>0</v>
      </c>
    </row>
    <row r="677" customFormat="false" ht="15" hidden="false" customHeight="false" outlineLevel="0" collapsed="false">
      <c r="A677" s="5" t="n">
        <v>2026</v>
      </c>
      <c r="B677" s="7" t="s">
        <v>1705</v>
      </c>
      <c r="C677" s="10" t="str">
        <f aca="false">INDEX(球員主檔!$B$2:$B$749,MATCH($B677,球員主檔!$A$2:$A$749,0))</f>
        <v>Desmond Kiriakis</v>
      </c>
      <c r="D677" s="7" t="s">
        <v>371</v>
      </c>
      <c r="E677" s="10" t="str">
        <f aca="false">INDEX(球隊主檔!$C$2:$C$31,MATCH($D677,球隊主檔!$A$2:$A$31,0))</f>
        <v>底特律老虎</v>
      </c>
      <c r="F677" s="10" t="str">
        <f aca="false">INDEX(球隊主檔!$D$2:$D$31,MATCH($D677,球隊主檔!$A$2:$A$31,0))</f>
        <v>美聯</v>
      </c>
      <c r="G677" s="7" t="s">
        <v>507</v>
      </c>
      <c r="H677" s="11" t="n">
        <f aca="false">INT((DATE($A677,7,1)-INDEX(球員主檔!$G$2:$G$749,MATCH($B677,球員主檔!$A$2:$A$749,0)))/365.25)</f>
        <v>23</v>
      </c>
      <c r="I677" s="12" t="n">
        <v>0</v>
      </c>
      <c r="J677" s="12" t="n">
        <v>7</v>
      </c>
      <c r="K677" s="12" t="n">
        <v>35</v>
      </c>
      <c r="L677" s="12" t="n">
        <v>1</v>
      </c>
      <c r="M677" s="12" t="n">
        <v>56</v>
      </c>
      <c r="N677" s="12" t="n">
        <v>0</v>
      </c>
      <c r="O677" s="12" t="n">
        <v>173</v>
      </c>
      <c r="P677" s="16" t="n">
        <f aca="false">O677/3</f>
        <v>57.6666666666667</v>
      </c>
      <c r="Q677" s="17" t="str">
        <f aca="false">INT(O677/3)&amp;"."&amp;MOD(O677,3)</f>
        <v>57.2</v>
      </c>
      <c r="R677" s="12" t="n">
        <v>51</v>
      </c>
      <c r="S677" s="12" t="n">
        <v>29</v>
      </c>
      <c r="T677" s="12" t="n">
        <v>27</v>
      </c>
      <c r="U677" s="12" t="n">
        <v>6</v>
      </c>
      <c r="V677" s="12" t="n">
        <v>21</v>
      </c>
      <c r="W677" s="12" t="n">
        <v>51</v>
      </c>
      <c r="X677" s="12" t="n">
        <v>2</v>
      </c>
      <c r="Y677" s="18" t="n">
        <f aca="false">IF(O677=0,0,T677*27/O677)</f>
        <v>4.21387283236994</v>
      </c>
      <c r="Z677" s="18" t="n">
        <f aca="false">IF(P677=0,0,(V677+R677)/P677)</f>
        <v>1.2485549132948</v>
      </c>
      <c r="AA677" s="18" t="n">
        <f aca="false">IF(O677=0,0,W677*27/O677)</f>
        <v>7.95953757225434</v>
      </c>
      <c r="AB677" s="18" t="n">
        <f aca="false">IF(O677=0,0,V677*27/O677)</f>
        <v>3.27745664739884</v>
      </c>
      <c r="AC677" s="18" t="n">
        <f aca="false">IF(V677=0,0,W677/V677)</f>
        <v>2.42857142857143</v>
      </c>
      <c r="AD677" s="18" t="n">
        <f aca="false">IF(P677=0,0,(13*U677+3*(V677+X677)-2*W677)/P677+INDEX(球季參數!$C$2:$C$4,MATCH($A677,球季參數!$A$2:$A$4,0)))</f>
        <v>3.86034682080925</v>
      </c>
      <c r="AE677" s="11" t="n">
        <f aca="false">IF(P677&gt;=INDEX(球季參數!$F$2:$F$4,MATCH($A677,球季參數!$A$2:$A$4,0)),1,0)</f>
        <v>0</v>
      </c>
    </row>
    <row r="678" customFormat="false" ht="15" hidden="false" customHeight="false" outlineLevel="0" collapsed="false">
      <c r="A678" s="5" t="n">
        <v>2026</v>
      </c>
      <c r="B678" s="7" t="s">
        <v>789</v>
      </c>
      <c r="C678" s="10" t="str">
        <f aca="false">INDEX(球員主檔!$B$2:$B$749,MATCH($B678,球員主檔!$A$2:$A$749,0))</f>
        <v>Dimitri Esquivel</v>
      </c>
      <c r="D678" s="7" t="s">
        <v>371</v>
      </c>
      <c r="E678" s="10" t="str">
        <f aca="false">INDEX(球隊主檔!$C$2:$C$31,MATCH($D678,球隊主檔!$A$2:$A$31,0))</f>
        <v>底特律老虎</v>
      </c>
      <c r="F678" s="10" t="str">
        <f aca="false">INDEX(球隊主檔!$D$2:$D$31,MATCH($D678,球隊主檔!$A$2:$A$31,0))</f>
        <v>美聯</v>
      </c>
      <c r="G678" s="7" t="s">
        <v>507</v>
      </c>
      <c r="H678" s="11" t="n">
        <f aca="false">INT((DATE($A678,7,1)-INDEX(球員主檔!$G$2:$G$749,MATCH($B678,球員主檔!$A$2:$A$749,0)))/365.25)</f>
        <v>30</v>
      </c>
      <c r="I678" s="12" t="n">
        <v>7</v>
      </c>
      <c r="J678" s="12" t="n">
        <v>6</v>
      </c>
      <c r="K678" s="12" t="n">
        <v>3</v>
      </c>
      <c r="L678" s="12" t="n">
        <v>34</v>
      </c>
      <c r="M678" s="12" t="n">
        <v>58</v>
      </c>
      <c r="N678" s="12" t="n">
        <v>0</v>
      </c>
      <c r="O678" s="12" t="n">
        <v>189</v>
      </c>
      <c r="P678" s="16" t="n">
        <f aca="false">O678/3</f>
        <v>63</v>
      </c>
      <c r="Q678" s="17" t="str">
        <f aca="false">INT(O678/3)&amp;"."&amp;MOD(O678,3)</f>
        <v>63.0</v>
      </c>
      <c r="R678" s="12" t="n">
        <v>54</v>
      </c>
      <c r="S678" s="12" t="n">
        <v>28</v>
      </c>
      <c r="T678" s="12" t="n">
        <v>26</v>
      </c>
      <c r="U678" s="12" t="n">
        <v>6</v>
      </c>
      <c r="V678" s="12" t="n">
        <v>15</v>
      </c>
      <c r="W678" s="12" t="n">
        <v>78</v>
      </c>
      <c r="X678" s="12" t="n">
        <v>3</v>
      </c>
      <c r="Y678" s="18" t="n">
        <f aca="false">IF(O678=0,0,T678*27/O678)</f>
        <v>3.71428571428571</v>
      </c>
      <c r="Z678" s="18" t="n">
        <f aca="false">IF(P678=0,0,(V678+R678)/P678)</f>
        <v>1.0952380952381</v>
      </c>
      <c r="AA678" s="18" t="n">
        <f aca="false">IF(O678=0,0,W678*27/O678)</f>
        <v>11.1428571428571</v>
      </c>
      <c r="AB678" s="18" t="n">
        <f aca="false">IF(O678=0,0,V678*27/O678)</f>
        <v>2.14285714285714</v>
      </c>
      <c r="AC678" s="18" t="n">
        <f aca="false">IF(V678=0,0,W678/V678)</f>
        <v>5.2</v>
      </c>
      <c r="AD678" s="18" t="n">
        <f aca="false">IF(P678=0,0,(13*U678+3*(V678+X678)-2*W678)/P678+INDEX(球季參數!$C$2:$C$4,MATCH($A678,球季參數!$A$2:$A$4,0)))</f>
        <v>2.69904761904762</v>
      </c>
      <c r="AE678" s="11" t="n">
        <f aca="false">IF(P678&gt;=INDEX(球季參數!$F$2:$F$4,MATCH($A678,球季參數!$A$2:$A$4,0)),1,0)</f>
        <v>0</v>
      </c>
    </row>
    <row r="679" customFormat="false" ht="15" hidden="false" customHeight="false" outlineLevel="0" collapsed="false">
      <c r="A679" s="5" t="n">
        <v>2026</v>
      </c>
      <c r="B679" s="7" t="s">
        <v>791</v>
      </c>
      <c r="C679" s="10" t="str">
        <f aca="false">INDEX(球員主檔!$B$2:$B$749,MATCH($B679,球員主檔!$A$2:$A$749,0))</f>
        <v>Silas Yamazaki</v>
      </c>
      <c r="D679" s="7" t="s">
        <v>371</v>
      </c>
      <c r="E679" s="10" t="str">
        <f aca="false">INDEX(球隊主檔!$C$2:$C$31,MATCH($D679,球隊主檔!$A$2:$A$31,0))</f>
        <v>底特律老虎</v>
      </c>
      <c r="F679" s="10" t="str">
        <f aca="false">INDEX(球隊主檔!$D$2:$D$31,MATCH($D679,球隊主檔!$A$2:$A$31,0))</f>
        <v>美聯</v>
      </c>
      <c r="G679" s="7" t="s">
        <v>507</v>
      </c>
      <c r="H679" s="11" t="n">
        <f aca="false">INT((DATE($A679,7,1)-INDEX(球員主檔!$G$2:$G$749,MATCH($B679,球員主檔!$A$2:$A$749,0)))/365.25)</f>
        <v>26</v>
      </c>
      <c r="I679" s="12" t="n">
        <v>3</v>
      </c>
      <c r="J679" s="12" t="n">
        <v>2</v>
      </c>
      <c r="K679" s="12" t="n">
        <v>2</v>
      </c>
      <c r="L679" s="12" t="n">
        <v>14</v>
      </c>
      <c r="M679" s="12" t="n">
        <v>70</v>
      </c>
      <c r="N679" s="12" t="n">
        <v>0</v>
      </c>
      <c r="O679" s="12" t="n">
        <v>216</v>
      </c>
      <c r="P679" s="16" t="n">
        <f aca="false">O679/3</f>
        <v>72</v>
      </c>
      <c r="Q679" s="17" t="str">
        <f aca="false">INT(O679/3)&amp;"."&amp;MOD(O679,3)</f>
        <v>72.0</v>
      </c>
      <c r="R679" s="12" t="n">
        <v>59</v>
      </c>
      <c r="S679" s="12" t="n">
        <v>37</v>
      </c>
      <c r="T679" s="12" t="n">
        <v>33</v>
      </c>
      <c r="U679" s="12" t="n">
        <v>10</v>
      </c>
      <c r="V679" s="12" t="n">
        <v>23</v>
      </c>
      <c r="W679" s="12" t="n">
        <v>65</v>
      </c>
      <c r="X679" s="12" t="n">
        <v>3</v>
      </c>
      <c r="Y679" s="18" t="n">
        <f aca="false">IF(O679=0,0,T679*27/O679)</f>
        <v>4.125</v>
      </c>
      <c r="Z679" s="18" t="n">
        <f aca="false">IF(P679=0,0,(V679+R679)/P679)</f>
        <v>1.13888888888889</v>
      </c>
      <c r="AA679" s="18" t="n">
        <f aca="false">IF(O679=0,0,W679*27/O679)</f>
        <v>8.125</v>
      </c>
      <c r="AB679" s="18" t="n">
        <f aca="false">IF(O679=0,0,V679*27/O679)</f>
        <v>2.875</v>
      </c>
      <c r="AC679" s="18" t="n">
        <f aca="false">IF(V679=0,0,W679/V679)</f>
        <v>2.82608695652174</v>
      </c>
      <c r="AD679" s="18" t="n">
        <f aca="false">IF(P679=0,0,(13*U679+3*(V679+X679)-2*W679)/P679+INDEX(球季參數!$C$2:$C$4,MATCH($A679,球季參數!$A$2:$A$4,0)))</f>
        <v>4.16333333333333</v>
      </c>
      <c r="AE679" s="11" t="n">
        <f aca="false">IF(P679&gt;=INDEX(球季參數!$F$2:$F$4,MATCH($A679,球季參數!$A$2:$A$4,0)),1,0)</f>
        <v>0</v>
      </c>
    </row>
    <row r="680" customFormat="false" ht="15" hidden="false" customHeight="false" outlineLevel="0" collapsed="false">
      <c r="A680" s="5" t="n">
        <v>2026</v>
      </c>
      <c r="B680" s="7" t="s">
        <v>1471</v>
      </c>
      <c r="C680" s="10" t="str">
        <f aca="false">INDEX(球員主檔!$B$2:$B$749,MATCH($B680,球員主檔!$A$2:$A$749,0))</f>
        <v>Caspian Zielinski</v>
      </c>
      <c r="D680" s="7" t="s">
        <v>371</v>
      </c>
      <c r="E680" s="10" t="str">
        <f aca="false">INDEX(球隊主檔!$C$2:$C$31,MATCH($D680,球隊主檔!$A$2:$A$31,0))</f>
        <v>底特律老虎</v>
      </c>
      <c r="F680" s="10" t="str">
        <f aca="false">INDEX(球隊主檔!$D$2:$D$31,MATCH($D680,球隊主檔!$A$2:$A$31,0))</f>
        <v>美聯</v>
      </c>
      <c r="G680" s="7" t="s">
        <v>507</v>
      </c>
      <c r="H680" s="11" t="n">
        <f aca="false">INT((DATE($A680,7,1)-INDEX(球員主檔!$G$2:$G$749,MATCH($B680,球員主檔!$A$2:$A$749,0)))/365.25)</f>
        <v>28</v>
      </c>
      <c r="I680" s="12" t="n">
        <v>3</v>
      </c>
      <c r="J680" s="12" t="n">
        <v>4</v>
      </c>
      <c r="K680" s="12" t="n">
        <v>3</v>
      </c>
      <c r="L680" s="12" t="n">
        <v>32</v>
      </c>
      <c r="M680" s="12" t="n">
        <v>40</v>
      </c>
      <c r="N680" s="12" t="n">
        <v>0</v>
      </c>
      <c r="O680" s="12" t="n">
        <v>115</v>
      </c>
      <c r="P680" s="16" t="n">
        <f aca="false">O680/3</f>
        <v>38.3333333333333</v>
      </c>
      <c r="Q680" s="17" t="str">
        <f aca="false">INT(O680/3)&amp;"."&amp;MOD(O680,3)</f>
        <v>38.1</v>
      </c>
      <c r="R680" s="12" t="n">
        <v>28</v>
      </c>
      <c r="S680" s="12" t="n">
        <v>14</v>
      </c>
      <c r="T680" s="12" t="n">
        <v>13</v>
      </c>
      <c r="U680" s="12" t="n">
        <v>3</v>
      </c>
      <c r="V680" s="12" t="n">
        <v>15</v>
      </c>
      <c r="W680" s="12" t="n">
        <v>47</v>
      </c>
      <c r="X680" s="12" t="n">
        <v>2</v>
      </c>
      <c r="Y680" s="18" t="n">
        <f aca="false">IF(O680=0,0,T680*27/O680)</f>
        <v>3.05217391304348</v>
      </c>
      <c r="Z680" s="18" t="n">
        <f aca="false">IF(P680=0,0,(V680+R680)/P680)</f>
        <v>1.12173913043478</v>
      </c>
      <c r="AA680" s="18" t="n">
        <f aca="false">IF(O680=0,0,W680*27/O680)</f>
        <v>11.0347826086957</v>
      </c>
      <c r="AB680" s="18" t="n">
        <f aca="false">IF(O680=0,0,V680*27/O680)</f>
        <v>3.52173913043478</v>
      </c>
      <c r="AC680" s="18" t="n">
        <f aca="false">IF(V680=0,0,W680/V680)</f>
        <v>3.13333333333333</v>
      </c>
      <c r="AD680" s="18" t="n">
        <f aca="false">IF(P680=0,0,(13*U680+3*(V680+X680)-2*W680)/P680+INDEX(球季參數!$C$2:$C$4,MATCH($A680,球季參數!$A$2:$A$4,0)))</f>
        <v>2.97565217391304</v>
      </c>
      <c r="AE680" s="11" t="n">
        <f aca="false">IF(P680&gt;=INDEX(球季參數!$F$2:$F$4,MATCH($A680,球季參數!$A$2:$A$4,0)),1,0)</f>
        <v>0</v>
      </c>
    </row>
    <row r="681" customFormat="false" ht="15" hidden="false" customHeight="false" outlineLevel="0" collapsed="false">
      <c r="A681" s="5" t="n">
        <v>2026</v>
      </c>
      <c r="B681" s="7" t="s">
        <v>795</v>
      </c>
      <c r="C681" s="10" t="str">
        <f aca="false">INDEX(球員主檔!$B$2:$B$749,MATCH($B681,球員主檔!$A$2:$A$749,0))</f>
        <v>Niklas Eberhardt</v>
      </c>
      <c r="D681" s="7" t="s">
        <v>371</v>
      </c>
      <c r="E681" s="10" t="str">
        <f aca="false">INDEX(球隊主檔!$C$2:$C$31,MATCH($D681,球隊主檔!$A$2:$A$31,0))</f>
        <v>底特律老虎</v>
      </c>
      <c r="F681" s="10" t="str">
        <f aca="false">INDEX(球隊主檔!$D$2:$D$31,MATCH($D681,球隊主檔!$A$2:$A$31,0))</f>
        <v>美聯</v>
      </c>
      <c r="G681" s="7" t="s">
        <v>507</v>
      </c>
      <c r="H681" s="11" t="n">
        <f aca="false">INT((DATE($A681,7,1)-INDEX(球員主檔!$G$2:$G$749,MATCH($B681,球員主檔!$A$2:$A$749,0)))/365.25)</f>
        <v>31</v>
      </c>
      <c r="I681" s="12" t="n">
        <v>6</v>
      </c>
      <c r="J681" s="12" t="n">
        <v>6</v>
      </c>
      <c r="K681" s="12" t="n">
        <v>3</v>
      </c>
      <c r="L681" s="12" t="n">
        <v>22</v>
      </c>
      <c r="M681" s="12" t="n">
        <v>64</v>
      </c>
      <c r="N681" s="12" t="n">
        <v>0</v>
      </c>
      <c r="O681" s="12" t="n">
        <v>175</v>
      </c>
      <c r="P681" s="16" t="n">
        <f aca="false">O681/3</f>
        <v>58.3333333333333</v>
      </c>
      <c r="Q681" s="17" t="str">
        <f aca="false">INT(O681/3)&amp;"."&amp;MOD(O681,3)</f>
        <v>58.1</v>
      </c>
      <c r="R681" s="12" t="n">
        <v>39</v>
      </c>
      <c r="S681" s="12" t="n">
        <v>16</v>
      </c>
      <c r="T681" s="12" t="n">
        <v>15</v>
      </c>
      <c r="U681" s="12" t="n">
        <v>5</v>
      </c>
      <c r="V681" s="12" t="n">
        <v>16</v>
      </c>
      <c r="W681" s="12" t="n">
        <v>59</v>
      </c>
      <c r="X681" s="12" t="n">
        <v>3</v>
      </c>
      <c r="Y681" s="18" t="n">
        <f aca="false">IF(O681=0,0,T681*27/O681)</f>
        <v>2.31428571428571</v>
      </c>
      <c r="Z681" s="18" t="n">
        <f aca="false">IF(P681=0,0,(V681+R681)/P681)</f>
        <v>0.942857142857143</v>
      </c>
      <c r="AA681" s="18" t="n">
        <f aca="false">IF(O681=0,0,W681*27/O681)</f>
        <v>9.10285714285714</v>
      </c>
      <c r="AB681" s="18" t="n">
        <f aca="false">IF(O681=0,0,V681*27/O681)</f>
        <v>2.46857142857143</v>
      </c>
      <c r="AC681" s="18" t="n">
        <f aca="false">IF(V681=0,0,W681/V681)</f>
        <v>3.6875</v>
      </c>
      <c r="AD681" s="18" t="n">
        <f aca="false">IF(P681=0,0,(13*U681+3*(V681+X681)-2*W681)/P681+INDEX(球季參數!$C$2:$C$4,MATCH($A681,球季參數!$A$2:$A$4,0)))</f>
        <v>3.14857142857143</v>
      </c>
      <c r="AE681" s="11" t="n">
        <f aca="false">IF(P681&gt;=INDEX(球季參數!$F$2:$F$4,MATCH($A681,球季參數!$A$2:$A$4,0)),1,0)</f>
        <v>0</v>
      </c>
    </row>
    <row r="682" customFormat="false" ht="15" hidden="false" customHeight="false" outlineLevel="0" collapsed="false">
      <c r="A682" s="5" t="n">
        <v>2026</v>
      </c>
      <c r="B682" s="7" t="s">
        <v>1859</v>
      </c>
      <c r="C682" s="10" t="str">
        <f aca="false">INDEX(球員主檔!$B$2:$B$749,MATCH($B682,球員主檔!$A$2:$A$749,0))</f>
        <v>Osvaldo Oyelaran</v>
      </c>
      <c r="D682" s="7" t="s">
        <v>375</v>
      </c>
      <c r="E682" s="10" t="str">
        <f aca="false">INDEX(球隊主檔!$C$2:$C$31,MATCH($D682,球隊主檔!$A$2:$A$31,0))</f>
        <v>堪薩斯市皇家</v>
      </c>
      <c r="F682" s="10" t="str">
        <f aca="false">INDEX(球隊主檔!$D$2:$D$31,MATCH($D682,球隊主檔!$A$2:$A$31,0))</f>
        <v>美聯</v>
      </c>
      <c r="G682" s="7" t="s">
        <v>496</v>
      </c>
      <c r="H682" s="11" t="n">
        <f aca="false">INT((DATE($A682,7,1)-INDEX(球員主檔!$G$2:$G$749,MATCH($B682,球員主檔!$A$2:$A$749,0)))/365.25)</f>
        <v>21</v>
      </c>
      <c r="I682" s="12" t="n">
        <v>12</v>
      </c>
      <c r="J682" s="12" t="n">
        <v>10</v>
      </c>
      <c r="K682" s="12" t="n">
        <v>0</v>
      </c>
      <c r="L682" s="12" t="n">
        <v>0</v>
      </c>
      <c r="M682" s="12" t="n">
        <v>31</v>
      </c>
      <c r="N682" s="12" t="n">
        <v>31</v>
      </c>
      <c r="O682" s="12" t="n">
        <v>502</v>
      </c>
      <c r="P682" s="16" t="n">
        <f aca="false">O682/3</f>
        <v>167.333333333333</v>
      </c>
      <c r="Q682" s="17" t="str">
        <f aca="false">INT(O682/3)&amp;"."&amp;MOD(O682,3)</f>
        <v>167.1</v>
      </c>
      <c r="R682" s="12" t="n">
        <v>137</v>
      </c>
      <c r="S682" s="12" t="n">
        <v>82</v>
      </c>
      <c r="T682" s="12" t="n">
        <v>78</v>
      </c>
      <c r="U682" s="12" t="n">
        <v>28</v>
      </c>
      <c r="V682" s="12" t="n">
        <v>63</v>
      </c>
      <c r="W682" s="12" t="n">
        <v>136</v>
      </c>
      <c r="X682" s="12" t="n">
        <v>3</v>
      </c>
      <c r="Y682" s="18" t="n">
        <f aca="false">IF(O682=0,0,T682*27/O682)</f>
        <v>4.19521912350598</v>
      </c>
      <c r="Z682" s="18" t="n">
        <f aca="false">IF(P682=0,0,(V682+R682)/P682)</f>
        <v>1.19521912350598</v>
      </c>
      <c r="AA682" s="18" t="n">
        <f aca="false">IF(O682=0,0,W682*27/O682)</f>
        <v>7.31474103585657</v>
      </c>
      <c r="AB682" s="18" t="n">
        <f aca="false">IF(O682=0,0,V682*27/O682)</f>
        <v>3.38844621513944</v>
      </c>
      <c r="AC682" s="18" t="n">
        <f aca="false">IF(V682=0,0,W682/V682)</f>
        <v>2.15873015873016</v>
      </c>
      <c r="AD682" s="18" t="n">
        <f aca="false">IF(P682=0,0,(13*U682+3*(V682+X682)-2*W682)/P682+INDEX(球季參數!$C$2:$C$4,MATCH($A682,球季參數!$A$2:$A$4,0)))</f>
        <v>4.81306772908367</v>
      </c>
      <c r="AE682" s="11" t="n">
        <f aca="false">IF(P682&gt;=INDEX(球季參數!$F$2:$F$4,MATCH($A682,球季參數!$A$2:$A$4,0)),1,0)</f>
        <v>1</v>
      </c>
    </row>
    <row r="683" customFormat="false" ht="15" hidden="false" customHeight="false" outlineLevel="0" collapsed="false">
      <c r="A683" s="5" t="n">
        <v>2026</v>
      </c>
      <c r="B683" s="7" t="s">
        <v>819</v>
      </c>
      <c r="C683" s="10" t="str">
        <f aca="false">INDEX(球員主檔!$B$2:$B$749,MATCH($B683,球員主檔!$A$2:$A$749,0))</f>
        <v>Augustin Ravenscroft</v>
      </c>
      <c r="D683" s="7" t="s">
        <v>375</v>
      </c>
      <c r="E683" s="10" t="str">
        <f aca="false">INDEX(球隊主檔!$C$2:$C$31,MATCH($D683,球隊主檔!$A$2:$A$31,0))</f>
        <v>堪薩斯市皇家</v>
      </c>
      <c r="F683" s="10" t="str">
        <f aca="false">INDEX(球隊主檔!$D$2:$D$31,MATCH($D683,球隊主檔!$A$2:$A$31,0))</f>
        <v>美聯</v>
      </c>
      <c r="G683" s="7" t="s">
        <v>496</v>
      </c>
      <c r="H683" s="11" t="n">
        <f aca="false">INT((DATE($A683,7,1)-INDEX(球員主檔!$G$2:$G$749,MATCH($B683,球員主檔!$A$2:$A$749,0)))/365.25)</f>
        <v>30</v>
      </c>
      <c r="I683" s="12" t="n">
        <v>7</v>
      </c>
      <c r="J683" s="12" t="n">
        <v>11</v>
      </c>
      <c r="K683" s="12" t="n">
        <v>0</v>
      </c>
      <c r="L683" s="12" t="n">
        <v>0</v>
      </c>
      <c r="M683" s="12" t="n">
        <v>31</v>
      </c>
      <c r="N683" s="12" t="n">
        <v>31</v>
      </c>
      <c r="O683" s="12" t="n">
        <v>482</v>
      </c>
      <c r="P683" s="16" t="n">
        <f aca="false">O683/3</f>
        <v>160.666666666667</v>
      </c>
      <c r="Q683" s="17" t="str">
        <f aca="false">INT(O683/3)&amp;"."&amp;MOD(O683,3)</f>
        <v>160.2</v>
      </c>
      <c r="R683" s="12" t="n">
        <v>143</v>
      </c>
      <c r="S683" s="12" t="n">
        <v>104</v>
      </c>
      <c r="T683" s="12" t="n">
        <v>96</v>
      </c>
      <c r="U683" s="12" t="n">
        <v>25</v>
      </c>
      <c r="V683" s="12" t="n">
        <v>63</v>
      </c>
      <c r="W683" s="12" t="n">
        <v>176</v>
      </c>
      <c r="X683" s="12" t="n">
        <v>6</v>
      </c>
      <c r="Y683" s="18" t="n">
        <f aca="false">IF(O683=0,0,T683*27/O683)</f>
        <v>5.37759336099585</v>
      </c>
      <c r="Z683" s="18" t="n">
        <f aca="false">IF(P683=0,0,(V683+R683)/P683)</f>
        <v>1.28215767634855</v>
      </c>
      <c r="AA683" s="18" t="n">
        <f aca="false">IF(O683=0,0,W683*27/O683)</f>
        <v>9.85892116182573</v>
      </c>
      <c r="AB683" s="18" t="n">
        <f aca="false">IF(O683=0,0,V683*27/O683)</f>
        <v>3.52904564315353</v>
      </c>
      <c r="AC683" s="18" t="n">
        <f aca="false">IF(V683=0,0,W683/V683)</f>
        <v>2.79365079365079</v>
      </c>
      <c r="AD683" s="18" t="n">
        <f aca="false">IF(P683=0,0,(13*U683+3*(V683+X683)-2*W683)/P683+INDEX(球季參數!$C$2:$C$4,MATCH($A683,球季參數!$A$2:$A$4,0)))</f>
        <v>4.20033195020747</v>
      </c>
      <c r="AE683" s="11" t="n">
        <f aca="false">IF(P683&gt;=INDEX(球季參數!$F$2:$F$4,MATCH($A683,球季參數!$A$2:$A$4,0)),1,0)</f>
        <v>0</v>
      </c>
    </row>
    <row r="684" customFormat="false" ht="15" hidden="false" customHeight="false" outlineLevel="0" collapsed="false">
      <c r="A684" s="5" t="n">
        <v>2026</v>
      </c>
      <c r="B684" s="7" t="s">
        <v>1861</v>
      </c>
      <c r="C684" s="10" t="str">
        <f aca="false">INDEX(球員主檔!$B$2:$B$749,MATCH($B684,球員主檔!$A$2:$A$749,0))</f>
        <v>Thaddeus Ashworth</v>
      </c>
      <c r="D684" s="7" t="s">
        <v>375</v>
      </c>
      <c r="E684" s="10" t="str">
        <f aca="false">INDEX(球隊主檔!$C$2:$C$31,MATCH($D684,球隊主檔!$A$2:$A$31,0))</f>
        <v>堪薩斯市皇家</v>
      </c>
      <c r="F684" s="10" t="str">
        <f aca="false">INDEX(球隊主檔!$D$2:$D$31,MATCH($D684,球隊主檔!$A$2:$A$31,0))</f>
        <v>美聯</v>
      </c>
      <c r="G684" s="7" t="s">
        <v>496</v>
      </c>
      <c r="H684" s="11" t="n">
        <f aca="false">INT((DATE($A684,7,1)-INDEX(球員主檔!$G$2:$G$749,MATCH($B684,球員主檔!$A$2:$A$749,0)))/365.25)</f>
        <v>26</v>
      </c>
      <c r="I684" s="12" t="n">
        <v>13</v>
      </c>
      <c r="J684" s="12" t="n">
        <v>4</v>
      </c>
      <c r="K684" s="12" t="n">
        <v>0</v>
      </c>
      <c r="L684" s="12" t="n">
        <v>0</v>
      </c>
      <c r="M684" s="12" t="n">
        <v>26</v>
      </c>
      <c r="N684" s="12" t="n">
        <v>26</v>
      </c>
      <c r="O684" s="12" t="n">
        <v>457</v>
      </c>
      <c r="P684" s="16" t="n">
        <f aca="false">O684/3</f>
        <v>152.333333333333</v>
      </c>
      <c r="Q684" s="17" t="str">
        <f aca="false">INT(O684/3)&amp;"."&amp;MOD(O684,3)</f>
        <v>152.1</v>
      </c>
      <c r="R684" s="12" t="n">
        <v>115</v>
      </c>
      <c r="S684" s="12" t="n">
        <v>54</v>
      </c>
      <c r="T684" s="12" t="n">
        <v>52</v>
      </c>
      <c r="U684" s="12" t="n">
        <v>14</v>
      </c>
      <c r="V684" s="12" t="n">
        <v>33</v>
      </c>
      <c r="W684" s="12" t="n">
        <v>142</v>
      </c>
      <c r="X684" s="12" t="n">
        <v>6</v>
      </c>
      <c r="Y684" s="18" t="n">
        <f aca="false">IF(O684=0,0,T684*27/O684)</f>
        <v>3.07221006564551</v>
      </c>
      <c r="Z684" s="18" t="n">
        <f aca="false">IF(P684=0,0,(V684+R684)/P684)</f>
        <v>0.971553610503282</v>
      </c>
      <c r="AA684" s="18" t="n">
        <f aca="false">IF(O684=0,0,W684*27/O684)</f>
        <v>8.38949671772429</v>
      </c>
      <c r="AB684" s="18" t="n">
        <f aca="false">IF(O684=0,0,V684*27/O684)</f>
        <v>1.94967177242888</v>
      </c>
      <c r="AC684" s="18" t="n">
        <f aca="false">IF(V684=0,0,W684/V684)</f>
        <v>4.3030303030303</v>
      </c>
      <c r="AD684" s="18" t="n">
        <f aca="false">IF(P684=0,0,(13*U684+3*(V684+X684)-2*W684)/P684+INDEX(球季參數!$C$2:$C$4,MATCH($A684,球季參數!$A$2:$A$4,0)))</f>
        <v>3.17846827133479</v>
      </c>
      <c r="AE684" s="11" t="n">
        <f aca="false">IF(P684&gt;=INDEX(球季參數!$F$2:$F$4,MATCH($A684,球季參數!$A$2:$A$4,0)),1,0)</f>
        <v>0</v>
      </c>
    </row>
    <row r="685" customFormat="false" ht="15" hidden="false" customHeight="false" outlineLevel="0" collapsed="false">
      <c r="A685" s="5" t="n">
        <v>2026</v>
      </c>
      <c r="B685" s="7" t="s">
        <v>1513</v>
      </c>
      <c r="C685" s="10" t="str">
        <f aca="false">INDEX(球員主檔!$B$2:$B$749,MATCH($B685,球員主檔!$A$2:$A$749,0))</f>
        <v>Zane Marchetti</v>
      </c>
      <c r="D685" s="7" t="s">
        <v>375</v>
      </c>
      <c r="E685" s="10" t="str">
        <f aca="false">INDEX(球隊主檔!$C$2:$C$31,MATCH($D685,球隊主檔!$A$2:$A$31,0))</f>
        <v>堪薩斯市皇家</v>
      </c>
      <c r="F685" s="10" t="str">
        <f aca="false">INDEX(球隊主檔!$D$2:$D$31,MATCH($D685,球隊主檔!$A$2:$A$31,0))</f>
        <v>美聯</v>
      </c>
      <c r="G685" s="7" t="s">
        <v>496</v>
      </c>
      <c r="H685" s="11" t="n">
        <f aca="false">INT((DATE($A685,7,1)-INDEX(球員主檔!$G$2:$G$749,MATCH($B685,球員主檔!$A$2:$A$749,0)))/365.25)</f>
        <v>30</v>
      </c>
      <c r="I685" s="12" t="n">
        <v>15</v>
      </c>
      <c r="J685" s="12" t="n">
        <v>4</v>
      </c>
      <c r="K685" s="12" t="n">
        <v>0</v>
      </c>
      <c r="L685" s="12" t="n">
        <v>0</v>
      </c>
      <c r="M685" s="12" t="n">
        <v>28</v>
      </c>
      <c r="N685" s="12" t="n">
        <v>28</v>
      </c>
      <c r="O685" s="12" t="n">
        <v>463</v>
      </c>
      <c r="P685" s="16" t="n">
        <f aca="false">O685/3</f>
        <v>154.333333333333</v>
      </c>
      <c r="Q685" s="17" t="str">
        <f aca="false">INT(O685/3)&amp;"."&amp;MOD(O685,3)</f>
        <v>154.1</v>
      </c>
      <c r="R685" s="12" t="n">
        <v>122</v>
      </c>
      <c r="S685" s="12" t="n">
        <v>58</v>
      </c>
      <c r="T685" s="12" t="n">
        <v>58</v>
      </c>
      <c r="U685" s="12" t="n">
        <v>22</v>
      </c>
      <c r="V685" s="12" t="n">
        <v>79</v>
      </c>
      <c r="W685" s="12" t="n">
        <v>163</v>
      </c>
      <c r="X685" s="12" t="n">
        <v>3</v>
      </c>
      <c r="Y685" s="18" t="n">
        <f aca="false">IF(O685=0,0,T685*27/O685)</f>
        <v>3.38228941684665</v>
      </c>
      <c r="Z685" s="18" t="n">
        <f aca="false">IF(P685=0,0,(V685+R685)/P685)</f>
        <v>1.30237580993521</v>
      </c>
      <c r="AA685" s="18" t="n">
        <f aca="false">IF(O685=0,0,W685*27/O685)</f>
        <v>9.50539956803456</v>
      </c>
      <c r="AB685" s="18" t="n">
        <f aca="false">IF(O685=0,0,V685*27/O685)</f>
        <v>4.60691144708423</v>
      </c>
      <c r="AC685" s="18" t="n">
        <f aca="false">IF(V685=0,0,W685/V685)</f>
        <v>2.06329113924051</v>
      </c>
      <c r="AD685" s="18" t="n">
        <f aca="false">IF(P685=0,0,(13*U685+3*(V685+X685)-2*W685)/P685+INDEX(球季參數!$C$2:$C$4,MATCH($A685,球季參數!$A$2:$A$4,0)))</f>
        <v>4.41477321814255</v>
      </c>
      <c r="AE685" s="11" t="n">
        <f aca="false">IF(P685&gt;=INDEX(球季參數!$F$2:$F$4,MATCH($A685,球季參數!$A$2:$A$4,0)),1,0)</f>
        <v>0</v>
      </c>
    </row>
    <row r="686" customFormat="false" ht="15" hidden="false" customHeight="false" outlineLevel="0" collapsed="false">
      <c r="A686" s="5" t="n">
        <v>2026</v>
      </c>
      <c r="B686" s="7" t="s">
        <v>1863</v>
      </c>
      <c r="C686" s="10" t="str">
        <f aca="false">INDEX(球員主檔!$B$2:$B$749,MATCH($B686,球員主檔!$A$2:$A$749,0))</f>
        <v>Leandro Vasquez</v>
      </c>
      <c r="D686" s="7" t="s">
        <v>375</v>
      </c>
      <c r="E686" s="10" t="str">
        <f aca="false">INDEX(球隊主檔!$C$2:$C$31,MATCH($D686,球隊主檔!$A$2:$A$31,0))</f>
        <v>堪薩斯市皇家</v>
      </c>
      <c r="F686" s="10" t="str">
        <f aca="false">INDEX(球隊主檔!$D$2:$D$31,MATCH($D686,球隊主檔!$A$2:$A$31,0))</f>
        <v>美聯</v>
      </c>
      <c r="G686" s="7" t="s">
        <v>496</v>
      </c>
      <c r="H686" s="11" t="n">
        <f aca="false">INT((DATE($A686,7,1)-INDEX(球員主檔!$G$2:$G$749,MATCH($B686,球員主檔!$A$2:$A$749,0)))/365.25)</f>
        <v>22</v>
      </c>
      <c r="I686" s="12" t="n">
        <v>13</v>
      </c>
      <c r="J686" s="12" t="n">
        <v>10</v>
      </c>
      <c r="K686" s="12" t="n">
        <v>0</v>
      </c>
      <c r="L686" s="12" t="n">
        <v>0</v>
      </c>
      <c r="M686" s="12" t="n">
        <v>32</v>
      </c>
      <c r="N686" s="12" t="n">
        <v>32</v>
      </c>
      <c r="O686" s="12" t="n">
        <v>583</v>
      </c>
      <c r="P686" s="16" t="n">
        <f aca="false">O686/3</f>
        <v>194.333333333333</v>
      </c>
      <c r="Q686" s="17" t="str">
        <f aca="false">INT(O686/3)&amp;"."&amp;MOD(O686,3)</f>
        <v>194.1</v>
      </c>
      <c r="R686" s="12" t="n">
        <v>155</v>
      </c>
      <c r="S686" s="12" t="n">
        <v>103</v>
      </c>
      <c r="T686" s="12" t="n">
        <v>92</v>
      </c>
      <c r="U686" s="12" t="n">
        <v>25</v>
      </c>
      <c r="V686" s="12" t="n">
        <v>71</v>
      </c>
      <c r="W686" s="12" t="n">
        <v>167</v>
      </c>
      <c r="X686" s="12" t="n">
        <v>4</v>
      </c>
      <c r="Y686" s="18" t="n">
        <f aca="false">IF(O686=0,0,T686*27/O686)</f>
        <v>4.26072041166381</v>
      </c>
      <c r="Z686" s="18" t="n">
        <f aca="false">IF(P686=0,0,(V686+R686)/P686)</f>
        <v>1.16295025728988</v>
      </c>
      <c r="AA686" s="18" t="n">
        <f aca="false">IF(O686=0,0,W686*27/O686)</f>
        <v>7.73413379073756</v>
      </c>
      <c r="AB686" s="18" t="n">
        <f aca="false">IF(O686=0,0,V686*27/O686)</f>
        <v>3.28816466552316</v>
      </c>
      <c r="AC686" s="18" t="n">
        <f aca="false">IF(V686=0,0,W686/V686)</f>
        <v>2.35211267605634</v>
      </c>
      <c r="AD686" s="18" t="n">
        <f aca="false">IF(P686=0,0,(13*U686+3*(V686+X686)-2*W686)/P686+INDEX(球季參數!$C$2:$C$4,MATCH($A686,球季參數!$A$2:$A$4,0)))</f>
        <v>4.1914922813036</v>
      </c>
      <c r="AE686" s="11" t="n">
        <f aca="false">IF(P686&gt;=INDEX(球季參數!$F$2:$F$4,MATCH($A686,球季參數!$A$2:$A$4,0)),1,0)</f>
        <v>1</v>
      </c>
    </row>
    <row r="687" customFormat="false" ht="15" hidden="false" customHeight="false" outlineLevel="0" collapsed="false">
      <c r="A687" s="5" t="n">
        <v>2026</v>
      </c>
      <c r="B687" s="7" t="s">
        <v>1709</v>
      </c>
      <c r="C687" s="10" t="str">
        <f aca="false">INDEX(球員主檔!$B$2:$B$749,MATCH($B687,球員主檔!$A$2:$A$749,0))</f>
        <v>Quentin Blackwood</v>
      </c>
      <c r="D687" s="7" t="s">
        <v>375</v>
      </c>
      <c r="E687" s="10" t="str">
        <f aca="false">INDEX(球隊主檔!$C$2:$C$31,MATCH($D687,球隊主檔!$A$2:$A$31,0))</f>
        <v>堪薩斯市皇家</v>
      </c>
      <c r="F687" s="10" t="str">
        <f aca="false">INDEX(球隊主檔!$D$2:$D$31,MATCH($D687,球隊主檔!$A$2:$A$31,0))</f>
        <v>美聯</v>
      </c>
      <c r="G687" s="7" t="s">
        <v>507</v>
      </c>
      <c r="H687" s="11" t="n">
        <f aca="false">INT((DATE($A687,7,1)-INDEX(球員主檔!$G$2:$G$749,MATCH($B687,球員主檔!$A$2:$A$749,0)))/365.25)</f>
        <v>24</v>
      </c>
      <c r="I687" s="12" t="n">
        <v>0</v>
      </c>
      <c r="J687" s="12" t="n">
        <v>2</v>
      </c>
      <c r="K687" s="12" t="n">
        <v>5</v>
      </c>
      <c r="L687" s="12" t="n">
        <v>21</v>
      </c>
      <c r="M687" s="12" t="n">
        <v>66</v>
      </c>
      <c r="N687" s="12" t="n">
        <v>0</v>
      </c>
      <c r="O687" s="12" t="n">
        <v>198</v>
      </c>
      <c r="P687" s="16" t="n">
        <f aca="false">O687/3</f>
        <v>66</v>
      </c>
      <c r="Q687" s="17" t="str">
        <f aca="false">INT(O687/3)&amp;"."&amp;MOD(O687,3)</f>
        <v>66.0</v>
      </c>
      <c r="R687" s="12" t="n">
        <v>63</v>
      </c>
      <c r="S687" s="12" t="n">
        <v>46</v>
      </c>
      <c r="T687" s="12" t="n">
        <v>41</v>
      </c>
      <c r="U687" s="12" t="n">
        <v>5</v>
      </c>
      <c r="V687" s="12" t="n">
        <v>22</v>
      </c>
      <c r="W687" s="12" t="n">
        <v>79</v>
      </c>
      <c r="X687" s="12" t="n">
        <v>1</v>
      </c>
      <c r="Y687" s="18" t="n">
        <f aca="false">IF(O687=0,0,T687*27/O687)</f>
        <v>5.59090909090909</v>
      </c>
      <c r="Z687" s="18" t="n">
        <f aca="false">IF(P687=0,0,(V687+R687)/P687)</f>
        <v>1.28787878787879</v>
      </c>
      <c r="AA687" s="18" t="n">
        <f aca="false">IF(O687=0,0,W687*27/O687)</f>
        <v>10.7727272727273</v>
      </c>
      <c r="AB687" s="18" t="n">
        <f aca="false">IF(O687=0,0,V687*27/O687)</f>
        <v>3</v>
      </c>
      <c r="AC687" s="18" t="n">
        <f aca="false">IF(V687=0,0,W687/V687)</f>
        <v>3.59090909090909</v>
      </c>
      <c r="AD687" s="18" t="n">
        <f aca="false">IF(P687=0,0,(13*U687+3*(V687+X687)-2*W687)/P687+INDEX(球季參數!$C$2:$C$4,MATCH($A687,球季參數!$A$2:$A$4,0)))</f>
        <v>2.71636363636364</v>
      </c>
      <c r="AE687" s="11" t="n">
        <f aca="false">IF(P687&gt;=INDEX(球季參數!$F$2:$F$4,MATCH($A687,球季參數!$A$2:$A$4,0)),1,0)</f>
        <v>0</v>
      </c>
    </row>
    <row r="688" customFormat="false" ht="15" hidden="false" customHeight="false" outlineLevel="0" collapsed="false">
      <c r="A688" s="5" t="n">
        <v>2026</v>
      </c>
      <c r="B688" s="7" t="s">
        <v>829</v>
      </c>
      <c r="C688" s="10" t="str">
        <f aca="false">INDEX(球員主檔!$B$2:$B$749,MATCH($B688,球員主檔!$A$2:$A$749,0))</f>
        <v>Haruto Stroheim</v>
      </c>
      <c r="D688" s="7" t="s">
        <v>375</v>
      </c>
      <c r="E688" s="10" t="str">
        <f aca="false">INDEX(球隊主檔!$C$2:$C$31,MATCH($D688,球隊主檔!$A$2:$A$31,0))</f>
        <v>堪薩斯市皇家</v>
      </c>
      <c r="F688" s="10" t="str">
        <f aca="false">INDEX(球隊主檔!$D$2:$D$31,MATCH($D688,球隊主檔!$A$2:$A$31,0))</f>
        <v>美聯</v>
      </c>
      <c r="G688" s="7" t="s">
        <v>507</v>
      </c>
      <c r="H688" s="11" t="n">
        <f aca="false">INT((DATE($A688,7,1)-INDEX(球員主檔!$G$2:$G$749,MATCH($B688,球員主檔!$A$2:$A$749,0)))/365.25)</f>
        <v>25</v>
      </c>
      <c r="I688" s="12" t="n">
        <v>6</v>
      </c>
      <c r="J688" s="12" t="n">
        <v>8</v>
      </c>
      <c r="K688" s="12" t="n">
        <v>0</v>
      </c>
      <c r="L688" s="12" t="n">
        <v>11</v>
      </c>
      <c r="M688" s="12" t="n">
        <v>59</v>
      </c>
      <c r="N688" s="12" t="n">
        <v>0</v>
      </c>
      <c r="O688" s="12" t="n">
        <v>164</v>
      </c>
      <c r="P688" s="16" t="n">
        <f aca="false">O688/3</f>
        <v>54.6666666666667</v>
      </c>
      <c r="Q688" s="17" t="str">
        <f aca="false">INT(O688/3)&amp;"."&amp;MOD(O688,3)</f>
        <v>54.2</v>
      </c>
      <c r="R688" s="12" t="n">
        <v>45</v>
      </c>
      <c r="S688" s="12" t="n">
        <v>27</v>
      </c>
      <c r="T688" s="12" t="n">
        <v>27</v>
      </c>
      <c r="U688" s="12" t="n">
        <v>12</v>
      </c>
      <c r="V688" s="12" t="n">
        <v>22</v>
      </c>
      <c r="W688" s="12" t="n">
        <v>38</v>
      </c>
      <c r="X688" s="12" t="n">
        <v>1</v>
      </c>
      <c r="Y688" s="18" t="n">
        <f aca="false">IF(O688=0,0,T688*27/O688)</f>
        <v>4.44512195121951</v>
      </c>
      <c r="Z688" s="18" t="n">
        <f aca="false">IF(P688=0,0,(V688+R688)/P688)</f>
        <v>1.22560975609756</v>
      </c>
      <c r="AA688" s="18" t="n">
        <f aca="false">IF(O688=0,0,W688*27/O688)</f>
        <v>6.25609756097561</v>
      </c>
      <c r="AB688" s="18" t="n">
        <f aca="false">IF(O688=0,0,V688*27/O688)</f>
        <v>3.6219512195122</v>
      </c>
      <c r="AC688" s="18" t="n">
        <f aca="false">IF(V688=0,0,W688/V688)</f>
        <v>1.72727272727273</v>
      </c>
      <c r="AD688" s="18" t="n">
        <f aca="false">IF(P688=0,0,(13*U688+3*(V688+X688)-2*W688)/P688+INDEX(球季參數!$C$2:$C$4,MATCH($A688,球季參數!$A$2:$A$4,0)))</f>
        <v>5.80560975609756</v>
      </c>
      <c r="AE688" s="11" t="n">
        <f aca="false">IF(P688&gt;=INDEX(球季參數!$F$2:$F$4,MATCH($A688,球季參數!$A$2:$A$4,0)),1,0)</f>
        <v>0</v>
      </c>
    </row>
    <row r="689" customFormat="false" ht="15" hidden="false" customHeight="false" outlineLevel="0" collapsed="false">
      <c r="A689" s="5" t="n">
        <v>2026</v>
      </c>
      <c r="B689" s="7" t="s">
        <v>831</v>
      </c>
      <c r="C689" s="10" t="str">
        <f aca="false">INDEX(球員主檔!$B$2:$B$749,MATCH($B689,球員主檔!$A$2:$A$749,0))</f>
        <v>Tobias Blackwood</v>
      </c>
      <c r="D689" s="7" t="s">
        <v>375</v>
      </c>
      <c r="E689" s="10" t="str">
        <f aca="false">INDEX(球隊主檔!$C$2:$C$31,MATCH($D689,球隊主檔!$A$2:$A$31,0))</f>
        <v>堪薩斯市皇家</v>
      </c>
      <c r="F689" s="10" t="str">
        <f aca="false">INDEX(球隊主檔!$D$2:$D$31,MATCH($D689,球隊主檔!$A$2:$A$31,0))</f>
        <v>美聯</v>
      </c>
      <c r="G689" s="7" t="s">
        <v>507</v>
      </c>
      <c r="H689" s="11" t="n">
        <f aca="false">INT((DATE($A689,7,1)-INDEX(球員主檔!$G$2:$G$749,MATCH($B689,球員主檔!$A$2:$A$749,0)))/365.25)</f>
        <v>29</v>
      </c>
      <c r="I689" s="12" t="n">
        <v>1</v>
      </c>
      <c r="J689" s="12" t="n">
        <v>5</v>
      </c>
      <c r="K689" s="12" t="n">
        <v>1</v>
      </c>
      <c r="L689" s="12" t="n">
        <v>26</v>
      </c>
      <c r="M689" s="12" t="n">
        <v>61</v>
      </c>
      <c r="N689" s="12" t="n">
        <v>0</v>
      </c>
      <c r="O689" s="12" t="n">
        <v>179</v>
      </c>
      <c r="P689" s="16" t="n">
        <f aca="false">O689/3</f>
        <v>59.6666666666667</v>
      </c>
      <c r="Q689" s="17" t="str">
        <f aca="false">INT(O689/3)&amp;"."&amp;MOD(O689,3)</f>
        <v>59.2</v>
      </c>
      <c r="R689" s="12" t="n">
        <v>50</v>
      </c>
      <c r="S689" s="12" t="n">
        <v>30</v>
      </c>
      <c r="T689" s="12" t="n">
        <v>27</v>
      </c>
      <c r="U689" s="12" t="n">
        <v>8</v>
      </c>
      <c r="V689" s="12" t="n">
        <v>17</v>
      </c>
      <c r="W689" s="12" t="n">
        <v>63</v>
      </c>
      <c r="X689" s="12" t="n">
        <v>2</v>
      </c>
      <c r="Y689" s="18" t="n">
        <f aca="false">IF(O689=0,0,T689*27/O689)</f>
        <v>4.07262569832402</v>
      </c>
      <c r="Z689" s="18" t="n">
        <f aca="false">IF(P689=0,0,(V689+R689)/P689)</f>
        <v>1.12290502793296</v>
      </c>
      <c r="AA689" s="18" t="n">
        <f aca="false">IF(O689=0,0,W689*27/O689)</f>
        <v>9.50279329608939</v>
      </c>
      <c r="AB689" s="18" t="n">
        <f aca="false">IF(O689=0,0,V689*27/O689)</f>
        <v>2.56424581005587</v>
      </c>
      <c r="AC689" s="18" t="n">
        <f aca="false">IF(V689=0,0,W689/V689)</f>
        <v>3.70588235294118</v>
      </c>
      <c r="AD689" s="18" t="n">
        <f aca="false">IF(P689=0,0,(13*U689+3*(V689+X689)-2*W689)/P689+INDEX(球季參數!$C$2:$C$4,MATCH($A689,球季參數!$A$2:$A$4,0)))</f>
        <v>3.66659217877095</v>
      </c>
      <c r="AE689" s="11" t="n">
        <f aca="false">IF(P689&gt;=INDEX(球季參數!$F$2:$F$4,MATCH($A689,球季參數!$A$2:$A$4,0)),1,0)</f>
        <v>0</v>
      </c>
    </row>
    <row r="690" customFormat="false" ht="15" hidden="false" customHeight="false" outlineLevel="0" collapsed="false">
      <c r="A690" s="5" t="n">
        <v>2026</v>
      </c>
      <c r="B690" s="7" t="s">
        <v>833</v>
      </c>
      <c r="C690" s="10" t="str">
        <f aca="false">INDEX(球員主檔!$B$2:$B$749,MATCH($B690,球員主檔!$A$2:$A$749,0))</f>
        <v>Tristan Stroheim</v>
      </c>
      <c r="D690" s="7" t="s">
        <v>375</v>
      </c>
      <c r="E690" s="10" t="str">
        <f aca="false">INDEX(球隊主檔!$C$2:$C$31,MATCH($D690,球隊主檔!$A$2:$A$31,0))</f>
        <v>堪薩斯市皇家</v>
      </c>
      <c r="F690" s="10" t="str">
        <f aca="false">INDEX(球隊主檔!$D$2:$D$31,MATCH($D690,球隊主檔!$A$2:$A$31,0))</f>
        <v>美聯</v>
      </c>
      <c r="G690" s="7" t="s">
        <v>507</v>
      </c>
      <c r="H690" s="11" t="n">
        <f aca="false">INT((DATE($A690,7,1)-INDEX(球員主檔!$G$2:$G$749,MATCH($B690,球員主檔!$A$2:$A$749,0)))/365.25)</f>
        <v>28</v>
      </c>
      <c r="I690" s="12" t="n">
        <v>2</v>
      </c>
      <c r="J690" s="12" t="n">
        <v>4</v>
      </c>
      <c r="K690" s="12" t="n">
        <v>2</v>
      </c>
      <c r="L690" s="12" t="n">
        <v>31</v>
      </c>
      <c r="M690" s="12" t="n">
        <v>73</v>
      </c>
      <c r="N690" s="12" t="n">
        <v>0</v>
      </c>
      <c r="O690" s="12" t="n">
        <v>218</v>
      </c>
      <c r="P690" s="16" t="n">
        <f aca="false">O690/3</f>
        <v>72.6666666666667</v>
      </c>
      <c r="Q690" s="17" t="str">
        <f aca="false">INT(O690/3)&amp;"."&amp;MOD(O690,3)</f>
        <v>72.2</v>
      </c>
      <c r="R690" s="12" t="n">
        <v>70</v>
      </c>
      <c r="S690" s="12" t="n">
        <v>44</v>
      </c>
      <c r="T690" s="12" t="n">
        <v>41</v>
      </c>
      <c r="U690" s="12" t="n">
        <v>12</v>
      </c>
      <c r="V690" s="12" t="n">
        <v>24</v>
      </c>
      <c r="W690" s="12" t="n">
        <v>92</v>
      </c>
      <c r="X690" s="12" t="n">
        <v>3</v>
      </c>
      <c r="Y690" s="18" t="n">
        <f aca="false">IF(O690=0,0,T690*27/O690)</f>
        <v>5.07798165137615</v>
      </c>
      <c r="Z690" s="18" t="n">
        <f aca="false">IF(P690=0,0,(V690+R690)/P690)</f>
        <v>1.29357798165138</v>
      </c>
      <c r="AA690" s="18" t="n">
        <f aca="false">IF(O690=0,0,W690*27/O690)</f>
        <v>11.394495412844</v>
      </c>
      <c r="AB690" s="18" t="n">
        <f aca="false">IF(O690=0,0,V690*27/O690)</f>
        <v>2.97247706422018</v>
      </c>
      <c r="AC690" s="18" t="n">
        <f aca="false">IF(V690=0,0,W690/V690)</f>
        <v>3.83333333333333</v>
      </c>
      <c r="AD690" s="18" t="n">
        <f aca="false">IF(P690=0,0,(13*U690+3*(V690+X690)-2*W690)/P690+INDEX(球季參數!$C$2:$C$4,MATCH($A690,球季參數!$A$2:$A$4,0)))</f>
        <v>3.80935779816514</v>
      </c>
      <c r="AE690" s="11" t="n">
        <f aca="false">IF(P690&gt;=INDEX(球季參數!$F$2:$F$4,MATCH($A690,球季參數!$A$2:$A$4,0)),1,0)</f>
        <v>0</v>
      </c>
    </row>
    <row r="691" customFormat="false" ht="15" hidden="false" customHeight="false" outlineLevel="0" collapsed="false">
      <c r="A691" s="5" t="n">
        <v>2026</v>
      </c>
      <c r="B691" s="7" t="s">
        <v>1711</v>
      </c>
      <c r="C691" s="10" t="str">
        <f aca="false">INDEX(球員主檔!$B$2:$B$749,MATCH($B691,球員主檔!$A$2:$A$749,0))</f>
        <v>Dashiell Larrabee</v>
      </c>
      <c r="D691" s="7" t="s">
        <v>375</v>
      </c>
      <c r="E691" s="10" t="str">
        <f aca="false">INDEX(球隊主檔!$C$2:$C$31,MATCH($D691,球隊主檔!$A$2:$A$31,0))</f>
        <v>堪薩斯市皇家</v>
      </c>
      <c r="F691" s="10" t="str">
        <f aca="false">INDEX(球隊主檔!$D$2:$D$31,MATCH($D691,球隊主檔!$A$2:$A$31,0))</f>
        <v>美聯</v>
      </c>
      <c r="G691" s="7" t="s">
        <v>507</v>
      </c>
      <c r="H691" s="11" t="n">
        <f aca="false">INT((DATE($A691,7,1)-INDEX(球員主檔!$G$2:$G$749,MATCH($B691,球員主檔!$A$2:$A$749,0)))/365.25)</f>
        <v>23</v>
      </c>
      <c r="I691" s="12" t="n">
        <v>0</v>
      </c>
      <c r="J691" s="12" t="n">
        <v>8</v>
      </c>
      <c r="K691" s="12" t="n">
        <v>0</v>
      </c>
      <c r="L691" s="12" t="n">
        <v>22</v>
      </c>
      <c r="M691" s="12" t="n">
        <v>56</v>
      </c>
      <c r="N691" s="12" t="n">
        <v>0</v>
      </c>
      <c r="O691" s="12" t="n">
        <v>147</v>
      </c>
      <c r="P691" s="16" t="n">
        <f aca="false">O691/3</f>
        <v>49</v>
      </c>
      <c r="Q691" s="17" t="str">
        <f aca="false">INT(O691/3)&amp;"."&amp;MOD(O691,3)</f>
        <v>49.0</v>
      </c>
      <c r="R691" s="12" t="n">
        <v>41</v>
      </c>
      <c r="S691" s="12" t="n">
        <v>20</v>
      </c>
      <c r="T691" s="12" t="n">
        <v>20</v>
      </c>
      <c r="U691" s="12" t="n">
        <v>2</v>
      </c>
      <c r="V691" s="12" t="n">
        <v>23</v>
      </c>
      <c r="W691" s="12" t="n">
        <v>61</v>
      </c>
      <c r="X691" s="12" t="n">
        <v>2</v>
      </c>
      <c r="Y691" s="18" t="n">
        <f aca="false">IF(O691=0,0,T691*27/O691)</f>
        <v>3.6734693877551</v>
      </c>
      <c r="Z691" s="18" t="n">
        <f aca="false">IF(P691=0,0,(V691+R691)/P691)</f>
        <v>1.30612244897959</v>
      </c>
      <c r="AA691" s="18" t="n">
        <f aca="false">IF(O691=0,0,W691*27/O691)</f>
        <v>11.2040816326531</v>
      </c>
      <c r="AB691" s="18" t="n">
        <f aca="false">IF(O691=0,0,V691*27/O691)</f>
        <v>4.22448979591837</v>
      </c>
      <c r="AC691" s="18" t="n">
        <f aca="false">IF(V691=0,0,W691/V691)</f>
        <v>2.65217391304348</v>
      </c>
      <c r="AD691" s="18" t="n">
        <f aca="false">IF(P691=0,0,(13*U691+3*(V691+X691)-2*W691)/P691+INDEX(球季參數!$C$2:$C$4,MATCH($A691,球季參數!$A$2:$A$4,0)))</f>
        <v>2.65142857142857</v>
      </c>
      <c r="AE691" s="11" t="n">
        <f aca="false">IF(P691&gt;=INDEX(球季參數!$F$2:$F$4,MATCH($A691,球季參數!$A$2:$A$4,0)),1,0)</f>
        <v>0</v>
      </c>
    </row>
    <row r="692" customFormat="false" ht="15" hidden="false" customHeight="false" outlineLevel="0" collapsed="false">
      <c r="A692" s="5" t="n">
        <v>2026</v>
      </c>
      <c r="B692" s="7" t="s">
        <v>857</v>
      </c>
      <c r="C692" s="10" t="str">
        <f aca="false">INDEX(球員主檔!$B$2:$B$749,MATCH($B692,球員主檔!$A$2:$A$749,0))</f>
        <v>Silas Lemieux</v>
      </c>
      <c r="D692" s="7" t="s">
        <v>379</v>
      </c>
      <c r="E692" s="10" t="str">
        <f aca="false">INDEX(球隊主檔!$C$2:$C$31,MATCH($D692,球隊主檔!$A$2:$A$31,0))</f>
        <v>明尼蘇達雙城</v>
      </c>
      <c r="F692" s="10" t="str">
        <f aca="false">INDEX(球隊主檔!$D$2:$D$31,MATCH($D692,球隊主檔!$A$2:$A$31,0))</f>
        <v>美聯</v>
      </c>
      <c r="G692" s="7" t="s">
        <v>496</v>
      </c>
      <c r="H692" s="11" t="n">
        <f aca="false">INT((DATE($A692,7,1)-INDEX(球員主檔!$G$2:$G$749,MATCH($B692,球員主檔!$A$2:$A$749,0)))/365.25)</f>
        <v>30</v>
      </c>
      <c r="I692" s="12" t="n">
        <v>12</v>
      </c>
      <c r="J692" s="12" t="n">
        <v>7</v>
      </c>
      <c r="K692" s="12" t="n">
        <v>0</v>
      </c>
      <c r="L692" s="12" t="n">
        <v>0</v>
      </c>
      <c r="M692" s="12" t="n">
        <v>28</v>
      </c>
      <c r="N692" s="12" t="n">
        <v>28</v>
      </c>
      <c r="O692" s="12" t="n">
        <v>431</v>
      </c>
      <c r="P692" s="16" t="n">
        <f aca="false">O692/3</f>
        <v>143.666666666667</v>
      </c>
      <c r="Q692" s="17" t="str">
        <f aca="false">INT(O692/3)&amp;"."&amp;MOD(O692,3)</f>
        <v>143.2</v>
      </c>
      <c r="R692" s="12" t="n">
        <v>117</v>
      </c>
      <c r="S692" s="12" t="n">
        <v>63</v>
      </c>
      <c r="T692" s="12" t="n">
        <v>60</v>
      </c>
      <c r="U692" s="12" t="n">
        <v>22</v>
      </c>
      <c r="V692" s="12" t="n">
        <v>45</v>
      </c>
      <c r="W692" s="12" t="n">
        <v>160</v>
      </c>
      <c r="X692" s="12" t="n">
        <v>4</v>
      </c>
      <c r="Y692" s="18" t="n">
        <f aca="false">IF(O692=0,0,T692*27/O692)</f>
        <v>3.75870069605568</v>
      </c>
      <c r="Z692" s="18" t="n">
        <f aca="false">IF(P692=0,0,(V692+R692)/P692)</f>
        <v>1.12761020881671</v>
      </c>
      <c r="AA692" s="18" t="n">
        <f aca="false">IF(O692=0,0,W692*27/O692)</f>
        <v>10.0232018561485</v>
      </c>
      <c r="AB692" s="18" t="n">
        <f aca="false">IF(O692=0,0,V692*27/O692)</f>
        <v>2.81902552204176</v>
      </c>
      <c r="AC692" s="18" t="n">
        <f aca="false">IF(V692=0,0,W692/V692)</f>
        <v>3.55555555555556</v>
      </c>
      <c r="AD692" s="18" t="n">
        <f aca="false">IF(P692=0,0,(13*U692+3*(V692+X692)-2*W692)/P692+INDEX(球季參數!$C$2:$C$4,MATCH($A692,球季參數!$A$2:$A$4,0)))</f>
        <v>3.86654292343388</v>
      </c>
      <c r="AE692" s="11" t="n">
        <f aca="false">IF(P692&gt;=INDEX(球季參數!$F$2:$F$4,MATCH($A692,球季參數!$A$2:$A$4,0)),1,0)</f>
        <v>0</v>
      </c>
    </row>
    <row r="693" customFormat="false" ht="15" hidden="false" customHeight="false" outlineLevel="0" collapsed="false">
      <c r="A693" s="5" t="n">
        <v>2026</v>
      </c>
      <c r="B693" s="7" t="s">
        <v>859</v>
      </c>
      <c r="C693" s="10" t="str">
        <f aca="false">INDEX(球員主檔!$B$2:$B$749,MATCH($B693,球員主檔!$A$2:$A$749,0))</f>
        <v>Osvaldo Fontaine</v>
      </c>
      <c r="D693" s="7" t="s">
        <v>379</v>
      </c>
      <c r="E693" s="10" t="str">
        <f aca="false">INDEX(球隊主檔!$C$2:$C$31,MATCH($D693,球隊主檔!$A$2:$A$31,0))</f>
        <v>明尼蘇達雙城</v>
      </c>
      <c r="F693" s="10" t="str">
        <f aca="false">INDEX(球隊主檔!$D$2:$D$31,MATCH($D693,球隊主檔!$A$2:$A$31,0))</f>
        <v>美聯</v>
      </c>
      <c r="G693" s="7" t="s">
        <v>496</v>
      </c>
      <c r="H693" s="11" t="n">
        <f aca="false">INT((DATE($A693,7,1)-INDEX(球員主檔!$G$2:$G$749,MATCH($B693,球員主檔!$A$2:$A$749,0)))/365.25)</f>
        <v>32</v>
      </c>
      <c r="I693" s="12" t="n">
        <v>8</v>
      </c>
      <c r="J693" s="12" t="n">
        <v>12</v>
      </c>
      <c r="K693" s="12" t="n">
        <v>0</v>
      </c>
      <c r="L693" s="12" t="n">
        <v>0</v>
      </c>
      <c r="M693" s="12" t="n">
        <v>30</v>
      </c>
      <c r="N693" s="12" t="n">
        <v>30</v>
      </c>
      <c r="O693" s="12" t="n">
        <v>506</v>
      </c>
      <c r="P693" s="16" t="n">
        <f aca="false">O693/3</f>
        <v>168.666666666667</v>
      </c>
      <c r="Q693" s="17" t="str">
        <f aca="false">INT(O693/3)&amp;"."&amp;MOD(O693,3)</f>
        <v>168.2</v>
      </c>
      <c r="R693" s="12" t="n">
        <v>165</v>
      </c>
      <c r="S693" s="12" t="n">
        <v>108</v>
      </c>
      <c r="T693" s="12" t="n">
        <v>107</v>
      </c>
      <c r="U693" s="12" t="n">
        <v>33</v>
      </c>
      <c r="V693" s="12" t="n">
        <v>60</v>
      </c>
      <c r="W693" s="12" t="n">
        <v>231</v>
      </c>
      <c r="X693" s="12" t="n">
        <v>4</v>
      </c>
      <c r="Y693" s="18" t="n">
        <f aca="false">IF(O693=0,0,T693*27/O693)</f>
        <v>5.70948616600791</v>
      </c>
      <c r="Z693" s="18" t="n">
        <f aca="false">IF(P693=0,0,(V693+R693)/P693)</f>
        <v>1.33399209486166</v>
      </c>
      <c r="AA693" s="18" t="n">
        <f aca="false">IF(O693=0,0,W693*27/O693)</f>
        <v>12.3260869565217</v>
      </c>
      <c r="AB693" s="18" t="n">
        <f aca="false">IF(O693=0,0,V693*27/O693)</f>
        <v>3.20158102766798</v>
      </c>
      <c r="AC693" s="18" t="n">
        <f aca="false">IF(V693=0,0,W693/V693)</f>
        <v>3.85</v>
      </c>
      <c r="AD693" s="18" t="n">
        <f aca="false">IF(P693=0,0,(13*U693+3*(V693+X693)-2*W693)/P693+INDEX(球季參數!$C$2:$C$4,MATCH($A693,球季參數!$A$2:$A$4,0)))</f>
        <v>4.02268774703557</v>
      </c>
      <c r="AE693" s="11" t="n">
        <f aca="false">IF(P693&gt;=INDEX(球季參數!$F$2:$F$4,MATCH($A693,球季參數!$A$2:$A$4,0)),1,0)</f>
        <v>1</v>
      </c>
    </row>
    <row r="694" customFormat="false" ht="15" hidden="false" customHeight="false" outlineLevel="0" collapsed="false">
      <c r="A694" s="5" t="n">
        <v>2026</v>
      </c>
      <c r="B694" s="7" t="s">
        <v>1713</v>
      </c>
      <c r="C694" s="10" t="str">
        <f aca="false">INDEX(球員主檔!$B$2:$B$749,MATCH($B694,球員主檔!$A$2:$A$749,0))</f>
        <v>Barrett Yamazaki</v>
      </c>
      <c r="D694" s="7" t="s">
        <v>379</v>
      </c>
      <c r="E694" s="10" t="str">
        <f aca="false">INDEX(球隊主檔!$C$2:$C$31,MATCH($D694,球隊主檔!$A$2:$A$31,0))</f>
        <v>明尼蘇達雙城</v>
      </c>
      <c r="F694" s="10" t="str">
        <f aca="false">INDEX(球隊主檔!$D$2:$D$31,MATCH($D694,球隊主檔!$A$2:$A$31,0))</f>
        <v>美聯</v>
      </c>
      <c r="G694" s="7" t="s">
        <v>496</v>
      </c>
      <c r="H694" s="11" t="n">
        <f aca="false">INT((DATE($A694,7,1)-INDEX(球員主檔!$G$2:$G$749,MATCH($B694,球員主檔!$A$2:$A$749,0)))/365.25)</f>
        <v>25</v>
      </c>
      <c r="I694" s="12" t="n">
        <v>10</v>
      </c>
      <c r="J694" s="12" t="n">
        <v>7</v>
      </c>
      <c r="K694" s="12" t="n">
        <v>0</v>
      </c>
      <c r="L694" s="12" t="n">
        <v>0</v>
      </c>
      <c r="M694" s="12" t="n">
        <v>30</v>
      </c>
      <c r="N694" s="12" t="n">
        <v>30</v>
      </c>
      <c r="O694" s="12" t="n">
        <v>440</v>
      </c>
      <c r="P694" s="16" t="n">
        <f aca="false">O694/3</f>
        <v>146.666666666667</v>
      </c>
      <c r="Q694" s="17" t="str">
        <f aca="false">INT(O694/3)&amp;"."&amp;MOD(O694,3)</f>
        <v>146.2</v>
      </c>
      <c r="R694" s="12" t="n">
        <v>132</v>
      </c>
      <c r="S694" s="12" t="n">
        <v>86</v>
      </c>
      <c r="T694" s="12" t="n">
        <v>77</v>
      </c>
      <c r="U694" s="12" t="n">
        <v>17</v>
      </c>
      <c r="V694" s="12" t="n">
        <v>37</v>
      </c>
      <c r="W694" s="12" t="n">
        <v>117</v>
      </c>
      <c r="X694" s="12" t="n">
        <v>2</v>
      </c>
      <c r="Y694" s="18" t="n">
        <f aca="false">IF(O694=0,0,T694*27/O694)</f>
        <v>4.725</v>
      </c>
      <c r="Z694" s="18" t="n">
        <f aca="false">IF(P694=0,0,(V694+R694)/P694)</f>
        <v>1.15227272727273</v>
      </c>
      <c r="AA694" s="18" t="n">
        <f aca="false">IF(O694=0,0,W694*27/O694)</f>
        <v>7.17954545454546</v>
      </c>
      <c r="AB694" s="18" t="n">
        <f aca="false">IF(O694=0,0,V694*27/O694)</f>
        <v>2.27045454545455</v>
      </c>
      <c r="AC694" s="18" t="n">
        <f aca="false">IF(V694=0,0,W694/V694)</f>
        <v>3.16216216216216</v>
      </c>
      <c r="AD694" s="18" t="n">
        <f aca="false">IF(P694=0,0,(13*U694+3*(V694+X694)-2*W694)/P694+INDEX(球季參數!$C$2:$C$4,MATCH($A694,球季參數!$A$2:$A$4,0)))</f>
        <v>3.78909090909091</v>
      </c>
      <c r="AE694" s="11" t="n">
        <f aca="false">IF(P694&gt;=INDEX(球季參數!$F$2:$F$4,MATCH($A694,球季參數!$A$2:$A$4,0)),1,0)</f>
        <v>0</v>
      </c>
    </row>
    <row r="695" customFormat="false" ht="15" hidden="false" customHeight="false" outlineLevel="0" collapsed="false">
      <c r="A695" s="5" t="n">
        <v>2026</v>
      </c>
      <c r="B695" s="7" t="s">
        <v>1715</v>
      </c>
      <c r="C695" s="10" t="str">
        <f aca="false">INDEX(球員主檔!$B$2:$B$749,MATCH($B695,球員主檔!$A$2:$A$749,0))</f>
        <v>Kellan Okafor</v>
      </c>
      <c r="D695" s="7" t="s">
        <v>379</v>
      </c>
      <c r="E695" s="10" t="str">
        <f aca="false">INDEX(球隊主檔!$C$2:$C$31,MATCH($D695,球隊主檔!$A$2:$A$31,0))</f>
        <v>明尼蘇達雙城</v>
      </c>
      <c r="F695" s="10" t="str">
        <f aca="false">INDEX(球隊主檔!$D$2:$D$31,MATCH($D695,球隊主檔!$A$2:$A$31,0))</f>
        <v>美聯</v>
      </c>
      <c r="G695" s="7" t="s">
        <v>496</v>
      </c>
      <c r="H695" s="11" t="n">
        <f aca="false">INT((DATE($A695,7,1)-INDEX(球員主檔!$G$2:$G$749,MATCH($B695,球員主檔!$A$2:$A$749,0)))/365.25)</f>
        <v>22</v>
      </c>
      <c r="I695" s="12" t="n">
        <v>6</v>
      </c>
      <c r="J695" s="12" t="n">
        <v>7</v>
      </c>
      <c r="K695" s="12" t="n">
        <v>0</v>
      </c>
      <c r="L695" s="12" t="n">
        <v>0</v>
      </c>
      <c r="M695" s="12" t="n">
        <v>17</v>
      </c>
      <c r="N695" s="12" t="n">
        <v>17</v>
      </c>
      <c r="O695" s="12" t="n">
        <v>304</v>
      </c>
      <c r="P695" s="16" t="n">
        <f aca="false">O695/3</f>
        <v>101.333333333333</v>
      </c>
      <c r="Q695" s="17" t="str">
        <f aca="false">INT(O695/3)&amp;"."&amp;MOD(O695,3)</f>
        <v>101.1</v>
      </c>
      <c r="R695" s="12" t="n">
        <v>89</v>
      </c>
      <c r="S695" s="12" t="n">
        <v>56</v>
      </c>
      <c r="T695" s="12" t="n">
        <v>53</v>
      </c>
      <c r="U695" s="12" t="n">
        <v>9</v>
      </c>
      <c r="V695" s="12" t="n">
        <v>23</v>
      </c>
      <c r="W695" s="12" t="n">
        <v>128</v>
      </c>
      <c r="X695" s="12" t="n">
        <v>3</v>
      </c>
      <c r="Y695" s="18" t="n">
        <f aca="false">IF(O695=0,0,T695*27/O695)</f>
        <v>4.70723684210526</v>
      </c>
      <c r="Z695" s="18" t="n">
        <f aca="false">IF(P695=0,0,(V695+R695)/P695)</f>
        <v>1.10526315789474</v>
      </c>
      <c r="AA695" s="18" t="n">
        <f aca="false">IF(O695=0,0,W695*27/O695)</f>
        <v>11.3684210526316</v>
      </c>
      <c r="AB695" s="18" t="n">
        <f aca="false">IF(O695=0,0,V695*27/O695)</f>
        <v>2.04276315789474</v>
      </c>
      <c r="AC695" s="18" t="n">
        <f aca="false">IF(V695=0,0,W695/V695)</f>
        <v>5.56521739130435</v>
      </c>
      <c r="AD695" s="18" t="n">
        <f aca="false">IF(P695=0,0,(13*U695+3*(V695+X695)-2*W695)/P695+INDEX(球季參數!$C$2:$C$4,MATCH($A695,球季參數!$A$2:$A$4,0)))</f>
        <v>2.47802631578947</v>
      </c>
      <c r="AE695" s="11" t="n">
        <f aca="false">IF(P695&gt;=INDEX(球季參數!$F$2:$F$4,MATCH($A695,球季參數!$A$2:$A$4,0)),1,0)</f>
        <v>0</v>
      </c>
    </row>
    <row r="696" customFormat="false" ht="15" hidden="false" customHeight="false" outlineLevel="0" collapsed="false">
      <c r="A696" s="5" t="n">
        <v>2026</v>
      </c>
      <c r="B696" s="7" t="s">
        <v>865</v>
      </c>
      <c r="C696" s="10" t="str">
        <f aca="false">INDEX(球員主檔!$B$2:$B$749,MATCH($B696,球員主檔!$A$2:$A$749,0))</f>
        <v>Seonwoo Lemieux</v>
      </c>
      <c r="D696" s="7" t="s">
        <v>379</v>
      </c>
      <c r="E696" s="10" t="str">
        <f aca="false">INDEX(球隊主檔!$C$2:$C$31,MATCH($D696,球隊主檔!$A$2:$A$31,0))</f>
        <v>明尼蘇達雙城</v>
      </c>
      <c r="F696" s="10" t="str">
        <f aca="false">INDEX(球隊主檔!$D$2:$D$31,MATCH($D696,球隊主檔!$A$2:$A$31,0))</f>
        <v>美聯</v>
      </c>
      <c r="G696" s="7" t="s">
        <v>496</v>
      </c>
      <c r="H696" s="11" t="n">
        <f aca="false">INT((DATE($A696,7,1)-INDEX(球員主檔!$G$2:$G$749,MATCH($B696,球員主檔!$A$2:$A$749,0)))/365.25)</f>
        <v>33</v>
      </c>
      <c r="I696" s="12" t="n">
        <v>8</v>
      </c>
      <c r="J696" s="12" t="n">
        <v>7</v>
      </c>
      <c r="K696" s="12" t="n">
        <v>0</v>
      </c>
      <c r="L696" s="12" t="n">
        <v>0</v>
      </c>
      <c r="M696" s="12" t="n">
        <v>21</v>
      </c>
      <c r="N696" s="12" t="n">
        <v>21</v>
      </c>
      <c r="O696" s="12" t="n">
        <v>321</v>
      </c>
      <c r="P696" s="16" t="n">
        <f aca="false">O696/3</f>
        <v>107</v>
      </c>
      <c r="Q696" s="17" t="str">
        <f aca="false">INT(O696/3)&amp;"."&amp;MOD(O696,3)</f>
        <v>107.0</v>
      </c>
      <c r="R696" s="12" t="n">
        <v>88</v>
      </c>
      <c r="S696" s="12" t="n">
        <v>53</v>
      </c>
      <c r="T696" s="12" t="n">
        <v>48</v>
      </c>
      <c r="U696" s="12" t="n">
        <v>9</v>
      </c>
      <c r="V696" s="12" t="n">
        <v>40</v>
      </c>
      <c r="W696" s="12" t="n">
        <v>112</v>
      </c>
      <c r="X696" s="12" t="n">
        <v>6</v>
      </c>
      <c r="Y696" s="18" t="n">
        <f aca="false">IF(O696=0,0,T696*27/O696)</f>
        <v>4.03738317757009</v>
      </c>
      <c r="Z696" s="18" t="n">
        <f aca="false">IF(P696=0,0,(V696+R696)/P696)</f>
        <v>1.19626168224299</v>
      </c>
      <c r="AA696" s="18" t="n">
        <f aca="false">IF(O696=0,0,W696*27/O696)</f>
        <v>9.42056074766355</v>
      </c>
      <c r="AB696" s="18" t="n">
        <f aca="false">IF(O696=0,0,V696*27/O696)</f>
        <v>3.36448598130841</v>
      </c>
      <c r="AC696" s="18" t="n">
        <f aca="false">IF(V696=0,0,W696/V696)</f>
        <v>2.8</v>
      </c>
      <c r="AD696" s="18" t="n">
        <f aca="false">IF(P696=0,0,(13*U696+3*(V696+X696)-2*W696)/P696+INDEX(球季參數!$C$2:$C$4,MATCH($A696,球季參數!$A$2:$A$4,0)))</f>
        <v>3.36971962616822</v>
      </c>
      <c r="AE696" s="11" t="n">
        <f aca="false">IF(P696&gt;=INDEX(球季參數!$F$2:$F$4,MATCH($A696,球季參數!$A$2:$A$4,0)),1,0)</f>
        <v>0</v>
      </c>
    </row>
    <row r="697" customFormat="false" ht="15" hidden="false" customHeight="false" outlineLevel="0" collapsed="false">
      <c r="A697" s="5" t="n">
        <v>2026</v>
      </c>
      <c r="B697" s="7" t="s">
        <v>867</v>
      </c>
      <c r="C697" s="10" t="str">
        <f aca="false">INDEX(球員主檔!$B$2:$B$749,MATCH($B697,球員主檔!$A$2:$A$749,0))</f>
        <v>Ignacio Iwasaki</v>
      </c>
      <c r="D697" s="7" t="s">
        <v>379</v>
      </c>
      <c r="E697" s="10" t="str">
        <f aca="false">INDEX(球隊主檔!$C$2:$C$31,MATCH($D697,球隊主檔!$A$2:$A$31,0))</f>
        <v>明尼蘇達雙城</v>
      </c>
      <c r="F697" s="10" t="str">
        <f aca="false">INDEX(球隊主檔!$D$2:$D$31,MATCH($D697,球隊主檔!$A$2:$A$31,0))</f>
        <v>美聯</v>
      </c>
      <c r="G697" s="7" t="s">
        <v>507</v>
      </c>
      <c r="H697" s="11" t="n">
        <f aca="false">INT((DATE($A697,7,1)-INDEX(球員主檔!$G$2:$G$749,MATCH($B697,球員主檔!$A$2:$A$749,0)))/365.25)</f>
        <v>29</v>
      </c>
      <c r="I697" s="12" t="n">
        <v>2</v>
      </c>
      <c r="J697" s="12" t="n">
        <v>5</v>
      </c>
      <c r="K697" s="12" t="n">
        <v>1</v>
      </c>
      <c r="L697" s="12" t="n">
        <v>17</v>
      </c>
      <c r="M697" s="12" t="n">
        <v>66</v>
      </c>
      <c r="N697" s="12" t="n">
        <v>0</v>
      </c>
      <c r="O697" s="12" t="n">
        <v>210</v>
      </c>
      <c r="P697" s="16" t="n">
        <f aca="false">O697/3</f>
        <v>70</v>
      </c>
      <c r="Q697" s="17" t="str">
        <f aca="false">INT(O697/3)&amp;"."&amp;MOD(O697,3)</f>
        <v>70.0</v>
      </c>
      <c r="R697" s="12" t="n">
        <v>62</v>
      </c>
      <c r="S697" s="12" t="n">
        <v>41</v>
      </c>
      <c r="T697" s="12" t="n">
        <v>39</v>
      </c>
      <c r="U697" s="12" t="n">
        <v>12</v>
      </c>
      <c r="V697" s="12" t="n">
        <v>17</v>
      </c>
      <c r="W697" s="12" t="n">
        <v>53</v>
      </c>
      <c r="X697" s="12" t="n">
        <v>3</v>
      </c>
      <c r="Y697" s="18" t="n">
        <f aca="false">IF(O697=0,0,T697*27/O697)</f>
        <v>5.01428571428571</v>
      </c>
      <c r="Z697" s="18" t="n">
        <f aca="false">IF(P697=0,0,(V697+R697)/P697)</f>
        <v>1.12857142857143</v>
      </c>
      <c r="AA697" s="18" t="n">
        <f aca="false">IF(O697=0,0,W697*27/O697)</f>
        <v>6.81428571428571</v>
      </c>
      <c r="AB697" s="18" t="n">
        <f aca="false">IF(O697=0,0,V697*27/O697)</f>
        <v>2.18571428571429</v>
      </c>
      <c r="AC697" s="18" t="n">
        <f aca="false">IF(V697=0,0,W697/V697)</f>
        <v>3.11764705882353</v>
      </c>
      <c r="AD697" s="18" t="n">
        <f aca="false">IF(P697=0,0,(13*U697+3*(V697+X697)-2*W697)/P697+INDEX(球季參數!$C$2:$C$4,MATCH($A697,球季參數!$A$2:$A$4,0)))</f>
        <v>4.65142857142857</v>
      </c>
      <c r="AE697" s="11" t="n">
        <f aca="false">IF(P697&gt;=INDEX(球季參數!$F$2:$F$4,MATCH($A697,球季參數!$A$2:$A$4,0)),1,0)</f>
        <v>0</v>
      </c>
    </row>
    <row r="698" customFormat="false" ht="15" hidden="false" customHeight="false" outlineLevel="0" collapsed="false">
      <c r="A698" s="5" t="n">
        <v>2026</v>
      </c>
      <c r="B698" s="7" t="s">
        <v>1869</v>
      </c>
      <c r="C698" s="10" t="str">
        <f aca="false">INDEX(球員主檔!$B$2:$B$749,MATCH($B698,球員主檔!$A$2:$A$749,0))</f>
        <v>Joaquín Ostrowski</v>
      </c>
      <c r="D698" s="7" t="s">
        <v>379</v>
      </c>
      <c r="E698" s="10" t="str">
        <f aca="false">INDEX(球隊主檔!$C$2:$C$31,MATCH($D698,球隊主檔!$A$2:$A$31,0))</f>
        <v>明尼蘇達雙城</v>
      </c>
      <c r="F698" s="10" t="str">
        <f aca="false">INDEX(球隊主檔!$D$2:$D$31,MATCH($D698,球隊主檔!$A$2:$A$31,0))</f>
        <v>美聯</v>
      </c>
      <c r="G698" s="7" t="s">
        <v>507</v>
      </c>
      <c r="H698" s="11" t="n">
        <f aca="false">INT((DATE($A698,7,1)-INDEX(球員主檔!$G$2:$G$749,MATCH($B698,球員主檔!$A$2:$A$749,0)))/365.25)</f>
        <v>22</v>
      </c>
      <c r="I698" s="12" t="n">
        <v>4</v>
      </c>
      <c r="J698" s="12" t="n">
        <v>8</v>
      </c>
      <c r="K698" s="12" t="n">
        <v>3</v>
      </c>
      <c r="L698" s="12" t="n">
        <v>32</v>
      </c>
      <c r="M698" s="12" t="n">
        <v>68</v>
      </c>
      <c r="N698" s="12" t="n">
        <v>0</v>
      </c>
      <c r="O698" s="12" t="n">
        <v>178</v>
      </c>
      <c r="P698" s="16" t="n">
        <f aca="false">O698/3</f>
        <v>59.3333333333333</v>
      </c>
      <c r="Q698" s="17" t="str">
        <f aca="false">INT(O698/3)&amp;"."&amp;MOD(O698,3)</f>
        <v>59.1</v>
      </c>
      <c r="R698" s="12" t="n">
        <v>47</v>
      </c>
      <c r="S698" s="12" t="n">
        <v>29</v>
      </c>
      <c r="T698" s="12" t="n">
        <v>29</v>
      </c>
      <c r="U698" s="12" t="n">
        <v>8</v>
      </c>
      <c r="V698" s="12" t="n">
        <v>21</v>
      </c>
      <c r="W698" s="12" t="n">
        <v>74</v>
      </c>
      <c r="X698" s="12" t="n">
        <v>2</v>
      </c>
      <c r="Y698" s="18" t="n">
        <f aca="false">IF(O698=0,0,T698*27/O698)</f>
        <v>4.39887640449438</v>
      </c>
      <c r="Z698" s="18" t="n">
        <f aca="false">IF(P698=0,0,(V698+R698)/P698)</f>
        <v>1.14606741573034</v>
      </c>
      <c r="AA698" s="18" t="n">
        <f aca="false">IF(O698=0,0,W698*27/O698)</f>
        <v>11.2247191011236</v>
      </c>
      <c r="AB698" s="18" t="n">
        <f aca="false">IF(O698=0,0,V698*27/O698)</f>
        <v>3.18539325842697</v>
      </c>
      <c r="AC698" s="18" t="n">
        <f aca="false">IF(V698=0,0,W698/V698)</f>
        <v>3.52380952380952</v>
      </c>
      <c r="AD698" s="18" t="n">
        <f aca="false">IF(P698=0,0,(13*U698+3*(V698+X698)-2*W698)/P698+INDEX(球季參數!$C$2:$C$4,MATCH($A698,球季參數!$A$2:$A$4,0)))</f>
        <v>3.50134831460674</v>
      </c>
      <c r="AE698" s="11" t="n">
        <f aca="false">IF(P698&gt;=INDEX(球季參數!$F$2:$F$4,MATCH($A698,球季參數!$A$2:$A$4,0)),1,0)</f>
        <v>0</v>
      </c>
    </row>
    <row r="699" customFormat="false" ht="15" hidden="false" customHeight="false" outlineLevel="0" collapsed="false">
      <c r="A699" s="5" t="n">
        <v>2026</v>
      </c>
      <c r="B699" s="7" t="s">
        <v>871</v>
      </c>
      <c r="C699" s="10" t="str">
        <f aca="false">INDEX(球員主檔!$B$2:$B$749,MATCH($B699,球員主檔!$A$2:$A$749,0))</f>
        <v>Quentin Underhill</v>
      </c>
      <c r="D699" s="7" t="s">
        <v>379</v>
      </c>
      <c r="E699" s="10" t="str">
        <f aca="false">INDEX(球隊主檔!$C$2:$C$31,MATCH($D699,球隊主檔!$A$2:$A$31,0))</f>
        <v>明尼蘇達雙城</v>
      </c>
      <c r="F699" s="10" t="str">
        <f aca="false">INDEX(球隊主檔!$D$2:$D$31,MATCH($D699,球隊主檔!$A$2:$A$31,0))</f>
        <v>美聯</v>
      </c>
      <c r="G699" s="7" t="s">
        <v>507</v>
      </c>
      <c r="H699" s="11" t="n">
        <f aca="false">INT((DATE($A699,7,1)-INDEX(球員主檔!$G$2:$G$749,MATCH($B699,球員主檔!$A$2:$A$749,0)))/365.25)</f>
        <v>30</v>
      </c>
      <c r="I699" s="12" t="n">
        <v>6</v>
      </c>
      <c r="J699" s="12" t="n">
        <v>4</v>
      </c>
      <c r="K699" s="12" t="n">
        <v>3</v>
      </c>
      <c r="L699" s="12" t="n">
        <v>26</v>
      </c>
      <c r="M699" s="12" t="n">
        <v>55</v>
      </c>
      <c r="N699" s="12" t="n">
        <v>0</v>
      </c>
      <c r="O699" s="12" t="n">
        <v>168</v>
      </c>
      <c r="P699" s="16" t="n">
        <f aca="false">O699/3</f>
        <v>56</v>
      </c>
      <c r="Q699" s="17" t="str">
        <f aca="false">INT(O699/3)&amp;"."&amp;MOD(O699,3)</f>
        <v>56.0</v>
      </c>
      <c r="R699" s="12" t="n">
        <v>42</v>
      </c>
      <c r="S699" s="12" t="n">
        <v>26</v>
      </c>
      <c r="T699" s="12" t="n">
        <v>23</v>
      </c>
      <c r="U699" s="12" t="n">
        <v>8</v>
      </c>
      <c r="V699" s="12" t="n">
        <v>13</v>
      </c>
      <c r="W699" s="12" t="n">
        <v>63</v>
      </c>
      <c r="X699" s="12" t="n">
        <v>2</v>
      </c>
      <c r="Y699" s="18" t="n">
        <f aca="false">IF(O699=0,0,T699*27/O699)</f>
        <v>3.69642857142857</v>
      </c>
      <c r="Z699" s="18" t="n">
        <f aca="false">IF(P699=0,0,(V699+R699)/P699)</f>
        <v>0.982142857142857</v>
      </c>
      <c r="AA699" s="18" t="n">
        <f aca="false">IF(O699=0,0,W699*27/O699)</f>
        <v>10.125</v>
      </c>
      <c r="AB699" s="18" t="n">
        <f aca="false">IF(O699=0,0,V699*27/O699)</f>
        <v>2.08928571428571</v>
      </c>
      <c r="AC699" s="18" t="n">
        <f aca="false">IF(V699=0,0,W699/V699)</f>
        <v>4.84615384615385</v>
      </c>
      <c r="AD699" s="18" t="n">
        <f aca="false">IF(P699=0,0,(13*U699+3*(V699+X699)-2*W699)/P699+INDEX(球季參數!$C$2:$C$4,MATCH($A699,球季參數!$A$2:$A$4,0)))</f>
        <v>3.49071428571429</v>
      </c>
      <c r="AE699" s="11" t="n">
        <f aca="false">IF(P699&gt;=INDEX(球季參數!$F$2:$F$4,MATCH($A699,球季參數!$A$2:$A$4,0)),1,0)</f>
        <v>0</v>
      </c>
    </row>
    <row r="700" customFormat="false" ht="15" hidden="false" customHeight="false" outlineLevel="0" collapsed="false">
      <c r="A700" s="5" t="n">
        <v>2026</v>
      </c>
      <c r="B700" s="7" t="s">
        <v>1341</v>
      </c>
      <c r="C700" s="10" t="str">
        <f aca="false">INDEX(球員主檔!$B$2:$B$749,MATCH($B700,球員主檔!$A$2:$A$749,0))</f>
        <v>Rhett Ingersoll</v>
      </c>
      <c r="D700" s="7" t="s">
        <v>379</v>
      </c>
      <c r="E700" s="10" t="str">
        <f aca="false">INDEX(球隊主檔!$C$2:$C$31,MATCH($D700,球隊主檔!$A$2:$A$31,0))</f>
        <v>明尼蘇達雙城</v>
      </c>
      <c r="F700" s="10" t="str">
        <f aca="false">INDEX(球隊主檔!$D$2:$D$31,MATCH($D700,球隊主檔!$A$2:$A$31,0))</f>
        <v>美聯</v>
      </c>
      <c r="G700" s="7" t="s">
        <v>507</v>
      </c>
      <c r="H700" s="11" t="n">
        <f aca="false">INT((DATE($A700,7,1)-INDEX(球員主檔!$G$2:$G$749,MATCH($B700,球員主檔!$A$2:$A$749,0)))/365.25)</f>
        <v>25</v>
      </c>
      <c r="I700" s="12" t="n">
        <v>7</v>
      </c>
      <c r="J700" s="12" t="n">
        <v>6</v>
      </c>
      <c r="K700" s="12" t="n">
        <v>1</v>
      </c>
      <c r="L700" s="12" t="n">
        <v>13</v>
      </c>
      <c r="M700" s="12" t="n">
        <v>60</v>
      </c>
      <c r="N700" s="12" t="n">
        <v>0</v>
      </c>
      <c r="O700" s="12" t="n">
        <v>202</v>
      </c>
      <c r="P700" s="16" t="n">
        <f aca="false">O700/3</f>
        <v>67.3333333333333</v>
      </c>
      <c r="Q700" s="17" t="str">
        <f aca="false">INT(O700/3)&amp;"."&amp;MOD(O700,3)</f>
        <v>67.1</v>
      </c>
      <c r="R700" s="12" t="n">
        <v>53</v>
      </c>
      <c r="S700" s="12" t="n">
        <v>24</v>
      </c>
      <c r="T700" s="12" t="n">
        <v>22</v>
      </c>
      <c r="U700" s="12" t="n">
        <v>10</v>
      </c>
      <c r="V700" s="12" t="n">
        <v>23</v>
      </c>
      <c r="W700" s="12" t="n">
        <v>75</v>
      </c>
      <c r="X700" s="12" t="n">
        <v>4</v>
      </c>
      <c r="Y700" s="18" t="n">
        <f aca="false">IF(O700=0,0,T700*27/O700)</f>
        <v>2.94059405940594</v>
      </c>
      <c r="Z700" s="18" t="n">
        <f aca="false">IF(P700=0,0,(V700+R700)/P700)</f>
        <v>1.12871287128713</v>
      </c>
      <c r="AA700" s="18" t="n">
        <f aca="false">IF(O700=0,0,W700*27/O700)</f>
        <v>10.0247524752475</v>
      </c>
      <c r="AB700" s="18" t="n">
        <f aca="false">IF(O700=0,0,V700*27/O700)</f>
        <v>3.07425742574257</v>
      </c>
      <c r="AC700" s="18" t="n">
        <f aca="false">IF(V700=0,0,W700/V700)</f>
        <v>3.26086956521739</v>
      </c>
      <c r="AD700" s="18" t="n">
        <f aca="false">IF(P700=0,0,(13*U700+3*(V700+X700)-2*W700)/P700+INDEX(球季參數!$C$2:$C$4,MATCH($A700,球季參數!$A$2:$A$4,0)))</f>
        <v>3.98594059405941</v>
      </c>
      <c r="AE700" s="11" t="n">
        <f aca="false">IF(P700&gt;=INDEX(球季參數!$F$2:$F$4,MATCH($A700,球季參數!$A$2:$A$4,0)),1,0)</f>
        <v>0</v>
      </c>
    </row>
    <row r="701" customFormat="false" ht="15" hidden="false" customHeight="false" outlineLevel="0" collapsed="false">
      <c r="A701" s="5" t="n">
        <v>2026</v>
      </c>
      <c r="B701" s="7" t="s">
        <v>1871</v>
      </c>
      <c r="C701" s="10" t="str">
        <f aca="false">INDEX(球員主檔!$B$2:$B$749,MATCH($B701,球員主檔!$A$2:$A$749,0))</f>
        <v>Wyatt Delacroix</v>
      </c>
      <c r="D701" s="7" t="s">
        <v>379</v>
      </c>
      <c r="E701" s="10" t="str">
        <f aca="false">INDEX(球隊主檔!$C$2:$C$31,MATCH($D701,球隊主檔!$A$2:$A$31,0))</f>
        <v>明尼蘇達雙城</v>
      </c>
      <c r="F701" s="10" t="str">
        <f aca="false">INDEX(球隊主檔!$D$2:$D$31,MATCH($D701,球隊主檔!$A$2:$A$31,0))</f>
        <v>美聯</v>
      </c>
      <c r="G701" s="7" t="s">
        <v>507</v>
      </c>
      <c r="H701" s="11" t="n">
        <f aca="false">INT((DATE($A701,7,1)-INDEX(球員主檔!$G$2:$G$749,MATCH($B701,球員主檔!$A$2:$A$749,0)))/365.25)</f>
        <v>25</v>
      </c>
      <c r="I701" s="12" t="n">
        <v>5</v>
      </c>
      <c r="J701" s="12" t="n">
        <v>3</v>
      </c>
      <c r="K701" s="12" t="n">
        <v>0</v>
      </c>
      <c r="L701" s="12" t="n">
        <v>7</v>
      </c>
      <c r="M701" s="12" t="n">
        <v>70</v>
      </c>
      <c r="N701" s="12" t="n">
        <v>0</v>
      </c>
      <c r="O701" s="12" t="n">
        <v>228</v>
      </c>
      <c r="P701" s="16" t="n">
        <f aca="false">O701/3</f>
        <v>76</v>
      </c>
      <c r="Q701" s="17" t="str">
        <f aca="false">INT(O701/3)&amp;"."&amp;MOD(O701,3)</f>
        <v>76.0</v>
      </c>
      <c r="R701" s="12" t="n">
        <v>59</v>
      </c>
      <c r="S701" s="12" t="n">
        <v>26</v>
      </c>
      <c r="T701" s="12" t="n">
        <v>26</v>
      </c>
      <c r="U701" s="12" t="n">
        <v>10</v>
      </c>
      <c r="V701" s="12" t="n">
        <v>18</v>
      </c>
      <c r="W701" s="12" t="n">
        <v>99</v>
      </c>
      <c r="X701" s="12" t="n">
        <v>2</v>
      </c>
      <c r="Y701" s="18" t="n">
        <f aca="false">IF(O701=0,0,T701*27/O701)</f>
        <v>3.07894736842105</v>
      </c>
      <c r="Z701" s="18" t="n">
        <f aca="false">IF(P701=0,0,(V701+R701)/P701)</f>
        <v>1.01315789473684</v>
      </c>
      <c r="AA701" s="18" t="n">
        <f aca="false">IF(O701=0,0,W701*27/O701)</f>
        <v>11.7236842105263</v>
      </c>
      <c r="AB701" s="18" t="n">
        <f aca="false">IF(O701=0,0,V701*27/O701)</f>
        <v>2.13157894736842</v>
      </c>
      <c r="AC701" s="18" t="n">
        <f aca="false">IF(V701=0,0,W701/V701)</f>
        <v>5.5</v>
      </c>
      <c r="AD701" s="18" t="n">
        <f aca="false">IF(P701=0,0,(13*U701+3*(V701+X701)-2*W701)/P701+INDEX(球季參數!$C$2:$C$4,MATCH($A701,球季參數!$A$2:$A$4,0)))</f>
        <v>2.97473684210526</v>
      </c>
      <c r="AE701" s="11" t="n">
        <f aca="false">IF(P701&gt;=INDEX(球季參數!$F$2:$F$4,MATCH($A701,球季參數!$A$2:$A$4,0)),1,0)</f>
        <v>0</v>
      </c>
    </row>
    <row r="702" customFormat="false" ht="15" hidden="false" customHeight="false" outlineLevel="0" collapsed="false">
      <c r="A702" s="5" t="n">
        <v>2026</v>
      </c>
      <c r="B702" s="7" t="s">
        <v>897</v>
      </c>
      <c r="C702" s="10" t="str">
        <f aca="false">INDEX(球員主檔!$B$2:$B$749,MATCH($B702,球員主檔!$A$2:$A$749,0))</f>
        <v>Ulises Quiroga</v>
      </c>
      <c r="D702" s="7" t="s">
        <v>383</v>
      </c>
      <c r="E702" s="10" t="str">
        <f aca="false">INDEX(球隊主檔!$C$2:$C$31,MATCH($D702,球隊主檔!$A$2:$A$31,0))</f>
        <v>運動家</v>
      </c>
      <c r="F702" s="10" t="str">
        <f aca="false">INDEX(球隊主檔!$D$2:$D$31,MATCH($D702,球隊主檔!$A$2:$A$31,0))</f>
        <v>美聯</v>
      </c>
      <c r="G702" s="7" t="s">
        <v>496</v>
      </c>
      <c r="H702" s="11" t="n">
        <f aca="false">INT((DATE($A702,7,1)-INDEX(球員主檔!$G$2:$G$749,MATCH($B702,球員主檔!$A$2:$A$749,0)))/365.25)</f>
        <v>23</v>
      </c>
      <c r="I702" s="12" t="n">
        <v>6</v>
      </c>
      <c r="J702" s="12" t="n">
        <v>4</v>
      </c>
      <c r="K702" s="12" t="n">
        <v>0</v>
      </c>
      <c r="L702" s="12" t="n">
        <v>0</v>
      </c>
      <c r="M702" s="12" t="n">
        <v>13</v>
      </c>
      <c r="N702" s="12" t="n">
        <v>13</v>
      </c>
      <c r="O702" s="12" t="n">
        <v>215</v>
      </c>
      <c r="P702" s="16" t="n">
        <f aca="false">O702/3</f>
        <v>71.6666666666667</v>
      </c>
      <c r="Q702" s="17" t="str">
        <f aca="false">INT(O702/3)&amp;"."&amp;MOD(O702,3)</f>
        <v>71.2</v>
      </c>
      <c r="R702" s="12" t="n">
        <v>59</v>
      </c>
      <c r="S702" s="12" t="n">
        <v>35</v>
      </c>
      <c r="T702" s="12" t="n">
        <v>32</v>
      </c>
      <c r="U702" s="12" t="n">
        <v>7</v>
      </c>
      <c r="V702" s="12" t="n">
        <v>13</v>
      </c>
      <c r="W702" s="12" t="n">
        <v>56</v>
      </c>
      <c r="X702" s="12" t="n">
        <v>1</v>
      </c>
      <c r="Y702" s="18" t="n">
        <f aca="false">IF(O702=0,0,T702*27/O702)</f>
        <v>4.01860465116279</v>
      </c>
      <c r="Z702" s="18" t="n">
        <f aca="false">IF(P702=0,0,(V702+R702)/P702)</f>
        <v>1.0046511627907</v>
      </c>
      <c r="AA702" s="18" t="n">
        <f aca="false">IF(O702=0,0,W702*27/O702)</f>
        <v>7.03255813953488</v>
      </c>
      <c r="AB702" s="18" t="n">
        <f aca="false">IF(O702=0,0,V702*27/O702)</f>
        <v>1.63255813953488</v>
      </c>
      <c r="AC702" s="18" t="n">
        <f aca="false">IF(V702=0,0,W702/V702)</f>
        <v>4.30769230769231</v>
      </c>
      <c r="AD702" s="18" t="n">
        <f aca="false">IF(P702=0,0,(13*U702+3*(V702+X702)-2*W702)/P702+INDEX(球季參數!$C$2:$C$4,MATCH($A702,球季參數!$A$2:$A$4,0)))</f>
        <v>3.37302325581395</v>
      </c>
      <c r="AE702" s="11" t="n">
        <f aca="false">IF(P702&gt;=INDEX(球季參數!$F$2:$F$4,MATCH($A702,球季參數!$A$2:$A$4,0)),1,0)</f>
        <v>0</v>
      </c>
    </row>
    <row r="703" customFormat="false" ht="15" hidden="false" customHeight="false" outlineLevel="0" collapsed="false">
      <c r="A703" s="5" t="n">
        <v>2026</v>
      </c>
      <c r="B703" s="7" t="s">
        <v>899</v>
      </c>
      <c r="C703" s="10" t="str">
        <f aca="false">INDEX(球員主檔!$B$2:$B$749,MATCH($B703,球員主檔!$A$2:$A$749,0))</f>
        <v>Seonwoo Vasquez</v>
      </c>
      <c r="D703" s="7" t="s">
        <v>383</v>
      </c>
      <c r="E703" s="10" t="str">
        <f aca="false">INDEX(球隊主檔!$C$2:$C$31,MATCH($D703,球隊主檔!$A$2:$A$31,0))</f>
        <v>運動家</v>
      </c>
      <c r="F703" s="10" t="str">
        <f aca="false">INDEX(球隊主檔!$D$2:$D$31,MATCH($D703,球隊主檔!$A$2:$A$31,0))</f>
        <v>美聯</v>
      </c>
      <c r="G703" s="7" t="s">
        <v>496</v>
      </c>
      <c r="H703" s="11" t="n">
        <f aca="false">INT((DATE($A703,7,1)-INDEX(球員主檔!$G$2:$G$749,MATCH($B703,球員主檔!$A$2:$A$749,0)))/365.25)</f>
        <v>28</v>
      </c>
      <c r="I703" s="12" t="n">
        <v>13</v>
      </c>
      <c r="J703" s="12" t="n">
        <v>10</v>
      </c>
      <c r="K703" s="12" t="n">
        <v>0</v>
      </c>
      <c r="L703" s="12" t="n">
        <v>0</v>
      </c>
      <c r="M703" s="12" t="n">
        <v>32</v>
      </c>
      <c r="N703" s="12" t="n">
        <v>32</v>
      </c>
      <c r="O703" s="12" t="n">
        <v>495</v>
      </c>
      <c r="P703" s="16" t="n">
        <f aca="false">O703/3</f>
        <v>165</v>
      </c>
      <c r="Q703" s="17" t="str">
        <f aca="false">INT(O703/3)&amp;"."&amp;MOD(O703,3)</f>
        <v>165.0</v>
      </c>
      <c r="R703" s="12" t="n">
        <v>128</v>
      </c>
      <c r="S703" s="12" t="n">
        <v>80</v>
      </c>
      <c r="T703" s="12" t="n">
        <v>77</v>
      </c>
      <c r="U703" s="12" t="n">
        <v>15</v>
      </c>
      <c r="V703" s="12" t="n">
        <v>56</v>
      </c>
      <c r="W703" s="12" t="n">
        <v>127</v>
      </c>
      <c r="X703" s="12" t="n">
        <v>8</v>
      </c>
      <c r="Y703" s="18" t="n">
        <f aca="false">IF(O703=0,0,T703*27/O703)</f>
        <v>4.2</v>
      </c>
      <c r="Z703" s="18" t="n">
        <f aca="false">IF(P703=0,0,(V703+R703)/P703)</f>
        <v>1.11515151515152</v>
      </c>
      <c r="AA703" s="18" t="n">
        <f aca="false">IF(O703=0,0,W703*27/O703)</f>
        <v>6.92727272727273</v>
      </c>
      <c r="AB703" s="18" t="n">
        <f aca="false">IF(O703=0,0,V703*27/O703)</f>
        <v>3.05454545454545</v>
      </c>
      <c r="AC703" s="18" t="n">
        <f aca="false">IF(V703=0,0,W703/V703)</f>
        <v>2.26785714285714</v>
      </c>
      <c r="AD703" s="18" t="n">
        <f aca="false">IF(P703=0,0,(13*U703+3*(V703+X703)-2*W703)/P703+INDEX(球季參數!$C$2:$C$4,MATCH($A703,球季參數!$A$2:$A$4,0)))</f>
        <v>3.88606060606061</v>
      </c>
      <c r="AE703" s="11" t="n">
        <f aca="false">IF(P703&gt;=INDEX(球季參數!$F$2:$F$4,MATCH($A703,球季參數!$A$2:$A$4,0)),1,0)</f>
        <v>1</v>
      </c>
    </row>
    <row r="704" customFormat="false" ht="15" hidden="false" customHeight="false" outlineLevel="0" collapsed="false">
      <c r="A704" s="5" t="n">
        <v>2026</v>
      </c>
      <c r="B704" s="7" t="s">
        <v>1877</v>
      </c>
      <c r="C704" s="10" t="str">
        <f aca="false">INDEX(球員主檔!$B$2:$B$749,MATCH($B704,球員主檔!$A$2:$A$749,0))</f>
        <v>Ignacio Yoshinaga</v>
      </c>
      <c r="D704" s="7" t="s">
        <v>383</v>
      </c>
      <c r="E704" s="10" t="str">
        <f aca="false">INDEX(球隊主檔!$C$2:$C$31,MATCH($D704,球隊主檔!$A$2:$A$31,0))</f>
        <v>運動家</v>
      </c>
      <c r="F704" s="10" t="str">
        <f aca="false">INDEX(球隊主檔!$D$2:$D$31,MATCH($D704,球隊主檔!$A$2:$A$31,0))</f>
        <v>美聯</v>
      </c>
      <c r="G704" s="7" t="s">
        <v>496</v>
      </c>
      <c r="H704" s="11" t="n">
        <f aca="false">INT((DATE($A704,7,1)-INDEX(球員主檔!$G$2:$G$749,MATCH($B704,球員主檔!$A$2:$A$749,0)))/365.25)</f>
        <v>21</v>
      </c>
      <c r="I704" s="12" t="n">
        <v>10</v>
      </c>
      <c r="J704" s="12" t="n">
        <v>8</v>
      </c>
      <c r="K704" s="12" t="n">
        <v>0</v>
      </c>
      <c r="L704" s="12" t="n">
        <v>0</v>
      </c>
      <c r="M704" s="12" t="n">
        <v>27</v>
      </c>
      <c r="N704" s="12" t="n">
        <v>27</v>
      </c>
      <c r="O704" s="12" t="n">
        <v>399</v>
      </c>
      <c r="P704" s="16" t="n">
        <f aca="false">O704/3</f>
        <v>133</v>
      </c>
      <c r="Q704" s="17" t="str">
        <f aca="false">INT(O704/3)&amp;"."&amp;MOD(O704,3)</f>
        <v>133.0</v>
      </c>
      <c r="R704" s="12" t="n">
        <v>129</v>
      </c>
      <c r="S704" s="12" t="n">
        <v>84</v>
      </c>
      <c r="T704" s="12" t="n">
        <v>78</v>
      </c>
      <c r="U704" s="12" t="n">
        <v>16</v>
      </c>
      <c r="V704" s="12" t="n">
        <v>43</v>
      </c>
      <c r="W704" s="12" t="n">
        <v>77</v>
      </c>
      <c r="X704" s="12" t="n">
        <v>7</v>
      </c>
      <c r="Y704" s="18" t="n">
        <f aca="false">IF(O704=0,0,T704*27/O704)</f>
        <v>5.2781954887218</v>
      </c>
      <c r="Z704" s="18" t="n">
        <f aca="false">IF(P704=0,0,(V704+R704)/P704)</f>
        <v>1.29323308270677</v>
      </c>
      <c r="AA704" s="18" t="n">
        <f aca="false">IF(O704=0,0,W704*27/O704)</f>
        <v>5.21052631578947</v>
      </c>
      <c r="AB704" s="18" t="n">
        <f aca="false">IF(O704=0,0,V704*27/O704)</f>
        <v>2.90977443609023</v>
      </c>
      <c r="AC704" s="18" t="n">
        <f aca="false">IF(V704=0,0,W704/V704)</f>
        <v>1.7906976744186</v>
      </c>
      <c r="AD704" s="18" t="n">
        <f aca="false">IF(P704=0,0,(13*U704+3*(V704+X704)-2*W704)/P704+INDEX(球季參數!$C$2:$C$4,MATCH($A704,球季參數!$A$2:$A$4,0)))</f>
        <v>4.61383458646617</v>
      </c>
      <c r="AE704" s="11" t="n">
        <f aca="false">IF(P704&gt;=INDEX(球季參數!$F$2:$F$4,MATCH($A704,球季參數!$A$2:$A$4,0)),1,0)</f>
        <v>0</v>
      </c>
    </row>
    <row r="705" customFormat="false" ht="15" hidden="false" customHeight="false" outlineLevel="0" collapsed="false">
      <c r="A705" s="5" t="n">
        <v>2026</v>
      </c>
      <c r="B705" s="7" t="s">
        <v>827</v>
      </c>
      <c r="C705" s="10" t="str">
        <f aca="false">INDEX(球員主檔!$B$2:$B$749,MATCH($B705,球員主檔!$A$2:$A$749,0))</f>
        <v>Sawyer Wexford</v>
      </c>
      <c r="D705" s="7" t="s">
        <v>383</v>
      </c>
      <c r="E705" s="10" t="str">
        <f aca="false">INDEX(球隊主檔!$C$2:$C$31,MATCH($D705,球隊主檔!$A$2:$A$31,0))</f>
        <v>運動家</v>
      </c>
      <c r="F705" s="10" t="str">
        <f aca="false">INDEX(球隊主檔!$D$2:$D$31,MATCH($D705,球隊主檔!$A$2:$A$31,0))</f>
        <v>美聯</v>
      </c>
      <c r="G705" s="7" t="s">
        <v>496</v>
      </c>
      <c r="H705" s="11" t="n">
        <f aca="false">INT((DATE($A705,7,1)-INDEX(球員主檔!$G$2:$G$749,MATCH($B705,球員主檔!$A$2:$A$749,0)))/365.25)</f>
        <v>37</v>
      </c>
      <c r="I705" s="12" t="n">
        <v>12</v>
      </c>
      <c r="J705" s="12" t="n">
        <v>3</v>
      </c>
      <c r="K705" s="12" t="n">
        <v>0</v>
      </c>
      <c r="L705" s="12" t="n">
        <v>0</v>
      </c>
      <c r="M705" s="12" t="n">
        <v>27</v>
      </c>
      <c r="N705" s="12" t="n">
        <v>27</v>
      </c>
      <c r="O705" s="12" t="n">
        <v>479</v>
      </c>
      <c r="P705" s="16" t="n">
        <f aca="false">O705/3</f>
        <v>159.666666666667</v>
      </c>
      <c r="Q705" s="17" t="str">
        <f aca="false">INT(O705/3)&amp;"."&amp;MOD(O705,3)</f>
        <v>159.2</v>
      </c>
      <c r="R705" s="12" t="n">
        <v>122</v>
      </c>
      <c r="S705" s="12" t="n">
        <v>56</v>
      </c>
      <c r="T705" s="12" t="n">
        <v>52</v>
      </c>
      <c r="U705" s="12" t="n">
        <v>24</v>
      </c>
      <c r="V705" s="12" t="n">
        <v>54</v>
      </c>
      <c r="W705" s="12" t="n">
        <v>141</v>
      </c>
      <c r="X705" s="12" t="n">
        <v>2</v>
      </c>
      <c r="Y705" s="18" t="n">
        <f aca="false">IF(O705=0,0,T705*27/O705)</f>
        <v>2.93110647181628</v>
      </c>
      <c r="Z705" s="18" t="n">
        <f aca="false">IF(P705=0,0,(V705+R705)/P705)</f>
        <v>1.10229645093946</v>
      </c>
      <c r="AA705" s="18" t="n">
        <f aca="false">IF(O705=0,0,W705*27/O705)</f>
        <v>7.94780793319416</v>
      </c>
      <c r="AB705" s="18" t="n">
        <f aca="false">IF(O705=0,0,V705*27/O705)</f>
        <v>3.04384133611691</v>
      </c>
      <c r="AC705" s="18" t="n">
        <f aca="false">IF(V705=0,0,W705/V705)</f>
        <v>2.61111111111111</v>
      </c>
      <c r="AD705" s="18" t="n">
        <f aca="false">IF(P705=0,0,(13*U705+3*(V705+X705)-2*W705)/P705+INDEX(球季參數!$C$2:$C$4,MATCH($A705,球季參數!$A$2:$A$4,0)))</f>
        <v>4.32008350730689</v>
      </c>
      <c r="AE705" s="11" t="n">
        <f aca="false">IF(P705&gt;=INDEX(球季參數!$F$2:$F$4,MATCH($A705,球季參數!$A$2:$A$4,0)),1,0)</f>
        <v>0</v>
      </c>
    </row>
    <row r="706" customFormat="false" ht="15" hidden="false" customHeight="false" outlineLevel="0" collapsed="false">
      <c r="A706" s="5" t="n">
        <v>2026</v>
      </c>
      <c r="B706" s="7" t="s">
        <v>1721</v>
      </c>
      <c r="C706" s="10" t="str">
        <f aca="false">INDEX(球員主檔!$B$2:$B$749,MATCH($B706,球員主檔!$A$2:$A$749,0))</f>
        <v>Dimitri Tremblay</v>
      </c>
      <c r="D706" s="7" t="s">
        <v>383</v>
      </c>
      <c r="E706" s="10" t="str">
        <f aca="false">INDEX(球隊主檔!$C$2:$C$31,MATCH($D706,球隊主檔!$A$2:$A$31,0))</f>
        <v>運動家</v>
      </c>
      <c r="F706" s="10" t="str">
        <f aca="false">INDEX(球隊主檔!$D$2:$D$31,MATCH($D706,球隊主檔!$A$2:$A$31,0))</f>
        <v>美聯</v>
      </c>
      <c r="G706" s="7" t="s">
        <v>496</v>
      </c>
      <c r="H706" s="11" t="n">
        <f aca="false">INT((DATE($A706,7,1)-INDEX(球員主檔!$G$2:$G$749,MATCH($B706,球員主檔!$A$2:$A$749,0)))/365.25)</f>
        <v>23</v>
      </c>
      <c r="I706" s="12" t="n">
        <v>5</v>
      </c>
      <c r="J706" s="12" t="n">
        <v>3</v>
      </c>
      <c r="K706" s="12" t="n">
        <v>0</v>
      </c>
      <c r="L706" s="12" t="n">
        <v>0</v>
      </c>
      <c r="M706" s="12" t="n">
        <v>15</v>
      </c>
      <c r="N706" s="12" t="n">
        <v>15</v>
      </c>
      <c r="O706" s="12" t="n">
        <v>273</v>
      </c>
      <c r="P706" s="16" t="n">
        <f aca="false">O706/3</f>
        <v>91</v>
      </c>
      <c r="Q706" s="17" t="str">
        <f aca="false">INT(O706/3)&amp;"."&amp;MOD(O706,3)</f>
        <v>91.0</v>
      </c>
      <c r="R706" s="12" t="n">
        <v>78</v>
      </c>
      <c r="S706" s="12" t="n">
        <v>53</v>
      </c>
      <c r="T706" s="12" t="n">
        <v>49</v>
      </c>
      <c r="U706" s="12" t="n">
        <v>22</v>
      </c>
      <c r="V706" s="12" t="n">
        <v>27</v>
      </c>
      <c r="W706" s="12" t="n">
        <v>84</v>
      </c>
      <c r="X706" s="12" t="n">
        <v>1</v>
      </c>
      <c r="Y706" s="18" t="n">
        <f aca="false">IF(O706=0,0,T706*27/O706)</f>
        <v>4.84615384615385</v>
      </c>
      <c r="Z706" s="18" t="n">
        <f aca="false">IF(P706=0,0,(V706+R706)/P706)</f>
        <v>1.15384615384615</v>
      </c>
      <c r="AA706" s="18" t="n">
        <f aca="false">IF(O706=0,0,W706*27/O706)</f>
        <v>8.30769230769231</v>
      </c>
      <c r="AB706" s="18" t="n">
        <f aca="false">IF(O706=0,0,V706*27/O706)</f>
        <v>2.67032967032967</v>
      </c>
      <c r="AC706" s="18" t="n">
        <f aca="false">IF(V706=0,0,W706/V706)</f>
        <v>3.11111111111111</v>
      </c>
      <c r="AD706" s="18" t="n">
        <f aca="false">IF(P706=0,0,(13*U706+3*(V706+X706)-2*W706)/P706+INDEX(球季參數!$C$2:$C$4,MATCH($A706,球季參數!$A$2:$A$4,0)))</f>
        <v>5.29978021978022</v>
      </c>
      <c r="AE706" s="11" t="n">
        <f aca="false">IF(P706&gt;=INDEX(球季參數!$F$2:$F$4,MATCH($A706,球季參數!$A$2:$A$4,0)),1,0)</f>
        <v>0</v>
      </c>
    </row>
    <row r="707" customFormat="false" ht="15" hidden="false" customHeight="false" outlineLevel="0" collapsed="false">
      <c r="A707" s="5" t="n">
        <v>2026</v>
      </c>
      <c r="B707" s="7" t="s">
        <v>907</v>
      </c>
      <c r="C707" s="10" t="str">
        <f aca="false">INDEX(球員主檔!$B$2:$B$749,MATCH($B707,球員主檔!$A$2:$A$749,0))</f>
        <v>Dimitri Novotný</v>
      </c>
      <c r="D707" s="7" t="s">
        <v>383</v>
      </c>
      <c r="E707" s="10" t="str">
        <f aca="false">INDEX(球隊主檔!$C$2:$C$31,MATCH($D707,球隊主檔!$A$2:$A$31,0))</f>
        <v>運動家</v>
      </c>
      <c r="F707" s="10" t="str">
        <f aca="false">INDEX(球隊主檔!$D$2:$D$31,MATCH($D707,球隊主檔!$A$2:$A$31,0))</f>
        <v>美聯</v>
      </c>
      <c r="G707" s="7" t="s">
        <v>507</v>
      </c>
      <c r="H707" s="11" t="n">
        <f aca="false">INT((DATE($A707,7,1)-INDEX(球員主檔!$G$2:$G$749,MATCH($B707,球員主檔!$A$2:$A$749,0)))/365.25)</f>
        <v>27</v>
      </c>
      <c r="I707" s="12" t="n">
        <v>9</v>
      </c>
      <c r="J707" s="12" t="n">
        <v>3</v>
      </c>
      <c r="K707" s="12" t="n">
        <v>2</v>
      </c>
      <c r="L707" s="12" t="n">
        <v>9</v>
      </c>
      <c r="M707" s="12" t="n">
        <v>68</v>
      </c>
      <c r="N707" s="12" t="n">
        <v>0</v>
      </c>
      <c r="O707" s="12" t="n">
        <v>225</v>
      </c>
      <c r="P707" s="16" t="n">
        <f aca="false">O707/3</f>
        <v>75</v>
      </c>
      <c r="Q707" s="17" t="str">
        <f aca="false">INT(O707/3)&amp;"."&amp;MOD(O707,3)</f>
        <v>75.0</v>
      </c>
      <c r="R707" s="12" t="n">
        <v>65</v>
      </c>
      <c r="S707" s="12" t="n">
        <v>35</v>
      </c>
      <c r="T707" s="12" t="n">
        <v>35</v>
      </c>
      <c r="U707" s="12" t="n">
        <v>8</v>
      </c>
      <c r="V707" s="12" t="n">
        <v>17</v>
      </c>
      <c r="W707" s="12" t="n">
        <v>70</v>
      </c>
      <c r="X707" s="12" t="n">
        <v>4</v>
      </c>
      <c r="Y707" s="18" t="n">
        <f aca="false">IF(O707=0,0,T707*27/O707)</f>
        <v>4.2</v>
      </c>
      <c r="Z707" s="18" t="n">
        <f aca="false">IF(P707=0,0,(V707+R707)/P707)</f>
        <v>1.09333333333333</v>
      </c>
      <c r="AA707" s="18" t="n">
        <f aca="false">IF(O707=0,0,W707*27/O707)</f>
        <v>8.4</v>
      </c>
      <c r="AB707" s="18" t="n">
        <f aca="false">IF(O707=0,0,V707*27/O707)</f>
        <v>2.04</v>
      </c>
      <c r="AC707" s="18" t="n">
        <f aca="false">IF(V707=0,0,W707/V707)</f>
        <v>4.11764705882353</v>
      </c>
      <c r="AD707" s="18" t="n">
        <f aca="false">IF(P707=0,0,(13*U707+3*(V707+X707)-2*W707)/P707+INDEX(球季參數!$C$2:$C$4,MATCH($A707,球季參數!$A$2:$A$4,0)))</f>
        <v>3.44</v>
      </c>
      <c r="AE707" s="11" t="n">
        <f aca="false">IF(P707&gt;=INDEX(球季參數!$F$2:$F$4,MATCH($A707,球季參數!$A$2:$A$4,0)),1,0)</f>
        <v>0</v>
      </c>
    </row>
    <row r="708" customFormat="false" ht="15" hidden="false" customHeight="false" outlineLevel="0" collapsed="false">
      <c r="A708" s="5" t="n">
        <v>2026</v>
      </c>
      <c r="B708" s="7" t="s">
        <v>617</v>
      </c>
      <c r="C708" s="10" t="str">
        <f aca="false">INDEX(球員主檔!$B$2:$B$749,MATCH($B708,球員主檔!$A$2:$A$749,0))</f>
        <v>Thaddeus Yamazaki</v>
      </c>
      <c r="D708" s="7" t="s">
        <v>383</v>
      </c>
      <c r="E708" s="10" t="str">
        <f aca="false">INDEX(球隊主檔!$C$2:$C$31,MATCH($D708,球隊主檔!$A$2:$A$31,0))</f>
        <v>運動家</v>
      </c>
      <c r="F708" s="10" t="str">
        <f aca="false">INDEX(球隊主檔!$D$2:$D$31,MATCH($D708,球隊主檔!$A$2:$A$31,0))</f>
        <v>美聯</v>
      </c>
      <c r="G708" s="7" t="s">
        <v>507</v>
      </c>
      <c r="H708" s="11" t="n">
        <f aca="false">INT((DATE($A708,7,1)-INDEX(球員主檔!$G$2:$G$749,MATCH($B708,球員主檔!$A$2:$A$749,0)))/365.25)</f>
        <v>32</v>
      </c>
      <c r="I708" s="12" t="n">
        <v>1</v>
      </c>
      <c r="J708" s="12" t="n">
        <v>0</v>
      </c>
      <c r="K708" s="12" t="n">
        <v>3</v>
      </c>
      <c r="L708" s="12" t="n">
        <v>18</v>
      </c>
      <c r="M708" s="12" t="n">
        <v>57</v>
      </c>
      <c r="N708" s="12" t="n">
        <v>0</v>
      </c>
      <c r="O708" s="12" t="n">
        <v>193</v>
      </c>
      <c r="P708" s="16" t="n">
        <f aca="false">O708/3</f>
        <v>64.3333333333333</v>
      </c>
      <c r="Q708" s="17" t="str">
        <f aca="false">INT(O708/3)&amp;"."&amp;MOD(O708,3)</f>
        <v>64.1</v>
      </c>
      <c r="R708" s="12" t="n">
        <v>51</v>
      </c>
      <c r="S708" s="12" t="n">
        <v>25</v>
      </c>
      <c r="T708" s="12" t="n">
        <v>24</v>
      </c>
      <c r="U708" s="12" t="n">
        <v>6</v>
      </c>
      <c r="V708" s="12" t="n">
        <v>13</v>
      </c>
      <c r="W708" s="12" t="n">
        <v>55</v>
      </c>
      <c r="X708" s="12" t="n">
        <v>2</v>
      </c>
      <c r="Y708" s="18" t="n">
        <f aca="false">IF(O708=0,0,T708*27/O708)</f>
        <v>3.35751295336788</v>
      </c>
      <c r="Z708" s="18" t="n">
        <f aca="false">IF(P708=0,0,(V708+R708)/P708)</f>
        <v>0.994818652849741</v>
      </c>
      <c r="AA708" s="18" t="n">
        <f aca="false">IF(O708=0,0,W708*27/O708)</f>
        <v>7.69430051813472</v>
      </c>
      <c r="AB708" s="18" t="n">
        <f aca="false">IF(O708=0,0,V708*27/O708)</f>
        <v>1.81865284974093</v>
      </c>
      <c r="AC708" s="18" t="n">
        <f aca="false">IF(V708=0,0,W708/V708)</f>
        <v>4.23076923076923</v>
      </c>
      <c r="AD708" s="18" t="n">
        <f aca="false">IF(P708=0,0,(13*U708+3*(V708+X708)-2*W708)/P708+INDEX(球季參數!$C$2:$C$4,MATCH($A708,球季參數!$A$2:$A$4,0)))</f>
        <v>3.2820725388601</v>
      </c>
      <c r="AE708" s="11" t="n">
        <f aca="false">IF(P708&gt;=INDEX(球季參數!$F$2:$F$4,MATCH($A708,球季參數!$A$2:$A$4,0)),1,0)</f>
        <v>0</v>
      </c>
    </row>
    <row r="709" customFormat="false" ht="15" hidden="false" customHeight="false" outlineLevel="0" collapsed="false">
      <c r="A709" s="5" t="n">
        <v>2026</v>
      </c>
      <c r="B709" s="7" t="s">
        <v>911</v>
      </c>
      <c r="C709" s="10" t="str">
        <f aca="false">INDEX(球員主檔!$B$2:$B$749,MATCH($B709,球員主檔!$A$2:$A$749,0))</f>
        <v>Griffin Paszkiewicz</v>
      </c>
      <c r="D709" s="7" t="s">
        <v>383</v>
      </c>
      <c r="E709" s="10" t="str">
        <f aca="false">INDEX(球隊主檔!$C$2:$C$31,MATCH($D709,球隊主檔!$A$2:$A$31,0))</f>
        <v>運動家</v>
      </c>
      <c r="F709" s="10" t="str">
        <f aca="false">INDEX(球隊主檔!$D$2:$D$31,MATCH($D709,球隊主檔!$A$2:$A$31,0))</f>
        <v>美聯</v>
      </c>
      <c r="G709" s="7" t="s">
        <v>507</v>
      </c>
      <c r="H709" s="11" t="n">
        <f aca="false">INT((DATE($A709,7,1)-INDEX(球員主檔!$G$2:$G$749,MATCH($B709,球員主檔!$A$2:$A$749,0)))/365.25)</f>
        <v>25</v>
      </c>
      <c r="I709" s="12" t="n">
        <v>8</v>
      </c>
      <c r="J709" s="12" t="n">
        <v>2</v>
      </c>
      <c r="K709" s="12" t="n">
        <v>6</v>
      </c>
      <c r="L709" s="12" t="n">
        <v>13</v>
      </c>
      <c r="M709" s="12" t="n">
        <v>49</v>
      </c>
      <c r="N709" s="12" t="n">
        <v>0</v>
      </c>
      <c r="O709" s="12" t="n">
        <v>130</v>
      </c>
      <c r="P709" s="16" t="n">
        <f aca="false">O709/3</f>
        <v>43.3333333333333</v>
      </c>
      <c r="Q709" s="17" t="str">
        <f aca="false">INT(O709/3)&amp;"."&amp;MOD(O709,3)</f>
        <v>43.1</v>
      </c>
      <c r="R709" s="12" t="n">
        <v>35</v>
      </c>
      <c r="S709" s="12" t="n">
        <v>15</v>
      </c>
      <c r="T709" s="12" t="n">
        <v>14</v>
      </c>
      <c r="U709" s="12" t="n">
        <v>6</v>
      </c>
      <c r="V709" s="12" t="n">
        <v>14</v>
      </c>
      <c r="W709" s="12" t="n">
        <v>52</v>
      </c>
      <c r="X709" s="12" t="n">
        <v>2</v>
      </c>
      <c r="Y709" s="18" t="n">
        <f aca="false">IF(O709=0,0,T709*27/O709)</f>
        <v>2.90769230769231</v>
      </c>
      <c r="Z709" s="18" t="n">
        <f aca="false">IF(P709=0,0,(V709+R709)/P709)</f>
        <v>1.13076923076923</v>
      </c>
      <c r="AA709" s="18" t="n">
        <f aca="false">IF(O709=0,0,W709*27/O709)</f>
        <v>10.8</v>
      </c>
      <c r="AB709" s="18" t="n">
        <f aca="false">IF(O709=0,0,V709*27/O709)</f>
        <v>2.90769230769231</v>
      </c>
      <c r="AC709" s="18" t="n">
        <f aca="false">IF(V709=0,0,W709/V709)</f>
        <v>3.71428571428571</v>
      </c>
      <c r="AD709" s="18" t="n">
        <f aca="false">IF(P709=0,0,(13*U709+3*(V709+X709)-2*W709)/P709+INDEX(球季參數!$C$2:$C$4,MATCH($A709,球季參數!$A$2:$A$4,0)))</f>
        <v>3.58769230769231</v>
      </c>
      <c r="AE709" s="11" t="n">
        <f aca="false">IF(P709&gt;=INDEX(球季參數!$F$2:$F$4,MATCH($A709,球季參數!$A$2:$A$4,0)),1,0)</f>
        <v>0</v>
      </c>
    </row>
    <row r="710" customFormat="false" ht="15" hidden="false" customHeight="false" outlineLevel="0" collapsed="false">
      <c r="A710" s="5" t="n">
        <v>2026</v>
      </c>
      <c r="B710" s="7" t="s">
        <v>913</v>
      </c>
      <c r="C710" s="10" t="str">
        <f aca="false">INDEX(球員主檔!$B$2:$B$749,MATCH($B710,球員主檔!$A$2:$A$749,0))</f>
        <v>Marcus Cavanaugh</v>
      </c>
      <c r="D710" s="7" t="s">
        <v>383</v>
      </c>
      <c r="E710" s="10" t="str">
        <f aca="false">INDEX(球隊主檔!$C$2:$C$31,MATCH($D710,球隊主檔!$A$2:$A$31,0))</f>
        <v>運動家</v>
      </c>
      <c r="F710" s="10" t="str">
        <f aca="false">INDEX(球隊主檔!$D$2:$D$31,MATCH($D710,球隊主檔!$A$2:$A$31,0))</f>
        <v>美聯</v>
      </c>
      <c r="G710" s="7" t="s">
        <v>507</v>
      </c>
      <c r="H710" s="11" t="n">
        <f aca="false">INT((DATE($A710,7,1)-INDEX(球員主檔!$G$2:$G$749,MATCH($B710,球員主檔!$A$2:$A$749,0)))/365.25)</f>
        <v>31</v>
      </c>
      <c r="I710" s="12" t="n">
        <v>3</v>
      </c>
      <c r="J710" s="12" t="n">
        <v>5</v>
      </c>
      <c r="K710" s="12" t="n">
        <v>2</v>
      </c>
      <c r="L710" s="12" t="n">
        <v>22</v>
      </c>
      <c r="M710" s="12" t="n">
        <v>53</v>
      </c>
      <c r="N710" s="12" t="n">
        <v>0</v>
      </c>
      <c r="O710" s="12" t="n">
        <v>176</v>
      </c>
      <c r="P710" s="16" t="n">
        <f aca="false">O710/3</f>
        <v>58.6666666666667</v>
      </c>
      <c r="Q710" s="17" t="str">
        <f aca="false">INT(O710/3)&amp;"."&amp;MOD(O710,3)</f>
        <v>58.2</v>
      </c>
      <c r="R710" s="12" t="n">
        <v>62</v>
      </c>
      <c r="S710" s="12" t="n">
        <v>48</v>
      </c>
      <c r="T710" s="12" t="n">
        <v>43</v>
      </c>
      <c r="U710" s="12" t="n">
        <v>4</v>
      </c>
      <c r="V710" s="12" t="n">
        <v>28</v>
      </c>
      <c r="W710" s="12" t="n">
        <v>46</v>
      </c>
      <c r="X710" s="12" t="n">
        <v>3</v>
      </c>
      <c r="Y710" s="18" t="n">
        <f aca="false">IF(O710=0,0,T710*27/O710)</f>
        <v>6.59659090909091</v>
      </c>
      <c r="Z710" s="18" t="n">
        <f aca="false">IF(P710=0,0,(V710+R710)/P710)</f>
        <v>1.53409090909091</v>
      </c>
      <c r="AA710" s="18" t="n">
        <f aca="false">IF(O710=0,0,W710*27/O710)</f>
        <v>7.05681818181818</v>
      </c>
      <c r="AB710" s="18" t="n">
        <f aca="false">IF(O710=0,0,V710*27/O710)</f>
        <v>4.29545454545455</v>
      </c>
      <c r="AC710" s="18" t="n">
        <f aca="false">IF(V710=0,0,W710/V710)</f>
        <v>1.64285714285714</v>
      </c>
      <c r="AD710" s="18" t="n">
        <f aca="false">IF(P710=0,0,(13*U710+3*(V710+X710)-2*W710)/P710+INDEX(球季參數!$C$2:$C$4,MATCH($A710,球季參數!$A$2:$A$4,0)))</f>
        <v>3.98340909090909</v>
      </c>
      <c r="AE710" s="11" t="n">
        <f aca="false">IF(P710&gt;=INDEX(球季參數!$F$2:$F$4,MATCH($A710,球季參數!$A$2:$A$4,0)),1,0)</f>
        <v>0</v>
      </c>
    </row>
    <row r="711" customFormat="false" ht="15" hidden="false" customHeight="false" outlineLevel="0" collapsed="false">
      <c r="A711" s="5" t="n">
        <v>2026</v>
      </c>
      <c r="B711" s="7" t="s">
        <v>667</v>
      </c>
      <c r="C711" s="10" t="str">
        <f aca="false">INDEX(球員主檔!$B$2:$B$749,MATCH($B711,球員主檔!$A$2:$A$749,0))</f>
        <v>Yusuke Pellerin</v>
      </c>
      <c r="D711" s="7" t="s">
        <v>383</v>
      </c>
      <c r="E711" s="10" t="str">
        <f aca="false">INDEX(球隊主檔!$C$2:$C$31,MATCH($D711,球隊主檔!$A$2:$A$31,0))</f>
        <v>運動家</v>
      </c>
      <c r="F711" s="10" t="str">
        <f aca="false">INDEX(球隊主檔!$D$2:$D$31,MATCH($D711,球隊主檔!$A$2:$A$31,0))</f>
        <v>美聯</v>
      </c>
      <c r="G711" s="7" t="s">
        <v>507</v>
      </c>
      <c r="H711" s="11" t="n">
        <f aca="false">INT((DATE($A711,7,1)-INDEX(球員主檔!$G$2:$G$749,MATCH($B711,球員主檔!$A$2:$A$749,0)))/365.25)</f>
        <v>27</v>
      </c>
      <c r="I711" s="12" t="n">
        <v>0</v>
      </c>
      <c r="J711" s="12" t="n">
        <v>3</v>
      </c>
      <c r="K711" s="12" t="n">
        <v>5</v>
      </c>
      <c r="L711" s="12" t="n">
        <v>13</v>
      </c>
      <c r="M711" s="12" t="n">
        <v>62</v>
      </c>
      <c r="N711" s="12" t="n">
        <v>0</v>
      </c>
      <c r="O711" s="12" t="n">
        <v>205</v>
      </c>
      <c r="P711" s="16" t="n">
        <f aca="false">O711/3</f>
        <v>68.3333333333333</v>
      </c>
      <c r="Q711" s="17" t="str">
        <f aca="false">INT(O711/3)&amp;"."&amp;MOD(O711,3)</f>
        <v>68.1</v>
      </c>
      <c r="R711" s="12" t="n">
        <v>54</v>
      </c>
      <c r="S711" s="12" t="n">
        <v>28</v>
      </c>
      <c r="T711" s="12" t="n">
        <v>26</v>
      </c>
      <c r="U711" s="12" t="n">
        <v>5</v>
      </c>
      <c r="V711" s="12" t="n">
        <v>31</v>
      </c>
      <c r="W711" s="12" t="n">
        <v>80</v>
      </c>
      <c r="X711" s="12" t="n">
        <v>4</v>
      </c>
      <c r="Y711" s="18" t="n">
        <f aca="false">IF(O711=0,0,T711*27/O711)</f>
        <v>3.42439024390244</v>
      </c>
      <c r="Z711" s="18" t="n">
        <f aca="false">IF(P711=0,0,(V711+R711)/P711)</f>
        <v>1.24390243902439</v>
      </c>
      <c r="AA711" s="18" t="n">
        <f aca="false">IF(O711=0,0,W711*27/O711)</f>
        <v>10.5365853658537</v>
      </c>
      <c r="AB711" s="18" t="n">
        <f aca="false">IF(O711=0,0,V711*27/O711)</f>
        <v>4.08292682926829</v>
      </c>
      <c r="AC711" s="18" t="n">
        <f aca="false">IF(V711=0,0,W711/V711)</f>
        <v>2.58064516129032</v>
      </c>
      <c r="AD711" s="18" t="n">
        <f aca="false">IF(P711=0,0,(13*U711+3*(V711+X711)-2*W711)/P711+INDEX(球季參數!$C$2:$C$4,MATCH($A711,球季參數!$A$2:$A$4,0)))</f>
        <v>3.22634146341463</v>
      </c>
      <c r="AE711" s="11" t="n">
        <f aca="false">IF(P711&gt;=INDEX(球季參數!$F$2:$F$4,MATCH($A711,球季參數!$A$2:$A$4,0)),1,0)</f>
        <v>0</v>
      </c>
    </row>
    <row r="712" customFormat="false" ht="15" hidden="false" customHeight="false" outlineLevel="0" collapsed="false">
      <c r="A712" s="5" t="n">
        <v>2026</v>
      </c>
      <c r="B712" s="7" t="s">
        <v>1885</v>
      </c>
      <c r="C712" s="10" t="str">
        <f aca="false">INDEX(球員主檔!$B$2:$B$749,MATCH($B712,球員主檔!$A$2:$A$749,0))</f>
        <v>Leandro Zbornak</v>
      </c>
      <c r="D712" s="7" t="s">
        <v>388</v>
      </c>
      <c r="E712" s="10" t="str">
        <f aca="false">INDEX(球隊主檔!$C$2:$C$31,MATCH($D712,球隊主檔!$A$2:$A$31,0))</f>
        <v>休士頓太空人</v>
      </c>
      <c r="F712" s="10" t="str">
        <f aca="false">INDEX(球隊主檔!$D$2:$D$31,MATCH($D712,球隊主檔!$A$2:$A$31,0))</f>
        <v>美聯</v>
      </c>
      <c r="G712" s="7" t="s">
        <v>496</v>
      </c>
      <c r="H712" s="11" t="n">
        <f aca="false">INT((DATE($A712,7,1)-INDEX(球員主檔!$G$2:$G$749,MATCH($B712,球員主檔!$A$2:$A$749,0)))/365.25)</f>
        <v>23</v>
      </c>
      <c r="I712" s="12" t="n">
        <v>8</v>
      </c>
      <c r="J712" s="12" t="n">
        <v>11</v>
      </c>
      <c r="K712" s="12" t="n">
        <v>0</v>
      </c>
      <c r="L712" s="12" t="n">
        <v>0</v>
      </c>
      <c r="M712" s="12" t="n">
        <v>30</v>
      </c>
      <c r="N712" s="12" t="n">
        <v>30</v>
      </c>
      <c r="O712" s="12" t="n">
        <v>491</v>
      </c>
      <c r="P712" s="16" t="n">
        <f aca="false">O712/3</f>
        <v>163.666666666667</v>
      </c>
      <c r="Q712" s="17" t="str">
        <f aca="false">INT(O712/3)&amp;"."&amp;MOD(O712,3)</f>
        <v>163.2</v>
      </c>
      <c r="R712" s="12" t="n">
        <v>164</v>
      </c>
      <c r="S712" s="12" t="n">
        <v>110</v>
      </c>
      <c r="T712" s="12" t="n">
        <v>98</v>
      </c>
      <c r="U712" s="12" t="n">
        <v>26</v>
      </c>
      <c r="V712" s="12" t="n">
        <v>63</v>
      </c>
      <c r="W712" s="12" t="n">
        <v>210</v>
      </c>
      <c r="X712" s="12" t="n">
        <v>5</v>
      </c>
      <c r="Y712" s="18" t="n">
        <f aca="false">IF(O712=0,0,T712*27/O712)</f>
        <v>5.38900203665988</v>
      </c>
      <c r="Z712" s="18" t="n">
        <f aca="false">IF(P712=0,0,(V712+R712)/P712)</f>
        <v>1.38696537678208</v>
      </c>
      <c r="AA712" s="18" t="n">
        <f aca="false">IF(O712=0,0,W712*27/O712)</f>
        <v>11.5478615071283</v>
      </c>
      <c r="AB712" s="18" t="n">
        <f aca="false">IF(O712=0,0,V712*27/O712)</f>
        <v>3.46435845213849</v>
      </c>
      <c r="AC712" s="18" t="n">
        <f aca="false">IF(V712=0,0,W712/V712)</f>
        <v>3.33333333333333</v>
      </c>
      <c r="AD712" s="18" t="n">
        <f aca="false">IF(P712=0,0,(13*U712+3*(V712+X712)-2*W712)/P712+INDEX(球季參數!$C$2:$C$4,MATCH($A712,球季參數!$A$2:$A$4,0)))</f>
        <v>3.82541751527495</v>
      </c>
      <c r="AE712" s="11" t="n">
        <f aca="false">IF(P712&gt;=INDEX(球季參數!$F$2:$F$4,MATCH($A712,球季參數!$A$2:$A$4,0)),1,0)</f>
        <v>1</v>
      </c>
    </row>
    <row r="713" customFormat="false" ht="15" hidden="false" customHeight="false" outlineLevel="0" collapsed="false">
      <c r="A713" s="5" t="n">
        <v>2026</v>
      </c>
      <c r="B713" s="7" t="s">
        <v>1887</v>
      </c>
      <c r="C713" s="10" t="str">
        <f aca="false">INDEX(球員主檔!$B$2:$B$749,MATCH($B713,球員主檔!$A$2:$A$749,0))</f>
        <v>Griffin Okafor</v>
      </c>
      <c r="D713" s="7" t="s">
        <v>388</v>
      </c>
      <c r="E713" s="10" t="str">
        <f aca="false">INDEX(球隊主檔!$C$2:$C$31,MATCH($D713,球隊主檔!$A$2:$A$31,0))</f>
        <v>休士頓太空人</v>
      </c>
      <c r="F713" s="10" t="str">
        <f aca="false">INDEX(球隊主檔!$D$2:$D$31,MATCH($D713,球隊主檔!$A$2:$A$31,0))</f>
        <v>美聯</v>
      </c>
      <c r="G713" s="7" t="s">
        <v>496</v>
      </c>
      <c r="H713" s="11" t="n">
        <f aca="false">INT((DATE($A713,7,1)-INDEX(球員主檔!$G$2:$G$749,MATCH($B713,球員主檔!$A$2:$A$749,0)))/365.25)</f>
        <v>23</v>
      </c>
      <c r="I713" s="12" t="n">
        <v>9</v>
      </c>
      <c r="J713" s="12" t="n">
        <v>4</v>
      </c>
      <c r="K713" s="12" t="n">
        <v>0</v>
      </c>
      <c r="L713" s="12" t="n">
        <v>0</v>
      </c>
      <c r="M713" s="12" t="n">
        <v>22</v>
      </c>
      <c r="N713" s="12" t="n">
        <v>22</v>
      </c>
      <c r="O713" s="12" t="n">
        <v>386</v>
      </c>
      <c r="P713" s="16" t="n">
        <f aca="false">O713/3</f>
        <v>128.666666666667</v>
      </c>
      <c r="Q713" s="17" t="str">
        <f aca="false">INT(O713/3)&amp;"."&amp;MOD(O713,3)</f>
        <v>128.2</v>
      </c>
      <c r="R713" s="12" t="n">
        <v>101</v>
      </c>
      <c r="S713" s="12" t="n">
        <v>60</v>
      </c>
      <c r="T713" s="12" t="n">
        <v>60</v>
      </c>
      <c r="U713" s="12" t="n">
        <v>16</v>
      </c>
      <c r="V713" s="12" t="n">
        <v>42</v>
      </c>
      <c r="W713" s="12" t="n">
        <v>95</v>
      </c>
      <c r="X713" s="12" t="n">
        <v>4</v>
      </c>
      <c r="Y713" s="18" t="n">
        <f aca="false">IF(O713=0,0,T713*27/O713)</f>
        <v>4.19689119170984</v>
      </c>
      <c r="Z713" s="18" t="n">
        <f aca="false">IF(P713=0,0,(V713+R713)/P713)</f>
        <v>1.11139896373057</v>
      </c>
      <c r="AA713" s="18" t="n">
        <f aca="false">IF(O713=0,0,W713*27/O713)</f>
        <v>6.64507772020725</v>
      </c>
      <c r="AB713" s="18" t="n">
        <f aca="false">IF(O713=0,0,V713*27/O713)</f>
        <v>2.93782383419689</v>
      </c>
      <c r="AC713" s="18" t="n">
        <f aca="false">IF(V713=0,0,W713/V713)</f>
        <v>2.26190476190476</v>
      </c>
      <c r="AD713" s="18" t="n">
        <f aca="false">IF(P713=0,0,(13*U713+3*(V713+X713)-2*W713)/P713+INDEX(球季參數!$C$2:$C$4,MATCH($A713,球季參數!$A$2:$A$4,0)))</f>
        <v>4.29243523316062</v>
      </c>
      <c r="AE713" s="11" t="n">
        <f aca="false">IF(P713&gt;=INDEX(球季參數!$F$2:$F$4,MATCH($A713,球季參數!$A$2:$A$4,0)),1,0)</f>
        <v>0</v>
      </c>
    </row>
    <row r="714" customFormat="false" ht="15" hidden="false" customHeight="false" outlineLevel="0" collapsed="false">
      <c r="A714" s="5" t="n">
        <v>2026</v>
      </c>
      <c r="B714" s="7" t="s">
        <v>941</v>
      </c>
      <c r="C714" s="10" t="str">
        <f aca="false">INDEX(球員主檔!$B$2:$B$749,MATCH($B714,球員主檔!$A$2:$A$749,0))</f>
        <v>Tobias Kowalczyk</v>
      </c>
      <c r="D714" s="7" t="s">
        <v>388</v>
      </c>
      <c r="E714" s="10" t="str">
        <f aca="false">INDEX(球隊主檔!$C$2:$C$31,MATCH($D714,球隊主檔!$A$2:$A$31,0))</f>
        <v>休士頓太空人</v>
      </c>
      <c r="F714" s="10" t="str">
        <f aca="false">INDEX(球隊主檔!$D$2:$D$31,MATCH($D714,球隊主檔!$A$2:$A$31,0))</f>
        <v>美聯</v>
      </c>
      <c r="G714" s="7" t="s">
        <v>496</v>
      </c>
      <c r="H714" s="11" t="n">
        <f aca="false">INT((DATE($A714,7,1)-INDEX(球員主檔!$G$2:$G$749,MATCH($B714,球員主檔!$A$2:$A$749,0)))/365.25)</f>
        <v>28</v>
      </c>
      <c r="I714" s="12" t="n">
        <v>4</v>
      </c>
      <c r="J714" s="12" t="n">
        <v>3</v>
      </c>
      <c r="K714" s="12" t="n">
        <v>0</v>
      </c>
      <c r="L714" s="12" t="n">
        <v>0</v>
      </c>
      <c r="M714" s="12" t="n">
        <v>10</v>
      </c>
      <c r="N714" s="12" t="n">
        <v>10</v>
      </c>
      <c r="O714" s="12" t="n">
        <v>181</v>
      </c>
      <c r="P714" s="16" t="n">
        <f aca="false">O714/3</f>
        <v>60.3333333333333</v>
      </c>
      <c r="Q714" s="17" t="str">
        <f aca="false">INT(O714/3)&amp;"."&amp;MOD(O714,3)</f>
        <v>60.1</v>
      </c>
      <c r="R714" s="12" t="n">
        <v>50</v>
      </c>
      <c r="S714" s="12" t="n">
        <v>30</v>
      </c>
      <c r="T714" s="12" t="n">
        <v>29</v>
      </c>
      <c r="U714" s="12" t="n">
        <v>5</v>
      </c>
      <c r="V714" s="12" t="n">
        <v>21</v>
      </c>
      <c r="W714" s="12" t="n">
        <v>70</v>
      </c>
      <c r="X714" s="12" t="n">
        <v>1</v>
      </c>
      <c r="Y714" s="18" t="n">
        <f aca="false">IF(O714=0,0,T714*27/O714)</f>
        <v>4.32596685082873</v>
      </c>
      <c r="Z714" s="18" t="n">
        <f aca="false">IF(P714=0,0,(V714+R714)/P714)</f>
        <v>1.1767955801105</v>
      </c>
      <c r="AA714" s="18" t="n">
        <f aca="false">IF(O714=0,0,W714*27/O714)</f>
        <v>10.4419889502762</v>
      </c>
      <c r="AB714" s="18" t="n">
        <f aca="false">IF(O714=0,0,V714*27/O714)</f>
        <v>3.13259668508287</v>
      </c>
      <c r="AC714" s="18" t="n">
        <f aca="false">IF(V714=0,0,W714/V714)</f>
        <v>3.33333333333333</v>
      </c>
      <c r="AD714" s="18" t="n">
        <f aca="false">IF(P714=0,0,(13*U714+3*(V714+X714)-2*W714)/P714+INDEX(球季參數!$C$2:$C$4,MATCH($A714,球季參數!$A$2:$A$4,0)))</f>
        <v>2.93082872928177</v>
      </c>
      <c r="AE714" s="11" t="n">
        <f aca="false">IF(P714&gt;=INDEX(球季參數!$F$2:$F$4,MATCH($A714,球季參數!$A$2:$A$4,0)),1,0)</f>
        <v>0</v>
      </c>
    </row>
    <row r="715" customFormat="false" ht="15" hidden="false" customHeight="false" outlineLevel="0" collapsed="false">
      <c r="A715" s="5" t="n">
        <v>2026</v>
      </c>
      <c r="B715" s="7" t="s">
        <v>943</v>
      </c>
      <c r="C715" s="10" t="str">
        <f aca="false">INDEX(球員主檔!$B$2:$B$749,MATCH($B715,球員主檔!$A$2:$A$749,0))</f>
        <v>Haruto Lemieux</v>
      </c>
      <c r="D715" s="7" t="s">
        <v>388</v>
      </c>
      <c r="E715" s="10" t="str">
        <f aca="false">INDEX(球隊主檔!$C$2:$C$31,MATCH($D715,球隊主檔!$A$2:$A$31,0))</f>
        <v>休士頓太空人</v>
      </c>
      <c r="F715" s="10" t="str">
        <f aca="false">INDEX(球隊主檔!$D$2:$D$31,MATCH($D715,球隊主檔!$A$2:$A$31,0))</f>
        <v>美聯</v>
      </c>
      <c r="G715" s="7" t="s">
        <v>496</v>
      </c>
      <c r="H715" s="11" t="n">
        <f aca="false">INT((DATE($A715,7,1)-INDEX(球員主檔!$G$2:$G$749,MATCH($B715,球員主檔!$A$2:$A$749,0)))/365.25)</f>
        <v>26</v>
      </c>
      <c r="I715" s="12" t="n">
        <v>13</v>
      </c>
      <c r="J715" s="12" t="n">
        <v>6</v>
      </c>
      <c r="K715" s="12" t="n">
        <v>0</v>
      </c>
      <c r="L715" s="12" t="n">
        <v>0</v>
      </c>
      <c r="M715" s="12" t="n">
        <v>27</v>
      </c>
      <c r="N715" s="12" t="n">
        <v>27</v>
      </c>
      <c r="O715" s="12" t="n">
        <v>422</v>
      </c>
      <c r="P715" s="16" t="n">
        <f aca="false">O715/3</f>
        <v>140.666666666667</v>
      </c>
      <c r="Q715" s="17" t="str">
        <f aca="false">INT(O715/3)&amp;"."&amp;MOD(O715,3)</f>
        <v>140.2</v>
      </c>
      <c r="R715" s="12" t="n">
        <v>106</v>
      </c>
      <c r="S715" s="12" t="n">
        <v>54</v>
      </c>
      <c r="T715" s="12" t="n">
        <v>54</v>
      </c>
      <c r="U715" s="12" t="n">
        <v>19</v>
      </c>
      <c r="V715" s="12" t="n">
        <v>54</v>
      </c>
      <c r="W715" s="12" t="n">
        <v>167</v>
      </c>
      <c r="X715" s="12" t="n">
        <v>5</v>
      </c>
      <c r="Y715" s="18" t="n">
        <f aca="false">IF(O715=0,0,T715*27/O715)</f>
        <v>3.45497630331754</v>
      </c>
      <c r="Z715" s="18" t="n">
        <f aca="false">IF(P715=0,0,(V715+R715)/P715)</f>
        <v>1.13744075829384</v>
      </c>
      <c r="AA715" s="18" t="n">
        <f aca="false">IF(O715=0,0,W715*27/O715)</f>
        <v>10.6848341232227</v>
      </c>
      <c r="AB715" s="18" t="n">
        <f aca="false">IF(O715=0,0,V715*27/O715)</f>
        <v>3.45497630331754</v>
      </c>
      <c r="AC715" s="18" t="n">
        <f aca="false">IF(V715=0,0,W715/V715)</f>
        <v>3.09259259259259</v>
      </c>
      <c r="AD715" s="18" t="n">
        <f aca="false">IF(P715=0,0,(13*U715+3*(V715+X715)-2*W715)/P715+INDEX(球季參數!$C$2:$C$4,MATCH($A715,球季參數!$A$2:$A$4,0)))</f>
        <v>3.71981042654028</v>
      </c>
      <c r="AE715" s="11" t="n">
        <f aca="false">IF(P715&gt;=INDEX(球季參數!$F$2:$F$4,MATCH($A715,球季參數!$A$2:$A$4,0)),1,0)</f>
        <v>0</v>
      </c>
    </row>
    <row r="716" customFormat="false" ht="15" hidden="false" customHeight="false" outlineLevel="0" collapsed="false">
      <c r="A716" s="5" t="n">
        <v>2026</v>
      </c>
      <c r="B716" s="7" t="s">
        <v>945</v>
      </c>
      <c r="C716" s="10" t="str">
        <f aca="false">INDEX(球員主檔!$B$2:$B$749,MATCH($B716,球員主檔!$A$2:$A$749,0))</f>
        <v>Leandro Marchetti</v>
      </c>
      <c r="D716" s="7" t="s">
        <v>388</v>
      </c>
      <c r="E716" s="10" t="str">
        <f aca="false">INDEX(球隊主檔!$C$2:$C$31,MATCH($D716,球隊主檔!$A$2:$A$31,0))</f>
        <v>休士頓太空人</v>
      </c>
      <c r="F716" s="10" t="str">
        <f aca="false">INDEX(球隊主檔!$D$2:$D$31,MATCH($D716,球隊主檔!$A$2:$A$31,0))</f>
        <v>美聯</v>
      </c>
      <c r="G716" s="7" t="s">
        <v>496</v>
      </c>
      <c r="H716" s="11" t="n">
        <f aca="false">INT((DATE($A716,7,1)-INDEX(球員主檔!$G$2:$G$749,MATCH($B716,球員主檔!$A$2:$A$749,0)))/365.25)</f>
        <v>28</v>
      </c>
      <c r="I716" s="12" t="n">
        <v>12</v>
      </c>
      <c r="J716" s="12" t="n">
        <v>6</v>
      </c>
      <c r="K716" s="12" t="n">
        <v>0</v>
      </c>
      <c r="L716" s="12" t="n">
        <v>0</v>
      </c>
      <c r="M716" s="12" t="n">
        <v>32</v>
      </c>
      <c r="N716" s="12" t="n">
        <v>32</v>
      </c>
      <c r="O716" s="12" t="n">
        <v>546</v>
      </c>
      <c r="P716" s="16" t="n">
        <f aca="false">O716/3</f>
        <v>182</v>
      </c>
      <c r="Q716" s="17" t="str">
        <f aca="false">INT(O716/3)&amp;"."&amp;MOD(O716,3)</f>
        <v>182.0</v>
      </c>
      <c r="R716" s="12" t="n">
        <v>144</v>
      </c>
      <c r="S716" s="12" t="n">
        <v>98</v>
      </c>
      <c r="T716" s="12" t="n">
        <v>86</v>
      </c>
      <c r="U716" s="12" t="n">
        <v>18</v>
      </c>
      <c r="V716" s="12" t="n">
        <v>63</v>
      </c>
      <c r="W716" s="12" t="n">
        <v>232</v>
      </c>
      <c r="X716" s="12" t="n">
        <v>4</v>
      </c>
      <c r="Y716" s="18" t="n">
        <f aca="false">IF(O716=0,0,T716*27/O716)</f>
        <v>4.25274725274725</v>
      </c>
      <c r="Z716" s="18" t="n">
        <f aca="false">IF(P716=0,0,(V716+R716)/P716)</f>
        <v>1.13736263736264</v>
      </c>
      <c r="AA716" s="18" t="n">
        <f aca="false">IF(O716=0,0,W716*27/O716)</f>
        <v>11.4725274725275</v>
      </c>
      <c r="AB716" s="18" t="n">
        <f aca="false">IF(O716=0,0,V716*27/O716)</f>
        <v>3.11538461538462</v>
      </c>
      <c r="AC716" s="18" t="n">
        <f aca="false">IF(V716=0,0,W716/V716)</f>
        <v>3.68253968253968</v>
      </c>
      <c r="AD716" s="18" t="n">
        <f aca="false">IF(P716=0,0,(13*U716+3*(V716+X716)-2*W716)/P716+INDEX(球季參數!$C$2:$C$4,MATCH($A716,球季參數!$A$2:$A$4,0)))</f>
        <v>2.92065934065934</v>
      </c>
      <c r="AE716" s="11" t="n">
        <f aca="false">IF(P716&gt;=INDEX(球季參數!$F$2:$F$4,MATCH($A716,球季參數!$A$2:$A$4,0)),1,0)</f>
        <v>1</v>
      </c>
    </row>
    <row r="717" customFormat="false" ht="15" hidden="false" customHeight="false" outlineLevel="0" collapsed="false">
      <c r="A717" s="5" t="n">
        <v>2026</v>
      </c>
      <c r="B717" s="7" t="s">
        <v>821</v>
      </c>
      <c r="C717" s="10" t="str">
        <f aca="false">INDEX(球員主檔!$B$2:$B$749,MATCH($B717,球員主檔!$A$2:$A$749,0))</f>
        <v>Isaias Hargreaves</v>
      </c>
      <c r="D717" s="7" t="s">
        <v>388</v>
      </c>
      <c r="E717" s="10" t="str">
        <f aca="false">INDEX(球隊主檔!$C$2:$C$31,MATCH($D717,球隊主檔!$A$2:$A$31,0))</f>
        <v>休士頓太空人</v>
      </c>
      <c r="F717" s="10" t="str">
        <f aca="false">INDEX(球隊主檔!$D$2:$D$31,MATCH($D717,球隊主檔!$A$2:$A$31,0))</f>
        <v>美聯</v>
      </c>
      <c r="G717" s="7" t="s">
        <v>507</v>
      </c>
      <c r="H717" s="11" t="n">
        <f aca="false">INT((DATE($A717,7,1)-INDEX(球員主檔!$G$2:$G$749,MATCH($B717,球員主檔!$A$2:$A$749,0)))/365.25)</f>
        <v>32</v>
      </c>
      <c r="I717" s="12" t="n">
        <v>5</v>
      </c>
      <c r="J717" s="12" t="n">
        <v>4</v>
      </c>
      <c r="K717" s="12" t="n">
        <v>5</v>
      </c>
      <c r="L717" s="12" t="n">
        <v>12</v>
      </c>
      <c r="M717" s="12" t="n">
        <v>70</v>
      </c>
      <c r="N717" s="12" t="n">
        <v>0</v>
      </c>
      <c r="O717" s="12" t="n">
        <v>222</v>
      </c>
      <c r="P717" s="16" t="n">
        <f aca="false">O717/3</f>
        <v>74</v>
      </c>
      <c r="Q717" s="17" t="str">
        <f aca="false">INT(O717/3)&amp;"."&amp;MOD(O717,3)</f>
        <v>74.0</v>
      </c>
      <c r="R717" s="12" t="n">
        <v>63</v>
      </c>
      <c r="S717" s="12" t="n">
        <v>42</v>
      </c>
      <c r="T717" s="12" t="n">
        <v>39</v>
      </c>
      <c r="U717" s="12" t="n">
        <v>16</v>
      </c>
      <c r="V717" s="12" t="n">
        <v>14</v>
      </c>
      <c r="W717" s="12" t="n">
        <v>94</v>
      </c>
      <c r="X717" s="12" t="n">
        <v>3</v>
      </c>
      <c r="Y717" s="18" t="n">
        <f aca="false">IF(O717=0,0,T717*27/O717)</f>
        <v>4.74324324324324</v>
      </c>
      <c r="Z717" s="18" t="n">
        <f aca="false">IF(P717=0,0,(V717+R717)/P717)</f>
        <v>1.04054054054054</v>
      </c>
      <c r="AA717" s="18" t="n">
        <f aca="false">IF(O717=0,0,W717*27/O717)</f>
        <v>11.4324324324324</v>
      </c>
      <c r="AB717" s="18" t="n">
        <f aca="false">IF(O717=0,0,V717*27/O717)</f>
        <v>1.7027027027027</v>
      </c>
      <c r="AC717" s="18" t="n">
        <f aca="false">IF(V717=0,0,W717/V717)</f>
        <v>6.71428571428571</v>
      </c>
      <c r="AD717" s="18" t="n">
        <f aca="false">IF(P717=0,0,(13*U717+3*(V717+X717)-2*W717)/P717+INDEX(球季參數!$C$2:$C$4,MATCH($A717,球季參數!$A$2:$A$4,0)))</f>
        <v>4.03945945945946</v>
      </c>
      <c r="AE717" s="11" t="n">
        <f aca="false">IF(P717&gt;=INDEX(球季參數!$F$2:$F$4,MATCH($A717,球季參數!$A$2:$A$4,0)),1,0)</f>
        <v>0</v>
      </c>
    </row>
    <row r="718" customFormat="false" ht="15" hidden="false" customHeight="false" outlineLevel="0" collapsed="false">
      <c r="A718" s="5" t="n">
        <v>2026</v>
      </c>
      <c r="B718" s="7" t="s">
        <v>949</v>
      </c>
      <c r="C718" s="10" t="str">
        <f aca="false">INDEX(球員主檔!$B$2:$B$749,MATCH($B718,球員主檔!$A$2:$A$749,0))</f>
        <v>Cassius Haverford</v>
      </c>
      <c r="D718" s="7" t="s">
        <v>388</v>
      </c>
      <c r="E718" s="10" t="str">
        <f aca="false">INDEX(球隊主檔!$C$2:$C$31,MATCH($D718,球隊主檔!$A$2:$A$31,0))</f>
        <v>休士頓太空人</v>
      </c>
      <c r="F718" s="10" t="str">
        <f aca="false">INDEX(球隊主檔!$D$2:$D$31,MATCH($D718,球隊主檔!$A$2:$A$31,0))</f>
        <v>美聯</v>
      </c>
      <c r="G718" s="7" t="s">
        <v>507</v>
      </c>
      <c r="H718" s="11" t="n">
        <f aca="false">INT((DATE($A718,7,1)-INDEX(球員主檔!$G$2:$G$749,MATCH($B718,球員主檔!$A$2:$A$749,0)))/365.25)</f>
        <v>34</v>
      </c>
      <c r="I718" s="12" t="n">
        <v>6</v>
      </c>
      <c r="J718" s="12" t="n">
        <v>8</v>
      </c>
      <c r="K718" s="12" t="n">
        <v>6</v>
      </c>
      <c r="L718" s="12" t="n">
        <v>25</v>
      </c>
      <c r="M718" s="12" t="n">
        <v>46</v>
      </c>
      <c r="N718" s="12" t="n">
        <v>0</v>
      </c>
      <c r="O718" s="12" t="n">
        <v>129</v>
      </c>
      <c r="P718" s="16" t="n">
        <f aca="false">O718/3</f>
        <v>43</v>
      </c>
      <c r="Q718" s="17" t="str">
        <f aca="false">INT(O718/3)&amp;"."&amp;MOD(O718,3)</f>
        <v>43.0</v>
      </c>
      <c r="R718" s="12" t="n">
        <v>39</v>
      </c>
      <c r="S718" s="12" t="n">
        <v>27</v>
      </c>
      <c r="T718" s="12" t="n">
        <v>27</v>
      </c>
      <c r="U718" s="12" t="n">
        <v>5</v>
      </c>
      <c r="V718" s="12" t="n">
        <v>8</v>
      </c>
      <c r="W718" s="12" t="n">
        <v>43</v>
      </c>
      <c r="X718" s="12" t="n">
        <v>1</v>
      </c>
      <c r="Y718" s="18" t="n">
        <f aca="false">IF(O718=0,0,T718*27/O718)</f>
        <v>5.65116279069768</v>
      </c>
      <c r="Z718" s="18" t="n">
        <f aca="false">IF(P718=0,0,(V718+R718)/P718)</f>
        <v>1.09302325581395</v>
      </c>
      <c r="AA718" s="18" t="n">
        <f aca="false">IF(O718=0,0,W718*27/O718)</f>
        <v>9</v>
      </c>
      <c r="AB718" s="18" t="n">
        <f aca="false">IF(O718=0,0,V718*27/O718)</f>
        <v>1.67441860465116</v>
      </c>
      <c r="AC718" s="18" t="n">
        <f aca="false">IF(V718=0,0,W718/V718)</f>
        <v>5.375</v>
      </c>
      <c r="AD718" s="18" t="n">
        <f aca="false">IF(P718=0,0,(13*U718+3*(V718+X718)-2*W718)/P718+INDEX(球季參數!$C$2:$C$4,MATCH($A718,球季參數!$A$2:$A$4,0)))</f>
        <v>3.21953488372093</v>
      </c>
      <c r="AE718" s="11" t="n">
        <f aca="false">IF(P718&gt;=INDEX(球季參數!$F$2:$F$4,MATCH($A718,球季參數!$A$2:$A$4,0)),1,0)</f>
        <v>0</v>
      </c>
    </row>
    <row r="719" customFormat="false" ht="15" hidden="false" customHeight="false" outlineLevel="0" collapsed="false">
      <c r="A719" s="5" t="n">
        <v>2026</v>
      </c>
      <c r="B719" s="7" t="s">
        <v>1657</v>
      </c>
      <c r="C719" s="10" t="str">
        <f aca="false">INDEX(球員主檔!$B$2:$B$749,MATCH($B719,球員主檔!$A$2:$A$749,0))</f>
        <v>Alonso Cavanaugh</v>
      </c>
      <c r="D719" s="7" t="s">
        <v>388</v>
      </c>
      <c r="E719" s="10" t="str">
        <f aca="false">INDEX(球隊主檔!$C$2:$C$31,MATCH($D719,球隊主檔!$A$2:$A$31,0))</f>
        <v>休士頓太空人</v>
      </c>
      <c r="F719" s="10" t="str">
        <f aca="false">INDEX(球隊主檔!$D$2:$D$31,MATCH($D719,球隊主檔!$A$2:$A$31,0))</f>
        <v>美聯</v>
      </c>
      <c r="G719" s="7" t="s">
        <v>507</v>
      </c>
      <c r="H719" s="11" t="n">
        <f aca="false">INT((DATE($A719,7,1)-INDEX(球員主檔!$G$2:$G$749,MATCH($B719,球員主檔!$A$2:$A$749,0)))/365.25)</f>
        <v>31</v>
      </c>
      <c r="I719" s="12" t="n">
        <v>1</v>
      </c>
      <c r="J719" s="12" t="n">
        <v>5</v>
      </c>
      <c r="K719" s="12" t="n">
        <v>2</v>
      </c>
      <c r="L719" s="12" t="n">
        <v>8</v>
      </c>
      <c r="M719" s="12" t="n">
        <v>63</v>
      </c>
      <c r="N719" s="12" t="n">
        <v>0</v>
      </c>
      <c r="O719" s="12" t="n">
        <v>177</v>
      </c>
      <c r="P719" s="16" t="n">
        <f aca="false">O719/3</f>
        <v>59</v>
      </c>
      <c r="Q719" s="17" t="str">
        <f aca="false">INT(O719/3)&amp;"."&amp;MOD(O719,3)</f>
        <v>59.0</v>
      </c>
      <c r="R719" s="12" t="n">
        <v>60</v>
      </c>
      <c r="S719" s="12" t="n">
        <v>40</v>
      </c>
      <c r="T719" s="12" t="n">
        <v>38</v>
      </c>
      <c r="U719" s="12" t="n">
        <v>10</v>
      </c>
      <c r="V719" s="12" t="n">
        <v>33</v>
      </c>
      <c r="W719" s="12" t="n">
        <v>60</v>
      </c>
      <c r="X719" s="12" t="n">
        <v>3</v>
      </c>
      <c r="Y719" s="18" t="n">
        <f aca="false">IF(O719=0,0,T719*27/O719)</f>
        <v>5.79661016949153</v>
      </c>
      <c r="Z719" s="18" t="n">
        <f aca="false">IF(P719=0,0,(V719+R719)/P719)</f>
        <v>1.57627118644068</v>
      </c>
      <c r="AA719" s="18" t="n">
        <f aca="false">IF(O719=0,0,W719*27/O719)</f>
        <v>9.15254237288136</v>
      </c>
      <c r="AB719" s="18" t="n">
        <f aca="false">IF(O719=0,0,V719*27/O719)</f>
        <v>5.03389830508475</v>
      </c>
      <c r="AC719" s="18" t="n">
        <f aca="false">IF(V719=0,0,W719/V719)</f>
        <v>1.81818181818182</v>
      </c>
      <c r="AD719" s="18" t="n">
        <f aca="false">IF(P719=0,0,(13*U719+3*(V719+X719)-2*W719)/P719+INDEX(球季參數!$C$2:$C$4,MATCH($A719,球季參數!$A$2:$A$4,0)))</f>
        <v>5.08</v>
      </c>
      <c r="AE719" s="11" t="n">
        <f aca="false">IF(P719&gt;=INDEX(球季參數!$F$2:$F$4,MATCH($A719,球季參數!$A$2:$A$4,0)),1,0)</f>
        <v>0</v>
      </c>
    </row>
    <row r="720" customFormat="false" ht="15" hidden="false" customHeight="false" outlineLevel="0" collapsed="false">
      <c r="A720" s="5" t="n">
        <v>2026</v>
      </c>
      <c r="B720" s="7" t="s">
        <v>1723</v>
      </c>
      <c r="C720" s="10" t="str">
        <f aca="false">INDEX(球員主檔!$B$2:$B$749,MATCH($B720,球員主檔!$A$2:$A$749,0))</f>
        <v>Jedidiah Sorrentino</v>
      </c>
      <c r="D720" s="7" t="s">
        <v>388</v>
      </c>
      <c r="E720" s="10" t="str">
        <f aca="false">INDEX(球隊主檔!$C$2:$C$31,MATCH($D720,球隊主檔!$A$2:$A$31,0))</f>
        <v>休士頓太空人</v>
      </c>
      <c r="F720" s="10" t="str">
        <f aca="false">INDEX(球隊主檔!$D$2:$D$31,MATCH($D720,球隊主檔!$A$2:$A$31,0))</f>
        <v>美聯</v>
      </c>
      <c r="G720" s="7" t="s">
        <v>507</v>
      </c>
      <c r="H720" s="11" t="n">
        <f aca="false">INT((DATE($A720,7,1)-INDEX(球員主檔!$G$2:$G$749,MATCH($B720,球員主檔!$A$2:$A$749,0)))/365.25)</f>
        <v>22</v>
      </c>
      <c r="I720" s="12" t="n">
        <v>4</v>
      </c>
      <c r="J720" s="12" t="n">
        <v>4</v>
      </c>
      <c r="K720" s="12" t="n">
        <v>6</v>
      </c>
      <c r="L720" s="12" t="n">
        <v>4</v>
      </c>
      <c r="M720" s="12" t="n">
        <v>65</v>
      </c>
      <c r="N720" s="12" t="n">
        <v>0</v>
      </c>
      <c r="O720" s="12" t="n">
        <v>174</v>
      </c>
      <c r="P720" s="16" t="n">
        <f aca="false">O720/3</f>
        <v>58</v>
      </c>
      <c r="Q720" s="17" t="str">
        <f aca="false">INT(O720/3)&amp;"."&amp;MOD(O720,3)</f>
        <v>58.0</v>
      </c>
      <c r="R720" s="12" t="n">
        <v>49</v>
      </c>
      <c r="S720" s="12" t="n">
        <v>33</v>
      </c>
      <c r="T720" s="12" t="n">
        <v>31</v>
      </c>
      <c r="U720" s="12" t="n">
        <v>6</v>
      </c>
      <c r="V720" s="12" t="n">
        <v>11</v>
      </c>
      <c r="W720" s="12" t="n">
        <v>63</v>
      </c>
      <c r="X720" s="12" t="n">
        <v>1</v>
      </c>
      <c r="Y720" s="18" t="n">
        <f aca="false">IF(O720=0,0,T720*27/O720)</f>
        <v>4.81034482758621</v>
      </c>
      <c r="Z720" s="18" t="n">
        <f aca="false">IF(P720=0,0,(V720+R720)/P720)</f>
        <v>1.03448275862069</v>
      </c>
      <c r="AA720" s="18" t="n">
        <f aca="false">IF(O720=0,0,W720*27/O720)</f>
        <v>9.77586206896552</v>
      </c>
      <c r="AB720" s="18" t="n">
        <f aca="false">IF(O720=0,0,V720*27/O720)</f>
        <v>1.70689655172414</v>
      </c>
      <c r="AC720" s="18" t="n">
        <f aca="false">IF(V720=0,0,W720/V720)</f>
        <v>5.72727272727273</v>
      </c>
      <c r="AD720" s="18" t="n">
        <f aca="false">IF(P720=0,0,(13*U720+3*(V720+X720)-2*W720)/P720+INDEX(球季參數!$C$2:$C$4,MATCH($A720,球季參數!$A$2:$A$4,0)))</f>
        <v>2.87310344827586</v>
      </c>
      <c r="AE720" s="11" t="n">
        <f aca="false">IF(P720&gt;=INDEX(球季參數!$F$2:$F$4,MATCH($A720,球季參數!$A$2:$A$4,0)),1,0)</f>
        <v>0</v>
      </c>
    </row>
    <row r="721" customFormat="false" ht="15" hidden="false" customHeight="false" outlineLevel="0" collapsed="false">
      <c r="A721" s="5" t="n">
        <v>2026</v>
      </c>
      <c r="B721" s="7" t="s">
        <v>955</v>
      </c>
      <c r="C721" s="10" t="str">
        <f aca="false">INDEX(球員主檔!$B$2:$B$749,MATCH($B721,球員主檔!$A$2:$A$749,0))</f>
        <v>Jedidiah Arceneaux</v>
      </c>
      <c r="D721" s="7" t="s">
        <v>388</v>
      </c>
      <c r="E721" s="10" t="str">
        <f aca="false">INDEX(球隊主檔!$C$2:$C$31,MATCH($D721,球隊主檔!$A$2:$A$31,0))</f>
        <v>休士頓太空人</v>
      </c>
      <c r="F721" s="10" t="str">
        <f aca="false">INDEX(球隊主檔!$D$2:$D$31,MATCH($D721,球隊主檔!$A$2:$A$31,0))</f>
        <v>美聯</v>
      </c>
      <c r="G721" s="7" t="s">
        <v>507</v>
      </c>
      <c r="H721" s="11" t="n">
        <f aca="false">INT((DATE($A721,7,1)-INDEX(球員主檔!$G$2:$G$749,MATCH($B721,球員主檔!$A$2:$A$749,0)))/365.25)</f>
        <v>25</v>
      </c>
      <c r="I721" s="12" t="n">
        <v>5</v>
      </c>
      <c r="J721" s="12" t="n">
        <v>0</v>
      </c>
      <c r="K721" s="12" t="n">
        <v>6</v>
      </c>
      <c r="L721" s="12" t="n">
        <v>6</v>
      </c>
      <c r="M721" s="12" t="n">
        <v>45</v>
      </c>
      <c r="N721" s="12" t="n">
        <v>0</v>
      </c>
      <c r="O721" s="12" t="n">
        <v>124</v>
      </c>
      <c r="P721" s="16" t="n">
        <f aca="false">O721/3</f>
        <v>41.3333333333333</v>
      </c>
      <c r="Q721" s="17" t="str">
        <f aca="false">INT(O721/3)&amp;"."&amp;MOD(O721,3)</f>
        <v>41.1</v>
      </c>
      <c r="R721" s="12" t="n">
        <v>32</v>
      </c>
      <c r="S721" s="12" t="n">
        <v>20</v>
      </c>
      <c r="T721" s="12" t="n">
        <v>18</v>
      </c>
      <c r="U721" s="12" t="n">
        <v>5</v>
      </c>
      <c r="V721" s="12" t="n">
        <v>18</v>
      </c>
      <c r="W721" s="12" t="n">
        <v>37</v>
      </c>
      <c r="X721" s="12" t="n">
        <v>1</v>
      </c>
      <c r="Y721" s="18" t="n">
        <f aca="false">IF(O721=0,0,T721*27/O721)</f>
        <v>3.91935483870968</v>
      </c>
      <c r="Z721" s="18" t="n">
        <f aca="false">IF(P721=0,0,(V721+R721)/P721)</f>
        <v>1.20967741935484</v>
      </c>
      <c r="AA721" s="18" t="n">
        <f aca="false">IF(O721=0,0,W721*27/O721)</f>
        <v>8.05645161290323</v>
      </c>
      <c r="AB721" s="18" t="n">
        <f aca="false">IF(O721=0,0,V721*27/O721)</f>
        <v>3.91935483870968</v>
      </c>
      <c r="AC721" s="18" t="n">
        <f aca="false">IF(V721=0,0,W721/V721)</f>
        <v>2.05555555555556</v>
      </c>
      <c r="AD721" s="18" t="n">
        <f aca="false">IF(P721=0,0,(13*U721+3*(V721+X721)-2*W721)/P721+INDEX(球季參數!$C$2:$C$4,MATCH($A721,球季參數!$A$2:$A$4,0)))</f>
        <v>4.24129032258065</v>
      </c>
      <c r="AE721" s="11" t="n">
        <f aca="false">IF(P721&gt;=INDEX(球季參數!$F$2:$F$4,MATCH($A721,球季參數!$A$2:$A$4,0)),1,0)</f>
        <v>0</v>
      </c>
    </row>
    <row r="722" customFormat="false" ht="15" hidden="false" customHeight="false" outlineLevel="0" collapsed="false">
      <c r="A722" s="5" t="n">
        <v>2026</v>
      </c>
      <c r="B722" s="7" t="s">
        <v>1581</v>
      </c>
      <c r="C722" s="10" t="str">
        <f aca="false">INDEX(球員主檔!$B$2:$B$749,MATCH($B722,球員主檔!$A$2:$A$749,0))</f>
        <v>Konrad Montalvo</v>
      </c>
      <c r="D722" s="7" t="s">
        <v>392</v>
      </c>
      <c r="E722" s="10" t="str">
        <f aca="false">INDEX(球隊主檔!$C$2:$C$31,MATCH($D722,球隊主檔!$A$2:$A$31,0))</f>
        <v>洛杉磯天使</v>
      </c>
      <c r="F722" s="10" t="str">
        <f aca="false">INDEX(球隊主檔!$D$2:$D$31,MATCH($D722,球隊主檔!$A$2:$A$31,0))</f>
        <v>美聯</v>
      </c>
      <c r="G722" s="7" t="s">
        <v>496</v>
      </c>
      <c r="H722" s="11" t="n">
        <f aca="false">INT((DATE($A722,7,1)-INDEX(球員主檔!$G$2:$G$749,MATCH($B722,球員主檔!$A$2:$A$749,0)))/365.25)</f>
        <v>33</v>
      </c>
      <c r="I722" s="12" t="n">
        <v>8</v>
      </c>
      <c r="J722" s="12" t="n">
        <v>6</v>
      </c>
      <c r="K722" s="12" t="n">
        <v>0</v>
      </c>
      <c r="L722" s="12" t="n">
        <v>0</v>
      </c>
      <c r="M722" s="12" t="n">
        <v>19</v>
      </c>
      <c r="N722" s="12" t="n">
        <v>19</v>
      </c>
      <c r="O722" s="12" t="n">
        <v>291</v>
      </c>
      <c r="P722" s="16" t="n">
        <f aca="false">O722/3</f>
        <v>97</v>
      </c>
      <c r="Q722" s="17" t="str">
        <f aca="false">INT(O722/3)&amp;"."&amp;MOD(O722,3)</f>
        <v>97.0</v>
      </c>
      <c r="R722" s="12" t="n">
        <v>86</v>
      </c>
      <c r="S722" s="12" t="n">
        <v>53</v>
      </c>
      <c r="T722" s="12" t="n">
        <v>53</v>
      </c>
      <c r="U722" s="12" t="n">
        <v>15</v>
      </c>
      <c r="V722" s="12" t="n">
        <v>40</v>
      </c>
      <c r="W722" s="12" t="n">
        <v>99</v>
      </c>
      <c r="X722" s="12" t="n">
        <v>3</v>
      </c>
      <c r="Y722" s="18" t="n">
        <f aca="false">IF(O722=0,0,T722*27/O722)</f>
        <v>4.91752577319588</v>
      </c>
      <c r="Z722" s="18" t="n">
        <f aca="false">IF(P722=0,0,(V722+R722)/P722)</f>
        <v>1.29896907216495</v>
      </c>
      <c r="AA722" s="18" t="n">
        <f aca="false">IF(O722=0,0,W722*27/O722)</f>
        <v>9.18556701030928</v>
      </c>
      <c r="AB722" s="18" t="n">
        <f aca="false">IF(O722=0,0,V722*27/O722)</f>
        <v>3.71134020618557</v>
      </c>
      <c r="AC722" s="18" t="n">
        <f aca="false">IF(V722=0,0,W722/V722)</f>
        <v>2.475</v>
      </c>
      <c r="AD722" s="18" t="n">
        <f aca="false">IF(P722=0,0,(13*U722+3*(V722+X722)-2*W722)/P722+INDEX(球季參數!$C$2:$C$4,MATCH($A722,球季參數!$A$2:$A$4,0)))</f>
        <v>4.37896907216495</v>
      </c>
      <c r="AE722" s="11" t="n">
        <f aca="false">IF(P722&gt;=INDEX(球季參數!$F$2:$F$4,MATCH($A722,球季參數!$A$2:$A$4,0)),1,0)</f>
        <v>0</v>
      </c>
    </row>
    <row r="723" customFormat="false" ht="15" hidden="false" customHeight="false" outlineLevel="0" collapsed="false">
      <c r="A723" s="5" t="n">
        <v>2026</v>
      </c>
      <c r="B723" s="7" t="s">
        <v>1889</v>
      </c>
      <c r="C723" s="10" t="str">
        <f aca="false">INDEX(球員主檔!$B$2:$B$749,MATCH($B723,球員主檔!$A$2:$A$749,0))</f>
        <v>Kellan Iwasaki</v>
      </c>
      <c r="D723" s="7" t="s">
        <v>392</v>
      </c>
      <c r="E723" s="10" t="str">
        <f aca="false">INDEX(球隊主檔!$C$2:$C$31,MATCH($D723,球隊主檔!$A$2:$A$31,0))</f>
        <v>洛杉磯天使</v>
      </c>
      <c r="F723" s="10" t="str">
        <f aca="false">INDEX(球隊主檔!$D$2:$D$31,MATCH($D723,球隊主檔!$A$2:$A$31,0))</f>
        <v>美聯</v>
      </c>
      <c r="G723" s="7" t="s">
        <v>496</v>
      </c>
      <c r="H723" s="11" t="n">
        <f aca="false">INT((DATE($A723,7,1)-INDEX(球員主檔!$G$2:$G$749,MATCH($B723,球員主檔!$A$2:$A$749,0)))/365.25)</f>
        <v>25</v>
      </c>
      <c r="I723" s="12" t="n">
        <v>16</v>
      </c>
      <c r="J723" s="12" t="n">
        <v>4</v>
      </c>
      <c r="K723" s="12" t="n">
        <v>0</v>
      </c>
      <c r="L723" s="12" t="n">
        <v>0</v>
      </c>
      <c r="M723" s="12" t="n">
        <v>29</v>
      </c>
      <c r="N723" s="12" t="n">
        <v>29</v>
      </c>
      <c r="O723" s="12" t="n">
        <v>536</v>
      </c>
      <c r="P723" s="16" t="n">
        <f aca="false">O723/3</f>
        <v>178.666666666667</v>
      </c>
      <c r="Q723" s="17" t="str">
        <f aca="false">INT(O723/3)&amp;"."&amp;MOD(O723,3)</f>
        <v>178.2</v>
      </c>
      <c r="R723" s="12" t="n">
        <v>135</v>
      </c>
      <c r="S723" s="12" t="n">
        <v>47</v>
      </c>
      <c r="T723" s="12" t="n">
        <v>46</v>
      </c>
      <c r="U723" s="12" t="n">
        <v>38</v>
      </c>
      <c r="V723" s="12" t="n">
        <v>73</v>
      </c>
      <c r="W723" s="12" t="n">
        <v>184</v>
      </c>
      <c r="X723" s="12" t="n">
        <v>9</v>
      </c>
      <c r="Y723" s="18" t="n">
        <f aca="false">IF(O723=0,0,T723*27/O723)</f>
        <v>2.31716417910448</v>
      </c>
      <c r="Z723" s="18" t="n">
        <f aca="false">IF(P723=0,0,(V723+R723)/P723)</f>
        <v>1.16417910447761</v>
      </c>
      <c r="AA723" s="18" t="n">
        <f aca="false">IF(O723=0,0,W723*27/O723)</f>
        <v>9.26865671641791</v>
      </c>
      <c r="AB723" s="18" t="n">
        <f aca="false">IF(O723=0,0,V723*27/O723)</f>
        <v>3.67723880597015</v>
      </c>
      <c r="AC723" s="18" t="n">
        <f aca="false">IF(V723=0,0,W723/V723)</f>
        <v>2.52054794520548</v>
      </c>
      <c r="AD723" s="18" t="n">
        <f aca="false">IF(P723=0,0,(13*U723+3*(V723+X723)-2*W723)/P723+INDEX(球季參數!$C$2:$C$4,MATCH($A723,球季參數!$A$2:$A$4,0)))</f>
        <v>5.16208955223881</v>
      </c>
      <c r="AE723" s="11" t="n">
        <f aca="false">IF(P723&gt;=INDEX(球季參數!$F$2:$F$4,MATCH($A723,球季參數!$A$2:$A$4,0)),1,0)</f>
        <v>1</v>
      </c>
    </row>
    <row r="724" customFormat="false" ht="15" hidden="false" customHeight="false" outlineLevel="0" collapsed="false">
      <c r="A724" s="5" t="n">
        <v>2026</v>
      </c>
      <c r="B724" s="7" t="s">
        <v>503</v>
      </c>
      <c r="C724" s="10" t="str">
        <f aca="false">INDEX(球員主檔!$B$2:$B$749,MATCH($B724,球員主檔!$A$2:$A$749,0))</f>
        <v>Dashiell Oyelaran</v>
      </c>
      <c r="D724" s="7" t="s">
        <v>392</v>
      </c>
      <c r="E724" s="10" t="str">
        <f aca="false">INDEX(球隊主檔!$C$2:$C$31,MATCH($D724,球隊主檔!$A$2:$A$31,0))</f>
        <v>洛杉磯天使</v>
      </c>
      <c r="F724" s="10" t="str">
        <f aca="false">INDEX(球隊主檔!$D$2:$D$31,MATCH($D724,球隊主檔!$A$2:$A$31,0))</f>
        <v>美聯</v>
      </c>
      <c r="G724" s="7" t="s">
        <v>496</v>
      </c>
      <c r="H724" s="11" t="n">
        <f aca="false">INT((DATE($A724,7,1)-INDEX(球員主檔!$G$2:$G$749,MATCH($B724,球員主檔!$A$2:$A$749,0)))/365.25)</f>
        <v>30</v>
      </c>
      <c r="I724" s="12" t="n">
        <v>8</v>
      </c>
      <c r="J724" s="12" t="n">
        <v>7</v>
      </c>
      <c r="K724" s="12" t="n">
        <v>0</v>
      </c>
      <c r="L724" s="12" t="n">
        <v>0</v>
      </c>
      <c r="M724" s="12" t="n">
        <v>22</v>
      </c>
      <c r="N724" s="12" t="n">
        <v>22</v>
      </c>
      <c r="O724" s="12" t="n">
        <v>382</v>
      </c>
      <c r="P724" s="16" t="n">
        <f aca="false">O724/3</f>
        <v>127.333333333333</v>
      </c>
      <c r="Q724" s="17" t="str">
        <f aca="false">INT(O724/3)&amp;"."&amp;MOD(O724,3)</f>
        <v>127.1</v>
      </c>
      <c r="R724" s="12" t="n">
        <v>103</v>
      </c>
      <c r="S724" s="12" t="n">
        <v>66</v>
      </c>
      <c r="T724" s="12" t="n">
        <v>58</v>
      </c>
      <c r="U724" s="12" t="n">
        <v>15</v>
      </c>
      <c r="V724" s="12" t="n">
        <v>52</v>
      </c>
      <c r="W724" s="12" t="n">
        <v>107</v>
      </c>
      <c r="X724" s="12" t="n">
        <v>5</v>
      </c>
      <c r="Y724" s="18" t="n">
        <f aca="false">IF(O724=0,0,T724*27/O724)</f>
        <v>4.09947643979058</v>
      </c>
      <c r="Z724" s="18" t="n">
        <f aca="false">IF(P724=0,0,(V724+R724)/P724)</f>
        <v>1.21727748691099</v>
      </c>
      <c r="AA724" s="18" t="n">
        <f aca="false">IF(O724=0,0,W724*27/O724)</f>
        <v>7.56282722513089</v>
      </c>
      <c r="AB724" s="18" t="n">
        <f aca="false">IF(O724=0,0,V724*27/O724)</f>
        <v>3.67539267015707</v>
      </c>
      <c r="AC724" s="18" t="n">
        <f aca="false">IF(V724=0,0,W724/V724)</f>
        <v>2.05769230769231</v>
      </c>
      <c r="AD724" s="18" t="n">
        <f aca="false">IF(P724=0,0,(13*U724+3*(V724+X724)-2*W724)/P724+INDEX(球季參數!$C$2:$C$4,MATCH($A724,球季參數!$A$2:$A$4,0)))</f>
        <v>4.27371727748691</v>
      </c>
      <c r="AE724" s="11" t="n">
        <f aca="false">IF(P724&gt;=INDEX(球季參數!$F$2:$F$4,MATCH($A724,球季參數!$A$2:$A$4,0)),1,0)</f>
        <v>0</v>
      </c>
    </row>
    <row r="725" customFormat="false" ht="15" hidden="false" customHeight="false" outlineLevel="0" collapsed="false">
      <c r="A725" s="5" t="n">
        <v>2026</v>
      </c>
      <c r="B725" s="7" t="s">
        <v>1065</v>
      </c>
      <c r="C725" s="10" t="str">
        <f aca="false">INDEX(球員主檔!$B$2:$B$749,MATCH($B725,球員主檔!$A$2:$A$749,0))</f>
        <v>Dorian Halloway</v>
      </c>
      <c r="D725" s="7" t="s">
        <v>392</v>
      </c>
      <c r="E725" s="10" t="str">
        <f aca="false">INDEX(球隊主檔!$C$2:$C$31,MATCH($D725,球隊主檔!$A$2:$A$31,0))</f>
        <v>洛杉磯天使</v>
      </c>
      <c r="F725" s="10" t="str">
        <f aca="false">INDEX(球隊主檔!$D$2:$D$31,MATCH($D725,球隊主檔!$A$2:$A$31,0))</f>
        <v>美聯</v>
      </c>
      <c r="G725" s="7" t="s">
        <v>496</v>
      </c>
      <c r="H725" s="11" t="n">
        <f aca="false">INT((DATE($A725,7,1)-INDEX(球員主檔!$G$2:$G$749,MATCH($B725,球員主檔!$A$2:$A$749,0)))/365.25)</f>
        <v>30</v>
      </c>
      <c r="I725" s="12" t="n">
        <v>11</v>
      </c>
      <c r="J725" s="12" t="n">
        <v>9</v>
      </c>
      <c r="K725" s="12" t="n">
        <v>0</v>
      </c>
      <c r="L725" s="12" t="n">
        <v>0</v>
      </c>
      <c r="M725" s="12" t="n">
        <v>30</v>
      </c>
      <c r="N725" s="12" t="n">
        <v>30</v>
      </c>
      <c r="O725" s="12" t="n">
        <v>449</v>
      </c>
      <c r="P725" s="16" t="n">
        <f aca="false">O725/3</f>
        <v>149.666666666667</v>
      </c>
      <c r="Q725" s="17" t="str">
        <f aca="false">INT(O725/3)&amp;"."&amp;MOD(O725,3)</f>
        <v>149.2</v>
      </c>
      <c r="R725" s="12" t="n">
        <v>137</v>
      </c>
      <c r="S725" s="12" t="n">
        <v>77</v>
      </c>
      <c r="T725" s="12" t="n">
        <v>77</v>
      </c>
      <c r="U725" s="12" t="n">
        <v>17</v>
      </c>
      <c r="V725" s="12" t="n">
        <v>76</v>
      </c>
      <c r="W725" s="12" t="n">
        <v>140</v>
      </c>
      <c r="X725" s="12" t="n">
        <v>4</v>
      </c>
      <c r="Y725" s="18" t="n">
        <f aca="false">IF(O725=0,0,T725*27/O725)</f>
        <v>4.63028953229399</v>
      </c>
      <c r="Z725" s="18" t="n">
        <f aca="false">IF(P725=0,0,(V725+R725)/P725)</f>
        <v>1.42316258351893</v>
      </c>
      <c r="AA725" s="18" t="n">
        <f aca="false">IF(O725=0,0,W725*27/O725)</f>
        <v>8.41870824053452</v>
      </c>
      <c r="AB725" s="18" t="n">
        <f aca="false">IF(O725=0,0,V725*27/O725)</f>
        <v>4.57015590200445</v>
      </c>
      <c r="AC725" s="18" t="n">
        <f aca="false">IF(V725=0,0,W725/V725)</f>
        <v>1.84210526315789</v>
      </c>
      <c r="AD725" s="18" t="n">
        <f aca="false">IF(P725=0,0,(13*U725+3*(V725+X725)-2*W725)/P725+INDEX(球季參數!$C$2:$C$4,MATCH($A725,球季參數!$A$2:$A$4,0)))</f>
        <v>4.28935412026726</v>
      </c>
      <c r="AE725" s="11" t="n">
        <f aca="false">IF(P725&gt;=INDEX(球季參數!$F$2:$F$4,MATCH($A725,球季參數!$A$2:$A$4,0)),1,0)</f>
        <v>0</v>
      </c>
    </row>
    <row r="726" customFormat="false" ht="15" hidden="false" customHeight="false" outlineLevel="0" collapsed="false">
      <c r="A726" s="5" t="n">
        <v>2026</v>
      </c>
      <c r="B726" s="7" t="s">
        <v>1891</v>
      </c>
      <c r="C726" s="10" t="str">
        <f aca="false">INDEX(球員主檔!$B$2:$B$749,MATCH($B726,球員主檔!$A$2:$A$749,0))</f>
        <v>Ignacio Beckwith</v>
      </c>
      <c r="D726" s="7" t="s">
        <v>392</v>
      </c>
      <c r="E726" s="10" t="str">
        <f aca="false">INDEX(球隊主檔!$C$2:$C$31,MATCH($D726,球隊主檔!$A$2:$A$31,0))</f>
        <v>洛杉磯天使</v>
      </c>
      <c r="F726" s="10" t="str">
        <f aca="false">INDEX(球隊主檔!$D$2:$D$31,MATCH($D726,球隊主檔!$A$2:$A$31,0))</f>
        <v>美聯</v>
      </c>
      <c r="G726" s="7" t="s">
        <v>496</v>
      </c>
      <c r="H726" s="11" t="n">
        <f aca="false">INT((DATE($A726,7,1)-INDEX(球員主檔!$G$2:$G$749,MATCH($B726,球員主檔!$A$2:$A$749,0)))/365.25)</f>
        <v>21</v>
      </c>
      <c r="I726" s="12" t="n">
        <v>9</v>
      </c>
      <c r="J726" s="12" t="n">
        <v>7</v>
      </c>
      <c r="K726" s="12" t="n">
        <v>0</v>
      </c>
      <c r="L726" s="12" t="n">
        <v>0</v>
      </c>
      <c r="M726" s="12" t="n">
        <v>27</v>
      </c>
      <c r="N726" s="12" t="n">
        <v>27</v>
      </c>
      <c r="O726" s="12" t="n">
        <v>424</v>
      </c>
      <c r="P726" s="16" t="n">
        <f aca="false">O726/3</f>
        <v>141.333333333333</v>
      </c>
      <c r="Q726" s="17" t="str">
        <f aca="false">INT(O726/3)&amp;"."&amp;MOD(O726,3)</f>
        <v>141.1</v>
      </c>
      <c r="R726" s="12" t="n">
        <v>118</v>
      </c>
      <c r="S726" s="12" t="n">
        <v>83</v>
      </c>
      <c r="T726" s="12" t="n">
        <v>73</v>
      </c>
      <c r="U726" s="12" t="n">
        <v>18</v>
      </c>
      <c r="V726" s="12" t="n">
        <v>65</v>
      </c>
      <c r="W726" s="12" t="n">
        <v>104</v>
      </c>
      <c r="X726" s="12" t="n">
        <v>3</v>
      </c>
      <c r="Y726" s="18" t="n">
        <f aca="false">IF(O726=0,0,T726*27/O726)</f>
        <v>4.64858490566038</v>
      </c>
      <c r="Z726" s="18" t="n">
        <f aca="false">IF(P726=0,0,(V726+R726)/P726)</f>
        <v>1.29481132075472</v>
      </c>
      <c r="AA726" s="18" t="n">
        <f aca="false">IF(O726=0,0,W726*27/O726)</f>
        <v>6.62264150943396</v>
      </c>
      <c r="AB726" s="18" t="n">
        <f aca="false">IF(O726=0,0,V726*27/O726)</f>
        <v>4.13915094339623</v>
      </c>
      <c r="AC726" s="18" t="n">
        <f aca="false">IF(V726=0,0,W726/V726)</f>
        <v>1.6</v>
      </c>
      <c r="AD726" s="18" t="n">
        <f aca="false">IF(P726=0,0,(13*U726+3*(V726+X726)-2*W726)/P726+INDEX(球季參數!$C$2:$C$4,MATCH($A726,球季參數!$A$2:$A$4,0)))</f>
        <v>4.70735849056604</v>
      </c>
      <c r="AE726" s="11" t="n">
        <f aca="false">IF(P726&gt;=INDEX(球季參數!$F$2:$F$4,MATCH($A726,球季參數!$A$2:$A$4,0)),1,0)</f>
        <v>0</v>
      </c>
    </row>
    <row r="727" customFormat="false" ht="15" hidden="false" customHeight="false" outlineLevel="0" collapsed="false">
      <c r="A727" s="5" t="n">
        <v>2026</v>
      </c>
      <c r="B727" s="7" t="s">
        <v>1145</v>
      </c>
      <c r="C727" s="10" t="str">
        <f aca="false">INDEX(球員主檔!$B$2:$B$749,MATCH($B727,球員主檔!$A$2:$A$749,0))</f>
        <v>Ronin Zielinski</v>
      </c>
      <c r="D727" s="7" t="s">
        <v>392</v>
      </c>
      <c r="E727" s="10" t="str">
        <f aca="false">INDEX(球隊主檔!$C$2:$C$31,MATCH($D727,球隊主檔!$A$2:$A$31,0))</f>
        <v>洛杉磯天使</v>
      </c>
      <c r="F727" s="10" t="str">
        <f aca="false">INDEX(球隊主檔!$D$2:$D$31,MATCH($D727,球隊主檔!$A$2:$A$31,0))</f>
        <v>美聯</v>
      </c>
      <c r="G727" s="7" t="s">
        <v>507</v>
      </c>
      <c r="H727" s="11" t="n">
        <f aca="false">INT((DATE($A727,7,1)-INDEX(球員主檔!$G$2:$G$749,MATCH($B727,球員主檔!$A$2:$A$749,0)))/365.25)</f>
        <v>32</v>
      </c>
      <c r="I727" s="12" t="n">
        <v>9</v>
      </c>
      <c r="J727" s="12" t="n">
        <v>8</v>
      </c>
      <c r="K727" s="12" t="n">
        <v>45</v>
      </c>
      <c r="L727" s="12" t="n">
        <v>4</v>
      </c>
      <c r="M727" s="12" t="n">
        <v>39</v>
      </c>
      <c r="N727" s="12" t="n">
        <v>0</v>
      </c>
      <c r="O727" s="12" t="n">
        <v>119</v>
      </c>
      <c r="P727" s="16" t="n">
        <f aca="false">O727/3</f>
        <v>39.6666666666667</v>
      </c>
      <c r="Q727" s="17" t="str">
        <f aca="false">INT(O727/3)&amp;"."&amp;MOD(O727,3)</f>
        <v>39.2</v>
      </c>
      <c r="R727" s="12" t="n">
        <v>34</v>
      </c>
      <c r="S727" s="12" t="n">
        <v>19</v>
      </c>
      <c r="T727" s="12" t="n">
        <v>17</v>
      </c>
      <c r="U727" s="12" t="n">
        <v>6</v>
      </c>
      <c r="V727" s="12" t="n">
        <v>10</v>
      </c>
      <c r="W727" s="12" t="n">
        <v>25</v>
      </c>
      <c r="X727" s="12" t="n">
        <v>2</v>
      </c>
      <c r="Y727" s="18" t="n">
        <f aca="false">IF(O727=0,0,T727*27/O727)</f>
        <v>3.85714285714286</v>
      </c>
      <c r="Z727" s="18" t="n">
        <f aca="false">IF(P727=0,0,(V727+R727)/P727)</f>
        <v>1.10924369747899</v>
      </c>
      <c r="AA727" s="18" t="n">
        <f aca="false">IF(O727=0,0,W727*27/O727)</f>
        <v>5.67226890756303</v>
      </c>
      <c r="AB727" s="18" t="n">
        <f aca="false">IF(O727=0,0,V727*27/O727)</f>
        <v>2.26890756302521</v>
      </c>
      <c r="AC727" s="18" t="n">
        <f aca="false">IF(V727=0,0,W727/V727)</f>
        <v>2.5</v>
      </c>
      <c r="AD727" s="18" t="n">
        <f aca="false">IF(P727=0,0,(13*U727+3*(V727+X727)-2*W727)/P727+INDEX(球季參數!$C$2:$C$4,MATCH($A727,球季參數!$A$2:$A$4,0)))</f>
        <v>4.69344537815126</v>
      </c>
      <c r="AE727" s="11" t="n">
        <f aca="false">IF(P727&gt;=INDEX(球季參數!$F$2:$F$4,MATCH($A727,球季參數!$A$2:$A$4,0)),1,0)</f>
        <v>0</v>
      </c>
    </row>
    <row r="728" customFormat="false" ht="15" hidden="false" customHeight="false" outlineLevel="0" collapsed="false">
      <c r="A728" s="5" t="n">
        <v>2026</v>
      </c>
      <c r="B728" s="7" t="s">
        <v>1313</v>
      </c>
      <c r="C728" s="10" t="str">
        <f aca="false">INDEX(球員主檔!$B$2:$B$749,MATCH($B728,球員主檔!$A$2:$A$749,0))</f>
        <v>Lucien Mbeki</v>
      </c>
      <c r="D728" s="7" t="s">
        <v>392</v>
      </c>
      <c r="E728" s="10" t="str">
        <f aca="false">INDEX(球隊主檔!$C$2:$C$31,MATCH($D728,球隊主檔!$A$2:$A$31,0))</f>
        <v>洛杉磯天使</v>
      </c>
      <c r="F728" s="10" t="str">
        <f aca="false">INDEX(球隊主檔!$D$2:$D$31,MATCH($D728,球隊主檔!$A$2:$A$31,0))</f>
        <v>美聯</v>
      </c>
      <c r="G728" s="7" t="s">
        <v>507</v>
      </c>
      <c r="H728" s="11" t="n">
        <f aca="false">INT((DATE($A728,7,1)-INDEX(球員主檔!$G$2:$G$749,MATCH($B728,球員主檔!$A$2:$A$749,0)))/365.25)</f>
        <v>27</v>
      </c>
      <c r="I728" s="12" t="n">
        <v>3</v>
      </c>
      <c r="J728" s="12" t="n">
        <v>6</v>
      </c>
      <c r="K728" s="12" t="n">
        <v>2</v>
      </c>
      <c r="L728" s="12" t="n">
        <v>17</v>
      </c>
      <c r="M728" s="12" t="n">
        <v>48</v>
      </c>
      <c r="N728" s="12" t="n">
        <v>0</v>
      </c>
      <c r="O728" s="12" t="n">
        <v>136</v>
      </c>
      <c r="P728" s="16" t="n">
        <f aca="false">O728/3</f>
        <v>45.3333333333333</v>
      </c>
      <c r="Q728" s="17" t="str">
        <f aca="false">INT(O728/3)&amp;"."&amp;MOD(O728,3)</f>
        <v>45.1</v>
      </c>
      <c r="R728" s="12" t="n">
        <v>36</v>
      </c>
      <c r="S728" s="12" t="n">
        <v>22</v>
      </c>
      <c r="T728" s="12" t="n">
        <v>21</v>
      </c>
      <c r="U728" s="12" t="n">
        <v>8</v>
      </c>
      <c r="V728" s="12" t="n">
        <v>15</v>
      </c>
      <c r="W728" s="12" t="n">
        <v>55</v>
      </c>
      <c r="X728" s="12" t="n">
        <v>2</v>
      </c>
      <c r="Y728" s="18" t="n">
        <f aca="false">IF(O728=0,0,T728*27/O728)</f>
        <v>4.16911764705882</v>
      </c>
      <c r="Z728" s="18" t="n">
        <f aca="false">IF(P728=0,0,(V728+R728)/P728)</f>
        <v>1.125</v>
      </c>
      <c r="AA728" s="18" t="n">
        <f aca="false">IF(O728=0,0,W728*27/O728)</f>
        <v>10.9191176470588</v>
      </c>
      <c r="AB728" s="18" t="n">
        <f aca="false">IF(O728=0,0,V728*27/O728)</f>
        <v>2.97794117647059</v>
      </c>
      <c r="AC728" s="18" t="n">
        <f aca="false">IF(V728=0,0,W728/V728)</f>
        <v>3.66666666666667</v>
      </c>
      <c r="AD728" s="18" t="n">
        <f aca="false">IF(P728=0,0,(13*U728+3*(V728+X728)-2*W728)/P728+INDEX(球季參數!$C$2:$C$4,MATCH($A728,球季參數!$A$2:$A$4,0)))</f>
        <v>4.07264705882353</v>
      </c>
      <c r="AE728" s="11" t="n">
        <f aca="false">IF(P728&gt;=INDEX(球季參數!$F$2:$F$4,MATCH($A728,球季參數!$A$2:$A$4,0)),1,0)</f>
        <v>0</v>
      </c>
    </row>
    <row r="729" customFormat="false" ht="15" hidden="false" customHeight="false" outlineLevel="0" collapsed="false">
      <c r="A729" s="5" t="n">
        <v>2026</v>
      </c>
      <c r="B729" s="7" t="s">
        <v>1731</v>
      </c>
      <c r="C729" s="10" t="str">
        <f aca="false">INDEX(球員主檔!$B$2:$B$749,MATCH($B729,球員主檔!$A$2:$A$749,0))</f>
        <v>Percival Zamarripa</v>
      </c>
      <c r="D729" s="7" t="s">
        <v>392</v>
      </c>
      <c r="E729" s="10" t="str">
        <f aca="false">INDEX(球隊主檔!$C$2:$C$31,MATCH($D729,球隊主檔!$A$2:$A$31,0))</f>
        <v>洛杉磯天使</v>
      </c>
      <c r="F729" s="10" t="str">
        <f aca="false">INDEX(球隊主檔!$D$2:$D$31,MATCH($D729,球隊主檔!$A$2:$A$31,0))</f>
        <v>美聯</v>
      </c>
      <c r="G729" s="7" t="s">
        <v>507</v>
      </c>
      <c r="H729" s="11" t="n">
        <f aca="false">INT((DATE($A729,7,1)-INDEX(球員主檔!$G$2:$G$749,MATCH($B729,球員主檔!$A$2:$A$749,0)))/365.25)</f>
        <v>24</v>
      </c>
      <c r="I729" s="12" t="n">
        <v>8</v>
      </c>
      <c r="J729" s="12" t="n">
        <v>6</v>
      </c>
      <c r="K729" s="12" t="n">
        <v>3</v>
      </c>
      <c r="L729" s="12" t="n">
        <v>25</v>
      </c>
      <c r="M729" s="12" t="n">
        <v>72</v>
      </c>
      <c r="N729" s="12" t="n">
        <v>0</v>
      </c>
      <c r="O729" s="12" t="n">
        <v>209</v>
      </c>
      <c r="P729" s="16" t="n">
        <f aca="false">O729/3</f>
        <v>69.6666666666667</v>
      </c>
      <c r="Q729" s="17" t="str">
        <f aca="false">INT(O729/3)&amp;"."&amp;MOD(O729,3)</f>
        <v>69.2</v>
      </c>
      <c r="R729" s="12" t="n">
        <v>49</v>
      </c>
      <c r="S729" s="12" t="n">
        <v>21</v>
      </c>
      <c r="T729" s="12" t="n">
        <v>20</v>
      </c>
      <c r="U729" s="12" t="n">
        <v>4</v>
      </c>
      <c r="V729" s="12" t="n">
        <v>17</v>
      </c>
      <c r="W729" s="12" t="n">
        <v>108</v>
      </c>
      <c r="X729" s="12" t="n">
        <v>1</v>
      </c>
      <c r="Y729" s="18" t="n">
        <f aca="false">IF(O729=0,0,T729*27/O729)</f>
        <v>2.58373205741627</v>
      </c>
      <c r="Z729" s="18" t="n">
        <f aca="false">IF(P729=0,0,(V729+R729)/P729)</f>
        <v>0.947368421052632</v>
      </c>
      <c r="AA729" s="18" t="n">
        <f aca="false">IF(O729=0,0,W729*27/O729)</f>
        <v>13.9521531100478</v>
      </c>
      <c r="AB729" s="18" t="n">
        <f aca="false">IF(O729=0,0,V729*27/O729)</f>
        <v>2.19617224880383</v>
      </c>
      <c r="AC729" s="18" t="n">
        <f aca="false">IF(V729=0,0,W729/V729)</f>
        <v>6.35294117647059</v>
      </c>
      <c r="AD729" s="18" t="n">
        <f aca="false">IF(P729=0,0,(13*U729+3*(V729+X729)-2*W729)/P729+INDEX(球季參數!$C$2:$C$4,MATCH($A729,球季參數!$A$2:$A$4,0)))</f>
        <v>1.50105263157895</v>
      </c>
      <c r="AE729" s="11" t="n">
        <f aca="false">IF(P729&gt;=INDEX(球季參數!$F$2:$F$4,MATCH($A729,球季參數!$A$2:$A$4,0)),1,0)</f>
        <v>0</v>
      </c>
    </row>
    <row r="730" customFormat="false" ht="15" hidden="false" customHeight="false" outlineLevel="0" collapsed="false">
      <c r="A730" s="5" t="n">
        <v>2026</v>
      </c>
      <c r="B730" s="7" t="s">
        <v>993</v>
      </c>
      <c r="C730" s="10" t="str">
        <f aca="false">INDEX(球員主檔!$B$2:$B$749,MATCH($B730,球員主檔!$A$2:$A$749,0))</f>
        <v>Porter Engelhardt</v>
      </c>
      <c r="D730" s="7" t="s">
        <v>392</v>
      </c>
      <c r="E730" s="10" t="str">
        <f aca="false">INDEX(球隊主檔!$C$2:$C$31,MATCH($D730,球隊主檔!$A$2:$A$31,0))</f>
        <v>洛杉磯天使</v>
      </c>
      <c r="F730" s="10" t="str">
        <f aca="false">INDEX(球隊主檔!$D$2:$D$31,MATCH($D730,球隊主檔!$A$2:$A$31,0))</f>
        <v>美聯</v>
      </c>
      <c r="G730" s="7" t="s">
        <v>507</v>
      </c>
      <c r="H730" s="11" t="n">
        <f aca="false">INT((DATE($A730,7,1)-INDEX(球員主檔!$G$2:$G$749,MATCH($B730,球員主檔!$A$2:$A$749,0)))/365.25)</f>
        <v>29</v>
      </c>
      <c r="I730" s="12" t="n">
        <v>2</v>
      </c>
      <c r="J730" s="12" t="n">
        <v>3</v>
      </c>
      <c r="K730" s="12" t="n">
        <v>6</v>
      </c>
      <c r="L730" s="12" t="n">
        <v>9</v>
      </c>
      <c r="M730" s="12" t="n">
        <v>60</v>
      </c>
      <c r="N730" s="12" t="n">
        <v>0</v>
      </c>
      <c r="O730" s="12" t="n">
        <v>159</v>
      </c>
      <c r="P730" s="16" t="n">
        <f aca="false">O730/3</f>
        <v>53</v>
      </c>
      <c r="Q730" s="17" t="str">
        <f aca="false">INT(O730/3)&amp;"."&amp;MOD(O730,3)</f>
        <v>53.0</v>
      </c>
      <c r="R730" s="12" t="n">
        <v>39</v>
      </c>
      <c r="S730" s="12" t="n">
        <v>21</v>
      </c>
      <c r="T730" s="12" t="n">
        <v>20</v>
      </c>
      <c r="U730" s="12" t="n">
        <v>7</v>
      </c>
      <c r="V730" s="12" t="n">
        <v>17</v>
      </c>
      <c r="W730" s="12" t="n">
        <v>53</v>
      </c>
      <c r="X730" s="12" t="n">
        <v>3</v>
      </c>
      <c r="Y730" s="18" t="n">
        <f aca="false">IF(O730=0,0,T730*27/O730)</f>
        <v>3.39622641509434</v>
      </c>
      <c r="Z730" s="18" t="n">
        <f aca="false">IF(P730=0,0,(V730+R730)/P730)</f>
        <v>1.05660377358491</v>
      </c>
      <c r="AA730" s="18" t="n">
        <f aca="false">IF(O730=0,0,W730*27/O730)</f>
        <v>9</v>
      </c>
      <c r="AB730" s="18" t="n">
        <f aca="false">IF(O730=0,0,V730*27/O730)</f>
        <v>2.88679245283019</v>
      </c>
      <c r="AC730" s="18" t="n">
        <f aca="false">IF(V730=0,0,W730/V730)</f>
        <v>3.11764705882353</v>
      </c>
      <c r="AD730" s="18" t="n">
        <f aca="false">IF(P730=0,0,(13*U730+3*(V730+X730)-2*W730)/P730+INDEX(球季參數!$C$2:$C$4,MATCH($A730,球季參數!$A$2:$A$4,0)))</f>
        <v>3.92905660377359</v>
      </c>
      <c r="AE730" s="11" t="n">
        <f aca="false">IF(P730&gt;=INDEX(球季參數!$F$2:$F$4,MATCH($A730,球季參數!$A$2:$A$4,0)),1,0)</f>
        <v>0</v>
      </c>
    </row>
    <row r="731" customFormat="false" ht="15" hidden="false" customHeight="false" outlineLevel="0" collapsed="false">
      <c r="A731" s="5" t="n">
        <v>2026</v>
      </c>
      <c r="B731" s="7" t="s">
        <v>995</v>
      </c>
      <c r="C731" s="10" t="str">
        <f aca="false">INDEX(球員主檔!$B$2:$B$749,MATCH($B731,球員主檔!$A$2:$A$749,0))</f>
        <v>Garrison Whitmore</v>
      </c>
      <c r="D731" s="7" t="s">
        <v>392</v>
      </c>
      <c r="E731" s="10" t="str">
        <f aca="false">INDEX(球隊主檔!$C$2:$C$31,MATCH($D731,球隊主檔!$A$2:$A$31,0))</f>
        <v>洛杉磯天使</v>
      </c>
      <c r="F731" s="10" t="str">
        <f aca="false">INDEX(球隊主檔!$D$2:$D$31,MATCH($D731,球隊主檔!$A$2:$A$31,0))</f>
        <v>美聯</v>
      </c>
      <c r="G731" s="7" t="s">
        <v>507</v>
      </c>
      <c r="H731" s="11" t="n">
        <f aca="false">INT((DATE($A731,7,1)-INDEX(球員主檔!$G$2:$G$749,MATCH($B731,球員主檔!$A$2:$A$749,0)))/365.25)</f>
        <v>28</v>
      </c>
      <c r="I731" s="12" t="n">
        <v>6</v>
      </c>
      <c r="J731" s="12" t="n">
        <v>0</v>
      </c>
      <c r="K731" s="12" t="n">
        <v>2</v>
      </c>
      <c r="L731" s="12" t="n">
        <v>31</v>
      </c>
      <c r="M731" s="12" t="n">
        <v>43</v>
      </c>
      <c r="N731" s="12" t="n">
        <v>0</v>
      </c>
      <c r="O731" s="12" t="n">
        <v>118</v>
      </c>
      <c r="P731" s="16" t="n">
        <f aca="false">O731/3</f>
        <v>39.3333333333333</v>
      </c>
      <c r="Q731" s="17" t="str">
        <f aca="false">INT(O731/3)&amp;"."&amp;MOD(O731,3)</f>
        <v>39.1</v>
      </c>
      <c r="R731" s="12" t="n">
        <v>32</v>
      </c>
      <c r="S731" s="12" t="n">
        <v>14</v>
      </c>
      <c r="T731" s="12" t="n">
        <v>13</v>
      </c>
      <c r="U731" s="12" t="n">
        <v>3</v>
      </c>
      <c r="V731" s="12" t="n">
        <v>13</v>
      </c>
      <c r="W731" s="12" t="n">
        <v>43</v>
      </c>
      <c r="X731" s="12" t="n">
        <v>2</v>
      </c>
      <c r="Y731" s="18" t="n">
        <f aca="false">IF(O731=0,0,T731*27/O731)</f>
        <v>2.97457627118644</v>
      </c>
      <c r="Z731" s="18" t="n">
        <f aca="false">IF(P731=0,0,(V731+R731)/P731)</f>
        <v>1.14406779661017</v>
      </c>
      <c r="AA731" s="18" t="n">
        <f aca="false">IF(O731=0,0,W731*27/O731)</f>
        <v>9.83898305084746</v>
      </c>
      <c r="AB731" s="18" t="n">
        <f aca="false">IF(O731=0,0,V731*27/O731)</f>
        <v>2.97457627118644</v>
      </c>
      <c r="AC731" s="18" t="n">
        <f aca="false">IF(V731=0,0,W731/V731)</f>
        <v>3.30769230769231</v>
      </c>
      <c r="AD731" s="18" t="n">
        <f aca="false">IF(P731=0,0,(13*U731+3*(V731+X731)-2*W731)/P731+INDEX(球季參數!$C$2:$C$4,MATCH($A731,球季參數!$A$2:$A$4,0)))</f>
        <v>3.02915254237288</v>
      </c>
      <c r="AE731" s="11" t="n">
        <f aca="false">IF(P731&gt;=INDEX(球季參數!$F$2:$F$4,MATCH($A731,球季參數!$A$2:$A$4,0)),1,0)</f>
        <v>0</v>
      </c>
    </row>
    <row r="732" customFormat="false" ht="15" hidden="false" customHeight="false" outlineLevel="0" collapsed="false">
      <c r="A732" s="5" t="n">
        <v>2026</v>
      </c>
      <c r="B732" s="7" t="s">
        <v>1701</v>
      </c>
      <c r="C732" s="10" t="str">
        <f aca="false">INDEX(球員主檔!$B$2:$B$749,MATCH($B732,球員主檔!$A$2:$A$749,0))</f>
        <v>Jedidiah Yamazaki</v>
      </c>
      <c r="D732" s="7" t="s">
        <v>396</v>
      </c>
      <c r="E732" s="10" t="str">
        <f aca="false">INDEX(球隊主檔!$C$2:$C$31,MATCH($D732,球隊主檔!$A$2:$A$31,0))</f>
        <v>西雅圖水手</v>
      </c>
      <c r="F732" s="10" t="str">
        <f aca="false">INDEX(球隊主檔!$D$2:$D$31,MATCH($D732,球隊主檔!$A$2:$A$31,0))</f>
        <v>美聯</v>
      </c>
      <c r="G732" s="7" t="s">
        <v>496</v>
      </c>
      <c r="H732" s="11" t="n">
        <f aca="false">INT((DATE($A732,7,1)-INDEX(球員主檔!$G$2:$G$749,MATCH($B732,球員主檔!$A$2:$A$749,0)))/365.25)</f>
        <v>21</v>
      </c>
      <c r="I732" s="12" t="n">
        <v>6</v>
      </c>
      <c r="J732" s="12" t="n">
        <v>11</v>
      </c>
      <c r="K732" s="12" t="n">
        <v>0</v>
      </c>
      <c r="L732" s="12" t="n">
        <v>0</v>
      </c>
      <c r="M732" s="12" t="n">
        <v>30</v>
      </c>
      <c r="N732" s="12" t="n">
        <v>30</v>
      </c>
      <c r="O732" s="12" t="n">
        <v>438</v>
      </c>
      <c r="P732" s="16" t="n">
        <f aca="false">O732/3</f>
        <v>146</v>
      </c>
      <c r="Q732" s="17" t="str">
        <f aca="false">INT(O732/3)&amp;"."&amp;MOD(O732,3)</f>
        <v>146.0</v>
      </c>
      <c r="R732" s="12" t="n">
        <v>143</v>
      </c>
      <c r="S732" s="12" t="n">
        <v>99</v>
      </c>
      <c r="T732" s="12" t="n">
        <v>93</v>
      </c>
      <c r="U732" s="12" t="n">
        <v>27</v>
      </c>
      <c r="V732" s="12" t="n">
        <v>49</v>
      </c>
      <c r="W732" s="12" t="n">
        <v>189</v>
      </c>
      <c r="X732" s="12" t="n">
        <v>2</v>
      </c>
      <c r="Y732" s="18" t="n">
        <f aca="false">IF(O732=0,0,T732*27/O732)</f>
        <v>5.73287671232877</v>
      </c>
      <c r="Z732" s="18" t="n">
        <f aca="false">IF(P732=0,0,(V732+R732)/P732)</f>
        <v>1.31506849315068</v>
      </c>
      <c r="AA732" s="18" t="n">
        <f aca="false">IF(O732=0,0,W732*27/O732)</f>
        <v>11.6506849315068</v>
      </c>
      <c r="AB732" s="18" t="n">
        <f aca="false">IF(O732=0,0,V732*27/O732)</f>
        <v>3.02054794520548</v>
      </c>
      <c r="AC732" s="18" t="n">
        <f aca="false">IF(V732=0,0,W732/V732)</f>
        <v>3.85714285714286</v>
      </c>
      <c r="AD732" s="18" t="n">
        <f aca="false">IF(P732=0,0,(13*U732+3*(V732+X732)-2*W732)/P732+INDEX(球季參數!$C$2:$C$4,MATCH($A732,球季參數!$A$2:$A$4,0)))</f>
        <v>3.94301369863014</v>
      </c>
      <c r="AE732" s="11" t="n">
        <f aca="false">IF(P732&gt;=INDEX(球季參數!$F$2:$F$4,MATCH($A732,球季參數!$A$2:$A$4,0)),1,0)</f>
        <v>0</v>
      </c>
    </row>
    <row r="733" customFormat="false" ht="15" hidden="false" customHeight="false" outlineLevel="0" collapsed="false">
      <c r="A733" s="5" t="n">
        <v>2026</v>
      </c>
      <c r="B733" s="7" t="s">
        <v>1733</v>
      </c>
      <c r="C733" s="10" t="str">
        <f aca="false">INDEX(球員主檔!$B$2:$B$749,MATCH($B733,球員主檔!$A$2:$A$749,0))</f>
        <v>Zane Yoshinaga</v>
      </c>
      <c r="D733" s="7" t="s">
        <v>396</v>
      </c>
      <c r="E733" s="10" t="str">
        <f aca="false">INDEX(球隊主檔!$C$2:$C$31,MATCH($D733,球隊主檔!$A$2:$A$31,0))</f>
        <v>西雅圖水手</v>
      </c>
      <c r="F733" s="10" t="str">
        <f aca="false">INDEX(球隊主檔!$D$2:$D$31,MATCH($D733,球隊主檔!$A$2:$A$31,0))</f>
        <v>美聯</v>
      </c>
      <c r="G733" s="7" t="s">
        <v>496</v>
      </c>
      <c r="H733" s="11" t="n">
        <f aca="false">INT((DATE($A733,7,1)-INDEX(球員主檔!$G$2:$G$749,MATCH($B733,球員主檔!$A$2:$A$749,0)))/365.25)</f>
        <v>24</v>
      </c>
      <c r="I733" s="12" t="n">
        <v>8</v>
      </c>
      <c r="J733" s="12" t="n">
        <v>9</v>
      </c>
      <c r="K733" s="12" t="n">
        <v>0</v>
      </c>
      <c r="L733" s="12" t="n">
        <v>0</v>
      </c>
      <c r="M733" s="12" t="n">
        <v>24</v>
      </c>
      <c r="N733" s="12" t="n">
        <v>24</v>
      </c>
      <c r="O733" s="12" t="n">
        <v>349</v>
      </c>
      <c r="P733" s="16" t="n">
        <f aca="false">O733/3</f>
        <v>116.333333333333</v>
      </c>
      <c r="Q733" s="17" t="str">
        <f aca="false">INT(O733/3)&amp;"."&amp;MOD(O733,3)</f>
        <v>116.1</v>
      </c>
      <c r="R733" s="12" t="n">
        <v>109</v>
      </c>
      <c r="S733" s="12" t="n">
        <v>69</v>
      </c>
      <c r="T733" s="12" t="n">
        <v>62</v>
      </c>
      <c r="U733" s="12" t="n">
        <v>17</v>
      </c>
      <c r="V733" s="12" t="n">
        <v>45</v>
      </c>
      <c r="W733" s="12" t="n">
        <v>111</v>
      </c>
      <c r="X733" s="12" t="n">
        <v>3</v>
      </c>
      <c r="Y733" s="18" t="n">
        <f aca="false">IF(O733=0,0,T733*27/O733)</f>
        <v>4.79656160458453</v>
      </c>
      <c r="Z733" s="18" t="n">
        <f aca="false">IF(P733=0,0,(V733+R733)/P733)</f>
        <v>1.32378223495702</v>
      </c>
      <c r="AA733" s="18" t="n">
        <f aca="false">IF(O733=0,0,W733*27/O733)</f>
        <v>8.58739255014327</v>
      </c>
      <c r="AB733" s="18" t="n">
        <f aca="false">IF(O733=0,0,V733*27/O733)</f>
        <v>3.48137535816619</v>
      </c>
      <c r="AC733" s="18" t="n">
        <f aca="false">IF(V733=0,0,W733/V733)</f>
        <v>2.46666666666667</v>
      </c>
      <c r="AD733" s="18" t="n">
        <f aca="false">IF(P733=0,0,(13*U733+3*(V733+X733)-2*W733)/P733+INDEX(球季參數!$C$2:$C$4,MATCH($A733,球季參數!$A$2:$A$4,0)))</f>
        <v>4.30922636103152</v>
      </c>
      <c r="AE733" s="11" t="n">
        <f aca="false">IF(P733&gt;=INDEX(球季參數!$F$2:$F$4,MATCH($A733,球季參數!$A$2:$A$4,0)),1,0)</f>
        <v>0</v>
      </c>
    </row>
    <row r="734" customFormat="false" ht="15" hidden="false" customHeight="false" outlineLevel="0" collapsed="false">
      <c r="A734" s="5" t="n">
        <v>2026</v>
      </c>
      <c r="B734" s="7" t="s">
        <v>1101</v>
      </c>
      <c r="C734" s="10" t="str">
        <f aca="false">INDEX(球員主檔!$B$2:$B$749,MATCH($B734,球員主檔!$A$2:$A$749,0))</f>
        <v>Haruto Wexford</v>
      </c>
      <c r="D734" s="7" t="s">
        <v>396</v>
      </c>
      <c r="E734" s="10" t="str">
        <f aca="false">INDEX(球隊主檔!$C$2:$C$31,MATCH($D734,球隊主檔!$A$2:$A$31,0))</f>
        <v>西雅圖水手</v>
      </c>
      <c r="F734" s="10" t="str">
        <f aca="false">INDEX(球隊主檔!$D$2:$D$31,MATCH($D734,球隊主檔!$A$2:$A$31,0))</f>
        <v>美聯</v>
      </c>
      <c r="G734" s="7" t="s">
        <v>496</v>
      </c>
      <c r="H734" s="11" t="n">
        <f aca="false">INT((DATE($A734,7,1)-INDEX(球員主檔!$G$2:$G$749,MATCH($B734,球員主檔!$A$2:$A$749,0)))/365.25)</f>
        <v>28</v>
      </c>
      <c r="I734" s="12" t="n">
        <v>13</v>
      </c>
      <c r="J734" s="12" t="n">
        <v>8</v>
      </c>
      <c r="K734" s="12" t="n">
        <v>0</v>
      </c>
      <c r="L734" s="12" t="n">
        <v>0</v>
      </c>
      <c r="M734" s="12" t="n">
        <v>29</v>
      </c>
      <c r="N734" s="12" t="n">
        <v>29</v>
      </c>
      <c r="O734" s="12" t="n">
        <v>487</v>
      </c>
      <c r="P734" s="16" t="n">
        <f aca="false">O734/3</f>
        <v>162.333333333333</v>
      </c>
      <c r="Q734" s="17" t="str">
        <f aca="false">INT(O734/3)&amp;"."&amp;MOD(O734,3)</f>
        <v>162.1</v>
      </c>
      <c r="R734" s="12" t="n">
        <v>141</v>
      </c>
      <c r="S734" s="12" t="n">
        <v>86</v>
      </c>
      <c r="T734" s="12" t="n">
        <v>84</v>
      </c>
      <c r="U734" s="12" t="n">
        <v>19</v>
      </c>
      <c r="V734" s="12" t="n">
        <v>47</v>
      </c>
      <c r="W734" s="12" t="n">
        <v>162</v>
      </c>
      <c r="X734" s="12" t="n">
        <v>8</v>
      </c>
      <c r="Y734" s="18" t="n">
        <f aca="false">IF(O734=0,0,T734*27/O734)</f>
        <v>4.6570841889117</v>
      </c>
      <c r="Z734" s="18" t="n">
        <f aca="false">IF(P734=0,0,(V734+R734)/P734)</f>
        <v>1.15811088295688</v>
      </c>
      <c r="AA734" s="18" t="n">
        <f aca="false">IF(O734=0,0,W734*27/O734)</f>
        <v>8.98151950718686</v>
      </c>
      <c r="AB734" s="18" t="n">
        <f aca="false">IF(O734=0,0,V734*27/O734)</f>
        <v>2.60574948665298</v>
      </c>
      <c r="AC734" s="18" t="n">
        <f aca="false">IF(V734=0,0,W734/V734)</f>
        <v>3.4468085106383</v>
      </c>
      <c r="AD734" s="18" t="n">
        <f aca="false">IF(P734=0,0,(13*U734+3*(V734+X734)-2*W734)/P734+INDEX(球季參數!$C$2:$C$4,MATCH($A734,球季參數!$A$2:$A$4,0)))</f>
        <v>3.62209445585216</v>
      </c>
      <c r="AE734" s="11" t="n">
        <f aca="false">IF(P734&gt;=INDEX(球季參數!$F$2:$F$4,MATCH($A734,球季參數!$A$2:$A$4,0)),1,0)</f>
        <v>1</v>
      </c>
    </row>
    <row r="735" customFormat="false" ht="15" hidden="false" customHeight="false" outlineLevel="0" collapsed="false">
      <c r="A735" s="5" t="n">
        <v>2026</v>
      </c>
      <c r="B735" s="7" t="s">
        <v>1023</v>
      </c>
      <c r="C735" s="10" t="str">
        <f aca="false">INDEX(球員主檔!$B$2:$B$749,MATCH($B735,球員主檔!$A$2:$A$749,0))</f>
        <v>Wendell Arceneaux</v>
      </c>
      <c r="D735" s="7" t="s">
        <v>396</v>
      </c>
      <c r="E735" s="10" t="str">
        <f aca="false">INDEX(球隊主檔!$C$2:$C$31,MATCH($D735,球隊主檔!$A$2:$A$31,0))</f>
        <v>西雅圖水手</v>
      </c>
      <c r="F735" s="10" t="str">
        <f aca="false">INDEX(球隊主檔!$D$2:$D$31,MATCH($D735,球隊主檔!$A$2:$A$31,0))</f>
        <v>美聯</v>
      </c>
      <c r="G735" s="7" t="s">
        <v>496</v>
      </c>
      <c r="H735" s="11" t="n">
        <f aca="false">INT((DATE($A735,7,1)-INDEX(球員主檔!$G$2:$G$749,MATCH($B735,球員主檔!$A$2:$A$749,0)))/365.25)</f>
        <v>33</v>
      </c>
      <c r="I735" s="12" t="n">
        <v>14</v>
      </c>
      <c r="J735" s="12" t="n">
        <v>8</v>
      </c>
      <c r="K735" s="12" t="n">
        <v>0</v>
      </c>
      <c r="L735" s="12" t="n">
        <v>0</v>
      </c>
      <c r="M735" s="12" t="n">
        <v>33</v>
      </c>
      <c r="N735" s="12" t="n">
        <v>33</v>
      </c>
      <c r="O735" s="12" t="n">
        <v>543</v>
      </c>
      <c r="P735" s="16" t="n">
        <f aca="false">O735/3</f>
        <v>181</v>
      </c>
      <c r="Q735" s="17" t="str">
        <f aca="false">INT(O735/3)&amp;"."&amp;MOD(O735,3)</f>
        <v>181.0</v>
      </c>
      <c r="R735" s="12" t="n">
        <v>140</v>
      </c>
      <c r="S735" s="12" t="n">
        <v>70</v>
      </c>
      <c r="T735" s="12" t="n">
        <v>66</v>
      </c>
      <c r="U735" s="12" t="n">
        <v>21</v>
      </c>
      <c r="V735" s="12" t="n">
        <v>97</v>
      </c>
      <c r="W735" s="12" t="n">
        <v>116</v>
      </c>
      <c r="X735" s="12" t="n">
        <v>3</v>
      </c>
      <c r="Y735" s="18" t="n">
        <f aca="false">IF(O735=0,0,T735*27/O735)</f>
        <v>3.28176795580111</v>
      </c>
      <c r="Z735" s="18" t="n">
        <f aca="false">IF(P735=0,0,(V735+R735)/P735)</f>
        <v>1.30939226519337</v>
      </c>
      <c r="AA735" s="18" t="n">
        <f aca="false">IF(O735=0,0,W735*27/O735)</f>
        <v>5.76795580110497</v>
      </c>
      <c r="AB735" s="18" t="n">
        <f aca="false">IF(O735=0,0,V735*27/O735)</f>
        <v>4.8232044198895</v>
      </c>
      <c r="AC735" s="18" t="n">
        <f aca="false">IF(V735=0,0,W735/V735)</f>
        <v>1.19587628865979</v>
      </c>
      <c r="AD735" s="18" t="n">
        <f aca="false">IF(P735=0,0,(13*U735+3*(V735+X735)-2*W735)/P735+INDEX(球季參數!$C$2:$C$4,MATCH($A735,球季參數!$A$2:$A$4,0)))</f>
        <v>4.96397790055249</v>
      </c>
      <c r="AE735" s="11" t="n">
        <f aca="false">IF(P735&gt;=INDEX(球季參數!$F$2:$F$4,MATCH($A735,球季參數!$A$2:$A$4,0)),1,0)</f>
        <v>1</v>
      </c>
    </row>
    <row r="736" customFormat="false" ht="15" hidden="false" customHeight="false" outlineLevel="0" collapsed="false">
      <c r="A736" s="5" t="n">
        <v>2026</v>
      </c>
      <c r="B736" s="7" t="s">
        <v>1025</v>
      </c>
      <c r="C736" s="10" t="str">
        <f aca="false">INDEX(球員主檔!$B$2:$B$749,MATCH($B736,球員主檔!$A$2:$A$749,0))</f>
        <v>Osvaldo Larrabee</v>
      </c>
      <c r="D736" s="7" t="s">
        <v>396</v>
      </c>
      <c r="E736" s="10" t="str">
        <f aca="false">INDEX(球隊主檔!$C$2:$C$31,MATCH($D736,球隊主檔!$A$2:$A$31,0))</f>
        <v>西雅圖水手</v>
      </c>
      <c r="F736" s="10" t="str">
        <f aca="false">INDEX(球隊主檔!$D$2:$D$31,MATCH($D736,球隊主檔!$A$2:$A$31,0))</f>
        <v>美聯</v>
      </c>
      <c r="G736" s="7" t="s">
        <v>496</v>
      </c>
      <c r="H736" s="11" t="n">
        <f aca="false">INT((DATE($A736,7,1)-INDEX(球員主檔!$G$2:$G$749,MATCH($B736,球員主檔!$A$2:$A$749,0)))/365.25)</f>
        <v>31</v>
      </c>
      <c r="I736" s="12" t="n">
        <v>3</v>
      </c>
      <c r="J736" s="12" t="n">
        <v>2</v>
      </c>
      <c r="K736" s="12" t="n">
        <v>0</v>
      </c>
      <c r="L736" s="12" t="n">
        <v>0</v>
      </c>
      <c r="M736" s="12" t="n">
        <v>8</v>
      </c>
      <c r="N736" s="12" t="n">
        <v>8</v>
      </c>
      <c r="O736" s="12" t="n">
        <v>136</v>
      </c>
      <c r="P736" s="16" t="n">
        <f aca="false">O736/3</f>
        <v>45.3333333333333</v>
      </c>
      <c r="Q736" s="17" t="str">
        <f aca="false">INT(O736/3)&amp;"."&amp;MOD(O736,3)</f>
        <v>45.1</v>
      </c>
      <c r="R736" s="12" t="n">
        <v>42</v>
      </c>
      <c r="S736" s="12" t="n">
        <v>23</v>
      </c>
      <c r="T736" s="12" t="n">
        <v>22</v>
      </c>
      <c r="U736" s="12" t="n">
        <v>4</v>
      </c>
      <c r="V736" s="12" t="n">
        <v>13</v>
      </c>
      <c r="W736" s="12" t="n">
        <v>49</v>
      </c>
      <c r="X736" s="12" t="n">
        <v>2</v>
      </c>
      <c r="Y736" s="18" t="n">
        <f aca="false">IF(O736=0,0,T736*27/O736)</f>
        <v>4.36764705882353</v>
      </c>
      <c r="Z736" s="18" t="n">
        <f aca="false">IF(P736=0,0,(V736+R736)/P736)</f>
        <v>1.21323529411765</v>
      </c>
      <c r="AA736" s="18" t="n">
        <f aca="false">IF(O736=0,0,W736*27/O736)</f>
        <v>9.72794117647059</v>
      </c>
      <c r="AB736" s="18" t="n">
        <f aca="false">IF(O736=0,0,V736*27/O736)</f>
        <v>2.58088235294118</v>
      </c>
      <c r="AC736" s="18" t="n">
        <f aca="false">IF(V736=0,0,W736/V736)</f>
        <v>3.76923076923077</v>
      </c>
      <c r="AD736" s="18" t="n">
        <f aca="false">IF(P736=0,0,(13*U736+3*(V736+X736)-2*W736)/P736+INDEX(球季參數!$C$2:$C$4,MATCH($A736,球季參數!$A$2:$A$4,0)))</f>
        <v>3.05794117647059</v>
      </c>
      <c r="AE736" s="11" t="n">
        <f aca="false">IF(P736&gt;=INDEX(球季參數!$F$2:$F$4,MATCH($A736,球季參數!$A$2:$A$4,0)),1,0)</f>
        <v>0</v>
      </c>
    </row>
    <row r="737" customFormat="false" ht="15" hidden="false" customHeight="false" outlineLevel="0" collapsed="false">
      <c r="A737" s="5" t="n">
        <v>2026</v>
      </c>
      <c r="B737" s="7" t="s">
        <v>1735</v>
      </c>
      <c r="C737" s="10" t="str">
        <f aca="false">INDEX(球員主檔!$B$2:$B$749,MATCH($B737,球員主檔!$A$2:$A$749,0))</f>
        <v>Cedric Kestrel</v>
      </c>
      <c r="D737" s="7" t="s">
        <v>396</v>
      </c>
      <c r="E737" s="10" t="str">
        <f aca="false">INDEX(球隊主檔!$C$2:$C$31,MATCH($D737,球隊主檔!$A$2:$A$31,0))</f>
        <v>西雅圖水手</v>
      </c>
      <c r="F737" s="10" t="str">
        <f aca="false">INDEX(球隊主檔!$D$2:$D$31,MATCH($D737,球隊主檔!$A$2:$A$31,0))</f>
        <v>美聯</v>
      </c>
      <c r="G737" s="7" t="s">
        <v>507</v>
      </c>
      <c r="H737" s="11" t="n">
        <f aca="false">INT((DATE($A737,7,1)-INDEX(球員主檔!$G$2:$G$749,MATCH($B737,球員主檔!$A$2:$A$749,0)))/365.25)</f>
        <v>22</v>
      </c>
      <c r="I737" s="12" t="n">
        <v>9</v>
      </c>
      <c r="J737" s="12" t="n">
        <v>8</v>
      </c>
      <c r="K737" s="12" t="n">
        <v>1</v>
      </c>
      <c r="L737" s="12" t="n">
        <v>25</v>
      </c>
      <c r="M737" s="12" t="n">
        <v>46</v>
      </c>
      <c r="N737" s="12" t="n">
        <v>0</v>
      </c>
      <c r="O737" s="12" t="n">
        <v>141</v>
      </c>
      <c r="P737" s="16" t="n">
        <f aca="false">O737/3</f>
        <v>47</v>
      </c>
      <c r="Q737" s="17" t="str">
        <f aca="false">INT(O737/3)&amp;"."&amp;MOD(O737,3)</f>
        <v>47.0</v>
      </c>
      <c r="R737" s="12" t="n">
        <v>48</v>
      </c>
      <c r="S737" s="12" t="n">
        <v>33</v>
      </c>
      <c r="T737" s="12" t="n">
        <v>29</v>
      </c>
      <c r="U737" s="12" t="n">
        <v>5</v>
      </c>
      <c r="V737" s="12" t="n">
        <v>8</v>
      </c>
      <c r="W737" s="12" t="n">
        <v>39</v>
      </c>
      <c r="X737" s="12" t="n">
        <v>2</v>
      </c>
      <c r="Y737" s="18" t="n">
        <f aca="false">IF(O737=0,0,T737*27/O737)</f>
        <v>5.5531914893617</v>
      </c>
      <c r="Z737" s="18" t="n">
        <f aca="false">IF(P737=0,0,(V737+R737)/P737)</f>
        <v>1.19148936170213</v>
      </c>
      <c r="AA737" s="18" t="n">
        <f aca="false">IF(O737=0,0,W737*27/O737)</f>
        <v>7.46808510638298</v>
      </c>
      <c r="AB737" s="18" t="n">
        <f aca="false">IF(O737=0,0,V737*27/O737)</f>
        <v>1.53191489361702</v>
      </c>
      <c r="AC737" s="18" t="n">
        <f aca="false">IF(V737=0,0,W737/V737)</f>
        <v>4.875</v>
      </c>
      <c r="AD737" s="18" t="n">
        <f aca="false">IF(P737=0,0,(13*U737+3*(V737+X737)-2*W737)/P737+INDEX(球季參數!$C$2:$C$4,MATCH($A737,球季參數!$A$2:$A$4,0)))</f>
        <v>3.44170212765957</v>
      </c>
      <c r="AE737" s="11" t="n">
        <f aca="false">IF(P737&gt;=INDEX(球季參數!$F$2:$F$4,MATCH($A737,球季參數!$A$2:$A$4,0)),1,0)</f>
        <v>0</v>
      </c>
    </row>
    <row r="738" customFormat="false" ht="15" hidden="false" customHeight="false" outlineLevel="0" collapsed="false">
      <c r="A738" s="5" t="n">
        <v>2026</v>
      </c>
      <c r="B738" s="7" t="s">
        <v>903</v>
      </c>
      <c r="C738" s="10" t="str">
        <f aca="false">INDEX(球員主檔!$B$2:$B$749,MATCH($B738,球員主檔!$A$2:$A$749,0))</f>
        <v>Joaquín Thorsby</v>
      </c>
      <c r="D738" s="7" t="s">
        <v>396</v>
      </c>
      <c r="E738" s="10" t="str">
        <f aca="false">INDEX(球隊主檔!$C$2:$C$31,MATCH($D738,球隊主檔!$A$2:$A$31,0))</f>
        <v>西雅圖水手</v>
      </c>
      <c r="F738" s="10" t="str">
        <f aca="false">INDEX(球隊主檔!$D$2:$D$31,MATCH($D738,球隊主檔!$A$2:$A$31,0))</f>
        <v>美聯</v>
      </c>
      <c r="G738" s="7" t="s">
        <v>507</v>
      </c>
      <c r="H738" s="11" t="n">
        <f aca="false">INT((DATE($A738,7,1)-INDEX(球員主檔!$G$2:$G$749,MATCH($B738,球員主檔!$A$2:$A$749,0)))/365.25)</f>
        <v>27</v>
      </c>
      <c r="I738" s="12" t="n">
        <v>5</v>
      </c>
      <c r="J738" s="12" t="n">
        <v>2</v>
      </c>
      <c r="K738" s="12" t="n">
        <v>1</v>
      </c>
      <c r="L738" s="12" t="n">
        <v>4</v>
      </c>
      <c r="M738" s="12" t="n">
        <v>38</v>
      </c>
      <c r="N738" s="12" t="n">
        <v>0</v>
      </c>
      <c r="O738" s="12" t="n">
        <v>112</v>
      </c>
      <c r="P738" s="16" t="n">
        <f aca="false">O738/3</f>
        <v>37.3333333333333</v>
      </c>
      <c r="Q738" s="17" t="str">
        <f aca="false">INT(O738/3)&amp;"."&amp;MOD(O738,3)</f>
        <v>37.1</v>
      </c>
      <c r="R738" s="12" t="n">
        <v>30</v>
      </c>
      <c r="S738" s="12" t="n">
        <v>20</v>
      </c>
      <c r="T738" s="12" t="n">
        <v>18</v>
      </c>
      <c r="U738" s="12" t="n">
        <v>3</v>
      </c>
      <c r="V738" s="12" t="n">
        <v>9</v>
      </c>
      <c r="W738" s="12" t="n">
        <v>46</v>
      </c>
      <c r="X738" s="12" t="n">
        <v>1</v>
      </c>
      <c r="Y738" s="18" t="n">
        <f aca="false">IF(O738=0,0,T738*27/O738)</f>
        <v>4.33928571428571</v>
      </c>
      <c r="Z738" s="18" t="n">
        <f aca="false">IF(P738=0,0,(V738+R738)/P738)</f>
        <v>1.04464285714286</v>
      </c>
      <c r="AA738" s="18" t="n">
        <f aca="false">IF(O738=0,0,W738*27/O738)</f>
        <v>11.0892857142857</v>
      </c>
      <c r="AB738" s="18" t="n">
        <f aca="false">IF(O738=0,0,V738*27/O738)</f>
        <v>2.16964285714286</v>
      </c>
      <c r="AC738" s="18" t="n">
        <f aca="false">IF(V738=0,0,W738/V738)</f>
        <v>5.11111111111111</v>
      </c>
      <c r="AD738" s="18" t="n">
        <f aca="false">IF(P738=0,0,(13*U738+3*(V738+X738)-2*W738)/P738+INDEX(球季參數!$C$2:$C$4,MATCH($A738,球季參數!$A$2:$A$4,0)))</f>
        <v>2.46392857142857</v>
      </c>
      <c r="AE738" s="11" t="n">
        <f aca="false">IF(P738&gt;=INDEX(球季參數!$F$2:$F$4,MATCH($A738,球季參數!$A$2:$A$4,0)),1,0)</f>
        <v>0</v>
      </c>
    </row>
    <row r="739" customFormat="false" ht="15" hidden="false" customHeight="false" outlineLevel="0" collapsed="false">
      <c r="A739" s="5" t="n">
        <v>2026</v>
      </c>
      <c r="B739" s="7" t="s">
        <v>1031</v>
      </c>
      <c r="C739" s="10" t="str">
        <f aca="false">INDEX(球員主檔!$B$2:$B$749,MATCH($B739,球員主檔!$A$2:$A$749,0))</f>
        <v>Osvaldo Hargreaves</v>
      </c>
      <c r="D739" s="7" t="s">
        <v>396</v>
      </c>
      <c r="E739" s="10" t="str">
        <f aca="false">INDEX(球隊主檔!$C$2:$C$31,MATCH($D739,球隊主檔!$A$2:$A$31,0))</f>
        <v>西雅圖水手</v>
      </c>
      <c r="F739" s="10" t="str">
        <f aca="false">INDEX(球隊主檔!$D$2:$D$31,MATCH($D739,球隊主檔!$A$2:$A$31,0))</f>
        <v>美聯</v>
      </c>
      <c r="G739" s="7" t="s">
        <v>507</v>
      </c>
      <c r="H739" s="11" t="n">
        <f aca="false">INT((DATE($A739,7,1)-INDEX(球員主檔!$G$2:$G$749,MATCH($B739,球員主檔!$A$2:$A$749,0)))/365.25)</f>
        <v>28</v>
      </c>
      <c r="I739" s="12" t="n">
        <v>9</v>
      </c>
      <c r="J739" s="12" t="n">
        <v>3</v>
      </c>
      <c r="K739" s="12" t="n">
        <v>0</v>
      </c>
      <c r="L739" s="12" t="n">
        <v>4</v>
      </c>
      <c r="M739" s="12" t="n">
        <v>67</v>
      </c>
      <c r="N739" s="12" t="n">
        <v>0</v>
      </c>
      <c r="O739" s="12" t="n">
        <v>227</v>
      </c>
      <c r="P739" s="16" t="n">
        <f aca="false">O739/3</f>
        <v>75.6666666666667</v>
      </c>
      <c r="Q739" s="17" t="str">
        <f aca="false">INT(O739/3)&amp;"."&amp;MOD(O739,3)</f>
        <v>75.2</v>
      </c>
      <c r="R739" s="12" t="n">
        <v>53</v>
      </c>
      <c r="S739" s="12" t="n">
        <v>28</v>
      </c>
      <c r="T739" s="12" t="n">
        <v>25</v>
      </c>
      <c r="U739" s="12" t="n">
        <v>12</v>
      </c>
      <c r="V739" s="12" t="n">
        <v>31</v>
      </c>
      <c r="W739" s="12" t="n">
        <v>79</v>
      </c>
      <c r="X739" s="12" t="n">
        <v>1</v>
      </c>
      <c r="Y739" s="18" t="n">
        <f aca="false">IF(O739=0,0,T739*27/O739)</f>
        <v>2.97356828193833</v>
      </c>
      <c r="Z739" s="18" t="n">
        <f aca="false">IF(P739=0,0,(V739+R739)/P739)</f>
        <v>1.11013215859031</v>
      </c>
      <c r="AA739" s="18" t="n">
        <f aca="false">IF(O739=0,0,W739*27/O739)</f>
        <v>9.39647577092511</v>
      </c>
      <c r="AB739" s="18" t="n">
        <f aca="false">IF(O739=0,0,V739*27/O739)</f>
        <v>3.68722466960352</v>
      </c>
      <c r="AC739" s="18" t="n">
        <f aca="false">IF(V739=0,0,W739/V739)</f>
        <v>2.54838709677419</v>
      </c>
      <c r="AD739" s="18" t="n">
        <f aca="false">IF(P739=0,0,(13*U739+3*(V739+X739)-2*W739)/P739+INDEX(球季參數!$C$2:$C$4,MATCH($A739,球季參數!$A$2:$A$4,0)))</f>
        <v>4.32229074889868</v>
      </c>
      <c r="AE739" s="11" t="n">
        <f aca="false">IF(P739&gt;=INDEX(球季參數!$F$2:$F$4,MATCH($A739,球季參數!$A$2:$A$4,0)),1,0)</f>
        <v>0</v>
      </c>
    </row>
    <row r="740" customFormat="false" ht="15" hidden="false" customHeight="false" outlineLevel="0" collapsed="false">
      <c r="A740" s="5" t="n">
        <v>2026</v>
      </c>
      <c r="B740" s="7" t="s">
        <v>1737</v>
      </c>
      <c r="C740" s="10" t="str">
        <f aca="false">INDEX(球員主檔!$B$2:$B$749,MATCH($B740,球員主檔!$A$2:$A$749,0))</f>
        <v>Isaias Wainwright</v>
      </c>
      <c r="D740" s="7" t="s">
        <v>396</v>
      </c>
      <c r="E740" s="10" t="str">
        <f aca="false">INDEX(球隊主檔!$C$2:$C$31,MATCH($D740,球隊主檔!$A$2:$A$31,0))</f>
        <v>西雅圖水手</v>
      </c>
      <c r="F740" s="10" t="str">
        <f aca="false">INDEX(球隊主檔!$D$2:$D$31,MATCH($D740,球隊主檔!$A$2:$A$31,0))</f>
        <v>美聯</v>
      </c>
      <c r="G740" s="7" t="s">
        <v>507</v>
      </c>
      <c r="H740" s="11" t="n">
        <f aca="false">INT((DATE($A740,7,1)-INDEX(球員主檔!$G$2:$G$749,MATCH($B740,球員主檔!$A$2:$A$749,0)))/365.25)</f>
        <v>24</v>
      </c>
      <c r="I740" s="12" t="n">
        <v>1</v>
      </c>
      <c r="J740" s="12" t="n">
        <v>7</v>
      </c>
      <c r="K740" s="12" t="n">
        <v>1</v>
      </c>
      <c r="L740" s="12" t="n">
        <v>10</v>
      </c>
      <c r="M740" s="12" t="n">
        <v>68</v>
      </c>
      <c r="N740" s="12" t="n">
        <v>0</v>
      </c>
      <c r="O740" s="12" t="n">
        <v>181</v>
      </c>
      <c r="P740" s="16" t="n">
        <f aca="false">O740/3</f>
        <v>60.3333333333333</v>
      </c>
      <c r="Q740" s="17" t="str">
        <f aca="false">INT(O740/3)&amp;"."&amp;MOD(O740,3)</f>
        <v>60.1</v>
      </c>
      <c r="R740" s="12" t="n">
        <v>47</v>
      </c>
      <c r="S740" s="12" t="n">
        <v>25</v>
      </c>
      <c r="T740" s="12" t="n">
        <v>24</v>
      </c>
      <c r="U740" s="12" t="n">
        <v>7</v>
      </c>
      <c r="V740" s="12" t="n">
        <v>21</v>
      </c>
      <c r="W740" s="12" t="n">
        <v>66</v>
      </c>
      <c r="X740" s="12" t="n">
        <v>1</v>
      </c>
      <c r="Y740" s="18" t="n">
        <f aca="false">IF(O740=0,0,T740*27/O740)</f>
        <v>3.58011049723757</v>
      </c>
      <c r="Z740" s="18" t="n">
        <f aca="false">IF(P740=0,0,(V740+R740)/P740)</f>
        <v>1.12707182320442</v>
      </c>
      <c r="AA740" s="18" t="n">
        <f aca="false">IF(O740=0,0,W740*27/O740)</f>
        <v>9.84530386740332</v>
      </c>
      <c r="AB740" s="18" t="n">
        <f aca="false">IF(O740=0,0,V740*27/O740)</f>
        <v>3.13259668508287</v>
      </c>
      <c r="AC740" s="18" t="n">
        <f aca="false">IF(V740=0,0,W740/V740)</f>
        <v>3.14285714285714</v>
      </c>
      <c r="AD740" s="18" t="n">
        <f aca="false">IF(P740=0,0,(13*U740+3*(V740+X740)-2*W740)/P740+INDEX(球季參數!$C$2:$C$4,MATCH($A740,球季參數!$A$2:$A$4,0)))</f>
        <v>3.49436464088398</v>
      </c>
      <c r="AE740" s="11" t="n">
        <f aca="false">IF(P740&gt;=INDEX(球季參數!$F$2:$F$4,MATCH($A740,球季參數!$A$2:$A$4,0)),1,0)</f>
        <v>0</v>
      </c>
    </row>
    <row r="741" customFormat="false" ht="15" hidden="false" customHeight="false" outlineLevel="0" collapsed="false">
      <c r="A741" s="5" t="n">
        <v>2026</v>
      </c>
      <c r="B741" s="7" t="s">
        <v>1897</v>
      </c>
      <c r="C741" s="10" t="str">
        <f aca="false">INDEX(球員主檔!$B$2:$B$749,MATCH($B741,球員主檔!$A$2:$A$749,0))</f>
        <v>Silas Thorsby</v>
      </c>
      <c r="D741" s="7" t="s">
        <v>396</v>
      </c>
      <c r="E741" s="10" t="str">
        <f aca="false">INDEX(球隊主檔!$C$2:$C$31,MATCH($D741,球隊主檔!$A$2:$A$31,0))</f>
        <v>西雅圖水手</v>
      </c>
      <c r="F741" s="10" t="str">
        <f aca="false">INDEX(球隊主檔!$D$2:$D$31,MATCH($D741,球隊主檔!$A$2:$A$31,0))</f>
        <v>美聯</v>
      </c>
      <c r="G741" s="7" t="s">
        <v>507</v>
      </c>
      <c r="H741" s="11" t="n">
        <f aca="false">INT((DATE($A741,7,1)-INDEX(球員主檔!$G$2:$G$749,MATCH($B741,球員主檔!$A$2:$A$749,0)))/365.25)</f>
        <v>23</v>
      </c>
      <c r="I741" s="12" t="n">
        <v>2</v>
      </c>
      <c r="J741" s="12" t="n">
        <v>2</v>
      </c>
      <c r="K741" s="12" t="n">
        <v>3</v>
      </c>
      <c r="L741" s="12" t="n">
        <v>34</v>
      </c>
      <c r="M741" s="12" t="n">
        <v>48</v>
      </c>
      <c r="N741" s="12" t="n">
        <v>0</v>
      </c>
      <c r="O741" s="12" t="n">
        <v>126</v>
      </c>
      <c r="P741" s="16" t="n">
        <f aca="false">O741/3</f>
        <v>42</v>
      </c>
      <c r="Q741" s="17" t="str">
        <f aca="false">INT(O741/3)&amp;"."&amp;MOD(O741,3)</f>
        <v>42.0</v>
      </c>
      <c r="R741" s="12" t="n">
        <v>36</v>
      </c>
      <c r="S741" s="12" t="n">
        <v>18</v>
      </c>
      <c r="T741" s="12" t="n">
        <v>18</v>
      </c>
      <c r="U741" s="12" t="n">
        <v>3</v>
      </c>
      <c r="V741" s="12" t="n">
        <v>12</v>
      </c>
      <c r="W741" s="12" t="n">
        <v>61</v>
      </c>
      <c r="X741" s="12" t="n">
        <v>2</v>
      </c>
      <c r="Y741" s="18" t="n">
        <f aca="false">IF(O741=0,0,T741*27/O741)</f>
        <v>3.85714285714286</v>
      </c>
      <c r="Z741" s="18" t="n">
        <f aca="false">IF(P741=0,0,(V741+R741)/P741)</f>
        <v>1.14285714285714</v>
      </c>
      <c r="AA741" s="18" t="n">
        <f aca="false">IF(O741=0,0,W741*27/O741)</f>
        <v>13.0714285714286</v>
      </c>
      <c r="AB741" s="18" t="n">
        <f aca="false">IF(O741=0,0,V741*27/O741)</f>
        <v>2.57142857142857</v>
      </c>
      <c r="AC741" s="18" t="n">
        <f aca="false">IF(V741=0,0,W741/V741)</f>
        <v>5.08333333333333</v>
      </c>
      <c r="AD741" s="18" t="n">
        <f aca="false">IF(P741=0,0,(13*U741+3*(V741+X741)-2*W741)/P741+INDEX(球季參數!$C$2:$C$4,MATCH($A741,球季參數!$A$2:$A$4,0)))</f>
        <v>2.10380952380952</v>
      </c>
      <c r="AE741" s="11" t="n">
        <f aca="false">IF(P741&gt;=INDEX(球季參數!$F$2:$F$4,MATCH($A741,球季參數!$A$2:$A$4,0)),1,0)</f>
        <v>0</v>
      </c>
    </row>
    <row r="742" customFormat="false" ht="15" hidden="false" customHeight="false" outlineLevel="0" collapsed="false">
      <c r="A742" s="5" t="n">
        <v>2026</v>
      </c>
      <c r="B742" s="7" t="s">
        <v>1057</v>
      </c>
      <c r="C742" s="10" t="str">
        <f aca="false">INDEX(球員主檔!$B$2:$B$749,MATCH($B742,球員主檔!$A$2:$A$749,0))</f>
        <v>Ulises Ulloa</v>
      </c>
      <c r="D742" s="7" t="s">
        <v>400</v>
      </c>
      <c r="E742" s="10" t="str">
        <f aca="false">INDEX(球隊主檔!$C$2:$C$31,MATCH($D742,球隊主檔!$A$2:$A$31,0))</f>
        <v>德州遊騎兵</v>
      </c>
      <c r="F742" s="10" t="str">
        <f aca="false">INDEX(球隊主檔!$D$2:$D$31,MATCH($D742,球隊主檔!$A$2:$A$31,0))</f>
        <v>美聯</v>
      </c>
      <c r="G742" s="7" t="s">
        <v>496</v>
      </c>
      <c r="H742" s="11" t="n">
        <f aca="false">INT((DATE($A742,7,1)-INDEX(球員主檔!$G$2:$G$749,MATCH($B742,球員主檔!$A$2:$A$749,0)))/365.25)</f>
        <v>30</v>
      </c>
      <c r="I742" s="12" t="n">
        <v>7</v>
      </c>
      <c r="J742" s="12" t="n">
        <v>2</v>
      </c>
      <c r="K742" s="12" t="n">
        <v>0</v>
      </c>
      <c r="L742" s="12" t="n">
        <v>0</v>
      </c>
      <c r="M742" s="12" t="n">
        <v>15</v>
      </c>
      <c r="N742" s="12" t="n">
        <v>15</v>
      </c>
      <c r="O742" s="12" t="n">
        <v>264</v>
      </c>
      <c r="P742" s="16" t="n">
        <f aca="false">O742/3</f>
        <v>88</v>
      </c>
      <c r="Q742" s="17" t="str">
        <f aca="false">INT(O742/3)&amp;"."&amp;MOD(O742,3)</f>
        <v>88.0</v>
      </c>
      <c r="R742" s="12" t="n">
        <v>65</v>
      </c>
      <c r="S742" s="12" t="n">
        <v>32</v>
      </c>
      <c r="T742" s="12" t="n">
        <v>29</v>
      </c>
      <c r="U742" s="12" t="n">
        <v>14</v>
      </c>
      <c r="V742" s="12" t="n">
        <v>38</v>
      </c>
      <c r="W742" s="12" t="n">
        <v>65</v>
      </c>
      <c r="X742" s="12" t="n">
        <v>2</v>
      </c>
      <c r="Y742" s="18" t="n">
        <f aca="false">IF(O742=0,0,T742*27/O742)</f>
        <v>2.96590909090909</v>
      </c>
      <c r="Z742" s="18" t="n">
        <f aca="false">IF(P742=0,0,(V742+R742)/P742)</f>
        <v>1.17045454545455</v>
      </c>
      <c r="AA742" s="18" t="n">
        <f aca="false">IF(O742=0,0,W742*27/O742)</f>
        <v>6.64772727272727</v>
      </c>
      <c r="AB742" s="18" t="n">
        <f aca="false">IF(O742=0,0,V742*27/O742)</f>
        <v>3.88636363636364</v>
      </c>
      <c r="AC742" s="18" t="n">
        <f aca="false">IF(V742=0,0,W742/V742)</f>
        <v>1.71052631578947</v>
      </c>
      <c r="AD742" s="18" t="n">
        <f aca="false">IF(P742=0,0,(13*U742+3*(V742+X742)-2*W742)/P742+INDEX(球季參數!$C$2:$C$4,MATCH($A742,球季參數!$A$2:$A$4,0)))</f>
        <v>5.03454545454546</v>
      </c>
      <c r="AE742" s="11" t="n">
        <f aca="false">IF(P742&gt;=INDEX(球季參數!$F$2:$F$4,MATCH($A742,球季參數!$A$2:$A$4,0)),1,0)</f>
        <v>0</v>
      </c>
    </row>
    <row r="743" customFormat="false" ht="15" hidden="false" customHeight="false" outlineLevel="0" collapsed="false">
      <c r="A743" s="5" t="n">
        <v>2026</v>
      </c>
      <c r="B743" s="7" t="s">
        <v>1059</v>
      </c>
      <c r="C743" s="10" t="str">
        <f aca="false">INDEX(球員主檔!$B$2:$B$749,MATCH($B743,球員主檔!$A$2:$A$749,0))</f>
        <v>Landon Mbeki</v>
      </c>
      <c r="D743" s="7" t="s">
        <v>400</v>
      </c>
      <c r="E743" s="10" t="str">
        <f aca="false">INDEX(球隊主檔!$C$2:$C$31,MATCH($D743,球隊主檔!$A$2:$A$31,0))</f>
        <v>德州遊騎兵</v>
      </c>
      <c r="F743" s="10" t="str">
        <f aca="false">INDEX(球隊主檔!$D$2:$D$31,MATCH($D743,球隊主檔!$A$2:$A$31,0))</f>
        <v>美聯</v>
      </c>
      <c r="G743" s="7" t="s">
        <v>496</v>
      </c>
      <c r="H743" s="11" t="n">
        <f aca="false">INT((DATE($A743,7,1)-INDEX(球員主檔!$G$2:$G$749,MATCH($B743,球員主檔!$A$2:$A$749,0)))/365.25)</f>
        <v>25</v>
      </c>
      <c r="I743" s="12" t="n">
        <v>12</v>
      </c>
      <c r="J743" s="12" t="n">
        <v>8</v>
      </c>
      <c r="K743" s="12" t="n">
        <v>0</v>
      </c>
      <c r="L743" s="12" t="n">
        <v>0</v>
      </c>
      <c r="M743" s="12" t="n">
        <v>28</v>
      </c>
      <c r="N743" s="12" t="n">
        <v>28</v>
      </c>
      <c r="O743" s="12" t="n">
        <v>521</v>
      </c>
      <c r="P743" s="16" t="n">
        <f aca="false">O743/3</f>
        <v>173.666666666667</v>
      </c>
      <c r="Q743" s="17" t="str">
        <f aca="false">INT(O743/3)&amp;"."&amp;MOD(O743,3)</f>
        <v>173.2</v>
      </c>
      <c r="R743" s="12" t="n">
        <v>162</v>
      </c>
      <c r="S743" s="12" t="n">
        <v>88</v>
      </c>
      <c r="T743" s="12" t="n">
        <v>88</v>
      </c>
      <c r="U743" s="12" t="n">
        <v>17</v>
      </c>
      <c r="V743" s="12" t="n">
        <v>51</v>
      </c>
      <c r="W743" s="12" t="n">
        <v>153</v>
      </c>
      <c r="X743" s="12" t="n">
        <v>9</v>
      </c>
      <c r="Y743" s="18" t="n">
        <f aca="false">IF(O743=0,0,T743*27/O743)</f>
        <v>4.56046065259117</v>
      </c>
      <c r="Z743" s="18" t="n">
        <f aca="false">IF(P743=0,0,(V743+R743)/P743)</f>
        <v>1.22648752399232</v>
      </c>
      <c r="AA743" s="18" t="n">
        <f aca="false">IF(O743=0,0,W743*27/O743)</f>
        <v>7.92898272552783</v>
      </c>
      <c r="AB743" s="18" t="n">
        <f aca="false">IF(O743=0,0,V743*27/O743)</f>
        <v>2.64299424184261</v>
      </c>
      <c r="AC743" s="18" t="n">
        <f aca="false">IF(V743=0,0,W743/V743)</f>
        <v>3</v>
      </c>
      <c r="AD743" s="18" t="n">
        <f aca="false">IF(P743=0,0,(13*U743+3*(V743+X743)-2*W743)/P743+INDEX(球季參數!$C$2:$C$4,MATCH($A743,球季參數!$A$2:$A$4,0)))</f>
        <v>3.62702495201536</v>
      </c>
      <c r="AE743" s="11" t="n">
        <f aca="false">IF(P743&gt;=INDEX(球季參數!$F$2:$F$4,MATCH($A743,球季參數!$A$2:$A$4,0)),1,0)</f>
        <v>1</v>
      </c>
    </row>
    <row r="744" customFormat="false" ht="15" hidden="false" customHeight="false" outlineLevel="0" collapsed="false">
      <c r="A744" s="5" t="n">
        <v>2026</v>
      </c>
      <c r="B744" s="7" t="s">
        <v>1061</v>
      </c>
      <c r="C744" s="10" t="str">
        <f aca="false">INDEX(球員主檔!$B$2:$B$749,MATCH($B744,球員主檔!$A$2:$A$749,0))</f>
        <v>Tobias Eberhardt</v>
      </c>
      <c r="D744" s="7" t="s">
        <v>400</v>
      </c>
      <c r="E744" s="10" t="str">
        <f aca="false">INDEX(球隊主檔!$C$2:$C$31,MATCH($D744,球隊主檔!$A$2:$A$31,0))</f>
        <v>德州遊騎兵</v>
      </c>
      <c r="F744" s="10" t="str">
        <f aca="false">INDEX(球隊主檔!$D$2:$D$31,MATCH($D744,球隊主檔!$A$2:$A$31,0))</f>
        <v>美聯</v>
      </c>
      <c r="G744" s="7" t="s">
        <v>496</v>
      </c>
      <c r="H744" s="11" t="n">
        <f aca="false">INT((DATE($A744,7,1)-INDEX(球員主檔!$G$2:$G$749,MATCH($B744,球員主檔!$A$2:$A$749,0)))/365.25)</f>
        <v>25</v>
      </c>
      <c r="I744" s="12" t="n">
        <v>10</v>
      </c>
      <c r="J744" s="12" t="n">
        <v>6</v>
      </c>
      <c r="K744" s="12" t="n">
        <v>0</v>
      </c>
      <c r="L744" s="12" t="n">
        <v>0</v>
      </c>
      <c r="M744" s="12" t="n">
        <v>29</v>
      </c>
      <c r="N744" s="12" t="n">
        <v>29</v>
      </c>
      <c r="O744" s="12" t="n">
        <v>508</v>
      </c>
      <c r="P744" s="16" t="n">
        <f aca="false">O744/3</f>
        <v>169.333333333333</v>
      </c>
      <c r="Q744" s="17" t="str">
        <f aca="false">INT(O744/3)&amp;"."&amp;MOD(O744,3)</f>
        <v>169.1</v>
      </c>
      <c r="R744" s="12" t="n">
        <v>133</v>
      </c>
      <c r="S744" s="12" t="n">
        <v>79</v>
      </c>
      <c r="T744" s="12" t="n">
        <v>72</v>
      </c>
      <c r="U744" s="12" t="n">
        <v>20</v>
      </c>
      <c r="V744" s="12" t="n">
        <v>67</v>
      </c>
      <c r="W744" s="12" t="n">
        <v>161</v>
      </c>
      <c r="X744" s="12" t="n">
        <v>7</v>
      </c>
      <c r="Y744" s="18" t="n">
        <f aca="false">IF(O744=0,0,T744*27/O744)</f>
        <v>3.82677165354331</v>
      </c>
      <c r="Z744" s="18" t="n">
        <f aca="false">IF(P744=0,0,(V744+R744)/P744)</f>
        <v>1.18110236220472</v>
      </c>
      <c r="AA744" s="18" t="n">
        <f aca="false">IF(O744=0,0,W744*27/O744)</f>
        <v>8.55708661417323</v>
      </c>
      <c r="AB744" s="18" t="n">
        <f aca="false">IF(O744=0,0,V744*27/O744)</f>
        <v>3.56102362204724</v>
      </c>
      <c r="AC744" s="18" t="n">
        <f aca="false">IF(V744=0,0,W744/V744)</f>
        <v>2.40298507462687</v>
      </c>
      <c r="AD744" s="18" t="n">
        <f aca="false">IF(P744=0,0,(13*U744+3*(V744+X744)-2*W744)/P744+INDEX(球季參數!$C$2:$C$4,MATCH($A744,球季參數!$A$2:$A$4,0)))</f>
        <v>4.02488188976378</v>
      </c>
      <c r="AE744" s="11" t="n">
        <f aca="false">IF(P744&gt;=INDEX(球季參數!$F$2:$F$4,MATCH($A744,球季參數!$A$2:$A$4,0)),1,0)</f>
        <v>1</v>
      </c>
    </row>
    <row r="745" customFormat="false" ht="15" hidden="false" customHeight="false" outlineLevel="0" collapsed="false">
      <c r="A745" s="5" t="n">
        <v>2026</v>
      </c>
      <c r="B745" s="7" t="s">
        <v>1027</v>
      </c>
      <c r="C745" s="10" t="str">
        <f aca="false">INDEX(球員主檔!$B$2:$B$749,MATCH($B745,球員主檔!$A$2:$A$749,0))</f>
        <v>Desmond Ferreira</v>
      </c>
      <c r="D745" s="7" t="s">
        <v>400</v>
      </c>
      <c r="E745" s="10" t="str">
        <f aca="false">INDEX(球隊主檔!$C$2:$C$31,MATCH($D745,球隊主檔!$A$2:$A$31,0))</f>
        <v>德州遊騎兵</v>
      </c>
      <c r="F745" s="10" t="str">
        <f aca="false">INDEX(球隊主檔!$D$2:$D$31,MATCH($D745,球隊主檔!$A$2:$A$31,0))</f>
        <v>美聯</v>
      </c>
      <c r="G745" s="7" t="s">
        <v>496</v>
      </c>
      <c r="H745" s="11" t="n">
        <f aca="false">INT((DATE($A745,7,1)-INDEX(球員主檔!$G$2:$G$749,MATCH($B745,球員主檔!$A$2:$A$749,0)))/365.25)</f>
        <v>29</v>
      </c>
      <c r="I745" s="12" t="n">
        <v>9</v>
      </c>
      <c r="J745" s="12" t="n">
        <v>8</v>
      </c>
      <c r="K745" s="12" t="n">
        <v>0</v>
      </c>
      <c r="L745" s="12" t="n">
        <v>0</v>
      </c>
      <c r="M745" s="12" t="n">
        <v>32</v>
      </c>
      <c r="N745" s="12" t="n">
        <v>32</v>
      </c>
      <c r="O745" s="12" t="n">
        <v>575</v>
      </c>
      <c r="P745" s="16" t="n">
        <f aca="false">O745/3</f>
        <v>191.666666666667</v>
      </c>
      <c r="Q745" s="17" t="str">
        <f aca="false">INT(O745/3)&amp;"."&amp;MOD(O745,3)</f>
        <v>191.2</v>
      </c>
      <c r="R745" s="12" t="n">
        <v>163</v>
      </c>
      <c r="S745" s="12" t="n">
        <v>105</v>
      </c>
      <c r="T745" s="12" t="n">
        <v>93</v>
      </c>
      <c r="U745" s="12" t="n">
        <v>22</v>
      </c>
      <c r="V745" s="12" t="n">
        <v>81</v>
      </c>
      <c r="W745" s="12" t="n">
        <v>252</v>
      </c>
      <c r="X745" s="12" t="n">
        <v>9</v>
      </c>
      <c r="Y745" s="18" t="n">
        <f aca="false">IF(O745=0,0,T745*27/O745)</f>
        <v>4.36695652173913</v>
      </c>
      <c r="Z745" s="18" t="n">
        <f aca="false">IF(P745=0,0,(V745+R745)/P745)</f>
        <v>1.27304347826087</v>
      </c>
      <c r="AA745" s="18" t="n">
        <f aca="false">IF(O745=0,0,W745*27/O745)</f>
        <v>11.8330434782609</v>
      </c>
      <c r="AB745" s="18" t="n">
        <f aca="false">IF(O745=0,0,V745*27/O745)</f>
        <v>3.80347826086957</v>
      </c>
      <c r="AC745" s="18" t="n">
        <f aca="false">IF(V745=0,0,W745/V745)</f>
        <v>3.11111111111111</v>
      </c>
      <c r="AD745" s="18" t="n">
        <f aca="false">IF(P745=0,0,(13*U745+3*(V745+X745)-2*W745)/P745+INDEX(球季參數!$C$2:$C$4,MATCH($A745,球季參數!$A$2:$A$4,0)))</f>
        <v>3.35130434782609</v>
      </c>
      <c r="AE745" s="11" t="n">
        <f aca="false">IF(P745&gt;=INDEX(球季參數!$F$2:$F$4,MATCH($A745,球季參數!$A$2:$A$4,0)),1,0)</f>
        <v>1</v>
      </c>
    </row>
    <row r="746" customFormat="false" ht="15" hidden="false" customHeight="false" outlineLevel="0" collapsed="false">
      <c r="A746" s="5" t="n">
        <v>2026</v>
      </c>
      <c r="B746" s="7" t="s">
        <v>1903</v>
      </c>
      <c r="C746" s="10" t="str">
        <f aca="false">INDEX(球員主檔!$B$2:$B$749,MATCH($B746,球員主檔!$A$2:$A$749,0))</f>
        <v>Desmond Wainwright</v>
      </c>
      <c r="D746" s="7" t="s">
        <v>400</v>
      </c>
      <c r="E746" s="10" t="str">
        <f aca="false">INDEX(球隊主檔!$C$2:$C$31,MATCH($D746,球隊主檔!$A$2:$A$31,0))</f>
        <v>德州遊騎兵</v>
      </c>
      <c r="F746" s="10" t="str">
        <f aca="false">INDEX(球隊主檔!$D$2:$D$31,MATCH($D746,球隊主檔!$A$2:$A$31,0))</f>
        <v>美聯</v>
      </c>
      <c r="G746" s="7" t="s">
        <v>496</v>
      </c>
      <c r="H746" s="11" t="n">
        <f aca="false">INT((DATE($A746,7,1)-INDEX(球員主檔!$G$2:$G$749,MATCH($B746,球員主檔!$A$2:$A$749,0)))/365.25)</f>
        <v>24</v>
      </c>
      <c r="I746" s="12" t="n">
        <v>8</v>
      </c>
      <c r="J746" s="12" t="n">
        <v>9</v>
      </c>
      <c r="K746" s="12" t="n">
        <v>0</v>
      </c>
      <c r="L746" s="12" t="n">
        <v>0</v>
      </c>
      <c r="M746" s="12" t="n">
        <v>26</v>
      </c>
      <c r="N746" s="12" t="n">
        <v>26</v>
      </c>
      <c r="O746" s="12" t="n">
        <v>427</v>
      </c>
      <c r="P746" s="16" t="n">
        <f aca="false">O746/3</f>
        <v>142.333333333333</v>
      </c>
      <c r="Q746" s="17" t="str">
        <f aca="false">INT(O746/3)&amp;"."&amp;MOD(O746,3)</f>
        <v>142.1</v>
      </c>
      <c r="R746" s="12" t="n">
        <v>133</v>
      </c>
      <c r="S746" s="12" t="n">
        <v>84</v>
      </c>
      <c r="T746" s="12" t="n">
        <v>75</v>
      </c>
      <c r="U746" s="12" t="n">
        <v>23</v>
      </c>
      <c r="V746" s="12" t="n">
        <v>48</v>
      </c>
      <c r="W746" s="12" t="n">
        <v>127</v>
      </c>
      <c r="X746" s="12" t="n">
        <v>3</v>
      </c>
      <c r="Y746" s="18" t="n">
        <f aca="false">IF(O746=0,0,T746*27/O746)</f>
        <v>4.7423887587822</v>
      </c>
      <c r="Z746" s="18" t="n">
        <f aca="false">IF(P746=0,0,(V746+R746)/P746)</f>
        <v>1.27166276346604</v>
      </c>
      <c r="AA746" s="18" t="n">
        <f aca="false">IF(O746=0,0,W746*27/O746)</f>
        <v>8.03044496487119</v>
      </c>
      <c r="AB746" s="18" t="n">
        <f aca="false">IF(O746=0,0,V746*27/O746)</f>
        <v>3.03512880562061</v>
      </c>
      <c r="AC746" s="18" t="n">
        <f aca="false">IF(V746=0,0,W746/V746)</f>
        <v>2.64583333333333</v>
      </c>
      <c r="AD746" s="18" t="n">
        <f aca="false">IF(P746=0,0,(13*U746+3*(V746+X746)-2*W746)/P746+INDEX(球季參數!$C$2:$C$4,MATCH($A746,球季參數!$A$2:$A$4,0)))</f>
        <v>4.47110070257611</v>
      </c>
      <c r="AE746" s="11" t="n">
        <f aca="false">IF(P746&gt;=INDEX(球季參數!$F$2:$F$4,MATCH($A746,球季參數!$A$2:$A$4,0)),1,0)</f>
        <v>0</v>
      </c>
    </row>
    <row r="747" customFormat="false" ht="15" hidden="false" customHeight="false" outlineLevel="0" collapsed="false">
      <c r="A747" s="5" t="n">
        <v>2026</v>
      </c>
      <c r="B747" s="7" t="s">
        <v>1067</v>
      </c>
      <c r="C747" s="10" t="str">
        <f aca="false">INDEX(球員主檔!$B$2:$B$749,MATCH($B747,球員主檔!$A$2:$A$749,0))</f>
        <v>Osvaldo Vandermeer</v>
      </c>
      <c r="D747" s="7" t="s">
        <v>400</v>
      </c>
      <c r="E747" s="10" t="str">
        <f aca="false">INDEX(球隊主檔!$C$2:$C$31,MATCH($D747,球隊主檔!$A$2:$A$31,0))</f>
        <v>德州遊騎兵</v>
      </c>
      <c r="F747" s="10" t="str">
        <f aca="false">INDEX(球隊主檔!$D$2:$D$31,MATCH($D747,球隊主檔!$A$2:$A$31,0))</f>
        <v>美聯</v>
      </c>
      <c r="G747" s="7" t="s">
        <v>507</v>
      </c>
      <c r="H747" s="11" t="n">
        <f aca="false">INT((DATE($A747,7,1)-INDEX(球員主檔!$G$2:$G$749,MATCH($B747,球員主檔!$A$2:$A$749,0)))/365.25)</f>
        <v>26</v>
      </c>
      <c r="I747" s="12" t="n">
        <v>7</v>
      </c>
      <c r="J747" s="12" t="n">
        <v>8</v>
      </c>
      <c r="K747" s="12" t="n">
        <v>16</v>
      </c>
      <c r="L747" s="12" t="n">
        <v>0</v>
      </c>
      <c r="M747" s="12" t="n">
        <v>70</v>
      </c>
      <c r="N747" s="12" t="n">
        <v>0</v>
      </c>
      <c r="O747" s="12" t="n">
        <v>209</v>
      </c>
      <c r="P747" s="16" t="n">
        <f aca="false">O747/3</f>
        <v>69.6666666666667</v>
      </c>
      <c r="Q747" s="17" t="str">
        <f aca="false">INT(O747/3)&amp;"."&amp;MOD(O747,3)</f>
        <v>69.2</v>
      </c>
      <c r="R747" s="12" t="n">
        <v>52</v>
      </c>
      <c r="S747" s="12" t="n">
        <v>26</v>
      </c>
      <c r="T747" s="12" t="n">
        <v>26</v>
      </c>
      <c r="U747" s="12" t="n">
        <v>13</v>
      </c>
      <c r="V747" s="12" t="n">
        <v>17</v>
      </c>
      <c r="W747" s="12" t="n">
        <v>86</v>
      </c>
      <c r="X747" s="12" t="n">
        <v>4</v>
      </c>
      <c r="Y747" s="18" t="n">
        <f aca="false">IF(O747=0,0,T747*27/O747)</f>
        <v>3.35885167464115</v>
      </c>
      <c r="Z747" s="18" t="n">
        <f aca="false">IF(P747=0,0,(V747+R747)/P747)</f>
        <v>0.990430622009569</v>
      </c>
      <c r="AA747" s="18" t="n">
        <f aca="false">IF(O747=0,0,W747*27/O747)</f>
        <v>11.11004784689</v>
      </c>
      <c r="AB747" s="18" t="n">
        <f aca="false">IF(O747=0,0,V747*27/O747)</f>
        <v>2.19617224880383</v>
      </c>
      <c r="AC747" s="18" t="n">
        <f aca="false">IF(V747=0,0,W747/V747)</f>
        <v>5.05882352941176</v>
      </c>
      <c r="AD747" s="18" t="n">
        <f aca="false">IF(P747=0,0,(13*U747+3*(V747+X747)-2*W747)/P747+INDEX(球季參數!$C$2:$C$4,MATCH($A747,球季參數!$A$2:$A$4,0)))</f>
        <v>3.94124401913876</v>
      </c>
      <c r="AE747" s="11" t="n">
        <f aca="false">IF(P747&gt;=INDEX(球季參數!$F$2:$F$4,MATCH($A747,球季參數!$A$2:$A$4,0)),1,0)</f>
        <v>0</v>
      </c>
    </row>
    <row r="748" customFormat="false" ht="15" hidden="false" customHeight="false" outlineLevel="0" collapsed="false">
      <c r="A748" s="5" t="n">
        <v>2026</v>
      </c>
      <c r="B748" s="7" t="s">
        <v>1113</v>
      </c>
      <c r="C748" s="10" t="str">
        <f aca="false">INDEX(球員主檔!$B$2:$B$749,MATCH($B748,球員主檔!$A$2:$A$749,0))</f>
        <v>Ignacio Redmayne</v>
      </c>
      <c r="D748" s="7" t="s">
        <v>400</v>
      </c>
      <c r="E748" s="10" t="str">
        <f aca="false">INDEX(球隊主檔!$C$2:$C$31,MATCH($D748,球隊主檔!$A$2:$A$31,0))</f>
        <v>德州遊騎兵</v>
      </c>
      <c r="F748" s="10" t="str">
        <f aca="false">INDEX(球隊主檔!$D$2:$D$31,MATCH($D748,球隊主檔!$A$2:$A$31,0))</f>
        <v>美聯</v>
      </c>
      <c r="G748" s="7" t="s">
        <v>507</v>
      </c>
      <c r="H748" s="11" t="n">
        <f aca="false">INT((DATE($A748,7,1)-INDEX(球員主檔!$G$2:$G$749,MATCH($B748,球員主檔!$A$2:$A$749,0)))/365.25)</f>
        <v>30</v>
      </c>
      <c r="I748" s="12" t="n">
        <v>6</v>
      </c>
      <c r="J748" s="12" t="n">
        <v>2</v>
      </c>
      <c r="K748" s="12" t="n">
        <v>6</v>
      </c>
      <c r="L748" s="12" t="n">
        <v>32</v>
      </c>
      <c r="M748" s="12" t="n">
        <v>72</v>
      </c>
      <c r="N748" s="12" t="n">
        <v>0</v>
      </c>
      <c r="O748" s="12" t="n">
        <v>189</v>
      </c>
      <c r="P748" s="16" t="n">
        <f aca="false">O748/3</f>
        <v>63</v>
      </c>
      <c r="Q748" s="17" t="str">
        <f aca="false">INT(O748/3)&amp;"."&amp;MOD(O748,3)</f>
        <v>63.0</v>
      </c>
      <c r="R748" s="12" t="n">
        <v>46</v>
      </c>
      <c r="S748" s="12" t="n">
        <v>19</v>
      </c>
      <c r="T748" s="12" t="n">
        <v>18</v>
      </c>
      <c r="U748" s="12" t="n">
        <v>10</v>
      </c>
      <c r="V748" s="12" t="n">
        <v>16</v>
      </c>
      <c r="W748" s="12" t="n">
        <v>76</v>
      </c>
      <c r="X748" s="12" t="n">
        <v>3</v>
      </c>
      <c r="Y748" s="18" t="n">
        <f aca="false">IF(O748=0,0,T748*27/O748)</f>
        <v>2.57142857142857</v>
      </c>
      <c r="Z748" s="18" t="n">
        <f aca="false">IF(P748=0,0,(V748+R748)/P748)</f>
        <v>0.984126984126984</v>
      </c>
      <c r="AA748" s="18" t="n">
        <f aca="false">IF(O748=0,0,W748*27/O748)</f>
        <v>10.8571428571429</v>
      </c>
      <c r="AB748" s="18" t="n">
        <f aca="false">IF(O748=0,0,V748*27/O748)</f>
        <v>2.28571428571429</v>
      </c>
      <c r="AC748" s="18" t="n">
        <f aca="false">IF(V748=0,0,W748/V748)</f>
        <v>4.75</v>
      </c>
      <c r="AD748" s="18" t="n">
        <f aca="false">IF(P748=0,0,(13*U748+3*(V748+X748)-2*W748)/P748+INDEX(球季參數!$C$2:$C$4,MATCH($A748,球季參數!$A$2:$A$4,0)))</f>
        <v>3.63555555555556</v>
      </c>
      <c r="AE748" s="11" t="n">
        <f aca="false">IF(P748&gt;=INDEX(球季參數!$F$2:$F$4,MATCH($A748,球季參數!$A$2:$A$4,0)),1,0)</f>
        <v>0</v>
      </c>
    </row>
    <row r="749" customFormat="false" ht="15" hidden="false" customHeight="false" outlineLevel="0" collapsed="false">
      <c r="A749" s="5" t="n">
        <v>2026</v>
      </c>
      <c r="B749" s="7" t="s">
        <v>1305</v>
      </c>
      <c r="C749" s="10" t="str">
        <f aca="false">INDEX(球員主檔!$B$2:$B$749,MATCH($B749,球員主檔!$A$2:$A$749,0))</f>
        <v>Elias Yarbrough</v>
      </c>
      <c r="D749" s="7" t="s">
        <v>400</v>
      </c>
      <c r="E749" s="10" t="str">
        <f aca="false">INDEX(球隊主檔!$C$2:$C$31,MATCH($D749,球隊主檔!$A$2:$A$31,0))</f>
        <v>德州遊騎兵</v>
      </c>
      <c r="F749" s="10" t="str">
        <f aca="false">INDEX(球隊主檔!$D$2:$D$31,MATCH($D749,球隊主檔!$A$2:$A$31,0))</f>
        <v>美聯</v>
      </c>
      <c r="G749" s="7" t="s">
        <v>507</v>
      </c>
      <c r="H749" s="11" t="n">
        <f aca="false">INT((DATE($A749,7,1)-INDEX(球員主檔!$G$2:$G$749,MATCH($B749,球員主檔!$A$2:$A$749,0)))/365.25)</f>
        <v>26</v>
      </c>
      <c r="I749" s="12" t="n">
        <v>9</v>
      </c>
      <c r="J749" s="12" t="n">
        <v>8</v>
      </c>
      <c r="K749" s="12" t="n">
        <v>5</v>
      </c>
      <c r="L749" s="12" t="n">
        <v>21</v>
      </c>
      <c r="M749" s="12" t="n">
        <v>72</v>
      </c>
      <c r="N749" s="12" t="n">
        <v>0</v>
      </c>
      <c r="O749" s="12" t="n">
        <v>206</v>
      </c>
      <c r="P749" s="16" t="n">
        <f aca="false">O749/3</f>
        <v>68.6666666666667</v>
      </c>
      <c r="Q749" s="17" t="str">
        <f aca="false">INT(O749/3)&amp;"."&amp;MOD(O749,3)</f>
        <v>68.2</v>
      </c>
      <c r="R749" s="12" t="n">
        <v>63</v>
      </c>
      <c r="S749" s="12" t="n">
        <v>42</v>
      </c>
      <c r="T749" s="12" t="n">
        <v>39</v>
      </c>
      <c r="U749" s="12" t="n">
        <v>6</v>
      </c>
      <c r="V749" s="12" t="n">
        <v>16</v>
      </c>
      <c r="W749" s="12" t="n">
        <v>53</v>
      </c>
      <c r="X749" s="12" t="n">
        <v>2</v>
      </c>
      <c r="Y749" s="18" t="n">
        <f aca="false">IF(O749=0,0,T749*27/O749)</f>
        <v>5.11165048543689</v>
      </c>
      <c r="Z749" s="18" t="n">
        <f aca="false">IF(P749=0,0,(V749+R749)/P749)</f>
        <v>1.1504854368932</v>
      </c>
      <c r="AA749" s="18" t="n">
        <f aca="false">IF(O749=0,0,W749*27/O749)</f>
        <v>6.94660194174757</v>
      </c>
      <c r="AB749" s="18" t="n">
        <f aca="false">IF(O749=0,0,V749*27/O749)</f>
        <v>2.09708737864078</v>
      </c>
      <c r="AC749" s="18" t="n">
        <f aca="false">IF(V749=0,0,W749/V749)</f>
        <v>3.3125</v>
      </c>
      <c r="AD749" s="18" t="n">
        <f aca="false">IF(P749=0,0,(13*U749+3*(V749+X749)-2*W749)/P749+INDEX(球季參數!$C$2:$C$4,MATCH($A749,球季參數!$A$2:$A$4,0)))</f>
        <v>3.45864077669903</v>
      </c>
      <c r="AE749" s="11" t="n">
        <f aca="false">IF(P749&gt;=INDEX(球季參數!$F$2:$F$4,MATCH($A749,球季參數!$A$2:$A$4,0)),1,0)</f>
        <v>0</v>
      </c>
    </row>
    <row r="750" customFormat="false" ht="15" hidden="false" customHeight="false" outlineLevel="0" collapsed="false">
      <c r="A750" s="5" t="n">
        <v>2026</v>
      </c>
      <c r="B750" s="7" t="s">
        <v>1073</v>
      </c>
      <c r="C750" s="10" t="str">
        <f aca="false">INDEX(球員主檔!$B$2:$B$749,MATCH($B750,球員主檔!$A$2:$A$749,0))</f>
        <v>Jedidiah Oyelaran</v>
      </c>
      <c r="D750" s="7" t="s">
        <v>400</v>
      </c>
      <c r="E750" s="10" t="str">
        <f aca="false">INDEX(球隊主檔!$C$2:$C$31,MATCH($D750,球隊主檔!$A$2:$A$31,0))</f>
        <v>德州遊騎兵</v>
      </c>
      <c r="F750" s="10" t="str">
        <f aca="false">INDEX(球隊主檔!$D$2:$D$31,MATCH($D750,球隊主檔!$A$2:$A$31,0))</f>
        <v>美聯</v>
      </c>
      <c r="G750" s="7" t="s">
        <v>507</v>
      </c>
      <c r="H750" s="11" t="n">
        <f aca="false">INT((DATE($A750,7,1)-INDEX(球員主檔!$G$2:$G$749,MATCH($B750,球員主檔!$A$2:$A$749,0)))/365.25)</f>
        <v>29</v>
      </c>
      <c r="I750" s="12" t="n">
        <v>9</v>
      </c>
      <c r="J750" s="12" t="n">
        <v>2</v>
      </c>
      <c r="K750" s="12" t="n">
        <v>1</v>
      </c>
      <c r="L750" s="12" t="n">
        <v>22</v>
      </c>
      <c r="M750" s="12" t="n">
        <v>59</v>
      </c>
      <c r="N750" s="12" t="n">
        <v>0</v>
      </c>
      <c r="O750" s="12" t="n">
        <v>187</v>
      </c>
      <c r="P750" s="16" t="n">
        <f aca="false">O750/3</f>
        <v>62.3333333333333</v>
      </c>
      <c r="Q750" s="17" t="str">
        <f aca="false">INT(O750/3)&amp;"."&amp;MOD(O750,3)</f>
        <v>62.1</v>
      </c>
      <c r="R750" s="12" t="n">
        <v>53</v>
      </c>
      <c r="S750" s="12" t="n">
        <v>34</v>
      </c>
      <c r="T750" s="12" t="n">
        <v>34</v>
      </c>
      <c r="U750" s="12" t="n">
        <v>9</v>
      </c>
      <c r="V750" s="12" t="n">
        <v>28</v>
      </c>
      <c r="W750" s="12" t="n">
        <v>88</v>
      </c>
      <c r="X750" s="12" t="n">
        <v>2</v>
      </c>
      <c r="Y750" s="18" t="n">
        <f aca="false">IF(O750=0,0,T750*27/O750)</f>
        <v>4.90909090909091</v>
      </c>
      <c r="Z750" s="18" t="n">
        <f aca="false">IF(P750=0,0,(V750+R750)/P750)</f>
        <v>1.29946524064171</v>
      </c>
      <c r="AA750" s="18" t="n">
        <f aca="false">IF(O750=0,0,W750*27/O750)</f>
        <v>12.7058823529412</v>
      </c>
      <c r="AB750" s="18" t="n">
        <f aca="false">IF(O750=0,0,V750*27/O750)</f>
        <v>4.0427807486631</v>
      </c>
      <c r="AC750" s="18" t="n">
        <f aca="false">IF(V750=0,0,W750/V750)</f>
        <v>3.14285714285714</v>
      </c>
      <c r="AD750" s="18" t="n">
        <f aca="false">IF(P750=0,0,(13*U750+3*(V750+X750)-2*W750)/P750+INDEX(球季參數!$C$2:$C$4,MATCH($A750,球季參數!$A$2:$A$4,0)))</f>
        <v>3.57732620320856</v>
      </c>
      <c r="AE750" s="11" t="n">
        <f aca="false">IF(P750&gt;=INDEX(球季參數!$F$2:$F$4,MATCH($A750,球季參數!$A$2:$A$4,0)),1,0)</f>
        <v>0</v>
      </c>
    </row>
    <row r="751" customFormat="false" ht="15" hidden="false" customHeight="false" outlineLevel="0" collapsed="false">
      <c r="A751" s="5" t="n">
        <v>2026</v>
      </c>
      <c r="B751" s="7" t="s">
        <v>1075</v>
      </c>
      <c r="C751" s="10" t="str">
        <f aca="false">INDEX(球員主檔!$B$2:$B$749,MATCH($B751,球員主檔!$A$2:$A$749,0))</f>
        <v>Camilo Tanabe</v>
      </c>
      <c r="D751" s="7" t="s">
        <v>400</v>
      </c>
      <c r="E751" s="10" t="str">
        <f aca="false">INDEX(球隊主檔!$C$2:$C$31,MATCH($D751,球隊主檔!$A$2:$A$31,0))</f>
        <v>德州遊騎兵</v>
      </c>
      <c r="F751" s="10" t="str">
        <f aca="false">INDEX(球隊主檔!$D$2:$D$31,MATCH($D751,球隊主檔!$A$2:$A$31,0))</f>
        <v>美聯</v>
      </c>
      <c r="G751" s="7" t="s">
        <v>507</v>
      </c>
      <c r="H751" s="11" t="n">
        <f aca="false">INT((DATE($A751,7,1)-INDEX(球員主檔!$G$2:$G$749,MATCH($B751,球員主檔!$A$2:$A$749,0)))/365.25)</f>
        <v>24</v>
      </c>
      <c r="I751" s="12" t="n">
        <v>1</v>
      </c>
      <c r="J751" s="12" t="n">
        <v>2</v>
      </c>
      <c r="K751" s="12" t="n">
        <v>5</v>
      </c>
      <c r="L751" s="12" t="n">
        <v>2</v>
      </c>
      <c r="M751" s="12" t="n">
        <v>45</v>
      </c>
      <c r="N751" s="12" t="n">
        <v>0</v>
      </c>
      <c r="O751" s="12" t="n">
        <v>135</v>
      </c>
      <c r="P751" s="16" t="n">
        <f aca="false">O751/3</f>
        <v>45</v>
      </c>
      <c r="Q751" s="17" t="str">
        <f aca="false">INT(O751/3)&amp;"."&amp;MOD(O751,3)</f>
        <v>45.0</v>
      </c>
      <c r="R751" s="12" t="n">
        <v>40</v>
      </c>
      <c r="S751" s="12" t="n">
        <v>24</v>
      </c>
      <c r="T751" s="12" t="n">
        <v>22</v>
      </c>
      <c r="U751" s="12" t="n">
        <v>6</v>
      </c>
      <c r="V751" s="12" t="n">
        <v>7</v>
      </c>
      <c r="W751" s="12" t="n">
        <v>54</v>
      </c>
      <c r="X751" s="12" t="n">
        <v>3</v>
      </c>
      <c r="Y751" s="18" t="n">
        <f aca="false">IF(O751=0,0,T751*27/O751)</f>
        <v>4.4</v>
      </c>
      <c r="Z751" s="18" t="n">
        <f aca="false">IF(P751=0,0,(V751+R751)/P751)</f>
        <v>1.04444444444444</v>
      </c>
      <c r="AA751" s="18" t="n">
        <f aca="false">IF(O751=0,0,W751*27/O751)</f>
        <v>10.8</v>
      </c>
      <c r="AB751" s="18" t="n">
        <f aca="false">IF(O751=0,0,V751*27/O751)</f>
        <v>1.4</v>
      </c>
      <c r="AC751" s="18" t="n">
        <f aca="false">IF(V751=0,0,W751/V751)</f>
        <v>7.71428571428571</v>
      </c>
      <c r="AD751" s="18" t="n">
        <f aca="false">IF(P751=0,0,(13*U751+3*(V751+X751)-2*W751)/P751+INDEX(球季參數!$C$2:$C$4,MATCH($A751,球季參數!$A$2:$A$4,0)))</f>
        <v>3.08</v>
      </c>
      <c r="AE751" s="11" t="n">
        <f aca="false">IF(P751&gt;=INDEX(球季參數!$F$2:$F$4,MATCH($A751,球季參數!$A$2:$A$4,0)),1,0)</f>
        <v>0</v>
      </c>
    </row>
    <row r="752" customFormat="false" ht="15" hidden="false" customHeight="false" outlineLevel="0" collapsed="false">
      <c r="A752" s="5" t="n">
        <v>2026</v>
      </c>
      <c r="B752" s="7" t="s">
        <v>1097</v>
      </c>
      <c r="C752" s="10" t="str">
        <f aca="false">INDEX(球員主檔!$B$2:$B$749,MATCH($B752,球員主檔!$A$2:$A$749,0))</f>
        <v>Hugo Castellón</v>
      </c>
      <c r="D752" s="7" t="s">
        <v>404</v>
      </c>
      <c r="E752" s="10" t="str">
        <f aca="false">INDEX(球隊主檔!$C$2:$C$31,MATCH($D752,球隊主檔!$A$2:$A$31,0))</f>
        <v>亞特蘭大勇士</v>
      </c>
      <c r="F752" s="10" t="str">
        <f aca="false">INDEX(球隊主檔!$D$2:$D$31,MATCH($D752,球隊主檔!$A$2:$A$31,0))</f>
        <v>國聯</v>
      </c>
      <c r="G752" s="7" t="s">
        <v>496</v>
      </c>
      <c r="H752" s="11" t="n">
        <f aca="false">INT((DATE($A752,7,1)-INDEX(球員主檔!$G$2:$G$749,MATCH($B752,球員主檔!$A$2:$A$749,0)))/365.25)</f>
        <v>32</v>
      </c>
      <c r="I752" s="12" t="n">
        <v>11</v>
      </c>
      <c r="J752" s="12" t="n">
        <v>7</v>
      </c>
      <c r="K752" s="12" t="n">
        <v>0</v>
      </c>
      <c r="L752" s="12" t="n">
        <v>0</v>
      </c>
      <c r="M752" s="12" t="n">
        <v>24</v>
      </c>
      <c r="N752" s="12" t="n">
        <v>24</v>
      </c>
      <c r="O752" s="12" t="n">
        <v>390</v>
      </c>
      <c r="P752" s="16" t="n">
        <f aca="false">O752/3</f>
        <v>130</v>
      </c>
      <c r="Q752" s="17" t="str">
        <f aca="false">INT(O752/3)&amp;"."&amp;MOD(O752,3)</f>
        <v>130.0</v>
      </c>
      <c r="R752" s="12" t="n">
        <v>105</v>
      </c>
      <c r="S752" s="12" t="n">
        <v>57</v>
      </c>
      <c r="T752" s="12" t="n">
        <v>53</v>
      </c>
      <c r="U752" s="12" t="n">
        <v>12</v>
      </c>
      <c r="V752" s="12" t="n">
        <v>59</v>
      </c>
      <c r="W752" s="12" t="n">
        <v>96</v>
      </c>
      <c r="X752" s="12" t="n">
        <v>2</v>
      </c>
      <c r="Y752" s="18" t="n">
        <f aca="false">IF(O752=0,0,T752*27/O752)</f>
        <v>3.66923076923077</v>
      </c>
      <c r="Z752" s="18" t="n">
        <f aca="false">IF(P752=0,0,(V752+R752)/P752)</f>
        <v>1.26153846153846</v>
      </c>
      <c r="AA752" s="18" t="n">
        <f aca="false">IF(O752=0,0,W752*27/O752)</f>
        <v>6.64615384615385</v>
      </c>
      <c r="AB752" s="18" t="n">
        <f aca="false">IF(O752=0,0,V752*27/O752)</f>
        <v>4.08461538461538</v>
      </c>
      <c r="AC752" s="18" t="n">
        <f aca="false">IF(V752=0,0,W752/V752)</f>
        <v>1.6271186440678</v>
      </c>
      <c r="AD752" s="18" t="n">
        <f aca="false">IF(P752=0,0,(13*U752+3*(V752+X752)-2*W752)/P752+INDEX(球季參數!$C$2:$C$4,MATCH($A752,球季參數!$A$2:$A$4,0)))</f>
        <v>4.21076923076923</v>
      </c>
      <c r="AE752" s="11" t="n">
        <f aca="false">IF(P752&gt;=INDEX(球季參數!$F$2:$F$4,MATCH($A752,球季參數!$A$2:$A$4,0)),1,0)</f>
        <v>0</v>
      </c>
    </row>
    <row r="753" customFormat="false" ht="15" hidden="false" customHeight="false" outlineLevel="0" collapsed="false">
      <c r="A753" s="5" t="n">
        <v>2026</v>
      </c>
      <c r="B753" s="7" t="s">
        <v>1741</v>
      </c>
      <c r="C753" s="10" t="str">
        <f aca="false">INDEX(球員主檔!$B$2:$B$749,MATCH($B753,球員主檔!$A$2:$A$749,0))</f>
        <v>Wyatt Dubois</v>
      </c>
      <c r="D753" s="7" t="s">
        <v>404</v>
      </c>
      <c r="E753" s="10" t="str">
        <f aca="false">INDEX(球隊主檔!$C$2:$C$31,MATCH($D753,球隊主檔!$A$2:$A$31,0))</f>
        <v>亞特蘭大勇士</v>
      </c>
      <c r="F753" s="10" t="str">
        <f aca="false">INDEX(球隊主檔!$D$2:$D$31,MATCH($D753,球隊主檔!$A$2:$A$31,0))</f>
        <v>國聯</v>
      </c>
      <c r="G753" s="7" t="s">
        <v>496</v>
      </c>
      <c r="H753" s="11" t="n">
        <f aca="false">INT((DATE($A753,7,1)-INDEX(球員主檔!$G$2:$G$749,MATCH($B753,球員主檔!$A$2:$A$749,0)))/365.25)</f>
        <v>22</v>
      </c>
      <c r="I753" s="12" t="n">
        <v>5</v>
      </c>
      <c r="J753" s="12" t="n">
        <v>9</v>
      </c>
      <c r="K753" s="12" t="n">
        <v>0</v>
      </c>
      <c r="L753" s="12" t="n">
        <v>0</v>
      </c>
      <c r="M753" s="12" t="n">
        <v>22</v>
      </c>
      <c r="N753" s="12" t="n">
        <v>22</v>
      </c>
      <c r="O753" s="12" t="n">
        <v>399</v>
      </c>
      <c r="P753" s="16" t="n">
        <f aca="false">O753/3</f>
        <v>133</v>
      </c>
      <c r="Q753" s="17" t="str">
        <f aca="false">INT(O753/3)&amp;"."&amp;MOD(O753,3)</f>
        <v>133.0</v>
      </c>
      <c r="R753" s="12" t="n">
        <v>131</v>
      </c>
      <c r="S753" s="12" t="n">
        <v>106</v>
      </c>
      <c r="T753" s="12" t="n">
        <v>93</v>
      </c>
      <c r="U753" s="12" t="n">
        <v>14</v>
      </c>
      <c r="V753" s="12" t="n">
        <v>42</v>
      </c>
      <c r="W753" s="12" t="n">
        <v>105</v>
      </c>
      <c r="X753" s="12" t="n">
        <v>6</v>
      </c>
      <c r="Y753" s="18" t="n">
        <f aca="false">IF(O753=0,0,T753*27/O753)</f>
        <v>6.29323308270677</v>
      </c>
      <c r="Z753" s="18" t="n">
        <f aca="false">IF(P753=0,0,(V753+R753)/P753)</f>
        <v>1.30075187969925</v>
      </c>
      <c r="AA753" s="18" t="n">
        <f aca="false">IF(O753=0,0,W753*27/O753)</f>
        <v>7.10526315789474</v>
      </c>
      <c r="AB753" s="18" t="n">
        <f aca="false">IF(O753=0,0,V753*27/O753)</f>
        <v>2.84210526315789</v>
      </c>
      <c r="AC753" s="18" t="n">
        <f aca="false">IF(V753=0,0,W753/V753)</f>
        <v>2.5</v>
      </c>
      <c r="AD753" s="18" t="n">
        <f aca="false">IF(P753=0,0,(13*U753+3*(V753+X753)-2*W753)/P753+INDEX(球季參數!$C$2:$C$4,MATCH($A753,球季參數!$A$2:$A$4,0)))</f>
        <v>3.95218045112782</v>
      </c>
      <c r="AE753" s="11" t="n">
        <f aca="false">IF(P753&gt;=INDEX(球季參數!$F$2:$F$4,MATCH($A753,球季參數!$A$2:$A$4,0)),1,0)</f>
        <v>0</v>
      </c>
    </row>
    <row r="754" customFormat="false" ht="15" hidden="false" customHeight="false" outlineLevel="0" collapsed="false">
      <c r="A754" s="5" t="n">
        <v>2026</v>
      </c>
      <c r="B754" s="7" t="s">
        <v>1785</v>
      </c>
      <c r="C754" s="10" t="str">
        <f aca="false">INDEX(球員主檔!$B$2:$B$749,MATCH($B754,球員主檔!$A$2:$A$749,0))</f>
        <v>Seonwoo Ashworth</v>
      </c>
      <c r="D754" s="7" t="s">
        <v>404</v>
      </c>
      <c r="E754" s="10" t="str">
        <f aca="false">INDEX(球隊主檔!$C$2:$C$31,MATCH($D754,球隊主檔!$A$2:$A$31,0))</f>
        <v>亞特蘭大勇士</v>
      </c>
      <c r="F754" s="10" t="str">
        <f aca="false">INDEX(球隊主檔!$D$2:$D$31,MATCH($D754,球隊主檔!$A$2:$A$31,0))</f>
        <v>國聯</v>
      </c>
      <c r="G754" s="7" t="s">
        <v>496</v>
      </c>
      <c r="H754" s="11" t="n">
        <f aca="false">INT((DATE($A754,7,1)-INDEX(球員主檔!$G$2:$G$749,MATCH($B754,球員主檔!$A$2:$A$749,0)))/365.25)</f>
        <v>22</v>
      </c>
      <c r="I754" s="12" t="n">
        <v>9</v>
      </c>
      <c r="J754" s="12" t="n">
        <v>9</v>
      </c>
      <c r="K754" s="12" t="n">
        <v>0</v>
      </c>
      <c r="L754" s="12" t="n">
        <v>0</v>
      </c>
      <c r="M754" s="12" t="n">
        <v>26</v>
      </c>
      <c r="N754" s="12" t="n">
        <v>26</v>
      </c>
      <c r="O754" s="12" t="n">
        <v>387</v>
      </c>
      <c r="P754" s="16" t="n">
        <f aca="false">O754/3</f>
        <v>129</v>
      </c>
      <c r="Q754" s="17" t="str">
        <f aca="false">INT(O754/3)&amp;"."&amp;MOD(O754,3)</f>
        <v>129.0</v>
      </c>
      <c r="R754" s="12" t="n">
        <v>112</v>
      </c>
      <c r="S754" s="12" t="n">
        <v>79</v>
      </c>
      <c r="T754" s="12" t="n">
        <v>71</v>
      </c>
      <c r="U754" s="12" t="n">
        <v>19</v>
      </c>
      <c r="V754" s="12" t="n">
        <v>28</v>
      </c>
      <c r="W754" s="12" t="n">
        <v>151</v>
      </c>
      <c r="X754" s="12" t="n">
        <v>7</v>
      </c>
      <c r="Y754" s="18" t="n">
        <f aca="false">IF(O754=0,0,T754*27/O754)</f>
        <v>4.95348837209302</v>
      </c>
      <c r="Z754" s="18" t="n">
        <f aca="false">IF(P754=0,0,(V754+R754)/P754)</f>
        <v>1.08527131782946</v>
      </c>
      <c r="AA754" s="18" t="n">
        <f aca="false">IF(O754=0,0,W754*27/O754)</f>
        <v>10.5348837209302</v>
      </c>
      <c r="AB754" s="18" t="n">
        <f aca="false">IF(O754=0,0,V754*27/O754)</f>
        <v>1.95348837209302</v>
      </c>
      <c r="AC754" s="18" t="n">
        <f aca="false">IF(V754=0,0,W754/V754)</f>
        <v>5.39285714285714</v>
      </c>
      <c r="AD754" s="18" t="n">
        <f aca="false">IF(P754=0,0,(13*U754+3*(V754+X754)-2*W754)/P754+INDEX(球季參數!$C$2:$C$4,MATCH($A754,球季參數!$A$2:$A$4,0)))</f>
        <v>3.46759689922481</v>
      </c>
      <c r="AE754" s="11" t="n">
        <f aca="false">IF(P754&gt;=INDEX(球季參數!$F$2:$F$4,MATCH($A754,球季參數!$A$2:$A$4,0)),1,0)</f>
        <v>0</v>
      </c>
    </row>
    <row r="755" customFormat="false" ht="15" hidden="false" customHeight="false" outlineLevel="0" collapsed="false">
      <c r="A755" s="5" t="n">
        <v>2026</v>
      </c>
      <c r="B755" s="7" t="s">
        <v>1103</v>
      </c>
      <c r="C755" s="10" t="str">
        <f aca="false">INDEX(球員主檔!$B$2:$B$749,MATCH($B755,球員主檔!$A$2:$A$749,0))</f>
        <v>Quentin Wexford</v>
      </c>
      <c r="D755" s="7" t="s">
        <v>404</v>
      </c>
      <c r="E755" s="10" t="str">
        <f aca="false">INDEX(球隊主檔!$C$2:$C$31,MATCH($D755,球隊主檔!$A$2:$A$31,0))</f>
        <v>亞特蘭大勇士</v>
      </c>
      <c r="F755" s="10" t="str">
        <f aca="false">INDEX(球隊主檔!$D$2:$D$31,MATCH($D755,球隊主檔!$A$2:$A$31,0))</f>
        <v>國聯</v>
      </c>
      <c r="G755" s="7" t="s">
        <v>496</v>
      </c>
      <c r="H755" s="11" t="n">
        <f aca="false">INT((DATE($A755,7,1)-INDEX(球員主檔!$G$2:$G$749,MATCH($B755,球員主檔!$A$2:$A$749,0)))/365.25)</f>
        <v>28</v>
      </c>
      <c r="I755" s="12" t="n">
        <v>5</v>
      </c>
      <c r="J755" s="12" t="n">
        <v>3</v>
      </c>
      <c r="K755" s="12" t="n">
        <v>0</v>
      </c>
      <c r="L755" s="12" t="n">
        <v>0</v>
      </c>
      <c r="M755" s="12" t="n">
        <v>15</v>
      </c>
      <c r="N755" s="12" t="n">
        <v>15</v>
      </c>
      <c r="O755" s="12" t="n">
        <v>250</v>
      </c>
      <c r="P755" s="16" t="n">
        <f aca="false">O755/3</f>
        <v>83.3333333333333</v>
      </c>
      <c r="Q755" s="17" t="str">
        <f aca="false">INT(O755/3)&amp;"."&amp;MOD(O755,3)</f>
        <v>83.1</v>
      </c>
      <c r="R755" s="12" t="n">
        <v>64</v>
      </c>
      <c r="S755" s="12" t="n">
        <v>36</v>
      </c>
      <c r="T755" s="12" t="n">
        <v>34</v>
      </c>
      <c r="U755" s="12" t="n">
        <v>12</v>
      </c>
      <c r="V755" s="12" t="n">
        <v>37</v>
      </c>
      <c r="W755" s="12" t="n">
        <v>57</v>
      </c>
      <c r="X755" s="12" t="n">
        <v>2</v>
      </c>
      <c r="Y755" s="18" t="n">
        <f aca="false">IF(O755=0,0,T755*27/O755)</f>
        <v>3.672</v>
      </c>
      <c r="Z755" s="18" t="n">
        <f aca="false">IF(P755=0,0,(V755+R755)/P755)</f>
        <v>1.212</v>
      </c>
      <c r="AA755" s="18" t="n">
        <f aca="false">IF(O755=0,0,W755*27/O755)</f>
        <v>6.156</v>
      </c>
      <c r="AB755" s="18" t="n">
        <f aca="false">IF(O755=0,0,V755*27/O755)</f>
        <v>3.996</v>
      </c>
      <c r="AC755" s="18" t="n">
        <f aca="false">IF(V755=0,0,W755/V755)</f>
        <v>1.54054054054054</v>
      </c>
      <c r="AD755" s="18" t="n">
        <f aca="false">IF(P755=0,0,(13*U755+3*(V755+X755)-2*W755)/P755+INDEX(球季參數!$C$2:$C$4,MATCH($A755,球季參數!$A$2:$A$4,0)))</f>
        <v>4.988</v>
      </c>
      <c r="AE755" s="11" t="n">
        <f aca="false">IF(P755&gt;=INDEX(球季參數!$F$2:$F$4,MATCH($A755,球季參數!$A$2:$A$4,0)),1,0)</f>
        <v>0</v>
      </c>
    </row>
    <row r="756" customFormat="false" ht="15" hidden="false" customHeight="false" outlineLevel="0" collapsed="false">
      <c r="A756" s="5" t="n">
        <v>2026</v>
      </c>
      <c r="B756" s="7" t="s">
        <v>1105</v>
      </c>
      <c r="C756" s="10" t="str">
        <f aca="false">INDEX(球員主檔!$B$2:$B$749,MATCH($B756,球員主檔!$A$2:$A$749,0))</f>
        <v>Camilo Marchetti</v>
      </c>
      <c r="D756" s="7" t="s">
        <v>404</v>
      </c>
      <c r="E756" s="10" t="str">
        <f aca="false">INDEX(球隊主檔!$C$2:$C$31,MATCH($D756,球隊主檔!$A$2:$A$31,0))</f>
        <v>亞特蘭大勇士</v>
      </c>
      <c r="F756" s="10" t="str">
        <f aca="false">INDEX(球隊主檔!$D$2:$D$31,MATCH($D756,球隊主檔!$A$2:$A$31,0))</f>
        <v>國聯</v>
      </c>
      <c r="G756" s="7" t="s">
        <v>496</v>
      </c>
      <c r="H756" s="11" t="n">
        <f aca="false">INT((DATE($A756,7,1)-INDEX(球員主檔!$G$2:$G$749,MATCH($B756,球員主檔!$A$2:$A$749,0)))/365.25)</f>
        <v>30</v>
      </c>
      <c r="I756" s="12" t="n">
        <v>12</v>
      </c>
      <c r="J756" s="12" t="n">
        <v>7</v>
      </c>
      <c r="K756" s="12" t="n">
        <v>0</v>
      </c>
      <c r="L756" s="12" t="n">
        <v>0</v>
      </c>
      <c r="M756" s="12" t="n">
        <v>33</v>
      </c>
      <c r="N756" s="12" t="n">
        <v>33</v>
      </c>
      <c r="O756" s="12" t="n">
        <v>501</v>
      </c>
      <c r="P756" s="16" t="n">
        <f aca="false">O756/3</f>
        <v>167</v>
      </c>
      <c r="Q756" s="17" t="str">
        <f aca="false">INT(O756/3)&amp;"."&amp;MOD(O756,3)</f>
        <v>167.0</v>
      </c>
      <c r="R756" s="12" t="n">
        <v>143</v>
      </c>
      <c r="S756" s="12" t="n">
        <v>81</v>
      </c>
      <c r="T756" s="12" t="n">
        <v>79</v>
      </c>
      <c r="U756" s="12" t="n">
        <v>20</v>
      </c>
      <c r="V756" s="12" t="n">
        <v>74</v>
      </c>
      <c r="W756" s="12" t="n">
        <v>108</v>
      </c>
      <c r="X756" s="12" t="n">
        <v>4</v>
      </c>
      <c r="Y756" s="18" t="n">
        <f aca="false">IF(O756=0,0,T756*27/O756)</f>
        <v>4.25748502994012</v>
      </c>
      <c r="Z756" s="18" t="n">
        <f aca="false">IF(P756=0,0,(V756+R756)/P756)</f>
        <v>1.29940119760479</v>
      </c>
      <c r="AA756" s="18" t="n">
        <f aca="false">IF(O756=0,0,W756*27/O756)</f>
        <v>5.82035928143713</v>
      </c>
      <c r="AB756" s="18" t="n">
        <f aca="false">IF(O756=0,0,V756*27/O756)</f>
        <v>3.98802395209581</v>
      </c>
      <c r="AC756" s="18" t="n">
        <f aca="false">IF(V756=0,0,W756/V756)</f>
        <v>1.45945945945946</v>
      </c>
      <c r="AD756" s="18" t="n">
        <f aca="false">IF(P756=0,0,(13*U756+3*(V756+X756)-2*W756)/P756+INDEX(球季參數!$C$2:$C$4,MATCH($A756,球季參數!$A$2:$A$4,0)))</f>
        <v>4.74467065868264</v>
      </c>
      <c r="AE756" s="11" t="n">
        <f aca="false">IF(P756&gt;=INDEX(球季參數!$F$2:$F$4,MATCH($A756,球季參數!$A$2:$A$4,0)),1,0)</f>
        <v>1</v>
      </c>
    </row>
    <row r="757" customFormat="false" ht="15" hidden="false" customHeight="false" outlineLevel="0" collapsed="false">
      <c r="A757" s="5" t="n">
        <v>2026</v>
      </c>
      <c r="B757" s="7" t="s">
        <v>1107</v>
      </c>
      <c r="C757" s="10" t="str">
        <f aca="false">INDEX(球員主檔!$B$2:$B$749,MATCH($B757,球員主檔!$A$2:$A$749,0))</f>
        <v>Osvaldo Lindquist</v>
      </c>
      <c r="D757" s="7" t="s">
        <v>404</v>
      </c>
      <c r="E757" s="10" t="str">
        <f aca="false">INDEX(球隊主檔!$C$2:$C$31,MATCH($D757,球隊主檔!$A$2:$A$31,0))</f>
        <v>亞特蘭大勇士</v>
      </c>
      <c r="F757" s="10" t="str">
        <f aca="false">INDEX(球隊主檔!$D$2:$D$31,MATCH($D757,球隊主檔!$A$2:$A$31,0))</f>
        <v>國聯</v>
      </c>
      <c r="G757" s="7" t="s">
        <v>507</v>
      </c>
      <c r="H757" s="11" t="n">
        <f aca="false">INT((DATE($A757,7,1)-INDEX(球員主檔!$G$2:$G$749,MATCH($B757,球員主檔!$A$2:$A$749,0)))/365.25)</f>
        <v>28</v>
      </c>
      <c r="I757" s="12" t="n">
        <v>7</v>
      </c>
      <c r="J757" s="12" t="n">
        <v>0</v>
      </c>
      <c r="K757" s="12" t="n">
        <v>39</v>
      </c>
      <c r="L757" s="12" t="n">
        <v>1</v>
      </c>
      <c r="M757" s="12" t="n">
        <v>68</v>
      </c>
      <c r="N757" s="12" t="n">
        <v>0</v>
      </c>
      <c r="O757" s="12" t="n">
        <v>202</v>
      </c>
      <c r="P757" s="16" t="n">
        <f aca="false">O757/3</f>
        <v>67.3333333333333</v>
      </c>
      <c r="Q757" s="17" t="str">
        <f aca="false">INT(O757/3)&amp;"."&amp;MOD(O757,3)</f>
        <v>67.1</v>
      </c>
      <c r="R757" s="12" t="n">
        <v>60</v>
      </c>
      <c r="S757" s="12" t="n">
        <v>32</v>
      </c>
      <c r="T757" s="12" t="n">
        <v>31</v>
      </c>
      <c r="U757" s="12" t="n">
        <v>10</v>
      </c>
      <c r="V757" s="12" t="n">
        <v>36</v>
      </c>
      <c r="W757" s="12" t="n">
        <v>69</v>
      </c>
      <c r="X757" s="12" t="n">
        <v>2</v>
      </c>
      <c r="Y757" s="18" t="n">
        <f aca="false">IF(O757=0,0,T757*27/O757)</f>
        <v>4.14356435643564</v>
      </c>
      <c r="Z757" s="18" t="n">
        <f aca="false">IF(P757=0,0,(V757+R757)/P757)</f>
        <v>1.42574257425743</v>
      </c>
      <c r="AA757" s="18" t="n">
        <f aca="false">IF(O757=0,0,W757*27/O757)</f>
        <v>9.22277227722772</v>
      </c>
      <c r="AB757" s="18" t="n">
        <f aca="false">IF(O757=0,0,V757*27/O757)</f>
        <v>4.81188118811881</v>
      </c>
      <c r="AC757" s="18" t="n">
        <f aca="false">IF(V757=0,0,W757/V757)</f>
        <v>1.91666666666667</v>
      </c>
      <c r="AD757" s="18" t="n">
        <f aca="false">IF(P757=0,0,(13*U757+3*(V757+X757)-2*W757)/P757+INDEX(球季參數!$C$2:$C$4,MATCH($A757,球季參數!$A$2:$A$4,0)))</f>
        <v>4.65425742574258</v>
      </c>
      <c r="AE757" s="11" t="n">
        <f aca="false">IF(P757&gt;=INDEX(球季參數!$F$2:$F$4,MATCH($A757,球季參數!$A$2:$A$4,0)),1,0)</f>
        <v>0</v>
      </c>
    </row>
    <row r="758" customFormat="false" ht="15" hidden="false" customHeight="false" outlineLevel="0" collapsed="false">
      <c r="A758" s="5" t="n">
        <v>2026</v>
      </c>
      <c r="B758" s="7" t="s">
        <v>1109</v>
      </c>
      <c r="C758" s="10" t="str">
        <f aca="false">INDEX(球員主檔!$B$2:$B$749,MATCH($B758,球員主檔!$A$2:$A$749,0))</f>
        <v>Lucien Blackwood</v>
      </c>
      <c r="D758" s="7" t="s">
        <v>404</v>
      </c>
      <c r="E758" s="10" t="str">
        <f aca="false">INDEX(球隊主檔!$C$2:$C$31,MATCH($D758,球隊主檔!$A$2:$A$31,0))</f>
        <v>亞特蘭大勇士</v>
      </c>
      <c r="F758" s="10" t="str">
        <f aca="false">INDEX(球隊主檔!$D$2:$D$31,MATCH($D758,球隊主檔!$A$2:$A$31,0))</f>
        <v>國聯</v>
      </c>
      <c r="G758" s="7" t="s">
        <v>507</v>
      </c>
      <c r="H758" s="11" t="n">
        <f aca="false">INT((DATE($A758,7,1)-INDEX(球員主檔!$G$2:$G$749,MATCH($B758,球員主檔!$A$2:$A$749,0)))/365.25)</f>
        <v>32</v>
      </c>
      <c r="I758" s="12" t="n">
        <v>5</v>
      </c>
      <c r="J758" s="12" t="n">
        <v>3</v>
      </c>
      <c r="K758" s="12" t="n">
        <v>6</v>
      </c>
      <c r="L758" s="12" t="n">
        <v>22</v>
      </c>
      <c r="M758" s="12" t="n">
        <v>40</v>
      </c>
      <c r="N758" s="12" t="n">
        <v>0</v>
      </c>
      <c r="O758" s="12" t="n">
        <v>124</v>
      </c>
      <c r="P758" s="16" t="n">
        <f aca="false">O758/3</f>
        <v>41.3333333333333</v>
      </c>
      <c r="Q758" s="17" t="str">
        <f aca="false">INT(O758/3)&amp;"."&amp;MOD(O758,3)</f>
        <v>41.1</v>
      </c>
      <c r="R758" s="12" t="n">
        <v>31</v>
      </c>
      <c r="S758" s="12" t="n">
        <v>20</v>
      </c>
      <c r="T758" s="12" t="n">
        <v>18</v>
      </c>
      <c r="U758" s="12" t="n">
        <v>4</v>
      </c>
      <c r="V758" s="12" t="n">
        <v>17</v>
      </c>
      <c r="W758" s="12" t="n">
        <v>40</v>
      </c>
      <c r="X758" s="12" t="n">
        <v>1</v>
      </c>
      <c r="Y758" s="18" t="n">
        <f aca="false">IF(O758=0,0,T758*27/O758)</f>
        <v>3.91935483870968</v>
      </c>
      <c r="Z758" s="18" t="n">
        <f aca="false">IF(P758=0,0,(V758+R758)/P758)</f>
        <v>1.16129032258065</v>
      </c>
      <c r="AA758" s="18" t="n">
        <f aca="false">IF(O758=0,0,W758*27/O758)</f>
        <v>8.70967741935484</v>
      </c>
      <c r="AB758" s="18" t="n">
        <f aca="false">IF(O758=0,0,V758*27/O758)</f>
        <v>3.70161290322581</v>
      </c>
      <c r="AC758" s="18" t="n">
        <f aca="false">IF(V758=0,0,W758/V758)</f>
        <v>2.35294117647059</v>
      </c>
      <c r="AD758" s="18" t="n">
        <f aca="false">IF(P758=0,0,(13*U758+3*(V758+X758)-2*W758)/P758+INDEX(球季參數!$C$2:$C$4,MATCH($A758,球季參數!$A$2:$A$4,0)))</f>
        <v>3.70903225806452</v>
      </c>
      <c r="AE758" s="11" t="n">
        <f aca="false">IF(P758&gt;=INDEX(球季參數!$F$2:$F$4,MATCH($A758,球季參數!$A$2:$A$4,0)),1,0)</f>
        <v>0</v>
      </c>
    </row>
    <row r="759" customFormat="false" ht="15" hidden="false" customHeight="false" outlineLevel="0" collapsed="false">
      <c r="A759" s="5" t="n">
        <v>2026</v>
      </c>
      <c r="B759" s="7" t="s">
        <v>1111</v>
      </c>
      <c r="C759" s="10" t="str">
        <f aca="false">INDEX(球員主檔!$B$2:$B$749,MATCH($B759,球員主檔!$A$2:$A$749,0))</f>
        <v>Augustin Marchetti</v>
      </c>
      <c r="D759" s="7" t="s">
        <v>404</v>
      </c>
      <c r="E759" s="10" t="str">
        <f aca="false">INDEX(球隊主檔!$C$2:$C$31,MATCH($D759,球隊主檔!$A$2:$A$31,0))</f>
        <v>亞特蘭大勇士</v>
      </c>
      <c r="F759" s="10" t="str">
        <f aca="false">INDEX(球隊主檔!$D$2:$D$31,MATCH($D759,球隊主檔!$A$2:$A$31,0))</f>
        <v>國聯</v>
      </c>
      <c r="G759" s="7" t="s">
        <v>507</v>
      </c>
      <c r="H759" s="11" t="n">
        <f aca="false">INT((DATE($A759,7,1)-INDEX(球員主檔!$G$2:$G$749,MATCH($B759,球員主檔!$A$2:$A$749,0)))/365.25)</f>
        <v>34</v>
      </c>
      <c r="I759" s="12" t="n">
        <v>4</v>
      </c>
      <c r="J759" s="12" t="n">
        <v>3</v>
      </c>
      <c r="K759" s="12" t="n">
        <v>6</v>
      </c>
      <c r="L759" s="12" t="n">
        <v>20</v>
      </c>
      <c r="M759" s="12" t="n">
        <v>57</v>
      </c>
      <c r="N759" s="12" t="n">
        <v>0</v>
      </c>
      <c r="O759" s="12" t="n">
        <v>155</v>
      </c>
      <c r="P759" s="16" t="n">
        <f aca="false">O759/3</f>
        <v>51.6666666666667</v>
      </c>
      <c r="Q759" s="17" t="str">
        <f aca="false">INT(O759/3)&amp;"."&amp;MOD(O759,3)</f>
        <v>51.2</v>
      </c>
      <c r="R759" s="12" t="n">
        <v>39</v>
      </c>
      <c r="S759" s="12" t="n">
        <v>21</v>
      </c>
      <c r="T759" s="12" t="n">
        <v>19</v>
      </c>
      <c r="U759" s="12" t="n">
        <v>4</v>
      </c>
      <c r="V759" s="12" t="n">
        <v>11</v>
      </c>
      <c r="W759" s="12" t="n">
        <v>45</v>
      </c>
      <c r="X759" s="12" t="n">
        <v>2</v>
      </c>
      <c r="Y759" s="18" t="n">
        <f aca="false">IF(O759=0,0,T759*27/O759)</f>
        <v>3.30967741935484</v>
      </c>
      <c r="Z759" s="18" t="n">
        <f aca="false">IF(P759=0,0,(V759+R759)/P759)</f>
        <v>0.967741935483871</v>
      </c>
      <c r="AA759" s="18" t="n">
        <f aca="false">IF(O759=0,0,W759*27/O759)</f>
        <v>7.83870967741936</v>
      </c>
      <c r="AB759" s="18" t="n">
        <f aca="false">IF(O759=0,0,V759*27/O759)</f>
        <v>1.91612903225806</v>
      </c>
      <c r="AC759" s="18" t="n">
        <f aca="false">IF(V759=0,0,W759/V759)</f>
        <v>4.09090909090909</v>
      </c>
      <c r="AD759" s="18" t="n">
        <f aca="false">IF(P759=0,0,(13*U759+3*(V759+X759)-2*W759)/P759+INDEX(球季參數!$C$2:$C$4,MATCH($A759,球季參數!$A$2:$A$4,0)))</f>
        <v>3.09935483870968</v>
      </c>
      <c r="AE759" s="11" t="n">
        <f aca="false">IF(P759&gt;=INDEX(球季參數!$F$2:$F$4,MATCH($A759,球季參數!$A$2:$A$4,0)),1,0)</f>
        <v>0</v>
      </c>
    </row>
    <row r="760" customFormat="false" ht="15" hidden="false" customHeight="false" outlineLevel="0" collapsed="false">
      <c r="A760" s="5" t="n">
        <v>2026</v>
      </c>
      <c r="B760" s="7" t="s">
        <v>1907</v>
      </c>
      <c r="C760" s="10" t="str">
        <f aca="false">INDEX(球員主檔!$B$2:$B$749,MATCH($B760,球員主檔!$A$2:$A$749,0))</f>
        <v>Garrison Marchetti</v>
      </c>
      <c r="D760" s="7" t="s">
        <v>404</v>
      </c>
      <c r="E760" s="10" t="str">
        <f aca="false">INDEX(球隊主檔!$C$2:$C$31,MATCH($D760,球隊主檔!$A$2:$A$31,0))</f>
        <v>亞特蘭大勇士</v>
      </c>
      <c r="F760" s="10" t="str">
        <f aca="false">INDEX(球隊主檔!$D$2:$D$31,MATCH($D760,球隊主檔!$A$2:$A$31,0))</f>
        <v>國聯</v>
      </c>
      <c r="G760" s="7" t="s">
        <v>507</v>
      </c>
      <c r="H760" s="11" t="n">
        <f aca="false">INT((DATE($A760,7,1)-INDEX(球員主檔!$G$2:$G$749,MATCH($B760,球員主檔!$A$2:$A$749,0)))/365.25)</f>
        <v>22</v>
      </c>
      <c r="I760" s="12" t="n">
        <v>8</v>
      </c>
      <c r="J760" s="12" t="n">
        <v>3</v>
      </c>
      <c r="K760" s="12" t="n">
        <v>3</v>
      </c>
      <c r="L760" s="12" t="n">
        <v>13</v>
      </c>
      <c r="M760" s="12" t="n">
        <v>60</v>
      </c>
      <c r="N760" s="12" t="n">
        <v>0</v>
      </c>
      <c r="O760" s="12" t="n">
        <v>203</v>
      </c>
      <c r="P760" s="16" t="n">
        <f aca="false">O760/3</f>
        <v>67.6666666666667</v>
      </c>
      <c r="Q760" s="17" t="str">
        <f aca="false">INT(O760/3)&amp;"."&amp;MOD(O760,3)</f>
        <v>67.2</v>
      </c>
      <c r="R760" s="12" t="n">
        <v>65</v>
      </c>
      <c r="S760" s="12" t="n">
        <v>50</v>
      </c>
      <c r="T760" s="12" t="n">
        <v>49</v>
      </c>
      <c r="U760" s="12" t="n">
        <v>4</v>
      </c>
      <c r="V760" s="12" t="n">
        <v>22</v>
      </c>
      <c r="W760" s="12" t="n">
        <v>70</v>
      </c>
      <c r="X760" s="12" t="n">
        <v>2</v>
      </c>
      <c r="Y760" s="18" t="n">
        <f aca="false">IF(O760=0,0,T760*27/O760)</f>
        <v>6.51724137931035</v>
      </c>
      <c r="Z760" s="18" t="n">
        <f aca="false">IF(P760=0,0,(V760+R760)/P760)</f>
        <v>1.28571428571429</v>
      </c>
      <c r="AA760" s="18" t="n">
        <f aca="false">IF(O760=0,0,W760*27/O760)</f>
        <v>9.31034482758621</v>
      </c>
      <c r="AB760" s="18" t="n">
        <f aca="false">IF(O760=0,0,V760*27/O760)</f>
        <v>2.92610837438424</v>
      </c>
      <c r="AC760" s="18" t="n">
        <f aca="false">IF(V760=0,0,W760/V760)</f>
        <v>3.18181818181818</v>
      </c>
      <c r="AD760" s="18" t="n">
        <f aca="false">IF(P760=0,0,(13*U760+3*(V760+X760)-2*W760)/P760+INDEX(球季參數!$C$2:$C$4,MATCH($A760,球季參數!$A$2:$A$4,0)))</f>
        <v>2.84354679802956</v>
      </c>
      <c r="AE760" s="11" t="n">
        <f aca="false">IF(P760&gt;=INDEX(球季參數!$F$2:$F$4,MATCH($A760,球季參數!$A$2:$A$4,0)),1,0)</f>
        <v>0</v>
      </c>
    </row>
    <row r="761" customFormat="false" ht="15" hidden="false" customHeight="false" outlineLevel="0" collapsed="false">
      <c r="A761" s="5" t="n">
        <v>2026</v>
      </c>
      <c r="B761" s="7" t="s">
        <v>823</v>
      </c>
      <c r="C761" s="10" t="str">
        <f aca="false">INDEX(球員主檔!$B$2:$B$749,MATCH($B761,球員主檔!$A$2:$A$749,0))</f>
        <v>Cedric Vandermeer</v>
      </c>
      <c r="D761" s="7" t="s">
        <v>404</v>
      </c>
      <c r="E761" s="10" t="str">
        <f aca="false">INDEX(球隊主檔!$C$2:$C$31,MATCH($D761,球隊主檔!$A$2:$A$31,0))</f>
        <v>亞特蘭大勇士</v>
      </c>
      <c r="F761" s="10" t="str">
        <f aca="false">INDEX(球隊主檔!$D$2:$D$31,MATCH($D761,球隊主檔!$A$2:$A$31,0))</f>
        <v>國聯</v>
      </c>
      <c r="G761" s="7" t="s">
        <v>507</v>
      </c>
      <c r="H761" s="11" t="n">
        <f aca="false">INT((DATE($A761,7,1)-INDEX(球員主檔!$G$2:$G$749,MATCH($B761,球員主檔!$A$2:$A$749,0)))/365.25)</f>
        <v>35</v>
      </c>
      <c r="I761" s="12" t="n">
        <v>9</v>
      </c>
      <c r="J761" s="12" t="n">
        <v>3</v>
      </c>
      <c r="K761" s="12" t="n">
        <v>4</v>
      </c>
      <c r="L761" s="12" t="n">
        <v>14</v>
      </c>
      <c r="M761" s="12" t="n">
        <v>52</v>
      </c>
      <c r="N761" s="12" t="n">
        <v>0</v>
      </c>
      <c r="O761" s="12" t="n">
        <v>158</v>
      </c>
      <c r="P761" s="16" t="n">
        <f aca="false">O761/3</f>
        <v>52.6666666666667</v>
      </c>
      <c r="Q761" s="17" t="str">
        <f aca="false">INT(O761/3)&amp;"."&amp;MOD(O761,3)</f>
        <v>52.2</v>
      </c>
      <c r="R761" s="12" t="n">
        <v>53</v>
      </c>
      <c r="S761" s="12" t="n">
        <v>35</v>
      </c>
      <c r="T761" s="12" t="n">
        <v>35</v>
      </c>
      <c r="U761" s="12" t="n">
        <v>8</v>
      </c>
      <c r="V761" s="12" t="n">
        <v>18</v>
      </c>
      <c r="W761" s="12" t="n">
        <v>36</v>
      </c>
      <c r="X761" s="12" t="n">
        <v>2</v>
      </c>
      <c r="Y761" s="18" t="n">
        <f aca="false">IF(O761=0,0,T761*27/O761)</f>
        <v>5.98101265822785</v>
      </c>
      <c r="Z761" s="18" t="n">
        <f aca="false">IF(P761=0,0,(V761+R761)/P761)</f>
        <v>1.34810126582278</v>
      </c>
      <c r="AA761" s="18" t="n">
        <f aca="false">IF(O761=0,0,W761*27/O761)</f>
        <v>6.15189873417722</v>
      </c>
      <c r="AB761" s="18" t="n">
        <f aca="false">IF(O761=0,0,V761*27/O761)</f>
        <v>3.07594936708861</v>
      </c>
      <c r="AC761" s="18" t="n">
        <f aca="false">IF(V761=0,0,W761/V761)</f>
        <v>2</v>
      </c>
      <c r="AD761" s="18" t="n">
        <f aca="false">IF(P761=0,0,(13*U761+3*(V761+X761)-2*W761)/P761+INDEX(球季參數!$C$2:$C$4,MATCH($A761,球季參數!$A$2:$A$4,0)))</f>
        <v>4.82683544303798</v>
      </c>
      <c r="AE761" s="11" t="n">
        <f aca="false">IF(P761&gt;=INDEX(球季參數!$F$2:$F$4,MATCH($A761,球季參數!$A$2:$A$4,0)),1,0)</f>
        <v>0</v>
      </c>
    </row>
    <row r="762" customFormat="false" ht="15" hidden="false" customHeight="false" outlineLevel="0" collapsed="false">
      <c r="A762" s="5" t="n">
        <v>2026</v>
      </c>
      <c r="B762" s="7" t="s">
        <v>1137</v>
      </c>
      <c r="C762" s="10" t="str">
        <f aca="false">INDEX(球員主檔!$B$2:$B$749,MATCH($B762,球員主檔!$A$2:$A$749,0))</f>
        <v>Oakley Wexford</v>
      </c>
      <c r="D762" s="7" t="s">
        <v>410</v>
      </c>
      <c r="E762" s="10" t="str">
        <f aca="false">INDEX(球隊主檔!$C$2:$C$31,MATCH($D762,球隊主檔!$A$2:$A$31,0))</f>
        <v>邁阿密馬林魚</v>
      </c>
      <c r="F762" s="10" t="str">
        <f aca="false">INDEX(球隊主檔!$D$2:$D$31,MATCH($D762,球隊主檔!$A$2:$A$31,0))</f>
        <v>國聯</v>
      </c>
      <c r="G762" s="7" t="s">
        <v>496</v>
      </c>
      <c r="H762" s="11" t="n">
        <f aca="false">INT((DATE($A762,7,1)-INDEX(球員主檔!$G$2:$G$749,MATCH($B762,球員主檔!$A$2:$A$749,0)))/365.25)</f>
        <v>27</v>
      </c>
      <c r="I762" s="12" t="n">
        <v>11</v>
      </c>
      <c r="J762" s="12" t="n">
        <v>8</v>
      </c>
      <c r="K762" s="12" t="n">
        <v>0</v>
      </c>
      <c r="L762" s="12" t="n">
        <v>0</v>
      </c>
      <c r="M762" s="12" t="n">
        <v>27</v>
      </c>
      <c r="N762" s="12" t="n">
        <v>27</v>
      </c>
      <c r="O762" s="12" t="n">
        <v>428</v>
      </c>
      <c r="P762" s="16" t="n">
        <f aca="false">O762/3</f>
        <v>142.666666666667</v>
      </c>
      <c r="Q762" s="17" t="str">
        <f aca="false">INT(O762/3)&amp;"."&amp;MOD(O762,3)</f>
        <v>142.2</v>
      </c>
      <c r="R762" s="12" t="n">
        <v>119</v>
      </c>
      <c r="S762" s="12" t="n">
        <v>68</v>
      </c>
      <c r="T762" s="12" t="n">
        <v>65</v>
      </c>
      <c r="U762" s="12" t="n">
        <v>17</v>
      </c>
      <c r="V762" s="12" t="n">
        <v>73</v>
      </c>
      <c r="W762" s="12" t="n">
        <v>117</v>
      </c>
      <c r="X762" s="12" t="n">
        <v>8</v>
      </c>
      <c r="Y762" s="18" t="n">
        <f aca="false">IF(O762=0,0,T762*27/O762)</f>
        <v>4.10046728971963</v>
      </c>
      <c r="Z762" s="18" t="n">
        <f aca="false">IF(P762=0,0,(V762+R762)/P762)</f>
        <v>1.34579439252336</v>
      </c>
      <c r="AA762" s="18" t="n">
        <f aca="false">IF(O762=0,0,W762*27/O762)</f>
        <v>7.38084112149533</v>
      </c>
      <c r="AB762" s="18" t="n">
        <f aca="false">IF(O762=0,0,V762*27/O762)</f>
        <v>4.60514018691589</v>
      </c>
      <c r="AC762" s="18" t="n">
        <f aca="false">IF(V762=0,0,W762/V762)</f>
        <v>1.6027397260274</v>
      </c>
      <c r="AD762" s="18" t="n">
        <f aca="false">IF(P762=0,0,(13*U762+3*(V762+X762)-2*W762)/P762+INDEX(球季參數!$C$2:$C$4,MATCH($A762,球季參數!$A$2:$A$4,0)))</f>
        <v>4.69214953271028</v>
      </c>
      <c r="AE762" s="11" t="n">
        <f aca="false">IF(P762&gt;=INDEX(球季參數!$F$2:$F$4,MATCH($A762,球季參數!$A$2:$A$4,0)),1,0)</f>
        <v>0</v>
      </c>
    </row>
    <row r="763" customFormat="false" ht="15" hidden="false" customHeight="false" outlineLevel="0" collapsed="false">
      <c r="A763" s="5" t="n">
        <v>2026</v>
      </c>
      <c r="B763" s="7" t="s">
        <v>1753</v>
      </c>
      <c r="C763" s="10" t="str">
        <f aca="false">INDEX(球員主檔!$B$2:$B$749,MATCH($B763,球員主檔!$A$2:$A$749,0))</f>
        <v>Benedikt Kowalczyk</v>
      </c>
      <c r="D763" s="7" t="s">
        <v>410</v>
      </c>
      <c r="E763" s="10" t="str">
        <f aca="false">INDEX(球隊主檔!$C$2:$C$31,MATCH($D763,球隊主檔!$A$2:$A$31,0))</f>
        <v>邁阿密馬林魚</v>
      </c>
      <c r="F763" s="10" t="str">
        <f aca="false">INDEX(球隊主檔!$D$2:$D$31,MATCH($D763,球隊主檔!$A$2:$A$31,0))</f>
        <v>國聯</v>
      </c>
      <c r="G763" s="7" t="s">
        <v>496</v>
      </c>
      <c r="H763" s="11" t="n">
        <f aca="false">INT((DATE($A763,7,1)-INDEX(球員主檔!$G$2:$G$749,MATCH($B763,球員主檔!$A$2:$A$749,0)))/365.25)</f>
        <v>26</v>
      </c>
      <c r="I763" s="12" t="n">
        <v>12</v>
      </c>
      <c r="J763" s="12" t="n">
        <v>5</v>
      </c>
      <c r="K763" s="12" t="n">
        <v>0</v>
      </c>
      <c r="L763" s="12" t="n">
        <v>0</v>
      </c>
      <c r="M763" s="12" t="n">
        <v>31</v>
      </c>
      <c r="N763" s="12" t="n">
        <v>31</v>
      </c>
      <c r="O763" s="12" t="n">
        <v>529</v>
      </c>
      <c r="P763" s="16" t="n">
        <f aca="false">O763/3</f>
        <v>176.333333333333</v>
      </c>
      <c r="Q763" s="17" t="str">
        <f aca="false">INT(O763/3)&amp;"."&amp;MOD(O763,3)</f>
        <v>176.1</v>
      </c>
      <c r="R763" s="12" t="n">
        <v>151</v>
      </c>
      <c r="S763" s="12" t="n">
        <v>92</v>
      </c>
      <c r="T763" s="12" t="n">
        <v>82</v>
      </c>
      <c r="U763" s="12" t="n">
        <v>18</v>
      </c>
      <c r="V763" s="12" t="n">
        <v>79</v>
      </c>
      <c r="W763" s="12" t="n">
        <v>148</v>
      </c>
      <c r="X763" s="12" t="n">
        <v>4</v>
      </c>
      <c r="Y763" s="18" t="n">
        <f aca="false">IF(O763=0,0,T763*27/O763)</f>
        <v>4.18525519848771</v>
      </c>
      <c r="Z763" s="18" t="n">
        <f aca="false">IF(P763=0,0,(V763+R763)/P763)</f>
        <v>1.30434782608696</v>
      </c>
      <c r="AA763" s="18" t="n">
        <f aca="false">IF(O763=0,0,W763*27/O763)</f>
        <v>7.5538752362949</v>
      </c>
      <c r="AB763" s="18" t="n">
        <f aca="false">IF(O763=0,0,V763*27/O763)</f>
        <v>4.03213610586011</v>
      </c>
      <c r="AC763" s="18" t="n">
        <f aca="false">IF(V763=0,0,W763/V763)</f>
        <v>1.87341772151899</v>
      </c>
      <c r="AD763" s="18" t="n">
        <f aca="false">IF(P763=0,0,(13*U763+3*(V763+X763)-2*W763)/P763+INDEX(球季參數!$C$2:$C$4,MATCH($A763,球季參數!$A$2:$A$4,0)))</f>
        <v>4.14049149338374</v>
      </c>
      <c r="AE763" s="11" t="n">
        <f aca="false">IF(P763&gt;=INDEX(球季參數!$F$2:$F$4,MATCH($A763,球季參數!$A$2:$A$4,0)),1,0)</f>
        <v>1</v>
      </c>
    </row>
    <row r="764" customFormat="false" ht="15" hidden="false" customHeight="false" outlineLevel="0" collapsed="false">
      <c r="A764" s="5" t="n">
        <v>2026</v>
      </c>
      <c r="B764" s="7" t="s">
        <v>1141</v>
      </c>
      <c r="C764" s="10" t="str">
        <f aca="false">INDEX(球員主檔!$B$2:$B$749,MATCH($B764,球員主檔!$A$2:$A$749,0))</f>
        <v>Benedikt Zamarripa</v>
      </c>
      <c r="D764" s="7" t="s">
        <v>410</v>
      </c>
      <c r="E764" s="10" t="str">
        <f aca="false">INDEX(球隊主檔!$C$2:$C$31,MATCH($D764,球隊主檔!$A$2:$A$31,0))</f>
        <v>邁阿密馬林魚</v>
      </c>
      <c r="F764" s="10" t="str">
        <f aca="false">INDEX(球隊主檔!$D$2:$D$31,MATCH($D764,球隊主檔!$A$2:$A$31,0))</f>
        <v>國聯</v>
      </c>
      <c r="G764" s="7" t="s">
        <v>496</v>
      </c>
      <c r="H764" s="11" t="n">
        <f aca="false">INT((DATE($A764,7,1)-INDEX(球員主檔!$G$2:$G$749,MATCH($B764,球員主檔!$A$2:$A$749,0)))/365.25)</f>
        <v>32</v>
      </c>
      <c r="I764" s="12" t="n">
        <v>10</v>
      </c>
      <c r="J764" s="12" t="n">
        <v>5</v>
      </c>
      <c r="K764" s="12" t="n">
        <v>0</v>
      </c>
      <c r="L764" s="12" t="n">
        <v>0</v>
      </c>
      <c r="M764" s="12" t="n">
        <v>22</v>
      </c>
      <c r="N764" s="12" t="n">
        <v>22</v>
      </c>
      <c r="O764" s="12" t="n">
        <v>394</v>
      </c>
      <c r="P764" s="16" t="n">
        <f aca="false">O764/3</f>
        <v>131.333333333333</v>
      </c>
      <c r="Q764" s="17" t="str">
        <f aca="false">INT(O764/3)&amp;"."&amp;MOD(O764,3)</f>
        <v>131.1</v>
      </c>
      <c r="R764" s="12" t="n">
        <v>118</v>
      </c>
      <c r="S764" s="12" t="n">
        <v>61</v>
      </c>
      <c r="T764" s="12" t="n">
        <v>60</v>
      </c>
      <c r="U764" s="12" t="n">
        <v>17</v>
      </c>
      <c r="V764" s="12" t="n">
        <v>57</v>
      </c>
      <c r="W764" s="12" t="n">
        <v>131</v>
      </c>
      <c r="X764" s="12" t="n">
        <v>7</v>
      </c>
      <c r="Y764" s="18" t="n">
        <f aca="false">IF(O764=0,0,T764*27/O764)</f>
        <v>4.11167512690355</v>
      </c>
      <c r="Z764" s="18" t="n">
        <f aca="false">IF(P764=0,0,(V764+R764)/P764)</f>
        <v>1.33248730964467</v>
      </c>
      <c r="AA764" s="18" t="n">
        <f aca="false">IF(O764=0,0,W764*27/O764)</f>
        <v>8.97715736040609</v>
      </c>
      <c r="AB764" s="18" t="n">
        <f aca="false">IF(O764=0,0,V764*27/O764)</f>
        <v>3.90609137055838</v>
      </c>
      <c r="AC764" s="18" t="n">
        <f aca="false">IF(V764=0,0,W764/V764)</f>
        <v>2.29824561403509</v>
      </c>
      <c r="AD764" s="18" t="n">
        <f aca="false">IF(P764=0,0,(13*U764+3*(V764+X764)-2*W764)/P764+INDEX(球季參數!$C$2:$C$4,MATCH($A764,球季參數!$A$2:$A$4,0)))</f>
        <v>4.2297461928934</v>
      </c>
      <c r="AE764" s="11" t="n">
        <f aca="false">IF(P764&gt;=INDEX(球季參數!$F$2:$F$4,MATCH($A764,球季參數!$A$2:$A$4,0)),1,0)</f>
        <v>0</v>
      </c>
    </row>
    <row r="765" customFormat="false" ht="15" hidden="false" customHeight="false" outlineLevel="0" collapsed="false">
      <c r="A765" s="5" t="n">
        <v>2026</v>
      </c>
      <c r="B765" s="7" t="s">
        <v>1143</v>
      </c>
      <c r="C765" s="10" t="str">
        <f aca="false">INDEX(球員主檔!$B$2:$B$749,MATCH($B765,球員主檔!$A$2:$A$749,0))</f>
        <v>Minjae Esquivel</v>
      </c>
      <c r="D765" s="7" t="s">
        <v>410</v>
      </c>
      <c r="E765" s="10" t="str">
        <f aca="false">INDEX(球隊主檔!$C$2:$C$31,MATCH($D765,球隊主檔!$A$2:$A$31,0))</f>
        <v>邁阿密馬林魚</v>
      </c>
      <c r="F765" s="10" t="str">
        <f aca="false">INDEX(球隊主檔!$D$2:$D$31,MATCH($D765,球隊主檔!$A$2:$A$31,0))</f>
        <v>國聯</v>
      </c>
      <c r="G765" s="7" t="s">
        <v>496</v>
      </c>
      <c r="H765" s="11" t="n">
        <f aca="false">INT((DATE($A765,7,1)-INDEX(球員主檔!$G$2:$G$749,MATCH($B765,球員主檔!$A$2:$A$749,0)))/365.25)</f>
        <v>25</v>
      </c>
      <c r="I765" s="12" t="n">
        <v>11</v>
      </c>
      <c r="J765" s="12" t="n">
        <v>8</v>
      </c>
      <c r="K765" s="12" t="n">
        <v>0</v>
      </c>
      <c r="L765" s="12" t="n">
        <v>0</v>
      </c>
      <c r="M765" s="12" t="n">
        <v>32</v>
      </c>
      <c r="N765" s="12" t="n">
        <v>32</v>
      </c>
      <c r="O765" s="12" t="n">
        <v>511</v>
      </c>
      <c r="P765" s="16" t="n">
        <f aca="false">O765/3</f>
        <v>170.333333333333</v>
      </c>
      <c r="Q765" s="17" t="str">
        <f aca="false">INT(O765/3)&amp;"."&amp;MOD(O765,3)</f>
        <v>170.1</v>
      </c>
      <c r="R765" s="12" t="n">
        <v>156</v>
      </c>
      <c r="S765" s="12" t="n">
        <v>84</v>
      </c>
      <c r="T765" s="12" t="n">
        <v>84</v>
      </c>
      <c r="U765" s="12" t="n">
        <v>28</v>
      </c>
      <c r="V765" s="12" t="n">
        <v>46</v>
      </c>
      <c r="W765" s="12" t="n">
        <v>152</v>
      </c>
      <c r="X765" s="12" t="n">
        <v>10</v>
      </c>
      <c r="Y765" s="18" t="n">
        <f aca="false">IF(O765=0,0,T765*27/O765)</f>
        <v>4.43835616438356</v>
      </c>
      <c r="Z765" s="18" t="n">
        <f aca="false">IF(P765=0,0,(V765+R765)/P765)</f>
        <v>1.18590998043053</v>
      </c>
      <c r="AA765" s="18" t="n">
        <f aca="false">IF(O765=0,0,W765*27/O765)</f>
        <v>8.03131115459883</v>
      </c>
      <c r="AB765" s="18" t="n">
        <f aca="false">IF(O765=0,0,V765*27/O765)</f>
        <v>2.43052837573386</v>
      </c>
      <c r="AC765" s="18" t="n">
        <f aca="false">IF(V765=0,0,W765/V765)</f>
        <v>3.30434782608696</v>
      </c>
      <c r="AD765" s="18" t="n">
        <f aca="false">IF(P765=0,0,(13*U765+3*(V765+X765)-2*W765)/P765+INDEX(球季參數!$C$2:$C$4,MATCH($A765,球季參數!$A$2:$A$4,0)))</f>
        <v>4.4185518590998</v>
      </c>
      <c r="AE765" s="11" t="n">
        <f aca="false">IF(P765&gt;=INDEX(球季參數!$F$2:$F$4,MATCH($A765,球季參數!$A$2:$A$4,0)),1,0)</f>
        <v>1</v>
      </c>
    </row>
    <row r="766" customFormat="false" ht="15" hidden="false" customHeight="false" outlineLevel="0" collapsed="false">
      <c r="A766" s="5" t="n">
        <v>2026</v>
      </c>
      <c r="B766" s="7" t="s">
        <v>1909</v>
      </c>
      <c r="C766" s="10" t="str">
        <f aca="false">INDEX(球員主檔!$B$2:$B$749,MATCH($B766,球員主檔!$A$2:$A$749,0))</f>
        <v>Matthias Fontaine</v>
      </c>
      <c r="D766" s="7" t="s">
        <v>410</v>
      </c>
      <c r="E766" s="10" t="str">
        <f aca="false">INDEX(球隊主檔!$C$2:$C$31,MATCH($D766,球隊主檔!$A$2:$A$31,0))</f>
        <v>邁阿密馬林魚</v>
      </c>
      <c r="F766" s="10" t="str">
        <f aca="false">INDEX(球隊主檔!$D$2:$D$31,MATCH($D766,球隊主檔!$A$2:$A$31,0))</f>
        <v>國聯</v>
      </c>
      <c r="G766" s="7" t="s">
        <v>496</v>
      </c>
      <c r="H766" s="11" t="n">
        <f aca="false">INT((DATE($A766,7,1)-INDEX(球員主檔!$G$2:$G$749,MATCH($B766,球員主檔!$A$2:$A$749,0)))/365.25)</f>
        <v>23</v>
      </c>
      <c r="I766" s="12" t="n">
        <v>15</v>
      </c>
      <c r="J766" s="12" t="n">
        <v>7</v>
      </c>
      <c r="K766" s="12" t="n">
        <v>0</v>
      </c>
      <c r="L766" s="12" t="n">
        <v>0</v>
      </c>
      <c r="M766" s="12" t="n">
        <v>32</v>
      </c>
      <c r="N766" s="12" t="n">
        <v>32</v>
      </c>
      <c r="O766" s="12" t="n">
        <v>498</v>
      </c>
      <c r="P766" s="16" t="n">
        <f aca="false">O766/3</f>
        <v>166</v>
      </c>
      <c r="Q766" s="17" t="str">
        <f aca="false">INT(O766/3)&amp;"."&amp;MOD(O766,3)</f>
        <v>166.0</v>
      </c>
      <c r="R766" s="12" t="n">
        <v>134</v>
      </c>
      <c r="S766" s="12" t="n">
        <v>75</v>
      </c>
      <c r="T766" s="12" t="n">
        <v>66</v>
      </c>
      <c r="U766" s="12" t="n">
        <v>16</v>
      </c>
      <c r="V766" s="12" t="n">
        <v>68</v>
      </c>
      <c r="W766" s="12" t="n">
        <v>125</v>
      </c>
      <c r="X766" s="12" t="n">
        <v>3</v>
      </c>
      <c r="Y766" s="18" t="n">
        <f aca="false">IF(O766=0,0,T766*27/O766)</f>
        <v>3.57831325301205</v>
      </c>
      <c r="Z766" s="18" t="n">
        <f aca="false">IF(P766=0,0,(V766+R766)/P766)</f>
        <v>1.21686746987952</v>
      </c>
      <c r="AA766" s="18" t="n">
        <f aca="false">IF(O766=0,0,W766*27/O766)</f>
        <v>6.77710843373494</v>
      </c>
      <c r="AB766" s="18" t="n">
        <f aca="false">IF(O766=0,0,V766*27/O766)</f>
        <v>3.68674698795181</v>
      </c>
      <c r="AC766" s="18" t="n">
        <f aca="false">IF(V766=0,0,W766/V766)</f>
        <v>1.83823529411765</v>
      </c>
      <c r="AD766" s="18" t="n">
        <f aca="false">IF(P766=0,0,(13*U766+3*(V766+X766)-2*W766)/P766+INDEX(球季參數!$C$2:$C$4,MATCH($A766,球季參數!$A$2:$A$4,0)))</f>
        <v>4.11012048192771</v>
      </c>
      <c r="AE766" s="11" t="n">
        <f aca="false">IF(P766&gt;=INDEX(球季參數!$F$2:$F$4,MATCH($A766,球季參數!$A$2:$A$4,0)),1,0)</f>
        <v>1</v>
      </c>
    </row>
    <row r="767" customFormat="false" ht="15" hidden="false" customHeight="false" outlineLevel="0" collapsed="false">
      <c r="A767" s="5" t="n">
        <v>2026</v>
      </c>
      <c r="B767" s="7" t="s">
        <v>1911</v>
      </c>
      <c r="C767" s="10" t="str">
        <f aca="false">INDEX(球員主檔!$B$2:$B$749,MATCH($B767,球員主檔!$A$2:$A$749,0))</f>
        <v>Desmond Thorsby</v>
      </c>
      <c r="D767" s="7" t="s">
        <v>410</v>
      </c>
      <c r="E767" s="10" t="str">
        <f aca="false">INDEX(球隊主檔!$C$2:$C$31,MATCH($D767,球隊主檔!$A$2:$A$31,0))</f>
        <v>邁阿密馬林魚</v>
      </c>
      <c r="F767" s="10" t="str">
        <f aca="false">INDEX(球隊主檔!$D$2:$D$31,MATCH($D767,球隊主檔!$A$2:$A$31,0))</f>
        <v>國聯</v>
      </c>
      <c r="G767" s="7" t="s">
        <v>507</v>
      </c>
      <c r="H767" s="11" t="n">
        <f aca="false">INT((DATE($A767,7,1)-INDEX(球員主檔!$G$2:$G$749,MATCH($B767,球員主檔!$A$2:$A$749,0)))/365.25)</f>
        <v>23</v>
      </c>
      <c r="I767" s="12" t="n">
        <v>5</v>
      </c>
      <c r="J767" s="12" t="n">
        <v>5</v>
      </c>
      <c r="K767" s="12" t="n">
        <v>40</v>
      </c>
      <c r="L767" s="12" t="n">
        <v>5</v>
      </c>
      <c r="M767" s="12" t="n">
        <v>75</v>
      </c>
      <c r="N767" s="12" t="n">
        <v>0</v>
      </c>
      <c r="O767" s="12" t="n">
        <v>221</v>
      </c>
      <c r="P767" s="16" t="n">
        <f aca="false">O767/3</f>
        <v>73.6666666666667</v>
      </c>
      <c r="Q767" s="17" t="str">
        <f aca="false">INT(O767/3)&amp;"."&amp;MOD(O767,3)</f>
        <v>73.2</v>
      </c>
      <c r="R767" s="12" t="n">
        <v>63</v>
      </c>
      <c r="S767" s="12" t="n">
        <v>34</v>
      </c>
      <c r="T767" s="12" t="n">
        <v>33</v>
      </c>
      <c r="U767" s="12" t="n">
        <v>16</v>
      </c>
      <c r="V767" s="12" t="n">
        <v>18</v>
      </c>
      <c r="W767" s="12" t="n">
        <v>78</v>
      </c>
      <c r="X767" s="12" t="n">
        <v>4</v>
      </c>
      <c r="Y767" s="18" t="n">
        <f aca="false">IF(O767=0,0,T767*27/O767)</f>
        <v>4.0316742081448</v>
      </c>
      <c r="Z767" s="18" t="n">
        <f aca="false">IF(P767=0,0,(V767+R767)/P767)</f>
        <v>1.09954751131222</v>
      </c>
      <c r="AA767" s="18" t="n">
        <f aca="false">IF(O767=0,0,W767*27/O767)</f>
        <v>9.52941176470588</v>
      </c>
      <c r="AB767" s="18" t="n">
        <f aca="false">IF(O767=0,0,V767*27/O767)</f>
        <v>2.19909502262443</v>
      </c>
      <c r="AC767" s="18" t="n">
        <f aca="false">IF(V767=0,0,W767/V767)</f>
        <v>4.33333333333333</v>
      </c>
      <c r="AD767" s="18" t="n">
        <f aca="false">IF(P767=0,0,(13*U767+3*(V767+X767)-2*W767)/P767+INDEX(球季參數!$C$2:$C$4,MATCH($A767,球季參數!$A$2:$A$4,0)))</f>
        <v>4.68180995475113</v>
      </c>
      <c r="AE767" s="11" t="n">
        <f aca="false">IF(P767&gt;=INDEX(球季參數!$F$2:$F$4,MATCH($A767,球季參數!$A$2:$A$4,0)),1,0)</f>
        <v>0</v>
      </c>
    </row>
    <row r="768" customFormat="false" ht="15" hidden="false" customHeight="false" outlineLevel="0" collapsed="false">
      <c r="A768" s="5" t="n">
        <v>2026</v>
      </c>
      <c r="B768" s="7" t="s">
        <v>1149</v>
      </c>
      <c r="C768" s="10" t="str">
        <f aca="false">INDEX(球員主檔!$B$2:$B$749,MATCH($B768,球員主檔!$A$2:$A$749,0))</f>
        <v>Bernardo Fontaine</v>
      </c>
      <c r="D768" s="7" t="s">
        <v>410</v>
      </c>
      <c r="E768" s="10" t="str">
        <f aca="false">INDEX(球隊主檔!$C$2:$C$31,MATCH($D768,球隊主檔!$A$2:$A$31,0))</f>
        <v>邁阿密馬林魚</v>
      </c>
      <c r="F768" s="10" t="str">
        <f aca="false">INDEX(球隊主檔!$D$2:$D$31,MATCH($D768,球隊主檔!$A$2:$A$31,0))</f>
        <v>國聯</v>
      </c>
      <c r="G768" s="7" t="s">
        <v>507</v>
      </c>
      <c r="H768" s="11" t="n">
        <f aca="false">INT((DATE($A768,7,1)-INDEX(球員主檔!$G$2:$G$749,MATCH($B768,球員主檔!$A$2:$A$749,0)))/365.25)</f>
        <v>28</v>
      </c>
      <c r="I768" s="12" t="n">
        <v>7</v>
      </c>
      <c r="J768" s="12" t="n">
        <v>6</v>
      </c>
      <c r="K768" s="12" t="n">
        <v>0</v>
      </c>
      <c r="L768" s="12" t="n">
        <v>30</v>
      </c>
      <c r="M768" s="12" t="n">
        <v>70</v>
      </c>
      <c r="N768" s="12" t="n">
        <v>0</v>
      </c>
      <c r="O768" s="12" t="n">
        <v>224</v>
      </c>
      <c r="P768" s="16" t="n">
        <f aca="false">O768/3</f>
        <v>74.6666666666667</v>
      </c>
      <c r="Q768" s="17" t="str">
        <f aca="false">INT(O768/3)&amp;"."&amp;MOD(O768,3)</f>
        <v>74.2</v>
      </c>
      <c r="R768" s="12" t="n">
        <v>61</v>
      </c>
      <c r="S768" s="12" t="n">
        <v>39</v>
      </c>
      <c r="T768" s="12" t="n">
        <v>35</v>
      </c>
      <c r="U768" s="12" t="n">
        <v>9</v>
      </c>
      <c r="V768" s="12" t="n">
        <v>28</v>
      </c>
      <c r="W768" s="12" t="n">
        <v>59</v>
      </c>
      <c r="X768" s="12" t="n">
        <v>2</v>
      </c>
      <c r="Y768" s="18" t="n">
        <f aca="false">IF(O768=0,0,T768*27/O768)</f>
        <v>4.21875</v>
      </c>
      <c r="Z768" s="18" t="n">
        <f aca="false">IF(P768=0,0,(V768+R768)/P768)</f>
        <v>1.19196428571429</v>
      </c>
      <c r="AA768" s="18" t="n">
        <f aca="false">IF(O768=0,0,W768*27/O768)</f>
        <v>7.11160714285714</v>
      </c>
      <c r="AB768" s="18" t="n">
        <f aca="false">IF(O768=0,0,V768*27/O768)</f>
        <v>3.375</v>
      </c>
      <c r="AC768" s="18" t="n">
        <f aca="false">IF(V768=0,0,W768/V768)</f>
        <v>2.10714285714286</v>
      </c>
      <c r="AD768" s="18" t="n">
        <f aca="false">IF(P768=0,0,(13*U768+3*(V768+X768)-2*W768)/P768+INDEX(球季參數!$C$2:$C$4,MATCH($A768,球季參數!$A$2:$A$4,0)))</f>
        <v>4.27196428571429</v>
      </c>
      <c r="AE768" s="11" t="n">
        <f aca="false">IF(P768&gt;=INDEX(球季參數!$F$2:$F$4,MATCH($A768,球季參數!$A$2:$A$4,0)),1,0)</f>
        <v>0</v>
      </c>
    </row>
    <row r="769" customFormat="false" ht="15" hidden="false" customHeight="false" outlineLevel="0" collapsed="false">
      <c r="A769" s="5" t="n">
        <v>2026</v>
      </c>
      <c r="B769" s="7" t="s">
        <v>1151</v>
      </c>
      <c r="C769" s="10" t="str">
        <f aca="false">INDEX(球員主檔!$B$2:$B$749,MATCH($B769,球員主檔!$A$2:$A$749,0))</f>
        <v>Rintaro Castellón</v>
      </c>
      <c r="D769" s="7" t="s">
        <v>410</v>
      </c>
      <c r="E769" s="10" t="str">
        <f aca="false">INDEX(球隊主檔!$C$2:$C$31,MATCH($D769,球隊主檔!$A$2:$A$31,0))</f>
        <v>邁阿密馬林魚</v>
      </c>
      <c r="F769" s="10" t="str">
        <f aca="false">INDEX(球隊主檔!$D$2:$D$31,MATCH($D769,球隊主檔!$A$2:$A$31,0))</f>
        <v>國聯</v>
      </c>
      <c r="G769" s="7" t="s">
        <v>507</v>
      </c>
      <c r="H769" s="11" t="n">
        <f aca="false">INT((DATE($A769,7,1)-INDEX(球員主檔!$G$2:$G$749,MATCH($B769,球員主檔!$A$2:$A$749,0)))/365.25)</f>
        <v>34</v>
      </c>
      <c r="I769" s="12" t="n">
        <v>1</v>
      </c>
      <c r="J769" s="12" t="n">
        <v>1</v>
      </c>
      <c r="K769" s="12" t="n">
        <v>6</v>
      </c>
      <c r="L769" s="12" t="n">
        <v>18</v>
      </c>
      <c r="M769" s="12" t="n">
        <v>68</v>
      </c>
      <c r="N769" s="12" t="n">
        <v>0</v>
      </c>
      <c r="O769" s="12" t="n">
        <v>210</v>
      </c>
      <c r="P769" s="16" t="n">
        <f aca="false">O769/3</f>
        <v>70</v>
      </c>
      <c r="Q769" s="17" t="str">
        <f aca="false">INT(O769/3)&amp;"."&amp;MOD(O769,3)</f>
        <v>70.0</v>
      </c>
      <c r="R769" s="12" t="n">
        <v>65</v>
      </c>
      <c r="S769" s="12" t="n">
        <v>38</v>
      </c>
      <c r="T769" s="12" t="n">
        <v>35</v>
      </c>
      <c r="U769" s="12" t="n">
        <v>7</v>
      </c>
      <c r="V769" s="12" t="n">
        <v>14</v>
      </c>
      <c r="W769" s="12" t="n">
        <v>61</v>
      </c>
      <c r="X769" s="12" t="n">
        <v>3</v>
      </c>
      <c r="Y769" s="18" t="n">
        <f aca="false">IF(O769=0,0,T769*27/O769)</f>
        <v>4.5</v>
      </c>
      <c r="Z769" s="18" t="n">
        <f aca="false">IF(P769=0,0,(V769+R769)/P769)</f>
        <v>1.12857142857143</v>
      </c>
      <c r="AA769" s="18" t="n">
        <f aca="false">IF(O769=0,0,W769*27/O769)</f>
        <v>7.84285714285714</v>
      </c>
      <c r="AB769" s="18" t="n">
        <f aca="false">IF(O769=0,0,V769*27/O769)</f>
        <v>1.8</v>
      </c>
      <c r="AC769" s="18" t="n">
        <f aca="false">IF(V769=0,0,W769/V769)</f>
        <v>4.35714285714286</v>
      </c>
      <c r="AD769" s="18" t="n">
        <f aca="false">IF(P769=0,0,(13*U769+3*(V769+X769)-2*W769)/P769+INDEX(球季參數!$C$2:$C$4,MATCH($A769,球季參數!$A$2:$A$4,0)))</f>
        <v>3.36571428571429</v>
      </c>
      <c r="AE769" s="11" t="n">
        <f aca="false">IF(P769&gt;=INDEX(球季參數!$F$2:$F$4,MATCH($A769,球季參數!$A$2:$A$4,0)),1,0)</f>
        <v>0</v>
      </c>
    </row>
    <row r="770" customFormat="false" ht="15" hidden="false" customHeight="false" outlineLevel="0" collapsed="false">
      <c r="A770" s="5" t="n">
        <v>2026</v>
      </c>
      <c r="B770" s="7" t="s">
        <v>1153</v>
      </c>
      <c r="C770" s="10" t="str">
        <f aca="false">INDEX(球員主檔!$B$2:$B$749,MATCH($B770,球員主檔!$A$2:$A$749,0))</f>
        <v>Soren Vandermeer</v>
      </c>
      <c r="D770" s="7" t="s">
        <v>410</v>
      </c>
      <c r="E770" s="10" t="str">
        <f aca="false">INDEX(球隊主檔!$C$2:$C$31,MATCH($D770,球隊主檔!$A$2:$A$31,0))</f>
        <v>邁阿密馬林魚</v>
      </c>
      <c r="F770" s="10" t="str">
        <f aca="false">INDEX(球隊主檔!$D$2:$D$31,MATCH($D770,球隊主檔!$A$2:$A$31,0))</f>
        <v>國聯</v>
      </c>
      <c r="G770" s="7" t="s">
        <v>507</v>
      </c>
      <c r="H770" s="11" t="n">
        <f aca="false">INT((DATE($A770,7,1)-INDEX(球員主檔!$G$2:$G$749,MATCH($B770,球員主檔!$A$2:$A$749,0)))/365.25)</f>
        <v>28</v>
      </c>
      <c r="I770" s="12" t="n">
        <v>7</v>
      </c>
      <c r="J770" s="12" t="n">
        <v>4</v>
      </c>
      <c r="K770" s="12" t="n">
        <v>3</v>
      </c>
      <c r="L770" s="12" t="n">
        <v>21</v>
      </c>
      <c r="M770" s="12" t="n">
        <v>64</v>
      </c>
      <c r="N770" s="12" t="n">
        <v>0</v>
      </c>
      <c r="O770" s="12" t="n">
        <v>204</v>
      </c>
      <c r="P770" s="16" t="n">
        <f aca="false">O770/3</f>
        <v>68</v>
      </c>
      <c r="Q770" s="17" t="str">
        <f aca="false">INT(O770/3)&amp;"."&amp;MOD(O770,3)</f>
        <v>68.0</v>
      </c>
      <c r="R770" s="12" t="n">
        <v>56</v>
      </c>
      <c r="S770" s="12" t="n">
        <v>28</v>
      </c>
      <c r="T770" s="12" t="n">
        <v>26</v>
      </c>
      <c r="U770" s="12" t="n">
        <v>9</v>
      </c>
      <c r="V770" s="12" t="n">
        <v>14</v>
      </c>
      <c r="W770" s="12" t="n">
        <v>85</v>
      </c>
      <c r="X770" s="12" t="n">
        <v>1</v>
      </c>
      <c r="Y770" s="18" t="n">
        <f aca="false">IF(O770=0,0,T770*27/O770)</f>
        <v>3.44117647058824</v>
      </c>
      <c r="Z770" s="18" t="n">
        <f aca="false">IF(P770=0,0,(V770+R770)/P770)</f>
        <v>1.02941176470588</v>
      </c>
      <c r="AA770" s="18" t="n">
        <f aca="false">IF(O770=0,0,W770*27/O770)</f>
        <v>11.25</v>
      </c>
      <c r="AB770" s="18" t="n">
        <f aca="false">IF(O770=0,0,V770*27/O770)</f>
        <v>1.85294117647059</v>
      </c>
      <c r="AC770" s="18" t="n">
        <f aca="false">IF(V770=0,0,W770/V770)</f>
        <v>6.07142857142857</v>
      </c>
      <c r="AD770" s="18" t="n">
        <f aca="false">IF(P770=0,0,(13*U770+3*(V770+X770)-2*W770)/P770+INDEX(球季參數!$C$2:$C$4,MATCH($A770,球季參數!$A$2:$A$4,0)))</f>
        <v>2.96235294117647</v>
      </c>
      <c r="AE770" s="11" t="n">
        <f aca="false">IF(P770&gt;=INDEX(球季參數!$F$2:$F$4,MATCH($A770,球季參數!$A$2:$A$4,0)),1,0)</f>
        <v>0</v>
      </c>
    </row>
    <row r="771" customFormat="false" ht="15" hidden="false" customHeight="false" outlineLevel="0" collapsed="false">
      <c r="A771" s="5" t="n">
        <v>2026</v>
      </c>
      <c r="B771" s="7" t="s">
        <v>1755</v>
      </c>
      <c r="C771" s="10" t="str">
        <f aca="false">INDEX(球員主檔!$B$2:$B$749,MATCH($B771,球員主檔!$A$2:$A$749,0))</f>
        <v>Barrett Montalvo</v>
      </c>
      <c r="D771" s="7" t="s">
        <v>410</v>
      </c>
      <c r="E771" s="10" t="str">
        <f aca="false">INDEX(球隊主檔!$C$2:$C$31,MATCH($D771,球隊主檔!$A$2:$A$31,0))</f>
        <v>邁阿密馬林魚</v>
      </c>
      <c r="F771" s="10" t="str">
        <f aca="false">INDEX(球隊主檔!$D$2:$D$31,MATCH($D771,球隊主檔!$A$2:$A$31,0))</f>
        <v>國聯</v>
      </c>
      <c r="G771" s="7" t="s">
        <v>507</v>
      </c>
      <c r="H771" s="11" t="n">
        <f aca="false">INT((DATE($A771,7,1)-INDEX(球員主檔!$G$2:$G$749,MATCH($B771,球員主檔!$A$2:$A$749,0)))/365.25)</f>
        <v>24</v>
      </c>
      <c r="I771" s="12" t="n">
        <v>9</v>
      </c>
      <c r="J771" s="12" t="n">
        <v>3</v>
      </c>
      <c r="K771" s="12" t="n">
        <v>5</v>
      </c>
      <c r="L771" s="12" t="n">
        <v>14</v>
      </c>
      <c r="M771" s="12" t="n">
        <v>40</v>
      </c>
      <c r="N771" s="12" t="n">
        <v>0</v>
      </c>
      <c r="O771" s="12" t="n">
        <v>122</v>
      </c>
      <c r="P771" s="16" t="n">
        <f aca="false">O771/3</f>
        <v>40.6666666666667</v>
      </c>
      <c r="Q771" s="17" t="str">
        <f aca="false">INT(O771/3)&amp;"."&amp;MOD(O771,3)</f>
        <v>40.2</v>
      </c>
      <c r="R771" s="12" t="n">
        <v>34</v>
      </c>
      <c r="S771" s="12" t="n">
        <v>18</v>
      </c>
      <c r="T771" s="12" t="n">
        <v>17</v>
      </c>
      <c r="U771" s="12" t="n">
        <v>4</v>
      </c>
      <c r="V771" s="12" t="n">
        <v>13</v>
      </c>
      <c r="W771" s="12" t="n">
        <v>38</v>
      </c>
      <c r="X771" s="12" t="n">
        <v>2</v>
      </c>
      <c r="Y771" s="18" t="n">
        <f aca="false">IF(O771=0,0,T771*27/O771)</f>
        <v>3.76229508196721</v>
      </c>
      <c r="Z771" s="18" t="n">
        <f aca="false">IF(P771=0,0,(V771+R771)/P771)</f>
        <v>1.15573770491803</v>
      </c>
      <c r="AA771" s="18" t="n">
        <f aca="false">IF(O771=0,0,W771*27/O771)</f>
        <v>8.40983606557377</v>
      </c>
      <c r="AB771" s="18" t="n">
        <f aca="false">IF(O771=0,0,V771*27/O771)</f>
        <v>2.87704918032787</v>
      </c>
      <c r="AC771" s="18" t="n">
        <f aca="false">IF(V771=0,0,W771/V771)</f>
        <v>2.92307692307692</v>
      </c>
      <c r="AD771" s="18" t="n">
        <f aca="false">IF(P771=0,0,(13*U771+3*(V771+X771)-2*W771)/P771+INDEX(球季參數!$C$2:$C$4,MATCH($A771,球季參數!$A$2:$A$4,0)))</f>
        <v>3.59639344262295</v>
      </c>
      <c r="AE771" s="11" t="n">
        <f aca="false">IF(P771&gt;=INDEX(球季參數!$F$2:$F$4,MATCH($A771,球季參數!$A$2:$A$4,0)),1,0)</f>
        <v>0</v>
      </c>
    </row>
    <row r="772" customFormat="false" ht="15" hidden="false" customHeight="false" outlineLevel="0" collapsed="false">
      <c r="A772" s="5" t="n">
        <v>2026</v>
      </c>
      <c r="B772" s="7" t="s">
        <v>1177</v>
      </c>
      <c r="C772" s="10" t="str">
        <f aca="false">INDEX(球員主檔!$B$2:$B$749,MATCH($B772,球員主檔!$A$2:$A$749,0))</f>
        <v>Camilo Tremblay</v>
      </c>
      <c r="D772" s="7" t="s">
        <v>414</v>
      </c>
      <c r="E772" s="10" t="str">
        <f aca="false">INDEX(球隊主檔!$C$2:$C$31,MATCH($D772,球隊主檔!$A$2:$A$31,0))</f>
        <v>紐約大都會</v>
      </c>
      <c r="F772" s="10" t="str">
        <f aca="false">INDEX(球隊主檔!$D$2:$D$31,MATCH($D772,球隊主檔!$A$2:$A$31,0))</f>
        <v>國聯</v>
      </c>
      <c r="G772" s="7" t="s">
        <v>496</v>
      </c>
      <c r="H772" s="11" t="n">
        <f aca="false">INT((DATE($A772,7,1)-INDEX(球員主檔!$G$2:$G$749,MATCH($B772,球員主檔!$A$2:$A$749,0)))/365.25)</f>
        <v>34</v>
      </c>
      <c r="I772" s="12" t="n">
        <v>8</v>
      </c>
      <c r="J772" s="12" t="n">
        <v>8</v>
      </c>
      <c r="K772" s="12" t="n">
        <v>0</v>
      </c>
      <c r="L772" s="12" t="n">
        <v>0</v>
      </c>
      <c r="M772" s="12" t="n">
        <v>26</v>
      </c>
      <c r="N772" s="12" t="n">
        <v>26</v>
      </c>
      <c r="O772" s="12" t="n">
        <v>480</v>
      </c>
      <c r="P772" s="16" t="n">
        <f aca="false">O772/3</f>
        <v>160</v>
      </c>
      <c r="Q772" s="17" t="str">
        <f aca="false">INT(O772/3)&amp;"."&amp;MOD(O772,3)</f>
        <v>160.0</v>
      </c>
      <c r="R772" s="12" t="n">
        <v>149</v>
      </c>
      <c r="S772" s="12" t="n">
        <v>110</v>
      </c>
      <c r="T772" s="12" t="n">
        <v>100</v>
      </c>
      <c r="U772" s="12" t="n">
        <v>17</v>
      </c>
      <c r="V772" s="12" t="n">
        <v>60</v>
      </c>
      <c r="W772" s="12" t="n">
        <v>130</v>
      </c>
      <c r="X772" s="12" t="n">
        <v>9</v>
      </c>
      <c r="Y772" s="18" t="n">
        <f aca="false">IF(O772=0,0,T772*27/O772)</f>
        <v>5.625</v>
      </c>
      <c r="Z772" s="18" t="n">
        <f aca="false">IF(P772=0,0,(V772+R772)/P772)</f>
        <v>1.30625</v>
      </c>
      <c r="AA772" s="18" t="n">
        <f aca="false">IF(O772=0,0,W772*27/O772)</f>
        <v>7.3125</v>
      </c>
      <c r="AB772" s="18" t="n">
        <f aca="false">IF(O772=0,0,V772*27/O772)</f>
        <v>3.375</v>
      </c>
      <c r="AC772" s="18" t="n">
        <f aca="false">IF(V772=0,0,W772/V772)</f>
        <v>2.16666666666667</v>
      </c>
      <c r="AD772" s="18" t="n">
        <f aca="false">IF(P772=0,0,(13*U772+3*(V772+X772)-2*W772)/P772+INDEX(球季參數!$C$2:$C$4,MATCH($A772,球季參數!$A$2:$A$4,0)))</f>
        <v>4.13</v>
      </c>
      <c r="AE772" s="11" t="n">
        <f aca="false">IF(P772&gt;=INDEX(球季參數!$F$2:$F$4,MATCH($A772,球季參數!$A$2:$A$4,0)),1,0)</f>
        <v>0</v>
      </c>
    </row>
    <row r="773" customFormat="false" ht="15" hidden="false" customHeight="false" outlineLevel="0" collapsed="false">
      <c r="A773" s="5" t="n">
        <v>2026</v>
      </c>
      <c r="B773" s="7" t="s">
        <v>1179</v>
      </c>
      <c r="C773" s="10" t="str">
        <f aca="false">INDEX(球員主檔!$B$2:$B$749,MATCH($B773,球員主檔!$A$2:$A$749,0))</f>
        <v>Alonso Ulloa</v>
      </c>
      <c r="D773" s="7" t="s">
        <v>414</v>
      </c>
      <c r="E773" s="10" t="str">
        <f aca="false">INDEX(球隊主檔!$C$2:$C$31,MATCH($D773,球隊主檔!$A$2:$A$31,0))</f>
        <v>紐約大都會</v>
      </c>
      <c r="F773" s="10" t="str">
        <f aca="false">INDEX(球隊主檔!$D$2:$D$31,MATCH($D773,球隊主檔!$A$2:$A$31,0))</f>
        <v>國聯</v>
      </c>
      <c r="G773" s="7" t="s">
        <v>496</v>
      </c>
      <c r="H773" s="11" t="n">
        <f aca="false">INT((DATE($A773,7,1)-INDEX(球員主檔!$G$2:$G$749,MATCH($B773,球員主檔!$A$2:$A$749,0)))/365.25)</f>
        <v>28</v>
      </c>
      <c r="I773" s="12" t="n">
        <v>14</v>
      </c>
      <c r="J773" s="12" t="n">
        <v>7</v>
      </c>
      <c r="K773" s="12" t="n">
        <v>0</v>
      </c>
      <c r="L773" s="12" t="n">
        <v>0</v>
      </c>
      <c r="M773" s="12" t="n">
        <v>33</v>
      </c>
      <c r="N773" s="12" t="n">
        <v>33</v>
      </c>
      <c r="O773" s="12" t="n">
        <v>525</v>
      </c>
      <c r="P773" s="16" t="n">
        <f aca="false">O773/3</f>
        <v>175</v>
      </c>
      <c r="Q773" s="17" t="str">
        <f aca="false">INT(O773/3)&amp;"."&amp;MOD(O773,3)</f>
        <v>175.0</v>
      </c>
      <c r="R773" s="12" t="n">
        <v>145</v>
      </c>
      <c r="S773" s="12" t="n">
        <v>83</v>
      </c>
      <c r="T773" s="12" t="n">
        <v>81</v>
      </c>
      <c r="U773" s="12" t="n">
        <v>28</v>
      </c>
      <c r="V773" s="12" t="n">
        <v>69</v>
      </c>
      <c r="W773" s="12" t="n">
        <v>131</v>
      </c>
      <c r="X773" s="12" t="n">
        <v>9</v>
      </c>
      <c r="Y773" s="18" t="n">
        <f aca="false">IF(O773=0,0,T773*27/O773)</f>
        <v>4.16571428571429</v>
      </c>
      <c r="Z773" s="18" t="n">
        <f aca="false">IF(P773=0,0,(V773+R773)/P773)</f>
        <v>1.22285714285714</v>
      </c>
      <c r="AA773" s="18" t="n">
        <f aca="false">IF(O773=0,0,W773*27/O773)</f>
        <v>6.73714285714286</v>
      </c>
      <c r="AB773" s="18" t="n">
        <f aca="false">IF(O773=0,0,V773*27/O773)</f>
        <v>3.54857142857143</v>
      </c>
      <c r="AC773" s="18" t="n">
        <f aca="false">IF(V773=0,0,W773/V773)</f>
        <v>1.89855072463768</v>
      </c>
      <c r="AD773" s="18" t="n">
        <f aca="false">IF(P773=0,0,(13*U773+3*(V773+X773)-2*W773)/P773+INDEX(球季參數!$C$2:$C$4,MATCH($A773,球季參數!$A$2:$A$4,0)))</f>
        <v>5</v>
      </c>
      <c r="AE773" s="11" t="n">
        <f aca="false">IF(P773&gt;=INDEX(球季參數!$F$2:$F$4,MATCH($A773,球季參數!$A$2:$A$4,0)),1,0)</f>
        <v>1</v>
      </c>
    </row>
    <row r="774" customFormat="false" ht="15" hidden="false" customHeight="false" outlineLevel="0" collapsed="false">
      <c r="A774" s="5" t="n">
        <v>2026</v>
      </c>
      <c r="B774" s="7" t="s">
        <v>1181</v>
      </c>
      <c r="C774" s="10" t="str">
        <f aca="false">INDEX(球員主檔!$B$2:$B$749,MATCH($B774,球員主檔!$A$2:$A$749,0))</f>
        <v>Matthias Whitmore</v>
      </c>
      <c r="D774" s="7" t="s">
        <v>414</v>
      </c>
      <c r="E774" s="10" t="str">
        <f aca="false">INDEX(球隊主檔!$C$2:$C$31,MATCH($D774,球隊主檔!$A$2:$A$31,0))</f>
        <v>紐約大都會</v>
      </c>
      <c r="F774" s="10" t="str">
        <f aca="false">INDEX(球隊主檔!$D$2:$D$31,MATCH($D774,球隊主檔!$A$2:$A$31,0))</f>
        <v>國聯</v>
      </c>
      <c r="G774" s="7" t="s">
        <v>496</v>
      </c>
      <c r="H774" s="11" t="n">
        <f aca="false">INT((DATE($A774,7,1)-INDEX(球員主檔!$G$2:$G$749,MATCH($B774,球員主檔!$A$2:$A$749,0)))/365.25)</f>
        <v>30</v>
      </c>
      <c r="I774" s="12" t="n">
        <v>7</v>
      </c>
      <c r="J774" s="12" t="n">
        <v>6</v>
      </c>
      <c r="K774" s="12" t="n">
        <v>0</v>
      </c>
      <c r="L774" s="12" t="n">
        <v>0</v>
      </c>
      <c r="M774" s="12" t="n">
        <v>18</v>
      </c>
      <c r="N774" s="12" t="n">
        <v>18</v>
      </c>
      <c r="O774" s="12" t="n">
        <v>278</v>
      </c>
      <c r="P774" s="16" t="n">
        <f aca="false">O774/3</f>
        <v>92.6666666666667</v>
      </c>
      <c r="Q774" s="17" t="str">
        <f aca="false">INT(O774/3)&amp;"."&amp;MOD(O774,3)</f>
        <v>92.2</v>
      </c>
      <c r="R774" s="12" t="n">
        <v>77</v>
      </c>
      <c r="S774" s="12" t="n">
        <v>49</v>
      </c>
      <c r="T774" s="12" t="n">
        <v>44</v>
      </c>
      <c r="U774" s="12" t="n">
        <v>17</v>
      </c>
      <c r="V774" s="12" t="n">
        <v>29</v>
      </c>
      <c r="W774" s="12" t="n">
        <v>64</v>
      </c>
      <c r="X774" s="12" t="n">
        <v>5</v>
      </c>
      <c r="Y774" s="18" t="n">
        <f aca="false">IF(O774=0,0,T774*27/O774)</f>
        <v>4.27338129496403</v>
      </c>
      <c r="Z774" s="18" t="n">
        <f aca="false">IF(P774=0,0,(V774+R774)/P774)</f>
        <v>1.14388489208633</v>
      </c>
      <c r="AA774" s="18" t="n">
        <f aca="false">IF(O774=0,0,W774*27/O774)</f>
        <v>6.2158273381295</v>
      </c>
      <c r="AB774" s="18" t="n">
        <f aca="false">IF(O774=0,0,V774*27/O774)</f>
        <v>2.81654676258993</v>
      </c>
      <c r="AC774" s="18" t="n">
        <f aca="false">IF(V774=0,0,W774/V774)</f>
        <v>2.20689655172414</v>
      </c>
      <c r="AD774" s="18" t="n">
        <f aca="false">IF(P774=0,0,(13*U774+3*(V774+X774)-2*W774)/P774+INDEX(球季參數!$C$2:$C$4,MATCH($A774,球季參數!$A$2:$A$4,0)))</f>
        <v>5.18431654676259</v>
      </c>
      <c r="AE774" s="11" t="n">
        <f aca="false">IF(P774&gt;=INDEX(球季參數!$F$2:$F$4,MATCH($A774,球季參數!$A$2:$A$4,0)),1,0)</f>
        <v>0</v>
      </c>
    </row>
    <row r="775" customFormat="false" ht="15" hidden="false" customHeight="false" outlineLevel="0" collapsed="false">
      <c r="A775" s="5" t="n">
        <v>2026</v>
      </c>
      <c r="B775" s="7" t="s">
        <v>1183</v>
      </c>
      <c r="C775" s="10" t="str">
        <f aca="false">INDEX(球員主檔!$B$2:$B$749,MATCH($B775,球員主檔!$A$2:$A$749,0))</f>
        <v>Wyatt Castellón</v>
      </c>
      <c r="D775" s="7" t="s">
        <v>414</v>
      </c>
      <c r="E775" s="10" t="str">
        <f aca="false">INDEX(球隊主檔!$C$2:$C$31,MATCH($D775,球隊主檔!$A$2:$A$31,0))</f>
        <v>紐約大都會</v>
      </c>
      <c r="F775" s="10" t="str">
        <f aca="false">INDEX(球隊主檔!$D$2:$D$31,MATCH($D775,球隊主檔!$A$2:$A$31,0))</f>
        <v>國聯</v>
      </c>
      <c r="G775" s="7" t="s">
        <v>496</v>
      </c>
      <c r="H775" s="11" t="n">
        <f aca="false">INT((DATE($A775,7,1)-INDEX(球員主檔!$G$2:$G$749,MATCH($B775,球員主檔!$A$2:$A$749,0)))/365.25)</f>
        <v>25</v>
      </c>
      <c r="I775" s="12" t="n">
        <v>14</v>
      </c>
      <c r="J775" s="12" t="n">
        <v>10</v>
      </c>
      <c r="K775" s="12" t="n">
        <v>0</v>
      </c>
      <c r="L775" s="12" t="n">
        <v>0</v>
      </c>
      <c r="M775" s="12" t="n">
        <v>33</v>
      </c>
      <c r="N775" s="12" t="n">
        <v>33</v>
      </c>
      <c r="O775" s="12" t="n">
        <v>556</v>
      </c>
      <c r="P775" s="16" t="n">
        <f aca="false">O775/3</f>
        <v>185.333333333333</v>
      </c>
      <c r="Q775" s="17" t="str">
        <f aca="false">INT(O775/3)&amp;"."&amp;MOD(O775,3)</f>
        <v>185.1</v>
      </c>
      <c r="R775" s="12" t="n">
        <v>158</v>
      </c>
      <c r="S775" s="12" t="n">
        <v>116</v>
      </c>
      <c r="T775" s="12" t="n">
        <v>106</v>
      </c>
      <c r="U775" s="12" t="n">
        <v>34</v>
      </c>
      <c r="V775" s="12" t="n">
        <v>57</v>
      </c>
      <c r="W775" s="12" t="n">
        <v>106</v>
      </c>
      <c r="X775" s="12" t="n">
        <v>9</v>
      </c>
      <c r="Y775" s="18" t="n">
        <f aca="false">IF(O775=0,0,T775*27/O775)</f>
        <v>5.14748201438849</v>
      </c>
      <c r="Z775" s="18" t="n">
        <f aca="false">IF(P775=0,0,(V775+R775)/P775)</f>
        <v>1.16007194244604</v>
      </c>
      <c r="AA775" s="18" t="n">
        <f aca="false">IF(O775=0,0,W775*27/O775)</f>
        <v>5.14748201438849</v>
      </c>
      <c r="AB775" s="18" t="n">
        <f aca="false">IF(O775=0,0,V775*27/O775)</f>
        <v>2.76798561151079</v>
      </c>
      <c r="AC775" s="18" t="n">
        <f aca="false">IF(V775=0,0,W775/V775)</f>
        <v>1.85964912280702</v>
      </c>
      <c r="AD775" s="18" t="n">
        <f aca="false">IF(P775=0,0,(13*U775+3*(V775+X775)-2*W775)/P775+INDEX(球季參數!$C$2:$C$4,MATCH($A775,球季參數!$A$2:$A$4,0)))</f>
        <v>5.38935251798561</v>
      </c>
      <c r="AE775" s="11" t="n">
        <f aca="false">IF(P775&gt;=INDEX(球季參數!$F$2:$F$4,MATCH($A775,球季參數!$A$2:$A$4,0)),1,0)</f>
        <v>1</v>
      </c>
    </row>
    <row r="776" customFormat="false" ht="15" hidden="false" customHeight="false" outlineLevel="0" collapsed="false">
      <c r="A776" s="5" t="n">
        <v>2026</v>
      </c>
      <c r="B776" s="7" t="s">
        <v>1185</v>
      </c>
      <c r="C776" s="10" t="str">
        <f aca="false">INDEX(球員主檔!$B$2:$B$749,MATCH($B776,球員主檔!$A$2:$A$749,0))</f>
        <v>Percival Garrity</v>
      </c>
      <c r="D776" s="7" t="s">
        <v>414</v>
      </c>
      <c r="E776" s="10" t="str">
        <f aca="false">INDEX(球隊主檔!$C$2:$C$31,MATCH($D776,球隊主檔!$A$2:$A$31,0))</f>
        <v>紐約大都會</v>
      </c>
      <c r="F776" s="10" t="str">
        <f aca="false">INDEX(球隊主檔!$D$2:$D$31,MATCH($D776,球隊主檔!$A$2:$A$31,0))</f>
        <v>國聯</v>
      </c>
      <c r="G776" s="7" t="s">
        <v>496</v>
      </c>
      <c r="H776" s="11" t="n">
        <f aca="false">INT((DATE($A776,7,1)-INDEX(球員主檔!$G$2:$G$749,MATCH($B776,球員主檔!$A$2:$A$749,0)))/365.25)</f>
        <v>31</v>
      </c>
      <c r="I776" s="12" t="n">
        <v>5</v>
      </c>
      <c r="J776" s="12" t="n">
        <v>2</v>
      </c>
      <c r="K776" s="12" t="n">
        <v>0</v>
      </c>
      <c r="L776" s="12" t="n">
        <v>0</v>
      </c>
      <c r="M776" s="12" t="n">
        <v>10</v>
      </c>
      <c r="N776" s="12" t="n">
        <v>10</v>
      </c>
      <c r="O776" s="12" t="n">
        <v>163</v>
      </c>
      <c r="P776" s="16" t="n">
        <f aca="false">O776/3</f>
        <v>54.3333333333333</v>
      </c>
      <c r="Q776" s="17" t="str">
        <f aca="false">INT(O776/3)&amp;"."&amp;MOD(O776,3)</f>
        <v>54.1</v>
      </c>
      <c r="R776" s="12" t="n">
        <v>44</v>
      </c>
      <c r="S776" s="12" t="n">
        <v>21</v>
      </c>
      <c r="T776" s="12" t="n">
        <v>20</v>
      </c>
      <c r="U776" s="12" t="n">
        <v>3</v>
      </c>
      <c r="V776" s="12" t="n">
        <v>16</v>
      </c>
      <c r="W776" s="12" t="n">
        <v>43</v>
      </c>
      <c r="X776" s="12" t="n">
        <v>2</v>
      </c>
      <c r="Y776" s="18" t="n">
        <f aca="false">IF(O776=0,0,T776*27/O776)</f>
        <v>3.31288343558282</v>
      </c>
      <c r="Z776" s="18" t="n">
        <f aca="false">IF(P776=0,0,(V776+R776)/P776)</f>
        <v>1.10429447852761</v>
      </c>
      <c r="AA776" s="18" t="n">
        <f aca="false">IF(O776=0,0,W776*27/O776)</f>
        <v>7.12269938650307</v>
      </c>
      <c r="AB776" s="18" t="n">
        <f aca="false">IF(O776=0,0,V776*27/O776)</f>
        <v>2.65030674846626</v>
      </c>
      <c r="AC776" s="18" t="n">
        <f aca="false">IF(V776=0,0,W776/V776)</f>
        <v>2.6875</v>
      </c>
      <c r="AD776" s="18" t="n">
        <f aca="false">IF(P776=0,0,(13*U776+3*(V776+X776)-2*W776)/P776+INDEX(球季參數!$C$2:$C$4,MATCH($A776,球季參數!$A$2:$A$4,0)))</f>
        <v>3.20883435582822</v>
      </c>
      <c r="AE776" s="11" t="n">
        <f aca="false">IF(P776&gt;=INDEX(球季參數!$F$2:$F$4,MATCH($A776,球季參數!$A$2:$A$4,0)),1,0)</f>
        <v>0</v>
      </c>
    </row>
    <row r="777" customFormat="false" ht="15" hidden="false" customHeight="false" outlineLevel="0" collapsed="false">
      <c r="A777" s="5" t="n">
        <v>2026</v>
      </c>
      <c r="B777" s="7" t="s">
        <v>1187</v>
      </c>
      <c r="C777" s="10" t="str">
        <f aca="false">INDEX(球員主檔!$B$2:$B$749,MATCH($B777,球員主檔!$A$2:$A$749,0))</f>
        <v>Soren Villalobos</v>
      </c>
      <c r="D777" s="7" t="s">
        <v>414</v>
      </c>
      <c r="E777" s="10" t="str">
        <f aca="false">INDEX(球隊主檔!$C$2:$C$31,MATCH($D777,球隊主檔!$A$2:$A$31,0))</f>
        <v>紐約大都會</v>
      </c>
      <c r="F777" s="10" t="str">
        <f aca="false">INDEX(球隊主檔!$D$2:$D$31,MATCH($D777,球隊主檔!$A$2:$A$31,0))</f>
        <v>國聯</v>
      </c>
      <c r="G777" s="7" t="s">
        <v>507</v>
      </c>
      <c r="H777" s="11" t="n">
        <f aca="false">INT((DATE($A777,7,1)-INDEX(球員主檔!$G$2:$G$749,MATCH($B777,球員主檔!$A$2:$A$749,0)))/365.25)</f>
        <v>25</v>
      </c>
      <c r="I777" s="12" t="n">
        <v>0</v>
      </c>
      <c r="J777" s="12" t="n">
        <v>2</v>
      </c>
      <c r="K777" s="12" t="n">
        <v>34</v>
      </c>
      <c r="L777" s="12" t="n">
        <v>4</v>
      </c>
      <c r="M777" s="12" t="n">
        <v>43</v>
      </c>
      <c r="N777" s="12" t="n">
        <v>0</v>
      </c>
      <c r="O777" s="12" t="n">
        <v>131</v>
      </c>
      <c r="P777" s="16" t="n">
        <f aca="false">O777/3</f>
        <v>43.6666666666667</v>
      </c>
      <c r="Q777" s="17" t="str">
        <f aca="false">INT(O777/3)&amp;"."&amp;MOD(O777,3)</f>
        <v>43.2</v>
      </c>
      <c r="R777" s="12" t="n">
        <v>30</v>
      </c>
      <c r="S777" s="12" t="n">
        <v>14</v>
      </c>
      <c r="T777" s="12" t="n">
        <v>14</v>
      </c>
      <c r="U777" s="12" t="n">
        <v>5</v>
      </c>
      <c r="V777" s="12" t="n">
        <v>12</v>
      </c>
      <c r="W777" s="12" t="n">
        <v>51</v>
      </c>
      <c r="X777" s="12" t="n">
        <v>2</v>
      </c>
      <c r="Y777" s="18" t="n">
        <f aca="false">IF(O777=0,0,T777*27/O777)</f>
        <v>2.88549618320611</v>
      </c>
      <c r="Z777" s="18" t="n">
        <f aca="false">IF(P777=0,0,(V777+R777)/P777)</f>
        <v>0.961832061068702</v>
      </c>
      <c r="AA777" s="18" t="n">
        <f aca="false">IF(O777=0,0,W777*27/O777)</f>
        <v>10.5114503816794</v>
      </c>
      <c r="AB777" s="18" t="n">
        <f aca="false">IF(O777=0,0,V777*27/O777)</f>
        <v>2.47328244274809</v>
      </c>
      <c r="AC777" s="18" t="n">
        <f aca="false">IF(V777=0,0,W777/V777)</f>
        <v>4.25</v>
      </c>
      <c r="AD777" s="18" t="n">
        <f aca="false">IF(P777=0,0,(13*U777+3*(V777+X777)-2*W777)/P777+INDEX(球季參數!$C$2:$C$4,MATCH($A777,球季參數!$A$2:$A$4,0)))</f>
        <v>3.19450381679389</v>
      </c>
      <c r="AE777" s="11" t="n">
        <f aca="false">IF(P777&gt;=INDEX(球季參數!$F$2:$F$4,MATCH($A777,球季參數!$A$2:$A$4,0)),1,0)</f>
        <v>0</v>
      </c>
    </row>
    <row r="778" customFormat="false" ht="15" hidden="false" customHeight="false" outlineLevel="0" collapsed="false">
      <c r="A778" s="5" t="n">
        <v>2026</v>
      </c>
      <c r="B778" s="7" t="s">
        <v>1189</v>
      </c>
      <c r="C778" s="10" t="str">
        <f aca="false">INDEX(球員主檔!$B$2:$B$749,MATCH($B778,球員主檔!$A$2:$A$749,0))</f>
        <v>Isaias Thorsby</v>
      </c>
      <c r="D778" s="7" t="s">
        <v>414</v>
      </c>
      <c r="E778" s="10" t="str">
        <f aca="false">INDEX(球隊主檔!$C$2:$C$31,MATCH($D778,球隊主檔!$A$2:$A$31,0))</f>
        <v>紐約大都會</v>
      </c>
      <c r="F778" s="10" t="str">
        <f aca="false">INDEX(球隊主檔!$D$2:$D$31,MATCH($D778,球隊主檔!$A$2:$A$31,0))</f>
        <v>國聯</v>
      </c>
      <c r="G778" s="7" t="s">
        <v>507</v>
      </c>
      <c r="H778" s="11" t="n">
        <f aca="false">INT((DATE($A778,7,1)-INDEX(球員主檔!$G$2:$G$749,MATCH($B778,球員主檔!$A$2:$A$749,0)))/365.25)</f>
        <v>26</v>
      </c>
      <c r="I778" s="12" t="n">
        <v>6</v>
      </c>
      <c r="J778" s="12" t="n">
        <v>6</v>
      </c>
      <c r="K778" s="12" t="n">
        <v>5</v>
      </c>
      <c r="L778" s="12" t="n">
        <v>19</v>
      </c>
      <c r="M778" s="12" t="n">
        <v>68</v>
      </c>
      <c r="N778" s="12" t="n">
        <v>0</v>
      </c>
      <c r="O778" s="12" t="n">
        <v>216</v>
      </c>
      <c r="P778" s="16" t="n">
        <f aca="false">O778/3</f>
        <v>72</v>
      </c>
      <c r="Q778" s="17" t="str">
        <f aca="false">INT(O778/3)&amp;"."&amp;MOD(O778,3)</f>
        <v>72.0</v>
      </c>
      <c r="R778" s="12" t="n">
        <v>63</v>
      </c>
      <c r="S778" s="12" t="n">
        <v>38</v>
      </c>
      <c r="T778" s="12" t="n">
        <v>36</v>
      </c>
      <c r="U778" s="12" t="n">
        <v>5</v>
      </c>
      <c r="V778" s="12" t="n">
        <v>30</v>
      </c>
      <c r="W778" s="12" t="n">
        <v>46</v>
      </c>
      <c r="X778" s="12" t="n">
        <v>1</v>
      </c>
      <c r="Y778" s="18" t="n">
        <f aca="false">IF(O778=0,0,T778*27/O778)</f>
        <v>4.5</v>
      </c>
      <c r="Z778" s="18" t="n">
        <f aca="false">IF(P778=0,0,(V778+R778)/P778)</f>
        <v>1.29166666666667</v>
      </c>
      <c r="AA778" s="18" t="n">
        <f aca="false">IF(O778=0,0,W778*27/O778)</f>
        <v>5.75</v>
      </c>
      <c r="AB778" s="18" t="n">
        <f aca="false">IF(O778=0,0,V778*27/O778)</f>
        <v>3.75</v>
      </c>
      <c r="AC778" s="18" t="n">
        <f aca="false">IF(V778=0,0,W778/V778)</f>
        <v>1.53333333333333</v>
      </c>
      <c r="AD778" s="18" t="n">
        <f aca="false">IF(P778=0,0,(13*U778+3*(V778+X778)-2*W778)/P778+INDEX(球季參數!$C$2:$C$4,MATCH($A778,球季參數!$A$2:$A$4,0)))</f>
        <v>3.99666666666667</v>
      </c>
      <c r="AE778" s="11" t="n">
        <f aca="false">IF(P778&gt;=INDEX(球季參數!$F$2:$F$4,MATCH($A778,球季參數!$A$2:$A$4,0)),1,0)</f>
        <v>0</v>
      </c>
    </row>
    <row r="779" customFormat="false" ht="15" hidden="false" customHeight="false" outlineLevel="0" collapsed="false">
      <c r="A779" s="5" t="n">
        <v>2026</v>
      </c>
      <c r="B779" s="7" t="s">
        <v>1191</v>
      </c>
      <c r="C779" s="10" t="str">
        <f aca="false">INDEX(球員主檔!$B$2:$B$749,MATCH($B779,球員主檔!$A$2:$A$749,0))</f>
        <v>Niklas Ibarra</v>
      </c>
      <c r="D779" s="7" t="s">
        <v>414</v>
      </c>
      <c r="E779" s="10" t="str">
        <f aca="false">INDEX(球隊主檔!$C$2:$C$31,MATCH($D779,球隊主檔!$A$2:$A$31,0))</f>
        <v>紐約大都會</v>
      </c>
      <c r="F779" s="10" t="str">
        <f aca="false">INDEX(球隊主檔!$D$2:$D$31,MATCH($D779,球隊主檔!$A$2:$A$31,0))</f>
        <v>國聯</v>
      </c>
      <c r="G779" s="7" t="s">
        <v>507</v>
      </c>
      <c r="H779" s="11" t="n">
        <f aca="false">INT((DATE($A779,7,1)-INDEX(球員主檔!$G$2:$G$749,MATCH($B779,球員主檔!$A$2:$A$749,0)))/365.25)</f>
        <v>29</v>
      </c>
      <c r="I779" s="12" t="n">
        <v>0</v>
      </c>
      <c r="J779" s="12" t="n">
        <v>7</v>
      </c>
      <c r="K779" s="12" t="n">
        <v>0</v>
      </c>
      <c r="L779" s="12" t="n">
        <v>13</v>
      </c>
      <c r="M779" s="12" t="n">
        <v>74</v>
      </c>
      <c r="N779" s="12" t="n">
        <v>0</v>
      </c>
      <c r="O779" s="12" t="n">
        <v>215</v>
      </c>
      <c r="P779" s="16" t="n">
        <f aca="false">O779/3</f>
        <v>71.6666666666667</v>
      </c>
      <c r="Q779" s="17" t="str">
        <f aca="false">INT(O779/3)&amp;"."&amp;MOD(O779,3)</f>
        <v>71.2</v>
      </c>
      <c r="R779" s="12" t="n">
        <v>62</v>
      </c>
      <c r="S779" s="12" t="n">
        <v>40</v>
      </c>
      <c r="T779" s="12" t="n">
        <v>37</v>
      </c>
      <c r="U779" s="12" t="n">
        <v>11</v>
      </c>
      <c r="V779" s="12" t="n">
        <v>13</v>
      </c>
      <c r="W779" s="12" t="n">
        <v>63</v>
      </c>
      <c r="X779" s="12" t="n">
        <v>4</v>
      </c>
      <c r="Y779" s="18" t="n">
        <f aca="false">IF(O779=0,0,T779*27/O779)</f>
        <v>4.64651162790698</v>
      </c>
      <c r="Z779" s="18" t="n">
        <f aca="false">IF(P779=0,0,(V779+R779)/P779)</f>
        <v>1.04651162790698</v>
      </c>
      <c r="AA779" s="18" t="n">
        <f aca="false">IF(O779=0,0,W779*27/O779)</f>
        <v>7.91162790697675</v>
      </c>
      <c r="AB779" s="18" t="n">
        <f aca="false">IF(O779=0,0,V779*27/O779)</f>
        <v>1.63255813953488</v>
      </c>
      <c r="AC779" s="18" t="n">
        <f aca="false">IF(V779=0,0,W779/V779)</f>
        <v>4.84615384615385</v>
      </c>
      <c r="AD779" s="18" t="n">
        <f aca="false">IF(P779=0,0,(13*U779+3*(V779+X779)-2*W779)/P779+INDEX(球季參數!$C$2:$C$4,MATCH($A779,球季參數!$A$2:$A$4,0)))</f>
        <v>4.02883720930233</v>
      </c>
      <c r="AE779" s="11" t="n">
        <f aca="false">IF(P779&gt;=INDEX(球季參數!$F$2:$F$4,MATCH($A779,球季參數!$A$2:$A$4,0)),1,0)</f>
        <v>0</v>
      </c>
    </row>
    <row r="780" customFormat="false" ht="15" hidden="false" customHeight="false" outlineLevel="0" collapsed="false">
      <c r="A780" s="5" t="n">
        <v>2026</v>
      </c>
      <c r="B780" s="7" t="s">
        <v>1761</v>
      </c>
      <c r="C780" s="10" t="str">
        <f aca="false">INDEX(球員主檔!$B$2:$B$749,MATCH($B780,球員主檔!$A$2:$A$749,0))</f>
        <v>Ulises Dubois</v>
      </c>
      <c r="D780" s="7" t="s">
        <v>414</v>
      </c>
      <c r="E780" s="10" t="str">
        <f aca="false">INDEX(球隊主檔!$C$2:$C$31,MATCH($D780,球隊主檔!$A$2:$A$31,0))</f>
        <v>紐約大都會</v>
      </c>
      <c r="F780" s="10" t="str">
        <f aca="false">INDEX(球隊主檔!$D$2:$D$31,MATCH($D780,球隊主檔!$A$2:$A$31,0))</f>
        <v>國聯</v>
      </c>
      <c r="G780" s="7" t="s">
        <v>507</v>
      </c>
      <c r="H780" s="11" t="n">
        <f aca="false">INT((DATE($A780,7,1)-INDEX(球員主檔!$G$2:$G$749,MATCH($B780,球員主檔!$A$2:$A$749,0)))/365.25)</f>
        <v>25</v>
      </c>
      <c r="I780" s="12" t="n">
        <v>9</v>
      </c>
      <c r="J780" s="12" t="n">
        <v>7</v>
      </c>
      <c r="K780" s="12" t="n">
        <v>2</v>
      </c>
      <c r="L780" s="12" t="n">
        <v>12</v>
      </c>
      <c r="M780" s="12" t="n">
        <v>66</v>
      </c>
      <c r="N780" s="12" t="n">
        <v>0</v>
      </c>
      <c r="O780" s="12" t="n">
        <v>191</v>
      </c>
      <c r="P780" s="16" t="n">
        <f aca="false">O780/3</f>
        <v>63.6666666666667</v>
      </c>
      <c r="Q780" s="17" t="str">
        <f aca="false">INT(O780/3)&amp;"."&amp;MOD(O780,3)</f>
        <v>63.2</v>
      </c>
      <c r="R780" s="12" t="n">
        <v>56</v>
      </c>
      <c r="S780" s="12" t="n">
        <v>40</v>
      </c>
      <c r="T780" s="12" t="n">
        <v>36</v>
      </c>
      <c r="U780" s="12" t="n">
        <v>8</v>
      </c>
      <c r="V780" s="12" t="n">
        <v>26</v>
      </c>
      <c r="W780" s="12" t="n">
        <v>88</v>
      </c>
      <c r="X780" s="12" t="n">
        <v>3</v>
      </c>
      <c r="Y780" s="18" t="n">
        <f aca="false">IF(O780=0,0,T780*27/O780)</f>
        <v>5.08900523560209</v>
      </c>
      <c r="Z780" s="18" t="n">
        <f aca="false">IF(P780=0,0,(V780+R780)/P780)</f>
        <v>1.28795811518325</v>
      </c>
      <c r="AA780" s="18" t="n">
        <f aca="false">IF(O780=0,0,W780*27/O780)</f>
        <v>12.4397905759162</v>
      </c>
      <c r="AB780" s="18" t="n">
        <f aca="false">IF(O780=0,0,V780*27/O780)</f>
        <v>3.67539267015707</v>
      </c>
      <c r="AC780" s="18" t="n">
        <f aca="false">IF(V780=0,0,W780/V780)</f>
        <v>3.38461538461538</v>
      </c>
      <c r="AD780" s="18" t="n">
        <f aca="false">IF(P780=0,0,(13*U780+3*(V780+X780)-2*W780)/P780+INDEX(球季參數!$C$2:$C$4,MATCH($A780,球季參數!$A$2:$A$4,0)))</f>
        <v>3.31560209424084</v>
      </c>
      <c r="AE780" s="11" t="n">
        <f aca="false">IF(P780&gt;=INDEX(球季參數!$F$2:$F$4,MATCH($A780,球季參數!$A$2:$A$4,0)),1,0)</f>
        <v>0</v>
      </c>
    </row>
    <row r="781" customFormat="false" ht="15" hidden="false" customHeight="false" outlineLevel="0" collapsed="false">
      <c r="A781" s="5" t="n">
        <v>2026</v>
      </c>
      <c r="B781" s="7" t="s">
        <v>1763</v>
      </c>
      <c r="C781" s="10" t="str">
        <f aca="false">INDEX(球員主檔!$B$2:$B$749,MATCH($B781,球員主檔!$A$2:$A$749,0))</f>
        <v>Vicente Ingersoll</v>
      </c>
      <c r="D781" s="7" t="s">
        <v>414</v>
      </c>
      <c r="E781" s="10" t="str">
        <f aca="false">INDEX(球隊主檔!$C$2:$C$31,MATCH($D781,球隊主檔!$A$2:$A$31,0))</f>
        <v>紐約大都會</v>
      </c>
      <c r="F781" s="10" t="str">
        <f aca="false">INDEX(球隊主檔!$D$2:$D$31,MATCH($D781,球隊主檔!$A$2:$A$31,0))</f>
        <v>國聯</v>
      </c>
      <c r="G781" s="7" t="s">
        <v>507</v>
      </c>
      <c r="H781" s="11" t="n">
        <f aca="false">INT((DATE($A781,7,1)-INDEX(球員主檔!$G$2:$G$749,MATCH($B781,球員主檔!$A$2:$A$749,0)))/365.25)</f>
        <v>27</v>
      </c>
      <c r="I781" s="12" t="n">
        <v>7</v>
      </c>
      <c r="J781" s="12" t="n">
        <v>7</v>
      </c>
      <c r="K781" s="12" t="n">
        <v>5</v>
      </c>
      <c r="L781" s="12" t="n">
        <v>18</v>
      </c>
      <c r="M781" s="12" t="n">
        <v>71</v>
      </c>
      <c r="N781" s="12" t="n">
        <v>0</v>
      </c>
      <c r="O781" s="12" t="n">
        <v>190</v>
      </c>
      <c r="P781" s="16" t="n">
        <f aca="false">O781/3</f>
        <v>63.3333333333333</v>
      </c>
      <c r="Q781" s="17" t="str">
        <f aca="false">INT(O781/3)&amp;"."&amp;MOD(O781,3)</f>
        <v>63.1</v>
      </c>
      <c r="R781" s="12" t="n">
        <v>55</v>
      </c>
      <c r="S781" s="12" t="n">
        <v>27</v>
      </c>
      <c r="T781" s="12" t="n">
        <v>27</v>
      </c>
      <c r="U781" s="12" t="n">
        <v>9</v>
      </c>
      <c r="V781" s="12" t="n">
        <v>33</v>
      </c>
      <c r="W781" s="12" t="n">
        <v>88</v>
      </c>
      <c r="X781" s="12" t="n">
        <v>2</v>
      </c>
      <c r="Y781" s="18" t="n">
        <f aca="false">IF(O781=0,0,T781*27/O781)</f>
        <v>3.83684210526316</v>
      </c>
      <c r="Z781" s="18" t="n">
        <f aca="false">IF(P781=0,0,(V781+R781)/P781)</f>
        <v>1.38947368421053</v>
      </c>
      <c r="AA781" s="18" t="n">
        <f aca="false">IF(O781=0,0,W781*27/O781)</f>
        <v>12.5052631578947</v>
      </c>
      <c r="AB781" s="18" t="n">
        <f aca="false">IF(O781=0,0,V781*27/O781)</f>
        <v>4.68947368421053</v>
      </c>
      <c r="AC781" s="18" t="n">
        <f aca="false">IF(V781=0,0,W781/V781)</f>
        <v>2.66666666666667</v>
      </c>
      <c r="AD781" s="18" t="n">
        <f aca="false">IF(P781=0,0,(13*U781+3*(V781+X781)-2*W781)/P781+INDEX(球季參數!$C$2:$C$4,MATCH($A781,球季參數!$A$2:$A$4,0)))</f>
        <v>3.80631578947368</v>
      </c>
      <c r="AE781" s="11" t="n">
        <f aca="false">IF(P781&gt;=INDEX(球季參數!$F$2:$F$4,MATCH($A781,球季參數!$A$2:$A$4,0)),1,0)</f>
        <v>0</v>
      </c>
    </row>
    <row r="782" customFormat="false" ht="15" hidden="false" customHeight="false" outlineLevel="0" collapsed="false">
      <c r="A782" s="5" t="n">
        <v>2026</v>
      </c>
      <c r="B782" s="7" t="s">
        <v>1217</v>
      </c>
      <c r="C782" s="10" t="str">
        <f aca="false">INDEX(球員主檔!$B$2:$B$749,MATCH($B782,球員主檔!$A$2:$A$749,0))</f>
        <v>Ignacio Goddard</v>
      </c>
      <c r="D782" s="7" t="s">
        <v>418</v>
      </c>
      <c r="E782" s="10" t="str">
        <f aca="false">INDEX(球隊主檔!$C$2:$C$31,MATCH($D782,球隊主檔!$A$2:$A$31,0))</f>
        <v>費城費城人</v>
      </c>
      <c r="F782" s="10" t="str">
        <f aca="false">INDEX(球隊主檔!$D$2:$D$31,MATCH($D782,球隊主檔!$A$2:$A$31,0))</f>
        <v>國聯</v>
      </c>
      <c r="G782" s="7" t="s">
        <v>496</v>
      </c>
      <c r="H782" s="11" t="n">
        <f aca="false">INT((DATE($A782,7,1)-INDEX(球員主檔!$G$2:$G$749,MATCH($B782,球員主檔!$A$2:$A$749,0)))/365.25)</f>
        <v>28</v>
      </c>
      <c r="I782" s="12" t="n">
        <v>8</v>
      </c>
      <c r="J782" s="12" t="n">
        <v>11</v>
      </c>
      <c r="K782" s="12" t="n">
        <v>0</v>
      </c>
      <c r="L782" s="12" t="n">
        <v>0</v>
      </c>
      <c r="M782" s="12" t="n">
        <v>32</v>
      </c>
      <c r="N782" s="12" t="n">
        <v>32</v>
      </c>
      <c r="O782" s="12" t="n">
        <v>516</v>
      </c>
      <c r="P782" s="16" t="n">
        <f aca="false">O782/3</f>
        <v>172</v>
      </c>
      <c r="Q782" s="17" t="str">
        <f aca="false">INT(O782/3)&amp;"."&amp;MOD(O782,3)</f>
        <v>172.0</v>
      </c>
      <c r="R782" s="12" t="n">
        <v>161</v>
      </c>
      <c r="S782" s="12" t="n">
        <v>125</v>
      </c>
      <c r="T782" s="12" t="n">
        <v>113</v>
      </c>
      <c r="U782" s="12" t="n">
        <v>35</v>
      </c>
      <c r="V782" s="12" t="n">
        <v>33</v>
      </c>
      <c r="W782" s="12" t="n">
        <v>108</v>
      </c>
      <c r="X782" s="12" t="n">
        <v>9</v>
      </c>
      <c r="Y782" s="18" t="n">
        <f aca="false">IF(O782=0,0,T782*27/O782)</f>
        <v>5.91279069767442</v>
      </c>
      <c r="Z782" s="18" t="n">
        <f aca="false">IF(P782=0,0,(V782+R782)/P782)</f>
        <v>1.12790697674419</v>
      </c>
      <c r="AA782" s="18" t="n">
        <f aca="false">IF(O782=0,0,W782*27/O782)</f>
        <v>5.65116279069768</v>
      </c>
      <c r="AB782" s="18" t="n">
        <f aca="false">IF(O782=0,0,V782*27/O782)</f>
        <v>1.72674418604651</v>
      </c>
      <c r="AC782" s="18" t="n">
        <f aca="false">IF(V782=0,0,W782/V782)</f>
        <v>3.27272727272727</v>
      </c>
      <c r="AD782" s="18" t="n">
        <f aca="false">IF(P782=0,0,(13*U782+3*(V782+X782)-2*W782)/P782+INDEX(球季參數!$C$2:$C$4,MATCH($A782,球季參數!$A$2:$A$4,0)))</f>
        <v>5.20209302325582</v>
      </c>
      <c r="AE782" s="11" t="n">
        <f aca="false">IF(P782&gt;=INDEX(球季參數!$F$2:$F$4,MATCH($A782,球季參數!$A$2:$A$4,0)),1,0)</f>
        <v>1</v>
      </c>
    </row>
    <row r="783" customFormat="false" ht="15" hidden="false" customHeight="false" outlineLevel="0" collapsed="false">
      <c r="A783" s="5" t="n">
        <v>2026</v>
      </c>
      <c r="B783" s="7" t="s">
        <v>1219</v>
      </c>
      <c r="C783" s="10" t="str">
        <f aca="false">INDEX(球員主檔!$B$2:$B$749,MATCH($B783,球員主檔!$A$2:$A$749,0))</f>
        <v>Leandro Underhill</v>
      </c>
      <c r="D783" s="7" t="s">
        <v>418</v>
      </c>
      <c r="E783" s="10" t="str">
        <f aca="false">INDEX(球隊主檔!$C$2:$C$31,MATCH($D783,球隊主檔!$A$2:$A$31,0))</f>
        <v>費城費城人</v>
      </c>
      <c r="F783" s="10" t="str">
        <f aca="false">INDEX(球隊主檔!$D$2:$D$31,MATCH($D783,球隊主檔!$A$2:$A$31,0))</f>
        <v>國聯</v>
      </c>
      <c r="G783" s="7" t="s">
        <v>496</v>
      </c>
      <c r="H783" s="11" t="n">
        <f aca="false">INT((DATE($A783,7,1)-INDEX(球員主檔!$G$2:$G$749,MATCH($B783,球員主檔!$A$2:$A$749,0)))/365.25)</f>
        <v>26</v>
      </c>
      <c r="I783" s="12" t="n">
        <v>7</v>
      </c>
      <c r="J783" s="12" t="n">
        <v>4</v>
      </c>
      <c r="K783" s="12" t="n">
        <v>0</v>
      </c>
      <c r="L783" s="12" t="n">
        <v>0</v>
      </c>
      <c r="M783" s="12" t="n">
        <v>21</v>
      </c>
      <c r="N783" s="12" t="n">
        <v>21</v>
      </c>
      <c r="O783" s="12" t="n">
        <v>382</v>
      </c>
      <c r="P783" s="16" t="n">
        <f aca="false">O783/3</f>
        <v>127.333333333333</v>
      </c>
      <c r="Q783" s="17" t="str">
        <f aca="false">INT(O783/3)&amp;"."&amp;MOD(O783,3)</f>
        <v>127.1</v>
      </c>
      <c r="R783" s="12" t="n">
        <v>106</v>
      </c>
      <c r="S783" s="12" t="n">
        <v>62</v>
      </c>
      <c r="T783" s="12" t="n">
        <v>55</v>
      </c>
      <c r="U783" s="12" t="n">
        <v>15</v>
      </c>
      <c r="V783" s="12" t="n">
        <v>28</v>
      </c>
      <c r="W783" s="12" t="n">
        <v>131</v>
      </c>
      <c r="X783" s="12" t="n">
        <v>3</v>
      </c>
      <c r="Y783" s="18" t="n">
        <f aca="false">IF(O783=0,0,T783*27/O783)</f>
        <v>3.88743455497382</v>
      </c>
      <c r="Z783" s="18" t="n">
        <f aca="false">IF(P783=0,0,(V783+R783)/P783)</f>
        <v>1.05235602094241</v>
      </c>
      <c r="AA783" s="18" t="n">
        <f aca="false">IF(O783=0,0,W783*27/O783)</f>
        <v>9.25916230366492</v>
      </c>
      <c r="AB783" s="18" t="n">
        <f aca="false">IF(O783=0,0,V783*27/O783)</f>
        <v>1.97905759162304</v>
      </c>
      <c r="AC783" s="18" t="n">
        <f aca="false">IF(V783=0,0,W783/V783)</f>
        <v>4.67857142857143</v>
      </c>
      <c r="AD783" s="18" t="n">
        <f aca="false">IF(P783=0,0,(13*U783+3*(V783+X783)-2*W783)/P783+INDEX(球季參數!$C$2:$C$4,MATCH($A783,球季參數!$A$2:$A$4,0)))</f>
        <v>3.28418848167539</v>
      </c>
      <c r="AE783" s="11" t="n">
        <f aca="false">IF(P783&gt;=INDEX(球季參數!$F$2:$F$4,MATCH($A783,球季參數!$A$2:$A$4,0)),1,0)</f>
        <v>0</v>
      </c>
    </row>
    <row r="784" customFormat="false" ht="15" hidden="false" customHeight="false" outlineLevel="0" collapsed="false">
      <c r="A784" s="5" t="n">
        <v>2026</v>
      </c>
      <c r="B784" s="7" t="s">
        <v>1019</v>
      </c>
      <c r="C784" s="10" t="str">
        <f aca="false">INDEX(球員主檔!$B$2:$B$749,MATCH($B784,球員主檔!$A$2:$A$749,0))</f>
        <v>Esteban Fontaine</v>
      </c>
      <c r="D784" s="7" t="s">
        <v>418</v>
      </c>
      <c r="E784" s="10" t="str">
        <f aca="false">INDEX(球隊主檔!$C$2:$C$31,MATCH($D784,球隊主檔!$A$2:$A$31,0))</f>
        <v>費城費城人</v>
      </c>
      <c r="F784" s="10" t="str">
        <f aca="false">INDEX(球隊主檔!$D$2:$D$31,MATCH($D784,球隊主檔!$A$2:$A$31,0))</f>
        <v>國聯</v>
      </c>
      <c r="G784" s="7" t="s">
        <v>496</v>
      </c>
      <c r="H784" s="11" t="n">
        <f aca="false">INT((DATE($A784,7,1)-INDEX(球員主檔!$G$2:$G$749,MATCH($B784,球員主檔!$A$2:$A$749,0)))/365.25)</f>
        <v>33</v>
      </c>
      <c r="I784" s="12" t="n">
        <v>11</v>
      </c>
      <c r="J784" s="12" t="n">
        <v>9</v>
      </c>
      <c r="K784" s="12" t="n">
        <v>0</v>
      </c>
      <c r="L784" s="12" t="n">
        <v>0</v>
      </c>
      <c r="M784" s="12" t="n">
        <v>29</v>
      </c>
      <c r="N784" s="12" t="n">
        <v>29</v>
      </c>
      <c r="O784" s="12" t="n">
        <v>471</v>
      </c>
      <c r="P784" s="16" t="n">
        <f aca="false">O784/3</f>
        <v>157</v>
      </c>
      <c r="Q784" s="17" t="str">
        <f aca="false">INT(O784/3)&amp;"."&amp;MOD(O784,3)</f>
        <v>157.0</v>
      </c>
      <c r="R784" s="12" t="n">
        <v>137</v>
      </c>
      <c r="S784" s="12" t="n">
        <v>86</v>
      </c>
      <c r="T784" s="12" t="n">
        <v>86</v>
      </c>
      <c r="U784" s="12" t="n">
        <v>25</v>
      </c>
      <c r="V784" s="12" t="n">
        <v>55</v>
      </c>
      <c r="W784" s="12" t="n">
        <v>167</v>
      </c>
      <c r="X784" s="12" t="n">
        <v>8</v>
      </c>
      <c r="Y784" s="18" t="n">
        <f aca="false">IF(O784=0,0,T784*27/O784)</f>
        <v>4.92993630573248</v>
      </c>
      <c r="Z784" s="18" t="n">
        <f aca="false">IF(P784=0,0,(V784+R784)/P784)</f>
        <v>1.22292993630573</v>
      </c>
      <c r="AA784" s="18" t="n">
        <f aca="false">IF(O784=0,0,W784*27/O784)</f>
        <v>9.57324840764331</v>
      </c>
      <c r="AB784" s="18" t="n">
        <f aca="false">IF(O784=0,0,V784*27/O784)</f>
        <v>3.15286624203822</v>
      </c>
      <c r="AC784" s="18" t="n">
        <f aca="false">IF(V784=0,0,W784/V784)</f>
        <v>3.03636363636364</v>
      </c>
      <c r="AD784" s="18" t="n">
        <f aca="false">IF(P784=0,0,(13*U784+3*(V784+X784)-2*W784)/P784+INDEX(球季參數!$C$2:$C$4,MATCH($A784,球季參數!$A$2:$A$4,0)))</f>
        <v>4.22649681528662</v>
      </c>
      <c r="AE784" s="11" t="n">
        <f aca="false">IF(P784&gt;=INDEX(球季參數!$F$2:$F$4,MATCH($A784,球季參數!$A$2:$A$4,0)),1,0)</f>
        <v>0</v>
      </c>
    </row>
    <row r="785" customFormat="false" ht="15" hidden="false" customHeight="false" outlineLevel="0" collapsed="false">
      <c r="A785" s="5" t="n">
        <v>2026</v>
      </c>
      <c r="B785" s="7" t="s">
        <v>1223</v>
      </c>
      <c r="C785" s="10" t="str">
        <f aca="false">INDEX(球員主檔!$B$2:$B$749,MATCH($B785,球員主檔!$A$2:$A$749,0))</f>
        <v>Benedikt Mbeki</v>
      </c>
      <c r="D785" s="7" t="s">
        <v>418</v>
      </c>
      <c r="E785" s="10" t="str">
        <f aca="false">INDEX(球隊主檔!$C$2:$C$31,MATCH($D785,球隊主檔!$A$2:$A$31,0))</f>
        <v>費城費城人</v>
      </c>
      <c r="F785" s="10" t="str">
        <f aca="false">INDEX(球隊主檔!$D$2:$D$31,MATCH($D785,球隊主檔!$A$2:$A$31,0))</f>
        <v>國聯</v>
      </c>
      <c r="G785" s="7" t="s">
        <v>496</v>
      </c>
      <c r="H785" s="11" t="n">
        <f aca="false">INT((DATE($A785,7,1)-INDEX(球員主檔!$G$2:$G$749,MATCH($B785,球員主檔!$A$2:$A$749,0)))/365.25)</f>
        <v>28</v>
      </c>
      <c r="I785" s="12" t="n">
        <v>11</v>
      </c>
      <c r="J785" s="12" t="n">
        <v>5</v>
      </c>
      <c r="K785" s="12" t="n">
        <v>0</v>
      </c>
      <c r="L785" s="12" t="n">
        <v>0</v>
      </c>
      <c r="M785" s="12" t="n">
        <v>27</v>
      </c>
      <c r="N785" s="12" t="n">
        <v>27</v>
      </c>
      <c r="O785" s="12" t="n">
        <v>428</v>
      </c>
      <c r="P785" s="16" t="n">
        <f aca="false">O785/3</f>
        <v>142.666666666667</v>
      </c>
      <c r="Q785" s="17" t="str">
        <f aca="false">INT(O785/3)&amp;"."&amp;MOD(O785,3)</f>
        <v>142.2</v>
      </c>
      <c r="R785" s="12" t="n">
        <v>121</v>
      </c>
      <c r="S785" s="12" t="n">
        <v>66</v>
      </c>
      <c r="T785" s="12" t="n">
        <v>64</v>
      </c>
      <c r="U785" s="12" t="n">
        <v>22</v>
      </c>
      <c r="V785" s="12" t="n">
        <v>28</v>
      </c>
      <c r="W785" s="12" t="n">
        <v>144</v>
      </c>
      <c r="X785" s="12" t="n">
        <v>2</v>
      </c>
      <c r="Y785" s="18" t="n">
        <f aca="false">IF(O785=0,0,T785*27/O785)</f>
        <v>4.03738317757009</v>
      </c>
      <c r="Z785" s="18" t="n">
        <f aca="false">IF(P785=0,0,(V785+R785)/P785)</f>
        <v>1.04439252336449</v>
      </c>
      <c r="AA785" s="18" t="n">
        <f aca="false">IF(O785=0,0,W785*27/O785)</f>
        <v>9.08411214953271</v>
      </c>
      <c r="AB785" s="18" t="n">
        <f aca="false">IF(O785=0,0,V785*27/O785)</f>
        <v>1.76635514018692</v>
      </c>
      <c r="AC785" s="18" t="n">
        <f aca="false">IF(V785=0,0,W785/V785)</f>
        <v>5.14285714285714</v>
      </c>
      <c r="AD785" s="18" t="n">
        <f aca="false">IF(P785=0,0,(13*U785+3*(V785+X785)-2*W785)/P785+INDEX(球季參數!$C$2:$C$4,MATCH($A785,球季參數!$A$2:$A$4,0)))</f>
        <v>3.69682242990654</v>
      </c>
      <c r="AE785" s="11" t="n">
        <f aca="false">IF(P785&gt;=INDEX(球季參數!$F$2:$F$4,MATCH($A785,球季參數!$A$2:$A$4,0)),1,0)</f>
        <v>0</v>
      </c>
    </row>
    <row r="786" customFormat="false" ht="15" hidden="false" customHeight="false" outlineLevel="0" collapsed="false">
      <c r="A786" s="5" t="n">
        <v>2026</v>
      </c>
      <c r="B786" s="7" t="s">
        <v>631</v>
      </c>
      <c r="C786" s="10" t="str">
        <f aca="false">INDEX(球員主檔!$B$2:$B$749,MATCH($B786,球員主檔!$A$2:$A$749,0))</f>
        <v>Osvaldo Caldera</v>
      </c>
      <c r="D786" s="7" t="s">
        <v>418</v>
      </c>
      <c r="E786" s="10" t="str">
        <f aca="false">INDEX(球隊主檔!$C$2:$C$31,MATCH($D786,球隊主檔!$A$2:$A$31,0))</f>
        <v>費城費城人</v>
      </c>
      <c r="F786" s="10" t="str">
        <f aca="false">INDEX(球隊主檔!$D$2:$D$31,MATCH($D786,球隊主檔!$A$2:$A$31,0))</f>
        <v>國聯</v>
      </c>
      <c r="G786" s="7" t="s">
        <v>496</v>
      </c>
      <c r="H786" s="11" t="n">
        <f aca="false">INT((DATE($A786,7,1)-INDEX(球員主檔!$G$2:$G$749,MATCH($B786,球員主檔!$A$2:$A$749,0)))/365.25)</f>
        <v>33</v>
      </c>
      <c r="I786" s="12" t="n">
        <v>4</v>
      </c>
      <c r="J786" s="12" t="n">
        <v>2</v>
      </c>
      <c r="K786" s="12" t="n">
        <v>0</v>
      </c>
      <c r="L786" s="12" t="n">
        <v>0</v>
      </c>
      <c r="M786" s="12" t="n">
        <v>11</v>
      </c>
      <c r="N786" s="12" t="n">
        <v>11</v>
      </c>
      <c r="O786" s="12" t="n">
        <v>160</v>
      </c>
      <c r="P786" s="16" t="n">
        <f aca="false">O786/3</f>
        <v>53.3333333333333</v>
      </c>
      <c r="Q786" s="17" t="str">
        <f aca="false">INT(O786/3)&amp;"."&amp;MOD(O786,3)</f>
        <v>53.1</v>
      </c>
      <c r="R786" s="12" t="n">
        <v>45</v>
      </c>
      <c r="S786" s="12" t="n">
        <v>27</v>
      </c>
      <c r="T786" s="12" t="n">
        <v>24</v>
      </c>
      <c r="U786" s="12" t="n">
        <v>8</v>
      </c>
      <c r="V786" s="12" t="n">
        <v>11</v>
      </c>
      <c r="W786" s="12" t="n">
        <v>61</v>
      </c>
      <c r="X786" s="12" t="n">
        <v>2</v>
      </c>
      <c r="Y786" s="18" t="n">
        <f aca="false">IF(O786=0,0,T786*27/O786)</f>
        <v>4.05</v>
      </c>
      <c r="Z786" s="18" t="n">
        <f aca="false">IF(P786=0,0,(V786+R786)/P786)</f>
        <v>1.05</v>
      </c>
      <c r="AA786" s="18" t="n">
        <f aca="false">IF(O786=0,0,W786*27/O786)</f>
        <v>10.29375</v>
      </c>
      <c r="AB786" s="18" t="n">
        <f aca="false">IF(O786=0,0,V786*27/O786)</f>
        <v>1.85625</v>
      </c>
      <c r="AC786" s="18" t="n">
        <f aca="false">IF(V786=0,0,W786/V786)</f>
        <v>5.54545454545455</v>
      </c>
      <c r="AD786" s="18" t="n">
        <f aca="false">IF(P786=0,0,(13*U786+3*(V786+X786)-2*W786)/P786+INDEX(球季參數!$C$2:$C$4,MATCH($A786,球季參數!$A$2:$A$4,0)))</f>
        <v>3.47375</v>
      </c>
      <c r="AE786" s="11" t="n">
        <f aca="false">IF(P786&gt;=INDEX(球季參數!$F$2:$F$4,MATCH($A786,球季參數!$A$2:$A$4,0)),1,0)</f>
        <v>0</v>
      </c>
    </row>
    <row r="787" customFormat="false" ht="15" hidden="false" customHeight="false" outlineLevel="0" collapsed="false">
      <c r="A787" s="5" t="n">
        <v>2026</v>
      </c>
      <c r="B787" s="7" t="s">
        <v>1227</v>
      </c>
      <c r="C787" s="10" t="str">
        <f aca="false">INDEX(球員主檔!$B$2:$B$749,MATCH($B787,球員主檔!$A$2:$A$749,0))</f>
        <v>Jasper Delacroix</v>
      </c>
      <c r="D787" s="7" t="s">
        <v>418</v>
      </c>
      <c r="E787" s="10" t="str">
        <f aca="false">INDEX(球隊主檔!$C$2:$C$31,MATCH($D787,球隊主檔!$A$2:$A$31,0))</f>
        <v>費城費城人</v>
      </c>
      <c r="F787" s="10" t="str">
        <f aca="false">INDEX(球隊主檔!$D$2:$D$31,MATCH($D787,球隊主檔!$A$2:$A$31,0))</f>
        <v>國聯</v>
      </c>
      <c r="G787" s="7" t="s">
        <v>507</v>
      </c>
      <c r="H787" s="11" t="n">
        <f aca="false">INT((DATE($A787,7,1)-INDEX(球員主檔!$G$2:$G$749,MATCH($B787,球員主檔!$A$2:$A$749,0)))/365.25)</f>
        <v>26</v>
      </c>
      <c r="I787" s="12" t="n">
        <v>4</v>
      </c>
      <c r="J787" s="12" t="n">
        <v>7</v>
      </c>
      <c r="K787" s="12" t="n">
        <v>34</v>
      </c>
      <c r="L787" s="12" t="n">
        <v>1</v>
      </c>
      <c r="M787" s="12" t="n">
        <v>65</v>
      </c>
      <c r="N787" s="12" t="n">
        <v>0</v>
      </c>
      <c r="O787" s="12" t="n">
        <v>173</v>
      </c>
      <c r="P787" s="16" t="n">
        <f aca="false">O787/3</f>
        <v>57.6666666666667</v>
      </c>
      <c r="Q787" s="17" t="str">
        <f aca="false">INT(O787/3)&amp;"."&amp;MOD(O787,3)</f>
        <v>57.2</v>
      </c>
      <c r="R787" s="12" t="n">
        <v>45</v>
      </c>
      <c r="S787" s="12" t="n">
        <v>20</v>
      </c>
      <c r="T787" s="12" t="n">
        <v>18</v>
      </c>
      <c r="U787" s="12" t="n">
        <v>5</v>
      </c>
      <c r="V787" s="12" t="n">
        <v>17</v>
      </c>
      <c r="W787" s="12" t="n">
        <v>79</v>
      </c>
      <c r="X787" s="12" t="n">
        <v>1</v>
      </c>
      <c r="Y787" s="18" t="n">
        <f aca="false">IF(O787=0,0,T787*27/O787)</f>
        <v>2.80924855491329</v>
      </c>
      <c r="Z787" s="18" t="n">
        <f aca="false">IF(P787=0,0,(V787+R787)/P787)</f>
        <v>1.07514450867052</v>
      </c>
      <c r="AA787" s="18" t="n">
        <f aca="false">IF(O787=0,0,W787*27/O787)</f>
        <v>12.3294797687861</v>
      </c>
      <c r="AB787" s="18" t="n">
        <f aca="false">IF(O787=0,0,V787*27/O787)</f>
        <v>2.65317919075145</v>
      </c>
      <c r="AC787" s="18" t="n">
        <f aca="false">IF(V787=0,0,W787/V787)</f>
        <v>4.64705882352941</v>
      </c>
      <c r="AD787" s="18" t="n">
        <f aca="false">IF(P787=0,0,(13*U787+3*(V787+X787)-2*W787)/P787+INDEX(球季參數!$C$2:$C$4,MATCH($A787,球季參數!$A$2:$A$4,0)))</f>
        <v>2.40369942196532</v>
      </c>
      <c r="AE787" s="11" t="n">
        <f aca="false">IF(P787&gt;=INDEX(球季參數!$F$2:$F$4,MATCH($A787,球季參數!$A$2:$A$4,0)),1,0)</f>
        <v>0</v>
      </c>
    </row>
    <row r="788" customFormat="false" ht="15" hidden="false" customHeight="false" outlineLevel="0" collapsed="false">
      <c r="A788" s="5" t="n">
        <v>2026</v>
      </c>
      <c r="B788" s="7" t="s">
        <v>1769</v>
      </c>
      <c r="C788" s="10" t="str">
        <f aca="false">INDEX(球員主檔!$B$2:$B$749,MATCH($B788,球員主檔!$A$2:$A$749,0))</f>
        <v>Lorenzo Arceneaux</v>
      </c>
      <c r="D788" s="7" t="s">
        <v>418</v>
      </c>
      <c r="E788" s="10" t="str">
        <f aca="false">INDEX(球隊主檔!$C$2:$C$31,MATCH($D788,球隊主檔!$A$2:$A$31,0))</f>
        <v>費城費城人</v>
      </c>
      <c r="F788" s="10" t="str">
        <f aca="false">INDEX(球隊主檔!$D$2:$D$31,MATCH($D788,球隊主檔!$A$2:$A$31,0))</f>
        <v>國聯</v>
      </c>
      <c r="G788" s="7" t="s">
        <v>507</v>
      </c>
      <c r="H788" s="11" t="n">
        <f aca="false">INT((DATE($A788,7,1)-INDEX(球員主檔!$G$2:$G$749,MATCH($B788,球員主檔!$A$2:$A$749,0)))/365.25)</f>
        <v>23</v>
      </c>
      <c r="I788" s="12" t="n">
        <v>4</v>
      </c>
      <c r="J788" s="12" t="n">
        <v>6</v>
      </c>
      <c r="K788" s="12" t="n">
        <v>6</v>
      </c>
      <c r="L788" s="12" t="n">
        <v>24</v>
      </c>
      <c r="M788" s="12" t="n">
        <v>65</v>
      </c>
      <c r="N788" s="12" t="n">
        <v>0</v>
      </c>
      <c r="O788" s="12" t="n">
        <v>177</v>
      </c>
      <c r="P788" s="16" t="n">
        <f aca="false">O788/3</f>
        <v>59</v>
      </c>
      <c r="Q788" s="17" t="str">
        <f aca="false">INT(O788/3)&amp;"."&amp;MOD(O788,3)</f>
        <v>59.0</v>
      </c>
      <c r="R788" s="12" t="n">
        <v>51</v>
      </c>
      <c r="S788" s="12" t="n">
        <v>35</v>
      </c>
      <c r="T788" s="12" t="n">
        <v>33</v>
      </c>
      <c r="U788" s="12" t="n">
        <v>11</v>
      </c>
      <c r="V788" s="12" t="n">
        <v>27</v>
      </c>
      <c r="W788" s="12" t="n">
        <v>57</v>
      </c>
      <c r="X788" s="12" t="n">
        <v>1</v>
      </c>
      <c r="Y788" s="18" t="n">
        <f aca="false">IF(O788=0,0,T788*27/O788)</f>
        <v>5.03389830508475</v>
      </c>
      <c r="Z788" s="18" t="n">
        <f aca="false">IF(P788=0,0,(V788+R788)/P788)</f>
        <v>1.32203389830508</v>
      </c>
      <c r="AA788" s="18" t="n">
        <f aca="false">IF(O788=0,0,W788*27/O788)</f>
        <v>8.69491525423729</v>
      </c>
      <c r="AB788" s="18" t="n">
        <f aca="false">IF(O788=0,0,V788*27/O788)</f>
        <v>4.11864406779661</v>
      </c>
      <c r="AC788" s="18" t="n">
        <f aca="false">IF(V788=0,0,W788/V788)</f>
        <v>2.11111111111111</v>
      </c>
      <c r="AD788" s="18" t="n">
        <f aca="false">IF(P788=0,0,(13*U788+3*(V788+X788)-2*W788)/P788+INDEX(球季參數!$C$2:$C$4,MATCH($A788,球季參數!$A$2:$A$4,0)))</f>
        <v>4.99525423728814</v>
      </c>
      <c r="AE788" s="11" t="n">
        <f aca="false">IF(P788&gt;=INDEX(球季參數!$F$2:$F$4,MATCH($A788,球季參數!$A$2:$A$4,0)),1,0)</f>
        <v>0</v>
      </c>
    </row>
    <row r="789" customFormat="false" ht="15" hidden="false" customHeight="false" outlineLevel="0" collapsed="false">
      <c r="A789" s="5" t="n">
        <v>2026</v>
      </c>
      <c r="B789" s="7" t="s">
        <v>1231</v>
      </c>
      <c r="C789" s="10" t="str">
        <f aca="false">INDEX(球員主檔!$B$2:$B$749,MATCH($B789,球員主檔!$A$2:$A$749,0))</f>
        <v>Tobias Ravenscroft</v>
      </c>
      <c r="D789" s="7" t="s">
        <v>418</v>
      </c>
      <c r="E789" s="10" t="str">
        <f aca="false">INDEX(球隊主檔!$C$2:$C$31,MATCH($D789,球隊主檔!$A$2:$A$31,0))</f>
        <v>費城費城人</v>
      </c>
      <c r="F789" s="10" t="str">
        <f aca="false">INDEX(球隊主檔!$D$2:$D$31,MATCH($D789,球隊主檔!$A$2:$A$31,0))</f>
        <v>國聯</v>
      </c>
      <c r="G789" s="7" t="s">
        <v>507</v>
      </c>
      <c r="H789" s="11" t="n">
        <f aca="false">INT((DATE($A789,7,1)-INDEX(球員主檔!$G$2:$G$749,MATCH($B789,球員主檔!$A$2:$A$749,0)))/365.25)</f>
        <v>29</v>
      </c>
      <c r="I789" s="12" t="n">
        <v>1</v>
      </c>
      <c r="J789" s="12" t="n">
        <v>4</v>
      </c>
      <c r="K789" s="12" t="n">
        <v>5</v>
      </c>
      <c r="L789" s="12" t="n">
        <v>18</v>
      </c>
      <c r="M789" s="12" t="n">
        <v>46</v>
      </c>
      <c r="N789" s="12" t="n">
        <v>0</v>
      </c>
      <c r="O789" s="12" t="n">
        <v>126</v>
      </c>
      <c r="P789" s="16" t="n">
        <f aca="false">O789/3</f>
        <v>42</v>
      </c>
      <c r="Q789" s="17" t="str">
        <f aca="false">INT(O789/3)&amp;"."&amp;MOD(O789,3)</f>
        <v>42.0</v>
      </c>
      <c r="R789" s="12" t="n">
        <v>31</v>
      </c>
      <c r="S789" s="12" t="n">
        <v>18</v>
      </c>
      <c r="T789" s="12" t="n">
        <v>16</v>
      </c>
      <c r="U789" s="12" t="n">
        <v>4</v>
      </c>
      <c r="V789" s="12" t="n">
        <v>12</v>
      </c>
      <c r="W789" s="12" t="n">
        <v>49</v>
      </c>
      <c r="X789" s="12" t="n">
        <v>2</v>
      </c>
      <c r="Y789" s="18" t="n">
        <f aca="false">IF(O789=0,0,T789*27/O789)</f>
        <v>3.42857142857143</v>
      </c>
      <c r="Z789" s="18" t="n">
        <f aca="false">IF(P789=0,0,(V789+R789)/P789)</f>
        <v>1.02380952380952</v>
      </c>
      <c r="AA789" s="18" t="n">
        <f aca="false">IF(O789=0,0,W789*27/O789)</f>
        <v>10.5</v>
      </c>
      <c r="AB789" s="18" t="n">
        <f aca="false">IF(O789=0,0,V789*27/O789)</f>
        <v>2.57142857142857</v>
      </c>
      <c r="AC789" s="18" t="n">
        <f aca="false">IF(V789=0,0,W789/V789)</f>
        <v>4.08333333333333</v>
      </c>
      <c r="AD789" s="18" t="n">
        <f aca="false">IF(P789=0,0,(13*U789+3*(V789+X789)-2*W789)/P789+INDEX(球季參數!$C$2:$C$4,MATCH($A789,球季參數!$A$2:$A$4,0)))</f>
        <v>2.9847619047619</v>
      </c>
      <c r="AE789" s="11" t="n">
        <f aca="false">IF(P789&gt;=INDEX(球季參數!$F$2:$F$4,MATCH($A789,球季參數!$A$2:$A$4,0)),1,0)</f>
        <v>0</v>
      </c>
    </row>
    <row r="790" customFormat="false" ht="15" hidden="false" customHeight="false" outlineLevel="0" collapsed="false">
      <c r="A790" s="5" t="n">
        <v>2026</v>
      </c>
      <c r="B790" s="7" t="s">
        <v>1233</v>
      </c>
      <c r="C790" s="10" t="str">
        <f aca="false">INDEX(球員主檔!$B$2:$B$749,MATCH($B790,球員主檔!$A$2:$A$749,0))</f>
        <v>Leandro Kowalczyk</v>
      </c>
      <c r="D790" s="7" t="s">
        <v>418</v>
      </c>
      <c r="E790" s="10" t="str">
        <f aca="false">INDEX(球隊主檔!$C$2:$C$31,MATCH($D790,球隊主檔!$A$2:$A$31,0))</f>
        <v>費城費城人</v>
      </c>
      <c r="F790" s="10" t="str">
        <f aca="false">INDEX(球隊主檔!$D$2:$D$31,MATCH($D790,球隊主檔!$A$2:$A$31,0))</f>
        <v>國聯</v>
      </c>
      <c r="G790" s="7" t="s">
        <v>507</v>
      </c>
      <c r="H790" s="11" t="n">
        <f aca="false">INT((DATE($A790,7,1)-INDEX(球員主檔!$G$2:$G$749,MATCH($B790,球員主檔!$A$2:$A$749,0)))/365.25)</f>
        <v>36</v>
      </c>
      <c r="I790" s="12" t="n">
        <v>1</v>
      </c>
      <c r="J790" s="12" t="n">
        <v>0</v>
      </c>
      <c r="K790" s="12" t="n">
        <v>6</v>
      </c>
      <c r="L790" s="12" t="n">
        <v>18</v>
      </c>
      <c r="M790" s="12" t="n">
        <v>72</v>
      </c>
      <c r="N790" s="12" t="n">
        <v>0</v>
      </c>
      <c r="O790" s="12" t="n">
        <v>216</v>
      </c>
      <c r="P790" s="16" t="n">
        <f aca="false">O790/3</f>
        <v>72</v>
      </c>
      <c r="Q790" s="17" t="str">
        <f aca="false">INT(O790/3)&amp;"."&amp;MOD(O790,3)</f>
        <v>72.0</v>
      </c>
      <c r="R790" s="12" t="n">
        <v>60</v>
      </c>
      <c r="S790" s="12" t="n">
        <v>42</v>
      </c>
      <c r="T790" s="12" t="n">
        <v>37</v>
      </c>
      <c r="U790" s="12" t="n">
        <v>10</v>
      </c>
      <c r="V790" s="12" t="n">
        <v>21</v>
      </c>
      <c r="W790" s="12" t="n">
        <v>42</v>
      </c>
      <c r="X790" s="12" t="n">
        <v>3</v>
      </c>
      <c r="Y790" s="18" t="n">
        <f aca="false">IF(O790=0,0,T790*27/O790)</f>
        <v>4.625</v>
      </c>
      <c r="Z790" s="18" t="n">
        <f aca="false">IF(P790=0,0,(V790+R790)/P790)</f>
        <v>1.125</v>
      </c>
      <c r="AA790" s="18" t="n">
        <f aca="false">IF(O790=0,0,W790*27/O790)</f>
        <v>5.25</v>
      </c>
      <c r="AB790" s="18" t="n">
        <f aca="false">IF(O790=0,0,V790*27/O790)</f>
        <v>2.625</v>
      </c>
      <c r="AC790" s="18" t="n">
        <f aca="false">IF(V790=0,0,W790/V790)</f>
        <v>2</v>
      </c>
      <c r="AD790" s="18" t="n">
        <f aca="false">IF(P790=0,0,(13*U790+3*(V790+X790)-2*W790)/P790+INDEX(球季參數!$C$2:$C$4,MATCH($A790,球季參數!$A$2:$A$4,0)))</f>
        <v>4.71888888888889</v>
      </c>
      <c r="AE790" s="11" t="n">
        <f aca="false">IF(P790&gt;=INDEX(球季參數!$F$2:$F$4,MATCH($A790,球季參數!$A$2:$A$4,0)),1,0)</f>
        <v>0</v>
      </c>
    </row>
    <row r="791" customFormat="false" ht="15" hidden="false" customHeight="false" outlineLevel="0" collapsed="false">
      <c r="A791" s="5" t="n">
        <v>2026</v>
      </c>
      <c r="B791" s="7" t="s">
        <v>1235</v>
      </c>
      <c r="C791" s="10" t="str">
        <f aca="false">INDEX(球員主檔!$B$2:$B$749,MATCH($B791,球員主檔!$A$2:$A$749,0))</f>
        <v>Vicente Stroheim</v>
      </c>
      <c r="D791" s="7" t="s">
        <v>418</v>
      </c>
      <c r="E791" s="10" t="str">
        <f aca="false">INDEX(球隊主檔!$C$2:$C$31,MATCH($D791,球隊主檔!$A$2:$A$31,0))</f>
        <v>費城費城人</v>
      </c>
      <c r="F791" s="10" t="str">
        <f aca="false">INDEX(球隊主檔!$D$2:$D$31,MATCH($D791,球隊主檔!$A$2:$A$31,0))</f>
        <v>國聯</v>
      </c>
      <c r="G791" s="7" t="s">
        <v>507</v>
      </c>
      <c r="H791" s="11" t="n">
        <f aca="false">INT((DATE($A791,7,1)-INDEX(球員主檔!$G$2:$G$749,MATCH($B791,球員主檔!$A$2:$A$749,0)))/365.25)</f>
        <v>31</v>
      </c>
      <c r="I791" s="12" t="n">
        <v>4</v>
      </c>
      <c r="J791" s="12" t="n">
        <v>1</v>
      </c>
      <c r="K791" s="12" t="n">
        <v>2</v>
      </c>
      <c r="L791" s="12" t="n">
        <v>28</v>
      </c>
      <c r="M791" s="12" t="n">
        <v>58</v>
      </c>
      <c r="N791" s="12" t="n">
        <v>0</v>
      </c>
      <c r="O791" s="12" t="n">
        <v>176</v>
      </c>
      <c r="P791" s="16" t="n">
        <f aca="false">O791/3</f>
        <v>58.6666666666667</v>
      </c>
      <c r="Q791" s="17" t="str">
        <f aca="false">INT(O791/3)&amp;"."&amp;MOD(O791,3)</f>
        <v>58.2</v>
      </c>
      <c r="R791" s="12" t="n">
        <v>40</v>
      </c>
      <c r="S791" s="12" t="n">
        <v>14</v>
      </c>
      <c r="T791" s="12" t="n">
        <v>14</v>
      </c>
      <c r="U791" s="12" t="n">
        <v>9</v>
      </c>
      <c r="V791" s="12" t="n">
        <v>24</v>
      </c>
      <c r="W791" s="12" t="n">
        <v>58</v>
      </c>
      <c r="X791" s="12" t="n">
        <v>1</v>
      </c>
      <c r="Y791" s="18" t="n">
        <f aca="false">IF(O791=0,0,T791*27/O791)</f>
        <v>2.14772727272727</v>
      </c>
      <c r="Z791" s="18" t="n">
        <f aca="false">IF(P791=0,0,(V791+R791)/P791)</f>
        <v>1.09090909090909</v>
      </c>
      <c r="AA791" s="18" t="n">
        <f aca="false">IF(O791=0,0,W791*27/O791)</f>
        <v>8.89772727272727</v>
      </c>
      <c r="AB791" s="18" t="n">
        <f aca="false">IF(O791=0,0,V791*27/O791)</f>
        <v>3.68181818181818</v>
      </c>
      <c r="AC791" s="18" t="n">
        <f aca="false">IF(V791=0,0,W791/V791)</f>
        <v>2.41666666666667</v>
      </c>
      <c r="AD791" s="18" t="n">
        <f aca="false">IF(P791=0,0,(13*U791+3*(V791+X791)-2*W791)/P791+INDEX(球季參數!$C$2:$C$4,MATCH($A791,球季參數!$A$2:$A$4,0)))</f>
        <v>4.37545454545455</v>
      </c>
      <c r="AE791" s="11" t="n">
        <f aca="false">IF(P791&gt;=INDEX(球季參數!$F$2:$F$4,MATCH($A791,球季參數!$A$2:$A$4,0)),1,0)</f>
        <v>0</v>
      </c>
    </row>
    <row r="792" customFormat="false" ht="15" hidden="false" customHeight="false" outlineLevel="0" collapsed="false">
      <c r="A792" s="5" t="n">
        <v>2026</v>
      </c>
      <c r="B792" s="7" t="s">
        <v>951</v>
      </c>
      <c r="C792" s="10" t="str">
        <f aca="false">INDEX(球員主檔!$B$2:$B$749,MATCH($B792,球員主檔!$A$2:$A$749,0))</f>
        <v>Everett Yoshinaga</v>
      </c>
      <c r="D792" s="7" t="s">
        <v>422</v>
      </c>
      <c r="E792" s="10" t="str">
        <f aca="false">INDEX(球隊主檔!$C$2:$C$31,MATCH($D792,球隊主檔!$A$2:$A$31,0))</f>
        <v>華盛頓國民</v>
      </c>
      <c r="F792" s="10" t="str">
        <f aca="false">INDEX(球隊主檔!$D$2:$D$31,MATCH($D792,球隊主檔!$A$2:$A$31,0))</f>
        <v>國聯</v>
      </c>
      <c r="G792" s="7" t="s">
        <v>496</v>
      </c>
      <c r="H792" s="11" t="n">
        <f aca="false">INT((DATE($A792,7,1)-INDEX(球員主檔!$G$2:$G$749,MATCH($B792,球員主檔!$A$2:$A$749,0)))/365.25)</f>
        <v>30</v>
      </c>
      <c r="I792" s="12" t="n">
        <v>9</v>
      </c>
      <c r="J792" s="12" t="n">
        <v>9</v>
      </c>
      <c r="K792" s="12" t="n">
        <v>0</v>
      </c>
      <c r="L792" s="12" t="n">
        <v>0</v>
      </c>
      <c r="M792" s="12" t="n">
        <v>23</v>
      </c>
      <c r="N792" s="12" t="n">
        <v>23</v>
      </c>
      <c r="O792" s="12" t="n">
        <v>339</v>
      </c>
      <c r="P792" s="16" t="n">
        <f aca="false">O792/3</f>
        <v>113</v>
      </c>
      <c r="Q792" s="17" t="str">
        <f aca="false">INT(O792/3)&amp;"."&amp;MOD(O792,3)</f>
        <v>113.0</v>
      </c>
      <c r="R792" s="12" t="n">
        <v>108</v>
      </c>
      <c r="S792" s="12" t="n">
        <v>74</v>
      </c>
      <c r="T792" s="12" t="n">
        <v>69</v>
      </c>
      <c r="U792" s="12" t="n">
        <v>11</v>
      </c>
      <c r="V792" s="12" t="n">
        <v>39</v>
      </c>
      <c r="W792" s="12" t="n">
        <v>141</v>
      </c>
      <c r="X792" s="12" t="n">
        <v>3</v>
      </c>
      <c r="Y792" s="18" t="n">
        <f aca="false">IF(O792=0,0,T792*27/O792)</f>
        <v>5.49557522123894</v>
      </c>
      <c r="Z792" s="18" t="n">
        <f aca="false">IF(P792=0,0,(V792+R792)/P792)</f>
        <v>1.30088495575221</v>
      </c>
      <c r="AA792" s="18" t="n">
        <f aca="false">IF(O792=0,0,W792*27/O792)</f>
        <v>11.2300884955752</v>
      </c>
      <c r="AB792" s="18" t="n">
        <f aca="false">IF(O792=0,0,V792*27/O792)</f>
        <v>3.10619469026549</v>
      </c>
      <c r="AC792" s="18" t="n">
        <f aca="false">IF(V792=0,0,W792/V792)</f>
        <v>3.61538461538462</v>
      </c>
      <c r="AD792" s="18" t="n">
        <f aca="false">IF(P792=0,0,(13*U792+3*(V792+X792)-2*W792)/P792+INDEX(球季參數!$C$2:$C$4,MATCH($A792,球季參數!$A$2:$A$4,0)))</f>
        <v>2.96495575221239</v>
      </c>
      <c r="AE792" s="11" t="n">
        <f aca="false">IF(P792&gt;=INDEX(球季參數!$F$2:$F$4,MATCH($A792,球季參數!$A$2:$A$4,0)),1,0)</f>
        <v>0</v>
      </c>
    </row>
    <row r="793" customFormat="false" ht="15" hidden="false" customHeight="false" outlineLevel="0" collapsed="false">
      <c r="A793" s="5" t="n">
        <v>2026</v>
      </c>
      <c r="B793" s="7" t="s">
        <v>1259</v>
      </c>
      <c r="C793" s="10" t="str">
        <f aca="false">INDEX(球員主檔!$B$2:$B$749,MATCH($B793,球員主檔!$A$2:$A$749,0))</f>
        <v>Thaddeus Nakagawa</v>
      </c>
      <c r="D793" s="7" t="s">
        <v>422</v>
      </c>
      <c r="E793" s="10" t="str">
        <f aca="false">INDEX(球隊主檔!$C$2:$C$31,MATCH($D793,球隊主檔!$A$2:$A$31,0))</f>
        <v>華盛頓國民</v>
      </c>
      <c r="F793" s="10" t="str">
        <f aca="false">INDEX(球隊主檔!$D$2:$D$31,MATCH($D793,球隊主檔!$A$2:$A$31,0))</f>
        <v>國聯</v>
      </c>
      <c r="G793" s="7" t="s">
        <v>496</v>
      </c>
      <c r="H793" s="11" t="n">
        <f aca="false">INT((DATE($A793,7,1)-INDEX(球員主檔!$G$2:$G$749,MATCH($B793,球員主檔!$A$2:$A$749,0)))/365.25)</f>
        <v>34</v>
      </c>
      <c r="I793" s="12" t="n">
        <v>3</v>
      </c>
      <c r="J793" s="12" t="n">
        <v>2</v>
      </c>
      <c r="K793" s="12" t="n">
        <v>0</v>
      </c>
      <c r="L793" s="12" t="n">
        <v>0</v>
      </c>
      <c r="M793" s="12" t="n">
        <v>9</v>
      </c>
      <c r="N793" s="12" t="n">
        <v>9</v>
      </c>
      <c r="O793" s="12" t="n">
        <v>154</v>
      </c>
      <c r="P793" s="16" t="n">
        <f aca="false">O793/3</f>
        <v>51.3333333333333</v>
      </c>
      <c r="Q793" s="17" t="str">
        <f aca="false">INT(O793/3)&amp;"."&amp;MOD(O793,3)</f>
        <v>51.1</v>
      </c>
      <c r="R793" s="12" t="n">
        <v>47</v>
      </c>
      <c r="S793" s="12" t="n">
        <v>27</v>
      </c>
      <c r="T793" s="12" t="n">
        <v>27</v>
      </c>
      <c r="U793" s="12" t="n">
        <v>3</v>
      </c>
      <c r="V793" s="12" t="n">
        <v>16</v>
      </c>
      <c r="W793" s="12" t="n">
        <v>42</v>
      </c>
      <c r="X793" s="12" t="n">
        <v>2</v>
      </c>
      <c r="Y793" s="18" t="n">
        <f aca="false">IF(O793=0,0,T793*27/O793)</f>
        <v>4.73376623376623</v>
      </c>
      <c r="Z793" s="18" t="n">
        <f aca="false">IF(P793=0,0,(V793+R793)/P793)</f>
        <v>1.22727272727273</v>
      </c>
      <c r="AA793" s="18" t="n">
        <f aca="false">IF(O793=0,0,W793*27/O793)</f>
        <v>7.36363636363636</v>
      </c>
      <c r="AB793" s="18" t="n">
        <f aca="false">IF(O793=0,0,V793*27/O793)</f>
        <v>2.80519480519481</v>
      </c>
      <c r="AC793" s="18" t="n">
        <f aca="false">IF(V793=0,0,W793/V793)</f>
        <v>2.625</v>
      </c>
      <c r="AD793" s="18" t="n">
        <f aca="false">IF(P793=0,0,(13*U793+3*(V793+X793)-2*W793)/P793+INDEX(球季參數!$C$2:$C$4,MATCH($A793,球季參數!$A$2:$A$4,0)))</f>
        <v>3.25532467532468</v>
      </c>
      <c r="AE793" s="11" t="n">
        <f aca="false">IF(P793&gt;=INDEX(球季參數!$F$2:$F$4,MATCH($A793,球季參數!$A$2:$A$4,0)),1,0)</f>
        <v>0</v>
      </c>
    </row>
    <row r="794" customFormat="false" ht="15" hidden="false" customHeight="false" outlineLevel="0" collapsed="false">
      <c r="A794" s="5" t="n">
        <v>2026</v>
      </c>
      <c r="B794" s="7" t="s">
        <v>1261</v>
      </c>
      <c r="C794" s="10" t="str">
        <f aca="false">INDEX(球員主檔!$B$2:$B$749,MATCH($B794,球員主檔!$A$2:$A$749,0))</f>
        <v>Soren Brightwell</v>
      </c>
      <c r="D794" s="7" t="s">
        <v>422</v>
      </c>
      <c r="E794" s="10" t="str">
        <f aca="false">INDEX(球隊主檔!$C$2:$C$31,MATCH($D794,球隊主檔!$A$2:$A$31,0))</f>
        <v>華盛頓國民</v>
      </c>
      <c r="F794" s="10" t="str">
        <f aca="false">INDEX(球隊主檔!$D$2:$D$31,MATCH($D794,球隊主檔!$A$2:$A$31,0))</f>
        <v>國聯</v>
      </c>
      <c r="G794" s="7" t="s">
        <v>496</v>
      </c>
      <c r="H794" s="11" t="n">
        <f aca="false">INT((DATE($A794,7,1)-INDEX(球員主檔!$G$2:$G$749,MATCH($B794,球員主檔!$A$2:$A$749,0)))/365.25)</f>
        <v>32</v>
      </c>
      <c r="I794" s="12" t="n">
        <v>12</v>
      </c>
      <c r="J794" s="12" t="n">
        <v>6</v>
      </c>
      <c r="K794" s="12" t="n">
        <v>0</v>
      </c>
      <c r="L794" s="12" t="n">
        <v>0</v>
      </c>
      <c r="M794" s="12" t="n">
        <v>24</v>
      </c>
      <c r="N794" s="12" t="n">
        <v>24</v>
      </c>
      <c r="O794" s="12" t="n">
        <v>410</v>
      </c>
      <c r="P794" s="16" t="n">
        <f aca="false">O794/3</f>
        <v>136.666666666667</v>
      </c>
      <c r="Q794" s="17" t="str">
        <f aca="false">INT(O794/3)&amp;"."&amp;MOD(O794,3)</f>
        <v>136.2</v>
      </c>
      <c r="R794" s="12" t="n">
        <v>106</v>
      </c>
      <c r="S794" s="12" t="n">
        <v>54</v>
      </c>
      <c r="T794" s="12" t="n">
        <v>51</v>
      </c>
      <c r="U794" s="12" t="n">
        <v>12</v>
      </c>
      <c r="V794" s="12" t="n">
        <v>55</v>
      </c>
      <c r="W794" s="12" t="n">
        <v>129</v>
      </c>
      <c r="X794" s="12" t="n">
        <v>6</v>
      </c>
      <c r="Y794" s="18" t="n">
        <f aca="false">IF(O794=0,0,T794*27/O794)</f>
        <v>3.35853658536585</v>
      </c>
      <c r="Z794" s="18" t="n">
        <f aca="false">IF(P794=0,0,(V794+R794)/P794)</f>
        <v>1.17804878048781</v>
      </c>
      <c r="AA794" s="18" t="n">
        <f aca="false">IF(O794=0,0,W794*27/O794)</f>
        <v>8.49512195121951</v>
      </c>
      <c r="AB794" s="18" t="n">
        <f aca="false">IF(O794=0,0,V794*27/O794)</f>
        <v>3.6219512195122</v>
      </c>
      <c r="AC794" s="18" t="n">
        <f aca="false">IF(V794=0,0,W794/V794)</f>
        <v>2.34545454545455</v>
      </c>
      <c r="AD794" s="18" t="n">
        <f aca="false">IF(P794=0,0,(13*U794+3*(V794+X794)-2*W794)/P794+INDEX(球季參數!$C$2:$C$4,MATCH($A794,球季參數!$A$2:$A$4,0)))</f>
        <v>3.67268292682927</v>
      </c>
      <c r="AE794" s="11" t="n">
        <f aca="false">IF(P794&gt;=INDEX(球季參數!$F$2:$F$4,MATCH($A794,球季參數!$A$2:$A$4,0)),1,0)</f>
        <v>0</v>
      </c>
    </row>
    <row r="795" customFormat="false" ht="15" hidden="false" customHeight="false" outlineLevel="0" collapsed="false">
      <c r="A795" s="5" t="n">
        <v>2026</v>
      </c>
      <c r="B795" s="7" t="s">
        <v>1263</v>
      </c>
      <c r="C795" s="10" t="str">
        <f aca="false">INDEX(球員主檔!$B$2:$B$749,MATCH($B795,球員主檔!$A$2:$A$749,0))</f>
        <v>Ronin Hargreaves</v>
      </c>
      <c r="D795" s="7" t="s">
        <v>422</v>
      </c>
      <c r="E795" s="10" t="str">
        <f aca="false">INDEX(球隊主檔!$C$2:$C$31,MATCH($D795,球隊主檔!$A$2:$A$31,0))</f>
        <v>華盛頓國民</v>
      </c>
      <c r="F795" s="10" t="str">
        <f aca="false">INDEX(球隊主檔!$D$2:$D$31,MATCH($D795,球隊主檔!$A$2:$A$31,0))</f>
        <v>國聯</v>
      </c>
      <c r="G795" s="7" t="s">
        <v>496</v>
      </c>
      <c r="H795" s="11" t="n">
        <f aca="false">INT((DATE($A795,7,1)-INDEX(球員主檔!$G$2:$G$749,MATCH($B795,球員主檔!$A$2:$A$749,0)))/365.25)</f>
        <v>31</v>
      </c>
      <c r="I795" s="12" t="n">
        <v>12</v>
      </c>
      <c r="J795" s="12" t="n">
        <v>9</v>
      </c>
      <c r="K795" s="12" t="n">
        <v>0</v>
      </c>
      <c r="L795" s="12" t="n">
        <v>0</v>
      </c>
      <c r="M795" s="12" t="n">
        <v>32</v>
      </c>
      <c r="N795" s="12" t="n">
        <v>32</v>
      </c>
      <c r="O795" s="12" t="n">
        <v>471</v>
      </c>
      <c r="P795" s="16" t="n">
        <f aca="false">O795/3</f>
        <v>157</v>
      </c>
      <c r="Q795" s="17" t="str">
        <f aca="false">INT(O795/3)&amp;"."&amp;MOD(O795,3)</f>
        <v>157.0</v>
      </c>
      <c r="R795" s="12" t="n">
        <v>144</v>
      </c>
      <c r="S795" s="12" t="n">
        <v>86</v>
      </c>
      <c r="T795" s="12" t="n">
        <v>81</v>
      </c>
      <c r="U795" s="12" t="n">
        <v>31</v>
      </c>
      <c r="V795" s="12" t="n">
        <v>49</v>
      </c>
      <c r="W795" s="12" t="n">
        <v>155</v>
      </c>
      <c r="X795" s="12" t="n">
        <v>7</v>
      </c>
      <c r="Y795" s="18" t="n">
        <f aca="false">IF(O795=0,0,T795*27/O795)</f>
        <v>4.64331210191083</v>
      </c>
      <c r="Z795" s="18" t="n">
        <f aca="false">IF(P795=0,0,(V795+R795)/P795)</f>
        <v>1.22929936305732</v>
      </c>
      <c r="AA795" s="18" t="n">
        <f aca="false">IF(O795=0,0,W795*27/O795)</f>
        <v>8.88535031847134</v>
      </c>
      <c r="AB795" s="18" t="n">
        <f aca="false">IF(O795=0,0,V795*27/O795)</f>
        <v>2.80891719745223</v>
      </c>
      <c r="AC795" s="18" t="n">
        <f aca="false">IF(V795=0,0,W795/V795)</f>
        <v>3.16326530612245</v>
      </c>
      <c r="AD795" s="18" t="n">
        <f aca="false">IF(P795=0,0,(13*U795+3*(V795+X795)-2*W795)/P795+INDEX(球季參數!$C$2:$C$4,MATCH($A795,球季參數!$A$2:$A$4,0)))</f>
        <v>4.74242038216561</v>
      </c>
      <c r="AE795" s="11" t="n">
        <f aca="false">IF(P795&gt;=INDEX(球季參數!$F$2:$F$4,MATCH($A795,球季參數!$A$2:$A$4,0)),1,0)</f>
        <v>0</v>
      </c>
    </row>
    <row r="796" customFormat="false" ht="15" hidden="false" customHeight="false" outlineLevel="0" collapsed="false">
      <c r="A796" s="5" t="n">
        <v>2026</v>
      </c>
      <c r="B796" s="7" t="s">
        <v>937</v>
      </c>
      <c r="C796" s="10" t="str">
        <f aca="false">INDEX(球員主檔!$B$2:$B$749,MATCH($B796,球員主檔!$A$2:$A$749,0))</f>
        <v>Konrad Garrity</v>
      </c>
      <c r="D796" s="7" t="s">
        <v>422</v>
      </c>
      <c r="E796" s="10" t="str">
        <f aca="false">INDEX(球隊主檔!$C$2:$C$31,MATCH($D796,球隊主檔!$A$2:$A$31,0))</f>
        <v>華盛頓國民</v>
      </c>
      <c r="F796" s="10" t="str">
        <f aca="false">INDEX(球隊主檔!$D$2:$D$31,MATCH($D796,球隊主檔!$A$2:$A$31,0))</f>
        <v>國聯</v>
      </c>
      <c r="G796" s="7" t="s">
        <v>496</v>
      </c>
      <c r="H796" s="11" t="n">
        <f aca="false">INT((DATE($A796,7,1)-INDEX(球員主檔!$G$2:$G$749,MATCH($B796,球員主檔!$A$2:$A$749,0)))/365.25)</f>
        <v>31</v>
      </c>
      <c r="I796" s="12" t="n">
        <v>10</v>
      </c>
      <c r="J796" s="12" t="n">
        <v>9</v>
      </c>
      <c r="K796" s="12" t="n">
        <v>0</v>
      </c>
      <c r="L796" s="12" t="n">
        <v>0</v>
      </c>
      <c r="M796" s="12" t="n">
        <v>33</v>
      </c>
      <c r="N796" s="12" t="n">
        <v>33</v>
      </c>
      <c r="O796" s="12" t="n">
        <v>543</v>
      </c>
      <c r="P796" s="16" t="n">
        <f aca="false">O796/3</f>
        <v>181</v>
      </c>
      <c r="Q796" s="17" t="str">
        <f aca="false">INT(O796/3)&amp;"."&amp;MOD(O796,3)</f>
        <v>181.0</v>
      </c>
      <c r="R796" s="12" t="n">
        <v>164</v>
      </c>
      <c r="S796" s="12" t="n">
        <v>118</v>
      </c>
      <c r="T796" s="12" t="n">
        <v>104</v>
      </c>
      <c r="U796" s="12" t="n">
        <v>26</v>
      </c>
      <c r="V796" s="12" t="n">
        <v>43</v>
      </c>
      <c r="W796" s="12" t="n">
        <v>147</v>
      </c>
      <c r="X796" s="12" t="n">
        <v>4</v>
      </c>
      <c r="Y796" s="18" t="n">
        <f aca="false">IF(O796=0,0,T796*27/O796)</f>
        <v>5.17127071823204</v>
      </c>
      <c r="Z796" s="18" t="n">
        <f aca="false">IF(P796=0,0,(V796+R796)/P796)</f>
        <v>1.14364640883978</v>
      </c>
      <c r="AA796" s="18" t="n">
        <f aca="false">IF(O796=0,0,W796*27/O796)</f>
        <v>7.30939226519337</v>
      </c>
      <c r="AB796" s="18" t="n">
        <f aca="false">IF(O796=0,0,V796*27/O796)</f>
        <v>2.13812154696133</v>
      </c>
      <c r="AC796" s="18" t="n">
        <f aca="false">IF(V796=0,0,W796/V796)</f>
        <v>3.41860465116279</v>
      </c>
      <c r="AD796" s="18" t="n">
        <f aca="false">IF(P796=0,0,(13*U796+3*(V796+X796)-2*W796)/P796+INDEX(球季參數!$C$2:$C$4,MATCH($A796,球季參數!$A$2:$A$4,0)))</f>
        <v>4.10209944751381</v>
      </c>
      <c r="AE796" s="11" t="n">
        <f aca="false">IF(P796&gt;=INDEX(球季參數!$F$2:$F$4,MATCH($A796,球季參數!$A$2:$A$4,0)),1,0)</f>
        <v>1</v>
      </c>
    </row>
    <row r="797" customFormat="false" ht="15" hidden="false" customHeight="false" outlineLevel="0" collapsed="false">
      <c r="A797" s="5" t="n">
        <v>2026</v>
      </c>
      <c r="B797" s="7" t="s">
        <v>1267</v>
      </c>
      <c r="C797" s="10" t="str">
        <f aca="false">INDEX(球員主檔!$B$2:$B$749,MATCH($B797,球員主檔!$A$2:$A$749,0))</f>
        <v>Ignacio Cavanaugh</v>
      </c>
      <c r="D797" s="7" t="s">
        <v>422</v>
      </c>
      <c r="E797" s="10" t="str">
        <f aca="false">INDEX(球隊主檔!$C$2:$C$31,MATCH($D797,球隊主檔!$A$2:$A$31,0))</f>
        <v>華盛頓國民</v>
      </c>
      <c r="F797" s="10" t="str">
        <f aca="false">INDEX(球隊主檔!$D$2:$D$31,MATCH($D797,球隊主檔!$A$2:$A$31,0))</f>
        <v>國聯</v>
      </c>
      <c r="G797" s="7" t="s">
        <v>507</v>
      </c>
      <c r="H797" s="11" t="n">
        <f aca="false">INT((DATE($A797,7,1)-INDEX(球員主檔!$G$2:$G$749,MATCH($B797,球員主檔!$A$2:$A$749,0)))/365.25)</f>
        <v>27</v>
      </c>
      <c r="I797" s="12" t="n">
        <v>0</v>
      </c>
      <c r="J797" s="12" t="n">
        <v>6</v>
      </c>
      <c r="K797" s="12" t="n">
        <v>21</v>
      </c>
      <c r="L797" s="12" t="n">
        <v>3</v>
      </c>
      <c r="M797" s="12" t="n">
        <v>48</v>
      </c>
      <c r="N797" s="12" t="n">
        <v>0</v>
      </c>
      <c r="O797" s="12" t="n">
        <v>155</v>
      </c>
      <c r="P797" s="16" t="n">
        <f aca="false">O797/3</f>
        <v>51.6666666666667</v>
      </c>
      <c r="Q797" s="17" t="str">
        <f aca="false">INT(O797/3)&amp;"."&amp;MOD(O797,3)</f>
        <v>51.2</v>
      </c>
      <c r="R797" s="12" t="n">
        <v>43</v>
      </c>
      <c r="S797" s="12" t="n">
        <v>19</v>
      </c>
      <c r="T797" s="12" t="n">
        <v>19</v>
      </c>
      <c r="U797" s="12" t="n">
        <v>9</v>
      </c>
      <c r="V797" s="12" t="n">
        <v>21</v>
      </c>
      <c r="W797" s="12" t="n">
        <v>73</v>
      </c>
      <c r="X797" s="12" t="n">
        <v>1</v>
      </c>
      <c r="Y797" s="18" t="n">
        <f aca="false">IF(O797=0,0,T797*27/O797)</f>
        <v>3.30967741935484</v>
      </c>
      <c r="Z797" s="18" t="n">
        <f aca="false">IF(P797=0,0,(V797+R797)/P797)</f>
        <v>1.23870967741936</v>
      </c>
      <c r="AA797" s="18" t="n">
        <f aca="false">IF(O797=0,0,W797*27/O797)</f>
        <v>12.7161290322581</v>
      </c>
      <c r="AB797" s="18" t="n">
        <f aca="false">IF(O797=0,0,V797*27/O797)</f>
        <v>3.65806451612903</v>
      </c>
      <c r="AC797" s="18" t="n">
        <f aca="false">IF(V797=0,0,W797/V797)</f>
        <v>3.47619047619048</v>
      </c>
      <c r="AD797" s="18" t="n">
        <f aca="false">IF(P797=0,0,(13*U797+3*(V797+X797)-2*W797)/P797+INDEX(球季參數!$C$2:$C$4,MATCH($A797,球季參數!$A$2:$A$4,0)))</f>
        <v>3.79612903225806</v>
      </c>
      <c r="AE797" s="11" t="n">
        <f aca="false">IF(P797&gt;=INDEX(球季參數!$F$2:$F$4,MATCH($A797,球季參數!$A$2:$A$4,0)),1,0)</f>
        <v>0</v>
      </c>
    </row>
    <row r="798" customFormat="false" ht="15" hidden="false" customHeight="false" outlineLevel="0" collapsed="false">
      <c r="A798" s="5" t="n">
        <v>2026</v>
      </c>
      <c r="B798" s="7" t="s">
        <v>1269</v>
      </c>
      <c r="C798" s="10" t="str">
        <f aca="false">INDEX(球員主檔!$B$2:$B$749,MATCH($B798,球員主檔!$A$2:$A$749,0))</f>
        <v>Jedidiah Gallimore</v>
      </c>
      <c r="D798" s="7" t="s">
        <v>422</v>
      </c>
      <c r="E798" s="10" t="str">
        <f aca="false">INDEX(球隊主檔!$C$2:$C$31,MATCH($D798,球隊主檔!$A$2:$A$31,0))</f>
        <v>華盛頓國民</v>
      </c>
      <c r="F798" s="10" t="str">
        <f aca="false">INDEX(球隊主檔!$D$2:$D$31,MATCH($D798,球隊主檔!$A$2:$A$31,0))</f>
        <v>國聯</v>
      </c>
      <c r="G798" s="7" t="s">
        <v>507</v>
      </c>
      <c r="H798" s="11" t="n">
        <f aca="false">INT((DATE($A798,7,1)-INDEX(球員主檔!$G$2:$G$749,MATCH($B798,球員主檔!$A$2:$A$749,0)))/365.25)</f>
        <v>30</v>
      </c>
      <c r="I798" s="12" t="n">
        <v>4</v>
      </c>
      <c r="J798" s="12" t="n">
        <v>3</v>
      </c>
      <c r="K798" s="12" t="n">
        <v>2</v>
      </c>
      <c r="L798" s="12" t="n">
        <v>8</v>
      </c>
      <c r="M798" s="12" t="n">
        <v>66</v>
      </c>
      <c r="N798" s="12" t="n">
        <v>0</v>
      </c>
      <c r="O798" s="12" t="n">
        <v>207</v>
      </c>
      <c r="P798" s="16" t="n">
        <f aca="false">O798/3</f>
        <v>69</v>
      </c>
      <c r="Q798" s="17" t="str">
        <f aca="false">INT(O798/3)&amp;"."&amp;MOD(O798,3)</f>
        <v>69.0</v>
      </c>
      <c r="R798" s="12" t="n">
        <v>51</v>
      </c>
      <c r="S798" s="12" t="n">
        <v>26</v>
      </c>
      <c r="T798" s="12" t="n">
        <v>23</v>
      </c>
      <c r="U798" s="12" t="n">
        <v>6</v>
      </c>
      <c r="V798" s="12" t="n">
        <v>29</v>
      </c>
      <c r="W798" s="12" t="n">
        <v>61</v>
      </c>
      <c r="X798" s="12" t="n">
        <v>2</v>
      </c>
      <c r="Y798" s="18" t="n">
        <f aca="false">IF(O798=0,0,T798*27/O798)</f>
        <v>3</v>
      </c>
      <c r="Z798" s="18" t="n">
        <f aca="false">IF(P798=0,0,(V798+R798)/P798)</f>
        <v>1.15942028985507</v>
      </c>
      <c r="AA798" s="18" t="n">
        <f aca="false">IF(O798=0,0,W798*27/O798)</f>
        <v>7.95652173913044</v>
      </c>
      <c r="AB798" s="18" t="n">
        <f aca="false">IF(O798=0,0,V798*27/O798)</f>
        <v>3.78260869565217</v>
      </c>
      <c r="AC798" s="18" t="n">
        <f aca="false">IF(V798=0,0,W798/V798)</f>
        <v>2.10344827586207</v>
      </c>
      <c r="AD798" s="18" t="n">
        <f aca="false">IF(P798=0,0,(13*U798+3*(V798+X798)-2*W798)/P798+INDEX(球季參數!$C$2:$C$4,MATCH($A798,球季參數!$A$2:$A$4,0)))</f>
        <v>3.79014492753623</v>
      </c>
      <c r="AE798" s="11" t="n">
        <f aca="false">IF(P798&gt;=INDEX(球季參數!$F$2:$F$4,MATCH($A798,球季參數!$A$2:$A$4,0)),1,0)</f>
        <v>0</v>
      </c>
    </row>
    <row r="799" customFormat="false" ht="15" hidden="false" customHeight="false" outlineLevel="0" collapsed="false">
      <c r="A799" s="5" t="n">
        <v>2026</v>
      </c>
      <c r="B799" s="7" t="s">
        <v>1271</v>
      </c>
      <c r="C799" s="10" t="str">
        <f aca="false">INDEX(球員主檔!$B$2:$B$749,MATCH($B799,球員主檔!$A$2:$A$749,0))</f>
        <v>Rhett Kiriakis</v>
      </c>
      <c r="D799" s="7" t="s">
        <v>422</v>
      </c>
      <c r="E799" s="10" t="str">
        <f aca="false">INDEX(球隊主檔!$C$2:$C$31,MATCH($D799,球隊主檔!$A$2:$A$31,0))</f>
        <v>華盛頓國民</v>
      </c>
      <c r="F799" s="10" t="str">
        <f aca="false">INDEX(球隊主檔!$D$2:$D$31,MATCH($D799,球隊主檔!$A$2:$A$31,0))</f>
        <v>國聯</v>
      </c>
      <c r="G799" s="7" t="s">
        <v>507</v>
      </c>
      <c r="H799" s="11" t="n">
        <f aca="false">INT((DATE($A799,7,1)-INDEX(球員主檔!$G$2:$G$749,MATCH($B799,球員主檔!$A$2:$A$749,0)))/365.25)</f>
        <v>32</v>
      </c>
      <c r="I799" s="12" t="n">
        <v>5</v>
      </c>
      <c r="J799" s="12" t="n">
        <v>6</v>
      </c>
      <c r="K799" s="12" t="n">
        <v>3</v>
      </c>
      <c r="L799" s="12" t="n">
        <v>33</v>
      </c>
      <c r="M799" s="12" t="n">
        <v>57</v>
      </c>
      <c r="N799" s="12" t="n">
        <v>0</v>
      </c>
      <c r="O799" s="12" t="n">
        <v>153</v>
      </c>
      <c r="P799" s="16" t="n">
        <f aca="false">O799/3</f>
        <v>51</v>
      </c>
      <c r="Q799" s="17" t="str">
        <f aca="false">INT(O799/3)&amp;"."&amp;MOD(O799,3)</f>
        <v>51.0</v>
      </c>
      <c r="R799" s="12" t="n">
        <v>39</v>
      </c>
      <c r="S799" s="12" t="n">
        <v>17</v>
      </c>
      <c r="T799" s="12" t="n">
        <v>17</v>
      </c>
      <c r="U799" s="12" t="n">
        <v>5</v>
      </c>
      <c r="V799" s="12" t="n">
        <v>26</v>
      </c>
      <c r="W799" s="12" t="n">
        <v>41</v>
      </c>
      <c r="X799" s="12" t="n">
        <v>2</v>
      </c>
      <c r="Y799" s="18" t="n">
        <f aca="false">IF(O799=0,0,T799*27/O799)</f>
        <v>3</v>
      </c>
      <c r="Z799" s="18" t="n">
        <f aca="false">IF(P799=0,0,(V799+R799)/P799)</f>
        <v>1.27450980392157</v>
      </c>
      <c r="AA799" s="18" t="n">
        <f aca="false">IF(O799=0,0,W799*27/O799)</f>
        <v>7.23529411764706</v>
      </c>
      <c r="AB799" s="18" t="n">
        <f aca="false">IF(O799=0,0,V799*27/O799)</f>
        <v>4.58823529411765</v>
      </c>
      <c r="AC799" s="18" t="n">
        <f aca="false">IF(V799=0,0,W799/V799)</f>
        <v>1.57692307692308</v>
      </c>
      <c r="AD799" s="18" t="n">
        <f aca="false">IF(P799=0,0,(13*U799+3*(V799+X799)-2*W799)/P799+INDEX(球季參數!$C$2:$C$4,MATCH($A799,球季參數!$A$2:$A$4,0)))</f>
        <v>4.39372549019608</v>
      </c>
      <c r="AE799" s="11" t="n">
        <f aca="false">IF(P799&gt;=INDEX(球季參數!$F$2:$F$4,MATCH($A799,球季參數!$A$2:$A$4,0)),1,0)</f>
        <v>0</v>
      </c>
    </row>
    <row r="800" customFormat="false" ht="15" hidden="false" customHeight="false" outlineLevel="0" collapsed="false">
      <c r="A800" s="5" t="n">
        <v>2026</v>
      </c>
      <c r="B800" s="7" t="s">
        <v>1115</v>
      </c>
      <c r="C800" s="10" t="str">
        <f aca="false">INDEX(球員主檔!$B$2:$B$749,MATCH($B800,球員主檔!$A$2:$A$749,0))</f>
        <v>Garrison Haverford</v>
      </c>
      <c r="D800" s="7" t="s">
        <v>422</v>
      </c>
      <c r="E800" s="10" t="str">
        <f aca="false">INDEX(球隊主檔!$C$2:$C$31,MATCH($D800,球隊主檔!$A$2:$A$31,0))</f>
        <v>華盛頓國民</v>
      </c>
      <c r="F800" s="10" t="str">
        <f aca="false">INDEX(球隊主檔!$D$2:$D$31,MATCH($D800,球隊主檔!$A$2:$A$31,0))</f>
        <v>國聯</v>
      </c>
      <c r="G800" s="7" t="s">
        <v>507</v>
      </c>
      <c r="H800" s="11" t="n">
        <f aca="false">INT((DATE($A800,7,1)-INDEX(球員主檔!$G$2:$G$749,MATCH($B800,球員主檔!$A$2:$A$749,0)))/365.25)</f>
        <v>32</v>
      </c>
      <c r="I800" s="12" t="n">
        <v>4</v>
      </c>
      <c r="J800" s="12" t="n">
        <v>8</v>
      </c>
      <c r="K800" s="12" t="n">
        <v>4</v>
      </c>
      <c r="L800" s="12" t="n">
        <v>24</v>
      </c>
      <c r="M800" s="12" t="n">
        <v>41</v>
      </c>
      <c r="N800" s="12" t="n">
        <v>0</v>
      </c>
      <c r="O800" s="12" t="n">
        <v>128</v>
      </c>
      <c r="P800" s="16" t="n">
        <f aca="false">O800/3</f>
        <v>42.6666666666667</v>
      </c>
      <c r="Q800" s="17" t="str">
        <f aca="false">INT(O800/3)&amp;"."&amp;MOD(O800,3)</f>
        <v>42.2</v>
      </c>
      <c r="R800" s="12" t="n">
        <v>38</v>
      </c>
      <c r="S800" s="12" t="n">
        <v>21</v>
      </c>
      <c r="T800" s="12" t="n">
        <v>20</v>
      </c>
      <c r="U800" s="12" t="n">
        <v>4</v>
      </c>
      <c r="V800" s="12" t="n">
        <v>10</v>
      </c>
      <c r="W800" s="12" t="n">
        <v>38</v>
      </c>
      <c r="X800" s="12" t="n">
        <v>1</v>
      </c>
      <c r="Y800" s="18" t="n">
        <f aca="false">IF(O800=0,0,T800*27/O800)</f>
        <v>4.21875</v>
      </c>
      <c r="Z800" s="18" t="n">
        <f aca="false">IF(P800=0,0,(V800+R800)/P800)</f>
        <v>1.125</v>
      </c>
      <c r="AA800" s="18" t="n">
        <f aca="false">IF(O800=0,0,W800*27/O800)</f>
        <v>8.015625</v>
      </c>
      <c r="AB800" s="18" t="n">
        <f aca="false">IF(O800=0,0,V800*27/O800)</f>
        <v>2.109375</v>
      </c>
      <c r="AC800" s="18" t="n">
        <f aca="false">IF(V800=0,0,W800/V800)</f>
        <v>3.8</v>
      </c>
      <c r="AD800" s="18" t="n">
        <f aca="false">IF(P800=0,0,(13*U800+3*(V800+X800)-2*W800)/P800+INDEX(球季參數!$C$2:$C$4,MATCH($A800,球季參數!$A$2:$A$4,0)))</f>
        <v>3.2909375</v>
      </c>
      <c r="AE800" s="11" t="n">
        <f aca="false">IF(P800&gt;=INDEX(球季參數!$F$2:$F$4,MATCH($A800,球季參數!$A$2:$A$4,0)),1,0)</f>
        <v>0</v>
      </c>
    </row>
    <row r="801" customFormat="false" ht="15" hidden="false" customHeight="false" outlineLevel="0" collapsed="false">
      <c r="A801" s="5" t="n">
        <v>2026</v>
      </c>
      <c r="B801" s="7" t="s">
        <v>1921</v>
      </c>
      <c r="C801" s="10" t="str">
        <f aca="false">INDEX(球員主檔!$B$2:$B$749,MATCH($B801,球員主檔!$A$2:$A$749,0))</f>
        <v>Hugo Prendergast</v>
      </c>
      <c r="D801" s="7" t="s">
        <v>422</v>
      </c>
      <c r="E801" s="10" t="str">
        <f aca="false">INDEX(球隊主檔!$C$2:$C$31,MATCH($D801,球隊主檔!$A$2:$A$31,0))</f>
        <v>華盛頓國民</v>
      </c>
      <c r="F801" s="10" t="str">
        <f aca="false">INDEX(球隊主檔!$D$2:$D$31,MATCH($D801,球隊主檔!$A$2:$A$31,0))</f>
        <v>國聯</v>
      </c>
      <c r="G801" s="7" t="s">
        <v>507</v>
      </c>
      <c r="H801" s="11" t="n">
        <f aca="false">INT((DATE($A801,7,1)-INDEX(球員主檔!$G$2:$G$749,MATCH($B801,球員主檔!$A$2:$A$749,0)))/365.25)</f>
        <v>24</v>
      </c>
      <c r="I801" s="12" t="n">
        <v>9</v>
      </c>
      <c r="J801" s="12" t="n">
        <v>4</v>
      </c>
      <c r="K801" s="12" t="n">
        <v>5</v>
      </c>
      <c r="L801" s="12" t="n">
        <v>3</v>
      </c>
      <c r="M801" s="12" t="n">
        <v>44</v>
      </c>
      <c r="N801" s="12" t="n">
        <v>0</v>
      </c>
      <c r="O801" s="12" t="n">
        <v>146</v>
      </c>
      <c r="P801" s="16" t="n">
        <f aca="false">O801/3</f>
        <v>48.6666666666667</v>
      </c>
      <c r="Q801" s="17" t="str">
        <f aca="false">INT(O801/3)&amp;"."&amp;MOD(O801,3)</f>
        <v>48.2</v>
      </c>
      <c r="R801" s="12" t="n">
        <v>39</v>
      </c>
      <c r="S801" s="12" t="n">
        <v>19</v>
      </c>
      <c r="T801" s="12" t="n">
        <v>17</v>
      </c>
      <c r="U801" s="12" t="n">
        <v>5</v>
      </c>
      <c r="V801" s="12" t="n">
        <v>15</v>
      </c>
      <c r="W801" s="12" t="n">
        <v>59</v>
      </c>
      <c r="X801" s="12" t="n">
        <v>2</v>
      </c>
      <c r="Y801" s="18" t="n">
        <f aca="false">IF(O801=0,0,T801*27/O801)</f>
        <v>3.14383561643836</v>
      </c>
      <c r="Z801" s="18" t="n">
        <f aca="false">IF(P801=0,0,(V801+R801)/P801)</f>
        <v>1.10958904109589</v>
      </c>
      <c r="AA801" s="18" t="n">
        <f aca="false">IF(O801=0,0,W801*27/O801)</f>
        <v>10.9109589041096</v>
      </c>
      <c r="AB801" s="18" t="n">
        <f aca="false">IF(O801=0,0,V801*27/O801)</f>
        <v>2.77397260273973</v>
      </c>
      <c r="AC801" s="18" t="n">
        <f aca="false">IF(V801=0,0,W801/V801)</f>
        <v>3.93333333333333</v>
      </c>
      <c r="AD801" s="18" t="n">
        <f aca="false">IF(P801=0,0,(13*U801+3*(V801+X801)-2*W801)/P801+INDEX(球季參數!$C$2:$C$4,MATCH($A801,球季參數!$A$2:$A$4,0)))</f>
        <v>3.03890410958904</v>
      </c>
      <c r="AE801" s="11" t="n">
        <f aca="false">IF(P801&gt;=INDEX(球季參數!$F$2:$F$4,MATCH($A801,球季參數!$A$2:$A$4,0)),1,0)</f>
        <v>0</v>
      </c>
    </row>
    <row r="802" customFormat="false" ht="15" hidden="false" customHeight="false" outlineLevel="0" collapsed="false">
      <c r="A802" s="5" t="n">
        <v>2026</v>
      </c>
      <c r="B802" s="7" t="s">
        <v>1297</v>
      </c>
      <c r="C802" s="10" t="str">
        <f aca="false">INDEX(球員主檔!$B$2:$B$749,MATCH($B802,球員主檔!$A$2:$A$749,0))</f>
        <v>Nolan Mbeki</v>
      </c>
      <c r="D802" s="7" t="s">
        <v>426</v>
      </c>
      <c r="E802" s="10" t="str">
        <f aca="false">INDEX(球隊主檔!$C$2:$C$31,MATCH($D802,球隊主檔!$A$2:$A$31,0))</f>
        <v>芝加哥小熊</v>
      </c>
      <c r="F802" s="10" t="str">
        <f aca="false">INDEX(球隊主檔!$D$2:$D$31,MATCH($D802,球隊主檔!$A$2:$A$31,0))</f>
        <v>國聯</v>
      </c>
      <c r="G802" s="7" t="s">
        <v>496</v>
      </c>
      <c r="H802" s="11" t="n">
        <f aca="false">INT((DATE($A802,7,1)-INDEX(球員主檔!$G$2:$G$749,MATCH($B802,球員主檔!$A$2:$A$749,0)))/365.25)</f>
        <v>28</v>
      </c>
      <c r="I802" s="12" t="n">
        <v>16</v>
      </c>
      <c r="J802" s="12" t="n">
        <v>5</v>
      </c>
      <c r="K802" s="12" t="n">
        <v>0</v>
      </c>
      <c r="L802" s="12" t="n">
        <v>0</v>
      </c>
      <c r="M802" s="12" t="n">
        <v>30</v>
      </c>
      <c r="N802" s="12" t="n">
        <v>30</v>
      </c>
      <c r="O802" s="12" t="n">
        <v>440</v>
      </c>
      <c r="P802" s="16" t="n">
        <f aca="false">O802/3</f>
        <v>146.666666666667</v>
      </c>
      <c r="Q802" s="17" t="str">
        <f aca="false">INT(O802/3)&amp;"."&amp;MOD(O802,3)</f>
        <v>146.2</v>
      </c>
      <c r="R802" s="12" t="n">
        <v>105</v>
      </c>
      <c r="S802" s="12" t="n">
        <v>43</v>
      </c>
      <c r="T802" s="12" t="n">
        <v>38</v>
      </c>
      <c r="U802" s="12" t="n">
        <v>11</v>
      </c>
      <c r="V802" s="12" t="n">
        <v>20</v>
      </c>
      <c r="W802" s="12" t="n">
        <v>147</v>
      </c>
      <c r="X802" s="12" t="n">
        <v>4</v>
      </c>
      <c r="Y802" s="18" t="n">
        <f aca="false">IF(O802=0,0,T802*27/O802)</f>
        <v>2.33181818181818</v>
      </c>
      <c r="Z802" s="18" t="n">
        <f aca="false">IF(P802=0,0,(V802+R802)/P802)</f>
        <v>0.852272727272727</v>
      </c>
      <c r="AA802" s="18" t="n">
        <f aca="false">IF(O802=0,0,W802*27/O802)</f>
        <v>9.02045454545455</v>
      </c>
      <c r="AB802" s="18" t="n">
        <f aca="false">IF(O802=0,0,V802*27/O802)</f>
        <v>1.22727272727273</v>
      </c>
      <c r="AC802" s="18" t="n">
        <f aca="false">IF(V802=0,0,W802/V802)</f>
        <v>7.35</v>
      </c>
      <c r="AD802" s="18" t="n">
        <f aca="false">IF(P802=0,0,(13*U802+3*(V802+X802)-2*W802)/P802+INDEX(球季參數!$C$2:$C$4,MATCH($A802,球季參數!$A$2:$A$4,0)))</f>
        <v>2.54136363636364</v>
      </c>
      <c r="AE802" s="11" t="n">
        <f aca="false">IF(P802&gt;=INDEX(球季參數!$F$2:$F$4,MATCH($A802,球季參數!$A$2:$A$4,0)),1,0)</f>
        <v>0</v>
      </c>
    </row>
    <row r="803" customFormat="false" ht="15" hidden="false" customHeight="false" outlineLevel="0" collapsed="false">
      <c r="A803" s="5" t="n">
        <v>2026</v>
      </c>
      <c r="B803" s="7" t="s">
        <v>1923</v>
      </c>
      <c r="C803" s="10" t="str">
        <f aca="false">INDEX(球員主檔!$B$2:$B$749,MATCH($B803,球員主檔!$A$2:$A$749,0))</f>
        <v>Osvaldo Rasmussen</v>
      </c>
      <c r="D803" s="7" t="s">
        <v>426</v>
      </c>
      <c r="E803" s="10" t="str">
        <f aca="false">INDEX(球隊主檔!$C$2:$C$31,MATCH($D803,球隊主檔!$A$2:$A$31,0))</f>
        <v>芝加哥小熊</v>
      </c>
      <c r="F803" s="10" t="str">
        <f aca="false">INDEX(球隊主檔!$D$2:$D$31,MATCH($D803,球隊主檔!$A$2:$A$31,0))</f>
        <v>國聯</v>
      </c>
      <c r="G803" s="7" t="s">
        <v>496</v>
      </c>
      <c r="H803" s="11" t="n">
        <f aca="false">INT((DATE($A803,7,1)-INDEX(球員主檔!$G$2:$G$749,MATCH($B803,球員主檔!$A$2:$A$749,0)))/365.25)</f>
        <v>25</v>
      </c>
      <c r="I803" s="12" t="n">
        <v>4</v>
      </c>
      <c r="J803" s="12" t="n">
        <v>2</v>
      </c>
      <c r="K803" s="12" t="n">
        <v>0</v>
      </c>
      <c r="L803" s="12" t="n">
        <v>0</v>
      </c>
      <c r="M803" s="12" t="n">
        <v>9</v>
      </c>
      <c r="N803" s="12" t="n">
        <v>9</v>
      </c>
      <c r="O803" s="12" t="n">
        <v>166</v>
      </c>
      <c r="P803" s="16" t="n">
        <f aca="false">O803/3</f>
        <v>55.3333333333333</v>
      </c>
      <c r="Q803" s="17" t="str">
        <f aca="false">INT(O803/3)&amp;"."&amp;MOD(O803,3)</f>
        <v>55.1</v>
      </c>
      <c r="R803" s="12" t="n">
        <v>44</v>
      </c>
      <c r="S803" s="12" t="n">
        <v>26</v>
      </c>
      <c r="T803" s="12" t="n">
        <v>25</v>
      </c>
      <c r="U803" s="12" t="n">
        <v>4</v>
      </c>
      <c r="V803" s="12" t="n">
        <v>21</v>
      </c>
      <c r="W803" s="12" t="n">
        <v>43</v>
      </c>
      <c r="X803" s="12" t="n">
        <v>2</v>
      </c>
      <c r="Y803" s="18" t="n">
        <f aca="false">IF(O803=0,0,T803*27/O803)</f>
        <v>4.06626506024096</v>
      </c>
      <c r="Z803" s="18" t="n">
        <f aca="false">IF(P803=0,0,(V803+R803)/P803)</f>
        <v>1.17469879518072</v>
      </c>
      <c r="AA803" s="18" t="n">
        <f aca="false">IF(O803=0,0,W803*27/O803)</f>
        <v>6.99397590361446</v>
      </c>
      <c r="AB803" s="18" t="n">
        <f aca="false">IF(O803=0,0,V803*27/O803)</f>
        <v>3.41566265060241</v>
      </c>
      <c r="AC803" s="18" t="n">
        <f aca="false">IF(V803=0,0,W803/V803)</f>
        <v>2.04761904761905</v>
      </c>
      <c r="AD803" s="18" t="n">
        <f aca="false">IF(P803=0,0,(13*U803+3*(V803+X803)-2*W803)/P803+INDEX(球季參數!$C$2:$C$4,MATCH($A803,球季參數!$A$2:$A$4,0)))</f>
        <v>3.71253012048193</v>
      </c>
      <c r="AE803" s="11" t="n">
        <f aca="false">IF(P803&gt;=INDEX(球季參數!$F$2:$F$4,MATCH($A803,球季參數!$A$2:$A$4,0)),1,0)</f>
        <v>0</v>
      </c>
    </row>
    <row r="804" customFormat="false" ht="15" hidden="false" customHeight="false" outlineLevel="0" collapsed="false">
      <c r="A804" s="5" t="n">
        <v>2026</v>
      </c>
      <c r="B804" s="7" t="s">
        <v>1301</v>
      </c>
      <c r="C804" s="10" t="str">
        <f aca="false">INDEX(球員主檔!$B$2:$B$749,MATCH($B804,球員主檔!$A$2:$A$749,0))</f>
        <v>Kellan Oyelaran</v>
      </c>
      <c r="D804" s="7" t="s">
        <v>426</v>
      </c>
      <c r="E804" s="10" t="str">
        <f aca="false">INDEX(球隊主檔!$C$2:$C$31,MATCH($D804,球隊主檔!$A$2:$A$31,0))</f>
        <v>芝加哥小熊</v>
      </c>
      <c r="F804" s="10" t="str">
        <f aca="false">INDEX(球隊主檔!$D$2:$D$31,MATCH($D804,球隊主檔!$A$2:$A$31,0))</f>
        <v>國聯</v>
      </c>
      <c r="G804" s="7" t="s">
        <v>496</v>
      </c>
      <c r="H804" s="11" t="n">
        <f aca="false">INT((DATE($A804,7,1)-INDEX(球員主檔!$G$2:$G$749,MATCH($B804,球員主檔!$A$2:$A$749,0)))/365.25)</f>
        <v>30</v>
      </c>
      <c r="I804" s="12" t="n">
        <v>6</v>
      </c>
      <c r="J804" s="12" t="n">
        <v>3</v>
      </c>
      <c r="K804" s="12" t="n">
        <v>0</v>
      </c>
      <c r="L804" s="12" t="n">
        <v>0</v>
      </c>
      <c r="M804" s="12" t="n">
        <v>12</v>
      </c>
      <c r="N804" s="12" t="n">
        <v>12</v>
      </c>
      <c r="O804" s="12" t="n">
        <v>197</v>
      </c>
      <c r="P804" s="16" t="n">
        <f aca="false">O804/3</f>
        <v>65.6666666666667</v>
      </c>
      <c r="Q804" s="17" t="str">
        <f aca="false">INT(O804/3)&amp;"."&amp;MOD(O804,3)</f>
        <v>65.2</v>
      </c>
      <c r="R804" s="12" t="n">
        <v>52</v>
      </c>
      <c r="S804" s="12" t="n">
        <v>26</v>
      </c>
      <c r="T804" s="12" t="n">
        <v>26</v>
      </c>
      <c r="U804" s="12" t="n">
        <v>6</v>
      </c>
      <c r="V804" s="12" t="n">
        <v>13</v>
      </c>
      <c r="W804" s="12" t="n">
        <v>80</v>
      </c>
      <c r="X804" s="12" t="n">
        <v>3</v>
      </c>
      <c r="Y804" s="18" t="n">
        <f aca="false">IF(O804=0,0,T804*27/O804)</f>
        <v>3.56345177664975</v>
      </c>
      <c r="Z804" s="18" t="n">
        <f aca="false">IF(P804=0,0,(V804+R804)/P804)</f>
        <v>0.989847715736041</v>
      </c>
      <c r="AA804" s="18" t="n">
        <f aca="false">IF(O804=0,0,W804*27/O804)</f>
        <v>10.9644670050761</v>
      </c>
      <c r="AB804" s="18" t="n">
        <f aca="false">IF(O804=0,0,V804*27/O804)</f>
        <v>1.78172588832487</v>
      </c>
      <c r="AC804" s="18" t="n">
        <f aca="false">IF(V804=0,0,W804/V804)</f>
        <v>6.15384615384615</v>
      </c>
      <c r="AD804" s="18" t="n">
        <f aca="false">IF(P804=0,0,(13*U804+3*(V804+X804)-2*W804)/P804+INDEX(球季參數!$C$2:$C$4,MATCH($A804,球季參數!$A$2:$A$4,0)))</f>
        <v>2.56223350253807</v>
      </c>
      <c r="AE804" s="11" t="n">
        <f aca="false">IF(P804&gt;=INDEX(球季參數!$F$2:$F$4,MATCH($A804,球季參數!$A$2:$A$4,0)),1,0)</f>
        <v>0</v>
      </c>
    </row>
    <row r="805" customFormat="false" ht="15" hidden="false" customHeight="false" outlineLevel="0" collapsed="false">
      <c r="A805" s="5" t="n">
        <v>2026</v>
      </c>
      <c r="B805" s="7" t="s">
        <v>1619</v>
      </c>
      <c r="C805" s="10" t="str">
        <f aca="false">INDEX(球員主檔!$B$2:$B$749,MATCH($B805,球員主檔!$A$2:$A$749,0))</f>
        <v>Bernardo Esquivel</v>
      </c>
      <c r="D805" s="7" t="s">
        <v>426</v>
      </c>
      <c r="E805" s="10" t="str">
        <f aca="false">INDEX(球隊主檔!$C$2:$C$31,MATCH($D805,球隊主檔!$A$2:$A$31,0))</f>
        <v>芝加哥小熊</v>
      </c>
      <c r="F805" s="10" t="str">
        <f aca="false">INDEX(球隊主檔!$D$2:$D$31,MATCH($D805,球隊主檔!$A$2:$A$31,0))</f>
        <v>國聯</v>
      </c>
      <c r="G805" s="7" t="s">
        <v>496</v>
      </c>
      <c r="H805" s="11" t="n">
        <f aca="false">INT((DATE($A805,7,1)-INDEX(球員主檔!$G$2:$G$749,MATCH($B805,球員主檔!$A$2:$A$749,0)))/365.25)</f>
        <v>29</v>
      </c>
      <c r="I805" s="12" t="n">
        <v>11</v>
      </c>
      <c r="J805" s="12" t="n">
        <v>8</v>
      </c>
      <c r="K805" s="12" t="n">
        <v>0</v>
      </c>
      <c r="L805" s="12" t="n">
        <v>0</v>
      </c>
      <c r="M805" s="12" t="n">
        <v>33</v>
      </c>
      <c r="N805" s="12" t="n">
        <v>33</v>
      </c>
      <c r="O805" s="12" t="n">
        <v>633</v>
      </c>
      <c r="P805" s="16" t="n">
        <f aca="false">O805/3</f>
        <v>211</v>
      </c>
      <c r="Q805" s="17" t="str">
        <f aca="false">INT(O805/3)&amp;"."&amp;MOD(O805,3)</f>
        <v>211.0</v>
      </c>
      <c r="R805" s="12" t="n">
        <v>165</v>
      </c>
      <c r="S805" s="12" t="n">
        <v>102</v>
      </c>
      <c r="T805" s="12" t="n">
        <v>95</v>
      </c>
      <c r="U805" s="12" t="n">
        <v>40</v>
      </c>
      <c r="V805" s="12" t="n">
        <v>77</v>
      </c>
      <c r="W805" s="12" t="n">
        <v>193</v>
      </c>
      <c r="X805" s="12" t="n">
        <v>12</v>
      </c>
      <c r="Y805" s="18" t="n">
        <f aca="false">IF(O805=0,0,T805*27/O805)</f>
        <v>4.0521327014218</v>
      </c>
      <c r="Z805" s="18" t="n">
        <f aca="false">IF(P805=0,0,(V805+R805)/P805)</f>
        <v>1.14691943127962</v>
      </c>
      <c r="AA805" s="18" t="n">
        <f aca="false">IF(O805=0,0,W805*27/O805)</f>
        <v>8.23222748815166</v>
      </c>
      <c r="AB805" s="18" t="n">
        <f aca="false">IF(O805=0,0,V805*27/O805)</f>
        <v>3.28436018957346</v>
      </c>
      <c r="AC805" s="18" t="n">
        <f aca="false">IF(V805=0,0,W805/V805)</f>
        <v>2.50649350649351</v>
      </c>
      <c r="AD805" s="18" t="n">
        <f aca="false">IF(P805=0,0,(13*U805+3*(V805+X805)-2*W805)/P805+INDEX(球季參數!$C$2:$C$4,MATCH($A805,球季參數!$A$2:$A$4,0)))</f>
        <v>4.98047393364929</v>
      </c>
      <c r="AE805" s="11" t="n">
        <f aca="false">IF(P805&gt;=INDEX(球季參數!$F$2:$F$4,MATCH($A805,球季參數!$A$2:$A$4,0)),1,0)</f>
        <v>1</v>
      </c>
    </row>
    <row r="806" customFormat="false" ht="15" hidden="false" customHeight="false" outlineLevel="0" collapsed="false">
      <c r="A806" s="5" t="n">
        <v>2026</v>
      </c>
      <c r="B806" s="7" t="s">
        <v>1925</v>
      </c>
      <c r="C806" s="10" t="str">
        <f aca="false">INDEX(球員主檔!$B$2:$B$749,MATCH($B806,球員主檔!$A$2:$A$749,0))</f>
        <v>Silas Paszkiewicz</v>
      </c>
      <c r="D806" s="7" t="s">
        <v>426</v>
      </c>
      <c r="E806" s="10" t="str">
        <f aca="false">INDEX(球隊主檔!$C$2:$C$31,MATCH($D806,球隊主檔!$A$2:$A$31,0))</f>
        <v>芝加哥小熊</v>
      </c>
      <c r="F806" s="10" t="str">
        <f aca="false">INDEX(球隊主檔!$D$2:$D$31,MATCH($D806,球隊主檔!$A$2:$A$31,0))</f>
        <v>國聯</v>
      </c>
      <c r="G806" s="7" t="s">
        <v>496</v>
      </c>
      <c r="H806" s="11" t="n">
        <f aca="false">INT((DATE($A806,7,1)-INDEX(球員主檔!$G$2:$G$749,MATCH($B806,球員主檔!$A$2:$A$749,0)))/365.25)</f>
        <v>24</v>
      </c>
      <c r="I806" s="12" t="n">
        <v>13</v>
      </c>
      <c r="J806" s="12" t="n">
        <v>4</v>
      </c>
      <c r="K806" s="12" t="n">
        <v>0</v>
      </c>
      <c r="L806" s="12" t="n">
        <v>0</v>
      </c>
      <c r="M806" s="12" t="n">
        <v>26</v>
      </c>
      <c r="N806" s="12" t="n">
        <v>26</v>
      </c>
      <c r="O806" s="12" t="n">
        <v>454</v>
      </c>
      <c r="P806" s="16" t="n">
        <f aca="false">O806/3</f>
        <v>151.333333333333</v>
      </c>
      <c r="Q806" s="17" t="str">
        <f aca="false">INT(O806/3)&amp;"."&amp;MOD(O806,3)</f>
        <v>151.1</v>
      </c>
      <c r="R806" s="12" t="n">
        <v>107</v>
      </c>
      <c r="S806" s="12" t="n">
        <v>54</v>
      </c>
      <c r="T806" s="12" t="n">
        <v>51</v>
      </c>
      <c r="U806" s="12" t="n">
        <v>12</v>
      </c>
      <c r="V806" s="12" t="n">
        <v>61</v>
      </c>
      <c r="W806" s="12" t="n">
        <v>173</v>
      </c>
      <c r="X806" s="12" t="n">
        <v>7</v>
      </c>
      <c r="Y806" s="18" t="n">
        <f aca="false">IF(O806=0,0,T806*27/O806)</f>
        <v>3.03303964757709</v>
      </c>
      <c r="Z806" s="18" t="n">
        <f aca="false">IF(P806=0,0,(V806+R806)/P806)</f>
        <v>1.11013215859031</v>
      </c>
      <c r="AA806" s="18" t="n">
        <f aca="false">IF(O806=0,0,W806*27/O806)</f>
        <v>10.2885462555066</v>
      </c>
      <c r="AB806" s="18" t="n">
        <f aca="false">IF(O806=0,0,V806*27/O806)</f>
        <v>3.62775330396476</v>
      </c>
      <c r="AC806" s="18" t="n">
        <f aca="false">IF(V806=0,0,W806/V806)</f>
        <v>2.83606557377049</v>
      </c>
      <c r="AD806" s="18" t="n">
        <f aca="false">IF(P806=0,0,(13*U806+3*(V806+X806)-2*W806)/P806+INDEX(球季參數!$C$2:$C$4,MATCH($A806,球季參數!$A$2:$A$4,0)))</f>
        <v>3.17251101321586</v>
      </c>
      <c r="AE806" s="11" t="n">
        <f aca="false">IF(P806&gt;=INDEX(球季參數!$F$2:$F$4,MATCH($A806,球季參數!$A$2:$A$4,0)),1,0)</f>
        <v>0</v>
      </c>
    </row>
    <row r="807" customFormat="false" ht="15" hidden="false" customHeight="false" outlineLevel="0" collapsed="false">
      <c r="A807" s="5" t="n">
        <v>2026</v>
      </c>
      <c r="B807" s="7" t="s">
        <v>1307</v>
      </c>
      <c r="C807" s="10" t="str">
        <f aca="false">INDEX(球員主檔!$B$2:$B$749,MATCH($B807,球員主檔!$A$2:$A$749,0))</f>
        <v>Seonwoo Kiriakis</v>
      </c>
      <c r="D807" s="7" t="s">
        <v>426</v>
      </c>
      <c r="E807" s="10" t="str">
        <f aca="false">INDEX(球隊主檔!$C$2:$C$31,MATCH($D807,球隊主檔!$A$2:$A$31,0))</f>
        <v>芝加哥小熊</v>
      </c>
      <c r="F807" s="10" t="str">
        <f aca="false">INDEX(球隊主檔!$D$2:$D$31,MATCH($D807,球隊主檔!$A$2:$A$31,0))</f>
        <v>國聯</v>
      </c>
      <c r="G807" s="7" t="s">
        <v>507</v>
      </c>
      <c r="H807" s="11" t="n">
        <f aca="false">INT((DATE($A807,7,1)-INDEX(球員主檔!$G$2:$G$749,MATCH($B807,球員主檔!$A$2:$A$749,0)))/365.25)</f>
        <v>27</v>
      </c>
      <c r="I807" s="12" t="n">
        <v>8</v>
      </c>
      <c r="J807" s="12" t="n">
        <v>3</v>
      </c>
      <c r="K807" s="12" t="n">
        <v>36</v>
      </c>
      <c r="L807" s="12" t="n">
        <v>0</v>
      </c>
      <c r="M807" s="12" t="n">
        <v>71</v>
      </c>
      <c r="N807" s="12" t="n">
        <v>0</v>
      </c>
      <c r="O807" s="12" t="n">
        <v>198</v>
      </c>
      <c r="P807" s="16" t="n">
        <f aca="false">O807/3</f>
        <v>66</v>
      </c>
      <c r="Q807" s="17" t="str">
        <f aca="false">INT(O807/3)&amp;"."&amp;MOD(O807,3)</f>
        <v>66.0</v>
      </c>
      <c r="R807" s="12" t="n">
        <v>47</v>
      </c>
      <c r="S807" s="12" t="n">
        <v>24</v>
      </c>
      <c r="T807" s="12" t="n">
        <v>24</v>
      </c>
      <c r="U807" s="12" t="n">
        <v>7</v>
      </c>
      <c r="V807" s="12" t="n">
        <v>30</v>
      </c>
      <c r="W807" s="12" t="n">
        <v>80</v>
      </c>
      <c r="X807" s="12" t="n">
        <v>3</v>
      </c>
      <c r="Y807" s="18" t="n">
        <f aca="false">IF(O807=0,0,T807*27/O807)</f>
        <v>3.27272727272727</v>
      </c>
      <c r="Z807" s="18" t="n">
        <f aca="false">IF(P807=0,0,(V807+R807)/P807)</f>
        <v>1.16666666666667</v>
      </c>
      <c r="AA807" s="18" t="n">
        <f aca="false">IF(O807=0,0,W807*27/O807)</f>
        <v>10.9090909090909</v>
      </c>
      <c r="AB807" s="18" t="n">
        <f aca="false">IF(O807=0,0,V807*27/O807)</f>
        <v>4.09090909090909</v>
      </c>
      <c r="AC807" s="18" t="n">
        <f aca="false">IF(V807=0,0,W807/V807)</f>
        <v>2.66666666666667</v>
      </c>
      <c r="AD807" s="18" t="n">
        <f aca="false">IF(P807=0,0,(13*U807+3*(V807+X807)-2*W807)/P807+INDEX(球季參數!$C$2:$C$4,MATCH($A807,球季參數!$A$2:$A$4,0)))</f>
        <v>3.53454545454545</v>
      </c>
      <c r="AE807" s="11" t="n">
        <f aca="false">IF(P807&gt;=INDEX(球季參數!$F$2:$F$4,MATCH($A807,球季參數!$A$2:$A$4,0)),1,0)</f>
        <v>0</v>
      </c>
    </row>
    <row r="808" customFormat="false" ht="15" hidden="false" customHeight="false" outlineLevel="0" collapsed="false">
      <c r="A808" s="5" t="n">
        <v>2026</v>
      </c>
      <c r="B808" s="7" t="s">
        <v>1927</v>
      </c>
      <c r="C808" s="10" t="str">
        <f aca="false">INDEX(球員主檔!$B$2:$B$749,MATCH($B808,球員主檔!$A$2:$A$749,0))</f>
        <v>Joaquín Uchendu</v>
      </c>
      <c r="D808" s="7" t="s">
        <v>426</v>
      </c>
      <c r="E808" s="10" t="str">
        <f aca="false">INDEX(球隊主檔!$C$2:$C$31,MATCH($D808,球隊主檔!$A$2:$A$31,0))</f>
        <v>芝加哥小熊</v>
      </c>
      <c r="F808" s="10" t="str">
        <f aca="false">INDEX(球隊主檔!$D$2:$D$31,MATCH($D808,球隊主檔!$A$2:$A$31,0))</f>
        <v>國聯</v>
      </c>
      <c r="G808" s="7" t="s">
        <v>507</v>
      </c>
      <c r="H808" s="11" t="n">
        <f aca="false">INT((DATE($A808,7,1)-INDEX(球員主檔!$G$2:$G$749,MATCH($B808,球員主檔!$A$2:$A$749,0)))/365.25)</f>
        <v>19</v>
      </c>
      <c r="I808" s="12" t="n">
        <v>7</v>
      </c>
      <c r="J808" s="12" t="n">
        <v>6</v>
      </c>
      <c r="K808" s="12" t="n">
        <v>0</v>
      </c>
      <c r="L808" s="12" t="n">
        <v>8</v>
      </c>
      <c r="M808" s="12" t="n">
        <v>44</v>
      </c>
      <c r="N808" s="12" t="n">
        <v>0</v>
      </c>
      <c r="O808" s="12" t="n">
        <v>139</v>
      </c>
      <c r="P808" s="16" t="n">
        <f aca="false">O808/3</f>
        <v>46.3333333333333</v>
      </c>
      <c r="Q808" s="17" t="str">
        <f aca="false">INT(O808/3)&amp;"."&amp;MOD(O808,3)</f>
        <v>46.1</v>
      </c>
      <c r="R808" s="12" t="n">
        <v>41</v>
      </c>
      <c r="S808" s="12" t="n">
        <v>26</v>
      </c>
      <c r="T808" s="12" t="n">
        <v>24</v>
      </c>
      <c r="U808" s="12" t="n">
        <v>5</v>
      </c>
      <c r="V808" s="12" t="n">
        <v>10</v>
      </c>
      <c r="W808" s="12" t="n">
        <v>36</v>
      </c>
      <c r="X808" s="12" t="n">
        <v>2</v>
      </c>
      <c r="Y808" s="18" t="n">
        <f aca="false">IF(O808=0,0,T808*27/O808)</f>
        <v>4.66187050359712</v>
      </c>
      <c r="Z808" s="18" t="n">
        <f aca="false">IF(P808=0,0,(V808+R808)/P808)</f>
        <v>1.10071942446043</v>
      </c>
      <c r="AA808" s="18" t="n">
        <f aca="false">IF(O808=0,0,W808*27/O808)</f>
        <v>6.99280575539568</v>
      </c>
      <c r="AB808" s="18" t="n">
        <f aca="false">IF(O808=0,0,V808*27/O808)</f>
        <v>1.94244604316547</v>
      </c>
      <c r="AC808" s="18" t="n">
        <f aca="false">IF(V808=0,0,W808/V808)</f>
        <v>3.6</v>
      </c>
      <c r="AD808" s="18" t="n">
        <f aca="false">IF(P808=0,0,(13*U808+3*(V808+X808)-2*W808)/P808+INDEX(球季參數!$C$2:$C$4,MATCH($A808,球季參數!$A$2:$A$4,0)))</f>
        <v>3.70589928057554</v>
      </c>
      <c r="AE808" s="11" t="n">
        <f aca="false">IF(P808&gt;=INDEX(球季參數!$F$2:$F$4,MATCH($A808,球季參數!$A$2:$A$4,0)),1,0)</f>
        <v>0</v>
      </c>
    </row>
    <row r="809" customFormat="false" ht="15" hidden="false" customHeight="false" outlineLevel="0" collapsed="false">
      <c r="A809" s="5" t="n">
        <v>2026</v>
      </c>
      <c r="B809" s="7" t="s">
        <v>1929</v>
      </c>
      <c r="C809" s="10" t="str">
        <f aca="false">INDEX(球員主檔!$B$2:$B$749,MATCH($B809,球員主檔!$A$2:$A$749,0))</f>
        <v>Bernardo Haverford</v>
      </c>
      <c r="D809" s="7" t="s">
        <v>426</v>
      </c>
      <c r="E809" s="10" t="str">
        <f aca="false">INDEX(球隊主檔!$C$2:$C$31,MATCH($D809,球隊主檔!$A$2:$A$31,0))</f>
        <v>芝加哥小熊</v>
      </c>
      <c r="F809" s="10" t="str">
        <f aca="false">INDEX(球隊主檔!$D$2:$D$31,MATCH($D809,球隊主檔!$A$2:$A$31,0))</f>
        <v>國聯</v>
      </c>
      <c r="G809" s="7" t="s">
        <v>507</v>
      </c>
      <c r="H809" s="11" t="n">
        <f aca="false">INT((DATE($A809,7,1)-INDEX(球員主檔!$G$2:$G$749,MATCH($B809,球員主檔!$A$2:$A$749,0)))/365.25)</f>
        <v>24</v>
      </c>
      <c r="I809" s="12" t="n">
        <v>9</v>
      </c>
      <c r="J809" s="12" t="n">
        <v>1</v>
      </c>
      <c r="K809" s="12" t="n">
        <v>2</v>
      </c>
      <c r="L809" s="12" t="n">
        <v>6</v>
      </c>
      <c r="M809" s="12" t="n">
        <v>48</v>
      </c>
      <c r="N809" s="12" t="n">
        <v>0</v>
      </c>
      <c r="O809" s="12" t="n">
        <v>133</v>
      </c>
      <c r="P809" s="16" t="n">
        <f aca="false">O809/3</f>
        <v>44.3333333333333</v>
      </c>
      <c r="Q809" s="17" t="str">
        <f aca="false">INT(O809/3)&amp;"."&amp;MOD(O809,3)</f>
        <v>44.1</v>
      </c>
      <c r="R809" s="12" t="n">
        <v>29</v>
      </c>
      <c r="S809" s="12" t="n">
        <v>13</v>
      </c>
      <c r="T809" s="12" t="n">
        <v>13</v>
      </c>
      <c r="U809" s="12" t="n">
        <v>6</v>
      </c>
      <c r="V809" s="12" t="n">
        <v>14</v>
      </c>
      <c r="W809" s="12" t="n">
        <v>30</v>
      </c>
      <c r="X809" s="12" t="n">
        <v>1</v>
      </c>
      <c r="Y809" s="18" t="n">
        <f aca="false">IF(O809=0,0,T809*27/O809)</f>
        <v>2.6390977443609</v>
      </c>
      <c r="Z809" s="18" t="n">
        <f aca="false">IF(P809=0,0,(V809+R809)/P809)</f>
        <v>0.969924812030075</v>
      </c>
      <c r="AA809" s="18" t="n">
        <f aca="false">IF(O809=0,0,W809*27/O809)</f>
        <v>6.09022556390977</v>
      </c>
      <c r="AB809" s="18" t="n">
        <f aca="false">IF(O809=0,0,V809*27/O809)</f>
        <v>2.84210526315789</v>
      </c>
      <c r="AC809" s="18" t="n">
        <f aca="false">IF(V809=0,0,W809/V809)</f>
        <v>2.14285714285714</v>
      </c>
      <c r="AD809" s="18" t="n">
        <f aca="false">IF(P809=0,0,(13*U809+3*(V809+X809)-2*W809)/P809+INDEX(球季參數!$C$2:$C$4,MATCH($A809,球季參數!$A$2:$A$4,0)))</f>
        <v>4.50105263157895</v>
      </c>
      <c r="AE809" s="11" t="n">
        <f aca="false">IF(P809&gt;=INDEX(球季參數!$F$2:$F$4,MATCH($A809,球季參數!$A$2:$A$4,0)),1,0)</f>
        <v>0</v>
      </c>
    </row>
    <row r="810" customFormat="false" ht="15" hidden="false" customHeight="false" outlineLevel="0" collapsed="false">
      <c r="A810" s="5" t="n">
        <v>2026</v>
      </c>
      <c r="B810" s="7" t="s">
        <v>947</v>
      </c>
      <c r="C810" s="10" t="str">
        <f aca="false">INDEX(球員主檔!$B$2:$B$749,MATCH($B810,球員主檔!$A$2:$A$749,0))</f>
        <v>Konrad Alcorn</v>
      </c>
      <c r="D810" s="7" t="s">
        <v>426</v>
      </c>
      <c r="E810" s="10" t="str">
        <f aca="false">INDEX(球隊主檔!$C$2:$C$31,MATCH($D810,球隊主檔!$A$2:$A$31,0))</f>
        <v>芝加哥小熊</v>
      </c>
      <c r="F810" s="10" t="str">
        <f aca="false">INDEX(球隊主檔!$D$2:$D$31,MATCH($D810,球隊主檔!$A$2:$A$31,0))</f>
        <v>國聯</v>
      </c>
      <c r="G810" s="7" t="s">
        <v>507</v>
      </c>
      <c r="H810" s="11" t="n">
        <f aca="false">INT((DATE($A810,7,1)-INDEX(球員主檔!$G$2:$G$749,MATCH($B810,球員主檔!$A$2:$A$749,0)))/365.25)</f>
        <v>36</v>
      </c>
      <c r="I810" s="12" t="n">
        <v>0</v>
      </c>
      <c r="J810" s="12" t="n">
        <v>7</v>
      </c>
      <c r="K810" s="12" t="n">
        <v>4</v>
      </c>
      <c r="L810" s="12" t="n">
        <v>22</v>
      </c>
      <c r="M810" s="12" t="n">
        <v>39</v>
      </c>
      <c r="N810" s="12" t="n">
        <v>0</v>
      </c>
      <c r="O810" s="12" t="n">
        <v>110</v>
      </c>
      <c r="P810" s="16" t="n">
        <f aca="false">O810/3</f>
        <v>36.6666666666667</v>
      </c>
      <c r="Q810" s="17" t="str">
        <f aca="false">INT(O810/3)&amp;"."&amp;MOD(O810,3)</f>
        <v>36.2</v>
      </c>
      <c r="R810" s="12" t="n">
        <v>30</v>
      </c>
      <c r="S810" s="12" t="n">
        <v>19</v>
      </c>
      <c r="T810" s="12" t="n">
        <v>17</v>
      </c>
      <c r="U810" s="12" t="n">
        <v>7</v>
      </c>
      <c r="V810" s="12" t="n">
        <v>10</v>
      </c>
      <c r="W810" s="12" t="n">
        <v>24</v>
      </c>
      <c r="X810" s="12" t="n">
        <v>1</v>
      </c>
      <c r="Y810" s="18" t="n">
        <f aca="false">IF(O810=0,0,T810*27/O810)</f>
        <v>4.17272727272727</v>
      </c>
      <c r="Z810" s="18" t="n">
        <f aca="false">IF(P810=0,0,(V810+R810)/P810)</f>
        <v>1.09090909090909</v>
      </c>
      <c r="AA810" s="18" t="n">
        <f aca="false">IF(O810=0,0,W810*27/O810)</f>
        <v>5.89090909090909</v>
      </c>
      <c r="AB810" s="18" t="n">
        <f aca="false">IF(O810=0,0,V810*27/O810)</f>
        <v>2.45454545454545</v>
      </c>
      <c r="AC810" s="18" t="n">
        <f aca="false">IF(V810=0,0,W810/V810)</f>
        <v>2.4</v>
      </c>
      <c r="AD810" s="18" t="n">
        <f aca="false">IF(P810=0,0,(13*U810+3*(V810+X810)-2*W810)/P810+INDEX(球季參數!$C$2:$C$4,MATCH($A810,球季參數!$A$2:$A$4,0)))</f>
        <v>5.15272727272727</v>
      </c>
      <c r="AE810" s="11" t="n">
        <f aca="false">IF(P810&gt;=INDEX(球季參數!$F$2:$F$4,MATCH($A810,球季參數!$A$2:$A$4,0)),1,0)</f>
        <v>0</v>
      </c>
    </row>
    <row r="811" customFormat="false" ht="15" hidden="false" customHeight="false" outlineLevel="0" collapsed="false">
      <c r="A811" s="5" t="n">
        <v>2026</v>
      </c>
      <c r="B811" s="7" t="s">
        <v>1779</v>
      </c>
      <c r="C811" s="10" t="str">
        <f aca="false">INDEX(球員主檔!$B$2:$B$749,MATCH($B811,球員主檔!$A$2:$A$749,0))</f>
        <v>Porter Caldera</v>
      </c>
      <c r="D811" s="7" t="s">
        <v>426</v>
      </c>
      <c r="E811" s="10" t="str">
        <f aca="false">INDEX(球隊主檔!$C$2:$C$31,MATCH($D811,球隊主檔!$A$2:$A$31,0))</f>
        <v>芝加哥小熊</v>
      </c>
      <c r="F811" s="10" t="str">
        <f aca="false">INDEX(球隊主檔!$D$2:$D$31,MATCH($D811,球隊主檔!$A$2:$A$31,0))</f>
        <v>國聯</v>
      </c>
      <c r="G811" s="7" t="s">
        <v>507</v>
      </c>
      <c r="H811" s="11" t="n">
        <f aca="false">INT((DATE($A811,7,1)-INDEX(球員主檔!$G$2:$G$749,MATCH($B811,球員主檔!$A$2:$A$749,0)))/365.25)</f>
        <v>22</v>
      </c>
      <c r="I811" s="12" t="n">
        <v>2</v>
      </c>
      <c r="J811" s="12" t="n">
        <v>1</v>
      </c>
      <c r="K811" s="12" t="n">
        <v>3</v>
      </c>
      <c r="L811" s="12" t="n">
        <v>27</v>
      </c>
      <c r="M811" s="12" t="n">
        <v>66</v>
      </c>
      <c r="N811" s="12" t="n">
        <v>0</v>
      </c>
      <c r="O811" s="12" t="n">
        <v>207</v>
      </c>
      <c r="P811" s="16" t="n">
        <f aca="false">O811/3</f>
        <v>69</v>
      </c>
      <c r="Q811" s="17" t="str">
        <f aca="false">INT(O811/3)&amp;"."&amp;MOD(O811,3)</f>
        <v>69.0</v>
      </c>
      <c r="R811" s="12" t="n">
        <v>62</v>
      </c>
      <c r="S811" s="12" t="n">
        <v>43</v>
      </c>
      <c r="T811" s="12" t="n">
        <v>39</v>
      </c>
      <c r="U811" s="12" t="n">
        <v>5</v>
      </c>
      <c r="V811" s="12" t="n">
        <v>20</v>
      </c>
      <c r="W811" s="12" t="n">
        <v>78</v>
      </c>
      <c r="X811" s="12" t="n">
        <v>3</v>
      </c>
      <c r="Y811" s="18" t="n">
        <f aca="false">IF(O811=0,0,T811*27/O811)</f>
        <v>5.08695652173913</v>
      </c>
      <c r="Z811" s="18" t="n">
        <f aca="false">IF(P811=0,0,(V811+R811)/P811)</f>
        <v>1.18840579710145</v>
      </c>
      <c r="AA811" s="18" t="n">
        <f aca="false">IF(O811=0,0,W811*27/O811)</f>
        <v>10.1739130434783</v>
      </c>
      <c r="AB811" s="18" t="n">
        <f aca="false">IF(O811=0,0,V811*27/O811)</f>
        <v>2.60869565217391</v>
      </c>
      <c r="AC811" s="18" t="n">
        <f aca="false">IF(V811=0,0,W811/V811)</f>
        <v>3.9</v>
      </c>
      <c r="AD811" s="18" t="n">
        <f aca="false">IF(P811=0,0,(13*U811+3*(V811+X811)-2*W811)/P811+INDEX(球季參數!$C$2:$C$4,MATCH($A811,球季參數!$A$2:$A$4,0)))</f>
        <v>2.76115942028986</v>
      </c>
      <c r="AE811" s="11" t="n">
        <f aca="false">IF(P811&gt;=INDEX(球季參數!$F$2:$F$4,MATCH($A811,球季參數!$A$2:$A$4,0)),1,0)</f>
        <v>0</v>
      </c>
    </row>
    <row r="812" customFormat="false" ht="15" hidden="false" customHeight="false" outlineLevel="0" collapsed="false">
      <c r="A812" s="5" t="n">
        <v>2026</v>
      </c>
      <c r="B812" s="7" t="s">
        <v>1931</v>
      </c>
      <c r="C812" s="10" t="str">
        <f aca="false">INDEX(球員主檔!$B$2:$B$749,MATCH($B812,球員主檔!$A$2:$A$749,0))</f>
        <v>Dimitri Sorrentino</v>
      </c>
      <c r="D812" s="7" t="s">
        <v>430</v>
      </c>
      <c r="E812" s="10" t="str">
        <f aca="false">INDEX(球隊主檔!$C$2:$C$31,MATCH($D812,球隊主檔!$A$2:$A$31,0))</f>
        <v>辛辛那提紅人</v>
      </c>
      <c r="F812" s="10" t="str">
        <f aca="false">INDEX(球隊主檔!$D$2:$D$31,MATCH($D812,球隊主檔!$A$2:$A$31,0))</f>
        <v>國聯</v>
      </c>
      <c r="G812" s="7" t="s">
        <v>496</v>
      </c>
      <c r="H812" s="11" t="n">
        <f aca="false">INT((DATE($A812,7,1)-INDEX(球員主檔!$G$2:$G$749,MATCH($B812,球員主檔!$A$2:$A$749,0)))/365.25)</f>
        <v>21</v>
      </c>
      <c r="I812" s="12" t="n">
        <v>9</v>
      </c>
      <c r="J812" s="12" t="n">
        <v>4</v>
      </c>
      <c r="K812" s="12" t="n">
        <v>0</v>
      </c>
      <c r="L812" s="12" t="n">
        <v>0</v>
      </c>
      <c r="M812" s="12" t="n">
        <v>21</v>
      </c>
      <c r="N812" s="12" t="n">
        <v>21</v>
      </c>
      <c r="O812" s="12" t="n">
        <v>311</v>
      </c>
      <c r="P812" s="16" t="n">
        <f aca="false">O812/3</f>
        <v>103.666666666667</v>
      </c>
      <c r="Q812" s="17" t="str">
        <f aca="false">INT(O812/3)&amp;"."&amp;MOD(O812,3)</f>
        <v>103.2</v>
      </c>
      <c r="R812" s="12" t="n">
        <v>89</v>
      </c>
      <c r="S812" s="12" t="n">
        <v>44</v>
      </c>
      <c r="T812" s="12" t="n">
        <v>42</v>
      </c>
      <c r="U812" s="12" t="n">
        <v>8</v>
      </c>
      <c r="V812" s="12" t="n">
        <v>36</v>
      </c>
      <c r="W812" s="12" t="n">
        <v>85</v>
      </c>
      <c r="X812" s="12" t="n">
        <v>5</v>
      </c>
      <c r="Y812" s="18" t="n">
        <f aca="false">IF(O812=0,0,T812*27/O812)</f>
        <v>3.64630225080386</v>
      </c>
      <c r="Z812" s="18" t="n">
        <f aca="false">IF(P812=0,0,(V812+R812)/P812)</f>
        <v>1.20578778135048</v>
      </c>
      <c r="AA812" s="18" t="n">
        <f aca="false">IF(O812=0,0,W812*27/O812)</f>
        <v>7.37942122186495</v>
      </c>
      <c r="AB812" s="18" t="n">
        <f aca="false">IF(O812=0,0,V812*27/O812)</f>
        <v>3.12540192926045</v>
      </c>
      <c r="AC812" s="18" t="n">
        <f aca="false">IF(V812=0,0,W812/V812)</f>
        <v>2.36111111111111</v>
      </c>
      <c r="AD812" s="18" t="n">
        <f aca="false">IF(P812=0,0,(13*U812+3*(V812+X812)-2*W812)/P812+INDEX(球季參數!$C$2:$C$4,MATCH($A812,球季參數!$A$2:$A$4,0)))</f>
        <v>3.62983922829582</v>
      </c>
      <c r="AE812" s="11" t="n">
        <f aca="false">IF(P812&gt;=INDEX(球季參數!$F$2:$F$4,MATCH($A812,球季參數!$A$2:$A$4,0)),1,0)</f>
        <v>0</v>
      </c>
    </row>
    <row r="813" customFormat="false" ht="15" hidden="false" customHeight="false" outlineLevel="0" collapsed="false">
      <c r="A813" s="5" t="n">
        <v>2026</v>
      </c>
      <c r="B813" s="7" t="s">
        <v>1933</v>
      </c>
      <c r="C813" s="10" t="str">
        <f aca="false">INDEX(球員主檔!$B$2:$B$749,MATCH($B813,球員主檔!$A$2:$A$749,0))</f>
        <v>Wendell Fontaine</v>
      </c>
      <c r="D813" s="7" t="s">
        <v>430</v>
      </c>
      <c r="E813" s="10" t="str">
        <f aca="false">INDEX(球隊主檔!$C$2:$C$31,MATCH($D813,球隊主檔!$A$2:$A$31,0))</f>
        <v>辛辛那提紅人</v>
      </c>
      <c r="F813" s="10" t="str">
        <f aca="false">INDEX(球隊主檔!$D$2:$D$31,MATCH($D813,球隊主檔!$A$2:$A$31,0))</f>
        <v>國聯</v>
      </c>
      <c r="G813" s="7" t="s">
        <v>496</v>
      </c>
      <c r="H813" s="11" t="n">
        <f aca="false">INT((DATE($A813,7,1)-INDEX(球員主檔!$G$2:$G$749,MATCH($B813,球員主檔!$A$2:$A$749,0)))/365.25)</f>
        <v>20</v>
      </c>
      <c r="I813" s="12" t="n">
        <v>9</v>
      </c>
      <c r="J813" s="12" t="n">
        <v>10</v>
      </c>
      <c r="K813" s="12" t="n">
        <v>0</v>
      </c>
      <c r="L813" s="12" t="n">
        <v>0</v>
      </c>
      <c r="M813" s="12" t="n">
        <v>29</v>
      </c>
      <c r="N813" s="12" t="n">
        <v>29</v>
      </c>
      <c r="O813" s="12" t="n">
        <v>526</v>
      </c>
      <c r="P813" s="16" t="n">
        <f aca="false">O813/3</f>
        <v>175.333333333333</v>
      </c>
      <c r="Q813" s="17" t="str">
        <f aca="false">INT(O813/3)&amp;"."&amp;MOD(O813,3)</f>
        <v>175.1</v>
      </c>
      <c r="R813" s="12" t="n">
        <v>171</v>
      </c>
      <c r="S813" s="12" t="n">
        <v>121</v>
      </c>
      <c r="T813" s="12" t="n">
        <v>116</v>
      </c>
      <c r="U813" s="12" t="n">
        <v>20</v>
      </c>
      <c r="V813" s="12" t="n">
        <v>31</v>
      </c>
      <c r="W813" s="12" t="n">
        <v>182</v>
      </c>
      <c r="X813" s="12" t="n">
        <v>4</v>
      </c>
      <c r="Y813" s="18" t="n">
        <f aca="false">IF(O813=0,0,T813*27/O813)</f>
        <v>5.95437262357414</v>
      </c>
      <c r="Z813" s="18" t="n">
        <f aca="false">IF(P813=0,0,(V813+R813)/P813)</f>
        <v>1.15209125475285</v>
      </c>
      <c r="AA813" s="18" t="n">
        <f aca="false">IF(O813=0,0,W813*27/O813)</f>
        <v>9.34220532319392</v>
      </c>
      <c r="AB813" s="18" t="n">
        <f aca="false">IF(O813=0,0,V813*27/O813)</f>
        <v>1.59125475285171</v>
      </c>
      <c r="AC813" s="18" t="n">
        <f aca="false">IF(V813=0,0,W813/V813)</f>
        <v>5.87096774193548</v>
      </c>
      <c r="AD813" s="18" t="n">
        <f aca="false">IF(P813=0,0,(13*U813+3*(V813+X813)-2*W813)/P813+INDEX(球季參數!$C$2:$C$4,MATCH($A813,球季參數!$A$2:$A$4,0)))</f>
        <v>3.08570342205323</v>
      </c>
      <c r="AE813" s="11" t="n">
        <f aca="false">IF(P813&gt;=INDEX(球季參數!$F$2:$F$4,MATCH($A813,球季參數!$A$2:$A$4,0)),1,0)</f>
        <v>1</v>
      </c>
    </row>
    <row r="814" customFormat="false" ht="15" hidden="false" customHeight="false" outlineLevel="0" collapsed="false">
      <c r="A814" s="5" t="n">
        <v>2026</v>
      </c>
      <c r="B814" s="7" t="s">
        <v>697</v>
      </c>
      <c r="C814" s="10" t="str">
        <f aca="false">INDEX(球員主檔!$B$2:$B$749,MATCH($B814,球員主檔!$A$2:$A$749,0))</f>
        <v>Nolan Dubois</v>
      </c>
      <c r="D814" s="7" t="s">
        <v>430</v>
      </c>
      <c r="E814" s="10" t="str">
        <f aca="false">INDEX(球隊主檔!$C$2:$C$31,MATCH($D814,球隊主檔!$A$2:$A$31,0))</f>
        <v>辛辛那提紅人</v>
      </c>
      <c r="F814" s="10" t="str">
        <f aca="false">INDEX(球隊主檔!$D$2:$D$31,MATCH($D814,球隊主檔!$A$2:$A$31,0))</f>
        <v>國聯</v>
      </c>
      <c r="G814" s="7" t="s">
        <v>496</v>
      </c>
      <c r="H814" s="11" t="n">
        <f aca="false">INT((DATE($A814,7,1)-INDEX(球員主檔!$G$2:$G$749,MATCH($B814,球員主檔!$A$2:$A$749,0)))/365.25)</f>
        <v>26</v>
      </c>
      <c r="I814" s="12" t="n">
        <v>9</v>
      </c>
      <c r="J814" s="12" t="n">
        <v>3</v>
      </c>
      <c r="K814" s="12" t="n">
        <v>0</v>
      </c>
      <c r="L814" s="12" t="n">
        <v>0</v>
      </c>
      <c r="M814" s="12" t="n">
        <v>19</v>
      </c>
      <c r="N814" s="12" t="n">
        <v>19</v>
      </c>
      <c r="O814" s="12" t="n">
        <v>323</v>
      </c>
      <c r="P814" s="16" t="n">
        <f aca="false">O814/3</f>
        <v>107.666666666667</v>
      </c>
      <c r="Q814" s="17" t="str">
        <f aca="false">INT(O814/3)&amp;"."&amp;MOD(O814,3)</f>
        <v>107.2</v>
      </c>
      <c r="R814" s="12" t="n">
        <v>82</v>
      </c>
      <c r="S814" s="12" t="n">
        <v>48</v>
      </c>
      <c r="T814" s="12" t="n">
        <v>44</v>
      </c>
      <c r="U814" s="12" t="n">
        <v>17</v>
      </c>
      <c r="V814" s="12" t="n">
        <v>46</v>
      </c>
      <c r="W814" s="12" t="n">
        <v>115</v>
      </c>
      <c r="X814" s="12" t="n">
        <v>4</v>
      </c>
      <c r="Y814" s="18" t="n">
        <f aca="false">IF(O814=0,0,T814*27/O814)</f>
        <v>3.67801857585139</v>
      </c>
      <c r="Z814" s="18" t="n">
        <f aca="false">IF(P814=0,0,(V814+R814)/P814)</f>
        <v>1.18885448916409</v>
      </c>
      <c r="AA814" s="18" t="n">
        <f aca="false">IF(O814=0,0,W814*27/O814)</f>
        <v>9.61300309597523</v>
      </c>
      <c r="AB814" s="18" t="n">
        <f aca="false">IF(O814=0,0,V814*27/O814)</f>
        <v>3.84520123839009</v>
      </c>
      <c r="AC814" s="18" t="n">
        <f aca="false">IF(V814=0,0,W814/V814)</f>
        <v>2.5</v>
      </c>
      <c r="AD814" s="18" t="n">
        <f aca="false">IF(P814=0,0,(13*U814+3*(V814+X814)-2*W814)/P814+INDEX(球季參數!$C$2:$C$4,MATCH($A814,球季參數!$A$2:$A$4,0)))</f>
        <v>4.38959752321981</v>
      </c>
      <c r="AE814" s="11" t="n">
        <f aca="false">IF(P814&gt;=INDEX(球季參數!$F$2:$F$4,MATCH($A814,球季參數!$A$2:$A$4,0)),1,0)</f>
        <v>0</v>
      </c>
    </row>
    <row r="815" customFormat="false" ht="15" hidden="false" customHeight="false" outlineLevel="0" collapsed="false">
      <c r="A815" s="5" t="n">
        <v>2026</v>
      </c>
      <c r="B815" s="7" t="s">
        <v>991</v>
      </c>
      <c r="C815" s="10" t="str">
        <f aca="false">INDEX(球員主檔!$B$2:$B$749,MATCH($B815,球員主檔!$A$2:$A$749,0))</f>
        <v>Wendell Iwasaki</v>
      </c>
      <c r="D815" s="7" t="s">
        <v>430</v>
      </c>
      <c r="E815" s="10" t="str">
        <f aca="false">INDEX(球隊主檔!$C$2:$C$31,MATCH($D815,球隊主檔!$A$2:$A$31,0))</f>
        <v>辛辛那提紅人</v>
      </c>
      <c r="F815" s="10" t="str">
        <f aca="false">INDEX(球隊主檔!$D$2:$D$31,MATCH($D815,球隊主檔!$A$2:$A$31,0))</f>
        <v>國聯</v>
      </c>
      <c r="G815" s="7" t="s">
        <v>496</v>
      </c>
      <c r="H815" s="11" t="n">
        <f aca="false">INT((DATE($A815,7,1)-INDEX(球員主檔!$G$2:$G$749,MATCH($B815,球員主檔!$A$2:$A$749,0)))/365.25)</f>
        <v>27</v>
      </c>
      <c r="I815" s="12" t="n">
        <v>12</v>
      </c>
      <c r="J815" s="12" t="n">
        <v>6</v>
      </c>
      <c r="K815" s="12" t="n">
        <v>0</v>
      </c>
      <c r="L815" s="12" t="n">
        <v>0</v>
      </c>
      <c r="M815" s="12" t="n">
        <v>27</v>
      </c>
      <c r="N815" s="12" t="n">
        <v>27</v>
      </c>
      <c r="O815" s="12" t="n">
        <v>502</v>
      </c>
      <c r="P815" s="16" t="n">
        <f aca="false">O815/3</f>
        <v>167.333333333333</v>
      </c>
      <c r="Q815" s="17" t="str">
        <f aca="false">INT(O815/3)&amp;"."&amp;MOD(O815,3)</f>
        <v>167.1</v>
      </c>
      <c r="R815" s="12" t="n">
        <v>122</v>
      </c>
      <c r="S815" s="12" t="n">
        <v>68</v>
      </c>
      <c r="T815" s="12" t="n">
        <v>60</v>
      </c>
      <c r="U815" s="12" t="n">
        <v>22</v>
      </c>
      <c r="V815" s="12" t="n">
        <v>31</v>
      </c>
      <c r="W815" s="12" t="n">
        <v>148</v>
      </c>
      <c r="X815" s="12" t="n">
        <v>7</v>
      </c>
      <c r="Y815" s="18" t="n">
        <f aca="false">IF(O815=0,0,T815*27/O815)</f>
        <v>3.22709163346614</v>
      </c>
      <c r="Z815" s="18" t="n">
        <f aca="false">IF(P815=0,0,(V815+R815)/P815)</f>
        <v>0.914342629482072</v>
      </c>
      <c r="AA815" s="18" t="n">
        <f aca="false">IF(O815=0,0,W815*27/O815)</f>
        <v>7.9601593625498</v>
      </c>
      <c r="AB815" s="18" t="n">
        <f aca="false">IF(O815=0,0,V815*27/O815)</f>
        <v>1.66733067729084</v>
      </c>
      <c r="AC815" s="18" t="n">
        <f aca="false">IF(V815=0,0,W815/V815)</f>
        <v>4.7741935483871</v>
      </c>
      <c r="AD815" s="18" t="n">
        <f aca="false">IF(P815=0,0,(13*U815+3*(V815+X815)-2*W815)/P815+INDEX(球季參數!$C$2:$C$4,MATCH($A815,球季參數!$A$2:$A$4,0)))</f>
        <v>3.70151394422311</v>
      </c>
      <c r="AE815" s="11" t="n">
        <f aca="false">IF(P815&gt;=INDEX(球季參數!$F$2:$F$4,MATCH($A815,球季參數!$A$2:$A$4,0)),1,0)</f>
        <v>1</v>
      </c>
    </row>
    <row r="816" customFormat="false" ht="15" hidden="false" customHeight="false" outlineLevel="0" collapsed="false">
      <c r="A816" s="5" t="n">
        <v>2026</v>
      </c>
      <c r="B816" s="7" t="s">
        <v>1345</v>
      </c>
      <c r="C816" s="10" t="str">
        <f aca="false">INDEX(球員主檔!$B$2:$B$749,MATCH($B816,球員主檔!$A$2:$A$749,0))</f>
        <v>Caspian Larrabee</v>
      </c>
      <c r="D816" s="7" t="s">
        <v>430</v>
      </c>
      <c r="E816" s="10" t="str">
        <f aca="false">INDEX(球隊主檔!$C$2:$C$31,MATCH($D816,球隊主檔!$A$2:$A$31,0))</f>
        <v>辛辛那提紅人</v>
      </c>
      <c r="F816" s="10" t="str">
        <f aca="false">INDEX(球隊主檔!$D$2:$D$31,MATCH($D816,球隊主檔!$A$2:$A$31,0))</f>
        <v>國聯</v>
      </c>
      <c r="G816" s="7" t="s">
        <v>496</v>
      </c>
      <c r="H816" s="11" t="n">
        <f aca="false">INT((DATE($A816,7,1)-INDEX(球員主檔!$G$2:$G$749,MATCH($B816,球員主檔!$A$2:$A$749,0)))/365.25)</f>
        <v>25</v>
      </c>
      <c r="I816" s="12" t="n">
        <v>5</v>
      </c>
      <c r="J816" s="12" t="n">
        <v>3</v>
      </c>
      <c r="K816" s="12" t="n">
        <v>0</v>
      </c>
      <c r="L816" s="12" t="n">
        <v>0</v>
      </c>
      <c r="M816" s="12" t="n">
        <v>11</v>
      </c>
      <c r="N816" s="12" t="n">
        <v>11</v>
      </c>
      <c r="O816" s="12" t="n">
        <v>174</v>
      </c>
      <c r="P816" s="16" t="n">
        <f aca="false">O816/3</f>
        <v>58</v>
      </c>
      <c r="Q816" s="17" t="str">
        <f aca="false">INT(O816/3)&amp;"."&amp;MOD(O816,3)</f>
        <v>58.0</v>
      </c>
      <c r="R816" s="12" t="n">
        <v>46</v>
      </c>
      <c r="S816" s="12" t="n">
        <v>28</v>
      </c>
      <c r="T816" s="12" t="n">
        <v>25</v>
      </c>
      <c r="U816" s="12" t="n">
        <v>6</v>
      </c>
      <c r="V816" s="12" t="n">
        <v>25</v>
      </c>
      <c r="W816" s="12" t="n">
        <v>47</v>
      </c>
      <c r="X816" s="12" t="n">
        <v>3</v>
      </c>
      <c r="Y816" s="18" t="n">
        <f aca="false">IF(O816=0,0,T816*27/O816)</f>
        <v>3.87931034482759</v>
      </c>
      <c r="Z816" s="18" t="n">
        <f aca="false">IF(P816=0,0,(V816+R816)/P816)</f>
        <v>1.22413793103448</v>
      </c>
      <c r="AA816" s="18" t="n">
        <f aca="false">IF(O816=0,0,W816*27/O816)</f>
        <v>7.29310344827586</v>
      </c>
      <c r="AB816" s="18" t="n">
        <f aca="false">IF(O816=0,0,V816*27/O816)</f>
        <v>3.87931034482759</v>
      </c>
      <c r="AC816" s="18" t="n">
        <f aca="false">IF(V816=0,0,W816/V816)</f>
        <v>1.88</v>
      </c>
      <c r="AD816" s="18" t="n">
        <f aca="false">IF(P816=0,0,(13*U816+3*(V816+X816)-2*W816)/P816+INDEX(球季參數!$C$2:$C$4,MATCH($A816,球季參數!$A$2:$A$4,0)))</f>
        <v>4.25241379310345</v>
      </c>
      <c r="AE816" s="11" t="n">
        <f aca="false">IF(P816&gt;=INDEX(球季參數!$F$2:$F$4,MATCH($A816,球季參數!$A$2:$A$4,0)),1,0)</f>
        <v>0</v>
      </c>
    </row>
    <row r="817" customFormat="false" ht="15" hidden="false" customHeight="false" outlineLevel="0" collapsed="false">
      <c r="A817" s="5" t="n">
        <v>2026</v>
      </c>
      <c r="B817" s="7" t="s">
        <v>1347</v>
      </c>
      <c r="C817" s="10" t="str">
        <f aca="false">INDEX(球員主檔!$B$2:$B$749,MATCH($B817,球員主檔!$A$2:$A$749,0))</f>
        <v>Leandro Blackwood</v>
      </c>
      <c r="D817" s="7" t="s">
        <v>430</v>
      </c>
      <c r="E817" s="10" t="str">
        <f aca="false">INDEX(球隊主檔!$C$2:$C$31,MATCH($D817,球隊主檔!$A$2:$A$31,0))</f>
        <v>辛辛那提紅人</v>
      </c>
      <c r="F817" s="10" t="str">
        <f aca="false">INDEX(球隊主檔!$D$2:$D$31,MATCH($D817,球隊主檔!$A$2:$A$31,0))</f>
        <v>國聯</v>
      </c>
      <c r="G817" s="7" t="s">
        <v>507</v>
      </c>
      <c r="H817" s="11" t="n">
        <f aca="false">INT((DATE($A817,7,1)-INDEX(球員主檔!$G$2:$G$749,MATCH($B817,球員主檔!$A$2:$A$749,0)))/365.25)</f>
        <v>27</v>
      </c>
      <c r="I817" s="12" t="n">
        <v>2</v>
      </c>
      <c r="J817" s="12" t="n">
        <v>2</v>
      </c>
      <c r="K817" s="12" t="n">
        <v>33</v>
      </c>
      <c r="L817" s="12" t="n">
        <v>3</v>
      </c>
      <c r="M817" s="12" t="n">
        <v>46</v>
      </c>
      <c r="N817" s="12" t="n">
        <v>0</v>
      </c>
      <c r="O817" s="12" t="n">
        <v>154</v>
      </c>
      <c r="P817" s="16" t="n">
        <f aca="false">O817/3</f>
        <v>51.3333333333333</v>
      </c>
      <c r="Q817" s="17" t="str">
        <f aca="false">INT(O817/3)&amp;"."&amp;MOD(O817,3)</f>
        <v>51.1</v>
      </c>
      <c r="R817" s="12" t="n">
        <v>40</v>
      </c>
      <c r="S817" s="12" t="n">
        <v>20</v>
      </c>
      <c r="T817" s="12" t="n">
        <v>19</v>
      </c>
      <c r="U817" s="12" t="n">
        <v>5</v>
      </c>
      <c r="V817" s="12" t="n">
        <v>16</v>
      </c>
      <c r="W817" s="12" t="n">
        <v>53</v>
      </c>
      <c r="X817" s="12" t="n">
        <v>3</v>
      </c>
      <c r="Y817" s="18" t="n">
        <f aca="false">IF(O817=0,0,T817*27/O817)</f>
        <v>3.33116883116883</v>
      </c>
      <c r="Z817" s="18" t="n">
        <f aca="false">IF(P817=0,0,(V817+R817)/P817)</f>
        <v>1.09090909090909</v>
      </c>
      <c r="AA817" s="18" t="n">
        <f aca="false">IF(O817=0,0,W817*27/O817)</f>
        <v>9.29220779220779</v>
      </c>
      <c r="AB817" s="18" t="n">
        <f aca="false">IF(O817=0,0,V817*27/O817)</f>
        <v>2.80519480519481</v>
      </c>
      <c r="AC817" s="18" t="n">
        <f aca="false">IF(V817=0,0,W817/V817)</f>
        <v>3.3125</v>
      </c>
      <c r="AD817" s="18" t="n">
        <f aca="false">IF(P817=0,0,(13*U817+3*(V817+X817)-2*W817)/P817+INDEX(球季參數!$C$2:$C$4,MATCH($A817,球季參數!$A$2:$A$4,0)))</f>
        <v>3.39168831168831</v>
      </c>
      <c r="AE817" s="11" t="n">
        <f aca="false">IF(P817&gt;=INDEX(球季參數!$F$2:$F$4,MATCH($A817,球季參數!$A$2:$A$4,0)),1,0)</f>
        <v>0</v>
      </c>
    </row>
    <row r="818" customFormat="false" ht="15" hidden="false" customHeight="false" outlineLevel="0" collapsed="false">
      <c r="A818" s="5" t="n">
        <v>2026</v>
      </c>
      <c r="B818" s="7" t="s">
        <v>1935</v>
      </c>
      <c r="C818" s="10" t="str">
        <f aca="false">INDEX(球員主檔!$B$2:$B$749,MATCH($B818,球員主檔!$A$2:$A$749,0))</f>
        <v>Jasper Yamazaki</v>
      </c>
      <c r="D818" s="7" t="s">
        <v>430</v>
      </c>
      <c r="E818" s="10" t="str">
        <f aca="false">INDEX(球隊主檔!$C$2:$C$31,MATCH($D818,球隊主檔!$A$2:$A$31,0))</f>
        <v>辛辛那提紅人</v>
      </c>
      <c r="F818" s="10" t="str">
        <f aca="false">INDEX(球隊主檔!$D$2:$D$31,MATCH($D818,球隊主檔!$A$2:$A$31,0))</f>
        <v>國聯</v>
      </c>
      <c r="G818" s="7" t="s">
        <v>507</v>
      </c>
      <c r="H818" s="11" t="n">
        <f aca="false">INT((DATE($A818,7,1)-INDEX(球員主檔!$G$2:$G$749,MATCH($B818,球員主檔!$A$2:$A$749,0)))/365.25)</f>
        <v>22</v>
      </c>
      <c r="I818" s="12" t="n">
        <v>3</v>
      </c>
      <c r="J818" s="12" t="n">
        <v>0</v>
      </c>
      <c r="K818" s="12" t="n">
        <v>0</v>
      </c>
      <c r="L818" s="12" t="n">
        <v>19</v>
      </c>
      <c r="M818" s="12" t="n">
        <v>53</v>
      </c>
      <c r="N818" s="12" t="n">
        <v>0</v>
      </c>
      <c r="O818" s="12" t="n">
        <v>151</v>
      </c>
      <c r="P818" s="16" t="n">
        <f aca="false">O818/3</f>
        <v>50.3333333333333</v>
      </c>
      <c r="Q818" s="17" t="str">
        <f aca="false">INT(O818/3)&amp;"."&amp;MOD(O818,3)</f>
        <v>50.1</v>
      </c>
      <c r="R818" s="12" t="n">
        <v>40</v>
      </c>
      <c r="S818" s="12" t="n">
        <v>20</v>
      </c>
      <c r="T818" s="12" t="n">
        <v>18</v>
      </c>
      <c r="U818" s="12" t="n">
        <v>4</v>
      </c>
      <c r="V818" s="12" t="n">
        <v>22</v>
      </c>
      <c r="W818" s="12" t="n">
        <v>55</v>
      </c>
      <c r="X818" s="12" t="n">
        <v>2</v>
      </c>
      <c r="Y818" s="18" t="n">
        <f aca="false">IF(O818=0,0,T818*27/O818)</f>
        <v>3.21854304635762</v>
      </c>
      <c r="Z818" s="18" t="n">
        <f aca="false">IF(P818=0,0,(V818+R818)/P818)</f>
        <v>1.2317880794702</v>
      </c>
      <c r="AA818" s="18" t="n">
        <f aca="false">IF(O818=0,0,W818*27/O818)</f>
        <v>9.83443708609272</v>
      </c>
      <c r="AB818" s="18" t="n">
        <f aca="false">IF(O818=0,0,V818*27/O818)</f>
        <v>3.93377483443709</v>
      </c>
      <c r="AC818" s="18" t="n">
        <f aca="false">IF(V818=0,0,W818/V818)</f>
        <v>2.5</v>
      </c>
      <c r="AD818" s="18" t="n">
        <f aca="false">IF(P818=0,0,(13*U818+3*(V818+X818)-2*W818)/P818+INDEX(球季參數!$C$2:$C$4,MATCH($A818,球季參數!$A$2:$A$4,0)))</f>
        <v>3.35814569536424</v>
      </c>
      <c r="AE818" s="11" t="n">
        <f aca="false">IF(P818&gt;=INDEX(球季參數!$F$2:$F$4,MATCH($A818,球季參數!$A$2:$A$4,0)),1,0)</f>
        <v>0</v>
      </c>
    </row>
    <row r="819" customFormat="false" ht="15" hidden="false" customHeight="false" outlineLevel="0" collapsed="false">
      <c r="A819" s="5" t="n">
        <v>2026</v>
      </c>
      <c r="B819" s="7" t="s">
        <v>1351</v>
      </c>
      <c r="C819" s="10" t="str">
        <f aca="false">INDEX(球員主檔!$B$2:$B$749,MATCH($B819,球員主檔!$A$2:$A$749,0))</f>
        <v>Percival Uchendu</v>
      </c>
      <c r="D819" s="7" t="s">
        <v>430</v>
      </c>
      <c r="E819" s="10" t="str">
        <f aca="false">INDEX(球隊主檔!$C$2:$C$31,MATCH($D819,球隊主檔!$A$2:$A$31,0))</f>
        <v>辛辛那提紅人</v>
      </c>
      <c r="F819" s="10" t="str">
        <f aca="false">INDEX(球隊主檔!$D$2:$D$31,MATCH($D819,球隊主檔!$A$2:$A$31,0))</f>
        <v>國聯</v>
      </c>
      <c r="G819" s="7" t="s">
        <v>507</v>
      </c>
      <c r="H819" s="11" t="n">
        <f aca="false">INT((DATE($A819,7,1)-INDEX(球員主檔!$G$2:$G$749,MATCH($B819,球員主檔!$A$2:$A$749,0)))/365.25)</f>
        <v>29</v>
      </c>
      <c r="I819" s="12" t="n">
        <v>7</v>
      </c>
      <c r="J819" s="12" t="n">
        <v>5</v>
      </c>
      <c r="K819" s="12" t="n">
        <v>0</v>
      </c>
      <c r="L819" s="12" t="n">
        <v>26</v>
      </c>
      <c r="M819" s="12" t="n">
        <v>58</v>
      </c>
      <c r="N819" s="12" t="n">
        <v>0</v>
      </c>
      <c r="O819" s="12" t="n">
        <v>185</v>
      </c>
      <c r="P819" s="16" t="n">
        <f aca="false">O819/3</f>
        <v>61.6666666666667</v>
      </c>
      <c r="Q819" s="17" t="str">
        <f aca="false">INT(O819/3)&amp;"."&amp;MOD(O819,3)</f>
        <v>61.2</v>
      </c>
      <c r="R819" s="12" t="n">
        <v>44</v>
      </c>
      <c r="S819" s="12" t="n">
        <v>23</v>
      </c>
      <c r="T819" s="12" t="n">
        <v>21</v>
      </c>
      <c r="U819" s="12" t="n">
        <v>8</v>
      </c>
      <c r="V819" s="12" t="n">
        <v>18</v>
      </c>
      <c r="W819" s="12" t="n">
        <v>76</v>
      </c>
      <c r="X819" s="12" t="n">
        <v>1</v>
      </c>
      <c r="Y819" s="18" t="n">
        <f aca="false">IF(O819=0,0,T819*27/O819)</f>
        <v>3.06486486486486</v>
      </c>
      <c r="Z819" s="18" t="n">
        <f aca="false">IF(P819=0,0,(V819+R819)/P819)</f>
        <v>1.00540540540541</v>
      </c>
      <c r="AA819" s="18" t="n">
        <f aca="false">IF(O819=0,0,W819*27/O819)</f>
        <v>11.0918918918919</v>
      </c>
      <c r="AB819" s="18" t="n">
        <f aca="false">IF(O819=0,0,V819*27/O819)</f>
        <v>2.62702702702703</v>
      </c>
      <c r="AC819" s="18" t="n">
        <f aca="false">IF(V819=0,0,W819/V819)</f>
        <v>4.22222222222222</v>
      </c>
      <c r="AD819" s="18" t="n">
        <f aca="false">IF(P819=0,0,(13*U819+3*(V819+X819)-2*W819)/P819+INDEX(球季參數!$C$2:$C$4,MATCH($A819,球季參數!$A$2:$A$4,0)))</f>
        <v>3.22594594594595</v>
      </c>
      <c r="AE819" s="11" t="n">
        <f aca="false">IF(P819&gt;=INDEX(球季參數!$F$2:$F$4,MATCH($A819,球季參數!$A$2:$A$4,0)),1,0)</f>
        <v>0</v>
      </c>
    </row>
    <row r="820" customFormat="false" ht="15" hidden="false" customHeight="false" outlineLevel="0" collapsed="false">
      <c r="A820" s="5" t="n">
        <v>2026</v>
      </c>
      <c r="B820" s="7" t="s">
        <v>1353</v>
      </c>
      <c r="C820" s="10" t="str">
        <f aca="false">INDEX(球員主檔!$B$2:$B$749,MATCH($B820,球員主檔!$A$2:$A$749,0))</f>
        <v>Garrison Uchendu</v>
      </c>
      <c r="D820" s="7" t="s">
        <v>430</v>
      </c>
      <c r="E820" s="10" t="str">
        <f aca="false">INDEX(球隊主檔!$C$2:$C$31,MATCH($D820,球隊主檔!$A$2:$A$31,0))</f>
        <v>辛辛那提紅人</v>
      </c>
      <c r="F820" s="10" t="str">
        <f aca="false">INDEX(球隊主檔!$D$2:$D$31,MATCH($D820,球隊主檔!$A$2:$A$31,0))</f>
        <v>國聯</v>
      </c>
      <c r="G820" s="7" t="s">
        <v>507</v>
      </c>
      <c r="H820" s="11" t="n">
        <f aca="false">INT((DATE($A820,7,1)-INDEX(球員主檔!$G$2:$G$749,MATCH($B820,球員主檔!$A$2:$A$749,0)))/365.25)</f>
        <v>31</v>
      </c>
      <c r="I820" s="12" t="n">
        <v>8</v>
      </c>
      <c r="J820" s="12" t="n">
        <v>8</v>
      </c>
      <c r="K820" s="12" t="n">
        <v>2</v>
      </c>
      <c r="L820" s="12" t="n">
        <v>28</v>
      </c>
      <c r="M820" s="12" t="n">
        <v>60</v>
      </c>
      <c r="N820" s="12" t="n">
        <v>0</v>
      </c>
      <c r="O820" s="12" t="n">
        <v>158</v>
      </c>
      <c r="P820" s="16" t="n">
        <f aca="false">O820/3</f>
        <v>52.6666666666667</v>
      </c>
      <c r="Q820" s="17" t="str">
        <f aca="false">INT(O820/3)&amp;"."&amp;MOD(O820,3)</f>
        <v>52.2</v>
      </c>
      <c r="R820" s="12" t="n">
        <v>44</v>
      </c>
      <c r="S820" s="12" t="n">
        <v>24</v>
      </c>
      <c r="T820" s="12" t="n">
        <v>24</v>
      </c>
      <c r="U820" s="12" t="n">
        <v>5</v>
      </c>
      <c r="V820" s="12" t="n">
        <v>20</v>
      </c>
      <c r="W820" s="12" t="n">
        <v>45</v>
      </c>
      <c r="X820" s="12" t="n">
        <v>2</v>
      </c>
      <c r="Y820" s="18" t="n">
        <f aca="false">IF(O820=0,0,T820*27/O820)</f>
        <v>4.10126582278481</v>
      </c>
      <c r="Z820" s="18" t="n">
        <f aca="false">IF(P820=0,0,(V820+R820)/P820)</f>
        <v>1.21518987341772</v>
      </c>
      <c r="AA820" s="18" t="n">
        <f aca="false">IF(O820=0,0,W820*27/O820)</f>
        <v>7.68987341772152</v>
      </c>
      <c r="AB820" s="18" t="n">
        <f aca="false">IF(O820=0,0,V820*27/O820)</f>
        <v>3.41772151898734</v>
      </c>
      <c r="AC820" s="18" t="n">
        <f aca="false">IF(V820=0,0,W820/V820)</f>
        <v>2.25</v>
      </c>
      <c r="AD820" s="18" t="n">
        <f aca="false">IF(P820=0,0,(13*U820+3*(V820+X820)-2*W820)/P820+INDEX(球季參數!$C$2:$C$4,MATCH($A820,球季參數!$A$2:$A$4,0)))</f>
        <v>3.85848101265823</v>
      </c>
      <c r="AE820" s="11" t="n">
        <f aca="false">IF(P820&gt;=INDEX(球季參數!$F$2:$F$4,MATCH($A820,球季參數!$A$2:$A$4,0)),1,0)</f>
        <v>0</v>
      </c>
    </row>
    <row r="821" customFormat="false" ht="15" hidden="false" customHeight="false" outlineLevel="0" collapsed="false">
      <c r="A821" s="5" t="n">
        <v>2026</v>
      </c>
      <c r="B821" s="7" t="s">
        <v>1355</v>
      </c>
      <c r="C821" s="10" t="str">
        <f aca="false">INDEX(球員主檔!$B$2:$B$749,MATCH($B821,球員主檔!$A$2:$A$749,0))</f>
        <v>Osvaldo Fairbanks</v>
      </c>
      <c r="D821" s="7" t="s">
        <v>430</v>
      </c>
      <c r="E821" s="10" t="str">
        <f aca="false">INDEX(球隊主檔!$C$2:$C$31,MATCH($D821,球隊主檔!$A$2:$A$31,0))</f>
        <v>辛辛那提紅人</v>
      </c>
      <c r="F821" s="10" t="str">
        <f aca="false">INDEX(球隊主檔!$D$2:$D$31,MATCH($D821,球隊主檔!$A$2:$A$31,0))</f>
        <v>國聯</v>
      </c>
      <c r="G821" s="7" t="s">
        <v>507</v>
      </c>
      <c r="H821" s="11" t="n">
        <f aca="false">INT((DATE($A821,7,1)-INDEX(球員主檔!$G$2:$G$749,MATCH($B821,球員主檔!$A$2:$A$749,0)))/365.25)</f>
        <v>32</v>
      </c>
      <c r="I821" s="12" t="n">
        <v>4</v>
      </c>
      <c r="J821" s="12" t="n">
        <v>8</v>
      </c>
      <c r="K821" s="12" t="n">
        <v>6</v>
      </c>
      <c r="L821" s="12" t="n">
        <v>26</v>
      </c>
      <c r="M821" s="12" t="n">
        <v>75</v>
      </c>
      <c r="N821" s="12" t="n">
        <v>0</v>
      </c>
      <c r="O821" s="12" t="n">
        <v>254</v>
      </c>
      <c r="P821" s="16" t="n">
        <f aca="false">O821/3</f>
        <v>84.6666666666667</v>
      </c>
      <c r="Q821" s="17" t="str">
        <f aca="false">INT(O821/3)&amp;"."&amp;MOD(O821,3)</f>
        <v>84.2</v>
      </c>
      <c r="R821" s="12" t="n">
        <v>74</v>
      </c>
      <c r="S821" s="12" t="n">
        <v>49</v>
      </c>
      <c r="T821" s="12" t="n">
        <v>45</v>
      </c>
      <c r="U821" s="12" t="n">
        <v>17</v>
      </c>
      <c r="V821" s="12" t="n">
        <v>25</v>
      </c>
      <c r="W821" s="12" t="n">
        <v>54</v>
      </c>
      <c r="X821" s="12" t="n">
        <v>3</v>
      </c>
      <c r="Y821" s="18" t="n">
        <f aca="false">IF(O821=0,0,T821*27/O821)</f>
        <v>4.78346456692913</v>
      </c>
      <c r="Z821" s="18" t="n">
        <f aca="false">IF(P821=0,0,(V821+R821)/P821)</f>
        <v>1.16929133858268</v>
      </c>
      <c r="AA821" s="18" t="n">
        <f aca="false">IF(O821=0,0,W821*27/O821)</f>
        <v>5.74015748031496</v>
      </c>
      <c r="AB821" s="18" t="n">
        <f aca="false">IF(O821=0,0,V821*27/O821)</f>
        <v>2.65748031496063</v>
      </c>
      <c r="AC821" s="18" t="n">
        <f aca="false">IF(V821=0,0,W821/V821)</f>
        <v>2.16</v>
      </c>
      <c r="AD821" s="18" t="n">
        <f aca="false">IF(P821=0,0,(13*U821+3*(V821+X821)-2*W821)/P821+INDEX(球季參數!$C$2:$C$4,MATCH($A821,球季參數!$A$2:$A$4,0)))</f>
        <v>5.40677165354331</v>
      </c>
      <c r="AE821" s="11" t="n">
        <f aca="false">IF(P821&gt;=INDEX(球季參數!$F$2:$F$4,MATCH($A821,球季參數!$A$2:$A$4,0)),1,0)</f>
        <v>0</v>
      </c>
    </row>
    <row r="822" customFormat="false" ht="15" hidden="false" customHeight="false" outlineLevel="0" collapsed="false">
      <c r="A822" s="5" t="n">
        <v>2026</v>
      </c>
      <c r="B822" s="7" t="s">
        <v>1377</v>
      </c>
      <c r="C822" s="10" t="str">
        <f aca="false">INDEX(球員主檔!$B$2:$B$749,MATCH($B822,球員主檔!$A$2:$A$749,0))</f>
        <v>Vicente Blackwood</v>
      </c>
      <c r="D822" s="7" t="s">
        <v>434</v>
      </c>
      <c r="E822" s="10" t="str">
        <f aca="false">INDEX(球隊主檔!$C$2:$C$31,MATCH($D822,球隊主檔!$A$2:$A$31,0))</f>
        <v>密爾瓦基釀酒人</v>
      </c>
      <c r="F822" s="10" t="str">
        <f aca="false">INDEX(球隊主檔!$D$2:$D$31,MATCH($D822,球隊主檔!$A$2:$A$31,0))</f>
        <v>國聯</v>
      </c>
      <c r="G822" s="7" t="s">
        <v>496</v>
      </c>
      <c r="H822" s="11" t="n">
        <f aca="false">INT((DATE($A822,7,1)-INDEX(球員主檔!$G$2:$G$749,MATCH($B822,球員主檔!$A$2:$A$749,0)))/365.25)</f>
        <v>30</v>
      </c>
      <c r="I822" s="12" t="n">
        <v>9</v>
      </c>
      <c r="J822" s="12" t="n">
        <v>8</v>
      </c>
      <c r="K822" s="12" t="n">
        <v>0</v>
      </c>
      <c r="L822" s="12" t="n">
        <v>0</v>
      </c>
      <c r="M822" s="12" t="n">
        <v>31</v>
      </c>
      <c r="N822" s="12" t="n">
        <v>31</v>
      </c>
      <c r="O822" s="12" t="n">
        <v>466</v>
      </c>
      <c r="P822" s="16" t="n">
        <f aca="false">O822/3</f>
        <v>155.333333333333</v>
      </c>
      <c r="Q822" s="17" t="str">
        <f aca="false">INT(O822/3)&amp;"."&amp;MOD(O822,3)</f>
        <v>155.1</v>
      </c>
      <c r="R822" s="12" t="n">
        <v>146</v>
      </c>
      <c r="S822" s="12" t="n">
        <v>98</v>
      </c>
      <c r="T822" s="12" t="n">
        <v>86</v>
      </c>
      <c r="U822" s="12" t="n">
        <v>16</v>
      </c>
      <c r="V822" s="12" t="n">
        <v>39</v>
      </c>
      <c r="W822" s="12" t="n">
        <v>163</v>
      </c>
      <c r="X822" s="12" t="n">
        <v>7</v>
      </c>
      <c r="Y822" s="18" t="n">
        <f aca="false">IF(O822=0,0,T822*27/O822)</f>
        <v>4.98283261802575</v>
      </c>
      <c r="Z822" s="18" t="n">
        <f aca="false">IF(P822=0,0,(V822+R822)/P822)</f>
        <v>1.19098712446352</v>
      </c>
      <c r="AA822" s="18" t="n">
        <f aca="false">IF(O822=0,0,W822*27/O822)</f>
        <v>9.44420600858369</v>
      </c>
      <c r="AB822" s="18" t="n">
        <f aca="false">IF(O822=0,0,V822*27/O822)</f>
        <v>2.25965665236052</v>
      </c>
      <c r="AC822" s="18" t="n">
        <f aca="false">IF(V822=0,0,W822/V822)</f>
        <v>4.17948717948718</v>
      </c>
      <c r="AD822" s="18" t="n">
        <f aca="false">IF(P822=0,0,(13*U822+3*(V822+X822)-2*W822)/P822+INDEX(球季參數!$C$2:$C$4,MATCH($A822,球季參數!$A$2:$A$4,0)))</f>
        <v>3.20875536480687</v>
      </c>
      <c r="AE822" s="11" t="n">
        <f aca="false">IF(P822&gt;=INDEX(球季參數!$F$2:$F$4,MATCH($A822,球季參數!$A$2:$A$4,0)),1,0)</f>
        <v>0</v>
      </c>
    </row>
    <row r="823" customFormat="false" ht="15" hidden="false" customHeight="false" outlineLevel="0" collapsed="false">
      <c r="A823" s="5" t="n">
        <v>2026</v>
      </c>
      <c r="B823" s="7" t="s">
        <v>1379</v>
      </c>
      <c r="C823" s="10" t="str">
        <f aca="false">INDEX(球員主檔!$B$2:$B$749,MATCH($B823,球員主檔!$A$2:$A$749,0))</f>
        <v>Ulises Okafor</v>
      </c>
      <c r="D823" s="7" t="s">
        <v>434</v>
      </c>
      <c r="E823" s="10" t="str">
        <f aca="false">INDEX(球隊主檔!$C$2:$C$31,MATCH($D823,球隊主檔!$A$2:$A$31,0))</f>
        <v>密爾瓦基釀酒人</v>
      </c>
      <c r="F823" s="10" t="str">
        <f aca="false">INDEX(球隊主檔!$D$2:$D$31,MATCH($D823,球隊主檔!$A$2:$A$31,0))</f>
        <v>國聯</v>
      </c>
      <c r="G823" s="7" t="s">
        <v>496</v>
      </c>
      <c r="H823" s="11" t="n">
        <f aca="false">INT((DATE($A823,7,1)-INDEX(球員主檔!$G$2:$G$749,MATCH($B823,球員主檔!$A$2:$A$749,0)))/365.25)</f>
        <v>29</v>
      </c>
      <c r="I823" s="12" t="n">
        <v>4</v>
      </c>
      <c r="J823" s="12" t="n">
        <v>6</v>
      </c>
      <c r="K823" s="12" t="n">
        <v>0</v>
      </c>
      <c r="L823" s="12" t="n">
        <v>0</v>
      </c>
      <c r="M823" s="12" t="n">
        <v>17</v>
      </c>
      <c r="N823" s="12" t="n">
        <v>17</v>
      </c>
      <c r="O823" s="12" t="n">
        <v>281</v>
      </c>
      <c r="P823" s="16" t="n">
        <f aca="false">O823/3</f>
        <v>93.6666666666667</v>
      </c>
      <c r="Q823" s="17" t="str">
        <f aca="false">INT(O823/3)&amp;"."&amp;MOD(O823,3)</f>
        <v>93.2</v>
      </c>
      <c r="R823" s="12" t="n">
        <v>96</v>
      </c>
      <c r="S823" s="12" t="n">
        <v>75</v>
      </c>
      <c r="T823" s="12" t="n">
        <v>69</v>
      </c>
      <c r="U823" s="12" t="n">
        <v>11</v>
      </c>
      <c r="V823" s="12" t="n">
        <v>25</v>
      </c>
      <c r="W823" s="12" t="n">
        <v>146</v>
      </c>
      <c r="X823" s="12" t="n">
        <v>4</v>
      </c>
      <c r="Y823" s="18" t="n">
        <f aca="false">IF(O823=0,0,T823*27/O823)</f>
        <v>6.62989323843416</v>
      </c>
      <c r="Z823" s="18" t="n">
        <f aca="false">IF(P823=0,0,(V823+R823)/P823)</f>
        <v>1.29181494661922</v>
      </c>
      <c r="AA823" s="18" t="n">
        <f aca="false">IF(O823=0,0,W823*27/O823)</f>
        <v>14.0284697508897</v>
      </c>
      <c r="AB823" s="18" t="n">
        <f aca="false">IF(O823=0,0,V823*27/O823)</f>
        <v>2.40213523131673</v>
      </c>
      <c r="AC823" s="18" t="n">
        <f aca="false">IF(V823=0,0,W823/V823)</f>
        <v>5.84</v>
      </c>
      <c r="AD823" s="18" t="n">
        <f aca="false">IF(P823=0,0,(13*U823+3*(V823+X823)-2*W823)/P823+INDEX(球季參數!$C$2:$C$4,MATCH($A823,球季參數!$A$2:$A$4,0)))</f>
        <v>2.41807829181495</v>
      </c>
      <c r="AE823" s="11" t="n">
        <f aca="false">IF(P823&gt;=INDEX(球季參數!$F$2:$F$4,MATCH($A823,球季參數!$A$2:$A$4,0)),1,0)</f>
        <v>0</v>
      </c>
    </row>
    <row r="824" customFormat="false" ht="15" hidden="false" customHeight="false" outlineLevel="0" collapsed="false">
      <c r="A824" s="5" t="n">
        <v>2026</v>
      </c>
      <c r="B824" s="7" t="s">
        <v>1381</v>
      </c>
      <c r="C824" s="10" t="str">
        <f aca="false">INDEX(球員主檔!$B$2:$B$749,MATCH($B824,球員主檔!$A$2:$A$749,0))</f>
        <v>Augustin Iwasaki</v>
      </c>
      <c r="D824" s="7" t="s">
        <v>434</v>
      </c>
      <c r="E824" s="10" t="str">
        <f aca="false">INDEX(球隊主檔!$C$2:$C$31,MATCH($D824,球隊主檔!$A$2:$A$31,0))</f>
        <v>密爾瓦基釀酒人</v>
      </c>
      <c r="F824" s="10" t="str">
        <f aca="false">INDEX(球隊主檔!$D$2:$D$31,MATCH($D824,球隊主檔!$A$2:$A$31,0))</f>
        <v>國聯</v>
      </c>
      <c r="G824" s="7" t="s">
        <v>496</v>
      </c>
      <c r="H824" s="11" t="n">
        <f aca="false">INT((DATE($A824,7,1)-INDEX(球員主檔!$G$2:$G$749,MATCH($B824,球員主檔!$A$2:$A$749,0)))/365.25)</f>
        <v>27</v>
      </c>
      <c r="I824" s="12" t="n">
        <v>10</v>
      </c>
      <c r="J824" s="12" t="n">
        <v>6</v>
      </c>
      <c r="K824" s="12" t="n">
        <v>0</v>
      </c>
      <c r="L824" s="12" t="n">
        <v>0</v>
      </c>
      <c r="M824" s="12" t="n">
        <v>22</v>
      </c>
      <c r="N824" s="12" t="n">
        <v>22</v>
      </c>
      <c r="O824" s="12" t="n">
        <v>397</v>
      </c>
      <c r="P824" s="16" t="n">
        <f aca="false">O824/3</f>
        <v>132.333333333333</v>
      </c>
      <c r="Q824" s="17" t="str">
        <f aca="false">INT(O824/3)&amp;"."&amp;MOD(O824,3)</f>
        <v>132.1</v>
      </c>
      <c r="R824" s="12" t="n">
        <v>104</v>
      </c>
      <c r="S824" s="12" t="n">
        <v>61</v>
      </c>
      <c r="T824" s="12" t="n">
        <v>54</v>
      </c>
      <c r="U824" s="12" t="n">
        <v>13</v>
      </c>
      <c r="V824" s="12" t="n">
        <v>31</v>
      </c>
      <c r="W824" s="12" t="n">
        <v>156</v>
      </c>
      <c r="X824" s="12" t="n">
        <v>3</v>
      </c>
      <c r="Y824" s="18" t="n">
        <f aca="false">IF(O824=0,0,T824*27/O824)</f>
        <v>3.67254408060453</v>
      </c>
      <c r="Z824" s="18" t="n">
        <f aca="false">IF(P824=0,0,(V824+R824)/P824)</f>
        <v>1.02015113350126</v>
      </c>
      <c r="AA824" s="18" t="n">
        <f aca="false">IF(O824=0,0,W824*27/O824)</f>
        <v>10.6095717884131</v>
      </c>
      <c r="AB824" s="18" t="n">
        <f aca="false">IF(O824=0,0,V824*27/O824)</f>
        <v>2.10831234256927</v>
      </c>
      <c r="AC824" s="18" t="n">
        <f aca="false">IF(V824=0,0,W824/V824)</f>
        <v>5.03225806451613</v>
      </c>
      <c r="AD824" s="18" t="n">
        <f aca="false">IF(P824=0,0,(13*U824+3*(V824+X824)-2*W824)/P824+INDEX(球季參數!$C$2:$C$4,MATCH($A824,球季參數!$A$2:$A$4,0)))</f>
        <v>2.77017632241814</v>
      </c>
      <c r="AE824" s="11" t="n">
        <f aca="false">IF(P824&gt;=INDEX(球季參數!$F$2:$F$4,MATCH($A824,球季參數!$A$2:$A$4,0)),1,0)</f>
        <v>0</v>
      </c>
    </row>
    <row r="825" customFormat="false" ht="15" hidden="false" customHeight="false" outlineLevel="0" collapsed="false">
      <c r="A825" s="5" t="n">
        <v>2026</v>
      </c>
      <c r="B825" s="7" t="s">
        <v>1383</v>
      </c>
      <c r="C825" s="10" t="str">
        <f aca="false">INDEX(球員主檔!$B$2:$B$749,MATCH($B825,球員主檔!$A$2:$A$749,0))</f>
        <v>Emilio Lemieux</v>
      </c>
      <c r="D825" s="7" t="s">
        <v>434</v>
      </c>
      <c r="E825" s="10" t="str">
        <f aca="false">INDEX(球隊主檔!$C$2:$C$31,MATCH($D825,球隊主檔!$A$2:$A$31,0))</f>
        <v>密爾瓦基釀酒人</v>
      </c>
      <c r="F825" s="10" t="str">
        <f aca="false">INDEX(球隊主檔!$D$2:$D$31,MATCH($D825,球隊主檔!$A$2:$A$31,0))</f>
        <v>國聯</v>
      </c>
      <c r="G825" s="7" t="s">
        <v>496</v>
      </c>
      <c r="H825" s="11" t="n">
        <f aca="false">INT((DATE($A825,7,1)-INDEX(球員主檔!$G$2:$G$749,MATCH($B825,球員主檔!$A$2:$A$749,0)))/365.25)</f>
        <v>26</v>
      </c>
      <c r="I825" s="12" t="n">
        <v>13</v>
      </c>
      <c r="J825" s="12" t="n">
        <v>5</v>
      </c>
      <c r="K825" s="12" t="n">
        <v>0</v>
      </c>
      <c r="L825" s="12" t="n">
        <v>0</v>
      </c>
      <c r="M825" s="12" t="n">
        <v>30</v>
      </c>
      <c r="N825" s="12" t="n">
        <v>30</v>
      </c>
      <c r="O825" s="12" t="n">
        <v>443</v>
      </c>
      <c r="P825" s="16" t="n">
        <f aca="false">O825/3</f>
        <v>147.666666666667</v>
      </c>
      <c r="Q825" s="17" t="str">
        <f aca="false">INT(O825/3)&amp;"."&amp;MOD(O825,3)</f>
        <v>147.2</v>
      </c>
      <c r="R825" s="12" t="n">
        <v>119</v>
      </c>
      <c r="S825" s="12" t="n">
        <v>63</v>
      </c>
      <c r="T825" s="12" t="n">
        <v>58</v>
      </c>
      <c r="U825" s="12" t="n">
        <v>26</v>
      </c>
      <c r="V825" s="12" t="n">
        <v>48</v>
      </c>
      <c r="W825" s="12" t="n">
        <v>123</v>
      </c>
      <c r="X825" s="12" t="n">
        <v>9</v>
      </c>
      <c r="Y825" s="18" t="n">
        <f aca="false">IF(O825=0,0,T825*27/O825)</f>
        <v>3.53498871331828</v>
      </c>
      <c r="Z825" s="18" t="n">
        <f aca="false">IF(P825=0,0,(V825+R825)/P825)</f>
        <v>1.13092550790068</v>
      </c>
      <c r="AA825" s="18" t="n">
        <f aca="false">IF(O825=0,0,W825*27/O825)</f>
        <v>7.49661399548533</v>
      </c>
      <c r="AB825" s="18" t="n">
        <f aca="false">IF(O825=0,0,V825*27/O825)</f>
        <v>2.9255079006772</v>
      </c>
      <c r="AC825" s="18" t="n">
        <f aca="false">IF(V825=0,0,W825/V825)</f>
        <v>2.5625</v>
      </c>
      <c r="AD825" s="18" t="n">
        <f aca="false">IF(P825=0,0,(13*U825+3*(V825+X825)-2*W825)/P825+INDEX(球季參數!$C$2:$C$4,MATCH($A825,球季參數!$A$2:$A$4,0)))</f>
        <v>4.86103837471783</v>
      </c>
      <c r="AE825" s="11" t="n">
        <f aca="false">IF(P825&gt;=INDEX(球季參數!$F$2:$F$4,MATCH($A825,球季參數!$A$2:$A$4,0)),1,0)</f>
        <v>0</v>
      </c>
    </row>
    <row r="826" customFormat="false" ht="15" hidden="false" customHeight="false" outlineLevel="0" collapsed="false">
      <c r="A826" s="5" t="n">
        <v>2026</v>
      </c>
      <c r="B826" s="7" t="s">
        <v>1385</v>
      </c>
      <c r="C826" s="10" t="str">
        <f aca="false">INDEX(球員主檔!$B$2:$B$749,MATCH($B826,球員主檔!$A$2:$A$749,0))</f>
        <v>Joaquín Underhill</v>
      </c>
      <c r="D826" s="7" t="s">
        <v>434</v>
      </c>
      <c r="E826" s="10" t="str">
        <f aca="false">INDEX(球隊主檔!$C$2:$C$31,MATCH($D826,球隊主檔!$A$2:$A$31,0))</f>
        <v>密爾瓦基釀酒人</v>
      </c>
      <c r="F826" s="10" t="str">
        <f aca="false">INDEX(球隊主檔!$D$2:$D$31,MATCH($D826,球隊主檔!$A$2:$A$31,0))</f>
        <v>國聯</v>
      </c>
      <c r="G826" s="7" t="s">
        <v>496</v>
      </c>
      <c r="H826" s="11" t="n">
        <f aca="false">INT((DATE($A826,7,1)-INDEX(球員主檔!$G$2:$G$749,MATCH($B826,球員主檔!$A$2:$A$749,0)))/365.25)</f>
        <v>28</v>
      </c>
      <c r="I826" s="12" t="n">
        <v>11</v>
      </c>
      <c r="J826" s="12" t="n">
        <v>4</v>
      </c>
      <c r="K826" s="12" t="n">
        <v>0</v>
      </c>
      <c r="L826" s="12" t="n">
        <v>0</v>
      </c>
      <c r="M826" s="12" t="n">
        <v>27</v>
      </c>
      <c r="N826" s="12" t="n">
        <v>27</v>
      </c>
      <c r="O826" s="12" t="n">
        <v>457</v>
      </c>
      <c r="P826" s="16" t="n">
        <f aca="false">O826/3</f>
        <v>152.333333333333</v>
      </c>
      <c r="Q826" s="17" t="str">
        <f aca="false">INT(O826/3)&amp;"."&amp;MOD(O826,3)</f>
        <v>152.1</v>
      </c>
      <c r="R826" s="12" t="n">
        <v>104</v>
      </c>
      <c r="S826" s="12" t="n">
        <v>48</v>
      </c>
      <c r="T826" s="12" t="n">
        <v>45</v>
      </c>
      <c r="U826" s="12" t="n">
        <v>18</v>
      </c>
      <c r="V826" s="12" t="n">
        <v>64</v>
      </c>
      <c r="W826" s="12" t="n">
        <v>162</v>
      </c>
      <c r="X826" s="12" t="n">
        <v>5</v>
      </c>
      <c r="Y826" s="18" t="n">
        <f aca="false">IF(O826=0,0,T826*27/O826)</f>
        <v>2.65864332603939</v>
      </c>
      <c r="Z826" s="18" t="n">
        <f aca="false">IF(P826=0,0,(V826+R826)/P826)</f>
        <v>1.10284463894967</v>
      </c>
      <c r="AA826" s="18" t="n">
        <f aca="false">IF(O826=0,0,W826*27/O826)</f>
        <v>9.57111597374179</v>
      </c>
      <c r="AB826" s="18" t="n">
        <f aca="false">IF(O826=0,0,V826*27/O826)</f>
        <v>3.78118161925602</v>
      </c>
      <c r="AC826" s="18" t="n">
        <f aca="false">IF(V826=0,0,W826/V826)</f>
        <v>2.53125</v>
      </c>
      <c r="AD826" s="18" t="n">
        <f aca="false">IF(P826=0,0,(13*U826+3*(V826+X826)-2*W826)/P826+INDEX(球季參數!$C$2:$C$4,MATCH($A826,球季參數!$A$2:$A$4,0)))</f>
        <v>3.84805251641138</v>
      </c>
      <c r="AE826" s="11" t="n">
        <f aca="false">IF(P826&gt;=INDEX(球季參數!$F$2:$F$4,MATCH($A826,球季參數!$A$2:$A$4,0)),1,0)</f>
        <v>0</v>
      </c>
    </row>
    <row r="827" customFormat="false" ht="15" hidden="false" customHeight="false" outlineLevel="0" collapsed="false">
      <c r="A827" s="5" t="n">
        <v>2026</v>
      </c>
      <c r="B827" s="7" t="s">
        <v>1387</v>
      </c>
      <c r="C827" s="10" t="str">
        <f aca="false">INDEX(球員主檔!$B$2:$B$749,MATCH($B827,球員主檔!$A$2:$A$749,0))</f>
        <v>Tristan Garrity</v>
      </c>
      <c r="D827" s="7" t="s">
        <v>434</v>
      </c>
      <c r="E827" s="10" t="str">
        <f aca="false">INDEX(球隊主檔!$C$2:$C$31,MATCH($D827,球隊主檔!$A$2:$A$31,0))</f>
        <v>密爾瓦基釀酒人</v>
      </c>
      <c r="F827" s="10" t="str">
        <f aca="false">INDEX(球隊主檔!$D$2:$D$31,MATCH($D827,球隊主檔!$A$2:$A$31,0))</f>
        <v>國聯</v>
      </c>
      <c r="G827" s="7" t="s">
        <v>507</v>
      </c>
      <c r="H827" s="11" t="n">
        <f aca="false">INT((DATE($A827,7,1)-INDEX(球員主檔!$G$2:$G$749,MATCH($B827,球員主檔!$A$2:$A$749,0)))/365.25)</f>
        <v>28</v>
      </c>
      <c r="I827" s="12" t="n">
        <v>4</v>
      </c>
      <c r="J827" s="12" t="n">
        <v>1</v>
      </c>
      <c r="K827" s="12" t="n">
        <v>45</v>
      </c>
      <c r="L827" s="12" t="n">
        <v>3</v>
      </c>
      <c r="M827" s="12" t="n">
        <v>73</v>
      </c>
      <c r="N827" s="12" t="n">
        <v>0</v>
      </c>
      <c r="O827" s="12" t="n">
        <v>218</v>
      </c>
      <c r="P827" s="16" t="n">
        <f aca="false">O827/3</f>
        <v>72.6666666666667</v>
      </c>
      <c r="Q827" s="17" t="str">
        <f aca="false">INT(O827/3)&amp;"."&amp;MOD(O827,3)</f>
        <v>72.2</v>
      </c>
      <c r="R827" s="12" t="n">
        <v>58</v>
      </c>
      <c r="S827" s="12" t="n">
        <v>25</v>
      </c>
      <c r="T827" s="12" t="n">
        <v>23</v>
      </c>
      <c r="U827" s="12" t="n">
        <v>9</v>
      </c>
      <c r="V827" s="12" t="n">
        <v>26</v>
      </c>
      <c r="W827" s="12" t="n">
        <v>75</v>
      </c>
      <c r="X827" s="12" t="n">
        <v>3</v>
      </c>
      <c r="Y827" s="18" t="n">
        <f aca="false">IF(O827=0,0,T827*27/O827)</f>
        <v>2.84862385321101</v>
      </c>
      <c r="Z827" s="18" t="n">
        <f aca="false">IF(P827=0,0,(V827+R827)/P827)</f>
        <v>1.15596330275229</v>
      </c>
      <c r="AA827" s="18" t="n">
        <f aca="false">IF(O827=0,0,W827*27/O827)</f>
        <v>9.28899082568807</v>
      </c>
      <c r="AB827" s="18" t="n">
        <f aca="false">IF(O827=0,0,V827*27/O827)</f>
        <v>3.22018348623853</v>
      </c>
      <c r="AC827" s="18" t="n">
        <f aca="false">IF(V827=0,0,W827/V827)</f>
        <v>2.88461538461538</v>
      </c>
      <c r="AD827" s="18" t="n">
        <f aca="false">IF(P827=0,0,(13*U827+3*(V827+X827)-2*W827)/P827+INDEX(球季參數!$C$2:$C$4,MATCH($A827,球季參數!$A$2:$A$4,0)))</f>
        <v>3.82311926605505</v>
      </c>
      <c r="AE827" s="11" t="n">
        <f aca="false">IF(P827&gt;=INDEX(球季參數!$F$2:$F$4,MATCH($A827,球季參數!$A$2:$A$4,0)),1,0)</f>
        <v>0</v>
      </c>
    </row>
    <row r="828" customFormat="false" ht="15" hidden="false" customHeight="false" outlineLevel="0" collapsed="false">
      <c r="A828" s="5" t="n">
        <v>2026</v>
      </c>
      <c r="B828" s="7" t="s">
        <v>1389</v>
      </c>
      <c r="C828" s="10" t="str">
        <f aca="false">INDEX(球員主檔!$B$2:$B$749,MATCH($B828,球員主檔!$A$2:$A$749,0))</f>
        <v>Emilio Dubois</v>
      </c>
      <c r="D828" s="7" t="s">
        <v>434</v>
      </c>
      <c r="E828" s="10" t="str">
        <f aca="false">INDEX(球隊主檔!$C$2:$C$31,MATCH($D828,球隊主檔!$A$2:$A$31,0))</f>
        <v>密爾瓦基釀酒人</v>
      </c>
      <c r="F828" s="10" t="str">
        <f aca="false">INDEX(球隊主檔!$D$2:$D$31,MATCH($D828,球隊主檔!$A$2:$A$31,0))</f>
        <v>國聯</v>
      </c>
      <c r="G828" s="7" t="s">
        <v>507</v>
      </c>
      <c r="H828" s="11" t="n">
        <f aca="false">INT((DATE($A828,7,1)-INDEX(球員主檔!$G$2:$G$749,MATCH($B828,球員主檔!$A$2:$A$749,0)))/365.25)</f>
        <v>30</v>
      </c>
      <c r="I828" s="12" t="n">
        <v>0</v>
      </c>
      <c r="J828" s="12" t="n">
        <v>2</v>
      </c>
      <c r="K828" s="12" t="n">
        <v>5</v>
      </c>
      <c r="L828" s="12" t="n">
        <v>7</v>
      </c>
      <c r="M828" s="12" t="n">
        <v>66</v>
      </c>
      <c r="N828" s="12" t="n">
        <v>0</v>
      </c>
      <c r="O828" s="12" t="n">
        <v>189</v>
      </c>
      <c r="P828" s="16" t="n">
        <f aca="false">O828/3</f>
        <v>63</v>
      </c>
      <c r="Q828" s="17" t="str">
        <f aca="false">INT(O828/3)&amp;"."&amp;MOD(O828,3)</f>
        <v>63.0</v>
      </c>
      <c r="R828" s="12" t="n">
        <v>50</v>
      </c>
      <c r="S828" s="12" t="n">
        <v>21</v>
      </c>
      <c r="T828" s="12" t="n">
        <v>19</v>
      </c>
      <c r="U828" s="12" t="n">
        <v>9</v>
      </c>
      <c r="V828" s="12" t="n">
        <v>22</v>
      </c>
      <c r="W828" s="12" t="n">
        <v>82</v>
      </c>
      <c r="X828" s="12" t="n">
        <v>3</v>
      </c>
      <c r="Y828" s="18" t="n">
        <f aca="false">IF(O828=0,0,T828*27/O828)</f>
        <v>2.71428571428571</v>
      </c>
      <c r="Z828" s="18" t="n">
        <f aca="false">IF(P828=0,0,(V828+R828)/P828)</f>
        <v>1.14285714285714</v>
      </c>
      <c r="AA828" s="18" t="n">
        <f aca="false">IF(O828=0,0,W828*27/O828)</f>
        <v>11.7142857142857</v>
      </c>
      <c r="AB828" s="18" t="n">
        <f aca="false">IF(O828=0,0,V828*27/O828)</f>
        <v>3.14285714285714</v>
      </c>
      <c r="AC828" s="18" t="n">
        <f aca="false">IF(V828=0,0,W828/V828)</f>
        <v>3.72727272727273</v>
      </c>
      <c r="AD828" s="18" t="n">
        <f aca="false">IF(P828=0,0,(13*U828+3*(V828+X828)-2*W828)/P828+INDEX(球季參數!$C$2:$C$4,MATCH($A828,球季參數!$A$2:$A$4,0)))</f>
        <v>3.52444444444444</v>
      </c>
      <c r="AE828" s="11" t="n">
        <f aca="false">IF(P828&gt;=INDEX(球季參數!$F$2:$F$4,MATCH($A828,球季參數!$A$2:$A$4,0)),1,0)</f>
        <v>0</v>
      </c>
    </row>
    <row r="829" customFormat="false" ht="15" hidden="false" customHeight="false" outlineLevel="0" collapsed="false">
      <c r="A829" s="5" t="n">
        <v>2026</v>
      </c>
      <c r="B829" s="7" t="s">
        <v>1337</v>
      </c>
      <c r="C829" s="10" t="str">
        <f aca="false">INDEX(球員主檔!$B$2:$B$749,MATCH($B829,球員主檔!$A$2:$A$749,0))</f>
        <v>Lucien Jovanović</v>
      </c>
      <c r="D829" s="7" t="s">
        <v>434</v>
      </c>
      <c r="E829" s="10" t="str">
        <f aca="false">INDEX(球隊主檔!$C$2:$C$31,MATCH($D829,球隊主檔!$A$2:$A$31,0))</f>
        <v>密爾瓦基釀酒人</v>
      </c>
      <c r="F829" s="10" t="str">
        <f aca="false">INDEX(球隊主檔!$D$2:$D$31,MATCH($D829,球隊主檔!$A$2:$A$31,0))</f>
        <v>國聯</v>
      </c>
      <c r="G829" s="7" t="s">
        <v>507</v>
      </c>
      <c r="H829" s="11" t="n">
        <f aca="false">INT((DATE($A829,7,1)-INDEX(球員主檔!$G$2:$G$749,MATCH($B829,球員主檔!$A$2:$A$749,0)))/365.25)</f>
        <v>27</v>
      </c>
      <c r="I829" s="12" t="n">
        <v>6</v>
      </c>
      <c r="J829" s="12" t="n">
        <v>7</v>
      </c>
      <c r="K829" s="12" t="n">
        <v>5</v>
      </c>
      <c r="L829" s="12" t="n">
        <v>28</v>
      </c>
      <c r="M829" s="12" t="n">
        <v>70</v>
      </c>
      <c r="N829" s="12" t="n">
        <v>0</v>
      </c>
      <c r="O829" s="12" t="n">
        <v>207</v>
      </c>
      <c r="P829" s="16" t="n">
        <f aca="false">O829/3</f>
        <v>69</v>
      </c>
      <c r="Q829" s="17" t="str">
        <f aca="false">INT(O829/3)&amp;"."&amp;MOD(O829,3)</f>
        <v>69.0</v>
      </c>
      <c r="R829" s="12" t="n">
        <v>59</v>
      </c>
      <c r="S829" s="12" t="n">
        <v>39</v>
      </c>
      <c r="T829" s="12" t="n">
        <v>38</v>
      </c>
      <c r="U829" s="12" t="n">
        <v>4</v>
      </c>
      <c r="V829" s="12" t="n">
        <v>46</v>
      </c>
      <c r="W829" s="12" t="n">
        <v>47</v>
      </c>
      <c r="X829" s="12" t="n">
        <v>3</v>
      </c>
      <c r="Y829" s="18" t="n">
        <f aca="false">IF(O829=0,0,T829*27/O829)</f>
        <v>4.95652173913044</v>
      </c>
      <c r="Z829" s="18" t="n">
        <f aca="false">IF(P829=0,0,(V829+R829)/P829)</f>
        <v>1.52173913043478</v>
      </c>
      <c r="AA829" s="18" t="n">
        <f aca="false">IF(O829=0,0,W829*27/O829)</f>
        <v>6.1304347826087</v>
      </c>
      <c r="AB829" s="18" t="n">
        <f aca="false">IF(O829=0,0,V829*27/O829)</f>
        <v>6</v>
      </c>
      <c r="AC829" s="18" t="n">
        <f aca="false">IF(V829=0,0,W829/V829)</f>
        <v>1.02173913043478</v>
      </c>
      <c r="AD829" s="18" t="n">
        <f aca="false">IF(P829=0,0,(13*U829+3*(V829+X829)-2*W829)/P829+INDEX(球季參數!$C$2:$C$4,MATCH($A829,球季參數!$A$2:$A$4,0)))</f>
        <v>4.60173913043478</v>
      </c>
      <c r="AE829" s="11" t="n">
        <f aca="false">IF(P829&gt;=INDEX(球季參數!$F$2:$F$4,MATCH($A829,球季參數!$A$2:$A$4,0)),1,0)</f>
        <v>0</v>
      </c>
    </row>
    <row r="830" customFormat="false" ht="15" hidden="false" customHeight="false" outlineLevel="0" collapsed="false">
      <c r="A830" s="5" t="n">
        <v>2026</v>
      </c>
      <c r="B830" s="7" t="s">
        <v>1069</v>
      </c>
      <c r="C830" s="10" t="str">
        <f aca="false">INDEX(球員主檔!$B$2:$B$749,MATCH($B830,球員主檔!$A$2:$A$749,0))</f>
        <v>Oakley Yoshinaga</v>
      </c>
      <c r="D830" s="7" t="s">
        <v>434</v>
      </c>
      <c r="E830" s="10" t="str">
        <f aca="false">INDEX(球隊主檔!$C$2:$C$31,MATCH($D830,球隊主檔!$A$2:$A$31,0))</f>
        <v>密爾瓦基釀酒人</v>
      </c>
      <c r="F830" s="10" t="str">
        <f aca="false">INDEX(球隊主檔!$D$2:$D$31,MATCH($D830,球隊主檔!$A$2:$A$31,0))</f>
        <v>國聯</v>
      </c>
      <c r="G830" s="7" t="s">
        <v>507</v>
      </c>
      <c r="H830" s="11" t="n">
        <f aca="false">INT((DATE($A830,7,1)-INDEX(球員主檔!$G$2:$G$749,MATCH($B830,球員主檔!$A$2:$A$749,0)))/365.25)</f>
        <v>34</v>
      </c>
      <c r="I830" s="12" t="n">
        <v>2</v>
      </c>
      <c r="J830" s="12" t="n">
        <v>0</v>
      </c>
      <c r="K830" s="12" t="n">
        <v>4</v>
      </c>
      <c r="L830" s="12" t="n">
        <v>33</v>
      </c>
      <c r="M830" s="12" t="n">
        <v>70</v>
      </c>
      <c r="N830" s="12" t="n">
        <v>0</v>
      </c>
      <c r="O830" s="12" t="n">
        <v>200</v>
      </c>
      <c r="P830" s="16" t="n">
        <f aca="false">O830/3</f>
        <v>66.6666666666667</v>
      </c>
      <c r="Q830" s="17" t="str">
        <f aca="false">INT(O830/3)&amp;"."&amp;MOD(O830,3)</f>
        <v>66.2</v>
      </c>
      <c r="R830" s="12" t="n">
        <v>57</v>
      </c>
      <c r="S830" s="12" t="n">
        <v>38</v>
      </c>
      <c r="T830" s="12" t="n">
        <v>37</v>
      </c>
      <c r="U830" s="12" t="n">
        <v>14</v>
      </c>
      <c r="V830" s="12" t="n">
        <v>21</v>
      </c>
      <c r="W830" s="12" t="n">
        <v>58</v>
      </c>
      <c r="X830" s="12" t="n">
        <v>1</v>
      </c>
      <c r="Y830" s="18" t="n">
        <f aca="false">IF(O830=0,0,T830*27/O830)</f>
        <v>4.995</v>
      </c>
      <c r="Z830" s="18" t="n">
        <f aca="false">IF(P830=0,0,(V830+R830)/P830)</f>
        <v>1.17</v>
      </c>
      <c r="AA830" s="18" t="n">
        <f aca="false">IF(O830=0,0,W830*27/O830)</f>
        <v>7.83</v>
      </c>
      <c r="AB830" s="18" t="n">
        <f aca="false">IF(O830=0,0,V830*27/O830)</f>
        <v>2.835</v>
      </c>
      <c r="AC830" s="18" t="n">
        <f aca="false">IF(V830=0,0,W830/V830)</f>
        <v>2.76190476190476</v>
      </c>
      <c r="AD830" s="18" t="n">
        <f aca="false">IF(P830=0,0,(13*U830+3*(V830+X830)-2*W830)/P830+INDEX(球季參數!$C$2:$C$4,MATCH($A830,球季參數!$A$2:$A$4,0)))</f>
        <v>5.06</v>
      </c>
      <c r="AE830" s="11" t="n">
        <f aca="false">IF(P830&gt;=INDEX(球季參數!$F$2:$F$4,MATCH($A830,球季參數!$A$2:$A$4,0)),1,0)</f>
        <v>0</v>
      </c>
    </row>
    <row r="831" customFormat="false" ht="15" hidden="false" customHeight="false" outlineLevel="0" collapsed="false">
      <c r="A831" s="5" t="n">
        <v>2026</v>
      </c>
      <c r="B831" s="7" t="s">
        <v>1395</v>
      </c>
      <c r="C831" s="10" t="str">
        <f aca="false">INDEX(球員主檔!$B$2:$B$749,MATCH($B831,球員主檔!$A$2:$A$749,0))</f>
        <v>Benedikt Jovanović</v>
      </c>
      <c r="D831" s="7" t="s">
        <v>434</v>
      </c>
      <c r="E831" s="10" t="str">
        <f aca="false">INDEX(球隊主檔!$C$2:$C$31,MATCH($D831,球隊主檔!$A$2:$A$31,0))</f>
        <v>密爾瓦基釀酒人</v>
      </c>
      <c r="F831" s="10" t="str">
        <f aca="false">INDEX(球隊主檔!$D$2:$D$31,MATCH($D831,球隊主檔!$A$2:$A$31,0))</f>
        <v>國聯</v>
      </c>
      <c r="G831" s="7" t="s">
        <v>507</v>
      </c>
      <c r="H831" s="11" t="n">
        <f aca="false">INT((DATE($A831,7,1)-INDEX(球員主檔!$G$2:$G$749,MATCH($B831,球員主檔!$A$2:$A$749,0)))/365.25)</f>
        <v>29</v>
      </c>
      <c r="I831" s="12" t="n">
        <v>6</v>
      </c>
      <c r="J831" s="12" t="n">
        <v>0</v>
      </c>
      <c r="K831" s="12" t="n">
        <v>6</v>
      </c>
      <c r="L831" s="12" t="n">
        <v>11</v>
      </c>
      <c r="M831" s="12" t="n">
        <v>74</v>
      </c>
      <c r="N831" s="12" t="n">
        <v>0</v>
      </c>
      <c r="O831" s="12" t="n">
        <v>246</v>
      </c>
      <c r="P831" s="16" t="n">
        <f aca="false">O831/3</f>
        <v>82</v>
      </c>
      <c r="Q831" s="17" t="str">
        <f aca="false">INT(O831/3)&amp;"."&amp;MOD(O831,3)</f>
        <v>82.0</v>
      </c>
      <c r="R831" s="12" t="n">
        <v>72</v>
      </c>
      <c r="S831" s="12" t="n">
        <v>49</v>
      </c>
      <c r="T831" s="12" t="n">
        <v>45</v>
      </c>
      <c r="U831" s="12" t="n">
        <v>11</v>
      </c>
      <c r="V831" s="12" t="n">
        <v>27</v>
      </c>
      <c r="W831" s="12" t="n">
        <v>80</v>
      </c>
      <c r="X831" s="12" t="n">
        <v>1</v>
      </c>
      <c r="Y831" s="18" t="n">
        <f aca="false">IF(O831=0,0,T831*27/O831)</f>
        <v>4.9390243902439</v>
      </c>
      <c r="Z831" s="18" t="n">
        <f aca="false">IF(P831=0,0,(V831+R831)/P831)</f>
        <v>1.20731707317073</v>
      </c>
      <c r="AA831" s="18" t="n">
        <f aca="false">IF(O831=0,0,W831*27/O831)</f>
        <v>8.78048780487805</v>
      </c>
      <c r="AB831" s="18" t="n">
        <f aca="false">IF(O831=0,0,V831*27/O831)</f>
        <v>2.96341463414634</v>
      </c>
      <c r="AC831" s="18" t="n">
        <f aca="false">IF(V831=0,0,W831/V831)</f>
        <v>2.96296296296296</v>
      </c>
      <c r="AD831" s="18" t="n">
        <f aca="false">IF(P831=0,0,(13*U831+3*(V831+X831)-2*W831)/P831+INDEX(球季參數!$C$2:$C$4,MATCH($A831,球季參數!$A$2:$A$4,0)))</f>
        <v>3.89707317073171</v>
      </c>
      <c r="AE831" s="11" t="n">
        <f aca="false">IF(P831&gt;=INDEX(球季參數!$F$2:$F$4,MATCH($A831,球季參數!$A$2:$A$4,0)),1,0)</f>
        <v>0</v>
      </c>
    </row>
    <row r="832" customFormat="false" ht="15" hidden="false" customHeight="false" outlineLevel="0" collapsed="false">
      <c r="A832" s="5" t="n">
        <v>2026</v>
      </c>
      <c r="B832" s="7" t="s">
        <v>1417</v>
      </c>
      <c r="C832" s="10" t="str">
        <f aca="false">INDEX(球員主檔!$B$2:$B$749,MATCH($B832,球員主檔!$A$2:$A$749,0))</f>
        <v>Wyatt Larrabee</v>
      </c>
      <c r="D832" s="7" t="s">
        <v>438</v>
      </c>
      <c r="E832" s="10" t="str">
        <f aca="false">INDEX(球隊主檔!$C$2:$C$31,MATCH($D832,球隊主檔!$A$2:$A$31,0))</f>
        <v>匹茲堡海盜</v>
      </c>
      <c r="F832" s="10" t="str">
        <f aca="false">INDEX(球隊主檔!$D$2:$D$31,MATCH($D832,球隊主檔!$A$2:$A$31,0))</f>
        <v>國聯</v>
      </c>
      <c r="G832" s="7" t="s">
        <v>496</v>
      </c>
      <c r="H832" s="11" t="n">
        <f aca="false">INT((DATE($A832,7,1)-INDEX(球員主檔!$G$2:$G$749,MATCH($B832,球員主檔!$A$2:$A$749,0)))/365.25)</f>
        <v>27</v>
      </c>
      <c r="I832" s="12" t="n">
        <v>15</v>
      </c>
      <c r="J832" s="12" t="n">
        <v>5</v>
      </c>
      <c r="K832" s="12" t="n">
        <v>0</v>
      </c>
      <c r="L832" s="12" t="n">
        <v>0</v>
      </c>
      <c r="M832" s="12" t="n">
        <v>26</v>
      </c>
      <c r="N832" s="12" t="n">
        <v>26</v>
      </c>
      <c r="O832" s="12" t="n">
        <v>481</v>
      </c>
      <c r="P832" s="16" t="n">
        <f aca="false">O832/3</f>
        <v>160.333333333333</v>
      </c>
      <c r="Q832" s="17" t="str">
        <f aca="false">INT(O832/3)&amp;"."&amp;MOD(O832,3)</f>
        <v>160.1</v>
      </c>
      <c r="R832" s="12" t="n">
        <v>112</v>
      </c>
      <c r="S832" s="12" t="n">
        <v>56</v>
      </c>
      <c r="T832" s="12" t="n">
        <v>50</v>
      </c>
      <c r="U832" s="12" t="n">
        <v>24</v>
      </c>
      <c r="V832" s="12" t="n">
        <v>53</v>
      </c>
      <c r="W832" s="12" t="n">
        <v>177</v>
      </c>
      <c r="X832" s="12" t="n">
        <v>9</v>
      </c>
      <c r="Y832" s="18" t="n">
        <f aca="false">IF(O832=0,0,T832*27/O832)</f>
        <v>2.80665280665281</v>
      </c>
      <c r="Z832" s="18" t="n">
        <f aca="false">IF(P832=0,0,(V832+R832)/P832)</f>
        <v>1.02910602910603</v>
      </c>
      <c r="AA832" s="18" t="n">
        <f aca="false">IF(O832=0,0,W832*27/O832)</f>
        <v>9.93555093555094</v>
      </c>
      <c r="AB832" s="18" t="n">
        <f aca="false">IF(O832=0,0,V832*27/O832)</f>
        <v>2.97505197505198</v>
      </c>
      <c r="AC832" s="18" t="n">
        <f aca="false">IF(V832=0,0,W832/V832)</f>
        <v>3.33962264150943</v>
      </c>
      <c r="AD832" s="18" t="n">
        <f aca="false">IF(P832=0,0,(13*U832+3*(V832+X832)-2*W832)/P832+INDEX(球季參數!$C$2:$C$4,MATCH($A832,球季參數!$A$2:$A$4,0)))</f>
        <v>3.9781288981289</v>
      </c>
      <c r="AE832" s="11" t="n">
        <f aca="false">IF(P832&gt;=INDEX(球季參數!$F$2:$F$4,MATCH($A832,球季參數!$A$2:$A$4,0)),1,0)</f>
        <v>0</v>
      </c>
    </row>
    <row r="833" customFormat="false" ht="15" hidden="false" customHeight="false" outlineLevel="0" collapsed="false">
      <c r="A833" s="5" t="n">
        <v>2026</v>
      </c>
      <c r="B833" s="7" t="s">
        <v>1419</v>
      </c>
      <c r="C833" s="10" t="str">
        <f aca="false">INDEX(球員主檔!$B$2:$B$749,MATCH($B833,球員主檔!$A$2:$A$749,0))</f>
        <v>Oakley Ibarra</v>
      </c>
      <c r="D833" s="7" t="s">
        <v>438</v>
      </c>
      <c r="E833" s="10" t="str">
        <f aca="false">INDEX(球隊主檔!$C$2:$C$31,MATCH($D833,球隊主檔!$A$2:$A$31,0))</f>
        <v>匹茲堡海盜</v>
      </c>
      <c r="F833" s="10" t="str">
        <f aca="false">INDEX(球隊主檔!$D$2:$D$31,MATCH($D833,球隊主檔!$A$2:$A$31,0))</f>
        <v>國聯</v>
      </c>
      <c r="G833" s="7" t="s">
        <v>496</v>
      </c>
      <c r="H833" s="11" t="n">
        <f aca="false">INT((DATE($A833,7,1)-INDEX(球員主檔!$G$2:$G$749,MATCH($B833,球員主檔!$A$2:$A$749,0)))/365.25)</f>
        <v>27</v>
      </c>
      <c r="I833" s="12" t="n">
        <v>12</v>
      </c>
      <c r="J833" s="12" t="n">
        <v>5</v>
      </c>
      <c r="K833" s="12" t="n">
        <v>0</v>
      </c>
      <c r="L833" s="12" t="n">
        <v>0</v>
      </c>
      <c r="M833" s="12" t="n">
        <v>25</v>
      </c>
      <c r="N833" s="12" t="n">
        <v>25</v>
      </c>
      <c r="O833" s="12" t="n">
        <v>438</v>
      </c>
      <c r="P833" s="16" t="n">
        <f aca="false">O833/3</f>
        <v>146</v>
      </c>
      <c r="Q833" s="17" t="str">
        <f aca="false">INT(O833/3)&amp;"."&amp;MOD(O833,3)</f>
        <v>146.0</v>
      </c>
      <c r="R833" s="12" t="n">
        <v>121</v>
      </c>
      <c r="S833" s="12" t="n">
        <v>67</v>
      </c>
      <c r="T833" s="12" t="n">
        <v>60</v>
      </c>
      <c r="U833" s="12" t="n">
        <v>19</v>
      </c>
      <c r="V833" s="12" t="n">
        <v>48</v>
      </c>
      <c r="W833" s="12" t="n">
        <v>165</v>
      </c>
      <c r="X833" s="12" t="n">
        <v>4</v>
      </c>
      <c r="Y833" s="18" t="n">
        <f aca="false">IF(O833=0,0,T833*27/O833)</f>
        <v>3.6986301369863</v>
      </c>
      <c r="Z833" s="18" t="n">
        <f aca="false">IF(P833=0,0,(V833+R833)/P833)</f>
        <v>1.15753424657534</v>
      </c>
      <c r="AA833" s="18" t="n">
        <f aca="false">IF(O833=0,0,W833*27/O833)</f>
        <v>10.1712328767123</v>
      </c>
      <c r="AB833" s="18" t="n">
        <f aca="false">IF(O833=0,0,V833*27/O833)</f>
        <v>2.95890410958904</v>
      </c>
      <c r="AC833" s="18" t="n">
        <f aca="false">IF(V833=0,0,W833/V833)</f>
        <v>3.4375</v>
      </c>
      <c r="AD833" s="18" t="n">
        <f aca="false">IF(P833=0,0,(13*U833+3*(V833+X833)-2*W833)/P833+INDEX(球季參數!$C$2:$C$4,MATCH($A833,球季參數!$A$2:$A$4,0)))</f>
        <v>3.58</v>
      </c>
      <c r="AE833" s="11" t="n">
        <f aca="false">IF(P833&gt;=INDEX(球季參數!$F$2:$F$4,MATCH($A833,球季參數!$A$2:$A$4,0)),1,0)</f>
        <v>0</v>
      </c>
    </row>
    <row r="834" customFormat="false" ht="15" hidden="false" customHeight="false" outlineLevel="0" collapsed="false">
      <c r="A834" s="5" t="n">
        <v>2026</v>
      </c>
      <c r="B834" s="7" t="s">
        <v>1421</v>
      </c>
      <c r="C834" s="10" t="str">
        <f aca="false">INDEX(球員主檔!$B$2:$B$749,MATCH($B834,球員主檔!$A$2:$A$749,0))</f>
        <v>Ronin Rasmussen</v>
      </c>
      <c r="D834" s="7" t="s">
        <v>438</v>
      </c>
      <c r="E834" s="10" t="str">
        <f aca="false">INDEX(球隊主檔!$C$2:$C$31,MATCH($D834,球隊主檔!$A$2:$A$31,0))</f>
        <v>匹茲堡海盜</v>
      </c>
      <c r="F834" s="10" t="str">
        <f aca="false">INDEX(球隊主檔!$D$2:$D$31,MATCH($D834,球隊主檔!$A$2:$A$31,0))</f>
        <v>國聯</v>
      </c>
      <c r="G834" s="7" t="s">
        <v>496</v>
      </c>
      <c r="H834" s="11" t="n">
        <f aca="false">INT((DATE($A834,7,1)-INDEX(球員主檔!$G$2:$G$749,MATCH($B834,球員主檔!$A$2:$A$749,0)))/365.25)</f>
        <v>31</v>
      </c>
      <c r="I834" s="12" t="n">
        <v>11</v>
      </c>
      <c r="J834" s="12" t="n">
        <v>5</v>
      </c>
      <c r="K834" s="12" t="n">
        <v>0</v>
      </c>
      <c r="L834" s="12" t="n">
        <v>0</v>
      </c>
      <c r="M834" s="12" t="n">
        <v>24</v>
      </c>
      <c r="N834" s="12" t="n">
        <v>24</v>
      </c>
      <c r="O834" s="12" t="n">
        <v>360</v>
      </c>
      <c r="P834" s="16" t="n">
        <f aca="false">O834/3</f>
        <v>120</v>
      </c>
      <c r="Q834" s="17" t="str">
        <f aca="false">INT(O834/3)&amp;"."&amp;MOD(O834,3)</f>
        <v>120.0</v>
      </c>
      <c r="R834" s="12" t="n">
        <v>101</v>
      </c>
      <c r="S834" s="12" t="n">
        <v>56</v>
      </c>
      <c r="T834" s="12" t="n">
        <v>53</v>
      </c>
      <c r="U834" s="12" t="n">
        <v>13</v>
      </c>
      <c r="V834" s="12" t="n">
        <v>44</v>
      </c>
      <c r="W834" s="12" t="n">
        <v>104</v>
      </c>
      <c r="X834" s="12" t="n">
        <v>5</v>
      </c>
      <c r="Y834" s="18" t="n">
        <f aca="false">IF(O834=0,0,T834*27/O834)</f>
        <v>3.975</v>
      </c>
      <c r="Z834" s="18" t="n">
        <f aca="false">IF(P834=0,0,(V834+R834)/P834)</f>
        <v>1.20833333333333</v>
      </c>
      <c r="AA834" s="18" t="n">
        <f aca="false">IF(O834=0,0,W834*27/O834)</f>
        <v>7.8</v>
      </c>
      <c r="AB834" s="18" t="n">
        <f aca="false">IF(O834=0,0,V834*27/O834)</f>
        <v>3.3</v>
      </c>
      <c r="AC834" s="18" t="n">
        <f aca="false">IF(V834=0,0,W834/V834)</f>
        <v>2.36363636363636</v>
      </c>
      <c r="AD834" s="18" t="n">
        <f aca="false">IF(P834=0,0,(13*U834+3*(V834+X834)-2*W834)/P834+INDEX(球季參數!$C$2:$C$4,MATCH($A834,球季參數!$A$2:$A$4,0)))</f>
        <v>3.98</v>
      </c>
      <c r="AE834" s="11" t="n">
        <f aca="false">IF(P834&gt;=INDEX(球季參數!$F$2:$F$4,MATCH($A834,球季參數!$A$2:$A$4,0)),1,0)</f>
        <v>0</v>
      </c>
    </row>
    <row r="835" customFormat="false" ht="15" hidden="false" customHeight="false" outlineLevel="0" collapsed="false">
      <c r="A835" s="5" t="n">
        <v>2026</v>
      </c>
      <c r="B835" s="7" t="s">
        <v>1423</v>
      </c>
      <c r="C835" s="10" t="str">
        <f aca="false">INDEX(球員主檔!$B$2:$B$749,MATCH($B835,球員主檔!$A$2:$A$749,0))</f>
        <v>Dashiell Stroheim</v>
      </c>
      <c r="D835" s="7" t="s">
        <v>438</v>
      </c>
      <c r="E835" s="10" t="str">
        <f aca="false">INDEX(球隊主檔!$C$2:$C$31,MATCH($D835,球隊主檔!$A$2:$A$31,0))</f>
        <v>匹茲堡海盜</v>
      </c>
      <c r="F835" s="10" t="str">
        <f aca="false">INDEX(球隊主檔!$D$2:$D$31,MATCH($D835,球隊主檔!$A$2:$A$31,0))</f>
        <v>國聯</v>
      </c>
      <c r="G835" s="7" t="s">
        <v>496</v>
      </c>
      <c r="H835" s="11" t="n">
        <f aca="false">INT((DATE($A835,7,1)-INDEX(球員主檔!$G$2:$G$749,MATCH($B835,球員主檔!$A$2:$A$749,0)))/365.25)</f>
        <v>31</v>
      </c>
      <c r="I835" s="12" t="n">
        <v>10</v>
      </c>
      <c r="J835" s="12" t="n">
        <v>11</v>
      </c>
      <c r="K835" s="12" t="n">
        <v>0</v>
      </c>
      <c r="L835" s="12" t="n">
        <v>0</v>
      </c>
      <c r="M835" s="12" t="n">
        <v>33</v>
      </c>
      <c r="N835" s="12" t="n">
        <v>33</v>
      </c>
      <c r="O835" s="12" t="n">
        <v>613</v>
      </c>
      <c r="P835" s="16" t="n">
        <f aca="false">O835/3</f>
        <v>204.333333333333</v>
      </c>
      <c r="Q835" s="17" t="str">
        <f aca="false">INT(O835/3)&amp;"."&amp;MOD(O835,3)</f>
        <v>204.1</v>
      </c>
      <c r="R835" s="12" t="n">
        <v>191</v>
      </c>
      <c r="S835" s="12" t="n">
        <v>135</v>
      </c>
      <c r="T835" s="12" t="n">
        <v>121</v>
      </c>
      <c r="U835" s="12" t="n">
        <v>27</v>
      </c>
      <c r="V835" s="12" t="n">
        <v>86</v>
      </c>
      <c r="W835" s="12" t="n">
        <v>251</v>
      </c>
      <c r="X835" s="12" t="n">
        <v>7</v>
      </c>
      <c r="Y835" s="18" t="n">
        <f aca="false">IF(O835=0,0,T835*27/O835)</f>
        <v>5.32952691680261</v>
      </c>
      <c r="Z835" s="18" t="n">
        <f aca="false">IF(P835=0,0,(V835+R835)/P835)</f>
        <v>1.35562805872757</v>
      </c>
      <c r="AA835" s="18" t="n">
        <f aca="false">IF(O835=0,0,W835*27/O835)</f>
        <v>11.0554649265905</v>
      </c>
      <c r="AB835" s="18" t="n">
        <f aca="false">IF(O835=0,0,V835*27/O835)</f>
        <v>3.78792822185971</v>
      </c>
      <c r="AC835" s="18" t="n">
        <f aca="false">IF(V835=0,0,W835/V835)</f>
        <v>2.91860465116279</v>
      </c>
      <c r="AD835" s="18" t="n">
        <f aca="false">IF(P835=0,0,(13*U835+3*(V835+X835)-2*W835)/P835+INDEX(球季參數!$C$2:$C$4,MATCH($A835,球季參數!$A$2:$A$4,0)))</f>
        <v>3.70642740619902</v>
      </c>
      <c r="AE835" s="11" t="n">
        <f aca="false">IF(P835&gt;=INDEX(球季參數!$F$2:$F$4,MATCH($A835,球季參數!$A$2:$A$4,0)),1,0)</f>
        <v>1</v>
      </c>
    </row>
    <row r="836" customFormat="false" ht="15" hidden="false" customHeight="false" outlineLevel="0" collapsed="false">
      <c r="A836" s="5" t="n">
        <v>2026</v>
      </c>
      <c r="B836" s="7" t="s">
        <v>1425</v>
      </c>
      <c r="C836" s="10" t="str">
        <f aca="false">INDEX(球員主檔!$B$2:$B$749,MATCH($B836,球員主檔!$A$2:$A$749,0))</f>
        <v>Minjae Sorrentino</v>
      </c>
      <c r="D836" s="7" t="s">
        <v>438</v>
      </c>
      <c r="E836" s="10" t="str">
        <f aca="false">INDEX(球隊主檔!$C$2:$C$31,MATCH($D836,球隊主檔!$A$2:$A$31,0))</f>
        <v>匹茲堡海盜</v>
      </c>
      <c r="F836" s="10" t="str">
        <f aca="false">INDEX(球隊主檔!$D$2:$D$31,MATCH($D836,球隊主檔!$A$2:$A$31,0))</f>
        <v>國聯</v>
      </c>
      <c r="G836" s="7" t="s">
        <v>496</v>
      </c>
      <c r="H836" s="11" t="n">
        <f aca="false">INT((DATE($A836,7,1)-INDEX(球員主檔!$G$2:$G$749,MATCH($B836,球員主檔!$A$2:$A$749,0)))/365.25)</f>
        <v>32</v>
      </c>
      <c r="I836" s="12" t="n">
        <v>6</v>
      </c>
      <c r="J836" s="12" t="n">
        <v>2</v>
      </c>
      <c r="K836" s="12" t="n">
        <v>0</v>
      </c>
      <c r="L836" s="12" t="n">
        <v>0</v>
      </c>
      <c r="M836" s="12" t="n">
        <v>10</v>
      </c>
      <c r="N836" s="12" t="n">
        <v>10</v>
      </c>
      <c r="O836" s="12" t="n">
        <v>175</v>
      </c>
      <c r="P836" s="16" t="n">
        <f aca="false">O836/3</f>
        <v>58.3333333333333</v>
      </c>
      <c r="Q836" s="17" t="str">
        <f aca="false">INT(O836/3)&amp;"."&amp;MOD(O836,3)</f>
        <v>58.1</v>
      </c>
      <c r="R836" s="12" t="n">
        <v>47</v>
      </c>
      <c r="S836" s="12" t="n">
        <v>21</v>
      </c>
      <c r="T836" s="12" t="n">
        <v>20</v>
      </c>
      <c r="U836" s="12" t="n">
        <v>10</v>
      </c>
      <c r="V836" s="12" t="n">
        <v>27</v>
      </c>
      <c r="W836" s="12" t="n">
        <v>53</v>
      </c>
      <c r="X836" s="12" t="n">
        <v>2</v>
      </c>
      <c r="Y836" s="18" t="n">
        <f aca="false">IF(O836=0,0,T836*27/O836)</f>
        <v>3.08571428571429</v>
      </c>
      <c r="Z836" s="18" t="n">
        <f aca="false">IF(P836=0,0,(V836+R836)/P836)</f>
        <v>1.26857142857143</v>
      </c>
      <c r="AA836" s="18" t="n">
        <f aca="false">IF(O836=0,0,W836*27/O836)</f>
        <v>8.17714285714286</v>
      </c>
      <c r="AB836" s="18" t="n">
        <f aca="false">IF(O836=0,0,V836*27/O836)</f>
        <v>4.16571428571429</v>
      </c>
      <c r="AC836" s="18" t="n">
        <f aca="false">IF(V836=0,0,W836/V836)</f>
        <v>1.96296296296296</v>
      </c>
      <c r="AD836" s="18" t="n">
        <f aca="false">IF(P836=0,0,(13*U836+3*(V836+X836)-2*W836)/P836+INDEX(球季參數!$C$2:$C$4,MATCH($A836,球季參數!$A$2:$A$4,0)))</f>
        <v>4.98285714285714</v>
      </c>
      <c r="AE836" s="11" t="n">
        <f aca="false">IF(P836&gt;=INDEX(球季參數!$F$2:$F$4,MATCH($A836,球季參數!$A$2:$A$4,0)),1,0)</f>
        <v>0</v>
      </c>
    </row>
    <row r="837" customFormat="false" ht="15" hidden="false" customHeight="false" outlineLevel="0" collapsed="false">
      <c r="A837" s="5" t="n">
        <v>2026</v>
      </c>
      <c r="B837" s="7" t="s">
        <v>1427</v>
      </c>
      <c r="C837" s="10" t="str">
        <f aca="false">INDEX(球員主檔!$B$2:$B$749,MATCH($B837,球員主檔!$A$2:$A$749,0))</f>
        <v>Camilo Prendergast</v>
      </c>
      <c r="D837" s="7" t="s">
        <v>438</v>
      </c>
      <c r="E837" s="10" t="str">
        <f aca="false">INDEX(球隊主檔!$C$2:$C$31,MATCH($D837,球隊主檔!$A$2:$A$31,0))</f>
        <v>匹茲堡海盜</v>
      </c>
      <c r="F837" s="10" t="str">
        <f aca="false">INDEX(球隊主檔!$D$2:$D$31,MATCH($D837,球隊主檔!$A$2:$A$31,0))</f>
        <v>國聯</v>
      </c>
      <c r="G837" s="7" t="s">
        <v>507</v>
      </c>
      <c r="H837" s="11" t="n">
        <f aca="false">INT((DATE($A837,7,1)-INDEX(球員主檔!$G$2:$G$749,MATCH($B837,球員主檔!$A$2:$A$749,0)))/365.25)</f>
        <v>30</v>
      </c>
      <c r="I837" s="12" t="n">
        <v>2</v>
      </c>
      <c r="J837" s="12" t="n">
        <v>1</v>
      </c>
      <c r="K837" s="12" t="n">
        <v>6</v>
      </c>
      <c r="L837" s="12" t="n">
        <v>34</v>
      </c>
      <c r="M837" s="12" t="n">
        <v>64</v>
      </c>
      <c r="N837" s="12" t="n">
        <v>0</v>
      </c>
      <c r="O837" s="12" t="n">
        <v>204</v>
      </c>
      <c r="P837" s="16" t="n">
        <f aca="false">O837/3</f>
        <v>68</v>
      </c>
      <c r="Q837" s="17" t="str">
        <f aca="false">INT(O837/3)&amp;"."&amp;MOD(O837,3)</f>
        <v>68.0</v>
      </c>
      <c r="R837" s="12" t="n">
        <v>60</v>
      </c>
      <c r="S837" s="12" t="n">
        <v>36</v>
      </c>
      <c r="T837" s="12" t="n">
        <v>34</v>
      </c>
      <c r="U837" s="12" t="n">
        <v>9</v>
      </c>
      <c r="V837" s="12" t="n">
        <v>25</v>
      </c>
      <c r="W837" s="12" t="n">
        <v>44</v>
      </c>
      <c r="X837" s="12" t="n">
        <v>3</v>
      </c>
      <c r="Y837" s="18" t="n">
        <f aca="false">IF(O837=0,0,T837*27/O837)</f>
        <v>4.5</v>
      </c>
      <c r="Z837" s="18" t="n">
        <f aca="false">IF(P837=0,0,(V837+R837)/P837)</f>
        <v>1.25</v>
      </c>
      <c r="AA837" s="18" t="n">
        <f aca="false">IF(O837=0,0,W837*27/O837)</f>
        <v>5.82352941176471</v>
      </c>
      <c r="AB837" s="18" t="n">
        <f aca="false">IF(O837=0,0,V837*27/O837)</f>
        <v>3.30882352941176</v>
      </c>
      <c r="AC837" s="18" t="n">
        <f aca="false">IF(V837=0,0,W837/V837)</f>
        <v>1.76</v>
      </c>
      <c r="AD837" s="18" t="n">
        <f aca="false">IF(P837=0,0,(13*U837+3*(V837+X837)-2*W837)/P837+INDEX(球季參數!$C$2:$C$4,MATCH($A837,球季參數!$A$2:$A$4,0)))</f>
        <v>4.74176470588235</v>
      </c>
      <c r="AE837" s="11" t="n">
        <f aca="false">IF(P837&gt;=INDEX(球季參數!$F$2:$F$4,MATCH($A837,球季參數!$A$2:$A$4,0)),1,0)</f>
        <v>0</v>
      </c>
    </row>
    <row r="838" customFormat="false" ht="15" hidden="false" customHeight="false" outlineLevel="0" collapsed="false">
      <c r="A838" s="5" t="n">
        <v>2026</v>
      </c>
      <c r="B838" s="7" t="s">
        <v>1787</v>
      </c>
      <c r="C838" s="10" t="str">
        <f aca="false">INDEX(球員主檔!$B$2:$B$749,MATCH($B838,球員主檔!$A$2:$A$749,0))</f>
        <v>Marcus Montalvo</v>
      </c>
      <c r="D838" s="7" t="s">
        <v>438</v>
      </c>
      <c r="E838" s="10" t="str">
        <f aca="false">INDEX(球隊主檔!$C$2:$C$31,MATCH($D838,球隊主檔!$A$2:$A$31,0))</f>
        <v>匹茲堡海盜</v>
      </c>
      <c r="F838" s="10" t="str">
        <f aca="false">INDEX(球隊主檔!$D$2:$D$31,MATCH($D838,球隊主檔!$A$2:$A$31,0))</f>
        <v>國聯</v>
      </c>
      <c r="G838" s="7" t="s">
        <v>507</v>
      </c>
      <c r="H838" s="11" t="n">
        <f aca="false">INT((DATE($A838,7,1)-INDEX(球員主檔!$G$2:$G$749,MATCH($B838,球員主檔!$A$2:$A$749,0)))/365.25)</f>
        <v>22</v>
      </c>
      <c r="I838" s="12" t="n">
        <v>3</v>
      </c>
      <c r="J838" s="12" t="n">
        <v>8</v>
      </c>
      <c r="K838" s="12" t="n">
        <v>1</v>
      </c>
      <c r="L838" s="12" t="n">
        <v>33</v>
      </c>
      <c r="M838" s="12" t="n">
        <v>45</v>
      </c>
      <c r="N838" s="12" t="n">
        <v>0</v>
      </c>
      <c r="O838" s="12" t="n">
        <v>119</v>
      </c>
      <c r="P838" s="16" t="n">
        <f aca="false">O838/3</f>
        <v>39.6666666666667</v>
      </c>
      <c r="Q838" s="17" t="str">
        <f aca="false">INT(O838/3)&amp;"."&amp;MOD(O838,3)</f>
        <v>39.2</v>
      </c>
      <c r="R838" s="12" t="n">
        <v>34</v>
      </c>
      <c r="S838" s="12" t="n">
        <v>19</v>
      </c>
      <c r="T838" s="12" t="n">
        <v>19</v>
      </c>
      <c r="U838" s="12" t="n">
        <v>3</v>
      </c>
      <c r="V838" s="12" t="n">
        <v>18</v>
      </c>
      <c r="W838" s="12" t="n">
        <v>52</v>
      </c>
      <c r="X838" s="12" t="n">
        <v>2</v>
      </c>
      <c r="Y838" s="18" t="n">
        <f aca="false">IF(O838=0,0,T838*27/O838)</f>
        <v>4.3109243697479</v>
      </c>
      <c r="Z838" s="18" t="n">
        <f aca="false">IF(P838=0,0,(V838+R838)/P838)</f>
        <v>1.3109243697479</v>
      </c>
      <c r="AA838" s="18" t="n">
        <f aca="false">IF(O838=0,0,W838*27/O838)</f>
        <v>11.7983193277311</v>
      </c>
      <c r="AB838" s="18" t="n">
        <f aca="false">IF(O838=0,0,V838*27/O838)</f>
        <v>4.08403361344538</v>
      </c>
      <c r="AC838" s="18" t="n">
        <f aca="false">IF(V838=0,0,W838/V838)</f>
        <v>2.88888888888889</v>
      </c>
      <c r="AD838" s="18" t="n">
        <f aca="false">IF(P838=0,0,(13*U838+3*(V838+X838)-2*W838)/P838+INDEX(球季參數!$C$2:$C$4,MATCH($A838,球季參數!$A$2:$A$4,0)))</f>
        <v>2.95394957983193</v>
      </c>
      <c r="AE838" s="11" t="n">
        <f aca="false">IF(P838&gt;=INDEX(球季參數!$F$2:$F$4,MATCH($A838,球季參數!$A$2:$A$4,0)),1,0)</f>
        <v>0</v>
      </c>
    </row>
    <row r="839" customFormat="false" ht="15" hidden="false" customHeight="false" outlineLevel="0" collapsed="false">
      <c r="A839" s="5" t="n">
        <v>2026</v>
      </c>
      <c r="B839" s="7" t="s">
        <v>1431</v>
      </c>
      <c r="C839" s="10" t="str">
        <f aca="false">INDEX(球員主檔!$B$2:$B$749,MATCH($B839,球員主檔!$A$2:$A$749,0))</f>
        <v>Zane Brightwell</v>
      </c>
      <c r="D839" s="7" t="s">
        <v>438</v>
      </c>
      <c r="E839" s="10" t="str">
        <f aca="false">INDEX(球隊主檔!$C$2:$C$31,MATCH($D839,球隊主檔!$A$2:$A$31,0))</f>
        <v>匹茲堡海盜</v>
      </c>
      <c r="F839" s="10" t="str">
        <f aca="false">INDEX(球隊主檔!$D$2:$D$31,MATCH($D839,球隊主檔!$A$2:$A$31,0))</f>
        <v>國聯</v>
      </c>
      <c r="G839" s="7" t="s">
        <v>507</v>
      </c>
      <c r="H839" s="11" t="n">
        <f aca="false">INT((DATE($A839,7,1)-INDEX(球員主檔!$G$2:$G$749,MATCH($B839,球員主檔!$A$2:$A$749,0)))/365.25)</f>
        <v>27</v>
      </c>
      <c r="I839" s="12" t="n">
        <v>2</v>
      </c>
      <c r="J839" s="12" t="n">
        <v>5</v>
      </c>
      <c r="K839" s="12" t="n">
        <v>1</v>
      </c>
      <c r="L839" s="12" t="n">
        <v>16</v>
      </c>
      <c r="M839" s="12" t="n">
        <v>76</v>
      </c>
      <c r="N839" s="12" t="n">
        <v>0</v>
      </c>
      <c r="O839" s="12" t="n">
        <v>226</v>
      </c>
      <c r="P839" s="16" t="n">
        <f aca="false">O839/3</f>
        <v>75.3333333333333</v>
      </c>
      <c r="Q839" s="17" t="str">
        <f aca="false">INT(O839/3)&amp;"."&amp;MOD(O839,3)</f>
        <v>75.1</v>
      </c>
      <c r="R839" s="12" t="n">
        <v>65</v>
      </c>
      <c r="S839" s="12" t="n">
        <v>34</v>
      </c>
      <c r="T839" s="12" t="n">
        <v>33</v>
      </c>
      <c r="U839" s="12" t="n">
        <v>11</v>
      </c>
      <c r="V839" s="12" t="n">
        <v>29</v>
      </c>
      <c r="W839" s="12" t="n">
        <v>87</v>
      </c>
      <c r="X839" s="12" t="n">
        <v>5</v>
      </c>
      <c r="Y839" s="18" t="n">
        <f aca="false">IF(O839=0,0,T839*27/O839)</f>
        <v>3.94247787610619</v>
      </c>
      <c r="Z839" s="18" t="n">
        <f aca="false">IF(P839=0,0,(V839+R839)/P839)</f>
        <v>1.24778761061947</v>
      </c>
      <c r="AA839" s="18" t="n">
        <f aca="false">IF(O839=0,0,W839*27/O839)</f>
        <v>10.3938053097345</v>
      </c>
      <c r="AB839" s="18" t="n">
        <f aca="false">IF(O839=0,0,V839*27/O839)</f>
        <v>3.4646017699115</v>
      </c>
      <c r="AC839" s="18" t="n">
        <f aca="false">IF(V839=0,0,W839/V839)</f>
        <v>3</v>
      </c>
      <c r="AD839" s="18" t="n">
        <f aca="false">IF(P839=0,0,(13*U839+3*(V839+X839)-2*W839)/P839+INDEX(球季參數!$C$2:$C$4,MATCH($A839,球季參數!$A$2:$A$4,0)))</f>
        <v>4.0224778761062</v>
      </c>
      <c r="AE839" s="11" t="n">
        <f aca="false">IF(P839&gt;=INDEX(球季參數!$F$2:$F$4,MATCH($A839,球季參數!$A$2:$A$4,0)),1,0)</f>
        <v>0</v>
      </c>
    </row>
    <row r="840" customFormat="false" ht="15" hidden="false" customHeight="false" outlineLevel="0" collapsed="false">
      <c r="A840" s="5" t="n">
        <v>2026</v>
      </c>
      <c r="B840" s="7" t="s">
        <v>1433</v>
      </c>
      <c r="C840" s="10" t="str">
        <f aca="false">INDEX(球員主檔!$B$2:$B$749,MATCH($B840,球員主檔!$A$2:$A$749,0))</f>
        <v>Silas Wexford</v>
      </c>
      <c r="D840" s="7" t="s">
        <v>438</v>
      </c>
      <c r="E840" s="10" t="str">
        <f aca="false">INDEX(球隊主檔!$C$2:$C$31,MATCH($D840,球隊主檔!$A$2:$A$31,0))</f>
        <v>匹茲堡海盜</v>
      </c>
      <c r="F840" s="10" t="str">
        <f aca="false">INDEX(球隊主檔!$D$2:$D$31,MATCH($D840,球隊主檔!$A$2:$A$31,0))</f>
        <v>國聯</v>
      </c>
      <c r="G840" s="7" t="s">
        <v>507</v>
      </c>
      <c r="H840" s="11" t="n">
        <f aca="false">INT((DATE($A840,7,1)-INDEX(球員主檔!$G$2:$G$749,MATCH($B840,球員主檔!$A$2:$A$749,0)))/365.25)</f>
        <v>29</v>
      </c>
      <c r="I840" s="12" t="n">
        <v>7</v>
      </c>
      <c r="J840" s="12" t="n">
        <v>4</v>
      </c>
      <c r="K840" s="12" t="n">
        <v>6</v>
      </c>
      <c r="L840" s="12" t="n">
        <v>5</v>
      </c>
      <c r="M840" s="12" t="n">
        <v>49</v>
      </c>
      <c r="N840" s="12" t="n">
        <v>0</v>
      </c>
      <c r="O840" s="12" t="n">
        <v>133</v>
      </c>
      <c r="P840" s="16" t="n">
        <f aca="false">O840/3</f>
        <v>44.3333333333333</v>
      </c>
      <c r="Q840" s="17" t="str">
        <f aca="false">INT(O840/3)&amp;"."&amp;MOD(O840,3)</f>
        <v>44.1</v>
      </c>
      <c r="R840" s="12" t="n">
        <v>39</v>
      </c>
      <c r="S840" s="12" t="n">
        <v>22</v>
      </c>
      <c r="T840" s="12" t="n">
        <v>20</v>
      </c>
      <c r="U840" s="12" t="n">
        <v>9</v>
      </c>
      <c r="V840" s="12" t="n">
        <v>17</v>
      </c>
      <c r="W840" s="12" t="n">
        <v>54</v>
      </c>
      <c r="X840" s="12" t="n">
        <v>1</v>
      </c>
      <c r="Y840" s="18" t="n">
        <f aca="false">IF(O840=0,0,T840*27/O840)</f>
        <v>4.06015037593985</v>
      </c>
      <c r="Z840" s="18" t="n">
        <f aca="false">IF(P840=0,0,(V840+R840)/P840)</f>
        <v>1.26315789473684</v>
      </c>
      <c r="AA840" s="18" t="n">
        <f aca="false">IF(O840=0,0,W840*27/O840)</f>
        <v>10.9624060150376</v>
      </c>
      <c r="AB840" s="18" t="n">
        <f aca="false">IF(O840=0,0,V840*27/O840)</f>
        <v>3.45112781954887</v>
      </c>
      <c r="AC840" s="18" t="n">
        <f aca="false">IF(V840=0,0,W840/V840)</f>
        <v>3.17647058823529</v>
      </c>
      <c r="AD840" s="18" t="n">
        <f aca="false">IF(P840=0,0,(13*U840+3*(V840+X840)-2*W840)/P840+INDEX(球季參數!$C$2:$C$4,MATCH($A840,球季參數!$A$2:$A$4,0)))</f>
        <v>4.50105263157895</v>
      </c>
      <c r="AE840" s="11" t="n">
        <f aca="false">IF(P840&gt;=INDEX(球季參數!$F$2:$F$4,MATCH($A840,球季參數!$A$2:$A$4,0)),1,0)</f>
        <v>0</v>
      </c>
    </row>
    <row r="841" customFormat="false" ht="15" hidden="false" customHeight="false" outlineLevel="0" collapsed="false">
      <c r="A841" s="5" t="n">
        <v>2026</v>
      </c>
      <c r="B841" s="7" t="s">
        <v>1435</v>
      </c>
      <c r="C841" s="10" t="str">
        <f aca="false">INDEX(球員主檔!$B$2:$B$749,MATCH($B841,球員主檔!$A$2:$A$749,0))</f>
        <v>Lucien Fairbanks</v>
      </c>
      <c r="D841" s="7" t="s">
        <v>438</v>
      </c>
      <c r="E841" s="10" t="str">
        <f aca="false">INDEX(球隊主檔!$C$2:$C$31,MATCH($D841,球隊主檔!$A$2:$A$31,0))</f>
        <v>匹茲堡海盜</v>
      </c>
      <c r="F841" s="10" t="str">
        <f aca="false">INDEX(球隊主檔!$D$2:$D$31,MATCH($D841,球隊主檔!$A$2:$A$31,0))</f>
        <v>國聯</v>
      </c>
      <c r="G841" s="7" t="s">
        <v>507</v>
      </c>
      <c r="H841" s="11" t="n">
        <f aca="false">INT((DATE($A841,7,1)-INDEX(球員主檔!$G$2:$G$749,MATCH($B841,球員主檔!$A$2:$A$749,0)))/365.25)</f>
        <v>28</v>
      </c>
      <c r="I841" s="12" t="n">
        <v>5</v>
      </c>
      <c r="J841" s="12" t="n">
        <v>8</v>
      </c>
      <c r="K841" s="12" t="n">
        <v>3</v>
      </c>
      <c r="L841" s="12" t="n">
        <v>8</v>
      </c>
      <c r="M841" s="12" t="n">
        <v>57</v>
      </c>
      <c r="N841" s="12" t="n">
        <v>0</v>
      </c>
      <c r="O841" s="12" t="n">
        <v>190</v>
      </c>
      <c r="P841" s="16" t="n">
        <f aca="false">O841/3</f>
        <v>63.3333333333333</v>
      </c>
      <c r="Q841" s="17" t="str">
        <f aca="false">INT(O841/3)&amp;"."&amp;MOD(O841,3)</f>
        <v>63.1</v>
      </c>
      <c r="R841" s="12" t="n">
        <v>48</v>
      </c>
      <c r="S841" s="12" t="n">
        <v>24</v>
      </c>
      <c r="T841" s="12" t="n">
        <v>24</v>
      </c>
      <c r="U841" s="12" t="n">
        <v>5</v>
      </c>
      <c r="V841" s="12" t="n">
        <v>21</v>
      </c>
      <c r="W841" s="12" t="n">
        <v>84</v>
      </c>
      <c r="X841" s="12" t="n">
        <v>2</v>
      </c>
      <c r="Y841" s="18" t="n">
        <f aca="false">IF(O841=0,0,T841*27/O841)</f>
        <v>3.41052631578947</v>
      </c>
      <c r="Z841" s="18" t="n">
        <f aca="false">IF(P841=0,0,(V841+R841)/P841)</f>
        <v>1.08947368421053</v>
      </c>
      <c r="AA841" s="18" t="n">
        <f aca="false">IF(O841=0,0,W841*27/O841)</f>
        <v>11.9368421052632</v>
      </c>
      <c r="AB841" s="18" t="n">
        <f aca="false">IF(O841=0,0,V841*27/O841)</f>
        <v>2.98421052631579</v>
      </c>
      <c r="AC841" s="18" t="n">
        <f aca="false">IF(V841=0,0,W841/V841)</f>
        <v>4</v>
      </c>
      <c r="AD841" s="18" t="n">
        <f aca="false">IF(P841=0,0,(13*U841+3*(V841+X841)-2*W841)/P841+INDEX(球季參數!$C$2:$C$4,MATCH($A841,球季參數!$A$2:$A$4,0)))</f>
        <v>2.54315789473684</v>
      </c>
      <c r="AE841" s="11" t="n">
        <f aca="false">IF(P841&gt;=INDEX(球季參數!$F$2:$F$4,MATCH($A841,球季參數!$A$2:$A$4,0)),1,0)</f>
        <v>0</v>
      </c>
    </row>
    <row r="842" customFormat="false" ht="15" hidden="false" customHeight="false" outlineLevel="0" collapsed="false">
      <c r="A842" s="5" t="n">
        <v>2026</v>
      </c>
      <c r="B842" s="7" t="s">
        <v>1457</v>
      </c>
      <c r="C842" s="10" t="str">
        <f aca="false">INDEX(球員主檔!$B$2:$B$749,MATCH($B842,球員主檔!$A$2:$A$749,0))</f>
        <v>Thiago Castellón</v>
      </c>
      <c r="D842" s="7" t="s">
        <v>442</v>
      </c>
      <c r="E842" s="10" t="str">
        <f aca="false">INDEX(球隊主檔!$C$2:$C$31,MATCH($D842,球隊主檔!$A$2:$A$31,0))</f>
        <v>聖路易紅雀</v>
      </c>
      <c r="F842" s="10" t="str">
        <f aca="false">INDEX(球隊主檔!$D$2:$D$31,MATCH($D842,球隊主檔!$A$2:$A$31,0))</f>
        <v>國聯</v>
      </c>
      <c r="G842" s="7" t="s">
        <v>496</v>
      </c>
      <c r="H842" s="11" t="n">
        <f aca="false">INT((DATE($A842,7,1)-INDEX(球員主檔!$G$2:$G$749,MATCH($B842,球員主檔!$A$2:$A$749,0)))/365.25)</f>
        <v>26</v>
      </c>
      <c r="I842" s="12" t="n">
        <v>9</v>
      </c>
      <c r="J842" s="12" t="n">
        <v>10</v>
      </c>
      <c r="K842" s="12" t="n">
        <v>0</v>
      </c>
      <c r="L842" s="12" t="n">
        <v>0</v>
      </c>
      <c r="M842" s="12" t="n">
        <v>28</v>
      </c>
      <c r="N842" s="12" t="n">
        <v>28</v>
      </c>
      <c r="O842" s="12" t="n">
        <v>532</v>
      </c>
      <c r="P842" s="16" t="n">
        <f aca="false">O842/3</f>
        <v>177.333333333333</v>
      </c>
      <c r="Q842" s="17" t="str">
        <f aca="false">INT(O842/3)&amp;"."&amp;MOD(O842,3)</f>
        <v>177.1</v>
      </c>
      <c r="R842" s="12" t="n">
        <v>167</v>
      </c>
      <c r="S842" s="12" t="n">
        <v>104</v>
      </c>
      <c r="T842" s="12" t="n">
        <v>97</v>
      </c>
      <c r="U842" s="12" t="n">
        <v>15</v>
      </c>
      <c r="V842" s="12" t="n">
        <v>27</v>
      </c>
      <c r="W842" s="12" t="n">
        <v>213</v>
      </c>
      <c r="X842" s="12" t="n">
        <v>8</v>
      </c>
      <c r="Y842" s="18" t="n">
        <f aca="false">IF(O842=0,0,T842*27/O842)</f>
        <v>4.92293233082707</v>
      </c>
      <c r="Z842" s="18" t="n">
        <f aca="false">IF(P842=0,0,(V842+R842)/P842)</f>
        <v>1.09398496240602</v>
      </c>
      <c r="AA842" s="18" t="n">
        <f aca="false">IF(O842=0,0,W842*27/O842)</f>
        <v>10.8101503759399</v>
      </c>
      <c r="AB842" s="18" t="n">
        <f aca="false">IF(O842=0,0,V842*27/O842)</f>
        <v>1.3703007518797</v>
      </c>
      <c r="AC842" s="18" t="n">
        <f aca="false">IF(V842=0,0,W842/V842)</f>
        <v>7.88888888888889</v>
      </c>
      <c r="AD842" s="18" t="n">
        <f aca="false">IF(P842=0,0,(13*U842+3*(V842+X842)-2*W842)/P842+INDEX(球季參數!$C$2:$C$4,MATCH($A842,球季參數!$A$2:$A$4,0)))</f>
        <v>2.36947368421053</v>
      </c>
      <c r="AE842" s="11" t="n">
        <f aca="false">IF(P842&gt;=INDEX(球季參數!$F$2:$F$4,MATCH($A842,球季參數!$A$2:$A$4,0)),1,0)</f>
        <v>1</v>
      </c>
    </row>
    <row r="843" customFormat="false" ht="15" hidden="false" customHeight="false" outlineLevel="0" collapsed="false">
      <c r="A843" s="5" t="n">
        <v>2026</v>
      </c>
      <c r="B843" s="7" t="s">
        <v>1393</v>
      </c>
      <c r="C843" s="10" t="str">
        <f aca="false">INDEX(球員主檔!$B$2:$B$749,MATCH($B843,球員主檔!$A$2:$A$749,0))</f>
        <v>Percival Ravenscroft</v>
      </c>
      <c r="D843" s="7" t="s">
        <v>442</v>
      </c>
      <c r="E843" s="10" t="str">
        <f aca="false">INDEX(球隊主檔!$C$2:$C$31,MATCH($D843,球隊主檔!$A$2:$A$31,0))</f>
        <v>聖路易紅雀</v>
      </c>
      <c r="F843" s="10" t="str">
        <f aca="false">INDEX(球隊主檔!$D$2:$D$31,MATCH($D843,球隊主檔!$A$2:$A$31,0))</f>
        <v>國聯</v>
      </c>
      <c r="G843" s="7" t="s">
        <v>496</v>
      </c>
      <c r="H843" s="11" t="n">
        <f aca="false">INT((DATE($A843,7,1)-INDEX(球員主檔!$G$2:$G$749,MATCH($B843,球員主檔!$A$2:$A$749,0)))/365.25)</f>
        <v>36</v>
      </c>
      <c r="I843" s="12" t="n">
        <v>9</v>
      </c>
      <c r="J843" s="12" t="n">
        <v>13</v>
      </c>
      <c r="K843" s="12" t="n">
        <v>0</v>
      </c>
      <c r="L843" s="12" t="n">
        <v>0</v>
      </c>
      <c r="M843" s="12" t="n">
        <v>31</v>
      </c>
      <c r="N843" s="12" t="n">
        <v>31</v>
      </c>
      <c r="O843" s="12" t="n">
        <v>452</v>
      </c>
      <c r="P843" s="16" t="n">
        <f aca="false">O843/3</f>
        <v>150.666666666667</v>
      </c>
      <c r="Q843" s="17" t="str">
        <f aca="false">INT(O843/3)&amp;"."&amp;MOD(O843,3)</f>
        <v>150.2</v>
      </c>
      <c r="R843" s="12" t="n">
        <v>151</v>
      </c>
      <c r="S843" s="12" t="n">
        <v>93</v>
      </c>
      <c r="T843" s="12" t="n">
        <v>91</v>
      </c>
      <c r="U843" s="12" t="n">
        <v>8</v>
      </c>
      <c r="V843" s="12" t="n">
        <v>63</v>
      </c>
      <c r="W843" s="12" t="n">
        <v>184</v>
      </c>
      <c r="X843" s="12" t="n">
        <v>2</v>
      </c>
      <c r="Y843" s="18" t="n">
        <f aca="false">IF(O843=0,0,T843*27/O843)</f>
        <v>5.4358407079646</v>
      </c>
      <c r="Z843" s="18" t="n">
        <f aca="false">IF(P843=0,0,(V843+R843)/P843)</f>
        <v>1.42035398230089</v>
      </c>
      <c r="AA843" s="18" t="n">
        <f aca="false">IF(O843=0,0,W843*27/O843)</f>
        <v>10.9911504424779</v>
      </c>
      <c r="AB843" s="18" t="n">
        <f aca="false">IF(O843=0,0,V843*27/O843)</f>
        <v>3.76327433628319</v>
      </c>
      <c r="AC843" s="18" t="n">
        <f aca="false">IF(V843=0,0,W843/V843)</f>
        <v>2.92063492063492</v>
      </c>
      <c r="AD843" s="18" t="n">
        <f aca="false">IF(P843=0,0,(13*U843+3*(V843+X843)-2*W843)/P843+INDEX(球季參數!$C$2:$C$4,MATCH($A843,球季參數!$A$2:$A$4,0)))</f>
        <v>2.62203539823009</v>
      </c>
      <c r="AE843" s="11" t="n">
        <f aca="false">IF(P843&gt;=INDEX(球季參數!$F$2:$F$4,MATCH($A843,球季參數!$A$2:$A$4,0)),1,0)</f>
        <v>0</v>
      </c>
    </row>
    <row r="844" customFormat="false" ht="15" hidden="false" customHeight="false" outlineLevel="0" collapsed="false">
      <c r="A844" s="5" t="n">
        <v>2026</v>
      </c>
      <c r="B844" s="7" t="s">
        <v>1021</v>
      </c>
      <c r="C844" s="10" t="str">
        <f aca="false">INDEX(球員主檔!$B$2:$B$749,MATCH($B844,球員主檔!$A$2:$A$749,0))</f>
        <v>Garrison Vandermeer</v>
      </c>
      <c r="D844" s="7" t="s">
        <v>442</v>
      </c>
      <c r="E844" s="10" t="str">
        <f aca="false">INDEX(球隊主檔!$C$2:$C$31,MATCH($D844,球隊主檔!$A$2:$A$31,0))</f>
        <v>聖路易紅雀</v>
      </c>
      <c r="F844" s="10" t="str">
        <f aca="false">INDEX(球隊主檔!$D$2:$D$31,MATCH($D844,球隊主檔!$A$2:$A$31,0))</f>
        <v>國聯</v>
      </c>
      <c r="G844" s="7" t="s">
        <v>496</v>
      </c>
      <c r="H844" s="11" t="n">
        <f aca="false">INT((DATE($A844,7,1)-INDEX(球員主檔!$G$2:$G$749,MATCH($B844,球員主檔!$A$2:$A$749,0)))/365.25)</f>
        <v>25</v>
      </c>
      <c r="I844" s="12" t="n">
        <v>12</v>
      </c>
      <c r="J844" s="12" t="n">
        <v>5</v>
      </c>
      <c r="K844" s="12" t="n">
        <v>0</v>
      </c>
      <c r="L844" s="12" t="n">
        <v>0</v>
      </c>
      <c r="M844" s="12" t="n">
        <v>30</v>
      </c>
      <c r="N844" s="12" t="n">
        <v>30</v>
      </c>
      <c r="O844" s="12" t="n">
        <v>449</v>
      </c>
      <c r="P844" s="16" t="n">
        <f aca="false">O844/3</f>
        <v>149.666666666667</v>
      </c>
      <c r="Q844" s="17" t="str">
        <f aca="false">INT(O844/3)&amp;"."&amp;MOD(O844,3)</f>
        <v>149.2</v>
      </c>
      <c r="R844" s="12" t="n">
        <v>119</v>
      </c>
      <c r="S844" s="12" t="n">
        <v>71</v>
      </c>
      <c r="T844" s="12" t="n">
        <v>67</v>
      </c>
      <c r="U844" s="12" t="n">
        <v>21</v>
      </c>
      <c r="V844" s="12" t="n">
        <v>45</v>
      </c>
      <c r="W844" s="12" t="n">
        <v>125</v>
      </c>
      <c r="X844" s="12" t="n">
        <v>5</v>
      </c>
      <c r="Y844" s="18" t="n">
        <f aca="false">IF(O844=0,0,T844*27/O844)</f>
        <v>4.02895322939866</v>
      </c>
      <c r="Z844" s="18" t="n">
        <f aca="false">IF(P844=0,0,(V844+R844)/P844)</f>
        <v>1.09576837416481</v>
      </c>
      <c r="AA844" s="18" t="n">
        <f aca="false">IF(O844=0,0,W844*27/O844)</f>
        <v>7.51670378619154</v>
      </c>
      <c r="AB844" s="18" t="n">
        <f aca="false">IF(O844=0,0,V844*27/O844)</f>
        <v>2.70601336302895</v>
      </c>
      <c r="AC844" s="18" t="n">
        <f aca="false">IF(V844=0,0,W844/V844)</f>
        <v>2.77777777777778</v>
      </c>
      <c r="AD844" s="18" t="n">
        <f aca="false">IF(P844=0,0,(13*U844+3*(V844+X844)-2*W844)/P844+INDEX(球季參數!$C$2:$C$4,MATCH($A844,球季參數!$A$2:$A$4,0)))</f>
        <v>4.23590200445434</v>
      </c>
      <c r="AE844" s="11" t="n">
        <f aca="false">IF(P844&gt;=INDEX(球季參數!$F$2:$F$4,MATCH($A844,球季參數!$A$2:$A$4,0)),1,0)</f>
        <v>0</v>
      </c>
    </row>
    <row r="845" customFormat="false" ht="15" hidden="false" customHeight="false" outlineLevel="0" collapsed="false">
      <c r="A845" s="5" t="n">
        <v>2026</v>
      </c>
      <c r="B845" s="7" t="s">
        <v>1463</v>
      </c>
      <c r="C845" s="10" t="str">
        <f aca="false">INDEX(球員主檔!$B$2:$B$749,MATCH($B845,球員主檔!$A$2:$A$749,0))</f>
        <v>Dorian Rasmussen</v>
      </c>
      <c r="D845" s="7" t="s">
        <v>442</v>
      </c>
      <c r="E845" s="10" t="str">
        <f aca="false">INDEX(球隊主檔!$C$2:$C$31,MATCH($D845,球隊主檔!$A$2:$A$31,0))</f>
        <v>聖路易紅雀</v>
      </c>
      <c r="F845" s="10" t="str">
        <f aca="false">INDEX(球隊主檔!$D$2:$D$31,MATCH($D845,球隊主檔!$A$2:$A$31,0))</f>
        <v>國聯</v>
      </c>
      <c r="G845" s="7" t="s">
        <v>496</v>
      </c>
      <c r="H845" s="11" t="n">
        <f aca="false">INT((DATE($A845,7,1)-INDEX(球員主檔!$G$2:$G$749,MATCH($B845,球員主檔!$A$2:$A$749,0)))/365.25)</f>
        <v>28</v>
      </c>
      <c r="I845" s="12" t="n">
        <v>13</v>
      </c>
      <c r="J845" s="12" t="n">
        <v>7</v>
      </c>
      <c r="K845" s="12" t="n">
        <v>0</v>
      </c>
      <c r="L845" s="12" t="n">
        <v>0</v>
      </c>
      <c r="M845" s="12" t="n">
        <v>30</v>
      </c>
      <c r="N845" s="12" t="n">
        <v>30</v>
      </c>
      <c r="O845" s="12" t="n">
        <v>505</v>
      </c>
      <c r="P845" s="16" t="n">
        <f aca="false">O845/3</f>
        <v>168.333333333333</v>
      </c>
      <c r="Q845" s="17" t="str">
        <f aca="false">INT(O845/3)&amp;"."&amp;MOD(O845,3)</f>
        <v>168.1</v>
      </c>
      <c r="R845" s="12" t="n">
        <v>130</v>
      </c>
      <c r="S845" s="12" t="n">
        <v>75</v>
      </c>
      <c r="T845" s="12" t="n">
        <v>68</v>
      </c>
      <c r="U845" s="12" t="n">
        <v>28</v>
      </c>
      <c r="V845" s="12" t="n">
        <v>46</v>
      </c>
      <c r="W845" s="12" t="n">
        <v>174</v>
      </c>
      <c r="X845" s="12" t="n">
        <v>8</v>
      </c>
      <c r="Y845" s="18" t="n">
        <f aca="false">IF(O845=0,0,T845*27/O845)</f>
        <v>3.63564356435644</v>
      </c>
      <c r="Z845" s="18" t="n">
        <f aca="false">IF(P845=0,0,(V845+R845)/P845)</f>
        <v>1.04554455445545</v>
      </c>
      <c r="AA845" s="18" t="n">
        <f aca="false">IF(O845=0,0,W845*27/O845)</f>
        <v>9.3029702970297</v>
      </c>
      <c r="AB845" s="18" t="n">
        <f aca="false">IF(O845=0,0,V845*27/O845)</f>
        <v>2.45940594059406</v>
      </c>
      <c r="AC845" s="18" t="n">
        <f aca="false">IF(V845=0,0,W845/V845)</f>
        <v>3.78260869565217</v>
      </c>
      <c r="AD845" s="18" t="n">
        <f aca="false">IF(P845=0,0,(13*U845+3*(V845+X845)-2*W845)/P845+INDEX(球季參數!$C$2:$C$4,MATCH($A845,球季參數!$A$2:$A$4,0)))</f>
        <v>4.13742574257426</v>
      </c>
      <c r="AE845" s="11" t="n">
        <f aca="false">IF(P845&gt;=INDEX(球季參數!$F$2:$F$4,MATCH($A845,球季參數!$A$2:$A$4,0)),1,0)</f>
        <v>1</v>
      </c>
    </row>
    <row r="846" customFormat="false" ht="15" hidden="false" customHeight="false" outlineLevel="0" collapsed="false">
      <c r="A846" s="5" t="n">
        <v>2026</v>
      </c>
      <c r="B846" s="7" t="s">
        <v>1465</v>
      </c>
      <c r="C846" s="10" t="str">
        <f aca="false">INDEX(球員主檔!$B$2:$B$749,MATCH($B846,球員主檔!$A$2:$A$749,0))</f>
        <v>Minjae Stroheim</v>
      </c>
      <c r="D846" s="7" t="s">
        <v>442</v>
      </c>
      <c r="E846" s="10" t="str">
        <f aca="false">INDEX(球隊主檔!$C$2:$C$31,MATCH($D846,球隊主檔!$A$2:$A$31,0))</f>
        <v>聖路易紅雀</v>
      </c>
      <c r="F846" s="10" t="str">
        <f aca="false">INDEX(球隊主檔!$D$2:$D$31,MATCH($D846,球隊主檔!$A$2:$A$31,0))</f>
        <v>國聯</v>
      </c>
      <c r="G846" s="7" t="s">
        <v>496</v>
      </c>
      <c r="H846" s="11" t="n">
        <f aca="false">INT((DATE($A846,7,1)-INDEX(球員主檔!$G$2:$G$749,MATCH($B846,球員主檔!$A$2:$A$749,0)))/365.25)</f>
        <v>31</v>
      </c>
      <c r="I846" s="12" t="n">
        <v>14</v>
      </c>
      <c r="J846" s="12" t="n">
        <v>7</v>
      </c>
      <c r="K846" s="12" t="n">
        <v>0</v>
      </c>
      <c r="L846" s="12" t="n">
        <v>0</v>
      </c>
      <c r="M846" s="12" t="n">
        <v>32</v>
      </c>
      <c r="N846" s="12" t="n">
        <v>32</v>
      </c>
      <c r="O846" s="12" t="n">
        <v>522</v>
      </c>
      <c r="P846" s="16" t="n">
        <f aca="false">O846/3</f>
        <v>174</v>
      </c>
      <c r="Q846" s="17" t="str">
        <f aca="false">INT(O846/3)&amp;"."&amp;MOD(O846,3)</f>
        <v>174.0</v>
      </c>
      <c r="R846" s="12" t="n">
        <v>125</v>
      </c>
      <c r="S846" s="12" t="n">
        <v>66</v>
      </c>
      <c r="T846" s="12" t="n">
        <v>60</v>
      </c>
      <c r="U846" s="12" t="n">
        <v>13</v>
      </c>
      <c r="V846" s="12" t="n">
        <v>38</v>
      </c>
      <c r="W846" s="12" t="n">
        <v>211</v>
      </c>
      <c r="X846" s="12" t="n">
        <v>9</v>
      </c>
      <c r="Y846" s="18" t="n">
        <f aca="false">IF(O846=0,0,T846*27/O846)</f>
        <v>3.10344827586207</v>
      </c>
      <c r="Z846" s="18" t="n">
        <f aca="false">IF(P846=0,0,(V846+R846)/P846)</f>
        <v>0.936781609195402</v>
      </c>
      <c r="AA846" s="18" t="n">
        <f aca="false">IF(O846=0,0,W846*27/O846)</f>
        <v>10.9137931034483</v>
      </c>
      <c r="AB846" s="18" t="n">
        <f aca="false">IF(O846=0,0,V846*27/O846)</f>
        <v>1.96551724137931</v>
      </c>
      <c r="AC846" s="18" t="n">
        <f aca="false">IF(V846=0,0,W846/V846)</f>
        <v>5.55263157894737</v>
      </c>
      <c r="AD846" s="18" t="n">
        <f aca="false">IF(P846=0,0,(13*U846+3*(V846+X846)-2*W846)/P846+INDEX(球季參數!$C$2:$C$4,MATCH($A846,球季參數!$A$2:$A$4,0)))</f>
        <v>2.43632183908046</v>
      </c>
      <c r="AE846" s="11" t="n">
        <f aca="false">IF(P846&gt;=INDEX(球季參數!$F$2:$F$4,MATCH($A846,球季參數!$A$2:$A$4,0)),1,0)</f>
        <v>1</v>
      </c>
    </row>
    <row r="847" customFormat="false" ht="15" hidden="false" customHeight="false" outlineLevel="0" collapsed="false">
      <c r="A847" s="5" t="n">
        <v>2026</v>
      </c>
      <c r="B847" s="7" t="s">
        <v>1467</v>
      </c>
      <c r="C847" s="10" t="str">
        <f aca="false">INDEX(球員主檔!$B$2:$B$749,MATCH($B847,球員主檔!$A$2:$A$749,0))</f>
        <v>Augustin Mbeki</v>
      </c>
      <c r="D847" s="7" t="s">
        <v>442</v>
      </c>
      <c r="E847" s="10" t="str">
        <f aca="false">INDEX(球隊主檔!$C$2:$C$31,MATCH($D847,球隊主檔!$A$2:$A$31,0))</f>
        <v>聖路易紅雀</v>
      </c>
      <c r="F847" s="10" t="str">
        <f aca="false">INDEX(球隊主檔!$D$2:$D$31,MATCH($D847,球隊主檔!$A$2:$A$31,0))</f>
        <v>國聯</v>
      </c>
      <c r="G847" s="7" t="s">
        <v>507</v>
      </c>
      <c r="H847" s="11" t="n">
        <f aca="false">INT((DATE($A847,7,1)-INDEX(球員主檔!$G$2:$G$749,MATCH($B847,球員主檔!$A$2:$A$749,0)))/365.25)</f>
        <v>29</v>
      </c>
      <c r="I847" s="12" t="n">
        <v>1</v>
      </c>
      <c r="J847" s="12" t="n">
        <v>0</v>
      </c>
      <c r="K847" s="12" t="n">
        <v>6</v>
      </c>
      <c r="L847" s="12" t="n">
        <v>16</v>
      </c>
      <c r="M847" s="12" t="n">
        <v>49</v>
      </c>
      <c r="N847" s="12" t="n">
        <v>0</v>
      </c>
      <c r="O847" s="12" t="n">
        <v>127</v>
      </c>
      <c r="P847" s="16" t="n">
        <f aca="false">O847/3</f>
        <v>42.3333333333333</v>
      </c>
      <c r="Q847" s="17" t="str">
        <f aca="false">INT(O847/3)&amp;"."&amp;MOD(O847,3)</f>
        <v>42.1</v>
      </c>
      <c r="R847" s="12" t="n">
        <v>42</v>
      </c>
      <c r="S847" s="12" t="n">
        <v>30</v>
      </c>
      <c r="T847" s="12" t="n">
        <v>27</v>
      </c>
      <c r="U847" s="12" t="n">
        <v>5</v>
      </c>
      <c r="V847" s="12" t="n">
        <v>22</v>
      </c>
      <c r="W847" s="12" t="n">
        <v>50</v>
      </c>
      <c r="X847" s="12" t="n">
        <v>2</v>
      </c>
      <c r="Y847" s="18" t="n">
        <f aca="false">IF(O847=0,0,T847*27/O847)</f>
        <v>5.74015748031496</v>
      </c>
      <c r="Z847" s="18" t="n">
        <f aca="false">IF(P847=0,0,(V847+R847)/P847)</f>
        <v>1.51181102362205</v>
      </c>
      <c r="AA847" s="18" t="n">
        <f aca="false">IF(O847=0,0,W847*27/O847)</f>
        <v>10.6299212598425</v>
      </c>
      <c r="AB847" s="18" t="n">
        <f aca="false">IF(O847=0,0,V847*27/O847)</f>
        <v>4.67716535433071</v>
      </c>
      <c r="AC847" s="18" t="n">
        <f aca="false">IF(V847=0,0,W847/V847)</f>
        <v>2.27272727272727</v>
      </c>
      <c r="AD847" s="18" t="n">
        <f aca="false">IF(P847=0,0,(13*U847+3*(V847+X847)-2*W847)/P847+INDEX(球季參數!$C$2:$C$4,MATCH($A847,球季參數!$A$2:$A$4,0)))</f>
        <v>3.9540157480315</v>
      </c>
      <c r="AE847" s="11" t="n">
        <f aca="false">IF(P847&gt;=INDEX(球季參數!$F$2:$F$4,MATCH($A847,球季參數!$A$2:$A$4,0)),1,0)</f>
        <v>0</v>
      </c>
    </row>
    <row r="848" customFormat="false" ht="15" hidden="false" customHeight="false" outlineLevel="0" collapsed="false">
      <c r="A848" s="5" t="n">
        <v>2026</v>
      </c>
      <c r="B848" s="7" t="s">
        <v>1469</v>
      </c>
      <c r="C848" s="10" t="str">
        <f aca="false">INDEX(球員主檔!$B$2:$B$749,MATCH($B848,球員主檔!$A$2:$A$749,0))</f>
        <v>Barrett Engelhardt</v>
      </c>
      <c r="D848" s="7" t="s">
        <v>442</v>
      </c>
      <c r="E848" s="10" t="str">
        <f aca="false">INDEX(球隊主檔!$C$2:$C$31,MATCH($D848,球隊主檔!$A$2:$A$31,0))</f>
        <v>聖路易紅雀</v>
      </c>
      <c r="F848" s="10" t="str">
        <f aca="false">INDEX(球隊主檔!$D$2:$D$31,MATCH($D848,球隊主檔!$A$2:$A$31,0))</f>
        <v>國聯</v>
      </c>
      <c r="G848" s="7" t="s">
        <v>507</v>
      </c>
      <c r="H848" s="11" t="n">
        <f aca="false">INT((DATE($A848,7,1)-INDEX(球員主檔!$G$2:$G$749,MATCH($B848,球員主檔!$A$2:$A$749,0)))/365.25)</f>
        <v>29</v>
      </c>
      <c r="I848" s="12" t="n">
        <v>9</v>
      </c>
      <c r="J848" s="12" t="n">
        <v>2</v>
      </c>
      <c r="K848" s="12" t="n">
        <v>0</v>
      </c>
      <c r="L848" s="12" t="n">
        <v>5</v>
      </c>
      <c r="M848" s="12" t="n">
        <v>51</v>
      </c>
      <c r="N848" s="12" t="n">
        <v>0</v>
      </c>
      <c r="O848" s="12" t="n">
        <v>142</v>
      </c>
      <c r="P848" s="16" t="n">
        <f aca="false">O848/3</f>
        <v>47.3333333333333</v>
      </c>
      <c r="Q848" s="17" t="str">
        <f aca="false">INT(O848/3)&amp;"."&amp;MOD(O848,3)</f>
        <v>47.1</v>
      </c>
      <c r="R848" s="12" t="n">
        <v>38</v>
      </c>
      <c r="S848" s="12" t="n">
        <v>25</v>
      </c>
      <c r="T848" s="12" t="n">
        <v>23</v>
      </c>
      <c r="U848" s="12" t="n">
        <v>5</v>
      </c>
      <c r="V848" s="12" t="n">
        <v>13</v>
      </c>
      <c r="W848" s="12" t="n">
        <v>62</v>
      </c>
      <c r="X848" s="12" t="n">
        <v>2</v>
      </c>
      <c r="Y848" s="18" t="n">
        <f aca="false">IF(O848=0,0,T848*27/O848)</f>
        <v>4.37323943661972</v>
      </c>
      <c r="Z848" s="18" t="n">
        <f aca="false">IF(P848=0,0,(V848+R848)/P848)</f>
        <v>1.07746478873239</v>
      </c>
      <c r="AA848" s="18" t="n">
        <f aca="false">IF(O848=0,0,W848*27/O848)</f>
        <v>11.7887323943662</v>
      </c>
      <c r="AB848" s="18" t="n">
        <f aca="false">IF(O848=0,0,V848*27/O848)</f>
        <v>2.47183098591549</v>
      </c>
      <c r="AC848" s="18" t="n">
        <f aca="false">IF(V848=0,0,W848/V848)</f>
        <v>4.76923076923077</v>
      </c>
      <c r="AD848" s="18" t="n">
        <f aca="false">IF(P848=0,0,(13*U848+3*(V848+X848)-2*W848)/P848+INDEX(球季參數!$C$2:$C$4,MATCH($A848,球季參數!$A$2:$A$4,0)))</f>
        <v>2.78422535211268</v>
      </c>
      <c r="AE848" s="11" t="n">
        <f aca="false">IF(P848&gt;=INDEX(球季參數!$F$2:$F$4,MATCH($A848,球季參數!$A$2:$A$4,0)),1,0)</f>
        <v>0</v>
      </c>
    </row>
    <row r="849" customFormat="false" ht="15" hidden="false" customHeight="false" outlineLevel="0" collapsed="false">
      <c r="A849" s="5" t="n">
        <v>2026</v>
      </c>
      <c r="B849" s="7" t="s">
        <v>1789</v>
      </c>
      <c r="C849" s="10" t="str">
        <f aca="false">INDEX(球員主檔!$B$2:$B$749,MATCH($B849,球員主檔!$A$2:$A$749,0))</f>
        <v>Yusuke Lemieux</v>
      </c>
      <c r="D849" s="7" t="s">
        <v>442</v>
      </c>
      <c r="E849" s="10" t="str">
        <f aca="false">INDEX(球隊主檔!$C$2:$C$31,MATCH($D849,球隊主檔!$A$2:$A$31,0))</f>
        <v>聖路易紅雀</v>
      </c>
      <c r="F849" s="10" t="str">
        <f aca="false">INDEX(球隊主檔!$D$2:$D$31,MATCH($D849,球隊主檔!$A$2:$A$31,0))</f>
        <v>國聯</v>
      </c>
      <c r="G849" s="7" t="s">
        <v>507</v>
      </c>
      <c r="H849" s="11" t="n">
        <f aca="false">INT((DATE($A849,7,1)-INDEX(球員主檔!$G$2:$G$749,MATCH($B849,球員主檔!$A$2:$A$749,0)))/365.25)</f>
        <v>22</v>
      </c>
      <c r="I849" s="12" t="n">
        <v>9</v>
      </c>
      <c r="J849" s="12" t="n">
        <v>5</v>
      </c>
      <c r="K849" s="12" t="n">
        <v>0</v>
      </c>
      <c r="L849" s="12" t="n">
        <v>17</v>
      </c>
      <c r="M849" s="12" t="n">
        <v>43</v>
      </c>
      <c r="N849" s="12" t="n">
        <v>0</v>
      </c>
      <c r="O849" s="12" t="n">
        <v>130</v>
      </c>
      <c r="P849" s="16" t="n">
        <f aca="false">O849/3</f>
        <v>43.3333333333333</v>
      </c>
      <c r="Q849" s="17" t="str">
        <f aca="false">INT(O849/3)&amp;"."&amp;MOD(O849,3)</f>
        <v>43.1</v>
      </c>
      <c r="R849" s="12" t="n">
        <v>34</v>
      </c>
      <c r="S849" s="12" t="n">
        <v>20</v>
      </c>
      <c r="T849" s="12" t="n">
        <v>20</v>
      </c>
      <c r="U849" s="12" t="n">
        <v>10</v>
      </c>
      <c r="V849" s="12" t="n">
        <v>22</v>
      </c>
      <c r="W849" s="12" t="n">
        <v>35</v>
      </c>
      <c r="X849" s="12" t="n">
        <v>1</v>
      </c>
      <c r="Y849" s="18" t="n">
        <f aca="false">IF(O849=0,0,T849*27/O849)</f>
        <v>4.15384615384615</v>
      </c>
      <c r="Z849" s="18" t="n">
        <f aca="false">IF(P849=0,0,(V849+R849)/P849)</f>
        <v>1.29230769230769</v>
      </c>
      <c r="AA849" s="18" t="n">
        <f aca="false">IF(O849=0,0,W849*27/O849)</f>
        <v>7.26923076923077</v>
      </c>
      <c r="AB849" s="18" t="n">
        <f aca="false">IF(O849=0,0,V849*27/O849)</f>
        <v>4.56923076923077</v>
      </c>
      <c r="AC849" s="18" t="n">
        <f aca="false">IF(V849=0,0,W849/V849)</f>
        <v>1.59090909090909</v>
      </c>
      <c r="AD849" s="18" t="n">
        <f aca="false">IF(P849=0,0,(13*U849+3*(V849+X849)-2*W849)/P849+INDEX(球季參數!$C$2:$C$4,MATCH($A849,球季參數!$A$2:$A$4,0)))</f>
        <v>6.05692307692308</v>
      </c>
      <c r="AE849" s="11" t="n">
        <f aca="false">IF(P849&gt;=INDEX(球季參數!$F$2:$F$4,MATCH($A849,球季參數!$A$2:$A$4,0)),1,0)</f>
        <v>0</v>
      </c>
    </row>
    <row r="850" customFormat="false" ht="15" hidden="false" customHeight="false" outlineLevel="0" collapsed="false">
      <c r="A850" s="5" t="n">
        <v>2026</v>
      </c>
      <c r="B850" s="7" t="s">
        <v>1473</v>
      </c>
      <c r="C850" s="10" t="str">
        <f aca="false">INDEX(球員主檔!$B$2:$B$749,MATCH($B850,球員主檔!$A$2:$A$749,0))</f>
        <v>Nolan Prendergast</v>
      </c>
      <c r="D850" s="7" t="s">
        <v>442</v>
      </c>
      <c r="E850" s="10" t="str">
        <f aca="false">INDEX(球隊主檔!$C$2:$C$31,MATCH($D850,球隊主檔!$A$2:$A$31,0))</f>
        <v>聖路易紅雀</v>
      </c>
      <c r="F850" s="10" t="str">
        <f aca="false">INDEX(球隊主檔!$D$2:$D$31,MATCH($D850,球隊主檔!$A$2:$A$31,0))</f>
        <v>國聯</v>
      </c>
      <c r="G850" s="7" t="s">
        <v>507</v>
      </c>
      <c r="H850" s="11" t="n">
        <f aca="false">INT((DATE($A850,7,1)-INDEX(球員主檔!$G$2:$G$749,MATCH($B850,球員主檔!$A$2:$A$749,0)))/365.25)</f>
        <v>27</v>
      </c>
      <c r="I850" s="12" t="n">
        <v>5</v>
      </c>
      <c r="J850" s="12" t="n">
        <v>4</v>
      </c>
      <c r="K850" s="12" t="n">
        <v>0</v>
      </c>
      <c r="L850" s="12" t="n">
        <v>12</v>
      </c>
      <c r="M850" s="12" t="n">
        <v>58</v>
      </c>
      <c r="N850" s="12" t="n">
        <v>0</v>
      </c>
      <c r="O850" s="12" t="n">
        <v>196</v>
      </c>
      <c r="P850" s="16" t="n">
        <f aca="false">O850/3</f>
        <v>65.3333333333333</v>
      </c>
      <c r="Q850" s="17" t="str">
        <f aca="false">INT(O850/3)&amp;"."&amp;MOD(O850,3)</f>
        <v>65.1</v>
      </c>
      <c r="R850" s="12" t="n">
        <v>56</v>
      </c>
      <c r="S850" s="12" t="n">
        <v>28</v>
      </c>
      <c r="T850" s="12" t="n">
        <v>28</v>
      </c>
      <c r="U850" s="12" t="n">
        <v>12</v>
      </c>
      <c r="V850" s="12" t="n">
        <v>34</v>
      </c>
      <c r="W850" s="12" t="n">
        <v>68</v>
      </c>
      <c r="X850" s="12" t="n">
        <v>2</v>
      </c>
      <c r="Y850" s="18" t="n">
        <f aca="false">IF(O850=0,0,T850*27/O850)</f>
        <v>3.85714285714286</v>
      </c>
      <c r="Z850" s="18" t="n">
        <f aca="false">IF(P850=0,0,(V850+R850)/P850)</f>
        <v>1.37755102040816</v>
      </c>
      <c r="AA850" s="18" t="n">
        <f aca="false">IF(O850=0,0,W850*27/O850)</f>
        <v>9.36734693877551</v>
      </c>
      <c r="AB850" s="18" t="n">
        <f aca="false">IF(O850=0,0,V850*27/O850)</f>
        <v>4.68367346938776</v>
      </c>
      <c r="AC850" s="18" t="n">
        <f aca="false">IF(V850=0,0,W850/V850)</f>
        <v>2</v>
      </c>
      <c r="AD850" s="18" t="n">
        <f aca="false">IF(P850=0,0,(13*U850+3*(V850+X850)-2*W850)/P850+INDEX(球季參數!$C$2:$C$4,MATCH($A850,球季參數!$A$2:$A$4,0)))</f>
        <v>5.03918367346939</v>
      </c>
      <c r="AE850" s="11" t="n">
        <f aca="false">IF(P850&gt;=INDEX(球季參數!$F$2:$F$4,MATCH($A850,球季參數!$A$2:$A$4,0)),1,0)</f>
        <v>0</v>
      </c>
    </row>
    <row r="851" customFormat="false" ht="15" hidden="false" customHeight="false" outlineLevel="0" collapsed="false">
      <c r="A851" s="5" t="n">
        <v>2026</v>
      </c>
      <c r="B851" s="7" t="s">
        <v>1475</v>
      </c>
      <c r="C851" s="10" t="str">
        <f aca="false">INDEX(球員主檔!$B$2:$B$749,MATCH($B851,球員主檔!$A$2:$A$749,0))</f>
        <v>Quentin Yoshinaga</v>
      </c>
      <c r="D851" s="7" t="s">
        <v>442</v>
      </c>
      <c r="E851" s="10" t="str">
        <f aca="false">INDEX(球隊主檔!$C$2:$C$31,MATCH($D851,球隊主檔!$A$2:$A$31,0))</f>
        <v>聖路易紅雀</v>
      </c>
      <c r="F851" s="10" t="str">
        <f aca="false">INDEX(球隊主檔!$D$2:$D$31,MATCH($D851,球隊主檔!$A$2:$A$31,0))</f>
        <v>國聯</v>
      </c>
      <c r="G851" s="7" t="s">
        <v>507</v>
      </c>
      <c r="H851" s="11" t="n">
        <f aca="false">INT((DATE($A851,7,1)-INDEX(球員主檔!$G$2:$G$749,MATCH($B851,球員主檔!$A$2:$A$749,0)))/365.25)</f>
        <v>34</v>
      </c>
      <c r="I851" s="12" t="n">
        <v>0</v>
      </c>
      <c r="J851" s="12" t="n">
        <v>4</v>
      </c>
      <c r="K851" s="12" t="n">
        <v>5</v>
      </c>
      <c r="L851" s="12" t="n">
        <v>20</v>
      </c>
      <c r="M851" s="12" t="n">
        <v>73</v>
      </c>
      <c r="N851" s="12" t="n">
        <v>0</v>
      </c>
      <c r="O851" s="12" t="n">
        <v>221</v>
      </c>
      <c r="P851" s="16" t="n">
        <f aca="false">O851/3</f>
        <v>73.6666666666667</v>
      </c>
      <c r="Q851" s="17" t="str">
        <f aca="false">INT(O851/3)&amp;"."&amp;MOD(O851,3)</f>
        <v>73.2</v>
      </c>
      <c r="R851" s="12" t="n">
        <v>66</v>
      </c>
      <c r="S851" s="12" t="n">
        <v>37</v>
      </c>
      <c r="T851" s="12" t="n">
        <v>37</v>
      </c>
      <c r="U851" s="12" t="n">
        <v>7</v>
      </c>
      <c r="V851" s="12" t="n">
        <v>26</v>
      </c>
      <c r="W851" s="12" t="n">
        <v>75</v>
      </c>
      <c r="X851" s="12" t="n">
        <v>2</v>
      </c>
      <c r="Y851" s="18" t="n">
        <f aca="false">IF(O851=0,0,T851*27/O851)</f>
        <v>4.52036199095023</v>
      </c>
      <c r="Z851" s="18" t="n">
        <f aca="false">IF(P851=0,0,(V851+R851)/P851)</f>
        <v>1.24886877828054</v>
      </c>
      <c r="AA851" s="18" t="n">
        <f aca="false">IF(O851=0,0,W851*27/O851)</f>
        <v>9.16289592760181</v>
      </c>
      <c r="AB851" s="18" t="n">
        <f aca="false">IF(O851=0,0,V851*27/O851)</f>
        <v>3.17647058823529</v>
      </c>
      <c r="AC851" s="18" t="n">
        <f aca="false">IF(V851=0,0,W851/V851)</f>
        <v>2.88461538461538</v>
      </c>
      <c r="AD851" s="18" t="n">
        <f aca="false">IF(P851=0,0,(13*U851+3*(V851+X851)-2*W851)/P851+INDEX(球季參數!$C$2:$C$4,MATCH($A851,球季參數!$A$2:$A$4,0)))</f>
        <v>3.4193665158371</v>
      </c>
      <c r="AE851" s="11" t="n">
        <f aca="false">IF(P851&gt;=INDEX(球季參數!$F$2:$F$4,MATCH($A851,球季參數!$A$2:$A$4,0)),1,0)</f>
        <v>0</v>
      </c>
    </row>
    <row r="852" customFormat="false" ht="15" hidden="false" customHeight="false" outlineLevel="0" collapsed="false">
      <c r="A852" s="5" t="n">
        <v>2026</v>
      </c>
      <c r="B852" s="7" t="s">
        <v>1945</v>
      </c>
      <c r="C852" s="10" t="str">
        <f aca="false">INDEX(球員主檔!$B$2:$B$749,MATCH($B852,球員主檔!$A$2:$A$749,0))</f>
        <v>Dorian Larrabee</v>
      </c>
      <c r="D852" s="7" t="s">
        <v>446</v>
      </c>
      <c r="E852" s="10" t="str">
        <f aca="false">INDEX(球隊主檔!$C$2:$C$31,MATCH($D852,球隊主檔!$A$2:$A$31,0))</f>
        <v>亞利桑那響尾蛇</v>
      </c>
      <c r="F852" s="10" t="str">
        <f aca="false">INDEX(球隊主檔!$D$2:$D$31,MATCH($D852,球隊主檔!$A$2:$A$31,0))</f>
        <v>國聯</v>
      </c>
      <c r="G852" s="7" t="s">
        <v>496</v>
      </c>
      <c r="H852" s="11" t="n">
        <f aca="false">INT((DATE($A852,7,1)-INDEX(球員主檔!$G$2:$G$749,MATCH($B852,球員主檔!$A$2:$A$749,0)))/365.25)</f>
        <v>23</v>
      </c>
      <c r="I852" s="12" t="n">
        <v>9</v>
      </c>
      <c r="J852" s="12" t="n">
        <v>8</v>
      </c>
      <c r="K852" s="12" t="n">
        <v>0</v>
      </c>
      <c r="L852" s="12" t="n">
        <v>0</v>
      </c>
      <c r="M852" s="12" t="n">
        <v>30</v>
      </c>
      <c r="N852" s="12" t="n">
        <v>30</v>
      </c>
      <c r="O852" s="12" t="n">
        <v>501</v>
      </c>
      <c r="P852" s="16" t="n">
        <f aca="false">O852/3</f>
        <v>167</v>
      </c>
      <c r="Q852" s="17" t="str">
        <f aca="false">INT(O852/3)&amp;"."&amp;MOD(O852,3)</f>
        <v>167.0</v>
      </c>
      <c r="R852" s="12" t="n">
        <v>148</v>
      </c>
      <c r="S852" s="12" t="n">
        <v>88</v>
      </c>
      <c r="T852" s="12" t="n">
        <v>87</v>
      </c>
      <c r="U852" s="12" t="n">
        <v>12</v>
      </c>
      <c r="V852" s="12" t="n">
        <v>45</v>
      </c>
      <c r="W852" s="12" t="n">
        <v>182</v>
      </c>
      <c r="X852" s="12" t="n">
        <v>6</v>
      </c>
      <c r="Y852" s="18" t="n">
        <f aca="false">IF(O852=0,0,T852*27/O852)</f>
        <v>4.68862275449102</v>
      </c>
      <c r="Z852" s="18" t="n">
        <f aca="false">IF(P852=0,0,(V852+R852)/P852)</f>
        <v>1.15568862275449</v>
      </c>
      <c r="AA852" s="18" t="n">
        <f aca="false">IF(O852=0,0,W852*27/O852)</f>
        <v>9.80838323353293</v>
      </c>
      <c r="AB852" s="18" t="n">
        <f aca="false">IF(O852=0,0,V852*27/O852)</f>
        <v>2.4251497005988</v>
      </c>
      <c r="AC852" s="18" t="n">
        <f aca="false">IF(V852=0,0,W852/V852)</f>
        <v>4.04444444444444</v>
      </c>
      <c r="AD852" s="18" t="n">
        <f aca="false">IF(P852=0,0,(13*U852+3*(V852+X852)-2*W852)/P852+INDEX(球季參數!$C$2:$C$4,MATCH($A852,球季參數!$A$2:$A$4,0)))</f>
        <v>2.75065868263473</v>
      </c>
      <c r="AE852" s="11" t="n">
        <f aca="false">IF(P852&gt;=INDEX(球季參數!$F$2:$F$4,MATCH($A852,球季參數!$A$2:$A$4,0)),1,0)</f>
        <v>1</v>
      </c>
    </row>
    <row r="853" customFormat="false" ht="15" hidden="false" customHeight="false" outlineLevel="0" collapsed="false">
      <c r="A853" s="5" t="n">
        <v>2026</v>
      </c>
      <c r="B853" s="7" t="s">
        <v>1947</v>
      </c>
      <c r="C853" s="10" t="str">
        <f aca="false">INDEX(球員主檔!$B$2:$B$749,MATCH($B853,球員主檔!$A$2:$A$749,0))</f>
        <v>Zane Kiriakis</v>
      </c>
      <c r="D853" s="7" t="s">
        <v>446</v>
      </c>
      <c r="E853" s="10" t="str">
        <f aca="false">INDEX(球隊主檔!$C$2:$C$31,MATCH($D853,球隊主檔!$A$2:$A$31,0))</f>
        <v>亞利桑那響尾蛇</v>
      </c>
      <c r="F853" s="10" t="str">
        <f aca="false">INDEX(球隊主檔!$D$2:$D$31,MATCH($D853,球隊主檔!$A$2:$A$31,0))</f>
        <v>國聯</v>
      </c>
      <c r="G853" s="7" t="s">
        <v>496</v>
      </c>
      <c r="H853" s="11" t="n">
        <f aca="false">INT((DATE($A853,7,1)-INDEX(球員主檔!$G$2:$G$749,MATCH($B853,球員主檔!$A$2:$A$749,0)))/365.25)</f>
        <v>22</v>
      </c>
      <c r="I853" s="12" t="n">
        <v>9</v>
      </c>
      <c r="J853" s="12" t="n">
        <v>7</v>
      </c>
      <c r="K853" s="12" t="n">
        <v>0</v>
      </c>
      <c r="L853" s="12" t="n">
        <v>0</v>
      </c>
      <c r="M853" s="12" t="n">
        <v>28</v>
      </c>
      <c r="N853" s="12" t="n">
        <v>28</v>
      </c>
      <c r="O853" s="12" t="n">
        <v>524</v>
      </c>
      <c r="P853" s="16" t="n">
        <f aca="false">O853/3</f>
        <v>174.666666666667</v>
      </c>
      <c r="Q853" s="17" t="str">
        <f aca="false">INT(O853/3)&amp;"."&amp;MOD(O853,3)</f>
        <v>174.2</v>
      </c>
      <c r="R853" s="12" t="n">
        <v>158</v>
      </c>
      <c r="S853" s="12" t="n">
        <v>87</v>
      </c>
      <c r="T853" s="12" t="n">
        <v>83</v>
      </c>
      <c r="U853" s="12" t="n">
        <v>24</v>
      </c>
      <c r="V853" s="12" t="n">
        <v>48</v>
      </c>
      <c r="W853" s="12" t="n">
        <v>189</v>
      </c>
      <c r="X853" s="12" t="n">
        <v>5</v>
      </c>
      <c r="Y853" s="18" t="n">
        <f aca="false">IF(O853=0,0,T853*27/O853)</f>
        <v>4.27671755725191</v>
      </c>
      <c r="Z853" s="18" t="n">
        <f aca="false">IF(P853=0,0,(V853+R853)/P853)</f>
        <v>1.1793893129771</v>
      </c>
      <c r="AA853" s="18" t="n">
        <f aca="false">IF(O853=0,0,W853*27/O853)</f>
        <v>9.73854961832061</v>
      </c>
      <c r="AB853" s="18" t="n">
        <f aca="false">IF(O853=0,0,V853*27/O853)</f>
        <v>2.47328244274809</v>
      </c>
      <c r="AC853" s="18" t="n">
        <f aca="false">IF(V853=0,0,W853/V853)</f>
        <v>3.9375</v>
      </c>
      <c r="AD853" s="18" t="n">
        <f aca="false">IF(P853=0,0,(13*U853+3*(V853+X853)-2*W853)/P853+INDEX(球季參數!$C$2:$C$4,MATCH($A853,球季參數!$A$2:$A$4,0)))</f>
        <v>3.6124427480916</v>
      </c>
      <c r="AE853" s="11" t="n">
        <f aca="false">IF(P853&gt;=INDEX(球季參數!$F$2:$F$4,MATCH($A853,球季參數!$A$2:$A$4,0)),1,0)</f>
        <v>1</v>
      </c>
    </row>
    <row r="854" customFormat="false" ht="15" hidden="false" customHeight="false" outlineLevel="0" collapsed="false">
      <c r="A854" s="5" t="n">
        <v>2026</v>
      </c>
      <c r="B854" s="7" t="s">
        <v>1501</v>
      </c>
      <c r="C854" s="10" t="str">
        <f aca="false">INDEX(球員主檔!$B$2:$B$749,MATCH($B854,球員主檔!$A$2:$A$749,0))</f>
        <v>Percival Engelhardt</v>
      </c>
      <c r="D854" s="7" t="s">
        <v>446</v>
      </c>
      <c r="E854" s="10" t="str">
        <f aca="false">INDEX(球隊主檔!$C$2:$C$31,MATCH($D854,球隊主檔!$A$2:$A$31,0))</f>
        <v>亞利桑那響尾蛇</v>
      </c>
      <c r="F854" s="10" t="str">
        <f aca="false">INDEX(球隊主檔!$D$2:$D$31,MATCH($D854,球隊主檔!$A$2:$A$31,0))</f>
        <v>國聯</v>
      </c>
      <c r="G854" s="7" t="s">
        <v>496</v>
      </c>
      <c r="H854" s="11" t="n">
        <f aca="false">INT((DATE($A854,7,1)-INDEX(球員主檔!$G$2:$G$749,MATCH($B854,球員主檔!$A$2:$A$749,0)))/365.25)</f>
        <v>31</v>
      </c>
      <c r="I854" s="12" t="n">
        <v>8</v>
      </c>
      <c r="J854" s="12" t="n">
        <v>7</v>
      </c>
      <c r="K854" s="12" t="n">
        <v>0</v>
      </c>
      <c r="L854" s="12" t="n">
        <v>0</v>
      </c>
      <c r="M854" s="12" t="n">
        <v>22</v>
      </c>
      <c r="N854" s="12" t="n">
        <v>22</v>
      </c>
      <c r="O854" s="12" t="n">
        <v>403</v>
      </c>
      <c r="P854" s="16" t="n">
        <f aca="false">O854/3</f>
        <v>134.333333333333</v>
      </c>
      <c r="Q854" s="17" t="str">
        <f aca="false">INT(O854/3)&amp;"."&amp;MOD(O854,3)</f>
        <v>134.1</v>
      </c>
      <c r="R854" s="12" t="n">
        <v>108</v>
      </c>
      <c r="S854" s="12" t="n">
        <v>66</v>
      </c>
      <c r="T854" s="12" t="n">
        <v>62</v>
      </c>
      <c r="U854" s="12" t="n">
        <v>13</v>
      </c>
      <c r="V854" s="12" t="n">
        <v>55</v>
      </c>
      <c r="W854" s="12" t="n">
        <v>129</v>
      </c>
      <c r="X854" s="12" t="n">
        <v>7</v>
      </c>
      <c r="Y854" s="18" t="n">
        <f aca="false">IF(O854=0,0,T854*27/O854)</f>
        <v>4.15384615384615</v>
      </c>
      <c r="Z854" s="18" t="n">
        <f aca="false">IF(P854=0,0,(V854+R854)/P854)</f>
        <v>1.21339950372208</v>
      </c>
      <c r="AA854" s="18" t="n">
        <f aca="false">IF(O854=0,0,W854*27/O854)</f>
        <v>8.64267990074442</v>
      </c>
      <c r="AB854" s="18" t="n">
        <f aca="false">IF(O854=0,0,V854*27/O854)</f>
        <v>3.6848635235732</v>
      </c>
      <c r="AC854" s="18" t="n">
        <f aca="false">IF(V854=0,0,W854/V854)</f>
        <v>2.34545454545455</v>
      </c>
      <c r="AD854" s="18" t="n">
        <f aca="false">IF(P854=0,0,(13*U854+3*(V854+X854)-2*W854)/P854+INDEX(球季參數!$C$2:$C$4,MATCH($A854,球季參數!$A$2:$A$4,0)))</f>
        <v>3.80208436724566</v>
      </c>
      <c r="AE854" s="11" t="n">
        <f aca="false">IF(P854&gt;=INDEX(球季參數!$F$2:$F$4,MATCH($A854,球季參數!$A$2:$A$4,0)),1,0)</f>
        <v>0</v>
      </c>
    </row>
    <row r="855" customFormat="false" ht="15" hidden="false" customHeight="false" outlineLevel="0" collapsed="false">
      <c r="A855" s="5" t="n">
        <v>2026</v>
      </c>
      <c r="B855" s="7" t="s">
        <v>749</v>
      </c>
      <c r="C855" s="10" t="str">
        <f aca="false">INDEX(球員主檔!$B$2:$B$749,MATCH($B855,球員主檔!$A$2:$A$749,0))</f>
        <v>Emilio Zbornak</v>
      </c>
      <c r="D855" s="7" t="s">
        <v>446</v>
      </c>
      <c r="E855" s="10" t="str">
        <f aca="false">INDEX(球隊主檔!$C$2:$C$31,MATCH($D855,球隊主檔!$A$2:$A$31,0))</f>
        <v>亞利桑那響尾蛇</v>
      </c>
      <c r="F855" s="10" t="str">
        <f aca="false">INDEX(球隊主檔!$D$2:$D$31,MATCH($D855,球隊主檔!$A$2:$A$31,0))</f>
        <v>國聯</v>
      </c>
      <c r="G855" s="7" t="s">
        <v>496</v>
      </c>
      <c r="H855" s="11" t="n">
        <f aca="false">INT((DATE($A855,7,1)-INDEX(球員主檔!$G$2:$G$749,MATCH($B855,球員主檔!$A$2:$A$749,0)))/365.25)</f>
        <v>28</v>
      </c>
      <c r="I855" s="12" t="n">
        <v>6</v>
      </c>
      <c r="J855" s="12" t="n">
        <v>6</v>
      </c>
      <c r="K855" s="12" t="n">
        <v>0</v>
      </c>
      <c r="L855" s="12" t="n">
        <v>0</v>
      </c>
      <c r="M855" s="12" t="n">
        <v>22</v>
      </c>
      <c r="N855" s="12" t="n">
        <v>22</v>
      </c>
      <c r="O855" s="12" t="n">
        <v>352</v>
      </c>
      <c r="P855" s="16" t="n">
        <f aca="false">O855/3</f>
        <v>117.333333333333</v>
      </c>
      <c r="Q855" s="17" t="str">
        <f aca="false">INT(O855/3)&amp;"."&amp;MOD(O855,3)</f>
        <v>117.1</v>
      </c>
      <c r="R855" s="12" t="n">
        <v>107</v>
      </c>
      <c r="S855" s="12" t="n">
        <v>62</v>
      </c>
      <c r="T855" s="12" t="n">
        <v>57</v>
      </c>
      <c r="U855" s="12" t="n">
        <v>18</v>
      </c>
      <c r="V855" s="12" t="n">
        <v>52</v>
      </c>
      <c r="W855" s="12" t="n">
        <v>113</v>
      </c>
      <c r="X855" s="12" t="n">
        <v>3</v>
      </c>
      <c r="Y855" s="18" t="n">
        <f aca="false">IF(O855=0,0,T855*27/O855)</f>
        <v>4.37215909090909</v>
      </c>
      <c r="Z855" s="18" t="n">
        <f aca="false">IF(P855=0,0,(V855+R855)/P855)</f>
        <v>1.35511363636364</v>
      </c>
      <c r="AA855" s="18" t="n">
        <f aca="false">IF(O855=0,0,W855*27/O855)</f>
        <v>8.66761363636364</v>
      </c>
      <c r="AB855" s="18" t="n">
        <f aca="false">IF(O855=0,0,V855*27/O855)</f>
        <v>3.98863636363636</v>
      </c>
      <c r="AC855" s="18" t="n">
        <f aca="false">IF(V855=0,0,W855/V855)</f>
        <v>2.17307692307692</v>
      </c>
      <c r="AD855" s="18" t="n">
        <f aca="false">IF(P855=0,0,(13*U855+3*(V855+X855)-2*W855)/P855+INDEX(球季參數!$C$2:$C$4,MATCH($A855,球季參數!$A$2:$A$4,0)))</f>
        <v>4.55443181818182</v>
      </c>
      <c r="AE855" s="11" t="n">
        <f aca="false">IF(P855&gt;=INDEX(球季參數!$F$2:$F$4,MATCH($A855,球季參數!$A$2:$A$4,0)),1,0)</f>
        <v>0</v>
      </c>
    </row>
    <row r="856" customFormat="false" ht="15" hidden="false" customHeight="false" outlineLevel="0" collapsed="false">
      <c r="A856" s="5" t="n">
        <v>2026</v>
      </c>
      <c r="B856" s="7" t="s">
        <v>1505</v>
      </c>
      <c r="C856" s="10" t="str">
        <f aca="false">INDEX(球員主檔!$B$2:$B$749,MATCH($B856,球員主檔!$A$2:$A$749,0))</f>
        <v>Griffin Ashworth</v>
      </c>
      <c r="D856" s="7" t="s">
        <v>446</v>
      </c>
      <c r="E856" s="10" t="str">
        <f aca="false">INDEX(球隊主檔!$C$2:$C$31,MATCH($D856,球隊主檔!$A$2:$A$31,0))</f>
        <v>亞利桑那響尾蛇</v>
      </c>
      <c r="F856" s="10" t="str">
        <f aca="false">INDEX(球隊主檔!$D$2:$D$31,MATCH($D856,球隊主檔!$A$2:$A$31,0))</f>
        <v>國聯</v>
      </c>
      <c r="G856" s="7" t="s">
        <v>496</v>
      </c>
      <c r="H856" s="11" t="n">
        <f aca="false">INT((DATE($A856,7,1)-INDEX(球員主檔!$G$2:$G$749,MATCH($B856,球員主檔!$A$2:$A$749,0)))/365.25)</f>
        <v>30</v>
      </c>
      <c r="I856" s="12" t="n">
        <v>13</v>
      </c>
      <c r="J856" s="12" t="n">
        <v>4</v>
      </c>
      <c r="K856" s="12" t="n">
        <v>0</v>
      </c>
      <c r="L856" s="12" t="n">
        <v>0</v>
      </c>
      <c r="M856" s="12" t="n">
        <v>24</v>
      </c>
      <c r="N856" s="12" t="n">
        <v>24</v>
      </c>
      <c r="O856" s="12" t="n">
        <v>395</v>
      </c>
      <c r="P856" s="16" t="n">
        <f aca="false">O856/3</f>
        <v>131.666666666667</v>
      </c>
      <c r="Q856" s="17" t="str">
        <f aca="false">INT(O856/3)&amp;"."&amp;MOD(O856,3)</f>
        <v>131.2</v>
      </c>
      <c r="R856" s="12" t="n">
        <v>89</v>
      </c>
      <c r="S856" s="12" t="n">
        <v>50</v>
      </c>
      <c r="T856" s="12" t="n">
        <v>44</v>
      </c>
      <c r="U856" s="12" t="n">
        <v>14</v>
      </c>
      <c r="V856" s="12" t="n">
        <v>33</v>
      </c>
      <c r="W856" s="12" t="n">
        <v>174</v>
      </c>
      <c r="X856" s="12" t="n">
        <v>2</v>
      </c>
      <c r="Y856" s="18" t="n">
        <f aca="false">IF(O856=0,0,T856*27/O856)</f>
        <v>3.00759493670886</v>
      </c>
      <c r="Z856" s="18" t="n">
        <f aca="false">IF(P856=0,0,(V856+R856)/P856)</f>
        <v>0.926582278481013</v>
      </c>
      <c r="AA856" s="18" t="n">
        <f aca="false">IF(O856=0,0,W856*27/O856)</f>
        <v>11.8936708860759</v>
      </c>
      <c r="AB856" s="18" t="n">
        <f aca="false">IF(O856=0,0,V856*27/O856)</f>
        <v>2.25569620253165</v>
      </c>
      <c r="AC856" s="18" t="n">
        <f aca="false">IF(V856=0,0,W856/V856)</f>
        <v>5.27272727272727</v>
      </c>
      <c r="AD856" s="18" t="n">
        <f aca="false">IF(P856=0,0,(13*U856+3*(V856+X856)-2*W856)/P856+INDEX(球季參數!$C$2:$C$4,MATCH($A856,球季參數!$A$2:$A$4,0)))</f>
        <v>2.61670886075949</v>
      </c>
      <c r="AE856" s="11" t="n">
        <f aca="false">IF(P856&gt;=INDEX(球季參數!$F$2:$F$4,MATCH($A856,球季參數!$A$2:$A$4,0)),1,0)</f>
        <v>0</v>
      </c>
    </row>
    <row r="857" customFormat="false" ht="15" hidden="false" customHeight="false" outlineLevel="0" collapsed="false">
      <c r="A857" s="5" t="n">
        <v>2026</v>
      </c>
      <c r="B857" s="7" t="s">
        <v>1507</v>
      </c>
      <c r="C857" s="10" t="str">
        <f aca="false">INDEX(球員主檔!$B$2:$B$749,MATCH($B857,球員主檔!$A$2:$A$749,0))</f>
        <v>Matthias Dubois</v>
      </c>
      <c r="D857" s="7" t="s">
        <v>446</v>
      </c>
      <c r="E857" s="10" t="str">
        <f aca="false">INDEX(球隊主檔!$C$2:$C$31,MATCH($D857,球隊主檔!$A$2:$A$31,0))</f>
        <v>亞利桑那響尾蛇</v>
      </c>
      <c r="F857" s="10" t="str">
        <f aca="false">INDEX(球隊主檔!$D$2:$D$31,MATCH($D857,球隊主檔!$A$2:$A$31,0))</f>
        <v>國聯</v>
      </c>
      <c r="G857" s="7" t="s">
        <v>507</v>
      </c>
      <c r="H857" s="11" t="n">
        <f aca="false">INT((DATE($A857,7,1)-INDEX(球員主檔!$G$2:$G$749,MATCH($B857,球員主檔!$A$2:$A$749,0)))/365.25)</f>
        <v>30</v>
      </c>
      <c r="I857" s="12" t="n">
        <v>3</v>
      </c>
      <c r="J857" s="12" t="n">
        <v>4</v>
      </c>
      <c r="K857" s="12" t="n">
        <v>17</v>
      </c>
      <c r="L857" s="12" t="n">
        <v>2</v>
      </c>
      <c r="M857" s="12" t="n">
        <v>63</v>
      </c>
      <c r="N857" s="12" t="n">
        <v>0</v>
      </c>
      <c r="O857" s="12" t="n">
        <v>179</v>
      </c>
      <c r="P857" s="16" t="n">
        <f aca="false">O857/3</f>
        <v>59.6666666666667</v>
      </c>
      <c r="Q857" s="17" t="str">
        <f aca="false">INT(O857/3)&amp;"."&amp;MOD(O857,3)</f>
        <v>59.2</v>
      </c>
      <c r="R857" s="12" t="n">
        <v>40</v>
      </c>
      <c r="S857" s="12" t="n">
        <v>15</v>
      </c>
      <c r="T857" s="12" t="n">
        <v>15</v>
      </c>
      <c r="U857" s="12" t="n">
        <v>11</v>
      </c>
      <c r="V857" s="12" t="n">
        <v>18</v>
      </c>
      <c r="W857" s="12" t="n">
        <v>80</v>
      </c>
      <c r="X857" s="12" t="n">
        <v>3</v>
      </c>
      <c r="Y857" s="18" t="n">
        <f aca="false">IF(O857=0,0,T857*27/O857)</f>
        <v>2.26256983240223</v>
      </c>
      <c r="Z857" s="18" t="n">
        <f aca="false">IF(P857=0,0,(V857+R857)/P857)</f>
        <v>0.972067039106145</v>
      </c>
      <c r="AA857" s="18" t="n">
        <f aca="false">IF(O857=0,0,W857*27/O857)</f>
        <v>12.0670391061453</v>
      </c>
      <c r="AB857" s="18" t="n">
        <f aca="false">IF(O857=0,0,V857*27/O857)</f>
        <v>2.71508379888268</v>
      </c>
      <c r="AC857" s="18" t="n">
        <f aca="false">IF(V857=0,0,W857/V857)</f>
        <v>4.44444444444445</v>
      </c>
      <c r="AD857" s="18" t="n">
        <f aca="false">IF(P857=0,0,(13*U857+3*(V857+X857)-2*W857)/P857+INDEX(球季參數!$C$2:$C$4,MATCH($A857,球季參數!$A$2:$A$4,0)))</f>
        <v>3.85094972067039</v>
      </c>
      <c r="AE857" s="11" t="n">
        <f aca="false">IF(P857&gt;=INDEX(球季參數!$F$2:$F$4,MATCH($A857,球季參數!$A$2:$A$4,0)),1,0)</f>
        <v>0</v>
      </c>
    </row>
    <row r="858" customFormat="false" ht="15" hidden="false" customHeight="false" outlineLevel="0" collapsed="false">
      <c r="A858" s="5" t="n">
        <v>2026</v>
      </c>
      <c r="B858" s="7" t="s">
        <v>1509</v>
      </c>
      <c r="C858" s="10" t="str">
        <f aca="false">INDEX(球員主檔!$B$2:$B$749,MATCH($B858,球員主檔!$A$2:$A$749,0))</f>
        <v>Vicente Marchetti</v>
      </c>
      <c r="D858" s="7" t="s">
        <v>446</v>
      </c>
      <c r="E858" s="10" t="str">
        <f aca="false">INDEX(球隊主檔!$C$2:$C$31,MATCH($D858,球隊主檔!$A$2:$A$31,0))</f>
        <v>亞利桑那響尾蛇</v>
      </c>
      <c r="F858" s="10" t="str">
        <f aca="false">INDEX(球隊主檔!$D$2:$D$31,MATCH($D858,球隊主檔!$A$2:$A$31,0))</f>
        <v>國聯</v>
      </c>
      <c r="G858" s="7" t="s">
        <v>507</v>
      </c>
      <c r="H858" s="11" t="n">
        <f aca="false">INT((DATE($A858,7,1)-INDEX(球員主檔!$G$2:$G$749,MATCH($B858,球員主檔!$A$2:$A$749,0)))/365.25)</f>
        <v>30</v>
      </c>
      <c r="I858" s="12" t="n">
        <v>6</v>
      </c>
      <c r="J858" s="12" t="n">
        <v>6</v>
      </c>
      <c r="K858" s="12" t="n">
        <v>0</v>
      </c>
      <c r="L858" s="12" t="n">
        <v>5</v>
      </c>
      <c r="M858" s="12" t="n">
        <v>71</v>
      </c>
      <c r="N858" s="12" t="n">
        <v>0</v>
      </c>
      <c r="O858" s="12" t="n">
        <v>209</v>
      </c>
      <c r="P858" s="16" t="n">
        <f aca="false">O858/3</f>
        <v>69.6666666666667</v>
      </c>
      <c r="Q858" s="17" t="str">
        <f aca="false">INT(O858/3)&amp;"."&amp;MOD(O858,3)</f>
        <v>69.2</v>
      </c>
      <c r="R858" s="12" t="n">
        <v>58</v>
      </c>
      <c r="S858" s="12" t="n">
        <v>35</v>
      </c>
      <c r="T858" s="12" t="n">
        <v>33</v>
      </c>
      <c r="U858" s="12" t="n">
        <v>8</v>
      </c>
      <c r="V858" s="12" t="n">
        <v>10</v>
      </c>
      <c r="W858" s="12" t="n">
        <v>87</v>
      </c>
      <c r="X858" s="12" t="n">
        <v>3</v>
      </c>
      <c r="Y858" s="18" t="n">
        <f aca="false">IF(O858=0,0,T858*27/O858)</f>
        <v>4.26315789473684</v>
      </c>
      <c r="Z858" s="18" t="n">
        <f aca="false">IF(P858=0,0,(V858+R858)/P858)</f>
        <v>0.976076555023923</v>
      </c>
      <c r="AA858" s="18" t="n">
        <f aca="false">IF(O858=0,0,W858*27/O858)</f>
        <v>11.2392344497608</v>
      </c>
      <c r="AB858" s="18" t="n">
        <f aca="false">IF(O858=0,0,V858*27/O858)</f>
        <v>1.29186602870813</v>
      </c>
      <c r="AC858" s="18" t="n">
        <f aca="false">IF(V858=0,0,W858/V858)</f>
        <v>8.7</v>
      </c>
      <c r="AD858" s="18" t="n">
        <f aca="false">IF(P858=0,0,(13*U858+3*(V858+X858)-2*W858)/P858+INDEX(球季參數!$C$2:$C$4,MATCH($A858,球季參數!$A$2:$A$4,0)))</f>
        <v>2.63502392344498</v>
      </c>
      <c r="AE858" s="11" t="n">
        <f aca="false">IF(P858&gt;=INDEX(球季參數!$F$2:$F$4,MATCH($A858,球季參數!$A$2:$A$4,0)),1,0)</f>
        <v>0</v>
      </c>
    </row>
    <row r="859" customFormat="false" ht="15" hidden="false" customHeight="false" outlineLevel="0" collapsed="false">
      <c r="A859" s="5" t="n">
        <v>2026</v>
      </c>
      <c r="B859" s="7" t="s">
        <v>1949</v>
      </c>
      <c r="C859" s="10" t="str">
        <f aca="false">INDEX(球員主檔!$B$2:$B$749,MATCH($B859,球員主檔!$A$2:$A$749,0))</f>
        <v>Esteban Yarbrough</v>
      </c>
      <c r="D859" s="7" t="s">
        <v>446</v>
      </c>
      <c r="E859" s="10" t="str">
        <f aca="false">INDEX(球隊主檔!$C$2:$C$31,MATCH($D859,球隊主檔!$A$2:$A$31,0))</f>
        <v>亞利桑那響尾蛇</v>
      </c>
      <c r="F859" s="10" t="str">
        <f aca="false">INDEX(球隊主檔!$D$2:$D$31,MATCH($D859,球隊主檔!$A$2:$A$31,0))</f>
        <v>國聯</v>
      </c>
      <c r="G859" s="7" t="s">
        <v>507</v>
      </c>
      <c r="H859" s="11" t="n">
        <f aca="false">INT((DATE($A859,7,1)-INDEX(球員主檔!$G$2:$G$749,MATCH($B859,球員主檔!$A$2:$A$749,0)))/365.25)</f>
        <v>21</v>
      </c>
      <c r="I859" s="12" t="n">
        <v>2</v>
      </c>
      <c r="J859" s="12" t="n">
        <v>2</v>
      </c>
      <c r="K859" s="12" t="n">
        <v>3</v>
      </c>
      <c r="L859" s="12" t="n">
        <v>30</v>
      </c>
      <c r="M859" s="12" t="n">
        <v>52</v>
      </c>
      <c r="N859" s="12" t="n">
        <v>0</v>
      </c>
      <c r="O859" s="12" t="n">
        <v>166</v>
      </c>
      <c r="P859" s="16" t="n">
        <f aca="false">O859/3</f>
        <v>55.3333333333333</v>
      </c>
      <c r="Q859" s="17" t="str">
        <f aca="false">INT(O859/3)&amp;"."&amp;MOD(O859,3)</f>
        <v>55.1</v>
      </c>
      <c r="R859" s="12" t="n">
        <v>48</v>
      </c>
      <c r="S859" s="12" t="n">
        <v>29</v>
      </c>
      <c r="T859" s="12" t="n">
        <v>27</v>
      </c>
      <c r="U859" s="12" t="n">
        <v>8</v>
      </c>
      <c r="V859" s="12" t="n">
        <v>15</v>
      </c>
      <c r="W859" s="12" t="n">
        <v>58</v>
      </c>
      <c r="X859" s="12" t="n">
        <v>1</v>
      </c>
      <c r="Y859" s="18" t="n">
        <f aca="false">IF(O859=0,0,T859*27/O859)</f>
        <v>4.39156626506024</v>
      </c>
      <c r="Z859" s="18" t="n">
        <f aca="false">IF(P859=0,0,(V859+R859)/P859)</f>
        <v>1.13855421686747</v>
      </c>
      <c r="AA859" s="18" t="n">
        <f aca="false">IF(O859=0,0,W859*27/O859)</f>
        <v>9.43373493975904</v>
      </c>
      <c r="AB859" s="18" t="n">
        <f aca="false">IF(O859=0,0,V859*27/O859)</f>
        <v>2.43975903614458</v>
      </c>
      <c r="AC859" s="18" t="n">
        <f aca="false">IF(V859=0,0,W859/V859)</f>
        <v>3.86666666666667</v>
      </c>
      <c r="AD859" s="18" t="n">
        <f aca="false">IF(P859=0,0,(13*U859+3*(V859+X859)-2*W859)/P859+INDEX(球季參數!$C$2:$C$4,MATCH($A859,球季參數!$A$2:$A$4,0)))</f>
        <v>3.73060240963855</v>
      </c>
      <c r="AE859" s="11" t="n">
        <f aca="false">IF(P859&gt;=INDEX(球季參數!$F$2:$F$4,MATCH($A859,球季參數!$A$2:$A$4,0)),1,0)</f>
        <v>0</v>
      </c>
    </row>
    <row r="860" customFormat="false" ht="15" hidden="false" customHeight="false" outlineLevel="0" collapsed="false">
      <c r="A860" s="5" t="n">
        <v>2026</v>
      </c>
      <c r="B860" s="7" t="s">
        <v>875</v>
      </c>
      <c r="C860" s="10" t="str">
        <f aca="false">INDEX(球員主檔!$B$2:$B$749,MATCH($B860,球員主檔!$A$2:$A$749,0))</f>
        <v>Yusuke Jovanović</v>
      </c>
      <c r="D860" s="7" t="s">
        <v>446</v>
      </c>
      <c r="E860" s="10" t="str">
        <f aca="false">INDEX(球隊主檔!$C$2:$C$31,MATCH($D860,球隊主檔!$A$2:$A$31,0))</f>
        <v>亞利桑那響尾蛇</v>
      </c>
      <c r="F860" s="10" t="str">
        <f aca="false">INDEX(球隊主檔!$D$2:$D$31,MATCH($D860,球隊主檔!$A$2:$A$31,0))</f>
        <v>國聯</v>
      </c>
      <c r="G860" s="7" t="s">
        <v>507</v>
      </c>
      <c r="H860" s="11" t="n">
        <f aca="false">INT((DATE($A860,7,1)-INDEX(球員主檔!$G$2:$G$749,MATCH($B860,球員主檔!$A$2:$A$749,0)))/365.25)</f>
        <v>25</v>
      </c>
      <c r="I860" s="12" t="n">
        <v>5</v>
      </c>
      <c r="J860" s="12" t="n">
        <v>2</v>
      </c>
      <c r="K860" s="12" t="n">
        <v>3</v>
      </c>
      <c r="L860" s="12" t="n">
        <v>5</v>
      </c>
      <c r="M860" s="12" t="n">
        <v>61</v>
      </c>
      <c r="N860" s="12" t="n">
        <v>0</v>
      </c>
      <c r="O860" s="12" t="n">
        <v>205</v>
      </c>
      <c r="P860" s="16" t="n">
        <f aca="false">O860/3</f>
        <v>68.3333333333333</v>
      </c>
      <c r="Q860" s="17" t="str">
        <f aca="false">INT(O860/3)&amp;"."&amp;MOD(O860,3)</f>
        <v>68.1</v>
      </c>
      <c r="R860" s="12" t="n">
        <v>59</v>
      </c>
      <c r="S860" s="12" t="n">
        <v>33</v>
      </c>
      <c r="T860" s="12" t="n">
        <v>30</v>
      </c>
      <c r="U860" s="12" t="n">
        <v>6</v>
      </c>
      <c r="V860" s="12" t="n">
        <v>29</v>
      </c>
      <c r="W860" s="12" t="n">
        <v>71</v>
      </c>
      <c r="X860" s="12" t="n">
        <v>3</v>
      </c>
      <c r="Y860" s="18" t="n">
        <f aca="false">IF(O860=0,0,T860*27/O860)</f>
        <v>3.95121951219512</v>
      </c>
      <c r="Z860" s="18" t="n">
        <f aca="false">IF(P860=0,0,(V860+R860)/P860)</f>
        <v>1.28780487804878</v>
      </c>
      <c r="AA860" s="18" t="n">
        <f aca="false">IF(O860=0,0,W860*27/O860)</f>
        <v>9.35121951219512</v>
      </c>
      <c r="AB860" s="18" t="n">
        <f aca="false">IF(O860=0,0,V860*27/O860)</f>
        <v>3.81951219512195</v>
      </c>
      <c r="AC860" s="18" t="n">
        <f aca="false">IF(V860=0,0,W860/V860)</f>
        <v>2.44827586206897</v>
      </c>
      <c r="AD860" s="18" t="n">
        <f aca="false">IF(P860=0,0,(13*U860+3*(V860+X860)-2*W860)/P860+INDEX(球季參數!$C$2:$C$4,MATCH($A860,球季參數!$A$2:$A$4,0)))</f>
        <v>3.54829268292683</v>
      </c>
      <c r="AE860" s="11" t="n">
        <f aca="false">IF(P860&gt;=INDEX(球季參數!$F$2:$F$4,MATCH($A860,球季參數!$A$2:$A$4,0)),1,0)</f>
        <v>0</v>
      </c>
    </row>
    <row r="861" customFormat="false" ht="15" hidden="false" customHeight="false" outlineLevel="0" collapsed="false">
      <c r="A861" s="5" t="n">
        <v>2026</v>
      </c>
      <c r="B861" s="7" t="s">
        <v>1515</v>
      </c>
      <c r="C861" s="10" t="str">
        <f aca="false">INDEX(球員主檔!$B$2:$B$749,MATCH($B861,球員主檔!$A$2:$A$749,0))</f>
        <v>Lorenzo Castellón</v>
      </c>
      <c r="D861" s="7" t="s">
        <v>446</v>
      </c>
      <c r="E861" s="10" t="str">
        <f aca="false">INDEX(球隊主檔!$C$2:$C$31,MATCH($D861,球隊主檔!$A$2:$A$31,0))</f>
        <v>亞利桑那響尾蛇</v>
      </c>
      <c r="F861" s="10" t="str">
        <f aca="false">INDEX(球隊主檔!$D$2:$D$31,MATCH($D861,球隊主檔!$A$2:$A$31,0))</f>
        <v>國聯</v>
      </c>
      <c r="G861" s="7" t="s">
        <v>507</v>
      </c>
      <c r="H861" s="11" t="n">
        <f aca="false">INT((DATE($A861,7,1)-INDEX(球員主檔!$G$2:$G$749,MATCH($B861,球員主檔!$A$2:$A$749,0)))/365.25)</f>
        <v>30</v>
      </c>
      <c r="I861" s="12" t="n">
        <v>9</v>
      </c>
      <c r="J861" s="12" t="n">
        <v>3</v>
      </c>
      <c r="K861" s="12" t="n">
        <v>2</v>
      </c>
      <c r="L861" s="12" t="n">
        <v>12</v>
      </c>
      <c r="M861" s="12" t="n">
        <v>54</v>
      </c>
      <c r="N861" s="12" t="n">
        <v>0</v>
      </c>
      <c r="O861" s="12" t="n">
        <v>157</v>
      </c>
      <c r="P861" s="16" t="n">
        <f aca="false">O861/3</f>
        <v>52.3333333333333</v>
      </c>
      <c r="Q861" s="17" t="str">
        <f aca="false">INT(O861/3)&amp;"."&amp;MOD(O861,3)</f>
        <v>52.1</v>
      </c>
      <c r="R861" s="12" t="n">
        <v>38</v>
      </c>
      <c r="S861" s="12" t="n">
        <v>20</v>
      </c>
      <c r="T861" s="12" t="n">
        <v>18</v>
      </c>
      <c r="U861" s="12" t="n">
        <v>8</v>
      </c>
      <c r="V861" s="12" t="n">
        <v>21</v>
      </c>
      <c r="W861" s="12" t="n">
        <v>59</v>
      </c>
      <c r="X861" s="12" t="n">
        <v>2</v>
      </c>
      <c r="Y861" s="18" t="n">
        <f aca="false">IF(O861=0,0,T861*27/O861)</f>
        <v>3.09554140127389</v>
      </c>
      <c r="Z861" s="18" t="n">
        <f aca="false">IF(P861=0,0,(V861+R861)/P861)</f>
        <v>1.12738853503185</v>
      </c>
      <c r="AA861" s="18" t="n">
        <f aca="false">IF(O861=0,0,W861*27/O861)</f>
        <v>10.1464968152866</v>
      </c>
      <c r="AB861" s="18" t="n">
        <f aca="false">IF(O861=0,0,V861*27/O861)</f>
        <v>3.61146496815287</v>
      </c>
      <c r="AC861" s="18" t="n">
        <f aca="false">IF(V861=0,0,W861/V861)</f>
        <v>2.80952380952381</v>
      </c>
      <c r="AD861" s="18" t="n">
        <f aca="false">IF(P861=0,0,(13*U861+3*(V861+X861)-2*W861)/P861+INDEX(球季參數!$C$2:$C$4,MATCH($A861,球季參數!$A$2:$A$4,0)))</f>
        <v>4.13095541401274</v>
      </c>
      <c r="AE861" s="11" t="n">
        <f aca="false">IF(P861&gt;=INDEX(球季參數!$F$2:$F$4,MATCH($A861,球季參數!$A$2:$A$4,0)),1,0)</f>
        <v>0</v>
      </c>
    </row>
    <row r="862" customFormat="false" ht="15" hidden="false" customHeight="false" outlineLevel="0" collapsed="false">
      <c r="A862" s="5" t="n">
        <v>2026</v>
      </c>
      <c r="B862" s="7" t="s">
        <v>1537</v>
      </c>
      <c r="C862" s="10" t="str">
        <f aca="false">INDEX(球員主檔!$B$2:$B$749,MATCH($B862,球員主檔!$A$2:$A$749,0))</f>
        <v>Seonwoo Castellón</v>
      </c>
      <c r="D862" s="7" t="s">
        <v>451</v>
      </c>
      <c r="E862" s="10" t="str">
        <f aca="false">INDEX(球隊主檔!$C$2:$C$31,MATCH($D862,球隊主檔!$A$2:$A$31,0))</f>
        <v>科羅拉多落磯</v>
      </c>
      <c r="F862" s="10" t="str">
        <f aca="false">INDEX(球隊主檔!$D$2:$D$31,MATCH($D862,球隊主檔!$A$2:$A$31,0))</f>
        <v>國聯</v>
      </c>
      <c r="G862" s="7" t="s">
        <v>496</v>
      </c>
      <c r="H862" s="11" t="n">
        <f aca="false">INT((DATE($A862,7,1)-INDEX(球員主檔!$G$2:$G$749,MATCH($B862,球員主檔!$A$2:$A$749,0)))/365.25)</f>
        <v>28</v>
      </c>
      <c r="I862" s="12" t="n">
        <v>12</v>
      </c>
      <c r="J862" s="12" t="n">
        <v>10</v>
      </c>
      <c r="K862" s="12" t="n">
        <v>0</v>
      </c>
      <c r="L862" s="12" t="n">
        <v>0</v>
      </c>
      <c r="M862" s="12" t="n">
        <v>33</v>
      </c>
      <c r="N862" s="12" t="n">
        <v>33</v>
      </c>
      <c r="O862" s="12" t="n">
        <v>484</v>
      </c>
      <c r="P862" s="16" t="n">
        <f aca="false">O862/3</f>
        <v>161.333333333333</v>
      </c>
      <c r="Q862" s="17" t="str">
        <f aca="false">INT(O862/3)&amp;"."&amp;MOD(O862,3)</f>
        <v>161.1</v>
      </c>
      <c r="R862" s="12" t="n">
        <v>145</v>
      </c>
      <c r="S862" s="12" t="n">
        <v>98</v>
      </c>
      <c r="T862" s="12" t="n">
        <v>97</v>
      </c>
      <c r="U862" s="12" t="n">
        <v>16</v>
      </c>
      <c r="V862" s="12" t="n">
        <v>46</v>
      </c>
      <c r="W862" s="12" t="n">
        <v>128</v>
      </c>
      <c r="X862" s="12" t="n">
        <v>8</v>
      </c>
      <c r="Y862" s="18" t="n">
        <f aca="false">IF(O862=0,0,T862*27/O862)</f>
        <v>5.41115702479339</v>
      </c>
      <c r="Z862" s="18" t="n">
        <f aca="false">IF(P862=0,0,(V862+R862)/P862)</f>
        <v>1.18388429752066</v>
      </c>
      <c r="AA862" s="18" t="n">
        <f aca="false">IF(O862=0,0,W862*27/O862)</f>
        <v>7.1404958677686</v>
      </c>
      <c r="AB862" s="18" t="n">
        <f aca="false">IF(O862=0,0,V862*27/O862)</f>
        <v>2.56611570247934</v>
      </c>
      <c r="AC862" s="18" t="n">
        <f aca="false">IF(V862=0,0,W862/V862)</f>
        <v>2.78260869565217</v>
      </c>
      <c r="AD862" s="18" t="n">
        <f aca="false">IF(P862=0,0,(13*U862+3*(V862+X862)-2*W862)/P862+INDEX(球季參數!$C$2:$C$4,MATCH($A862,球季參數!$A$2:$A$4,0)))</f>
        <v>3.78661157024793</v>
      </c>
      <c r="AE862" s="11" t="n">
        <f aca="false">IF(P862&gt;=INDEX(球季參數!$F$2:$F$4,MATCH($A862,球季參數!$A$2:$A$4,0)),1,0)</f>
        <v>0</v>
      </c>
    </row>
    <row r="863" customFormat="false" ht="15" hidden="false" customHeight="false" outlineLevel="0" collapsed="false">
      <c r="A863" s="5" t="n">
        <v>2026</v>
      </c>
      <c r="B863" s="7" t="s">
        <v>1539</v>
      </c>
      <c r="C863" s="10" t="str">
        <f aca="false">INDEX(球員主檔!$B$2:$B$749,MATCH($B863,球員主檔!$A$2:$A$749,0))</f>
        <v>Minjae Underhill</v>
      </c>
      <c r="D863" s="7" t="s">
        <v>451</v>
      </c>
      <c r="E863" s="10" t="str">
        <f aca="false">INDEX(球隊主檔!$C$2:$C$31,MATCH($D863,球隊主檔!$A$2:$A$31,0))</f>
        <v>科羅拉多落磯</v>
      </c>
      <c r="F863" s="10" t="str">
        <f aca="false">INDEX(球隊主檔!$D$2:$D$31,MATCH($D863,球隊主檔!$A$2:$A$31,0))</f>
        <v>國聯</v>
      </c>
      <c r="G863" s="7" t="s">
        <v>496</v>
      </c>
      <c r="H863" s="11" t="n">
        <f aca="false">INT((DATE($A863,7,1)-INDEX(球員主檔!$G$2:$G$749,MATCH($B863,球員主檔!$A$2:$A$749,0)))/365.25)</f>
        <v>28</v>
      </c>
      <c r="I863" s="12" t="n">
        <v>12</v>
      </c>
      <c r="J863" s="12" t="n">
        <v>7</v>
      </c>
      <c r="K863" s="12" t="n">
        <v>0</v>
      </c>
      <c r="L863" s="12" t="n">
        <v>0</v>
      </c>
      <c r="M863" s="12" t="n">
        <v>33</v>
      </c>
      <c r="N863" s="12" t="n">
        <v>33</v>
      </c>
      <c r="O863" s="12" t="n">
        <v>521</v>
      </c>
      <c r="P863" s="16" t="n">
        <f aca="false">O863/3</f>
        <v>173.666666666667</v>
      </c>
      <c r="Q863" s="17" t="str">
        <f aca="false">INT(O863/3)&amp;"."&amp;MOD(O863,3)</f>
        <v>173.2</v>
      </c>
      <c r="R863" s="12" t="n">
        <v>138</v>
      </c>
      <c r="S863" s="12" t="n">
        <v>71</v>
      </c>
      <c r="T863" s="12" t="n">
        <v>71</v>
      </c>
      <c r="U863" s="12" t="n">
        <v>32</v>
      </c>
      <c r="V863" s="12" t="n">
        <v>45</v>
      </c>
      <c r="W863" s="12" t="n">
        <v>153</v>
      </c>
      <c r="X863" s="12" t="n">
        <v>4</v>
      </c>
      <c r="Y863" s="18" t="n">
        <f aca="false">IF(O863=0,0,T863*27/O863)</f>
        <v>3.67946257197697</v>
      </c>
      <c r="Z863" s="18" t="n">
        <f aca="false">IF(P863=0,0,(V863+R863)/P863)</f>
        <v>1.05374280230326</v>
      </c>
      <c r="AA863" s="18" t="n">
        <f aca="false">IF(O863=0,0,W863*27/O863)</f>
        <v>7.92898272552783</v>
      </c>
      <c r="AB863" s="18" t="n">
        <f aca="false">IF(O863=0,0,V863*27/O863)</f>
        <v>2.3320537428023</v>
      </c>
      <c r="AC863" s="18" t="n">
        <f aca="false">IF(V863=0,0,W863/V863)</f>
        <v>3.4</v>
      </c>
      <c r="AD863" s="18" t="n">
        <f aca="false">IF(P863=0,0,(13*U863+3*(V863+X863)-2*W863)/P863+INDEX(球季參數!$C$2:$C$4,MATCH($A863,球季參數!$A$2:$A$4,0)))</f>
        <v>4.55984644913628</v>
      </c>
      <c r="AE863" s="11" t="n">
        <f aca="false">IF(P863&gt;=INDEX(球季參數!$F$2:$F$4,MATCH($A863,球季參數!$A$2:$A$4,0)),1,0)</f>
        <v>1</v>
      </c>
    </row>
    <row r="864" customFormat="false" ht="15" hidden="false" customHeight="false" outlineLevel="0" collapsed="false">
      <c r="A864" s="5" t="n">
        <v>2026</v>
      </c>
      <c r="B864" s="7" t="s">
        <v>1541</v>
      </c>
      <c r="C864" s="10" t="str">
        <f aca="false">INDEX(球員主檔!$B$2:$B$749,MATCH($B864,球員主檔!$A$2:$A$749,0))</f>
        <v>Silas Vasquez</v>
      </c>
      <c r="D864" s="7" t="s">
        <v>451</v>
      </c>
      <c r="E864" s="10" t="str">
        <f aca="false">INDEX(球隊主檔!$C$2:$C$31,MATCH($D864,球隊主檔!$A$2:$A$31,0))</f>
        <v>科羅拉多落磯</v>
      </c>
      <c r="F864" s="10" t="str">
        <f aca="false">INDEX(球隊主檔!$D$2:$D$31,MATCH($D864,球隊主檔!$A$2:$A$31,0))</f>
        <v>國聯</v>
      </c>
      <c r="G864" s="7" t="s">
        <v>496</v>
      </c>
      <c r="H864" s="11" t="n">
        <f aca="false">INT((DATE($A864,7,1)-INDEX(球員主檔!$G$2:$G$749,MATCH($B864,球員主檔!$A$2:$A$749,0)))/365.25)</f>
        <v>25</v>
      </c>
      <c r="I864" s="12" t="n">
        <v>15</v>
      </c>
      <c r="J864" s="12" t="n">
        <v>5</v>
      </c>
      <c r="K864" s="12" t="n">
        <v>0</v>
      </c>
      <c r="L864" s="12" t="n">
        <v>0</v>
      </c>
      <c r="M864" s="12" t="n">
        <v>26</v>
      </c>
      <c r="N864" s="12" t="n">
        <v>26</v>
      </c>
      <c r="O864" s="12" t="n">
        <v>447</v>
      </c>
      <c r="P864" s="16" t="n">
        <f aca="false">O864/3</f>
        <v>149</v>
      </c>
      <c r="Q864" s="17" t="str">
        <f aca="false">INT(O864/3)&amp;"."&amp;MOD(O864,3)</f>
        <v>149.0</v>
      </c>
      <c r="R864" s="12" t="n">
        <v>117</v>
      </c>
      <c r="S864" s="12" t="n">
        <v>49</v>
      </c>
      <c r="T864" s="12" t="n">
        <v>45</v>
      </c>
      <c r="U864" s="12" t="n">
        <v>6</v>
      </c>
      <c r="V864" s="12" t="n">
        <v>70</v>
      </c>
      <c r="W864" s="12" t="n">
        <v>147</v>
      </c>
      <c r="X864" s="12" t="n">
        <v>8</v>
      </c>
      <c r="Y864" s="18" t="n">
        <f aca="false">IF(O864=0,0,T864*27/O864)</f>
        <v>2.71812080536913</v>
      </c>
      <c r="Z864" s="18" t="n">
        <f aca="false">IF(P864=0,0,(V864+R864)/P864)</f>
        <v>1.25503355704698</v>
      </c>
      <c r="AA864" s="18" t="n">
        <f aca="false">IF(O864=0,0,W864*27/O864)</f>
        <v>8.87919463087248</v>
      </c>
      <c r="AB864" s="18" t="n">
        <f aca="false">IF(O864=0,0,V864*27/O864)</f>
        <v>4.22818791946309</v>
      </c>
      <c r="AC864" s="18" t="n">
        <f aca="false">IF(V864=0,0,W864/V864)</f>
        <v>2.1</v>
      </c>
      <c r="AD864" s="18" t="n">
        <f aca="false">IF(P864=0,0,(13*U864+3*(V864+X864)-2*W864)/P864+INDEX(球季參數!$C$2:$C$4,MATCH($A864,球季參數!$A$2:$A$4,0)))</f>
        <v>3.20080536912752</v>
      </c>
      <c r="AE864" s="11" t="n">
        <f aca="false">IF(P864&gt;=INDEX(球季參數!$F$2:$F$4,MATCH($A864,球季參數!$A$2:$A$4,0)),1,0)</f>
        <v>0</v>
      </c>
    </row>
    <row r="865" customFormat="false" ht="15" hidden="false" customHeight="false" outlineLevel="0" collapsed="false">
      <c r="A865" s="5" t="n">
        <v>2026</v>
      </c>
      <c r="B865" s="7" t="s">
        <v>1543</v>
      </c>
      <c r="C865" s="10" t="str">
        <f aca="false">INDEX(球員主檔!$B$2:$B$749,MATCH($B865,球員主檔!$A$2:$A$749,0))</f>
        <v>Sawyer Yoshinaga</v>
      </c>
      <c r="D865" s="7" t="s">
        <v>451</v>
      </c>
      <c r="E865" s="10" t="str">
        <f aca="false">INDEX(球隊主檔!$C$2:$C$31,MATCH($D865,球隊主檔!$A$2:$A$31,0))</f>
        <v>科羅拉多落磯</v>
      </c>
      <c r="F865" s="10" t="str">
        <f aca="false">INDEX(球隊主檔!$D$2:$D$31,MATCH($D865,球隊主檔!$A$2:$A$31,0))</f>
        <v>國聯</v>
      </c>
      <c r="G865" s="7" t="s">
        <v>496</v>
      </c>
      <c r="H865" s="11" t="n">
        <f aca="false">INT((DATE($A865,7,1)-INDEX(球員主檔!$G$2:$G$749,MATCH($B865,球員主檔!$A$2:$A$749,0)))/365.25)</f>
        <v>29</v>
      </c>
      <c r="I865" s="12" t="n">
        <v>11</v>
      </c>
      <c r="J865" s="12" t="n">
        <v>3</v>
      </c>
      <c r="K865" s="12" t="n">
        <v>0</v>
      </c>
      <c r="L865" s="12" t="n">
        <v>0</v>
      </c>
      <c r="M865" s="12" t="n">
        <v>24</v>
      </c>
      <c r="N865" s="12" t="n">
        <v>24</v>
      </c>
      <c r="O865" s="12" t="n">
        <v>444</v>
      </c>
      <c r="P865" s="16" t="n">
        <f aca="false">O865/3</f>
        <v>148</v>
      </c>
      <c r="Q865" s="17" t="str">
        <f aca="false">INT(O865/3)&amp;"."&amp;MOD(O865,3)</f>
        <v>148.0</v>
      </c>
      <c r="R865" s="12" t="n">
        <v>108</v>
      </c>
      <c r="S865" s="12" t="n">
        <v>58</v>
      </c>
      <c r="T865" s="12" t="n">
        <v>55</v>
      </c>
      <c r="U865" s="12" t="n">
        <v>16</v>
      </c>
      <c r="V865" s="12" t="n">
        <v>43</v>
      </c>
      <c r="W865" s="12" t="n">
        <v>159</v>
      </c>
      <c r="X865" s="12" t="n">
        <v>7</v>
      </c>
      <c r="Y865" s="18" t="n">
        <f aca="false">IF(O865=0,0,T865*27/O865)</f>
        <v>3.34459459459459</v>
      </c>
      <c r="Z865" s="18" t="n">
        <f aca="false">IF(P865=0,0,(V865+R865)/P865)</f>
        <v>1.02027027027027</v>
      </c>
      <c r="AA865" s="18" t="n">
        <f aca="false">IF(O865=0,0,W865*27/O865)</f>
        <v>9.66891891891892</v>
      </c>
      <c r="AB865" s="18" t="n">
        <f aca="false">IF(O865=0,0,V865*27/O865)</f>
        <v>2.61486486486487</v>
      </c>
      <c r="AC865" s="18" t="n">
        <f aca="false">IF(V865=0,0,W865/V865)</f>
        <v>3.69767441860465</v>
      </c>
      <c r="AD865" s="18" t="n">
        <f aca="false">IF(P865=0,0,(13*U865+3*(V865+X865)-2*W865)/P865+INDEX(球季參數!$C$2:$C$4,MATCH($A865,球季參數!$A$2:$A$4,0)))</f>
        <v>3.35027027027027</v>
      </c>
      <c r="AE865" s="11" t="n">
        <f aca="false">IF(P865&gt;=INDEX(球季參數!$F$2:$F$4,MATCH($A865,球季參數!$A$2:$A$4,0)),1,0)</f>
        <v>0</v>
      </c>
    </row>
    <row r="866" customFormat="false" ht="15" hidden="false" customHeight="false" outlineLevel="0" collapsed="false">
      <c r="A866" s="5" t="n">
        <v>2026</v>
      </c>
      <c r="B866" s="7" t="s">
        <v>1545</v>
      </c>
      <c r="C866" s="10" t="str">
        <f aca="false">INDEX(球員主檔!$B$2:$B$749,MATCH($B866,球員主檔!$A$2:$A$749,0))</f>
        <v>Wendell Haverford</v>
      </c>
      <c r="D866" s="7" t="s">
        <v>451</v>
      </c>
      <c r="E866" s="10" t="str">
        <f aca="false">INDEX(球隊主檔!$C$2:$C$31,MATCH($D866,球隊主檔!$A$2:$A$31,0))</f>
        <v>科羅拉多落磯</v>
      </c>
      <c r="F866" s="10" t="str">
        <f aca="false">INDEX(球隊主檔!$D$2:$D$31,MATCH($D866,球隊主檔!$A$2:$A$31,0))</f>
        <v>國聯</v>
      </c>
      <c r="G866" s="7" t="s">
        <v>496</v>
      </c>
      <c r="H866" s="11" t="n">
        <f aca="false">INT((DATE($A866,7,1)-INDEX(球員主檔!$G$2:$G$749,MATCH($B866,球員主檔!$A$2:$A$749,0)))/365.25)</f>
        <v>30</v>
      </c>
      <c r="I866" s="12" t="n">
        <v>13</v>
      </c>
      <c r="J866" s="12" t="n">
        <v>5</v>
      </c>
      <c r="K866" s="12" t="n">
        <v>0</v>
      </c>
      <c r="L866" s="12" t="n">
        <v>0</v>
      </c>
      <c r="M866" s="12" t="n">
        <v>23</v>
      </c>
      <c r="N866" s="12" t="n">
        <v>23</v>
      </c>
      <c r="O866" s="12" t="n">
        <v>354</v>
      </c>
      <c r="P866" s="16" t="n">
        <f aca="false">O866/3</f>
        <v>118</v>
      </c>
      <c r="Q866" s="17" t="str">
        <f aca="false">INT(O866/3)&amp;"."&amp;MOD(O866,3)</f>
        <v>118.0</v>
      </c>
      <c r="R866" s="12" t="n">
        <v>100</v>
      </c>
      <c r="S866" s="12" t="n">
        <v>47</v>
      </c>
      <c r="T866" s="12" t="n">
        <v>47</v>
      </c>
      <c r="U866" s="12" t="n">
        <v>8</v>
      </c>
      <c r="V866" s="12" t="n">
        <v>39</v>
      </c>
      <c r="W866" s="12" t="n">
        <v>151</v>
      </c>
      <c r="X866" s="12" t="n">
        <v>6</v>
      </c>
      <c r="Y866" s="18" t="n">
        <f aca="false">IF(O866=0,0,T866*27/O866)</f>
        <v>3.58474576271186</v>
      </c>
      <c r="Z866" s="18" t="n">
        <f aca="false">IF(P866=0,0,(V866+R866)/P866)</f>
        <v>1.17796610169492</v>
      </c>
      <c r="AA866" s="18" t="n">
        <f aca="false">IF(O866=0,0,W866*27/O866)</f>
        <v>11.5169491525424</v>
      </c>
      <c r="AB866" s="18" t="n">
        <f aca="false">IF(O866=0,0,V866*27/O866)</f>
        <v>2.97457627118644</v>
      </c>
      <c r="AC866" s="18" t="n">
        <f aca="false">IF(V866=0,0,W866/V866)</f>
        <v>3.87179487179487</v>
      </c>
      <c r="AD866" s="18" t="n">
        <f aca="false">IF(P866=0,0,(13*U866+3*(V866+X866)-2*W866)/P866+INDEX(球季參數!$C$2:$C$4,MATCH($A866,球季參數!$A$2:$A$4,0)))</f>
        <v>2.54610169491525</v>
      </c>
      <c r="AE866" s="11" t="n">
        <f aca="false">IF(P866&gt;=INDEX(球季參數!$F$2:$F$4,MATCH($A866,球季參數!$A$2:$A$4,0)),1,0)</f>
        <v>0</v>
      </c>
    </row>
    <row r="867" customFormat="false" ht="15" hidden="false" customHeight="false" outlineLevel="0" collapsed="false">
      <c r="A867" s="5" t="n">
        <v>2026</v>
      </c>
      <c r="B867" s="7" t="s">
        <v>1547</v>
      </c>
      <c r="C867" s="10" t="str">
        <f aca="false">INDEX(球員主檔!$B$2:$B$749,MATCH($B867,球員主檔!$A$2:$A$749,0))</f>
        <v>Niklas Yarbrough</v>
      </c>
      <c r="D867" s="7" t="s">
        <v>451</v>
      </c>
      <c r="E867" s="10" t="str">
        <f aca="false">INDEX(球隊主檔!$C$2:$C$31,MATCH($D867,球隊主檔!$A$2:$A$31,0))</f>
        <v>科羅拉多落磯</v>
      </c>
      <c r="F867" s="10" t="str">
        <f aca="false">INDEX(球隊主檔!$D$2:$D$31,MATCH($D867,球隊主檔!$A$2:$A$31,0))</f>
        <v>國聯</v>
      </c>
      <c r="G867" s="7" t="s">
        <v>507</v>
      </c>
      <c r="H867" s="11" t="n">
        <f aca="false">INT((DATE($A867,7,1)-INDEX(球員主檔!$G$2:$G$749,MATCH($B867,球員主檔!$A$2:$A$749,0)))/365.25)</f>
        <v>24</v>
      </c>
      <c r="I867" s="12" t="n">
        <v>4</v>
      </c>
      <c r="J867" s="12" t="n">
        <v>3</v>
      </c>
      <c r="K867" s="12" t="n">
        <v>0</v>
      </c>
      <c r="L867" s="12" t="n">
        <v>15</v>
      </c>
      <c r="M867" s="12" t="n">
        <v>59</v>
      </c>
      <c r="N867" s="12" t="n">
        <v>0</v>
      </c>
      <c r="O867" s="12" t="n">
        <v>189</v>
      </c>
      <c r="P867" s="16" t="n">
        <f aca="false">O867/3</f>
        <v>63</v>
      </c>
      <c r="Q867" s="17" t="str">
        <f aca="false">INT(O867/3)&amp;"."&amp;MOD(O867,3)</f>
        <v>63.0</v>
      </c>
      <c r="R867" s="12" t="n">
        <v>56</v>
      </c>
      <c r="S867" s="12" t="n">
        <v>33</v>
      </c>
      <c r="T867" s="12" t="n">
        <v>31</v>
      </c>
      <c r="U867" s="12" t="n">
        <v>13</v>
      </c>
      <c r="V867" s="12" t="n">
        <v>27</v>
      </c>
      <c r="W867" s="12" t="n">
        <v>64</v>
      </c>
      <c r="X867" s="12" t="n">
        <v>3</v>
      </c>
      <c r="Y867" s="18" t="n">
        <f aca="false">IF(O867=0,0,T867*27/O867)</f>
        <v>4.42857142857143</v>
      </c>
      <c r="Z867" s="18" t="n">
        <f aca="false">IF(P867=0,0,(V867+R867)/P867)</f>
        <v>1.31746031746032</v>
      </c>
      <c r="AA867" s="18" t="n">
        <f aca="false">IF(O867=0,0,W867*27/O867)</f>
        <v>9.14285714285714</v>
      </c>
      <c r="AB867" s="18" t="n">
        <f aca="false">IF(O867=0,0,V867*27/O867)</f>
        <v>3.85714285714286</v>
      </c>
      <c r="AC867" s="18" t="n">
        <f aca="false">IF(V867=0,0,W867/V867)</f>
        <v>2.37037037037037</v>
      </c>
      <c r="AD867" s="18" t="n">
        <f aca="false">IF(P867=0,0,(13*U867+3*(V867+X867)-2*W867)/P867+INDEX(球季參數!$C$2:$C$4,MATCH($A867,球季參數!$A$2:$A$4,0)))</f>
        <v>5.15936507936508</v>
      </c>
      <c r="AE867" s="11" t="n">
        <f aca="false">IF(P867&gt;=INDEX(球季參數!$F$2:$F$4,MATCH($A867,球季參數!$A$2:$A$4,0)),1,0)</f>
        <v>0</v>
      </c>
    </row>
    <row r="868" customFormat="false" ht="15" hidden="false" customHeight="false" outlineLevel="0" collapsed="false">
      <c r="A868" s="5" t="n">
        <v>2026</v>
      </c>
      <c r="B868" s="7" t="s">
        <v>1549</v>
      </c>
      <c r="C868" s="10" t="str">
        <f aca="false">INDEX(球員主檔!$B$2:$B$749,MATCH($B868,球員主檔!$A$2:$A$749,0))</f>
        <v>Marcus Villalobos</v>
      </c>
      <c r="D868" s="7" t="s">
        <v>451</v>
      </c>
      <c r="E868" s="10" t="str">
        <f aca="false">INDEX(球隊主檔!$C$2:$C$31,MATCH($D868,球隊主檔!$A$2:$A$31,0))</f>
        <v>科羅拉多落磯</v>
      </c>
      <c r="F868" s="10" t="str">
        <f aca="false">INDEX(球隊主檔!$D$2:$D$31,MATCH($D868,球隊主檔!$A$2:$A$31,0))</f>
        <v>國聯</v>
      </c>
      <c r="G868" s="7" t="s">
        <v>507</v>
      </c>
      <c r="H868" s="11" t="n">
        <f aca="false">INT((DATE($A868,7,1)-INDEX(球員主檔!$G$2:$G$749,MATCH($B868,球員主檔!$A$2:$A$749,0)))/365.25)</f>
        <v>33</v>
      </c>
      <c r="I868" s="12" t="n">
        <v>1</v>
      </c>
      <c r="J868" s="12" t="n">
        <v>0</v>
      </c>
      <c r="K868" s="12" t="n">
        <v>3</v>
      </c>
      <c r="L868" s="12" t="n">
        <v>30</v>
      </c>
      <c r="M868" s="12" t="n">
        <v>74</v>
      </c>
      <c r="N868" s="12" t="n">
        <v>0</v>
      </c>
      <c r="O868" s="12" t="n">
        <v>238</v>
      </c>
      <c r="P868" s="16" t="n">
        <f aca="false">O868/3</f>
        <v>79.3333333333333</v>
      </c>
      <c r="Q868" s="17" t="str">
        <f aca="false">INT(O868/3)&amp;"."&amp;MOD(O868,3)</f>
        <v>79.1</v>
      </c>
      <c r="R868" s="12" t="n">
        <v>60</v>
      </c>
      <c r="S868" s="12" t="n">
        <v>26</v>
      </c>
      <c r="T868" s="12" t="n">
        <v>24</v>
      </c>
      <c r="U868" s="12" t="n">
        <v>9</v>
      </c>
      <c r="V868" s="12" t="n">
        <v>19</v>
      </c>
      <c r="W868" s="12" t="n">
        <v>58</v>
      </c>
      <c r="X868" s="12" t="n">
        <v>4</v>
      </c>
      <c r="Y868" s="18" t="n">
        <f aca="false">IF(O868=0,0,T868*27/O868)</f>
        <v>2.72268907563025</v>
      </c>
      <c r="Z868" s="18" t="n">
        <f aca="false">IF(P868=0,0,(V868+R868)/P868)</f>
        <v>0.995798319327731</v>
      </c>
      <c r="AA868" s="18" t="n">
        <f aca="false">IF(O868=0,0,W868*27/O868)</f>
        <v>6.57983193277311</v>
      </c>
      <c r="AB868" s="18" t="n">
        <f aca="false">IF(O868=0,0,V868*27/O868)</f>
        <v>2.15546218487395</v>
      </c>
      <c r="AC868" s="18" t="n">
        <f aca="false">IF(V868=0,0,W868/V868)</f>
        <v>3.05263157894737</v>
      </c>
      <c r="AD868" s="18" t="n">
        <f aca="false">IF(P868=0,0,(13*U868+3*(V868+X868)-2*W868)/P868+INDEX(球季參數!$C$2:$C$4,MATCH($A868,球季參數!$A$2:$A$4,0)))</f>
        <v>3.96235294117647</v>
      </c>
      <c r="AE868" s="11" t="n">
        <f aca="false">IF(P868&gt;=INDEX(球季參數!$F$2:$F$4,MATCH($A868,球季參數!$A$2:$A$4,0)),1,0)</f>
        <v>0</v>
      </c>
    </row>
    <row r="869" customFormat="false" ht="15" hidden="false" customHeight="false" outlineLevel="0" collapsed="false">
      <c r="A869" s="5" t="n">
        <v>2026</v>
      </c>
      <c r="B869" s="7" t="s">
        <v>1551</v>
      </c>
      <c r="C869" s="10" t="str">
        <f aca="false">INDEX(球員主檔!$B$2:$B$749,MATCH($B869,球員主檔!$A$2:$A$749,0))</f>
        <v>Rowan Beckwith</v>
      </c>
      <c r="D869" s="7" t="s">
        <v>451</v>
      </c>
      <c r="E869" s="10" t="str">
        <f aca="false">INDEX(球隊主檔!$C$2:$C$31,MATCH($D869,球隊主檔!$A$2:$A$31,0))</f>
        <v>科羅拉多落磯</v>
      </c>
      <c r="F869" s="10" t="str">
        <f aca="false">INDEX(球隊主檔!$D$2:$D$31,MATCH($D869,球隊主檔!$A$2:$A$31,0))</f>
        <v>國聯</v>
      </c>
      <c r="G869" s="7" t="s">
        <v>507</v>
      </c>
      <c r="H869" s="11" t="n">
        <f aca="false">INT((DATE($A869,7,1)-INDEX(球員主檔!$G$2:$G$749,MATCH($B869,球員主檔!$A$2:$A$749,0)))/365.25)</f>
        <v>30</v>
      </c>
      <c r="I869" s="12" t="n">
        <v>4</v>
      </c>
      <c r="J869" s="12" t="n">
        <v>1</v>
      </c>
      <c r="K869" s="12" t="n">
        <v>1</v>
      </c>
      <c r="L869" s="12" t="n">
        <v>25</v>
      </c>
      <c r="M869" s="12" t="n">
        <v>72</v>
      </c>
      <c r="N869" s="12" t="n">
        <v>0</v>
      </c>
      <c r="O869" s="12" t="n">
        <v>214</v>
      </c>
      <c r="P869" s="16" t="n">
        <f aca="false">O869/3</f>
        <v>71.3333333333333</v>
      </c>
      <c r="Q869" s="17" t="str">
        <f aca="false">INT(O869/3)&amp;"."&amp;MOD(O869,3)</f>
        <v>71.1</v>
      </c>
      <c r="R869" s="12" t="n">
        <v>54</v>
      </c>
      <c r="S869" s="12" t="n">
        <v>23</v>
      </c>
      <c r="T869" s="12" t="n">
        <v>22</v>
      </c>
      <c r="U869" s="12" t="n">
        <v>11</v>
      </c>
      <c r="V869" s="12" t="n">
        <v>14</v>
      </c>
      <c r="W869" s="12" t="n">
        <v>61</v>
      </c>
      <c r="X869" s="12" t="n">
        <v>4</v>
      </c>
      <c r="Y869" s="18" t="n">
        <f aca="false">IF(O869=0,0,T869*27/O869)</f>
        <v>2.77570093457944</v>
      </c>
      <c r="Z869" s="18" t="n">
        <f aca="false">IF(P869=0,0,(V869+R869)/P869)</f>
        <v>0.953271028037383</v>
      </c>
      <c r="AA869" s="18" t="n">
        <f aca="false">IF(O869=0,0,W869*27/O869)</f>
        <v>7.69626168224299</v>
      </c>
      <c r="AB869" s="18" t="n">
        <f aca="false">IF(O869=0,0,V869*27/O869)</f>
        <v>1.76635514018692</v>
      </c>
      <c r="AC869" s="18" t="n">
        <f aca="false">IF(V869=0,0,W869/V869)</f>
        <v>4.35714285714286</v>
      </c>
      <c r="AD869" s="18" t="n">
        <f aca="false">IF(P869=0,0,(13*U869+3*(V869+X869)-2*W869)/P869+INDEX(球季參數!$C$2:$C$4,MATCH($A869,球季參數!$A$2:$A$4,0)))</f>
        <v>4.13140186915888</v>
      </c>
      <c r="AE869" s="11" t="n">
        <f aca="false">IF(P869&gt;=INDEX(球季參數!$F$2:$F$4,MATCH($A869,球季參數!$A$2:$A$4,0)),1,0)</f>
        <v>0</v>
      </c>
    </row>
    <row r="870" customFormat="false" ht="15" hidden="false" customHeight="false" outlineLevel="0" collapsed="false">
      <c r="A870" s="5" t="n">
        <v>2026</v>
      </c>
      <c r="B870" s="7" t="s">
        <v>1553</v>
      </c>
      <c r="C870" s="10" t="str">
        <f aca="false">INDEX(球員主檔!$B$2:$B$749,MATCH($B870,球員主檔!$A$2:$A$749,0))</f>
        <v>Joaquín Delacroix</v>
      </c>
      <c r="D870" s="7" t="s">
        <v>451</v>
      </c>
      <c r="E870" s="10" t="str">
        <f aca="false">INDEX(球隊主檔!$C$2:$C$31,MATCH($D870,球隊主檔!$A$2:$A$31,0))</f>
        <v>科羅拉多落磯</v>
      </c>
      <c r="F870" s="10" t="str">
        <f aca="false">INDEX(球隊主檔!$D$2:$D$31,MATCH($D870,球隊主檔!$A$2:$A$31,0))</f>
        <v>國聯</v>
      </c>
      <c r="G870" s="7" t="s">
        <v>507</v>
      </c>
      <c r="H870" s="11" t="n">
        <f aca="false">INT((DATE($A870,7,1)-INDEX(球員主檔!$G$2:$G$749,MATCH($B870,球員主檔!$A$2:$A$749,0)))/365.25)</f>
        <v>29</v>
      </c>
      <c r="I870" s="12" t="n">
        <v>6</v>
      </c>
      <c r="J870" s="12" t="n">
        <v>2</v>
      </c>
      <c r="K870" s="12" t="n">
        <v>5</v>
      </c>
      <c r="L870" s="12" t="n">
        <v>28</v>
      </c>
      <c r="M870" s="12" t="n">
        <v>66</v>
      </c>
      <c r="N870" s="12" t="n">
        <v>0</v>
      </c>
      <c r="O870" s="12" t="n">
        <v>203</v>
      </c>
      <c r="P870" s="16" t="n">
        <f aca="false">O870/3</f>
        <v>67.6666666666667</v>
      </c>
      <c r="Q870" s="17" t="str">
        <f aca="false">INT(O870/3)&amp;"."&amp;MOD(O870,3)</f>
        <v>67.2</v>
      </c>
      <c r="R870" s="12" t="n">
        <v>65</v>
      </c>
      <c r="S870" s="12" t="n">
        <v>42</v>
      </c>
      <c r="T870" s="12" t="n">
        <v>39</v>
      </c>
      <c r="U870" s="12" t="n">
        <v>8</v>
      </c>
      <c r="V870" s="12" t="n">
        <v>24</v>
      </c>
      <c r="W870" s="12" t="n">
        <v>76</v>
      </c>
      <c r="X870" s="12" t="n">
        <v>1</v>
      </c>
      <c r="Y870" s="18" t="n">
        <f aca="false">IF(O870=0,0,T870*27/O870)</f>
        <v>5.1871921182266</v>
      </c>
      <c r="Z870" s="18" t="n">
        <f aca="false">IF(P870=0,0,(V870+R870)/P870)</f>
        <v>1.31527093596059</v>
      </c>
      <c r="AA870" s="18" t="n">
        <f aca="false">IF(O870=0,0,W870*27/O870)</f>
        <v>10.1083743842365</v>
      </c>
      <c r="AB870" s="18" t="n">
        <f aca="false">IF(O870=0,0,V870*27/O870)</f>
        <v>3.19211822660099</v>
      </c>
      <c r="AC870" s="18" t="n">
        <f aca="false">IF(V870=0,0,W870/V870)</f>
        <v>3.16666666666667</v>
      </c>
      <c r="AD870" s="18" t="n">
        <f aca="false">IF(P870=0,0,(13*U870+3*(V870+X870)-2*W870)/P870+INDEX(球季參數!$C$2:$C$4,MATCH($A870,球季參數!$A$2:$A$4,0)))</f>
        <v>3.47901477832512</v>
      </c>
      <c r="AE870" s="11" t="n">
        <f aca="false">IF(P870&gt;=INDEX(球季參數!$F$2:$F$4,MATCH($A870,球季參數!$A$2:$A$4,0)),1,0)</f>
        <v>0</v>
      </c>
    </row>
    <row r="871" customFormat="false" ht="15" hidden="false" customHeight="false" outlineLevel="0" collapsed="false">
      <c r="A871" s="5" t="n">
        <v>2026</v>
      </c>
      <c r="B871" s="7" t="s">
        <v>1555</v>
      </c>
      <c r="C871" s="10" t="str">
        <f aca="false">INDEX(球員主檔!$B$2:$B$749,MATCH($B871,球員主檔!$A$2:$A$749,0))</f>
        <v>Wyatt Engelhardt</v>
      </c>
      <c r="D871" s="7" t="s">
        <v>451</v>
      </c>
      <c r="E871" s="10" t="str">
        <f aca="false">INDEX(球隊主檔!$C$2:$C$31,MATCH($D871,球隊主檔!$A$2:$A$31,0))</f>
        <v>科羅拉多落磯</v>
      </c>
      <c r="F871" s="10" t="str">
        <f aca="false">INDEX(球隊主檔!$D$2:$D$31,MATCH($D871,球隊主檔!$A$2:$A$31,0))</f>
        <v>國聯</v>
      </c>
      <c r="G871" s="7" t="s">
        <v>507</v>
      </c>
      <c r="H871" s="11" t="n">
        <f aca="false">INT((DATE($A871,7,1)-INDEX(球員主檔!$G$2:$G$749,MATCH($B871,球員主檔!$A$2:$A$749,0)))/365.25)</f>
        <v>26</v>
      </c>
      <c r="I871" s="12" t="n">
        <v>9</v>
      </c>
      <c r="J871" s="12" t="n">
        <v>3</v>
      </c>
      <c r="K871" s="12" t="n">
        <v>5</v>
      </c>
      <c r="L871" s="12" t="n">
        <v>16</v>
      </c>
      <c r="M871" s="12" t="n">
        <v>54</v>
      </c>
      <c r="N871" s="12" t="n">
        <v>0</v>
      </c>
      <c r="O871" s="12" t="n">
        <v>163</v>
      </c>
      <c r="P871" s="16" t="n">
        <f aca="false">O871/3</f>
        <v>54.3333333333333</v>
      </c>
      <c r="Q871" s="17" t="str">
        <f aca="false">INT(O871/3)&amp;"."&amp;MOD(O871,3)</f>
        <v>54.1</v>
      </c>
      <c r="R871" s="12" t="n">
        <v>49</v>
      </c>
      <c r="S871" s="12" t="n">
        <v>26</v>
      </c>
      <c r="T871" s="12" t="n">
        <v>25</v>
      </c>
      <c r="U871" s="12" t="n">
        <v>4</v>
      </c>
      <c r="V871" s="12" t="n">
        <v>23</v>
      </c>
      <c r="W871" s="12" t="n">
        <v>57</v>
      </c>
      <c r="X871" s="12" t="n">
        <v>1</v>
      </c>
      <c r="Y871" s="18" t="n">
        <f aca="false">IF(O871=0,0,T871*27/O871)</f>
        <v>4.14110429447853</v>
      </c>
      <c r="Z871" s="18" t="n">
        <f aca="false">IF(P871=0,0,(V871+R871)/P871)</f>
        <v>1.32515337423313</v>
      </c>
      <c r="AA871" s="18" t="n">
        <f aca="false">IF(O871=0,0,W871*27/O871)</f>
        <v>9.44171779141104</v>
      </c>
      <c r="AB871" s="18" t="n">
        <f aca="false">IF(O871=0,0,V871*27/O871)</f>
        <v>3.80981595092025</v>
      </c>
      <c r="AC871" s="18" t="n">
        <f aca="false">IF(V871=0,0,W871/V871)</f>
        <v>2.47826086956522</v>
      </c>
      <c r="AD871" s="18" t="n">
        <f aca="false">IF(P871=0,0,(13*U871+3*(V871+X871)-2*W871)/P871+INDEX(球季參數!$C$2:$C$4,MATCH($A871,球季參數!$A$2:$A$4,0)))</f>
        <v>3.2640490797546</v>
      </c>
      <c r="AE871" s="11" t="n">
        <f aca="false">IF(P871&gt;=INDEX(球季參數!$F$2:$F$4,MATCH($A871,球季參數!$A$2:$A$4,0)),1,0)</f>
        <v>0</v>
      </c>
    </row>
    <row r="872" customFormat="false" ht="15" hidden="false" customHeight="false" outlineLevel="0" collapsed="false">
      <c r="A872" s="5" t="n">
        <v>2026</v>
      </c>
      <c r="B872" s="7" t="s">
        <v>1577</v>
      </c>
      <c r="C872" s="10" t="str">
        <f aca="false">INDEX(球員主檔!$B$2:$B$749,MATCH($B872,球員主檔!$A$2:$A$749,0))</f>
        <v>Lorenzo Kowalczyk</v>
      </c>
      <c r="D872" s="7" t="s">
        <v>455</v>
      </c>
      <c r="E872" s="10" t="str">
        <f aca="false">INDEX(球隊主檔!$C$2:$C$31,MATCH($D872,球隊主檔!$A$2:$A$31,0))</f>
        <v>洛杉磯道奇</v>
      </c>
      <c r="F872" s="10" t="str">
        <f aca="false">INDEX(球隊主檔!$D$2:$D$31,MATCH($D872,球隊主檔!$A$2:$A$31,0))</f>
        <v>國聯</v>
      </c>
      <c r="G872" s="7" t="s">
        <v>496</v>
      </c>
      <c r="H872" s="11" t="n">
        <f aca="false">INT((DATE($A872,7,1)-INDEX(球員主檔!$G$2:$G$749,MATCH($B872,球員主檔!$A$2:$A$749,0)))/365.25)</f>
        <v>31</v>
      </c>
      <c r="I872" s="12" t="n">
        <v>15</v>
      </c>
      <c r="J872" s="12" t="n">
        <v>6</v>
      </c>
      <c r="K872" s="12" t="n">
        <v>0</v>
      </c>
      <c r="L872" s="12" t="n">
        <v>0</v>
      </c>
      <c r="M872" s="12" t="n">
        <v>29</v>
      </c>
      <c r="N872" s="12" t="n">
        <v>29</v>
      </c>
      <c r="O872" s="12" t="n">
        <v>483</v>
      </c>
      <c r="P872" s="16" t="n">
        <f aca="false">O872/3</f>
        <v>161</v>
      </c>
      <c r="Q872" s="17" t="str">
        <f aca="false">INT(O872/3)&amp;"."&amp;MOD(O872,3)</f>
        <v>161.0</v>
      </c>
      <c r="R872" s="12" t="n">
        <v>134</v>
      </c>
      <c r="S872" s="12" t="n">
        <v>65</v>
      </c>
      <c r="T872" s="12" t="n">
        <v>63</v>
      </c>
      <c r="U872" s="12" t="n">
        <v>22</v>
      </c>
      <c r="V872" s="12" t="n">
        <v>34</v>
      </c>
      <c r="W872" s="12" t="n">
        <v>122</v>
      </c>
      <c r="X872" s="12" t="n">
        <v>9</v>
      </c>
      <c r="Y872" s="18" t="n">
        <f aca="false">IF(O872=0,0,T872*27/O872)</f>
        <v>3.52173913043478</v>
      </c>
      <c r="Z872" s="18" t="n">
        <f aca="false">IF(P872=0,0,(V872+R872)/P872)</f>
        <v>1.04347826086957</v>
      </c>
      <c r="AA872" s="18" t="n">
        <f aca="false">IF(O872=0,0,W872*27/O872)</f>
        <v>6.81987577639752</v>
      </c>
      <c r="AB872" s="18" t="n">
        <f aca="false">IF(O872=0,0,V872*27/O872)</f>
        <v>1.90062111801242</v>
      </c>
      <c r="AC872" s="18" t="n">
        <f aca="false">IF(V872=0,0,W872/V872)</f>
        <v>3.58823529411765</v>
      </c>
      <c r="AD872" s="18" t="n">
        <f aca="false">IF(P872=0,0,(13*U872+3*(V872+X872)-2*W872)/P872+INDEX(球季參數!$C$2:$C$4,MATCH($A872,球季參數!$A$2:$A$4,0)))</f>
        <v>4.14211180124224</v>
      </c>
      <c r="AE872" s="11" t="n">
        <f aca="false">IF(P872&gt;=INDEX(球季參數!$F$2:$F$4,MATCH($A872,球季參數!$A$2:$A$4,0)),1,0)</f>
        <v>0</v>
      </c>
    </row>
    <row r="873" customFormat="false" ht="15" hidden="false" customHeight="false" outlineLevel="0" collapsed="false">
      <c r="A873" s="5" t="n">
        <v>2026</v>
      </c>
      <c r="B873" s="7" t="s">
        <v>1955</v>
      </c>
      <c r="C873" s="10" t="str">
        <f aca="false">INDEX(球員主檔!$B$2:$B$749,MATCH($B873,球員主檔!$A$2:$A$749,0))</f>
        <v>Everett Sorrentino</v>
      </c>
      <c r="D873" s="7" t="s">
        <v>455</v>
      </c>
      <c r="E873" s="10" t="str">
        <f aca="false">INDEX(球隊主檔!$C$2:$C$31,MATCH($D873,球隊主檔!$A$2:$A$31,0))</f>
        <v>洛杉磯道奇</v>
      </c>
      <c r="F873" s="10" t="str">
        <f aca="false">INDEX(球隊主檔!$D$2:$D$31,MATCH($D873,球隊主檔!$A$2:$A$31,0))</f>
        <v>國聯</v>
      </c>
      <c r="G873" s="7" t="s">
        <v>496</v>
      </c>
      <c r="H873" s="11" t="n">
        <f aca="false">INT((DATE($A873,7,1)-INDEX(球員主檔!$G$2:$G$749,MATCH($B873,球員主檔!$A$2:$A$749,0)))/365.25)</f>
        <v>26</v>
      </c>
      <c r="I873" s="12" t="n">
        <v>13</v>
      </c>
      <c r="J873" s="12" t="n">
        <v>8</v>
      </c>
      <c r="K873" s="12" t="n">
        <v>0</v>
      </c>
      <c r="L873" s="12" t="n">
        <v>0</v>
      </c>
      <c r="M873" s="12" t="n">
        <v>33</v>
      </c>
      <c r="N873" s="12" t="n">
        <v>33</v>
      </c>
      <c r="O873" s="12" t="n">
        <v>562</v>
      </c>
      <c r="P873" s="16" t="n">
        <f aca="false">O873/3</f>
        <v>187.333333333333</v>
      </c>
      <c r="Q873" s="17" t="str">
        <f aca="false">INT(O873/3)&amp;"."&amp;MOD(O873,3)</f>
        <v>187.1</v>
      </c>
      <c r="R873" s="12" t="n">
        <v>154</v>
      </c>
      <c r="S873" s="12" t="n">
        <v>93</v>
      </c>
      <c r="T873" s="12" t="n">
        <v>85</v>
      </c>
      <c r="U873" s="12" t="n">
        <v>34</v>
      </c>
      <c r="V873" s="12" t="n">
        <v>58</v>
      </c>
      <c r="W873" s="12" t="n">
        <v>293</v>
      </c>
      <c r="X873" s="12" t="n">
        <v>5</v>
      </c>
      <c r="Y873" s="18" t="n">
        <f aca="false">IF(O873=0,0,T873*27/O873)</f>
        <v>4.08362989323843</v>
      </c>
      <c r="Z873" s="18" t="n">
        <f aca="false">IF(P873=0,0,(V873+R873)/P873)</f>
        <v>1.13167259786477</v>
      </c>
      <c r="AA873" s="18" t="n">
        <f aca="false">IF(O873=0,0,W873*27/O873)</f>
        <v>14.076512455516</v>
      </c>
      <c r="AB873" s="18" t="n">
        <f aca="false">IF(O873=0,0,V873*27/O873)</f>
        <v>2.7864768683274</v>
      </c>
      <c r="AC873" s="18" t="n">
        <f aca="false">IF(V873=0,0,W873/V873)</f>
        <v>5.05172413793104</v>
      </c>
      <c r="AD873" s="18" t="n">
        <f aca="false">IF(P873=0,0,(13*U873+3*(V873+X873)-2*W873)/P873+INDEX(球季參數!$C$2:$C$4,MATCH($A873,球季參數!$A$2:$A$4,0)))</f>
        <v>3.32021352313167</v>
      </c>
      <c r="AE873" s="11" t="n">
        <f aca="false">IF(P873&gt;=INDEX(球季參數!$F$2:$F$4,MATCH($A873,球季參數!$A$2:$A$4,0)),1,0)</f>
        <v>1</v>
      </c>
    </row>
    <row r="874" customFormat="false" ht="15" hidden="false" customHeight="false" outlineLevel="0" collapsed="false">
      <c r="A874" s="5" t="n">
        <v>2026</v>
      </c>
      <c r="B874" s="7" t="s">
        <v>1957</v>
      </c>
      <c r="C874" s="10" t="str">
        <f aca="false">INDEX(球員主檔!$B$2:$B$749,MATCH($B874,球員主檔!$A$2:$A$749,0))</f>
        <v>Quentin Quiroga</v>
      </c>
      <c r="D874" s="7" t="s">
        <v>455</v>
      </c>
      <c r="E874" s="10" t="str">
        <f aca="false">INDEX(球隊主檔!$C$2:$C$31,MATCH($D874,球隊主檔!$A$2:$A$31,0))</f>
        <v>洛杉磯道奇</v>
      </c>
      <c r="F874" s="10" t="str">
        <f aca="false">INDEX(球隊主檔!$D$2:$D$31,MATCH($D874,球隊主檔!$A$2:$A$31,0))</f>
        <v>國聯</v>
      </c>
      <c r="G874" s="7" t="s">
        <v>496</v>
      </c>
      <c r="H874" s="11" t="n">
        <f aca="false">INT((DATE($A874,7,1)-INDEX(球員主檔!$G$2:$G$749,MATCH($B874,球員主檔!$A$2:$A$749,0)))/365.25)</f>
        <v>23</v>
      </c>
      <c r="I874" s="12" t="n">
        <v>7</v>
      </c>
      <c r="J874" s="12" t="n">
        <v>3</v>
      </c>
      <c r="K874" s="12" t="n">
        <v>0</v>
      </c>
      <c r="L874" s="12" t="n">
        <v>0</v>
      </c>
      <c r="M874" s="12" t="n">
        <v>13</v>
      </c>
      <c r="N874" s="12" t="n">
        <v>13</v>
      </c>
      <c r="O874" s="12" t="n">
        <v>197</v>
      </c>
      <c r="P874" s="16" t="n">
        <f aca="false">O874/3</f>
        <v>65.6666666666667</v>
      </c>
      <c r="Q874" s="17" t="str">
        <f aca="false">INT(O874/3)&amp;"."&amp;MOD(O874,3)</f>
        <v>65.2</v>
      </c>
      <c r="R874" s="12" t="n">
        <v>55</v>
      </c>
      <c r="S874" s="12" t="n">
        <v>24</v>
      </c>
      <c r="T874" s="12" t="n">
        <v>24</v>
      </c>
      <c r="U874" s="12" t="n">
        <v>9</v>
      </c>
      <c r="V874" s="12" t="n">
        <v>12</v>
      </c>
      <c r="W874" s="12" t="n">
        <v>82</v>
      </c>
      <c r="X874" s="12" t="n">
        <v>3</v>
      </c>
      <c r="Y874" s="18" t="n">
        <f aca="false">IF(O874=0,0,T874*27/O874)</f>
        <v>3.28934010152284</v>
      </c>
      <c r="Z874" s="18" t="n">
        <f aca="false">IF(P874=0,0,(V874+R874)/P874)</f>
        <v>1.02030456852792</v>
      </c>
      <c r="AA874" s="18" t="n">
        <f aca="false">IF(O874=0,0,W874*27/O874)</f>
        <v>11.238578680203</v>
      </c>
      <c r="AB874" s="18" t="n">
        <f aca="false">IF(O874=0,0,V874*27/O874)</f>
        <v>1.64467005076142</v>
      </c>
      <c r="AC874" s="18" t="n">
        <f aca="false">IF(V874=0,0,W874/V874)</f>
        <v>6.83333333333333</v>
      </c>
      <c r="AD874" s="18" t="n">
        <f aca="false">IF(P874=0,0,(13*U874+3*(V874+X874)-2*W874)/P874+INDEX(球季參數!$C$2:$C$4,MATCH($A874,球季參數!$A$2:$A$4,0)))</f>
        <v>3.04954314720812</v>
      </c>
      <c r="AE874" s="11" t="n">
        <f aca="false">IF(P874&gt;=INDEX(球季參數!$F$2:$F$4,MATCH($A874,球季參數!$A$2:$A$4,0)),1,0)</f>
        <v>0</v>
      </c>
    </row>
    <row r="875" customFormat="false" ht="15" hidden="false" customHeight="false" outlineLevel="0" collapsed="false">
      <c r="A875" s="5" t="n">
        <v>2026</v>
      </c>
      <c r="B875" s="7" t="s">
        <v>1583</v>
      </c>
      <c r="C875" s="10" t="str">
        <f aca="false">INDEX(球員主檔!$B$2:$B$749,MATCH($B875,球員主檔!$A$2:$A$749,0))</f>
        <v>Thiago Marchetti</v>
      </c>
      <c r="D875" s="7" t="s">
        <v>455</v>
      </c>
      <c r="E875" s="10" t="str">
        <f aca="false">INDEX(球隊主檔!$C$2:$C$31,MATCH($D875,球隊主檔!$A$2:$A$31,0))</f>
        <v>洛杉磯道奇</v>
      </c>
      <c r="F875" s="10" t="str">
        <f aca="false">INDEX(球隊主檔!$D$2:$D$31,MATCH($D875,球隊主檔!$A$2:$A$31,0))</f>
        <v>國聯</v>
      </c>
      <c r="G875" s="7" t="s">
        <v>496</v>
      </c>
      <c r="H875" s="11" t="n">
        <f aca="false">INT((DATE($A875,7,1)-INDEX(球員主檔!$G$2:$G$749,MATCH($B875,球員主檔!$A$2:$A$749,0)))/365.25)</f>
        <v>29</v>
      </c>
      <c r="I875" s="12" t="n">
        <v>12</v>
      </c>
      <c r="J875" s="12" t="n">
        <v>6</v>
      </c>
      <c r="K875" s="12" t="n">
        <v>0</v>
      </c>
      <c r="L875" s="12" t="n">
        <v>0</v>
      </c>
      <c r="M875" s="12" t="n">
        <v>25</v>
      </c>
      <c r="N875" s="12" t="n">
        <v>25</v>
      </c>
      <c r="O875" s="12" t="n">
        <v>465</v>
      </c>
      <c r="P875" s="16" t="n">
        <f aca="false">O875/3</f>
        <v>155</v>
      </c>
      <c r="Q875" s="17" t="str">
        <f aca="false">INT(O875/3)&amp;"."&amp;MOD(O875,3)</f>
        <v>155.0</v>
      </c>
      <c r="R875" s="12" t="n">
        <v>125</v>
      </c>
      <c r="S875" s="12" t="n">
        <v>60</v>
      </c>
      <c r="T875" s="12" t="n">
        <v>60</v>
      </c>
      <c r="U875" s="12" t="n">
        <v>13</v>
      </c>
      <c r="V875" s="12" t="n">
        <v>46</v>
      </c>
      <c r="W875" s="12" t="n">
        <v>132</v>
      </c>
      <c r="X875" s="12" t="n">
        <v>3</v>
      </c>
      <c r="Y875" s="18" t="n">
        <f aca="false">IF(O875=0,0,T875*27/O875)</f>
        <v>3.48387096774194</v>
      </c>
      <c r="Z875" s="18" t="n">
        <f aca="false">IF(P875=0,0,(V875+R875)/P875)</f>
        <v>1.10322580645161</v>
      </c>
      <c r="AA875" s="18" t="n">
        <f aca="false">IF(O875=0,0,W875*27/O875)</f>
        <v>7.66451612903226</v>
      </c>
      <c r="AB875" s="18" t="n">
        <f aca="false">IF(O875=0,0,V875*27/O875)</f>
        <v>2.67096774193548</v>
      </c>
      <c r="AC875" s="18" t="n">
        <f aca="false">IF(V875=0,0,W875/V875)</f>
        <v>2.8695652173913</v>
      </c>
      <c r="AD875" s="18" t="n">
        <f aca="false">IF(P875=0,0,(13*U875+3*(V875+X875)-2*W875)/P875+INDEX(球季參數!$C$2:$C$4,MATCH($A875,球季參數!$A$2:$A$4,0)))</f>
        <v>3.41548387096774</v>
      </c>
      <c r="AE875" s="11" t="n">
        <f aca="false">IF(P875&gt;=INDEX(球季參數!$F$2:$F$4,MATCH($A875,球季參數!$A$2:$A$4,0)),1,0)</f>
        <v>0</v>
      </c>
    </row>
    <row r="876" customFormat="false" ht="15" hidden="false" customHeight="false" outlineLevel="0" collapsed="false">
      <c r="A876" s="5" t="n">
        <v>2026</v>
      </c>
      <c r="B876" s="7" t="s">
        <v>1959</v>
      </c>
      <c r="C876" s="10" t="str">
        <f aca="false">INDEX(球員主檔!$B$2:$B$749,MATCH($B876,球員主檔!$A$2:$A$749,0))</f>
        <v>Augustin Goddard</v>
      </c>
      <c r="D876" s="7" t="s">
        <v>455</v>
      </c>
      <c r="E876" s="10" t="str">
        <f aca="false">INDEX(球隊主檔!$C$2:$C$31,MATCH($D876,球隊主檔!$A$2:$A$31,0))</f>
        <v>洛杉磯道奇</v>
      </c>
      <c r="F876" s="10" t="str">
        <f aca="false">INDEX(球隊主檔!$D$2:$D$31,MATCH($D876,球隊主檔!$A$2:$A$31,0))</f>
        <v>國聯</v>
      </c>
      <c r="G876" s="7" t="s">
        <v>496</v>
      </c>
      <c r="H876" s="11" t="n">
        <f aca="false">INT((DATE($A876,7,1)-INDEX(球員主檔!$G$2:$G$749,MATCH($B876,球員主檔!$A$2:$A$749,0)))/365.25)</f>
        <v>24</v>
      </c>
      <c r="I876" s="12" t="n">
        <v>8</v>
      </c>
      <c r="J876" s="12" t="n">
        <v>3</v>
      </c>
      <c r="K876" s="12" t="n">
        <v>0</v>
      </c>
      <c r="L876" s="12" t="n">
        <v>0</v>
      </c>
      <c r="M876" s="12" t="n">
        <v>21</v>
      </c>
      <c r="N876" s="12" t="n">
        <v>21</v>
      </c>
      <c r="O876" s="12" t="n">
        <v>377</v>
      </c>
      <c r="P876" s="16" t="n">
        <f aca="false">O876/3</f>
        <v>125.666666666667</v>
      </c>
      <c r="Q876" s="17" t="str">
        <f aca="false">INT(O876/3)&amp;"."&amp;MOD(O876,3)</f>
        <v>125.2</v>
      </c>
      <c r="R876" s="12" t="n">
        <v>89</v>
      </c>
      <c r="S876" s="12" t="n">
        <v>48</v>
      </c>
      <c r="T876" s="12" t="n">
        <v>43</v>
      </c>
      <c r="U876" s="12" t="n">
        <v>29</v>
      </c>
      <c r="V876" s="12" t="n">
        <v>24</v>
      </c>
      <c r="W876" s="12" t="n">
        <v>141</v>
      </c>
      <c r="X876" s="12" t="n">
        <v>3</v>
      </c>
      <c r="Y876" s="18" t="n">
        <f aca="false">IF(O876=0,0,T876*27/O876)</f>
        <v>3.07957559681698</v>
      </c>
      <c r="Z876" s="18" t="n">
        <f aca="false">IF(P876=0,0,(V876+R876)/P876)</f>
        <v>0.89920424403183</v>
      </c>
      <c r="AA876" s="18" t="n">
        <f aca="false">IF(O876=0,0,W876*27/O876)</f>
        <v>10.0981432360743</v>
      </c>
      <c r="AB876" s="18" t="n">
        <f aca="false">IF(O876=0,0,V876*27/O876)</f>
        <v>1.71883289124668</v>
      </c>
      <c r="AC876" s="18" t="n">
        <f aca="false">IF(V876=0,0,W876/V876)</f>
        <v>5.875</v>
      </c>
      <c r="AD876" s="18" t="n">
        <f aca="false">IF(P876=0,0,(13*U876+3*(V876+X876)-2*W876)/P876+INDEX(球季參數!$C$2:$C$4,MATCH($A876,球季參數!$A$2:$A$4,0)))</f>
        <v>4.48053050397878</v>
      </c>
      <c r="AE876" s="11" t="n">
        <f aca="false">IF(P876&gt;=INDEX(球季參數!$F$2:$F$4,MATCH($A876,球季參數!$A$2:$A$4,0)),1,0)</f>
        <v>0</v>
      </c>
    </row>
    <row r="877" customFormat="false" ht="15" hidden="false" customHeight="false" outlineLevel="0" collapsed="false">
      <c r="A877" s="5" t="n">
        <v>2026</v>
      </c>
      <c r="B877" s="7" t="s">
        <v>747</v>
      </c>
      <c r="C877" s="10" t="str">
        <f aca="false">INDEX(球員主檔!$B$2:$B$749,MATCH($B877,球員主檔!$A$2:$A$749,0))</f>
        <v>Barrett Zbornak</v>
      </c>
      <c r="D877" s="7" t="s">
        <v>455</v>
      </c>
      <c r="E877" s="10" t="str">
        <f aca="false">INDEX(球隊主檔!$C$2:$C$31,MATCH($D877,球隊主檔!$A$2:$A$31,0))</f>
        <v>洛杉磯道奇</v>
      </c>
      <c r="F877" s="10" t="str">
        <f aca="false">INDEX(球隊主檔!$D$2:$D$31,MATCH($D877,球隊主檔!$A$2:$A$31,0))</f>
        <v>國聯</v>
      </c>
      <c r="G877" s="7" t="s">
        <v>507</v>
      </c>
      <c r="H877" s="11" t="n">
        <f aca="false">INT((DATE($A877,7,1)-INDEX(球員主檔!$G$2:$G$749,MATCH($B877,球員主檔!$A$2:$A$749,0)))/365.25)</f>
        <v>28</v>
      </c>
      <c r="I877" s="12" t="n">
        <v>0</v>
      </c>
      <c r="J877" s="12" t="n">
        <v>7</v>
      </c>
      <c r="K877" s="12" t="n">
        <v>6</v>
      </c>
      <c r="L877" s="12" t="n">
        <v>13</v>
      </c>
      <c r="M877" s="12" t="n">
        <v>61</v>
      </c>
      <c r="N877" s="12" t="n">
        <v>0</v>
      </c>
      <c r="O877" s="12" t="n">
        <v>185</v>
      </c>
      <c r="P877" s="16" t="n">
        <f aca="false">O877/3</f>
        <v>61.6666666666667</v>
      </c>
      <c r="Q877" s="17" t="str">
        <f aca="false">INT(O877/3)&amp;"."&amp;MOD(O877,3)</f>
        <v>61.2</v>
      </c>
      <c r="R877" s="12" t="n">
        <v>59</v>
      </c>
      <c r="S877" s="12" t="n">
        <v>38</v>
      </c>
      <c r="T877" s="12" t="n">
        <v>36</v>
      </c>
      <c r="U877" s="12" t="n">
        <v>4</v>
      </c>
      <c r="V877" s="12" t="n">
        <v>28</v>
      </c>
      <c r="W877" s="12" t="n">
        <v>84</v>
      </c>
      <c r="X877" s="12" t="n">
        <v>2</v>
      </c>
      <c r="Y877" s="18" t="n">
        <f aca="false">IF(O877=0,0,T877*27/O877)</f>
        <v>5.25405405405405</v>
      </c>
      <c r="Z877" s="18" t="n">
        <f aca="false">IF(P877=0,0,(V877+R877)/P877)</f>
        <v>1.41081081081081</v>
      </c>
      <c r="AA877" s="18" t="n">
        <f aca="false">IF(O877=0,0,W877*27/O877)</f>
        <v>12.2594594594595</v>
      </c>
      <c r="AB877" s="18" t="n">
        <f aca="false">IF(O877=0,0,V877*27/O877)</f>
        <v>4.08648648648649</v>
      </c>
      <c r="AC877" s="18" t="n">
        <f aca="false">IF(V877=0,0,W877/V877)</f>
        <v>3</v>
      </c>
      <c r="AD877" s="18" t="n">
        <f aca="false">IF(P877=0,0,(13*U877+3*(V877+X877)-2*W877)/P877+INDEX(球季參數!$C$2:$C$4,MATCH($A877,球季參數!$A$2:$A$4,0)))</f>
        <v>2.65837837837838</v>
      </c>
      <c r="AE877" s="11" t="n">
        <f aca="false">IF(P877&gt;=INDEX(球季參數!$F$2:$F$4,MATCH($A877,球季參數!$A$2:$A$4,0)),1,0)</f>
        <v>0</v>
      </c>
    </row>
    <row r="878" customFormat="false" ht="15" hidden="false" customHeight="false" outlineLevel="0" collapsed="false">
      <c r="A878" s="5" t="n">
        <v>2026</v>
      </c>
      <c r="B878" s="7" t="s">
        <v>1503</v>
      </c>
      <c r="C878" s="10" t="str">
        <f aca="false">INDEX(球員主檔!$B$2:$B$749,MATCH($B878,球員主檔!$A$2:$A$749,0))</f>
        <v>Ignacio Jaramillo</v>
      </c>
      <c r="D878" s="7" t="s">
        <v>455</v>
      </c>
      <c r="E878" s="10" t="str">
        <f aca="false">INDEX(球隊主檔!$C$2:$C$31,MATCH($D878,球隊主檔!$A$2:$A$31,0))</f>
        <v>洛杉磯道奇</v>
      </c>
      <c r="F878" s="10" t="str">
        <f aca="false">INDEX(球隊主檔!$D$2:$D$31,MATCH($D878,球隊主檔!$A$2:$A$31,0))</f>
        <v>國聯</v>
      </c>
      <c r="G878" s="7" t="s">
        <v>507</v>
      </c>
      <c r="H878" s="11" t="n">
        <f aca="false">INT((DATE($A878,7,1)-INDEX(球員主檔!$G$2:$G$749,MATCH($B878,球員主檔!$A$2:$A$749,0)))/365.25)</f>
        <v>27</v>
      </c>
      <c r="I878" s="12" t="n">
        <v>6</v>
      </c>
      <c r="J878" s="12" t="n">
        <v>2</v>
      </c>
      <c r="K878" s="12" t="n">
        <v>0</v>
      </c>
      <c r="L878" s="12" t="n">
        <v>28</v>
      </c>
      <c r="M878" s="12" t="n">
        <v>58</v>
      </c>
      <c r="N878" s="12" t="n">
        <v>0</v>
      </c>
      <c r="O878" s="12" t="n">
        <v>186</v>
      </c>
      <c r="P878" s="16" t="n">
        <f aca="false">O878/3</f>
        <v>62</v>
      </c>
      <c r="Q878" s="17" t="str">
        <f aca="false">INT(O878/3)&amp;"."&amp;MOD(O878,3)</f>
        <v>62.0</v>
      </c>
      <c r="R878" s="12" t="n">
        <v>53</v>
      </c>
      <c r="S878" s="12" t="n">
        <v>29</v>
      </c>
      <c r="T878" s="12" t="n">
        <v>29</v>
      </c>
      <c r="U878" s="12" t="n">
        <v>12</v>
      </c>
      <c r="V878" s="12" t="n">
        <v>21</v>
      </c>
      <c r="W878" s="12" t="n">
        <v>63</v>
      </c>
      <c r="X878" s="12" t="n">
        <v>1</v>
      </c>
      <c r="Y878" s="18" t="n">
        <f aca="false">IF(O878=0,0,T878*27/O878)</f>
        <v>4.20967741935484</v>
      </c>
      <c r="Z878" s="18" t="n">
        <f aca="false">IF(P878=0,0,(V878+R878)/P878)</f>
        <v>1.19354838709677</v>
      </c>
      <c r="AA878" s="18" t="n">
        <f aca="false">IF(O878=0,0,W878*27/O878)</f>
        <v>9.14516129032258</v>
      </c>
      <c r="AB878" s="18" t="n">
        <f aca="false">IF(O878=0,0,V878*27/O878)</f>
        <v>3.04838709677419</v>
      </c>
      <c r="AC878" s="18" t="n">
        <f aca="false">IF(V878=0,0,W878/V878)</f>
        <v>3</v>
      </c>
      <c r="AD878" s="18" t="n">
        <f aca="false">IF(P878=0,0,(13*U878+3*(V878+X878)-2*W878)/P878+INDEX(球季參數!$C$2:$C$4,MATCH($A878,球季參數!$A$2:$A$4,0)))</f>
        <v>4.62838709677419</v>
      </c>
      <c r="AE878" s="11" t="n">
        <f aca="false">IF(P878&gt;=INDEX(球季參數!$F$2:$F$4,MATCH($A878,球季參數!$A$2:$A$4,0)),1,0)</f>
        <v>0</v>
      </c>
    </row>
    <row r="879" customFormat="false" ht="15" hidden="false" customHeight="false" outlineLevel="0" collapsed="false">
      <c r="A879" s="5" t="n">
        <v>2026</v>
      </c>
      <c r="B879" s="7" t="s">
        <v>1591</v>
      </c>
      <c r="C879" s="10" t="str">
        <f aca="false">INDEX(球員主檔!$B$2:$B$749,MATCH($B879,球員主檔!$A$2:$A$749,0))</f>
        <v>Kellan Lemieux</v>
      </c>
      <c r="D879" s="7" t="s">
        <v>455</v>
      </c>
      <c r="E879" s="10" t="str">
        <f aca="false">INDEX(球隊主檔!$C$2:$C$31,MATCH($D879,球隊主檔!$A$2:$A$31,0))</f>
        <v>洛杉磯道奇</v>
      </c>
      <c r="F879" s="10" t="str">
        <f aca="false">INDEX(球隊主檔!$D$2:$D$31,MATCH($D879,球隊主檔!$A$2:$A$31,0))</f>
        <v>國聯</v>
      </c>
      <c r="G879" s="7" t="s">
        <v>507</v>
      </c>
      <c r="H879" s="11" t="n">
        <f aca="false">INT((DATE($A879,7,1)-INDEX(球員主檔!$G$2:$G$749,MATCH($B879,球員主檔!$A$2:$A$749,0)))/365.25)</f>
        <v>33</v>
      </c>
      <c r="I879" s="12" t="n">
        <v>0</v>
      </c>
      <c r="J879" s="12" t="n">
        <v>1</v>
      </c>
      <c r="K879" s="12" t="n">
        <v>5</v>
      </c>
      <c r="L879" s="12" t="n">
        <v>21</v>
      </c>
      <c r="M879" s="12" t="n">
        <v>59</v>
      </c>
      <c r="N879" s="12" t="n">
        <v>0</v>
      </c>
      <c r="O879" s="12" t="n">
        <v>177</v>
      </c>
      <c r="P879" s="16" t="n">
        <f aca="false">O879/3</f>
        <v>59</v>
      </c>
      <c r="Q879" s="17" t="str">
        <f aca="false">INT(O879/3)&amp;"."&amp;MOD(O879,3)</f>
        <v>59.0</v>
      </c>
      <c r="R879" s="12" t="n">
        <v>52</v>
      </c>
      <c r="S879" s="12" t="n">
        <v>29</v>
      </c>
      <c r="T879" s="12" t="n">
        <v>27</v>
      </c>
      <c r="U879" s="12" t="n">
        <v>11</v>
      </c>
      <c r="V879" s="12" t="n">
        <v>15</v>
      </c>
      <c r="W879" s="12" t="n">
        <v>49</v>
      </c>
      <c r="X879" s="12" t="n">
        <v>1</v>
      </c>
      <c r="Y879" s="18" t="n">
        <f aca="false">IF(O879=0,0,T879*27/O879)</f>
        <v>4.11864406779661</v>
      </c>
      <c r="Z879" s="18" t="n">
        <f aca="false">IF(P879=0,0,(V879+R879)/P879)</f>
        <v>1.13559322033898</v>
      </c>
      <c r="AA879" s="18" t="n">
        <f aca="false">IF(O879=0,0,W879*27/O879)</f>
        <v>7.47457627118644</v>
      </c>
      <c r="AB879" s="18" t="n">
        <f aca="false">IF(O879=0,0,V879*27/O879)</f>
        <v>2.28813559322034</v>
      </c>
      <c r="AC879" s="18" t="n">
        <f aca="false">IF(V879=0,0,W879/V879)</f>
        <v>3.26666666666667</v>
      </c>
      <c r="AD879" s="18" t="n">
        <f aca="false">IF(P879=0,0,(13*U879+3*(V879+X879)-2*W879)/P879+INDEX(球季參數!$C$2:$C$4,MATCH($A879,球季參數!$A$2:$A$4,0)))</f>
        <v>4.65627118644068</v>
      </c>
      <c r="AE879" s="11" t="n">
        <f aca="false">IF(P879&gt;=INDEX(球季參數!$F$2:$F$4,MATCH($A879,球季參數!$A$2:$A$4,0)),1,0)</f>
        <v>0</v>
      </c>
    </row>
    <row r="880" customFormat="false" ht="15" hidden="false" customHeight="false" outlineLevel="0" collapsed="false">
      <c r="A880" s="5" t="n">
        <v>2026</v>
      </c>
      <c r="B880" s="7" t="s">
        <v>1593</v>
      </c>
      <c r="C880" s="10" t="str">
        <f aca="false">INDEX(球員主檔!$B$2:$B$749,MATCH($B880,球員主檔!$A$2:$A$749,0))</f>
        <v>Bernardo Tremblay</v>
      </c>
      <c r="D880" s="7" t="s">
        <v>455</v>
      </c>
      <c r="E880" s="10" t="str">
        <f aca="false">INDEX(球隊主檔!$C$2:$C$31,MATCH($D880,球隊主檔!$A$2:$A$31,0))</f>
        <v>洛杉磯道奇</v>
      </c>
      <c r="F880" s="10" t="str">
        <f aca="false">INDEX(球隊主檔!$D$2:$D$31,MATCH($D880,球隊主檔!$A$2:$A$31,0))</f>
        <v>國聯</v>
      </c>
      <c r="G880" s="7" t="s">
        <v>507</v>
      </c>
      <c r="H880" s="11" t="n">
        <f aca="false">INT((DATE($A880,7,1)-INDEX(球員主檔!$G$2:$G$749,MATCH($B880,球員主檔!$A$2:$A$749,0)))/365.25)</f>
        <v>34</v>
      </c>
      <c r="I880" s="12" t="n">
        <v>8</v>
      </c>
      <c r="J880" s="12" t="n">
        <v>0</v>
      </c>
      <c r="K880" s="12" t="n">
        <v>6</v>
      </c>
      <c r="L880" s="12" t="n">
        <v>32</v>
      </c>
      <c r="M880" s="12" t="n">
        <v>70</v>
      </c>
      <c r="N880" s="12" t="n">
        <v>0</v>
      </c>
      <c r="O880" s="12" t="n">
        <v>191</v>
      </c>
      <c r="P880" s="16" t="n">
        <f aca="false">O880/3</f>
        <v>63.6666666666667</v>
      </c>
      <c r="Q880" s="17" t="str">
        <f aca="false">INT(O880/3)&amp;"."&amp;MOD(O880,3)</f>
        <v>63.2</v>
      </c>
      <c r="R880" s="12" t="n">
        <v>53</v>
      </c>
      <c r="S880" s="12" t="n">
        <v>29</v>
      </c>
      <c r="T880" s="12" t="n">
        <v>26</v>
      </c>
      <c r="U880" s="12" t="n">
        <v>8</v>
      </c>
      <c r="V880" s="12" t="n">
        <v>20</v>
      </c>
      <c r="W880" s="12" t="n">
        <v>42</v>
      </c>
      <c r="X880" s="12" t="n">
        <v>3</v>
      </c>
      <c r="Y880" s="18" t="n">
        <f aca="false">IF(O880=0,0,T880*27/O880)</f>
        <v>3.67539267015707</v>
      </c>
      <c r="Z880" s="18" t="n">
        <f aca="false">IF(P880=0,0,(V880+R880)/P880)</f>
        <v>1.14659685863874</v>
      </c>
      <c r="AA880" s="18" t="n">
        <f aca="false">IF(O880=0,0,W880*27/O880)</f>
        <v>5.93717277486911</v>
      </c>
      <c r="AB880" s="18" t="n">
        <f aca="false">IF(O880=0,0,V880*27/O880)</f>
        <v>2.82722513089005</v>
      </c>
      <c r="AC880" s="18" t="n">
        <f aca="false">IF(V880=0,0,W880/V880)</f>
        <v>2.1</v>
      </c>
      <c r="AD880" s="18" t="n">
        <f aca="false">IF(P880=0,0,(13*U880+3*(V880+X880)-2*W880)/P880+INDEX(球季參數!$C$2:$C$4,MATCH($A880,球季參數!$A$2:$A$4,0)))</f>
        <v>4.4779057591623</v>
      </c>
      <c r="AE880" s="11" t="n">
        <f aca="false">IF(P880&gt;=INDEX(球季參數!$F$2:$F$4,MATCH($A880,球季參數!$A$2:$A$4,0)),1,0)</f>
        <v>0</v>
      </c>
    </row>
    <row r="881" customFormat="false" ht="15" hidden="false" customHeight="false" outlineLevel="0" collapsed="false">
      <c r="A881" s="5" t="n">
        <v>2026</v>
      </c>
      <c r="B881" s="7" t="s">
        <v>1961</v>
      </c>
      <c r="C881" s="10" t="str">
        <f aca="false">INDEX(球員主檔!$B$2:$B$749,MATCH($B881,球員主檔!$A$2:$A$749,0))</f>
        <v>Leandro Lindquist</v>
      </c>
      <c r="D881" s="7" t="s">
        <v>455</v>
      </c>
      <c r="E881" s="10" t="str">
        <f aca="false">INDEX(球隊主檔!$C$2:$C$31,MATCH($D881,球隊主檔!$A$2:$A$31,0))</f>
        <v>洛杉磯道奇</v>
      </c>
      <c r="F881" s="10" t="str">
        <f aca="false">INDEX(球隊主檔!$D$2:$D$31,MATCH($D881,球隊主檔!$A$2:$A$31,0))</f>
        <v>國聯</v>
      </c>
      <c r="G881" s="7" t="s">
        <v>507</v>
      </c>
      <c r="H881" s="11" t="n">
        <f aca="false">INT((DATE($A881,7,1)-INDEX(球員主檔!$G$2:$G$749,MATCH($B881,球員主檔!$A$2:$A$749,0)))/365.25)</f>
        <v>26</v>
      </c>
      <c r="I881" s="12" t="n">
        <v>9</v>
      </c>
      <c r="J881" s="12" t="n">
        <v>3</v>
      </c>
      <c r="K881" s="12" t="n">
        <v>6</v>
      </c>
      <c r="L881" s="12" t="n">
        <v>4</v>
      </c>
      <c r="M881" s="12" t="n">
        <v>56</v>
      </c>
      <c r="N881" s="12" t="n">
        <v>0</v>
      </c>
      <c r="O881" s="12" t="n">
        <v>173</v>
      </c>
      <c r="P881" s="16" t="n">
        <f aca="false">O881/3</f>
        <v>57.6666666666667</v>
      </c>
      <c r="Q881" s="17" t="str">
        <f aca="false">INT(O881/3)&amp;"."&amp;MOD(O881,3)</f>
        <v>57.2</v>
      </c>
      <c r="R881" s="12" t="n">
        <v>55</v>
      </c>
      <c r="S881" s="12" t="n">
        <v>36</v>
      </c>
      <c r="T881" s="12" t="n">
        <v>32</v>
      </c>
      <c r="U881" s="12" t="n">
        <v>6</v>
      </c>
      <c r="V881" s="12" t="n">
        <v>15</v>
      </c>
      <c r="W881" s="12" t="n">
        <v>87</v>
      </c>
      <c r="X881" s="12" t="n">
        <v>3</v>
      </c>
      <c r="Y881" s="18" t="n">
        <f aca="false">IF(O881=0,0,T881*27/O881)</f>
        <v>4.99421965317919</v>
      </c>
      <c r="Z881" s="18" t="n">
        <f aca="false">IF(P881=0,0,(V881+R881)/P881)</f>
        <v>1.21387283236994</v>
      </c>
      <c r="AA881" s="18" t="n">
        <f aca="false">IF(O881=0,0,W881*27/O881)</f>
        <v>13.5780346820809</v>
      </c>
      <c r="AB881" s="18" t="n">
        <f aca="false">IF(O881=0,0,V881*27/O881)</f>
        <v>2.34104046242775</v>
      </c>
      <c r="AC881" s="18" t="n">
        <f aca="false">IF(V881=0,0,W881/V881)</f>
        <v>5.8</v>
      </c>
      <c r="AD881" s="18" t="n">
        <f aca="false">IF(P881=0,0,(13*U881+3*(V881+X881)-2*W881)/P881+INDEX(球季參數!$C$2:$C$4,MATCH($A881,球季參數!$A$2:$A$4,0)))</f>
        <v>2.35167630057804</v>
      </c>
      <c r="AE881" s="11" t="n">
        <f aca="false">IF(P881&gt;=INDEX(球季參數!$F$2:$F$4,MATCH($A881,球季參數!$A$2:$A$4,0)),1,0)</f>
        <v>0</v>
      </c>
    </row>
    <row r="882" customFormat="false" ht="15" hidden="false" customHeight="false" outlineLevel="0" collapsed="false">
      <c r="A882" s="5" t="n">
        <v>2026</v>
      </c>
      <c r="B882" s="7" t="s">
        <v>1617</v>
      </c>
      <c r="C882" s="10" t="str">
        <f aca="false">INDEX(球員主檔!$B$2:$B$749,MATCH($B882,球員主檔!$A$2:$A$749,0))</f>
        <v>Ronin Wainwright</v>
      </c>
      <c r="D882" s="7" t="s">
        <v>459</v>
      </c>
      <c r="E882" s="10" t="str">
        <f aca="false">INDEX(球隊主檔!$C$2:$C$31,MATCH($D882,球隊主檔!$A$2:$A$31,0))</f>
        <v>聖地牙哥教士</v>
      </c>
      <c r="F882" s="10" t="str">
        <f aca="false">INDEX(球隊主檔!$D$2:$D$31,MATCH($D882,球隊主檔!$A$2:$A$31,0))</f>
        <v>國聯</v>
      </c>
      <c r="G882" s="7" t="s">
        <v>496</v>
      </c>
      <c r="H882" s="11" t="n">
        <f aca="false">INT((DATE($A882,7,1)-INDEX(球員主檔!$G$2:$G$749,MATCH($B882,球員主檔!$A$2:$A$749,0)))/365.25)</f>
        <v>24</v>
      </c>
      <c r="I882" s="12" t="n">
        <v>7</v>
      </c>
      <c r="J882" s="12" t="n">
        <v>7</v>
      </c>
      <c r="K882" s="12" t="n">
        <v>0</v>
      </c>
      <c r="L882" s="12" t="n">
        <v>0</v>
      </c>
      <c r="M882" s="12" t="n">
        <v>21</v>
      </c>
      <c r="N882" s="12" t="n">
        <v>21</v>
      </c>
      <c r="O882" s="12" t="n">
        <v>354</v>
      </c>
      <c r="P882" s="16" t="n">
        <f aca="false">O882/3</f>
        <v>118</v>
      </c>
      <c r="Q882" s="17" t="str">
        <f aca="false">INT(O882/3)&amp;"."&amp;MOD(O882,3)</f>
        <v>118.0</v>
      </c>
      <c r="R882" s="12" t="n">
        <v>109</v>
      </c>
      <c r="S882" s="12" t="n">
        <v>68</v>
      </c>
      <c r="T882" s="12" t="n">
        <v>60</v>
      </c>
      <c r="U882" s="12" t="n">
        <v>12</v>
      </c>
      <c r="V882" s="12" t="n">
        <v>22</v>
      </c>
      <c r="W882" s="12" t="n">
        <v>147</v>
      </c>
      <c r="X882" s="12" t="n">
        <v>2</v>
      </c>
      <c r="Y882" s="18" t="n">
        <f aca="false">IF(O882=0,0,T882*27/O882)</f>
        <v>4.57627118644068</v>
      </c>
      <c r="Z882" s="18" t="n">
        <f aca="false">IF(P882=0,0,(V882+R882)/P882)</f>
        <v>1.11016949152542</v>
      </c>
      <c r="AA882" s="18" t="n">
        <f aca="false">IF(O882=0,0,W882*27/O882)</f>
        <v>11.2118644067797</v>
      </c>
      <c r="AB882" s="18" t="n">
        <f aca="false">IF(O882=0,0,V882*27/O882)</f>
        <v>1.67796610169492</v>
      </c>
      <c r="AC882" s="18" t="n">
        <f aca="false">IF(V882=0,0,W882/V882)</f>
        <v>6.68181818181818</v>
      </c>
      <c r="AD882" s="18" t="n">
        <f aca="false">IF(P882=0,0,(13*U882+3*(V882+X882)-2*W882)/P882+INDEX(球季參數!$C$2:$C$4,MATCH($A882,球季參數!$A$2:$A$4,0)))</f>
        <v>2.5206779661017</v>
      </c>
      <c r="AE882" s="11" t="n">
        <f aca="false">IF(P882&gt;=INDEX(球季參數!$F$2:$F$4,MATCH($A882,球季參數!$A$2:$A$4,0)),1,0)</f>
        <v>0</v>
      </c>
    </row>
    <row r="883" customFormat="false" ht="15" hidden="false" customHeight="false" outlineLevel="0" collapsed="false">
      <c r="A883" s="5" t="n">
        <v>2026</v>
      </c>
      <c r="B883" s="7" t="s">
        <v>1969</v>
      </c>
      <c r="C883" s="10" t="str">
        <f aca="false">INDEX(球員主檔!$B$2:$B$749,MATCH($B883,球員主檔!$A$2:$A$749,0))</f>
        <v>Minjae Marchetti</v>
      </c>
      <c r="D883" s="7" t="s">
        <v>459</v>
      </c>
      <c r="E883" s="10" t="str">
        <f aca="false">INDEX(球隊主檔!$C$2:$C$31,MATCH($D883,球隊主檔!$A$2:$A$31,0))</f>
        <v>聖地牙哥教士</v>
      </c>
      <c r="F883" s="10" t="str">
        <f aca="false">INDEX(球隊主檔!$D$2:$D$31,MATCH($D883,球隊主檔!$A$2:$A$31,0))</f>
        <v>國聯</v>
      </c>
      <c r="G883" s="7" t="s">
        <v>496</v>
      </c>
      <c r="H883" s="11" t="n">
        <f aca="false">INT((DATE($A883,7,1)-INDEX(球員主檔!$G$2:$G$749,MATCH($B883,球員主檔!$A$2:$A$749,0)))/365.25)</f>
        <v>24</v>
      </c>
      <c r="I883" s="12" t="n">
        <v>9</v>
      </c>
      <c r="J883" s="12" t="n">
        <v>6</v>
      </c>
      <c r="K883" s="12" t="n">
        <v>0</v>
      </c>
      <c r="L883" s="12" t="n">
        <v>0</v>
      </c>
      <c r="M883" s="12" t="n">
        <v>21</v>
      </c>
      <c r="N883" s="12" t="n">
        <v>21</v>
      </c>
      <c r="O883" s="12" t="n">
        <v>346</v>
      </c>
      <c r="P883" s="16" t="n">
        <f aca="false">O883/3</f>
        <v>115.333333333333</v>
      </c>
      <c r="Q883" s="17" t="str">
        <f aca="false">INT(O883/3)&amp;"."&amp;MOD(O883,3)</f>
        <v>115.1</v>
      </c>
      <c r="R883" s="12" t="n">
        <v>94</v>
      </c>
      <c r="S883" s="12" t="n">
        <v>65</v>
      </c>
      <c r="T883" s="12" t="n">
        <v>58</v>
      </c>
      <c r="U883" s="12" t="n">
        <v>10</v>
      </c>
      <c r="V883" s="12" t="n">
        <v>35</v>
      </c>
      <c r="W883" s="12" t="n">
        <v>119</v>
      </c>
      <c r="X883" s="12" t="n">
        <v>3</v>
      </c>
      <c r="Y883" s="18" t="n">
        <f aca="false">IF(O883=0,0,T883*27/O883)</f>
        <v>4.52601156069364</v>
      </c>
      <c r="Z883" s="18" t="n">
        <f aca="false">IF(P883=0,0,(V883+R883)/P883)</f>
        <v>1.11849710982659</v>
      </c>
      <c r="AA883" s="18" t="n">
        <f aca="false">IF(O883=0,0,W883*27/O883)</f>
        <v>9.28612716763006</v>
      </c>
      <c r="AB883" s="18" t="n">
        <f aca="false">IF(O883=0,0,V883*27/O883)</f>
        <v>2.73121387283237</v>
      </c>
      <c r="AC883" s="18" t="n">
        <f aca="false">IF(V883=0,0,W883/V883)</f>
        <v>3.4</v>
      </c>
      <c r="AD883" s="18" t="n">
        <f aca="false">IF(P883=0,0,(13*U883+3*(V883+X883)-2*W883)/P883+INDEX(球季參數!$C$2:$C$4,MATCH($A883,球季參數!$A$2:$A$4,0)))</f>
        <v>3.13202312138728</v>
      </c>
      <c r="AE883" s="11" t="n">
        <f aca="false">IF(P883&gt;=INDEX(球季參數!$F$2:$F$4,MATCH($A883,球季參數!$A$2:$A$4,0)),1,0)</f>
        <v>0</v>
      </c>
    </row>
    <row r="884" customFormat="false" ht="15" hidden="false" customHeight="false" outlineLevel="0" collapsed="false">
      <c r="A884" s="5" t="n">
        <v>2026</v>
      </c>
      <c r="B884" s="7" t="s">
        <v>1621</v>
      </c>
      <c r="C884" s="10" t="str">
        <f aca="false">INDEX(球員主檔!$B$2:$B$749,MATCH($B884,球員主檔!$A$2:$A$749,0))</f>
        <v>Rintaro Halloway</v>
      </c>
      <c r="D884" s="7" t="s">
        <v>459</v>
      </c>
      <c r="E884" s="10" t="str">
        <f aca="false">INDEX(球隊主檔!$C$2:$C$31,MATCH($D884,球隊主檔!$A$2:$A$31,0))</f>
        <v>聖地牙哥教士</v>
      </c>
      <c r="F884" s="10" t="str">
        <f aca="false">INDEX(球隊主檔!$D$2:$D$31,MATCH($D884,球隊主檔!$A$2:$A$31,0))</f>
        <v>國聯</v>
      </c>
      <c r="G884" s="7" t="s">
        <v>496</v>
      </c>
      <c r="H884" s="11" t="n">
        <f aca="false">INT((DATE($A884,7,1)-INDEX(球員主檔!$G$2:$G$749,MATCH($B884,球員主檔!$A$2:$A$749,0)))/365.25)</f>
        <v>26</v>
      </c>
      <c r="I884" s="12" t="n">
        <v>12</v>
      </c>
      <c r="J884" s="12" t="n">
        <v>5</v>
      </c>
      <c r="K884" s="12" t="n">
        <v>0</v>
      </c>
      <c r="L884" s="12" t="n">
        <v>0</v>
      </c>
      <c r="M884" s="12" t="n">
        <v>30</v>
      </c>
      <c r="N884" s="12" t="n">
        <v>30</v>
      </c>
      <c r="O884" s="12" t="n">
        <v>501</v>
      </c>
      <c r="P884" s="16" t="n">
        <f aca="false">O884/3</f>
        <v>167</v>
      </c>
      <c r="Q884" s="17" t="str">
        <f aca="false">INT(O884/3)&amp;"."&amp;MOD(O884,3)</f>
        <v>167.0</v>
      </c>
      <c r="R884" s="12" t="n">
        <v>133</v>
      </c>
      <c r="S884" s="12" t="n">
        <v>73</v>
      </c>
      <c r="T884" s="12" t="n">
        <v>72</v>
      </c>
      <c r="U884" s="12" t="n">
        <v>16</v>
      </c>
      <c r="V884" s="12" t="n">
        <v>59</v>
      </c>
      <c r="W884" s="12" t="n">
        <v>219</v>
      </c>
      <c r="X884" s="12" t="n">
        <v>7</v>
      </c>
      <c r="Y884" s="18" t="n">
        <f aca="false">IF(O884=0,0,T884*27/O884)</f>
        <v>3.88023952095808</v>
      </c>
      <c r="Z884" s="18" t="n">
        <f aca="false">IF(P884=0,0,(V884+R884)/P884)</f>
        <v>1.1497005988024</v>
      </c>
      <c r="AA884" s="18" t="n">
        <f aca="false">IF(O884=0,0,W884*27/O884)</f>
        <v>11.8023952095808</v>
      </c>
      <c r="AB884" s="18" t="n">
        <f aca="false">IF(O884=0,0,V884*27/O884)</f>
        <v>3.17964071856287</v>
      </c>
      <c r="AC884" s="18" t="n">
        <f aca="false">IF(V884=0,0,W884/V884)</f>
        <v>3.71186440677966</v>
      </c>
      <c r="AD884" s="18" t="n">
        <f aca="false">IF(P884=0,0,(13*U884+3*(V884+X884)-2*W884)/P884+INDEX(球季參數!$C$2:$C$4,MATCH($A884,球季參數!$A$2:$A$4,0)))</f>
        <v>2.88838323353293</v>
      </c>
      <c r="AE884" s="11" t="n">
        <f aca="false">IF(P884&gt;=INDEX(球季參數!$F$2:$F$4,MATCH($A884,球季參數!$A$2:$A$4,0)),1,0)</f>
        <v>1</v>
      </c>
    </row>
    <row r="885" customFormat="false" ht="15" hidden="false" customHeight="false" outlineLevel="0" collapsed="false">
      <c r="A885" s="5" t="n">
        <v>2026</v>
      </c>
      <c r="B885" s="7" t="s">
        <v>1623</v>
      </c>
      <c r="C885" s="10" t="str">
        <f aca="false">INDEX(球員主檔!$B$2:$B$749,MATCH($B885,球員主檔!$A$2:$A$749,0))</f>
        <v>Lucien Arceneaux</v>
      </c>
      <c r="D885" s="7" t="s">
        <v>459</v>
      </c>
      <c r="E885" s="10" t="str">
        <f aca="false">INDEX(球隊主檔!$C$2:$C$31,MATCH($D885,球隊主檔!$A$2:$A$31,0))</f>
        <v>聖地牙哥教士</v>
      </c>
      <c r="F885" s="10" t="str">
        <f aca="false">INDEX(球隊主檔!$D$2:$D$31,MATCH($D885,球隊主檔!$A$2:$A$31,0))</f>
        <v>國聯</v>
      </c>
      <c r="G885" s="7" t="s">
        <v>496</v>
      </c>
      <c r="H885" s="11" t="n">
        <f aca="false">INT((DATE($A885,7,1)-INDEX(球員主檔!$G$2:$G$749,MATCH($B885,球員主檔!$A$2:$A$749,0)))/365.25)</f>
        <v>28</v>
      </c>
      <c r="I885" s="12" t="n">
        <v>13</v>
      </c>
      <c r="J885" s="12" t="n">
        <v>5</v>
      </c>
      <c r="K885" s="12" t="n">
        <v>0</v>
      </c>
      <c r="L885" s="12" t="n">
        <v>0</v>
      </c>
      <c r="M885" s="12" t="n">
        <v>30</v>
      </c>
      <c r="N885" s="12" t="n">
        <v>30</v>
      </c>
      <c r="O885" s="12" t="n">
        <v>524</v>
      </c>
      <c r="P885" s="16" t="n">
        <f aca="false">O885/3</f>
        <v>174.666666666667</v>
      </c>
      <c r="Q885" s="17" t="str">
        <f aca="false">INT(O885/3)&amp;"."&amp;MOD(O885,3)</f>
        <v>174.2</v>
      </c>
      <c r="R885" s="12" t="n">
        <v>142</v>
      </c>
      <c r="S885" s="12" t="n">
        <v>83</v>
      </c>
      <c r="T885" s="12" t="n">
        <v>74</v>
      </c>
      <c r="U885" s="12" t="n">
        <v>25</v>
      </c>
      <c r="V885" s="12" t="n">
        <v>19</v>
      </c>
      <c r="W885" s="12" t="n">
        <v>158</v>
      </c>
      <c r="X885" s="12" t="n">
        <v>2</v>
      </c>
      <c r="Y885" s="18" t="n">
        <f aca="false">IF(O885=0,0,T885*27/O885)</f>
        <v>3.81297709923664</v>
      </c>
      <c r="Z885" s="18" t="n">
        <f aca="false">IF(P885=0,0,(V885+R885)/P885)</f>
        <v>0.92175572519084</v>
      </c>
      <c r="AA885" s="18" t="n">
        <f aca="false">IF(O885=0,0,W885*27/O885)</f>
        <v>8.1412213740458</v>
      </c>
      <c r="AB885" s="18" t="n">
        <f aca="false">IF(O885=0,0,V885*27/O885)</f>
        <v>0.979007633587786</v>
      </c>
      <c r="AC885" s="18" t="n">
        <f aca="false">IF(V885=0,0,W885/V885)</f>
        <v>8.31578947368421</v>
      </c>
      <c r="AD885" s="18" t="n">
        <f aca="false">IF(P885=0,0,(13*U885+3*(V885+X885)-2*W885)/P885+INDEX(球季參數!$C$2:$C$4,MATCH($A885,球季參數!$A$2:$A$4,0)))</f>
        <v>3.49221374045802</v>
      </c>
      <c r="AE885" s="11" t="n">
        <f aca="false">IF(P885&gt;=INDEX(球季參數!$F$2:$F$4,MATCH($A885,球季參數!$A$2:$A$4,0)),1,0)</f>
        <v>1</v>
      </c>
    </row>
    <row r="886" customFormat="false" ht="15" hidden="false" customHeight="false" outlineLevel="0" collapsed="false">
      <c r="A886" s="5" t="n">
        <v>2026</v>
      </c>
      <c r="B886" s="7" t="s">
        <v>1625</v>
      </c>
      <c r="C886" s="10" t="str">
        <f aca="false">INDEX(球員主檔!$B$2:$B$749,MATCH($B886,球員主檔!$A$2:$A$749,0))</f>
        <v>Marcus Iwasaki</v>
      </c>
      <c r="D886" s="7" t="s">
        <v>459</v>
      </c>
      <c r="E886" s="10" t="str">
        <f aca="false">INDEX(球隊主檔!$C$2:$C$31,MATCH($D886,球隊主檔!$A$2:$A$31,0))</f>
        <v>聖地牙哥教士</v>
      </c>
      <c r="F886" s="10" t="str">
        <f aca="false">INDEX(球隊主檔!$D$2:$D$31,MATCH($D886,球隊主檔!$A$2:$A$31,0))</f>
        <v>國聯</v>
      </c>
      <c r="G886" s="7" t="s">
        <v>496</v>
      </c>
      <c r="H886" s="11" t="n">
        <f aca="false">INT((DATE($A886,7,1)-INDEX(球員主檔!$G$2:$G$749,MATCH($B886,球員主檔!$A$2:$A$749,0)))/365.25)</f>
        <v>28</v>
      </c>
      <c r="I886" s="12" t="n">
        <v>6</v>
      </c>
      <c r="J886" s="12" t="n">
        <v>6</v>
      </c>
      <c r="K886" s="12" t="n">
        <v>0</v>
      </c>
      <c r="L886" s="12" t="n">
        <v>0</v>
      </c>
      <c r="M886" s="12" t="n">
        <v>17</v>
      </c>
      <c r="N886" s="12" t="n">
        <v>17</v>
      </c>
      <c r="O886" s="12" t="n">
        <v>256</v>
      </c>
      <c r="P886" s="16" t="n">
        <f aca="false">O886/3</f>
        <v>85.3333333333333</v>
      </c>
      <c r="Q886" s="17" t="str">
        <f aca="false">INT(O886/3)&amp;"."&amp;MOD(O886,3)</f>
        <v>85.1</v>
      </c>
      <c r="R886" s="12" t="n">
        <v>80</v>
      </c>
      <c r="S886" s="12" t="n">
        <v>49</v>
      </c>
      <c r="T886" s="12" t="n">
        <v>45</v>
      </c>
      <c r="U886" s="12" t="n">
        <v>9</v>
      </c>
      <c r="V886" s="12" t="n">
        <v>38</v>
      </c>
      <c r="W886" s="12" t="n">
        <v>123</v>
      </c>
      <c r="X886" s="12" t="n">
        <v>4</v>
      </c>
      <c r="Y886" s="18" t="n">
        <f aca="false">IF(O886=0,0,T886*27/O886)</f>
        <v>4.74609375</v>
      </c>
      <c r="Z886" s="18" t="n">
        <f aca="false">IF(P886=0,0,(V886+R886)/P886)</f>
        <v>1.3828125</v>
      </c>
      <c r="AA886" s="18" t="n">
        <f aca="false">IF(O886=0,0,W886*27/O886)</f>
        <v>12.97265625</v>
      </c>
      <c r="AB886" s="18" t="n">
        <f aca="false">IF(O886=0,0,V886*27/O886)</f>
        <v>4.0078125</v>
      </c>
      <c r="AC886" s="18" t="n">
        <f aca="false">IF(V886=0,0,W886/V886)</f>
        <v>3.23684210526316</v>
      </c>
      <c r="AD886" s="18" t="n">
        <f aca="false">IF(P886=0,0,(13*U886+3*(V886+X886)-2*W886)/P886+INDEX(球季參數!$C$2:$C$4,MATCH($A886,球季參數!$A$2:$A$4,0)))</f>
        <v>3.04484375</v>
      </c>
      <c r="AE886" s="11" t="n">
        <f aca="false">IF(P886&gt;=INDEX(球季參數!$F$2:$F$4,MATCH($A886,球季參數!$A$2:$A$4,0)),1,0)</f>
        <v>0</v>
      </c>
    </row>
    <row r="887" customFormat="false" ht="15" hidden="false" customHeight="false" outlineLevel="0" collapsed="false">
      <c r="A887" s="5" t="n">
        <v>2026</v>
      </c>
      <c r="B887" s="7" t="s">
        <v>1627</v>
      </c>
      <c r="C887" s="10" t="str">
        <f aca="false">INDEX(球員主檔!$B$2:$B$749,MATCH($B887,球員主檔!$A$2:$A$749,0))</f>
        <v>Leandro Halloway</v>
      </c>
      <c r="D887" s="7" t="s">
        <v>459</v>
      </c>
      <c r="E887" s="10" t="str">
        <f aca="false">INDEX(球隊主檔!$C$2:$C$31,MATCH($D887,球隊主檔!$A$2:$A$31,0))</f>
        <v>聖地牙哥教士</v>
      </c>
      <c r="F887" s="10" t="str">
        <f aca="false">INDEX(球隊主檔!$D$2:$D$31,MATCH($D887,球隊主檔!$A$2:$A$31,0))</f>
        <v>國聯</v>
      </c>
      <c r="G887" s="7" t="s">
        <v>507</v>
      </c>
      <c r="H887" s="11" t="n">
        <f aca="false">INT((DATE($A887,7,1)-INDEX(球員主檔!$G$2:$G$749,MATCH($B887,球員主檔!$A$2:$A$749,0)))/365.25)</f>
        <v>29</v>
      </c>
      <c r="I887" s="12" t="n">
        <v>8</v>
      </c>
      <c r="J887" s="12" t="n">
        <v>1</v>
      </c>
      <c r="K887" s="12" t="n">
        <v>37</v>
      </c>
      <c r="L887" s="12" t="n">
        <v>5</v>
      </c>
      <c r="M887" s="12" t="n">
        <v>59</v>
      </c>
      <c r="N887" s="12" t="n">
        <v>0</v>
      </c>
      <c r="O887" s="12" t="n">
        <v>161</v>
      </c>
      <c r="P887" s="16" t="n">
        <f aca="false">O887/3</f>
        <v>53.6666666666667</v>
      </c>
      <c r="Q887" s="17" t="str">
        <f aca="false">INT(O887/3)&amp;"."&amp;MOD(O887,3)</f>
        <v>53.2</v>
      </c>
      <c r="R887" s="12" t="n">
        <v>42</v>
      </c>
      <c r="S887" s="12" t="n">
        <v>26</v>
      </c>
      <c r="T887" s="12" t="n">
        <v>24</v>
      </c>
      <c r="U887" s="12" t="n">
        <v>9</v>
      </c>
      <c r="V887" s="12" t="n">
        <v>20</v>
      </c>
      <c r="W887" s="12" t="n">
        <v>50</v>
      </c>
      <c r="X887" s="12" t="n">
        <v>2</v>
      </c>
      <c r="Y887" s="18" t="n">
        <f aca="false">IF(O887=0,0,T887*27/O887)</f>
        <v>4.02484472049689</v>
      </c>
      <c r="Z887" s="18" t="n">
        <f aca="false">IF(P887=0,0,(V887+R887)/P887)</f>
        <v>1.15527950310559</v>
      </c>
      <c r="AA887" s="18" t="n">
        <f aca="false">IF(O887=0,0,W887*27/O887)</f>
        <v>8.38509316770186</v>
      </c>
      <c r="AB887" s="18" t="n">
        <f aca="false">IF(O887=0,0,V887*27/O887)</f>
        <v>3.35403726708075</v>
      </c>
      <c r="AC887" s="18" t="n">
        <f aca="false">IF(V887=0,0,W887/V887)</f>
        <v>2.5</v>
      </c>
      <c r="AD887" s="18" t="n">
        <f aca="false">IF(P887=0,0,(13*U887+3*(V887+X887)-2*W887)/P887+INDEX(球季參數!$C$2:$C$4,MATCH($A887,球季參數!$A$2:$A$4,0)))</f>
        <v>4.62658385093168</v>
      </c>
      <c r="AE887" s="11" t="n">
        <f aca="false">IF(P887&gt;=INDEX(球季參數!$F$2:$F$4,MATCH($A887,球季參數!$A$2:$A$4,0)),1,0)</f>
        <v>0</v>
      </c>
    </row>
    <row r="888" customFormat="false" ht="15" hidden="false" customHeight="false" outlineLevel="0" collapsed="false">
      <c r="A888" s="5" t="n">
        <v>2026</v>
      </c>
      <c r="B888" s="7" t="s">
        <v>1799</v>
      </c>
      <c r="C888" s="10" t="str">
        <f aca="false">INDEX(球員主檔!$B$2:$B$749,MATCH($B888,球員主檔!$A$2:$A$749,0))</f>
        <v>Rhett Caldera</v>
      </c>
      <c r="D888" s="7" t="s">
        <v>459</v>
      </c>
      <c r="E888" s="10" t="str">
        <f aca="false">INDEX(球隊主檔!$C$2:$C$31,MATCH($D888,球隊主檔!$A$2:$A$31,0))</f>
        <v>聖地牙哥教士</v>
      </c>
      <c r="F888" s="10" t="str">
        <f aca="false">INDEX(球隊主檔!$D$2:$D$31,MATCH($D888,球隊主檔!$A$2:$A$31,0))</f>
        <v>國聯</v>
      </c>
      <c r="G888" s="7" t="s">
        <v>507</v>
      </c>
      <c r="H888" s="11" t="n">
        <f aca="false">INT((DATE($A888,7,1)-INDEX(球員主檔!$G$2:$G$749,MATCH($B888,球員主檔!$A$2:$A$749,0)))/365.25)</f>
        <v>25</v>
      </c>
      <c r="I888" s="12" t="n">
        <v>9</v>
      </c>
      <c r="J888" s="12" t="n">
        <v>2</v>
      </c>
      <c r="K888" s="12" t="n">
        <v>3</v>
      </c>
      <c r="L888" s="12" t="n">
        <v>19</v>
      </c>
      <c r="M888" s="12" t="n">
        <v>45</v>
      </c>
      <c r="N888" s="12" t="n">
        <v>0</v>
      </c>
      <c r="O888" s="12" t="n">
        <v>135</v>
      </c>
      <c r="P888" s="16" t="n">
        <f aca="false">O888/3</f>
        <v>45</v>
      </c>
      <c r="Q888" s="17" t="str">
        <f aca="false">INT(O888/3)&amp;"."&amp;MOD(O888,3)</f>
        <v>45.0</v>
      </c>
      <c r="R888" s="12" t="n">
        <v>33</v>
      </c>
      <c r="S888" s="12" t="n">
        <v>11</v>
      </c>
      <c r="T888" s="12" t="n">
        <v>11</v>
      </c>
      <c r="U888" s="12" t="n">
        <v>6</v>
      </c>
      <c r="V888" s="12" t="n">
        <v>18</v>
      </c>
      <c r="W888" s="12" t="n">
        <v>53</v>
      </c>
      <c r="X888" s="12" t="n">
        <v>2</v>
      </c>
      <c r="Y888" s="18" t="n">
        <f aca="false">IF(O888=0,0,T888*27/O888)</f>
        <v>2.2</v>
      </c>
      <c r="Z888" s="18" t="n">
        <f aca="false">IF(P888=0,0,(V888+R888)/P888)</f>
        <v>1.13333333333333</v>
      </c>
      <c r="AA888" s="18" t="n">
        <f aca="false">IF(O888=0,0,W888*27/O888)</f>
        <v>10.6</v>
      </c>
      <c r="AB888" s="18" t="n">
        <f aca="false">IF(O888=0,0,V888*27/O888)</f>
        <v>3.6</v>
      </c>
      <c r="AC888" s="18" t="n">
        <f aca="false">IF(V888=0,0,W888/V888)</f>
        <v>2.94444444444444</v>
      </c>
      <c r="AD888" s="18" t="n">
        <f aca="false">IF(P888=0,0,(13*U888+3*(V888+X888)-2*W888)/P888+INDEX(球季參數!$C$2:$C$4,MATCH($A888,球季參數!$A$2:$A$4,0)))</f>
        <v>3.79111111111111</v>
      </c>
      <c r="AE888" s="11" t="n">
        <f aca="false">IF(P888&gt;=INDEX(球季參數!$F$2:$F$4,MATCH($A888,球季參數!$A$2:$A$4,0)),1,0)</f>
        <v>0</v>
      </c>
    </row>
    <row r="889" customFormat="false" ht="15" hidden="false" customHeight="false" outlineLevel="0" collapsed="false">
      <c r="A889" s="5" t="n">
        <v>2026</v>
      </c>
      <c r="B889" s="7" t="s">
        <v>1631</v>
      </c>
      <c r="C889" s="10" t="str">
        <f aca="false">INDEX(球員主檔!$B$2:$B$749,MATCH($B889,球員主檔!$A$2:$A$749,0))</f>
        <v>Everett Alcorn</v>
      </c>
      <c r="D889" s="7" t="s">
        <v>459</v>
      </c>
      <c r="E889" s="10" t="str">
        <f aca="false">INDEX(球隊主檔!$C$2:$C$31,MATCH($D889,球隊主檔!$A$2:$A$31,0))</f>
        <v>聖地牙哥教士</v>
      </c>
      <c r="F889" s="10" t="str">
        <f aca="false">INDEX(球隊主檔!$D$2:$D$31,MATCH($D889,球隊主檔!$A$2:$A$31,0))</f>
        <v>國聯</v>
      </c>
      <c r="G889" s="7" t="s">
        <v>507</v>
      </c>
      <c r="H889" s="11" t="n">
        <f aca="false">INT((DATE($A889,7,1)-INDEX(球員主檔!$G$2:$G$749,MATCH($B889,球員主檔!$A$2:$A$749,0)))/365.25)</f>
        <v>30</v>
      </c>
      <c r="I889" s="12" t="n">
        <v>3</v>
      </c>
      <c r="J889" s="12" t="n">
        <v>5</v>
      </c>
      <c r="K889" s="12" t="n">
        <v>6</v>
      </c>
      <c r="L889" s="12" t="n">
        <v>17</v>
      </c>
      <c r="M889" s="12" t="n">
        <v>41</v>
      </c>
      <c r="N889" s="12" t="n">
        <v>0</v>
      </c>
      <c r="O889" s="12" t="n">
        <v>117</v>
      </c>
      <c r="P889" s="16" t="n">
        <f aca="false">O889/3</f>
        <v>39</v>
      </c>
      <c r="Q889" s="17" t="str">
        <f aca="false">INT(O889/3)&amp;"."&amp;MOD(O889,3)</f>
        <v>39.0</v>
      </c>
      <c r="R889" s="12" t="n">
        <v>33</v>
      </c>
      <c r="S889" s="12" t="n">
        <v>20</v>
      </c>
      <c r="T889" s="12" t="n">
        <v>18</v>
      </c>
      <c r="U889" s="12" t="n">
        <v>4</v>
      </c>
      <c r="V889" s="12" t="n">
        <v>19</v>
      </c>
      <c r="W889" s="12" t="n">
        <v>40</v>
      </c>
      <c r="X889" s="12" t="n">
        <v>1</v>
      </c>
      <c r="Y889" s="18" t="n">
        <f aca="false">IF(O889=0,0,T889*27/O889)</f>
        <v>4.15384615384615</v>
      </c>
      <c r="Z889" s="18" t="n">
        <f aca="false">IF(P889=0,0,(V889+R889)/P889)</f>
        <v>1.33333333333333</v>
      </c>
      <c r="AA889" s="18" t="n">
        <f aca="false">IF(O889=0,0,W889*27/O889)</f>
        <v>9.23076923076923</v>
      </c>
      <c r="AB889" s="18" t="n">
        <f aca="false">IF(O889=0,0,V889*27/O889)</f>
        <v>4.38461538461539</v>
      </c>
      <c r="AC889" s="18" t="n">
        <f aca="false">IF(V889=0,0,W889/V889)</f>
        <v>2.10526315789474</v>
      </c>
      <c r="AD889" s="18" t="n">
        <f aca="false">IF(P889=0,0,(13*U889+3*(V889+X889)-2*W889)/P889+INDEX(球季參數!$C$2:$C$4,MATCH($A889,球季參數!$A$2:$A$4,0)))</f>
        <v>3.90051282051282</v>
      </c>
      <c r="AE889" s="11" t="n">
        <f aca="false">IF(P889&gt;=INDEX(球季參數!$F$2:$F$4,MATCH($A889,球季參數!$A$2:$A$4,0)),1,0)</f>
        <v>0</v>
      </c>
    </row>
    <row r="890" customFormat="false" ht="15" hidden="false" customHeight="false" outlineLevel="0" collapsed="false">
      <c r="A890" s="5" t="n">
        <v>2026</v>
      </c>
      <c r="B890" s="7" t="s">
        <v>987</v>
      </c>
      <c r="C890" s="10" t="str">
        <f aca="false">INDEX(球員主檔!$B$2:$B$749,MATCH($B890,球員主檔!$A$2:$A$749,0))</f>
        <v>Porter Quiroga</v>
      </c>
      <c r="D890" s="7" t="s">
        <v>459</v>
      </c>
      <c r="E890" s="10" t="str">
        <f aca="false">INDEX(球隊主檔!$C$2:$C$31,MATCH($D890,球隊主檔!$A$2:$A$31,0))</f>
        <v>聖地牙哥教士</v>
      </c>
      <c r="F890" s="10" t="str">
        <f aca="false">INDEX(球隊主檔!$D$2:$D$31,MATCH($D890,球隊主檔!$A$2:$A$31,0))</f>
        <v>國聯</v>
      </c>
      <c r="G890" s="7" t="s">
        <v>507</v>
      </c>
      <c r="H890" s="11" t="n">
        <f aca="false">INT((DATE($A890,7,1)-INDEX(球員主檔!$G$2:$G$749,MATCH($B890,球員主檔!$A$2:$A$749,0)))/365.25)</f>
        <v>26</v>
      </c>
      <c r="I890" s="12" t="n">
        <v>2</v>
      </c>
      <c r="J890" s="12" t="n">
        <v>1</v>
      </c>
      <c r="K890" s="12" t="n">
        <v>5</v>
      </c>
      <c r="L890" s="12" t="n">
        <v>33</v>
      </c>
      <c r="M890" s="12" t="n">
        <v>67</v>
      </c>
      <c r="N890" s="12" t="n">
        <v>0</v>
      </c>
      <c r="O890" s="12" t="n">
        <v>175</v>
      </c>
      <c r="P890" s="16" t="n">
        <f aca="false">O890/3</f>
        <v>58.3333333333333</v>
      </c>
      <c r="Q890" s="17" t="str">
        <f aca="false">INT(O890/3)&amp;"."&amp;MOD(O890,3)</f>
        <v>58.1</v>
      </c>
      <c r="R890" s="12" t="n">
        <v>57</v>
      </c>
      <c r="S890" s="12" t="n">
        <v>36</v>
      </c>
      <c r="T890" s="12" t="n">
        <v>35</v>
      </c>
      <c r="U890" s="12" t="n">
        <v>6</v>
      </c>
      <c r="V890" s="12" t="n">
        <v>17</v>
      </c>
      <c r="W890" s="12" t="n">
        <v>50</v>
      </c>
      <c r="X890" s="12" t="n">
        <v>3</v>
      </c>
      <c r="Y890" s="18" t="n">
        <f aca="false">IF(O890=0,0,T890*27/O890)</f>
        <v>5.4</v>
      </c>
      <c r="Z890" s="18" t="n">
        <f aca="false">IF(P890=0,0,(V890+R890)/P890)</f>
        <v>1.26857142857143</v>
      </c>
      <c r="AA890" s="18" t="n">
        <f aca="false">IF(O890=0,0,W890*27/O890)</f>
        <v>7.71428571428571</v>
      </c>
      <c r="AB890" s="18" t="n">
        <f aca="false">IF(O890=0,0,V890*27/O890)</f>
        <v>2.62285714285714</v>
      </c>
      <c r="AC890" s="18" t="n">
        <f aca="false">IF(V890=0,0,W890/V890)</f>
        <v>2.94117647058824</v>
      </c>
      <c r="AD890" s="18" t="n">
        <f aca="false">IF(P890=0,0,(13*U890+3*(V890+X890)-2*W890)/P890+INDEX(球季參數!$C$2:$C$4,MATCH($A890,球季參數!$A$2:$A$4,0)))</f>
        <v>3.73142857142857</v>
      </c>
      <c r="AE890" s="11" t="n">
        <f aca="false">IF(P890&gt;=INDEX(球季參數!$F$2:$F$4,MATCH($A890,球季參數!$A$2:$A$4,0)),1,0)</f>
        <v>0</v>
      </c>
    </row>
    <row r="891" customFormat="false" ht="15" hidden="false" customHeight="false" outlineLevel="0" collapsed="false">
      <c r="A891" s="5" t="n">
        <v>2026</v>
      </c>
      <c r="B891" s="7" t="s">
        <v>1635</v>
      </c>
      <c r="C891" s="10" t="str">
        <f aca="false">INDEX(球員主檔!$B$2:$B$749,MATCH($B891,球員主檔!$A$2:$A$749,0))</f>
        <v>Cedric Cavanaugh</v>
      </c>
      <c r="D891" s="7" t="s">
        <v>459</v>
      </c>
      <c r="E891" s="10" t="str">
        <f aca="false">INDEX(球隊主檔!$C$2:$C$31,MATCH($D891,球隊主檔!$A$2:$A$31,0))</f>
        <v>聖地牙哥教士</v>
      </c>
      <c r="F891" s="10" t="str">
        <f aca="false">INDEX(球隊主檔!$D$2:$D$31,MATCH($D891,球隊主檔!$A$2:$A$31,0))</f>
        <v>國聯</v>
      </c>
      <c r="G891" s="7" t="s">
        <v>507</v>
      </c>
      <c r="H891" s="11" t="n">
        <f aca="false">INT((DATE($A891,7,1)-INDEX(球員主檔!$G$2:$G$749,MATCH($B891,球員主檔!$A$2:$A$749,0)))/365.25)</f>
        <v>27</v>
      </c>
      <c r="I891" s="12" t="n">
        <v>2</v>
      </c>
      <c r="J891" s="12" t="n">
        <v>3</v>
      </c>
      <c r="K891" s="12" t="n">
        <v>4</v>
      </c>
      <c r="L891" s="12" t="n">
        <v>26</v>
      </c>
      <c r="M891" s="12" t="n">
        <v>62</v>
      </c>
      <c r="N891" s="12" t="n">
        <v>0</v>
      </c>
      <c r="O891" s="12" t="n">
        <v>207</v>
      </c>
      <c r="P891" s="16" t="n">
        <f aca="false">O891/3</f>
        <v>69</v>
      </c>
      <c r="Q891" s="17" t="str">
        <f aca="false">INT(O891/3)&amp;"."&amp;MOD(O891,3)</f>
        <v>69.0</v>
      </c>
      <c r="R891" s="12" t="n">
        <v>65</v>
      </c>
      <c r="S891" s="12" t="n">
        <v>41</v>
      </c>
      <c r="T891" s="12" t="n">
        <v>38</v>
      </c>
      <c r="U891" s="12" t="n">
        <v>10</v>
      </c>
      <c r="V891" s="12" t="n">
        <v>23</v>
      </c>
      <c r="W891" s="12" t="n">
        <v>97</v>
      </c>
      <c r="X891" s="12" t="n">
        <v>1</v>
      </c>
      <c r="Y891" s="18" t="n">
        <f aca="false">IF(O891=0,0,T891*27/O891)</f>
        <v>4.95652173913044</v>
      </c>
      <c r="Z891" s="18" t="n">
        <f aca="false">IF(P891=0,0,(V891+R891)/P891)</f>
        <v>1.27536231884058</v>
      </c>
      <c r="AA891" s="18" t="n">
        <f aca="false">IF(O891=0,0,W891*27/O891)</f>
        <v>12.6521739130435</v>
      </c>
      <c r="AB891" s="18" t="n">
        <f aca="false">IF(O891=0,0,V891*27/O891)</f>
        <v>3</v>
      </c>
      <c r="AC891" s="18" t="n">
        <f aca="false">IF(V891=0,0,W891/V891)</f>
        <v>4.21739130434783</v>
      </c>
      <c r="AD891" s="18" t="n">
        <f aca="false">IF(P891=0,0,(13*U891+3*(V891+X891)-2*W891)/P891+INDEX(球季參數!$C$2:$C$4,MATCH($A891,球季參數!$A$2:$A$4,0)))</f>
        <v>3.19594202898551</v>
      </c>
      <c r="AE891" s="11" t="n">
        <f aca="false">IF(P891&gt;=INDEX(球季參數!$F$2:$F$4,MATCH($A891,球季參數!$A$2:$A$4,0)),1,0)</f>
        <v>0</v>
      </c>
    </row>
    <row r="892" customFormat="false" ht="15" hidden="false" customHeight="false" outlineLevel="0" collapsed="false">
      <c r="A892" s="5" t="n">
        <v>2026</v>
      </c>
      <c r="B892" s="7" t="s">
        <v>1221</v>
      </c>
      <c r="C892" s="10" t="str">
        <f aca="false">INDEX(球員主檔!$B$2:$B$749,MATCH($B892,球員主檔!$A$2:$A$749,0))</f>
        <v>Yusuke Oyelaran</v>
      </c>
      <c r="D892" s="7" t="s">
        <v>463</v>
      </c>
      <c r="E892" s="10" t="str">
        <f aca="false">INDEX(球隊主檔!$C$2:$C$31,MATCH($D892,球隊主檔!$A$2:$A$31,0))</f>
        <v>舊金山巨人</v>
      </c>
      <c r="F892" s="10" t="str">
        <f aca="false">INDEX(球隊主檔!$D$2:$D$31,MATCH($D892,球隊主檔!$A$2:$A$31,0))</f>
        <v>國聯</v>
      </c>
      <c r="G892" s="7" t="s">
        <v>496</v>
      </c>
      <c r="H892" s="11" t="n">
        <f aca="false">INT((DATE($A892,7,1)-INDEX(球員主檔!$G$2:$G$749,MATCH($B892,球員主檔!$A$2:$A$749,0)))/365.25)</f>
        <v>36</v>
      </c>
      <c r="I892" s="12" t="n">
        <v>16</v>
      </c>
      <c r="J892" s="12" t="n">
        <v>7</v>
      </c>
      <c r="K892" s="12" t="n">
        <v>0</v>
      </c>
      <c r="L892" s="12" t="n">
        <v>0</v>
      </c>
      <c r="M892" s="12" t="n">
        <v>31</v>
      </c>
      <c r="N892" s="12" t="n">
        <v>31</v>
      </c>
      <c r="O892" s="12" t="n">
        <v>453</v>
      </c>
      <c r="P892" s="16" t="n">
        <f aca="false">O892/3</f>
        <v>151</v>
      </c>
      <c r="Q892" s="17" t="str">
        <f aca="false">INT(O892/3)&amp;"."&amp;MOD(O892,3)</f>
        <v>151.0</v>
      </c>
      <c r="R892" s="12" t="n">
        <v>127</v>
      </c>
      <c r="S892" s="12" t="n">
        <v>67</v>
      </c>
      <c r="T892" s="12" t="n">
        <v>62</v>
      </c>
      <c r="U892" s="12" t="n">
        <v>20</v>
      </c>
      <c r="V892" s="12" t="n">
        <v>56</v>
      </c>
      <c r="W892" s="12" t="n">
        <v>93</v>
      </c>
      <c r="X892" s="12" t="n">
        <v>8</v>
      </c>
      <c r="Y892" s="18" t="n">
        <f aca="false">IF(O892=0,0,T892*27/O892)</f>
        <v>3.6953642384106</v>
      </c>
      <c r="Z892" s="18" t="n">
        <f aca="false">IF(P892=0,0,(V892+R892)/P892)</f>
        <v>1.21192052980132</v>
      </c>
      <c r="AA892" s="18" t="n">
        <f aca="false">IF(O892=0,0,W892*27/O892)</f>
        <v>5.54304635761589</v>
      </c>
      <c r="AB892" s="18" t="n">
        <f aca="false">IF(O892=0,0,V892*27/O892)</f>
        <v>3.33774834437086</v>
      </c>
      <c r="AC892" s="18" t="n">
        <f aca="false">IF(V892=0,0,W892/V892)</f>
        <v>1.66071428571429</v>
      </c>
      <c r="AD892" s="18" t="n">
        <f aca="false">IF(P892=0,0,(13*U892+3*(V892+X892)-2*W892)/P892+INDEX(球季參數!$C$2:$C$4,MATCH($A892,球季參數!$A$2:$A$4,0)))</f>
        <v>4.84158940397351</v>
      </c>
      <c r="AE892" s="11" t="n">
        <f aca="false">IF(P892&gt;=INDEX(球季參數!$F$2:$F$4,MATCH($A892,球季參數!$A$2:$A$4,0)),1,0)</f>
        <v>0</v>
      </c>
    </row>
    <row r="893" customFormat="false" ht="15" hidden="false" customHeight="false" outlineLevel="0" collapsed="false">
      <c r="A893" s="5" t="n">
        <v>2026</v>
      </c>
      <c r="B893" s="7" t="s">
        <v>1659</v>
      </c>
      <c r="C893" s="10" t="str">
        <f aca="false">INDEX(球員主檔!$B$2:$B$749,MATCH($B893,球員主檔!$A$2:$A$749,0))</f>
        <v>Garrison Jaramillo</v>
      </c>
      <c r="D893" s="7" t="s">
        <v>463</v>
      </c>
      <c r="E893" s="10" t="str">
        <f aca="false">INDEX(球隊主檔!$C$2:$C$31,MATCH($D893,球隊主檔!$A$2:$A$31,0))</f>
        <v>舊金山巨人</v>
      </c>
      <c r="F893" s="10" t="str">
        <f aca="false">INDEX(球隊主檔!$D$2:$D$31,MATCH($D893,球隊主檔!$A$2:$A$31,0))</f>
        <v>國聯</v>
      </c>
      <c r="G893" s="7" t="s">
        <v>496</v>
      </c>
      <c r="H893" s="11" t="n">
        <f aca="false">INT((DATE($A893,7,1)-INDEX(球員主檔!$G$2:$G$749,MATCH($B893,球員主檔!$A$2:$A$749,0)))/365.25)</f>
        <v>31</v>
      </c>
      <c r="I893" s="12" t="n">
        <v>10</v>
      </c>
      <c r="J893" s="12" t="n">
        <v>7</v>
      </c>
      <c r="K893" s="12" t="n">
        <v>0</v>
      </c>
      <c r="L893" s="12" t="n">
        <v>0</v>
      </c>
      <c r="M893" s="12" t="n">
        <v>30</v>
      </c>
      <c r="N893" s="12" t="n">
        <v>30</v>
      </c>
      <c r="O893" s="12" t="n">
        <v>493</v>
      </c>
      <c r="P893" s="16" t="n">
        <f aca="false">O893/3</f>
        <v>164.333333333333</v>
      </c>
      <c r="Q893" s="17" t="str">
        <f aca="false">INT(O893/3)&amp;"."&amp;MOD(O893,3)</f>
        <v>164.1</v>
      </c>
      <c r="R893" s="12" t="n">
        <v>141</v>
      </c>
      <c r="S893" s="12" t="n">
        <v>83</v>
      </c>
      <c r="T893" s="12" t="n">
        <v>83</v>
      </c>
      <c r="U893" s="12" t="n">
        <v>22</v>
      </c>
      <c r="V893" s="12" t="n">
        <v>84</v>
      </c>
      <c r="W893" s="12" t="n">
        <v>154</v>
      </c>
      <c r="X893" s="12" t="n">
        <v>4</v>
      </c>
      <c r="Y893" s="18" t="n">
        <f aca="false">IF(O893=0,0,T893*27/O893)</f>
        <v>4.54563894523327</v>
      </c>
      <c r="Z893" s="18" t="n">
        <f aca="false">IF(P893=0,0,(V893+R893)/P893)</f>
        <v>1.36916835699797</v>
      </c>
      <c r="AA893" s="18" t="n">
        <f aca="false">IF(O893=0,0,W893*27/O893)</f>
        <v>8.43407707910751</v>
      </c>
      <c r="AB893" s="18" t="n">
        <f aca="false">IF(O893=0,0,V893*27/O893)</f>
        <v>4.60040567951319</v>
      </c>
      <c r="AC893" s="18" t="n">
        <f aca="false">IF(V893=0,0,W893/V893)</f>
        <v>1.83333333333333</v>
      </c>
      <c r="AD893" s="18" t="n">
        <f aca="false">IF(P893=0,0,(13*U893+3*(V893+X893)-2*W893)/P893+INDEX(球季參數!$C$2:$C$4,MATCH($A893,球季參數!$A$2:$A$4,0)))</f>
        <v>4.55261663286004</v>
      </c>
      <c r="AE893" s="11" t="n">
        <f aca="false">IF(P893&gt;=INDEX(球季參數!$F$2:$F$4,MATCH($A893,球季參數!$A$2:$A$4,0)),1,0)</f>
        <v>1</v>
      </c>
    </row>
    <row r="894" customFormat="false" ht="15" hidden="false" customHeight="false" outlineLevel="0" collapsed="false">
      <c r="A894" s="5" t="n">
        <v>2026</v>
      </c>
      <c r="B894" s="7" t="s">
        <v>1807</v>
      </c>
      <c r="C894" s="10" t="str">
        <f aca="false">INDEX(球員主檔!$B$2:$B$749,MATCH($B894,球員主檔!$A$2:$A$749,0))</f>
        <v>Wyatt Haverford</v>
      </c>
      <c r="D894" s="7" t="s">
        <v>463</v>
      </c>
      <c r="E894" s="10" t="str">
        <f aca="false">INDEX(球隊主檔!$C$2:$C$31,MATCH($D894,球隊主檔!$A$2:$A$31,0))</f>
        <v>舊金山巨人</v>
      </c>
      <c r="F894" s="10" t="str">
        <f aca="false">INDEX(球隊主檔!$D$2:$D$31,MATCH($D894,球隊主檔!$A$2:$A$31,0))</f>
        <v>國聯</v>
      </c>
      <c r="G894" s="7" t="s">
        <v>496</v>
      </c>
      <c r="H894" s="11" t="n">
        <f aca="false">INT((DATE($A894,7,1)-INDEX(球員主檔!$G$2:$G$749,MATCH($B894,球員主檔!$A$2:$A$749,0)))/365.25)</f>
        <v>23</v>
      </c>
      <c r="I894" s="12" t="n">
        <v>10</v>
      </c>
      <c r="J894" s="12" t="n">
        <v>6</v>
      </c>
      <c r="K894" s="12" t="n">
        <v>0</v>
      </c>
      <c r="L894" s="12" t="n">
        <v>0</v>
      </c>
      <c r="M894" s="12" t="n">
        <v>23</v>
      </c>
      <c r="N894" s="12" t="n">
        <v>23</v>
      </c>
      <c r="O894" s="12" t="n">
        <v>357</v>
      </c>
      <c r="P894" s="16" t="n">
        <f aca="false">O894/3</f>
        <v>119</v>
      </c>
      <c r="Q894" s="17" t="str">
        <f aca="false">INT(O894/3)&amp;"."&amp;MOD(O894,3)</f>
        <v>119.0</v>
      </c>
      <c r="R894" s="12" t="n">
        <v>105</v>
      </c>
      <c r="S894" s="12" t="n">
        <v>58</v>
      </c>
      <c r="T894" s="12" t="n">
        <v>55</v>
      </c>
      <c r="U894" s="12" t="n">
        <v>13</v>
      </c>
      <c r="V894" s="12" t="n">
        <v>59</v>
      </c>
      <c r="W894" s="12" t="n">
        <v>95</v>
      </c>
      <c r="X894" s="12" t="n">
        <v>7</v>
      </c>
      <c r="Y894" s="18" t="n">
        <f aca="false">IF(O894=0,0,T894*27/O894)</f>
        <v>4.15966386554622</v>
      </c>
      <c r="Z894" s="18" t="n">
        <f aca="false">IF(P894=0,0,(V894+R894)/P894)</f>
        <v>1.3781512605042</v>
      </c>
      <c r="AA894" s="18" t="n">
        <f aca="false">IF(O894=0,0,W894*27/O894)</f>
        <v>7.18487394957983</v>
      </c>
      <c r="AB894" s="18" t="n">
        <f aca="false">IF(O894=0,0,V894*27/O894)</f>
        <v>4.46218487394958</v>
      </c>
      <c r="AC894" s="18" t="n">
        <f aca="false">IF(V894=0,0,W894/V894)</f>
        <v>1.61016949152542</v>
      </c>
      <c r="AD894" s="18" t="n">
        <f aca="false">IF(P894=0,0,(13*U894+3*(V894+X894)-2*W894)/P894+INDEX(球季參數!$C$2:$C$4,MATCH($A894,球季參數!$A$2:$A$4,0)))</f>
        <v>4.56739495798319</v>
      </c>
      <c r="AE894" s="11" t="n">
        <f aca="false">IF(P894&gt;=INDEX(球季參數!$F$2:$F$4,MATCH($A894,球季參數!$A$2:$A$4,0)),1,0)</f>
        <v>0</v>
      </c>
    </row>
    <row r="895" customFormat="false" ht="15" hidden="false" customHeight="false" outlineLevel="0" collapsed="false">
      <c r="A895" s="5" t="n">
        <v>2026</v>
      </c>
      <c r="B895" s="7" t="s">
        <v>1663</v>
      </c>
      <c r="C895" s="10" t="str">
        <f aca="false">INDEX(球員主檔!$B$2:$B$749,MATCH($B895,球員主檔!$A$2:$A$749,0))</f>
        <v>Joaquín Jovanović</v>
      </c>
      <c r="D895" s="7" t="s">
        <v>463</v>
      </c>
      <c r="E895" s="10" t="str">
        <f aca="false">INDEX(球隊主檔!$C$2:$C$31,MATCH($D895,球隊主檔!$A$2:$A$31,0))</f>
        <v>舊金山巨人</v>
      </c>
      <c r="F895" s="10" t="str">
        <f aca="false">INDEX(球隊主檔!$D$2:$D$31,MATCH($D895,球隊主檔!$A$2:$A$31,0))</f>
        <v>國聯</v>
      </c>
      <c r="G895" s="7" t="s">
        <v>496</v>
      </c>
      <c r="H895" s="11" t="n">
        <f aca="false">INT((DATE($A895,7,1)-INDEX(球員主檔!$G$2:$G$749,MATCH($B895,球員主檔!$A$2:$A$749,0)))/365.25)</f>
        <v>29</v>
      </c>
      <c r="I895" s="12" t="n">
        <v>11</v>
      </c>
      <c r="J895" s="12" t="n">
        <v>4</v>
      </c>
      <c r="K895" s="12" t="n">
        <v>0</v>
      </c>
      <c r="L895" s="12" t="n">
        <v>0</v>
      </c>
      <c r="M895" s="12" t="n">
        <v>25</v>
      </c>
      <c r="N895" s="12" t="n">
        <v>25</v>
      </c>
      <c r="O895" s="12" t="n">
        <v>463</v>
      </c>
      <c r="P895" s="16" t="n">
        <f aca="false">O895/3</f>
        <v>154.333333333333</v>
      </c>
      <c r="Q895" s="17" t="str">
        <f aca="false">INT(O895/3)&amp;"."&amp;MOD(O895,3)</f>
        <v>154.1</v>
      </c>
      <c r="R895" s="12" t="n">
        <v>114</v>
      </c>
      <c r="S895" s="12" t="n">
        <v>65</v>
      </c>
      <c r="T895" s="12" t="n">
        <v>58</v>
      </c>
      <c r="U895" s="12" t="n">
        <v>28</v>
      </c>
      <c r="V895" s="12" t="n">
        <v>78</v>
      </c>
      <c r="W895" s="12" t="n">
        <v>186</v>
      </c>
      <c r="X895" s="12" t="n">
        <v>7</v>
      </c>
      <c r="Y895" s="18" t="n">
        <f aca="false">IF(O895=0,0,T895*27/O895)</f>
        <v>3.38228941684665</v>
      </c>
      <c r="Z895" s="18" t="n">
        <f aca="false">IF(P895=0,0,(V895+R895)/P895)</f>
        <v>1.24406047516199</v>
      </c>
      <c r="AA895" s="18" t="n">
        <f aca="false">IF(O895=0,0,W895*27/O895)</f>
        <v>10.8466522678186</v>
      </c>
      <c r="AB895" s="18" t="n">
        <f aca="false">IF(O895=0,0,V895*27/O895)</f>
        <v>4.54859611231102</v>
      </c>
      <c r="AC895" s="18" t="n">
        <f aca="false">IF(V895=0,0,W895/V895)</f>
        <v>2.38461538461538</v>
      </c>
      <c r="AD895" s="18" t="n">
        <f aca="false">IF(P895=0,0,(13*U895+3*(V895+X895)-2*W895)/P895+INDEX(球季參數!$C$2:$C$4,MATCH($A895,球季參數!$A$2:$A$4,0)))</f>
        <v>4.68043196544276</v>
      </c>
      <c r="AE895" s="11" t="n">
        <f aca="false">IF(P895&gt;=INDEX(球季參數!$F$2:$F$4,MATCH($A895,球季參數!$A$2:$A$4,0)),1,0)</f>
        <v>0</v>
      </c>
    </row>
    <row r="896" customFormat="false" ht="15" hidden="false" customHeight="false" outlineLevel="0" collapsed="false">
      <c r="A896" s="5" t="n">
        <v>2026</v>
      </c>
      <c r="B896" s="7" t="s">
        <v>1665</v>
      </c>
      <c r="C896" s="10" t="str">
        <f aca="false">INDEX(球員主檔!$B$2:$B$749,MATCH($B896,球員主檔!$A$2:$A$749,0))</f>
        <v>Wyatt Wainwright</v>
      </c>
      <c r="D896" s="7" t="s">
        <v>463</v>
      </c>
      <c r="E896" s="10" t="str">
        <f aca="false">INDEX(球隊主檔!$C$2:$C$31,MATCH($D896,球隊主檔!$A$2:$A$31,0))</f>
        <v>舊金山巨人</v>
      </c>
      <c r="F896" s="10" t="str">
        <f aca="false">INDEX(球隊主檔!$D$2:$D$31,MATCH($D896,球隊主檔!$A$2:$A$31,0))</f>
        <v>國聯</v>
      </c>
      <c r="G896" s="7" t="s">
        <v>496</v>
      </c>
      <c r="H896" s="11" t="n">
        <f aca="false">INT((DATE($A896,7,1)-INDEX(球員主檔!$G$2:$G$749,MATCH($B896,球員主檔!$A$2:$A$749,0)))/365.25)</f>
        <v>29</v>
      </c>
      <c r="I896" s="12" t="n">
        <v>12</v>
      </c>
      <c r="J896" s="12" t="n">
        <v>4</v>
      </c>
      <c r="K896" s="12" t="n">
        <v>0</v>
      </c>
      <c r="L896" s="12" t="n">
        <v>0</v>
      </c>
      <c r="M896" s="12" t="n">
        <v>23</v>
      </c>
      <c r="N896" s="12" t="n">
        <v>23</v>
      </c>
      <c r="O896" s="12" t="n">
        <v>409</v>
      </c>
      <c r="P896" s="16" t="n">
        <f aca="false">O896/3</f>
        <v>136.333333333333</v>
      </c>
      <c r="Q896" s="17" t="str">
        <f aca="false">INT(O896/3)&amp;"."&amp;MOD(O896,3)</f>
        <v>136.1</v>
      </c>
      <c r="R896" s="12" t="n">
        <v>90</v>
      </c>
      <c r="S896" s="12" t="n">
        <v>45</v>
      </c>
      <c r="T896" s="12" t="n">
        <v>42</v>
      </c>
      <c r="U896" s="12" t="n">
        <v>14</v>
      </c>
      <c r="V896" s="12" t="n">
        <v>55</v>
      </c>
      <c r="W896" s="12" t="n">
        <v>124</v>
      </c>
      <c r="X896" s="12" t="n">
        <v>5</v>
      </c>
      <c r="Y896" s="18" t="n">
        <f aca="false">IF(O896=0,0,T896*27/O896)</f>
        <v>2.77261613691932</v>
      </c>
      <c r="Z896" s="18" t="n">
        <f aca="false">IF(P896=0,0,(V896+R896)/P896)</f>
        <v>1.06356968215159</v>
      </c>
      <c r="AA896" s="18" t="n">
        <f aca="false">IF(O896=0,0,W896*27/O896)</f>
        <v>8.18581907090465</v>
      </c>
      <c r="AB896" s="18" t="n">
        <f aca="false">IF(O896=0,0,V896*27/O896)</f>
        <v>3.63080684596577</v>
      </c>
      <c r="AC896" s="18" t="n">
        <f aca="false">IF(V896=0,0,W896/V896)</f>
        <v>2.25454545454545</v>
      </c>
      <c r="AD896" s="18" t="n">
        <f aca="false">IF(P896=0,0,(13*U896+3*(V896+X896)-2*W896)/P896+INDEX(球季參數!$C$2:$C$4,MATCH($A896,球季參數!$A$2:$A$4,0)))</f>
        <v>3.91618581907091</v>
      </c>
      <c r="AE896" s="11" t="n">
        <f aca="false">IF(P896&gt;=INDEX(球季參數!$F$2:$F$4,MATCH($A896,球季參數!$A$2:$A$4,0)),1,0)</f>
        <v>0</v>
      </c>
    </row>
    <row r="897" customFormat="false" ht="15" hidden="false" customHeight="false" outlineLevel="0" collapsed="false">
      <c r="A897" s="5" t="n">
        <v>2026</v>
      </c>
      <c r="B897" s="7" t="s">
        <v>619</v>
      </c>
      <c r="C897" s="10" t="str">
        <f aca="false">INDEX(球員主檔!$B$2:$B$749,MATCH($B897,球員主檔!$A$2:$A$749,0))</f>
        <v>Quentin Lindquist</v>
      </c>
      <c r="D897" s="7" t="s">
        <v>463</v>
      </c>
      <c r="E897" s="10" t="str">
        <f aca="false">INDEX(球隊主檔!$C$2:$C$31,MATCH($D897,球隊主檔!$A$2:$A$31,0))</f>
        <v>舊金山巨人</v>
      </c>
      <c r="F897" s="10" t="str">
        <f aca="false">INDEX(球隊主檔!$D$2:$D$31,MATCH($D897,球隊主檔!$A$2:$A$31,0))</f>
        <v>國聯</v>
      </c>
      <c r="G897" s="7" t="s">
        <v>507</v>
      </c>
      <c r="H897" s="11" t="n">
        <f aca="false">INT((DATE($A897,7,1)-INDEX(球員主檔!$G$2:$G$749,MATCH($B897,球員主檔!$A$2:$A$749,0)))/365.25)</f>
        <v>36</v>
      </c>
      <c r="I897" s="12" t="n">
        <v>0</v>
      </c>
      <c r="J897" s="12" t="n">
        <v>0</v>
      </c>
      <c r="K897" s="12" t="n">
        <v>4</v>
      </c>
      <c r="L897" s="12" t="n">
        <v>16</v>
      </c>
      <c r="M897" s="12" t="n">
        <v>68</v>
      </c>
      <c r="N897" s="12" t="n">
        <v>0</v>
      </c>
      <c r="O897" s="12" t="n">
        <v>227</v>
      </c>
      <c r="P897" s="16" t="n">
        <f aca="false">O897/3</f>
        <v>75.6666666666667</v>
      </c>
      <c r="Q897" s="17" t="str">
        <f aca="false">INT(O897/3)&amp;"."&amp;MOD(O897,3)</f>
        <v>75.2</v>
      </c>
      <c r="R897" s="12" t="n">
        <v>61</v>
      </c>
      <c r="S897" s="12" t="n">
        <v>41</v>
      </c>
      <c r="T897" s="12" t="n">
        <v>37</v>
      </c>
      <c r="U897" s="12" t="n">
        <v>11</v>
      </c>
      <c r="V897" s="12" t="n">
        <v>17</v>
      </c>
      <c r="W897" s="12" t="n">
        <v>68</v>
      </c>
      <c r="X897" s="12" t="n">
        <v>2</v>
      </c>
      <c r="Y897" s="18" t="n">
        <f aca="false">IF(O897=0,0,T897*27/O897)</f>
        <v>4.40088105726872</v>
      </c>
      <c r="Z897" s="18" t="n">
        <f aca="false">IF(P897=0,0,(V897+R897)/P897)</f>
        <v>1.03083700440529</v>
      </c>
      <c r="AA897" s="18" t="n">
        <f aca="false">IF(O897=0,0,W897*27/O897)</f>
        <v>8.08810572687225</v>
      </c>
      <c r="AB897" s="18" t="n">
        <f aca="false">IF(O897=0,0,V897*27/O897)</f>
        <v>2.02202643171806</v>
      </c>
      <c r="AC897" s="18" t="n">
        <f aca="false">IF(V897=0,0,W897/V897)</f>
        <v>4</v>
      </c>
      <c r="AD897" s="18" t="n">
        <f aca="false">IF(P897=0,0,(13*U897+3*(V897+X897)-2*W897)/P897+INDEX(球季參數!$C$2:$C$4,MATCH($A897,球季參數!$A$2:$A$4,0)))</f>
        <v>3.92581497797357</v>
      </c>
      <c r="AE897" s="11" t="n">
        <f aca="false">IF(P897&gt;=INDEX(球季參數!$F$2:$F$4,MATCH($A897,球季參數!$A$2:$A$4,0)),1,0)</f>
        <v>0</v>
      </c>
    </row>
    <row r="898" customFormat="false" ht="15" hidden="false" customHeight="false" outlineLevel="0" collapsed="false">
      <c r="A898" s="5" t="n">
        <v>2026</v>
      </c>
      <c r="B898" s="7" t="s">
        <v>1669</v>
      </c>
      <c r="C898" s="10" t="str">
        <f aca="false">INDEX(球員主檔!$B$2:$B$749,MATCH($B898,球員主檔!$A$2:$A$749,0))</f>
        <v>Rintaro Gallimore</v>
      </c>
      <c r="D898" s="7" t="s">
        <v>463</v>
      </c>
      <c r="E898" s="10" t="str">
        <f aca="false">INDEX(球隊主檔!$C$2:$C$31,MATCH($D898,球隊主檔!$A$2:$A$31,0))</f>
        <v>舊金山巨人</v>
      </c>
      <c r="F898" s="10" t="str">
        <f aca="false">INDEX(球隊主檔!$D$2:$D$31,MATCH($D898,球隊主檔!$A$2:$A$31,0))</f>
        <v>國聯</v>
      </c>
      <c r="G898" s="7" t="s">
        <v>507</v>
      </c>
      <c r="H898" s="11" t="n">
        <f aca="false">INT((DATE($A898,7,1)-INDEX(球員主檔!$G$2:$G$749,MATCH($B898,球員主檔!$A$2:$A$749,0)))/365.25)</f>
        <v>30</v>
      </c>
      <c r="I898" s="12" t="n">
        <v>5</v>
      </c>
      <c r="J898" s="12" t="n">
        <v>3</v>
      </c>
      <c r="K898" s="12" t="n">
        <v>0</v>
      </c>
      <c r="L898" s="12" t="n">
        <v>17</v>
      </c>
      <c r="M898" s="12" t="n">
        <v>58</v>
      </c>
      <c r="N898" s="12" t="n">
        <v>0</v>
      </c>
      <c r="O898" s="12" t="n">
        <v>183</v>
      </c>
      <c r="P898" s="16" t="n">
        <f aca="false">O898/3</f>
        <v>61</v>
      </c>
      <c r="Q898" s="17" t="str">
        <f aca="false">INT(O898/3)&amp;"."&amp;MOD(O898,3)</f>
        <v>61.0</v>
      </c>
      <c r="R898" s="12" t="n">
        <v>57</v>
      </c>
      <c r="S898" s="12" t="n">
        <v>43</v>
      </c>
      <c r="T898" s="12" t="n">
        <v>40</v>
      </c>
      <c r="U898" s="12" t="n">
        <v>14</v>
      </c>
      <c r="V898" s="12" t="n">
        <v>21</v>
      </c>
      <c r="W898" s="12" t="n">
        <v>58</v>
      </c>
      <c r="X898" s="12" t="n">
        <v>2</v>
      </c>
      <c r="Y898" s="18" t="n">
        <f aca="false">IF(O898=0,0,T898*27/O898)</f>
        <v>5.9016393442623</v>
      </c>
      <c r="Z898" s="18" t="n">
        <f aca="false">IF(P898=0,0,(V898+R898)/P898)</f>
        <v>1.27868852459016</v>
      </c>
      <c r="AA898" s="18" t="n">
        <f aca="false">IF(O898=0,0,W898*27/O898)</f>
        <v>8.55737704918033</v>
      </c>
      <c r="AB898" s="18" t="n">
        <f aca="false">IF(O898=0,0,V898*27/O898)</f>
        <v>3.09836065573771</v>
      </c>
      <c r="AC898" s="18" t="n">
        <f aca="false">IF(V898=0,0,W898/V898)</f>
        <v>2.76190476190476</v>
      </c>
      <c r="AD898" s="18" t="n">
        <f aca="false">IF(P898=0,0,(13*U898+3*(V898+X898)-2*W898)/P898+INDEX(球季參數!$C$2:$C$4,MATCH($A898,球季參數!$A$2:$A$4,0)))</f>
        <v>5.29311475409836</v>
      </c>
      <c r="AE898" s="11" t="n">
        <f aca="false">IF(P898&gt;=INDEX(球季參數!$F$2:$F$4,MATCH($A898,球季參數!$A$2:$A$4,0)),1,0)</f>
        <v>0</v>
      </c>
    </row>
    <row r="899" customFormat="false" ht="15" hidden="false" customHeight="false" outlineLevel="0" collapsed="false">
      <c r="A899" s="5" t="n">
        <v>2026</v>
      </c>
      <c r="B899" s="7" t="s">
        <v>1809</v>
      </c>
      <c r="C899" s="10" t="str">
        <f aca="false">INDEX(球員主檔!$B$2:$B$749,MATCH($B899,球員主檔!$A$2:$A$749,0))</f>
        <v>Everett Thorsby</v>
      </c>
      <c r="D899" s="7" t="s">
        <v>463</v>
      </c>
      <c r="E899" s="10" t="str">
        <f aca="false">INDEX(球隊主檔!$C$2:$C$31,MATCH($D899,球隊主檔!$A$2:$A$31,0))</f>
        <v>舊金山巨人</v>
      </c>
      <c r="F899" s="10" t="str">
        <f aca="false">INDEX(球隊主檔!$D$2:$D$31,MATCH($D899,球隊主檔!$A$2:$A$31,0))</f>
        <v>國聯</v>
      </c>
      <c r="G899" s="7" t="s">
        <v>507</v>
      </c>
      <c r="H899" s="11" t="n">
        <f aca="false">INT((DATE($A899,7,1)-INDEX(球員主檔!$G$2:$G$749,MATCH($B899,球員主檔!$A$2:$A$749,0)))/365.25)</f>
        <v>21</v>
      </c>
      <c r="I899" s="12" t="n">
        <v>2</v>
      </c>
      <c r="J899" s="12" t="n">
        <v>2</v>
      </c>
      <c r="K899" s="12" t="n">
        <v>5</v>
      </c>
      <c r="L899" s="12" t="n">
        <v>17</v>
      </c>
      <c r="M899" s="12" t="n">
        <v>52</v>
      </c>
      <c r="N899" s="12" t="n">
        <v>0</v>
      </c>
      <c r="O899" s="12" t="n">
        <v>140</v>
      </c>
      <c r="P899" s="16" t="n">
        <f aca="false">O899/3</f>
        <v>46.6666666666667</v>
      </c>
      <c r="Q899" s="17" t="str">
        <f aca="false">INT(O899/3)&amp;"."&amp;MOD(O899,3)</f>
        <v>46.2</v>
      </c>
      <c r="R899" s="12" t="n">
        <v>42</v>
      </c>
      <c r="S899" s="12" t="n">
        <v>25</v>
      </c>
      <c r="T899" s="12" t="n">
        <v>23</v>
      </c>
      <c r="U899" s="12" t="n">
        <v>3</v>
      </c>
      <c r="V899" s="12" t="n">
        <v>15</v>
      </c>
      <c r="W899" s="12" t="n">
        <v>40</v>
      </c>
      <c r="X899" s="12" t="n">
        <v>1</v>
      </c>
      <c r="Y899" s="18" t="n">
        <f aca="false">IF(O899=0,0,T899*27/O899)</f>
        <v>4.43571428571429</v>
      </c>
      <c r="Z899" s="18" t="n">
        <f aca="false">IF(P899=0,0,(V899+R899)/P899)</f>
        <v>1.22142857142857</v>
      </c>
      <c r="AA899" s="18" t="n">
        <f aca="false">IF(O899=0,0,W899*27/O899)</f>
        <v>7.71428571428571</v>
      </c>
      <c r="AB899" s="18" t="n">
        <f aca="false">IF(O899=0,0,V899*27/O899)</f>
        <v>2.89285714285714</v>
      </c>
      <c r="AC899" s="18" t="n">
        <f aca="false">IF(V899=0,0,W899/V899)</f>
        <v>2.66666666666667</v>
      </c>
      <c r="AD899" s="18" t="n">
        <f aca="false">IF(P899=0,0,(13*U899+3*(V899+X899)-2*W899)/P899+INDEX(球季參數!$C$2:$C$4,MATCH($A899,球季參數!$A$2:$A$4,0)))</f>
        <v>3.23</v>
      </c>
      <c r="AE899" s="11" t="n">
        <f aca="false">IF(P899&gt;=INDEX(球季參數!$F$2:$F$4,MATCH($A899,球季參數!$A$2:$A$4,0)),1,0)</f>
        <v>0</v>
      </c>
    </row>
    <row r="900" customFormat="false" ht="15" hidden="false" customHeight="false" outlineLevel="0" collapsed="false">
      <c r="A900" s="5" t="n">
        <v>2026</v>
      </c>
      <c r="B900" s="7" t="s">
        <v>737</v>
      </c>
      <c r="C900" s="10" t="str">
        <f aca="false">INDEX(球員主檔!$B$2:$B$749,MATCH($B900,球員主檔!$A$2:$A$749,0))</f>
        <v>Rhett Ibarra</v>
      </c>
      <c r="D900" s="7" t="s">
        <v>463</v>
      </c>
      <c r="E900" s="10" t="str">
        <f aca="false">INDEX(球隊主檔!$C$2:$C$31,MATCH($D900,球隊主檔!$A$2:$A$31,0))</f>
        <v>舊金山巨人</v>
      </c>
      <c r="F900" s="10" t="str">
        <f aca="false">INDEX(球隊主檔!$D$2:$D$31,MATCH($D900,球隊主檔!$A$2:$A$31,0))</f>
        <v>國聯</v>
      </c>
      <c r="G900" s="7" t="s">
        <v>507</v>
      </c>
      <c r="H900" s="11" t="n">
        <f aca="false">INT((DATE($A900,7,1)-INDEX(球員主檔!$G$2:$G$749,MATCH($B900,球員主檔!$A$2:$A$749,0)))/365.25)</f>
        <v>32</v>
      </c>
      <c r="I900" s="12" t="n">
        <v>5</v>
      </c>
      <c r="J900" s="12" t="n">
        <v>5</v>
      </c>
      <c r="K900" s="12" t="n">
        <v>2</v>
      </c>
      <c r="L900" s="12" t="n">
        <v>5</v>
      </c>
      <c r="M900" s="12" t="n">
        <v>38</v>
      </c>
      <c r="N900" s="12" t="n">
        <v>0</v>
      </c>
      <c r="O900" s="12" t="n">
        <v>125</v>
      </c>
      <c r="P900" s="16" t="n">
        <f aca="false">O900/3</f>
        <v>41.6666666666667</v>
      </c>
      <c r="Q900" s="17" t="str">
        <f aca="false">INT(O900/3)&amp;"."&amp;MOD(O900,3)</f>
        <v>41.2</v>
      </c>
      <c r="R900" s="12" t="n">
        <v>35</v>
      </c>
      <c r="S900" s="12" t="n">
        <v>17</v>
      </c>
      <c r="T900" s="12" t="n">
        <v>17</v>
      </c>
      <c r="U900" s="12" t="n">
        <v>6</v>
      </c>
      <c r="V900" s="12" t="n">
        <v>13</v>
      </c>
      <c r="W900" s="12" t="n">
        <v>43</v>
      </c>
      <c r="X900" s="12" t="n">
        <v>1</v>
      </c>
      <c r="Y900" s="18" t="n">
        <f aca="false">IF(O900=0,0,T900*27/O900)</f>
        <v>3.672</v>
      </c>
      <c r="Z900" s="18" t="n">
        <f aca="false">IF(P900=0,0,(V900+R900)/P900)</f>
        <v>1.152</v>
      </c>
      <c r="AA900" s="18" t="n">
        <f aca="false">IF(O900=0,0,W900*27/O900)</f>
        <v>9.288</v>
      </c>
      <c r="AB900" s="18" t="n">
        <f aca="false">IF(O900=0,0,V900*27/O900)</f>
        <v>2.808</v>
      </c>
      <c r="AC900" s="18" t="n">
        <f aca="false">IF(V900=0,0,W900/V900)</f>
        <v>3.30769230769231</v>
      </c>
      <c r="AD900" s="18" t="n">
        <f aca="false">IF(P900=0,0,(13*U900+3*(V900+X900)-2*W900)/P900+INDEX(球季參數!$C$2:$C$4,MATCH($A900,球季參數!$A$2:$A$4,0)))</f>
        <v>3.896</v>
      </c>
      <c r="AE900" s="11" t="n">
        <f aca="false">IF(P900&gt;=INDEX(球季參數!$F$2:$F$4,MATCH($A900,球季參數!$A$2:$A$4,0)),1,0)</f>
        <v>0</v>
      </c>
    </row>
    <row r="901" customFormat="false" ht="15" hidden="false" customHeight="false" outlineLevel="0" collapsed="false">
      <c r="A901" s="5" t="n">
        <v>2026</v>
      </c>
      <c r="B901" s="7" t="s">
        <v>1675</v>
      </c>
      <c r="C901" s="10" t="str">
        <f aca="false">INDEX(球員主檔!$B$2:$B$749,MATCH($B901,球員主檔!$A$2:$A$749,0))</f>
        <v>Lorenzo Novotný</v>
      </c>
      <c r="D901" s="7" t="s">
        <v>463</v>
      </c>
      <c r="E901" s="10" t="str">
        <f aca="false">INDEX(球隊主檔!$C$2:$C$31,MATCH($D901,球隊主檔!$A$2:$A$31,0))</f>
        <v>舊金山巨人</v>
      </c>
      <c r="F901" s="10" t="str">
        <f aca="false">INDEX(球隊主檔!$D$2:$D$31,MATCH($D901,球隊主檔!$A$2:$A$31,0))</f>
        <v>國聯</v>
      </c>
      <c r="G901" s="7" t="s">
        <v>507</v>
      </c>
      <c r="H901" s="11" t="n">
        <f aca="false">INT((DATE($A901,7,1)-INDEX(球員主檔!$G$2:$G$749,MATCH($B901,球員主檔!$A$2:$A$749,0)))/365.25)</f>
        <v>31</v>
      </c>
      <c r="I901" s="12" t="n">
        <v>4</v>
      </c>
      <c r="J901" s="12" t="n">
        <v>8</v>
      </c>
      <c r="K901" s="12" t="n">
        <v>1</v>
      </c>
      <c r="L901" s="12" t="n">
        <v>11</v>
      </c>
      <c r="M901" s="12" t="n">
        <v>73</v>
      </c>
      <c r="N901" s="12" t="n">
        <v>0</v>
      </c>
      <c r="O901" s="12" t="n">
        <v>191</v>
      </c>
      <c r="P901" s="16" t="n">
        <f aca="false">O901/3</f>
        <v>63.6666666666667</v>
      </c>
      <c r="Q901" s="17" t="str">
        <f aca="false">INT(O901/3)&amp;"."&amp;MOD(O901,3)</f>
        <v>63.2</v>
      </c>
      <c r="R901" s="12" t="n">
        <v>53</v>
      </c>
      <c r="S901" s="12" t="n">
        <v>33</v>
      </c>
      <c r="T901" s="12" t="n">
        <v>31</v>
      </c>
      <c r="U901" s="12" t="n">
        <v>5</v>
      </c>
      <c r="V901" s="12" t="n">
        <v>20</v>
      </c>
      <c r="W901" s="12" t="n">
        <v>67</v>
      </c>
      <c r="X901" s="12" t="n">
        <v>2</v>
      </c>
      <c r="Y901" s="18" t="n">
        <f aca="false">IF(O901=0,0,T901*27/O901)</f>
        <v>4.38219895287958</v>
      </c>
      <c r="Z901" s="18" t="n">
        <f aca="false">IF(P901=0,0,(V901+R901)/P901)</f>
        <v>1.14659685863874</v>
      </c>
      <c r="AA901" s="18" t="n">
        <f aca="false">IF(O901=0,0,W901*27/O901)</f>
        <v>9.47120418848168</v>
      </c>
      <c r="AB901" s="18" t="n">
        <f aca="false">IF(O901=0,0,V901*27/O901)</f>
        <v>2.82722513089005</v>
      </c>
      <c r="AC901" s="18" t="n">
        <f aca="false">IF(V901=0,0,W901/V901)</f>
        <v>3.35</v>
      </c>
      <c r="AD901" s="18" t="n">
        <f aca="false">IF(P901=0,0,(13*U901+3*(V901+X901)-2*W901)/P901+INDEX(球季參數!$C$2:$C$4,MATCH($A901,球季參數!$A$2:$A$4,0)))</f>
        <v>3.03287958115183</v>
      </c>
      <c r="AE901" s="11" t="n">
        <f aca="false">IF(P901&gt;=INDEX(球季參數!$F$2:$F$4,MATCH($A901,球季參數!$A$2:$A$4,0)),1,0)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5" min="4" style="0" width="8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3" min="12" style="0" width="11"/>
    <col collapsed="false" customWidth="true" hidden="false" outlineLevel="0" max="14" min="14" style="0" width="13"/>
    <col collapsed="false" customWidth="true" hidden="false" outlineLevel="0" max="15" min="15" style="0" width="12"/>
  </cols>
  <sheetData>
    <row r="1" customFormat="false" ht="31.5" hidden="false" customHeight="true" outlineLevel="0" collapsed="false">
      <c r="A1" s="1" t="s">
        <v>55</v>
      </c>
      <c r="B1" s="1" t="s">
        <v>80</v>
      </c>
      <c r="C1" s="1" t="s">
        <v>85</v>
      </c>
      <c r="D1" s="1" t="s">
        <v>87</v>
      </c>
      <c r="E1" s="1" t="s">
        <v>89</v>
      </c>
      <c r="F1" s="1" t="s">
        <v>276</v>
      </c>
      <c r="G1" s="1" t="s">
        <v>277</v>
      </c>
      <c r="H1" s="1" t="s">
        <v>279</v>
      </c>
      <c r="I1" s="1" t="s">
        <v>281</v>
      </c>
      <c r="J1" s="1" t="s">
        <v>151</v>
      </c>
      <c r="K1" s="1" t="s">
        <v>253</v>
      </c>
      <c r="L1" s="1" t="s">
        <v>287</v>
      </c>
      <c r="M1" s="1" t="s">
        <v>289</v>
      </c>
      <c r="N1" s="1" t="s">
        <v>291</v>
      </c>
      <c r="O1" s="1" t="s">
        <v>293</v>
      </c>
    </row>
    <row r="2" customFormat="false" ht="15" hidden="false" customHeight="false" outlineLevel="0" collapsed="false">
      <c r="A2" s="5" t="n">
        <v>2024</v>
      </c>
      <c r="B2" s="7" t="s">
        <v>340</v>
      </c>
      <c r="C2" s="10" t="str">
        <f aca="false">INDEX(球隊主檔!$C$2:$C$31,MATCH($B2,球隊主檔!$A$2:$A$31,0))</f>
        <v>巴爾的摩金鶯</v>
      </c>
      <c r="D2" s="10" t="str">
        <f aca="false">INDEX(球隊主檔!$D$2:$D$31,MATCH($B2,球隊主檔!$A$2:$A$31,0))</f>
        <v>美聯</v>
      </c>
      <c r="E2" s="10" t="str">
        <f aca="false">INDEX(球隊主檔!$E$2:$E$31,MATCH($B2,球隊主檔!$A$2:$A$31,0))</f>
        <v>美東</v>
      </c>
      <c r="F2" s="12" t="n">
        <v>83</v>
      </c>
      <c r="G2" s="13" t="n">
        <f aca="false">INDEX(球季參數!$B$2:$B$4,MATCH($A2,球季參數!$A$2:$A$4,0))-F2</f>
        <v>79</v>
      </c>
      <c r="H2" s="14" t="n">
        <f aca="false">IF(F2+G2=0,0,F2/(F2+G2))</f>
        <v>0.512345679012346</v>
      </c>
      <c r="I2" s="16" t="n">
        <f aca="false">(SUMPRODUCT(MAX(($A$2:$A$91=$A2)*($E$2:$E$91=$E2)*$F$2:$F$91))-F2+G2-SUMPRODUCT(MIN(($A$2:$A$91=$A2)*($E$2:$E$91=$E2)*$G$2:$G$91+(1-($A$2:$A$91=$A2)*($E$2:$E$91=$E2))*999)))/2</f>
        <v>5</v>
      </c>
      <c r="J2" s="12" t="n">
        <v>688</v>
      </c>
      <c r="K2" s="12" t="n">
        <v>640</v>
      </c>
      <c r="L2" s="13" t="n">
        <f aca="false">J2-K2</f>
        <v>48</v>
      </c>
      <c r="M2" s="14" t="n">
        <f aca="false">IF(POWER(J2,INDEX(球季參數!$D$2:$D$4,MATCH($A2,球季參數!$A$2:$A$4,0)))+POWER(K2,INDEX(球季參數!$D$2:$D$4,MATCH($A2,球季參數!$A$2:$A$4,0)))=0,0,POWER(J2,INDEX(球季參數!$D$2:$D$4,MATCH($A2,球季參數!$A$2:$A$4,0)))/(POWER(J2,INDEX(球季參數!$D$2:$D$4,MATCH($A2,球季參數!$A$2:$A$4,0)))+POWER(K2,INDEX(球季參數!$D$2:$D$4,MATCH($A2,球季參數!$A$2:$A$4,0)))))</f>
        <v>0.533038492444402</v>
      </c>
      <c r="N2" s="16" t="n">
        <f aca="false">M2*(F2+G2)</f>
        <v>86.352235775993</v>
      </c>
      <c r="O2" s="16" t="n">
        <f aca="false">F2-N2</f>
        <v>-3.35223577599304</v>
      </c>
    </row>
    <row r="3" customFormat="false" ht="15" hidden="false" customHeight="false" outlineLevel="0" collapsed="false">
      <c r="A3" s="5" t="n">
        <v>2024</v>
      </c>
      <c r="B3" s="7" t="s">
        <v>346</v>
      </c>
      <c r="C3" s="10" t="str">
        <f aca="false">INDEX(球隊主檔!$C$2:$C$31,MATCH($B3,球隊主檔!$A$2:$A$31,0))</f>
        <v>波士頓紅襪</v>
      </c>
      <c r="D3" s="10" t="str">
        <f aca="false">INDEX(球隊主檔!$D$2:$D$31,MATCH($B3,球隊主檔!$A$2:$A$31,0))</f>
        <v>美聯</v>
      </c>
      <c r="E3" s="10" t="str">
        <f aca="false">INDEX(球隊主檔!$E$2:$E$31,MATCH($B3,球隊主檔!$A$2:$A$31,0))</f>
        <v>美東</v>
      </c>
      <c r="F3" s="12" t="n">
        <v>88</v>
      </c>
      <c r="G3" s="13" t="n">
        <f aca="false">INDEX(球季參數!$B$2:$B$4,MATCH($A3,球季參數!$A$2:$A$4,0))-F3</f>
        <v>74</v>
      </c>
      <c r="H3" s="14" t="n">
        <f aca="false">IF(F3+G3=0,0,F3/(F3+G3))</f>
        <v>0.54320987654321</v>
      </c>
      <c r="I3" s="16" t="n">
        <f aca="false">(SUMPRODUCT(MAX(($A$2:$A$91=$A3)*($E$2:$E$91=$E3)*$F$2:$F$91))-F3+G3-SUMPRODUCT(MIN(($A$2:$A$91=$A3)*($E$2:$E$91=$E3)*$G$2:$G$91+(1-($A$2:$A$91=$A3)*($E$2:$E$91=$E3))*999)))/2</f>
        <v>0</v>
      </c>
      <c r="J3" s="12" t="n">
        <v>791</v>
      </c>
      <c r="K3" s="12" t="n">
        <v>732</v>
      </c>
      <c r="L3" s="13" t="n">
        <f aca="false">J3-K3</f>
        <v>59</v>
      </c>
      <c r="M3" s="14" t="n">
        <f aca="false">IF(POWER(J3,INDEX(球季參數!$D$2:$D$4,MATCH($A3,球季參數!$A$2:$A$4,0)))+POWER(K3,INDEX(球季參數!$D$2:$D$4,MATCH($A3,球季參數!$A$2:$A$4,0)))=0,0,POWER(J3,INDEX(球季參數!$D$2:$D$4,MATCH($A3,球季參數!$A$2:$A$4,0)))/(POWER(J3,INDEX(球季參數!$D$2:$D$4,MATCH($A3,球季參數!$A$2:$A$4,0)))+POWER(K3,INDEX(球季參數!$D$2:$D$4,MATCH($A3,球季參數!$A$2:$A$4,0)))))</f>
        <v>0.535404882826348</v>
      </c>
      <c r="N3" s="16" t="n">
        <f aca="false">M3*(F3+G3)</f>
        <v>86.7355910178684</v>
      </c>
      <c r="O3" s="16" t="n">
        <f aca="false">F3-N3</f>
        <v>1.26440898213163</v>
      </c>
    </row>
    <row r="4" customFormat="false" ht="15" hidden="false" customHeight="false" outlineLevel="0" collapsed="false">
      <c r="A4" s="5" t="n">
        <v>2024</v>
      </c>
      <c r="B4" s="7" t="s">
        <v>350</v>
      </c>
      <c r="C4" s="10" t="str">
        <f aca="false">INDEX(球隊主檔!$C$2:$C$31,MATCH($B4,球隊主檔!$A$2:$A$31,0))</f>
        <v>紐約洋基</v>
      </c>
      <c r="D4" s="10" t="str">
        <f aca="false">INDEX(球隊主檔!$D$2:$D$31,MATCH($B4,球隊主檔!$A$2:$A$31,0))</f>
        <v>美聯</v>
      </c>
      <c r="E4" s="10" t="str">
        <f aca="false">INDEX(球隊主檔!$E$2:$E$31,MATCH($B4,球隊主檔!$A$2:$A$31,0))</f>
        <v>美東</v>
      </c>
      <c r="F4" s="12" t="n">
        <v>87</v>
      </c>
      <c r="G4" s="13" t="n">
        <f aca="false">INDEX(球季參數!$B$2:$B$4,MATCH($A4,球季參數!$A$2:$A$4,0))-F4</f>
        <v>75</v>
      </c>
      <c r="H4" s="14" t="n">
        <f aca="false">IF(F4+G4=0,0,F4/(F4+G4))</f>
        <v>0.537037037037037</v>
      </c>
      <c r="I4" s="16" t="n">
        <f aca="false">(SUMPRODUCT(MAX(($A$2:$A$91=$A4)*($E$2:$E$91=$E4)*$F$2:$F$91))-F4+G4-SUMPRODUCT(MIN(($A$2:$A$91=$A4)*($E$2:$E$91=$E4)*$G$2:$G$91+(1-($A$2:$A$91=$A4)*($E$2:$E$91=$E4))*999)))/2</f>
        <v>1</v>
      </c>
      <c r="J4" s="12" t="n">
        <v>733</v>
      </c>
      <c r="K4" s="12" t="n">
        <v>662</v>
      </c>
      <c r="L4" s="13" t="n">
        <f aca="false">J4-K4</f>
        <v>71</v>
      </c>
      <c r="M4" s="14" t="n">
        <f aca="false">IF(POWER(J4,INDEX(球季參數!$D$2:$D$4,MATCH($A4,球季參數!$A$2:$A$4,0)))+POWER(K4,INDEX(球季參數!$D$2:$D$4,MATCH($A4,球季參數!$A$2:$A$4,0)))=0,0,POWER(J4,INDEX(球季參數!$D$2:$D$4,MATCH($A4,球季參數!$A$2:$A$4,0)))/(POWER(J4,INDEX(球季參數!$D$2:$D$4,MATCH($A4,球季參數!$A$2:$A$4,0)))+POWER(K4,INDEX(球季參數!$D$2:$D$4,MATCH($A4,球季參數!$A$2:$A$4,0)))))</f>
        <v>0.546475619847748</v>
      </c>
      <c r="N4" s="16" t="n">
        <f aca="false">M4*(F4+G4)</f>
        <v>88.5290504153351</v>
      </c>
      <c r="O4" s="16" t="n">
        <f aca="false">F4-N4</f>
        <v>-1.52905041533512</v>
      </c>
    </row>
    <row r="5" customFormat="false" ht="15" hidden="false" customHeight="false" outlineLevel="0" collapsed="false">
      <c r="A5" s="5" t="n">
        <v>2024</v>
      </c>
      <c r="B5" s="7" t="s">
        <v>354</v>
      </c>
      <c r="C5" s="10" t="str">
        <f aca="false">INDEX(球隊主檔!$C$2:$C$31,MATCH($B5,球隊主檔!$A$2:$A$31,0))</f>
        <v>坦帕灣光芒</v>
      </c>
      <c r="D5" s="10" t="str">
        <f aca="false">INDEX(球隊主檔!$D$2:$D$31,MATCH($B5,球隊主檔!$A$2:$A$31,0))</f>
        <v>美聯</v>
      </c>
      <c r="E5" s="10" t="str">
        <f aca="false">INDEX(球隊主檔!$E$2:$E$31,MATCH($B5,球隊主檔!$A$2:$A$31,0))</f>
        <v>美東</v>
      </c>
      <c r="F5" s="12" t="n">
        <v>75</v>
      </c>
      <c r="G5" s="13" t="n">
        <f aca="false">INDEX(球季參數!$B$2:$B$4,MATCH($A5,球季參數!$A$2:$A$4,0))-F5</f>
        <v>87</v>
      </c>
      <c r="H5" s="14" t="n">
        <f aca="false">IF(F5+G5=0,0,F5/(F5+G5))</f>
        <v>0.462962962962963</v>
      </c>
      <c r="I5" s="16" t="n">
        <f aca="false">(SUMPRODUCT(MAX(($A$2:$A$91=$A5)*($E$2:$E$91=$E5)*$F$2:$F$91))-F5+G5-SUMPRODUCT(MIN(($A$2:$A$91=$A5)*($E$2:$E$91=$E5)*$G$2:$G$91+(1-($A$2:$A$91=$A5)*($E$2:$E$91=$E5))*999)))/2</f>
        <v>13</v>
      </c>
      <c r="J5" s="12" t="n">
        <v>666</v>
      </c>
      <c r="K5" s="12" t="n">
        <v>752</v>
      </c>
      <c r="L5" s="13" t="n">
        <f aca="false">J5-K5</f>
        <v>-86</v>
      </c>
      <c r="M5" s="14" t="n">
        <f aca="false">IF(POWER(J5,INDEX(球季參數!$D$2:$D$4,MATCH($A5,球季參數!$A$2:$A$4,0)))+POWER(K5,INDEX(球季參數!$D$2:$D$4,MATCH($A5,球季參數!$A$2:$A$4,0)))=0,0,POWER(J5,INDEX(球季參數!$D$2:$D$4,MATCH($A5,球季參數!$A$2:$A$4,0)))/(POWER(J5,INDEX(球季參數!$D$2:$D$4,MATCH($A5,球季參數!$A$2:$A$4,0)))+POWER(K5,INDEX(球季參數!$D$2:$D$4,MATCH($A5,球季參數!$A$2:$A$4,0)))))</f>
        <v>0.444665733366796</v>
      </c>
      <c r="N5" s="16" t="n">
        <f aca="false">M5*(F5+G5)</f>
        <v>72.0358488054209</v>
      </c>
      <c r="O5" s="16" t="n">
        <f aca="false">F5-N5</f>
        <v>2.96415119457912</v>
      </c>
    </row>
    <row r="6" customFormat="false" ht="15" hidden="false" customHeight="false" outlineLevel="0" collapsed="false">
      <c r="A6" s="5" t="n">
        <v>2024</v>
      </c>
      <c r="B6" s="7" t="s">
        <v>358</v>
      </c>
      <c r="C6" s="10" t="str">
        <f aca="false">INDEX(球隊主檔!$C$2:$C$31,MATCH($B6,球隊主檔!$A$2:$A$31,0))</f>
        <v>多倫多藍鳥</v>
      </c>
      <c r="D6" s="10" t="str">
        <f aca="false">INDEX(球隊主檔!$D$2:$D$31,MATCH($B6,球隊主檔!$A$2:$A$31,0))</f>
        <v>美聯</v>
      </c>
      <c r="E6" s="10" t="str">
        <f aca="false">INDEX(球隊主檔!$E$2:$E$31,MATCH($B6,球隊主檔!$A$2:$A$31,0))</f>
        <v>美東</v>
      </c>
      <c r="F6" s="12" t="n">
        <v>73</v>
      </c>
      <c r="G6" s="13" t="n">
        <f aca="false">INDEX(球季參數!$B$2:$B$4,MATCH($A6,球季參數!$A$2:$A$4,0))-F6</f>
        <v>89</v>
      </c>
      <c r="H6" s="14" t="n">
        <f aca="false">IF(F6+G6=0,0,F6/(F6+G6))</f>
        <v>0.450617283950617</v>
      </c>
      <c r="I6" s="16" t="n">
        <f aca="false">(SUMPRODUCT(MAX(($A$2:$A$91=$A6)*($E$2:$E$91=$E6)*$F$2:$F$91))-F6+G6-SUMPRODUCT(MIN(($A$2:$A$91=$A6)*($E$2:$E$91=$E6)*$G$2:$G$91+(1-($A$2:$A$91=$A6)*($E$2:$E$91=$E6))*999)))/2</f>
        <v>15</v>
      </c>
      <c r="J6" s="12" t="n">
        <v>728</v>
      </c>
      <c r="K6" s="12" t="n">
        <v>774</v>
      </c>
      <c r="L6" s="13" t="n">
        <f aca="false">J6-K6</f>
        <v>-46</v>
      </c>
      <c r="M6" s="14" t="n">
        <f aca="false">IF(POWER(J6,INDEX(球季參數!$D$2:$D$4,MATCH($A6,球季參數!$A$2:$A$4,0)))+POWER(K6,INDEX(球季參數!$D$2:$D$4,MATCH($A6,球季參數!$A$2:$A$4,0)))=0,0,POWER(J6,INDEX(球季參數!$D$2:$D$4,MATCH($A6,球季參數!$A$2:$A$4,0)))/(POWER(J6,INDEX(球季參數!$D$2:$D$4,MATCH($A6,球季參數!$A$2:$A$4,0)))+POWER(K6,INDEX(球季參數!$D$2:$D$4,MATCH($A6,球季參數!$A$2:$A$4,0)))))</f>
        <v>0.471997928430224</v>
      </c>
      <c r="N6" s="16" t="n">
        <f aca="false">M6*(F6+G6)</f>
        <v>76.4636644056962</v>
      </c>
      <c r="O6" s="16" t="n">
        <f aca="false">F6-N6</f>
        <v>-3.46366440569624</v>
      </c>
    </row>
    <row r="7" customFormat="false" ht="15" hidden="false" customHeight="false" outlineLevel="0" collapsed="false">
      <c r="A7" s="5" t="n">
        <v>2024</v>
      </c>
      <c r="B7" s="7" t="s">
        <v>362</v>
      </c>
      <c r="C7" s="10" t="str">
        <f aca="false">INDEX(球隊主檔!$C$2:$C$31,MATCH($B7,球隊主檔!$A$2:$A$31,0))</f>
        <v>芝加哥白襪</v>
      </c>
      <c r="D7" s="10" t="str">
        <f aca="false">INDEX(球隊主檔!$D$2:$D$31,MATCH($B7,球隊主檔!$A$2:$A$31,0))</f>
        <v>美聯</v>
      </c>
      <c r="E7" s="10" t="str">
        <f aca="false">INDEX(球隊主檔!$E$2:$E$31,MATCH($B7,球隊主檔!$A$2:$A$31,0))</f>
        <v>美中</v>
      </c>
      <c r="F7" s="12" t="n">
        <v>86</v>
      </c>
      <c r="G7" s="13" t="n">
        <f aca="false">INDEX(球季參數!$B$2:$B$4,MATCH($A7,球季參數!$A$2:$A$4,0))-F7</f>
        <v>76</v>
      </c>
      <c r="H7" s="14" t="n">
        <f aca="false">IF(F7+G7=0,0,F7/(F7+G7))</f>
        <v>0.530864197530864</v>
      </c>
      <c r="I7" s="16" t="n">
        <f aca="false">(SUMPRODUCT(MAX(($A$2:$A$91=$A7)*($E$2:$E$91=$E7)*$F$2:$F$91))-F7+G7-SUMPRODUCT(MIN(($A$2:$A$91=$A7)*($E$2:$E$91=$E7)*$G$2:$G$91+(1-($A$2:$A$91=$A7)*($E$2:$E$91=$E7))*999)))/2</f>
        <v>9</v>
      </c>
      <c r="J7" s="12" t="n">
        <v>679</v>
      </c>
      <c r="K7" s="12" t="n">
        <v>628</v>
      </c>
      <c r="L7" s="13" t="n">
        <f aca="false">J7-K7</f>
        <v>51</v>
      </c>
      <c r="M7" s="14" t="n">
        <f aca="false">IF(POWER(J7,INDEX(球季參數!$D$2:$D$4,MATCH($A7,球季參數!$A$2:$A$4,0)))+POWER(K7,INDEX(球季參數!$D$2:$D$4,MATCH($A7,球季參數!$A$2:$A$4,0)))=0,0,POWER(J7,INDEX(球季參數!$D$2:$D$4,MATCH($A7,球季參數!$A$2:$A$4,0)))/(POWER(J7,INDEX(球季參數!$D$2:$D$4,MATCH($A7,球季參數!$A$2:$A$4,0)))+POWER(K7,INDEX(球季參數!$D$2:$D$4,MATCH($A7,球季參數!$A$2:$A$4,0)))))</f>
        <v>0.535661385383085</v>
      </c>
      <c r="N7" s="16" t="n">
        <f aca="false">M7*(F7+G7)</f>
        <v>86.7771444320597</v>
      </c>
      <c r="O7" s="16" t="n">
        <f aca="false">F7-N7</f>
        <v>-0.7771444320597</v>
      </c>
    </row>
    <row r="8" customFormat="false" ht="15" hidden="false" customHeight="false" outlineLevel="0" collapsed="false">
      <c r="A8" s="5" t="n">
        <v>2024</v>
      </c>
      <c r="B8" s="7" t="s">
        <v>367</v>
      </c>
      <c r="C8" s="10" t="str">
        <f aca="false">INDEX(球隊主檔!$C$2:$C$31,MATCH($B8,球隊主檔!$A$2:$A$31,0))</f>
        <v>克里夫蘭守護者</v>
      </c>
      <c r="D8" s="10" t="str">
        <f aca="false">INDEX(球隊主檔!$D$2:$D$31,MATCH($B8,球隊主檔!$A$2:$A$31,0))</f>
        <v>美聯</v>
      </c>
      <c r="E8" s="10" t="str">
        <f aca="false">INDEX(球隊主檔!$E$2:$E$31,MATCH($B8,球隊主檔!$A$2:$A$31,0))</f>
        <v>美中</v>
      </c>
      <c r="F8" s="12" t="n">
        <v>80</v>
      </c>
      <c r="G8" s="13" t="n">
        <f aca="false">INDEX(球季參數!$B$2:$B$4,MATCH($A8,球季參數!$A$2:$A$4,0))-F8</f>
        <v>82</v>
      </c>
      <c r="H8" s="14" t="n">
        <f aca="false">IF(F8+G8=0,0,F8/(F8+G8))</f>
        <v>0.493827160493827</v>
      </c>
      <c r="I8" s="16" t="n">
        <f aca="false">(SUMPRODUCT(MAX(($A$2:$A$91=$A8)*($E$2:$E$91=$E8)*$F$2:$F$91))-F8+G8-SUMPRODUCT(MIN(($A$2:$A$91=$A8)*($E$2:$E$91=$E8)*$G$2:$G$91+(1-($A$2:$A$91=$A8)*($E$2:$E$91=$E8))*999)))/2</f>
        <v>15</v>
      </c>
      <c r="J8" s="12" t="n">
        <v>722</v>
      </c>
      <c r="K8" s="12" t="n">
        <v>720</v>
      </c>
      <c r="L8" s="13" t="n">
        <f aca="false">J8-K8</f>
        <v>2</v>
      </c>
      <c r="M8" s="14" t="n">
        <f aca="false">IF(POWER(J8,INDEX(球季參數!$D$2:$D$4,MATCH($A8,球季參數!$A$2:$A$4,0)))+POWER(K8,INDEX(球季參數!$D$2:$D$4,MATCH($A8,球季參數!$A$2:$A$4,0)))=0,0,POWER(J8,INDEX(球季參數!$D$2:$D$4,MATCH($A8,球季參數!$A$2:$A$4,0)))/(POWER(J8,INDEX(球季參數!$D$2:$D$4,MATCH($A8,球季參數!$A$2:$A$4,0)))+POWER(K8,INDEX(球季參數!$D$2:$D$4,MATCH($A8,球季參數!$A$2:$A$4,0)))))</f>
        <v>0.501269068823662</v>
      </c>
      <c r="N8" s="16" t="n">
        <f aca="false">M8*(F8+G8)</f>
        <v>81.2055891494333</v>
      </c>
      <c r="O8" s="16" t="n">
        <f aca="false">F8-N8</f>
        <v>-1.20558914943325</v>
      </c>
    </row>
    <row r="9" customFormat="false" ht="15" hidden="false" customHeight="false" outlineLevel="0" collapsed="false">
      <c r="A9" s="5" t="n">
        <v>2024</v>
      </c>
      <c r="B9" s="7" t="s">
        <v>371</v>
      </c>
      <c r="C9" s="10" t="str">
        <f aca="false">INDEX(球隊主檔!$C$2:$C$31,MATCH($B9,球隊主檔!$A$2:$A$31,0))</f>
        <v>底特律老虎</v>
      </c>
      <c r="D9" s="10" t="str">
        <f aca="false">INDEX(球隊主檔!$D$2:$D$31,MATCH($B9,球隊主檔!$A$2:$A$31,0))</f>
        <v>美聯</v>
      </c>
      <c r="E9" s="10" t="str">
        <f aca="false">INDEX(球隊主檔!$E$2:$E$31,MATCH($B9,球隊主檔!$A$2:$A$31,0))</f>
        <v>美中</v>
      </c>
      <c r="F9" s="12" t="n">
        <v>95</v>
      </c>
      <c r="G9" s="13" t="n">
        <f aca="false">INDEX(球季參數!$B$2:$B$4,MATCH($A9,球季參數!$A$2:$A$4,0))-F9</f>
        <v>67</v>
      </c>
      <c r="H9" s="14" t="n">
        <f aca="false">IF(F9+G9=0,0,F9/(F9+G9))</f>
        <v>0.58641975308642</v>
      </c>
      <c r="I9" s="16" t="n">
        <f aca="false">(SUMPRODUCT(MAX(($A$2:$A$91=$A9)*($E$2:$E$91=$E9)*$F$2:$F$91))-F9+G9-SUMPRODUCT(MIN(($A$2:$A$91=$A9)*($E$2:$E$91=$E9)*$G$2:$G$91+(1-($A$2:$A$91=$A9)*($E$2:$E$91=$E9))*999)))/2</f>
        <v>0</v>
      </c>
      <c r="J9" s="12" t="n">
        <v>801</v>
      </c>
      <c r="K9" s="12" t="n">
        <v>656</v>
      </c>
      <c r="L9" s="13" t="n">
        <f aca="false">J9-K9</f>
        <v>145</v>
      </c>
      <c r="M9" s="14" t="n">
        <f aca="false">IF(POWER(J9,INDEX(球季參數!$D$2:$D$4,MATCH($A9,球季參數!$A$2:$A$4,0)))+POWER(K9,INDEX(球季參數!$D$2:$D$4,MATCH($A9,球季參數!$A$2:$A$4,0)))=0,0,POWER(J9,INDEX(球季參數!$D$2:$D$4,MATCH($A9,球季參數!$A$2:$A$4,0)))/(POWER(J9,INDEX(球季參數!$D$2:$D$4,MATCH($A9,球季參數!$A$2:$A$4,0)))+POWER(K9,INDEX(球季參數!$D$2:$D$4,MATCH($A9,球季參數!$A$2:$A$4,0)))))</f>
        <v>0.590359394024314</v>
      </c>
      <c r="N9" s="16" t="n">
        <f aca="false">M9*(F9+G9)</f>
        <v>95.6382218319388</v>
      </c>
      <c r="O9" s="16" t="n">
        <f aca="false">F9-N9</f>
        <v>-0.638221831938822</v>
      </c>
    </row>
    <row r="10" customFormat="false" ht="15" hidden="false" customHeight="false" outlineLevel="0" collapsed="false">
      <c r="A10" s="5" t="n">
        <v>2024</v>
      </c>
      <c r="B10" s="7" t="s">
        <v>375</v>
      </c>
      <c r="C10" s="10" t="str">
        <f aca="false">INDEX(球隊主檔!$C$2:$C$31,MATCH($B10,球隊主檔!$A$2:$A$31,0))</f>
        <v>堪薩斯市皇家</v>
      </c>
      <c r="D10" s="10" t="str">
        <f aca="false">INDEX(球隊主檔!$D$2:$D$31,MATCH($B10,球隊主檔!$A$2:$A$31,0))</f>
        <v>美聯</v>
      </c>
      <c r="E10" s="10" t="str">
        <f aca="false">INDEX(球隊主檔!$E$2:$E$31,MATCH($B10,球隊主檔!$A$2:$A$31,0))</f>
        <v>美中</v>
      </c>
      <c r="F10" s="12" t="n">
        <v>83</v>
      </c>
      <c r="G10" s="13" t="n">
        <f aca="false">INDEX(球季參數!$B$2:$B$4,MATCH($A10,球季參數!$A$2:$A$4,0))-F10</f>
        <v>79</v>
      </c>
      <c r="H10" s="14" t="n">
        <f aca="false">IF(F10+G10=0,0,F10/(F10+G10))</f>
        <v>0.512345679012346</v>
      </c>
      <c r="I10" s="16" t="n">
        <f aca="false">(SUMPRODUCT(MAX(($A$2:$A$91=$A10)*($E$2:$E$91=$E10)*$F$2:$F$91))-F10+G10-SUMPRODUCT(MIN(($A$2:$A$91=$A10)*($E$2:$E$91=$E10)*$G$2:$G$91+(1-($A$2:$A$91=$A10)*($E$2:$E$91=$E10))*999)))/2</f>
        <v>12</v>
      </c>
      <c r="J10" s="12" t="n">
        <v>702</v>
      </c>
      <c r="K10" s="12" t="n">
        <v>704</v>
      </c>
      <c r="L10" s="13" t="n">
        <f aca="false">J10-K10</f>
        <v>-2</v>
      </c>
      <c r="M10" s="14" t="n">
        <f aca="false">IF(POWER(J10,INDEX(球季參數!$D$2:$D$4,MATCH($A10,球季參數!$A$2:$A$4,0)))+POWER(K10,INDEX(球季參數!$D$2:$D$4,MATCH($A10,球季參數!$A$2:$A$4,0)))=0,0,POWER(J10,INDEX(球季參數!$D$2:$D$4,MATCH($A10,球季參數!$A$2:$A$4,0)))/(POWER(J10,INDEX(球季參數!$D$2:$D$4,MATCH($A10,球季參數!$A$2:$A$4,0)))+POWER(K10,INDEX(球季參數!$D$2:$D$4,MATCH($A10,球季參數!$A$2:$A$4,0)))))</f>
        <v>0.498698437339426</v>
      </c>
      <c r="N10" s="16" t="n">
        <f aca="false">M10*(F10+G10)</f>
        <v>80.789146848987</v>
      </c>
      <c r="O10" s="16" t="n">
        <f aca="false">F10-N10</f>
        <v>2.21085315101304</v>
      </c>
    </row>
    <row r="11" customFormat="false" ht="15" hidden="false" customHeight="false" outlineLevel="0" collapsed="false">
      <c r="A11" s="5" t="n">
        <v>2024</v>
      </c>
      <c r="B11" s="7" t="s">
        <v>379</v>
      </c>
      <c r="C11" s="10" t="str">
        <f aca="false">INDEX(球隊主檔!$C$2:$C$31,MATCH($B11,球隊主檔!$A$2:$A$31,0))</f>
        <v>明尼蘇達雙城</v>
      </c>
      <c r="D11" s="10" t="str">
        <f aca="false">INDEX(球隊主檔!$D$2:$D$31,MATCH($B11,球隊主檔!$A$2:$A$31,0))</f>
        <v>美聯</v>
      </c>
      <c r="E11" s="10" t="str">
        <f aca="false">INDEX(球隊主檔!$E$2:$E$31,MATCH($B11,球隊主檔!$A$2:$A$31,0))</f>
        <v>美中</v>
      </c>
      <c r="F11" s="12" t="n">
        <v>82</v>
      </c>
      <c r="G11" s="13" t="n">
        <f aca="false">INDEX(球季參數!$B$2:$B$4,MATCH($A11,球季參數!$A$2:$A$4,0))-F11</f>
        <v>80</v>
      </c>
      <c r="H11" s="14" t="n">
        <f aca="false">IF(F11+G11=0,0,F11/(F11+G11))</f>
        <v>0.506172839506173</v>
      </c>
      <c r="I11" s="16" t="n">
        <f aca="false">(SUMPRODUCT(MAX(($A$2:$A$91=$A11)*($E$2:$E$91=$E11)*$F$2:$F$91))-F11+G11-SUMPRODUCT(MIN(($A$2:$A$91=$A11)*($E$2:$E$91=$E11)*$G$2:$G$91+(1-($A$2:$A$91=$A11)*($E$2:$E$91=$E11))*999)))/2</f>
        <v>13</v>
      </c>
      <c r="J11" s="12" t="n">
        <v>752</v>
      </c>
      <c r="K11" s="12" t="n">
        <v>766</v>
      </c>
      <c r="L11" s="13" t="n">
        <f aca="false">J11-K11</f>
        <v>-14</v>
      </c>
      <c r="M11" s="14" t="n">
        <f aca="false">IF(POWER(J11,INDEX(球季參數!$D$2:$D$4,MATCH($A11,球季參數!$A$2:$A$4,0)))+POWER(K11,INDEX(球季參數!$D$2:$D$4,MATCH($A11,球季參數!$A$2:$A$4,0)))=0,0,POWER(J11,INDEX(球季參數!$D$2:$D$4,MATCH($A11,球季參數!$A$2:$A$4,0)))/(POWER(J11,INDEX(球季參數!$D$2:$D$4,MATCH($A11,球季參數!$A$2:$A$4,0)))+POWER(K11,INDEX(球季參數!$D$2:$D$4,MATCH($A11,球季參數!$A$2:$A$4,0)))))</f>
        <v>0.4915618267827</v>
      </c>
      <c r="N11" s="16" t="n">
        <f aca="false">M11*(F11+G11)</f>
        <v>79.6330159387974</v>
      </c>
      <c r="O11" s="16" t="n">
        <f aca="false">F11-N11</f>
        <v>2.36698406120256</v>
      </c>
    </row>
    <row r="12" customFormat="false" ht="15" hidden="false" customHeight="false" outlineLevel="0" collapsed="false">
      <c r="A12" s="5" t="n">
        <v>2024</v>
      </c>
      <c r="B12" s="7" t="s">
        <v>383</v>
      </c>
      <c r="C12" s="10" t="str">
        <f aca="false">INDEX(球隊主檔!$C$2:$C$31,MATCH($B12,球隊主檔!$A$2:$A$31,0))</f>
        <v>運動家</v>
      </c>
      <c r="D12" s="10" t="str">
        <f aca="false">INDEX(球隊主檔!$D$2:$D$31,MATCH($B12,球隊主檔!$A$2:$A$31,0))</f>
        <v>美聯</v>
      </c>
      <c r="E12" s="10" t="str">
        <f aca="false">INDEX(球隊主檔!$E$2:$E$31,MATCH($B12,球隊主檔!$A$2:$A$31,0))</f>
        <v>美西</v>
      </c>
      <c r="F12" s="12" t="n">
        <v>79</v>
      </c>
      <c r="G12" s="13" t="n">
        <f aca="false">INDEX(球季參數!$B$2:$B$4,MATCH($A12,球季參數!$A$2:$A$4,0))-F12</f>
        <v>83</v>
      </c>
      <c r="H12" s="14" t="n">
        <f aca="false">IF(F12+G12=0,0,F12/(F12+G12))</f>
        <v>0.487654320987654</v>
      </c>
      <c r="I12" s="16" t="n">
        <f aca="false">(SUMPRODUCT(MAX(($A$2:$A$91=$A12)*($E$2:$E$91=$E12)*$F$2:$F$91))-F12+G12-SUMPRODUCT(MIN(($A$2:$A$91=$A12)*($E$2:$E$91=$E12)*$G$2:$G$91+(1-($A$2:$A$91=$A12)*($E$2:$E$91=$E12))*999)))/2</f>
        <v>20</v>
      </c>
      <c r="J12" s="12" t="n">
        <v>672</v>
      </c>
      <c r="K12" s="12" t="n">
        <v>702</v>
      </c>
      <c r="L12" s="13" t="n">
        <f aca="false">J12-K12</f>
        <v>-30</v>
      </c>
      <c r="M12" s="14" t="n">
        <f aca="false">IF(POWER(J12,INDEX(球季參數!$D$2:$D$4,MATCH($A12,球季參數!$A$2:$A$4,0)))+POWER(K12,INDEX(球季參數!$D$2:$D$4,MATCH($A12,球季參數!$A$2:$A$4,0)))=0,0,POWER(J12,INDEX(球季參數!$D$2:$D$4,MATCH($A12,球季參數!$A$2:$A$4,0)))/(POWER(J12,INDEX(球季參數!$D$2:$D$4,MATCH($A12,球季參數!$A$2:$A$4,0)))+POWER(K12,INDEX(球季參數!$D$2:$D$4,MATCH($A12,球季參數!$A$2:$A$4,0)))))</f>
        <v>0.480029288498033</v>
      </c>
      <c r="N12" s="16" t="n">
        <f aca="false">M12*(F12+G12)</f>
        <v>77.7647447366813</v>
      </c>
      <c r="O12" s="16" t="n">
        <f aca="false">F12-N12</f>
        <v>1.23525526331873</v>
      </c>
    </row>
    <row r="13" customFormat="false" ht="15" hidden="false" customHeight="false" outlineLevel="0" collapsed="false">
      <c r="A13" s="5" t="n">
        <v>2024</v>
      </c>
      <c r="B13" s="7" t="s">
        <v>388</v>
      </c>
      <c r="C13" s="10" t="str">
        <f aca="false">INDEX(球隊主檔!$C$2:$C$31,MATCH($B13,球隊主檔!$A$2:$A$31,0))</f>
        <v>休士頓太空人</v>
      </c>
      <c r="D13" s="10" t="str">
        <f aca="false">INDEX(球隊主檔!$D$2:$D$31,MATCH($B13,球隊主檔!$A$2:$A$31,0))</f>
        <v>美聯</v>
      </c>
      <c r="E13" s="10" t="str">
        <f aca="false">INDEX(球隊主檔!$E$2:$E$31,MATCH($B13,球隊主檔!$A$2:$A$31,0))</f>
        <v>美西</v>
      </c>
      <c r="F13" s="12" t="n">
        <v>99</v>
      </c>
      <c r="G13" s="13" t="n">
        <f aca="false">INDEX(球季參數!$B$2:$B$4,MATCH($A13,球季參數!$A$2:$A$4,0))-F13</f>
        <v>63</v>
      </c>
      <c r="H13" s="14" t="n">
        <f aca="false">IF(F13+G13=0,0,F13/(F13+G13))</f>
        <v>0.611111111111111</v>
      </c>
      <c r="I13" s="16" t="n">
        <f aca="false">(SUMPRODUCT(MAX(($A$2:$A$91=$A13)*($E$2:$E$91=$E13)*$F$2:$F$91))-F13+G13-SUMPRODUCT(MIN(($A$2:$A$91=$A13)*($E$2:$E$91=$E13)*$G$2:$G$91+(1-($A$2:$A$91=$A13)*($E$2:$E$91=$E13))*999)))/2</f>
        <v>0</v>
      </c>
      <c r="J13" s="12" t="n">
        <v>763</v>
      </c>
      <c r="K13" s="12" t="n">
        <v>588</v>
      </c>
      <c r="L13" s="13" t="n">
        <f aca="false">J13-K13</f>
        <v>175</v>
      </c>
      <c r="M13" s="14" t="n">
        <f aca="false">IF(POWER(J13,INDEX(球季參數!$D$2:$D$4,MATCH($A13,球季參數!$A$2:$A$4,0)))+POWER(K13,INDEX(球季參數!$D$2:$D$4,MATCH($A13,球季參數!$A$2:$A$4,0)))=0,0,POWER(J13,INDEX(球季參數!$D$2:$D$4,MATCH($A13,球季參數!$A$2:$A$4,0)))/(POWER(J13,INDEX(球季參數!$D$2:$D$4,MATCH($A13,球季參數!$A$2:$A$4,0)))+POWER(K13,INDEX(球季參數!$D$2:$D$4,MATCH($A13,球季參數!$A$2:$A$4,0)))))</f>
        <v>0.616985312661523</v>
      </c>
      <c r="N13" s="16" t="n">
        <f aca="false">M13*(F13+G13)</f>
        <v>99.9516206511667</v>
      </c>
      <c r="O13" s="16" t="n">
        <f aca="false">F13-N13</f>
        <v>-0.95162065116665</v>
      </c>
    </row>
    <row r="14" customFormat="false" ht="15" hidden="false" customHeight="false" outlineLevel="0" collapsed="false">
      <c r="A14" s="5" t="n">
        <v>2024</v>
      </c>
      <c r="B14" s="7" t="s">
        <v>392</v>
      </c>
      <c r="C14" s="10" t="str">
        <f aca="false">INDEX(球隊主檔!$C$2:$C$31,MATCH($B14,球隊主檔!$A$2:$A$31,0))</f>
        <v>洛杉磯天使</v>
      </c>
      <c r="D14" s="10" t="str">
        <f aca="false">INDEX(球隊主檔!$D$2:$D$31,MATCH($B14,球隊主檔!$A$2:$A$31,0))</f>
        <v>美聯</v>
      </c>
      <c r="E14" s="10" t="str">
        <f aca="false">INDEX(球隊主檔!$E$2:$E$31,MATCH($B14,球隊主檔!$A$2:$A$31,0))</f>
        <v>美西</v>
      </c>
      <c r="F14" s="12" t="n">
        <v>71</v>
      </c>
      <c r="G14" s="13" t="n">
        <f aca="false">INDEX(球季參數!$B$2:$B$4,MATCH($A14,球季參數!$A$2:$A$4,0))-F14</f>
        <v>91</v>
      </c>
      <c r="H14" s="14" t="n">
        <f aca="false">IF(F14+G14=0,0,F14/(F14+G14))</f>
        <v>0.438271604938272</v>
      </c>
      <c r="I14" s="16" t="n">
        <f aca="false">(SUMPRODUCT(MAX(($A$2:$A$91=$A14)*($E$2:$E$91=$E14)*$F$2:$F$91))-F14+G14-SUMPRODUCT(MIN(($A$2:$A$91=$A14)*($E$2:$E$91=$E14)*$G$2:$G$91+(1-($A$2:$A$91=$A14)*($E$2:$E$91=$E14))*999)))/2</f>
        <v>28</v>
      </c>
      <c r="J14" s="12" t="n">
        <v>622</v>
      </c>
      <c r="K14" s="12" t="n">
        <v>714</v>
      </c>
      <c r="L14" s="13" t="n">
        <f aca="false">J14-K14</f>
        <v>-92</v>
      </c>
      <c r="M14" s="14" t="n">
        <f aca="false">IF(POWER(J14,INDEX(球季參數!$D$2:$D$4,MATCH($A14,球季參數!$A$2:$A$4,0)))+POWER(K14,INDEX(球季參數!$D$2:$D$4,MATCH($A14,球季參數!$A$2:$A$4,0)))=0,0,POWER(J14,INDEX(球季參數!$D$2:$D$4,MATCH($A14,球季參數!$A$2:$A$4,0)))/(POWER(J14,INDEX(球季參數!$D$2:$D$4,MATCH($A14,球季參數!$A$2:$A$4,0)))+POWER(K14,INDEX(球季參數!$D$2:$D$4,MATCH($A14,球季參數!$A$2:$A$4,0)))))</f>
        <v>0.437224142581026</v>
      </c>
      <c r="N14" s="16" t="n">
        <f aca="false">M14*(F14+G14)</f>
        <v>70.8303110981262</v>
      </c>
      <c r="O14" s="16" t="n">
        <f aca="false">F14-N14</f>
        <v>0.169688901873855</v>
      </c>
    </row>
    <row r="15" customFormat="false" ht="15" hidden="false" customHeight="false" outlineLevel="0" collapsed="false">
      <c r="A15" s="5" t="n">
        <v>2024</v>
      </c>
      <c r="B15" s="7" t="s">
        <v>396</v>
      </c>
      <c r="C15" s="10" t="str">
        <f aca="false">INDEX(球隊主檔!$C$2:$C$31,MATCH($B15,球隊主檔!$A$2:$A$31,0))</f>
        <v>西雅圖水手</v>
      </c>
      <c r="D15" s="10" t="str">
        <f aca="false">INDEX(球隊主檔!$D$2:$D$31,MATCH($B15,球隊主檔!$A$2:$A$31,0))</f>
        <v>美聯</v>
      </c>
      <c r="E15" s="10" t="str">
        <f aca="false">INDEX(球隊主檔!$E$2:$E$31,MATCH($B15,球隊主檔!$A$2:$A$31,0))</f>
        <v>美西</v>
      </c>
      <c r="F15" s="12" t="n">
        <v>73</v>
      </c>
      <c r="G15" s="13" t="n">
        <f aca="false">INDEX(球季參數!$B$2:$B$4,MATCH($A15,球季參數!$A$2:$A$4,0))-F15</f>
        <v>89</v>
      </c>
      <c r="H15" s="14" t="n">
        <f aca="false">IF(F15+G15=0,0,F15/(F15+G15))</f>
        <v>0.450617283950617</v>
      </c>
      <c r="I15" s="16" t="n">
        <f aca="false">(SUMPRODUCT(MAX(($A$2:$A$91=$A15)*($E$2:$E$91=$E15)*$F$2:$F$91))-F15+G15-SUMPRODUCT(MIN(($A$2:$A$91=$A15)*($E$2:$E$91=$E15)*$G$2:$G$91+(1-($A$2:$A$91=$A15)*($E$2:$E$91=$E15))*999)))/2</f>
        <v>26</v>
      </c>
      <c r="J15" s="12" t="n">
        <v>691</v>
      </c>
      <c r="K15" s="12" t="n">
        <v>804</v>
      </c>
      <c r="L15" s="13" t="n">
        <f aca="false">J15-K15</f>
        <v>-113</v>
      </c>
      <c r="M15" s="14" t="n">
        <f aca="false">IF(POWER(J15,INDEX(球季參數!$D$2:$D$4,MATCH($A15,球季參數!$A$2:$A$4,0)))+POWER(K15,INDEX(球季參數!$D$2:$D$4,MATCH($A15,球季參數!$A$2:$A$4,0)))=0,0,POWER(J15,INDEX(球季參數!$D$2:$D$4,MATCH($A15,球季參數!$A$2:$A$4,0)))/(POWER(J15,INDEX(球季參數!$D$2:$D$4,MATCH($A15,球季參數!$A$2:$A$4,0)))+POWER(K15,INDEX(球季參數!$D$2:$D$4,MATCH($A15,球季參數!$A$2:$A$4,0)))))</f>
        <v>0.431147531827198</v>
      </c>
      <c r="N15" s="16" t="n">
        <f aca="false">M15*(F15+G15)</f>
        <v>69.8459001560061</v>
      </c>
      <c r="O15" s="16" t="n">
        <f aca="false">F15-N15</f>
        <v>3.15409984399393</v>
      </c>
    </row>
    <row r="16" customFormat="false" ht="15" hidden="false" customHeight="false" outlineLevel="0" collapsed="false">
      <c r="A16" s="5" t="n">
        <v>2024</v>
      </c>
      <c r="B16" s="7" t="s">
        <v>400</v>
      </c>
      <c r="C16" s="10" t="str">
        <f aca="false">INDEX(球隊主檔!$C$2:$C$31,MATCH($B16,球隊主檔!$A$2:$A$31,0))</f>
        <v>德州遊騎兵</v>
      </c>
      <c r="D16" s="10" t="str">
        <f aca="false">INDEX(球隊主檔!$D$2:$D$31,MATCH($B16,球隊主檔!$A$2:$A$31,0))</f>
        <v>美聯</v>
      </c>
      <c r="E16" s="10" t="str">
        <f aca="false">INDEX(球隊主檔!$E$2:$E$31,MATCH($B16,球隊主檔!$A$2:$A$31,0))</f>
        <v>美西</v>
      </c>
      <c r="F16" s="12" t="n">
        <v>81</v>
      </c>
      <c r="G16" s="13" t="n">
        <f aca="false">INDEX(球季參數!$B$2:$B$4,MATCH($A16,球季參數!$A$2:$A$4,0))-F16</f>
        <v>81</v>
      </c>
      <c r="H16" s="14" t="n">
        <f aca="false">IF(F16+G16=0,0,F16/(F16+G16))</f>
        <v>0.5</v>
      </c>
      <c r="I16" s="16" t="n">
        <f aca="false">(SUMPRODUCT(MAX(($A$2:$A$91=$A16)*($E$2:$E$91=$E16)*$F$2:$F$91))-F16+G16-SUMPRODUCT(MIN(($A$2:$A$91=$A16)*($E$2:$E$91=$E16)*$G$2:$G$91+(1-($A$2:$A$91=$A16)*($E$2:$E$91=$E16))*999)))/2</f>
        <v>18</v>
      </c>
      <c r="J16" s="12" t="n">
        <v>741</v>
      </c>
      <c r="K16" s="12" t="n">
        <v>725</v>
      </c>
      <c r="L16" s="13" t="n">
        <f aca="false">J16-K16</f>
        <v>16</v>
      </c>
      <c r="M16" s="14" t="n">
        <f aca="false">IF(POWER(J16,INDEX(球季參數!$D$2:$D$4,MATCH($A16,球季參數!$A$2:$A$4,0)))+POWER(K16,INDEX(球季參數!$D$2:$D$4,MATCH($A16,球季參數!$A$2:$A$4,0)))=0,0,POWER(J16,INDEX(球季參數!$D$2:$D$4,MATCH($A16,球季參數!$A$2:$A$4,0)))/(POWER(J16,INDEX(球季參數!$D$2:$D$4,MATCH($A16,球季參數!$A$2:$A$4,0)))+POWER(K16,INDEX(球季參數!$D$2:$D$4,MATCH($A16,球季參數!$A$2:$A$4,0)))))</f>
        <v>0.509985426146897</v>
      </c>
      <c r="N16" s="16" t="n">
        <f aca="false">M16*(F16+G16)</f>
        <v>82.6176390357972</v>
      </c>
      <c r="O16" s="16" t="n">
        <f aca="false">F16-N16</f>
        <v>-1.61763903579724</v>
      </c>
    </row>
    <row r="17" customFormat="false" ht="15" hidden="false" customHeight="false" outlineLevel="0" collapsed="false">
      <c r="A17" s="5" t="n">
        <v>2024</v>
      </c>
      <c r="B17" s="7" t="s">
        <v>404</v>
      </c>
      <c r="C17" s="10" t="str">
        <f aca="false">INDEX(球隊主檔!$C$2:$C$31,MATCH($B17,球隊主檔!$A$2:$A$31,0))</f>
        <v>亞特蘭大勇士</v>
      </c>
      <c r="D17" s="10" t="str">
        <f aca="false">INDEX(球隊主檔!$D$2:$D$31,MATCH($B17,球隊主檔!$A$2:$A$31,0))</f>
        <v>國聯</v>
      </c>
      <c r="E17" s="10" t="str">
        <f aca="false">INDEX(球隊主檔!$E$2:$E$31,MATCH($B17,球隊主檔!$A$2:$A$31,0))</f>
        <v>國東</v>
      </c>
      <c r="F17" s="12" t="n">
        <v>79</v>
      </c>
      <c r="G17" s="13" t="n">
        <f aca="false">INDEX(球季參數!$B$2:$B$4,MATCH($A17,球季參數!$A$2:$A$4,0))-F17</f>
        <v>83</v>
      </c>
      <c r="H17" s="14" t="n">
        <f aca="false">IF(F17+G17=0,0,F17/(F17+G17))</f>
        <v>0.487654320987654</v>
      </c>
      <c r="I17" s="16" t="n">
        <f aca="false">(SUMPRODUCT(MAX(($A$2:$A$91=$A17)*($E$2:$E$91=$E17)*$F$2:$F$91))-F17+G17-SUMPRODUCT(MIN(($A$2:$A$91=$A17)*($E$2:$E$91=$E17)*$G$2:$G$91+(1-($A$2:$A$91=$A17)*($E$2:$E$91=$E17))*999)))/2</f>
        <v>2</v>
      </c>
      <c r="J17" s="12" t="n">
        <v>664</v>
      </c>
      <c r="K17" s="12" t="n">
        <v>678</v>
      </c>
      <c r="L17" s="13" t="n">
        <f aca="false">J17-K17</f>
        <v>-14</v>
      </c>
      <c r="M17" s="14" t="n">
        <f aca="false">IF(POWER(J17,INDEX(球季參數!$D$2:$D$4,MATCH($A17,球季參數!$A$2:$A$4,0)))+POWER(K17,INDEX(球季參數!$D$2:$D$4,MATCH($A17,球季參數!$A$2:$A$4,0)))=0,0,POWER(J17,INDEX(球季參數!$D$2:$D$4,MATCH($A17,球季參數!$A$2:$A$4,0)))/(POWER(J17,INDEX(球季參數!$D$2:$D$4,MATCH($A17,球季參數!$A$2:$A$4,0)))+POWER(K17,INDEX(球季參數!$D$2:$D$4,MATCH($A17,球季參數!$A$2:$A$4,0)))))</f>
        <v>0.490455358764285</v>
      </c>
      <c r="N17" s="16" t="n">
        <f aca="false">M17*(F17+G17)</f>
        <v>79.4537681198142</v>
      </c>
      <c r="O17" s="16" t="n">
        <f aca="false">F17-N17</f>
        <v>-0.453768119814214</v>
      </c>
    </row>
    <row r="18" customFormat="false" ht="15" hidden="false" customHeight="false" outlineLevel="0" collapsed="false">
      <c r="A18" s="5" t="n">
        <v>2024</v>
      </c>
      <c r="B18" s="7" t="s">
        <v>410</v>
      </c>
      <c r="C18" s="10" t="str">
        <f aca="false">INDEX(球隊主檔!$C$2:$C$31,MATCH($B18,球隊主檔!$A$2:$A$31,0))</f>
        <v>邁阿密馬林魚</v>
      </c>
      <c r="D18" s="10" t="str">
        <f aca="false">INDEX(球隊主檔!$D$2:$D$31,MATCH($B18,球隊主檔!$A$2:$A$31,0))</f>
        <v>國聯</v>
      </c>
      <c r="E18" s="10" t="str">
        <f aca="false">INDEX(球隊主檔!$E$2:$E$31,MATCH($B18,球隊主檔!$A$2:$A$31,0))</f>
        <v>國東</v>
      </c>
      <c r="F18" s="12" t="n">
        <v>77</v>
      </c>
      <c r="G18" s="13" t="n">
        <f aca="false">INDEX(球季參數!$B$2:$B$4,MATCH($A18,球季參數!$A$2:$A$4,0))-F18</f>
        <v>85</v>
      </c>
      <c r="H18" s="14" t="n">
        <f aca="false">IF(F18+G18=0,0,F18/(F18+G18))</f>
        <v>0.475308641975309</v>
      </c>
      <c r="I18" s="16" t="n">
        <f aca="false">(SUMPRODUCT(MAX(($A$2:$A$91=$A18)*($E$2:$E$91=$E18)*$F$2:$F$91))-F18+G18-SUMPRODUCT(MIN(($A$2:$A$91=$A18)*($E$2:$E$91=$E18)*$G$2:$G$91+(1-($A$2:$A$91=$A18)*($E$2:$E$91=$E18))*999)))/2</f>
        <v>4</v>
      </c>
      <c r="J18" s="12" t="n">
        <v>685</v>
      </c>
      <c r="K18" s="12" t="n">
        <v>693</v>
      </c>
      <c r="L18" s="13" t="n">
        <f aca="false">J18-K18</f>
        <v>-8</v>
      </c>
      <c r="M18" s="14" t="n">
        <f aca="false">IF(POWER(J18,INDEX(球季參數!$D$2:$D$4,MATCH($A18,球季參數!$A$2:$A$4,0)))+POWER(K18,INDEX(球季參數!$D$2:$D$4,MATCH($A18,球季參數!$A$2:$A$4,0)))=0,0,POWER(J18,INDEX(球季參數!$D$2:$D$4,MATCH($A18,球季參數!$A$2:$A$4,0)))/(POWER(J18,INDEX(球季參數!$D$2:$D$4,MATCH($A18,球季參數!$A$2:$A$4,0)))+POWER(K18,INDEX(球季參數!$D$2:$D$4,MATCH($A18,球季參數!$A$2:$A$4,0)))))</f>
        <v>0.494688093732584</v>
      </c>
      <c r="N18" s="16" t="n">
        <f aca="false">M18*(F18+G18)</f>
        <v>80.1394711846786</v>
      </c>
      <c r="O18" s="16" t="n">
        <f aca="false">F18-N18</f>
        <v>-3.13947118467861</v>
      </c>
    </row>
    <row r="19" customFormat="false" ht="15" hidden="false" customHeight="false" outlineLevel="0" collapsed="false">
      <c r="A19" s="5" t="n">
        <v>2024</v>
      </c>
      <c r="B19" s="7" t="s">
        <v>414</v>
      </c>
      <c r="C19" s="10" t="str">
        <f aca="false">INDEX(球隊主檔!$C$2:$C$31,MATCH($B19,球隊主檔!$A$2:$A$31,0))</f>
        <v>紐約大都會</v>
      </c>
      <c r="D19" s="10" t="str">
        <f aca="false">INDEX(球隊主檔!$D$2:$D$31,MATCH($B19,球隊主檔!$A$2:$A$31,0))</f>
        <v>國聯</v>
      </c>
      <c r="E19" s="10" t="str">
        <f aca="false">INDEX(球隊主檔!$E$2:$E$31,MATCH($B19,球隊主檔!$A$2:$A$31,0))</f>
        <v>國東</v>
      </c>
      <c r="F19" s="12" t="n">
        <v>76</v>
      </c>
      <c r="G19" s="13" t="n">
        <f aca="false">INDEX(球季參數!$B$2:$B$4,MATCH($A19,球季參數!$A$2:$A$4,0))-F19</f>
        <v>86</v>
      </c>
      <c r="H19" s="14" t="n">
        <f aca="false">IF(F19+G19=0,0,F19/(F19+G19))</f>
        <v>0.469135802469136</v>
      </c>
      <c r="I19" s="16" t="n">
        <f aca="false">(SUMPRODUCT(MAX(($A$2:$A$91=$A19)*($E$2:$E$91=$E19)*$F$2:$F$91))-F19+G19-SUMPRODUCT(MIN(($A$2:$A$91=$A19)*($E$2:$E$91=$E19)*$G$2:$G$91+(1-($A$2:$A$91=$A19)*($E$2:$E$91=$E19))*999)))/2</f>
        <v>5</v>
      </c>
      <c r="J19" s="12" t="n">
        <v>701</v>
      </c>
      <c r="K19" s="12" t="n">
        <v>727</v>
      </c>
      <c r="L19" s="13" t="n">
        <f aca="false">J19-K19</f>
        <v>-26</v>
      </c>
      <c r="M19" s="14" t="n">
        <f aca="false">IF(POWER(J19,INDEX(球季參數!$D$2:$D$4,MATCH($A19,球季參數!$A$2:$A$4,0)))+POWER(K19,INDEX(球季參數!$D$2:$D$4,MATCH($A19,球季參數!$A$2:$A$4,0)))=0,0,POWER(J19,INDEX(球季參數!$D$2:$D$4,MATCH($A19,球季參數!$A$2:$A$4,0)))/(POWER(J19,INDEX(球季參數!$D$2:$D$4,MATCH($A19,球季參數!$A$2:$A$4,0)))+POWER(K19,INDEX(球季參數!$D$2:$D$4,MATCH($A19,球季參數!$A$2:$A$4,0)))))</f>
        <v>0.483344659214999</v>
      </c>
      <c r="N19" s="16" t="n">
        <f aca="false">M19*(F19+G19)</f>
        <v>78.3018347928298</v>
      </c>
      <c r="O19" s="16" t="n">
        <f aca="false">F19-N19</f>
        <v>-2.30183479282984</v>
      </c>
    </row>
    <row r="20" customFormat="false" ht="15" hidden="false" customHeight="false" outlineLevel="0" collapsed="false">
      <c r="A20" s="5" t="n">
        <v>2024</v>
      </c>
      <c r="B20" s="7" t="s">
        <v>418</v>
      </c>
      <c r="C20" s="10" t="str">
        <f aca="false">INDEX(球隊主檔!$C$2:$C$31,MATCH($B20,球隊主檔!$A$2:$A$31,0))</f>
        <v>費城費城人</v>
      </c>
      <c r="D20" s="10" t="str">
        <f aca="false">INDEX(球隊主檔!$D$2:$D$31,MATCH($B20,球隊主檔!$A$2:$A$31,0))</f>
        <v>國聯</v>
      </c>
      <c r="E20" s="10" t="str">
        <f aca="false">INDEX(球隊主檔!$E$2:$E$31,MATCH($B20,球隊主檔!$A$2:$A$31,0))</f>
        <v>國東</v>
      </c>
      <c r="F20" s="12" t="n">
        <v>73</v>
      </c>
      <c r="G20" s="13" t="n">
        <f aca="false">INDEX(球季參數!$B$2:$B$4,MATCH($A20,球季參數!$A$2:$A$4,0))-F20</f>
        <v>89</v>
      </c>
      <c r="H20" s="14" t="n">
        <f aca="false">IF(F20+G20=0,0,F20/(F20+G20))</f>
        <v>0.450617283950617</v>
      </c>
      <c r="I20" s="16" t="n">
        <f aca="false">(SUMPRODUCT(MAX(($A$2:$A$91=$A20)*($E$2:$E$91=$E20)*$F$2:$F$91))-F20+G20-SUMPRODUCT(MIN(($A$2:$A$91=$A20)*($E$2:$E$91=$E20)*$G$2:$G$91+(1-($A$2:$A$91=$A20)*($E$2:$E$91=$E20))*999)))/2</f>
        <v>8</v>
      </c>
      <c r="J20" s="12" t="n">
        <v>687</v>
      </c>
      <c r="K20" s="12" t="n">
        <v>752</v>
      </c>
      <c r="L20" s="13" t="n">
        <f aca="false">J20-K20</f>
        <v>-65</v>
      </c>
      <c r="M20" s="14" t="n">
        <f aca="false">IF(POWER(J20,INDEX(球季參數!$D$2:$D$4,MATCH($A20,球季參數!$A$2:$A$4,0)))+POWER(K20,INDEX(球季參數!$D$2:$D$4,MATCH($A20,球季參數!$A$2:$A$4,0)))=0,0,POWER(J20,INDEX(球季參數!$D$2:$D$4,MATCH($A20,球季參數!$A$2:$A$4,0)))/(POWER(J20,INDEX(球季參數!$D$2:$D$4,MATCH($A20,球季參數!$A$2:$A$4,0)))+POWER(K20,INDEX(球季參數!$D$2:$D$4,MATCH($A20,球季參數!$A$2:$A$4,0)))))</f>
        <v>0.458735142326621</v>
      </c>
      <c r="N20" s="16" t="n">
        <f aca="false">M20*(F20+G20)</f>
        <v>74.3150930569126</v>
      </c>
      <c r="O20" s="16" t="n">
        <f aca="false">F20-N20</f>
        <v>-1.31509305691256</v>
      </c>
    </row>
    <row r="21" customFormat="false" ht="15" hidden="false" customHeight="false" outlineLevel="0" collapsed="false">
      <c r="A21" s="5" t="n">
        <v>2024</v>
      </c>
      <c r="B21" s="7" t="s">
        <v>422</v>
      </c>
      <c r="C21" s="10" t="str">
        <f aca="false">INDEX(球隊主檔!$C$2:$C$31,MATCH($B21,球隊主檔!$A$2:$A$31,0))</f>
        <v>華盛頓國民</v>
      </c>
      <c r="D21" s="10" t="str">
        <f aca="false">INDEX(球隊主檔!$D$2:$D$31,MATCH($B21,球隊主檔!$A$2:$A$31,0))</f>
        <v>國聯</v>
      </c>
      <c r="E21" s="10" t="str">
        <f aca="false">INDEX(球隊主檔!$E$2:$E$31,MATCH($B21,球隊主檔!$A$2:$A$31,0))</f>
        <v>國東</v>
      </c>
      <c r="F21" s="12" t="n">
        <v>81</v>
      </c>
      <c r="G21" s="13" t="n">
        <f aca="false">INDEX(球季參數!$B$2:$B$4,MATCH($A21,球季參數!$A$2:$A$4,0))-F21</f>
        <v>81</v>
      </c>
      <c r="H21" s="14" t="n">
        <f aca="false">IF(F21+G21=0,0,F21/(F21+G21))</f>
        <v>0.5</v>
      </c>
      <c r="I21" s="16" t="n">
        <f aca="false">(SUMPRODUCT(MAX(($A$2:$A$91=$A21)*($E$2:$E$91=$E21)*$F$2:$F$91))-F21+G21-SUMPRODUCT(MIN(($A$2:$A$91=$A21)*($E$2:$E$91=$E21)*$G$2:$G$91+(1-($A$2:$A$91=$A21)*($E$2:$E$91=$E21))*999)))/2</f>
        <v>0</v>
      </c>
      <c r="J21" s="12" t="n">
        <v>770</v>
      </c>
      <c r="K21" s="12" t="n">
        <v>742</v>
      </c>
      <c r="L21" s="13" t="n">
        <f aca="false">J21-K21</f>
        <v>28</v>
      </c>
      <c r="M21" s="14" t="n">
        <f aca="false">IF(POWER(J21,INDEX(球季參數!$D$2:$D$4,MATCH($A21,球季參數!$A$2:$A$4,0)))+POWER(K21,INDEX(球季參數!$D$2:$D$4,MATCH($A21,球季參數!$A$2:$A$4,0)))=0,0,POWER(J21,INDEX(球季參數!$D$2:$D$4,MATCH($A21,球季參數!$A$2:$A$4,0)))/(POWER(J21,INDEX(球季參數!$D$2:$D$4,MATCH($A21,球季參數!$A$2:$A$4,0)))+POWER(K21,INDEX(球季參數!$D$2:$D$4,MATCH($A21,球季參數!$A$2:$A$4,0)))))</f>
        <v>0.516939895894626</v>
      </c>
      <c r="N21" s="16" t="n">
        <f aca="false">M21*(F21+G21)</f>
        <v>83.7442631349294</v>
      </c>
      <c r="O21" s="16" t="n">
        <f aca="false">F21-N21</f>
        <v>-2.74426313492943</v>
      </c>
    </row>
    <row r="22" customFormat="false" ht="15" hidden="false" customHeight="false" outlineLevel="0" collapsed="false">
      <c r="A22" s="5" t="n">
        <v>2024</v>
      </c>
      <c r="B22" s="7" t="s">
        <v>426</v>
      </c>
      <c r="C22" s="10" t="str">
        <f aca="false">INDEX(球隊主檔!$C$2:$C$31,MATCH($B22,球隊主檔!$A$2:$A$31,0))</f>
        <v>芝加哥小熊</v>
      </c>
      <c r="D22" s="10" t="str">
        <f aca="false">INDEX(球隊主檔!$D$2:$D$31,MATCH($B22,球隊主檔!$A$2:$A$31,0))</f>
        <v>國聯</v>
      </c>
      <c r="E22" s="10" t="str">
        <f aca="false">INDEX(球隊主檔!$E$2:$E$31,MATCH($B22,球隊主檔!$A$2:$A$31,0))</f>
        <v>國中</v>
      </c>
      <c r="F22" s="12" t="n">
        <v>74</v>
      </c>
      <c r="G22" s="13" t="n">
        <f aca="false">INDEX(球季參數!$B$2:$B$4,MATCH($A22,球季參數!$A$2:$A$4,0))-F22</f>
        <v>88</v>
      </c>
      <c r="H22" s="14" t="n">
        <f aca="false">IF(F22+G22=0,0,F22/(F22+G22))</f>
        <v>0.45679012345679</v>
      </c>
      <c r="I22" s="16" t="n">
        <f aca="false">(SUMPRODUCT(MAX(($A$2:$A$91=$A22)*($E$2:$E$91=$E22)*$F$2:$F$91))-F22+G22-SUMPRODUCT(MIN(($A$2:$A$91=$A22)*($E$2:$E$91=$E22)*$G$2:$G$91+(1-($A$2:$A$91=$A22)*($E$2:$E$91=$E22))*999)))/2</f>
        <v>14</v>
      </c>
      <c r="J22" s="12" t="n">
        <v>680</v>
      </c>
      <c r="K22" s="12" t="n">
        <v>775</v>
      </c>
      <c r="L22" s="13" t="n">
        <f aca="false">J22-K22</f>
        <v>-95</v>
      </c>
      <c r="M22" s="14" t="n">
        <f aca="false">IF(POWER(J22,INDEX(球季參數!$D$2:$D$4,MATCH($A22,球季參數!$A$2:$A$4,0)))+POWER(K22,INDEX(球季參數!$D$2:$D$4,MATCH($A22,球季參數!$A$2:$A$4,0)))=0,0,POWER(J22,INDEX(球季參數!$D$2:$D$4,MATCH($A22,球季參數!$A$2:$A$4,0)))/(POWER(J22,INDEX(球季參數!$D$2:$D$4,MATCH($A22,球季參數!$A$2:$A$4,0)))+POWER(K22,INDEX(球季參數!$D$2:$D$4,MATCH($A22,球季參數!$A$2:$A$4,0)))))</f>
        <v>0.440456514928405</v>
      </c>
      <c r="N22" s="16" t="n">
        <f aca="false">M22*(F22+G22)</f>
        <v>71.3539554184015</v>
      </c>
      <c r="O22" s="16" t="n">
        <f aca="false">F22-N22</f>
        <v>2.64604458159846</v>
      </c>
    </row>
    <row r="23" customFormat="false" ht="15" hidden="false" customHeight="false" outlineLevel="0" collapsed="false">
      <c r="A23" s="5" t="n">
        <v>2024</v>
      </c>
      <c r="B23" s="7" t="s">
        <v>430</v>
      </c>
      <c r="C23" s="10" t="str">
        <f aca="false">INDEX(球隊主檔!$C$2:$C$31,MATCH($B23,球隊主檔!$A$2:$A$31,0))</f>
        <v>辛辛那提紅人</v>
      </c>
      <c r="D23" s="10" t="str">
        <f aca="false">INDEX(球隊主檔!$D$2:$D$31,MATCH($B23,球隊主檔!$A$2:$A$31,0))</f>
        <v>國聯</v>
      </c>
      <c r="E23" s="10" t="str">
        <f aca="false">INDEX(球隊主檔!$E$2:$E$31,MATCH($B23,球隊主檔!$A$2:$A$31,0))</f>
        <v>國中</v>
      </c>
      <c r="F23" s="12" t="n">
        <v>75</v>
      </c>
      <c r="G23" s="13" t="n">
        <f aca="false">INDEX(球季參數!$B$2:$B$4,MATCH($A23,球季參數!$A$2:$A$4,0))-F23</f>
        <v>87</v>
      </c>
      <c r="H23" s="14" t="n">
        <f aca="false">IF(F23+G23=0,0,F23/(F23+G23))</f>
        <v>0.462962962962963</v>
      </c>
      <c r="I23" s="16" t="n">
        <f aca="false">(SUMPRODUCT(MAX(($A$2:$A$91=$A23)*($E$2:$E$91=$E23)*$F$2:$F$91))-F23+G23-SUMPRODUCT(MIN(($A$2:$A$91=$A23)*($E$2:$E$91=$E23)*$G$2:$G$91+(1-($A$2:$A$91=$A23)*($E$2:$E$91=$E23))*999)))/2</f>
        <v>13</v>
      </c>
      <c r="J23" s="12" t="n">
        <v>619</v>
      </c>
      <c r="K23" s="12" t="n">
        <v>688</v>
      </c>
      <c r="L23" s="13" t="n">
        <f aca="false">J23-K23</f>
        <v>-69</v>
      </c>
      <c r="M23" s="14" t="n">
        <f aca="false">IF(POWER(J23,INDEX(球季參數!$D$2:$D$4,MATCH($A23,球季參數!$A$2:$A$4,0)))+POWER(K23,INDEX(球季參數!$D$2:$D$4,MATCH($A23,球季參數!$A$2:$A$4,0)))=0,0,POWER(J23,INDEX(球季參數!$D$2:$D$4,MATCH($A23,球季參數!$A$2:$A$4,0)))/(POWER(J23,INDEX(球季參數!$D$2:$D$4,MATCH($A23,球季參數!$A$2:$A$4,0)))+POWER(K23,INDEX(球季參數!$D$2:$D$4,MATCH($A23,球季參數!$A$2:$A$4,0)))))</f>
        <v>0.451799914657915</v>
      </c>
      <c r="N23" s="16" t="n">
        <f aca="false">M23*(F23+G23)</f>
        <v>73.1915861745822</v>
      </c>
      <c r="O23" s="16" t="n">
        <f aca="false">F23-N23</f>
        <v>1.80841382541779</v>
      </c>
    </row>
    <row r="24" customFormat="false" ht="15" hidden="false" customHeight="false" outlineLevel="0" collapsed="false">
      <c r="A24" s="5" t="n">
        <v>2024</v>
      </c>
      <c r="B24" s="7" t="s">
        <v>434</v>
      </c>
      <c r="C24" s="10" t="str">
        <f aca="false">INDEX(球隊主檔!$C$2:$C$31,MATCH($B24,球隊主檔!$A$2:$A$31,0))</f>
        <v>密爾瓦基釀酒人</v>
      </c>
      <c r="D24" s="10" t="str">
        <f aca="false">INDEX(球隊主檔!$D$2:$D$31,MATCH($B24,球隊主檔!$A$2:$A$31,0))</f>
        <v>國聯</v>
      </c>
      <c r="E24" s="10" t="str">
        <f aca="false">INDEX(球隊主檔!$E$2:$E$31,MATCH($B24,球隊主檔!$A$2:$A$31,0))</f>
        <v>國中</v>
      </c>
      <c r="F24" s="12" t="n">
        <v>73</v>
      </c>
      <c r="G24" s="13" t="n">
        <f aca="false">INDEX(球季參數!$B$2:$B$4,MATCH($A24,球季參數!$A$2:$A$4,0))-F24</f>
        <v>89</v>
      </c>
      <c r="H24" s="14" t="n">
        <f aca="false">IF(F24+G24=0,0,F24/(F24+G24))</f>
        <v>0.450617283950617</v>
      </c>
      <c r="I24" s="16" t="n">
        <f aca="false">(SUMPRODUCT(MAX(($A$2:$A$91=$A24)*($E$2:$E$91=$E24)*$F$2:$F$91))-F24+G24-SUMPRODUCT(MIN(($A$2:$A$91=$A24)*($E$2:$E$91=$E24)*$G$2:$G$91+(1-($A$2:$A$91=$A24)*($E$2:$E$91=$E24))*999)))/2</f>
        <v>15</v>
      </c>
      <c r="J24" s="12" t="n">
        <v>668</v>
      </c>
      <c r="K24" s="12" t="n">
        <v>744</v>
      </c>
      <c r="L24" s="13" t="n">
        <f aca="false">J24-K24</f>
        <v>-76</v>
      </c>
      <c r="M24" s="14" t="n">
        <f aca="false">IF(POWER(J24,INDEX(球季參數!$D$2:$D$4,MATCH($A24,球季參數!$A$2:$A$4,0)))+POWER(K24,INDEX(球季參數!$D$2:$D$4,MATCH($A24,球季參數!$A$2:$A$4,0)))=0,0,POWER(J24,INDEX(球季參數!$D$2:$D$4,MATCH($A24,球季參數!$A$2:$A$4,0)))/(POWER(J24,INDEX(球季參數!$D$2:$D$4,MATCH($A24,球季參數!$A$2:$A$4,0)))+POWER(K24,INDEX(球季參數!$D$2:$D$4,MATCH($A24,球季參數!$A$2:$A$4,0)))))</f>
        <v>0.450862181699784</v>
      </c>
      <c r="N24" s="16" t="n">
        <f aca="false">M24*(F24+G24)</f>
        <v>73.0396734353649</v>
      </c>
      <c r="O24" s="16" t="n">
        <f aca="false">F24-N24</f>
        <v>-0.0396734353649322</v>
      </c>
    </row>
    <row r="25" customFormat="false" ht="15" hidden="false" customHeight="false" outlineLevel="0" collapsed="false">
      <c r="A25" s="5" t="n">
        <v>2024</v>
      </c>
      <c r="B25" s="7" t="s">
        <v>438</v>
      </c>
      <c r="C25" s="10" t="str">
        <f aca="false">INDEX(球隊主檔!$C$2:$C$31,MATCH($B25,球隊主檔!$A$2:$A$31,0))</f>
        <v>匹茲堡海盜</v>
      </c>
      <c r="D25" s="10" t="str">
        <f aca="false">INDEX(球隊主檔!$D$2:$D$31,MATCH($B25,球隊主檔!$A$2:$A$31,0))</f>
        <v>國聯</v>
      </c>
      <c r="E25" s="10" t="str">
        <f aca="false">INDEX(球隊主檔!$E$2:$E$31,MATCH($B25,球隊主檔!$A$2:$A$31,0))</f>
        <v>國中</v>
      </c>
      <c r="F25" s="12" t="n">
        <v>88</v>
      </c>
      <c r="G25" s="13" t="n">
        <f aca="false">INDEX(球季參數!$B$2:$B$4,MATCH($A25,球季參數!$A$2:$A$4,0))-F25</f>
        <v>74</v>
      </c>
      <c r="H25" s="14" t="n">
        <f aca="false">IF(F25+G25=0,0,F25/(F25+G25))</f>
        <v>0.54320987654321</v>
      </c>
      <c r="I25" s="16" t="n">
        <f aca="false">(SUMPRODUCT(MAX(($A$2:$A$91=$A25)*($E$2:$E$91=$E25)*$F$2:$F$91))-F25+G25-SUMPRODUCT(MIN(($A$2:$A$91=$A25)*($E$2:$E$91=$E25)*$G$2:$G$91+(1-($A$2:$A$91=$A25)*($E$2:$E$91=$E25))*999)))/2</f>
        <v>0</v>
      </c>
      <c r="J25" s="12" t="n">
        <v>702</v>
      </c>
      <c r="K25" s="12" t="n">
        <v>627</v>
      </c>
      <c r="L25" s="13" t="n">
        <f aca="false">J25-K25</f>
        <v>75</v>
      </c>
      <c r="M25" s="14" t="n">
        <f aca="false">IF(POWER(J25,INDEX(球季參數!$D$2:$D$4,MATCH($A25,球季參數!$A$2:$A$4,0)))+POWER(K25,INDEX(球季參數!$D$2:$D$4,MATCH($A25,球季參數!$A$2:$A$4,0)))=0,0,POWER(J25,INDEX(球季參數!$D$2:$D$4,MATCH($A25,球季參數!$A$2:$A$4,0)))/(POWER(J25,INDEX(球季參數!$D$2:$D$4,MATCH($A25,球季參數!$A$2:$A$4,0)))+POWER(K25,INDEX(球季參數!$D$2:$D$4,MATCH($A25,球季參數!$A$2:$A$4,0)))))</f>
        <v>0.551508113688599</v>
      </c>
      <c r="N25" s="16" t="n">
        <f aca="false">M25*(F25+G25)</f>
        <v>89.344314417553</v>
      </c>
      <c r="O25" s="16" t="n">
        <f aca="false">F25-N25</f>
        <v>-1.34431441755304</v>
      </c>
    </row>
    <row r="26" customFormat="false" ht="15" hidden="false" customHeight="false" outlineLevel="0" collapsed="false">
      <c r="A26" s="5" t="n">
        <v>2024</v>
      </c>
      <c r="B26" s="7" t="s">
        <v>442</v>
      </c>
      <c r="C26" s="10" t="str">
        <f aca="false">INDEX(球隊主檔!$C$2:$C$31,MATCH($B26,球隊主檔!$A$2:$A$31,0))</f>
        <v>聖路易紅雀</v>
      </c>
      <c r="D26" s="10" t="str">
        <f aca="false">INDEX(球隊主檔!$D$2:$D$31,MATCH($B26,球隊主檔!$A$2:$A$31,0))</f>
        <v>國聯</v>
      </c>
      <c r="E26" s="10" t="str">
        <f aca="false">INDEX(球隊主檔!$E$2:$E$31,MATCH($B26,球隊主檔!$A$2:$A$31,0))</f>
        <v>國中</v>
      </c>
      <c r="F26" s="12" t="n">
        <v>86</v>
      </c>
      <c r="G26" s="13" t="n">
        <f aca="false">INDEX(球季參數!$B$2:$B$4,MATCH($A26,球季參數!$A$2:$A$4,0))-F26</f>
        <v>76</v>
      </c>
      <c r="H26" s="14" t="n">
        <f aca="false">IF(F26+G26=0,0,F26/(F26+G26))</f>
        <v>0.530864197530864</v>
      </c>
      <c r="I26" s="16" t="n">
        <f aca="false">(SUMPRODUCT(MAX(($A$2:$A$91=$A26)*($E$2:$E$91=$E26)*$F$2:$F$91))-F26+G26-SUMPRODUCT(MIN(($A$2:$A$91=$A26)*($E$2:$E$91=$E26)*$G$2:$G$91+(1-($A$2:$A$91=$A26)*($E$2:$E$91=$E26))*999)))/2</f>
        <v>2</v>
      </c>
      <c r="J26" s="12" t="n">
        <v>732</v>
      </c>
      <c r="K26" s="12" t="n">
        <v>670</v>
      </c>
      <c r="L26" s="13" t="n">
        <f aca="false">J26-K26</f>
        <v>62</v>
      </c>
      <c r="M26" s="14" t="n">
        <f aca="false">IF(POWER(J26,INDEX(球季參數!$D$2:$D$4,MATCH($A26,球季參數!$A$2:$A$4,0)))+POWER(K26,INDEX(球季參數!$D$2:$D$4,MATCH($A26,球季參數!$A$2:$A$4,0)))=0,0,POWER(J26,INDEX(球季參數!$D$2:$D$4,MATCH($A26,球季參數!$A$2:$A$4,0)))/(POWER(J26,INDEX(球季參數!$D$2:$D$4,MATCH($A26,球季參數!$A$2:$A$4,0)))+POWER(K26,INDEX(球季參數!$D$2:$D$4,MATCH($A26,球季參數!$A$2:$A$4,0)))))</f>
        <v>0.540401755158691</v>
      </c>
      <c r="N26" s="16" t="n">
        <f aca="false">M26*(F26+G26)</f>
        <v>87.5450843357079</v>
      </c>
      <c r="O26" s="16" t="n">
        <f aca="false">F26-N26</f>
        <v>-1.5450843357079</v>
      </c>
    </row>
    <row r="27" customFormat="false" ht="15" hidden="false" customHeight="false" outlineLevel="0" collapsed="false">
      <c r="A27" s="5" t="n">
        <v>2024</v>
      </c>
      <c r="B27" s="7" t="s">
        <v>446</v>
      </c>
      <c r="C27" s="10" t="str">
        <f aca="false">INDEX(球隊主檔!$C$2:$C$31,MATCH($B27,球隊主檔!$A$2:$A$31,0))</f>
        <v>亞利桑那響尾蛇</v>
      </c>
      <c r="D27" s="10" t="str">
        <f aca="false">INDEX(球隊主檔!$D$2:$D$31,MATCH($B27,球隊主檔!$A$2:$A$31,0))</f>
        <v>國聯</v>
      </c>
      <c r="E27" s="10" t="str">
        <f aca="false">INDEX(球隊主檔!$E$2:$E$31,MATCH($B27,球隊主檔!$A$2:$A$31,0))</f>
        <v>國西</v>
      </c>
      <c r="F27" s="12" t="n">
        <v>83</v>
      </c>
      <c r="G27" s="13" t="n">
        <f aca="false">INDEX(球季參數!$B$2:$B$4,MATCH($A27,球季參數!$A$2:$A$4,0))-F27</f>
        <v>79</v>
      </c>
      <c r="H27" s="14" t="n">
        <f aca="false">IF(F27+G27=0,0,F27/(F27+G27))</f>
        <v>0.512345679012346</v>
      </c>
      <c r="I27" s="16" t="n">
        <f aca="false">(SUMPRODUCT(MAX(($A$2:$A$91=$A27)*($E$2:$E$91=$E27)*$F$2:$F$91))-F27+G27-SUMPRODUCT(MIN(($A$2:$A$91=$A27)*($E$2:$E$91=$E27)*$G$2:$G$91+(1-($A$2:$A$91=$A27)*($E$2:$E$91=$E27))*999)))/2</f>
        <v>6</v>
      </c>
      <c r="J27" s="12" t="n">
        <v>674</v>
      </c>
      <c r="K27" s="12" t="n">
        <v>674</v>
      </c>
      <c r="L27" s="13" t="n">
        <f aca="false">J27-K27</f>
        <v>0</v>
      </c>
      <c r="M27" s="14" t="n">
        <f aca="false">IF(POWER(J27,INDEX(球季參數!$D$2:$D$4,MATCH($A27,球季參數!$A$2:$A$4,0)))+POWER(K27,INDEX(球季參數!$D$2:$D$4,MATCH($A27,球季參數!$A$2:$A$4,0)))=0,0,POWER(J27,INDEX(球季參數!$D$2:$D$4,MATCH($A27,球季參數!$A$2:$A$4,0)))/(POWER(J27,INDEX(球季參數!$D$2:$D$4,MATCH($A27,球季參數!$A$2:$A$4,0)))+POWER(K27,INDEX(球季參數!$D$2:$D$4,MATCH($A27,球季參數!$A$2:$A$4,0)))))</f>
        <v>0.5</v>
      </c>
      <c r="N27" s="16" t="n">
        <f aca="false">M27*(F27+G27)</f>
        <v>81</v>
      </c>
      <c r="O27" s="16" t="n">
        <f aca="false">F27-N27</f>
        <v>2</v>
      </c>
    </row>
    <row r="28" customFormat="false" ht="15" hidden="false" customHeight="false" outlineLevel="0" collapsed="false">
      <c r="A28" s="5" t="n">
        <v>2024</v>
      </c>
      <c r="B28" s="7" t="s">
        <v>451</v>
      </c>
      <c r="C28" s="10" t="str">
        <f aca="false">INDEX(球隊主檔!$C$2:$C$31,MATCH($B28,球隊主檔!$A$2:$A$31,0))</f>
        <v>科羅拉多落磯</v>
      </c>
      <c r="D28" s="10" t="str">
        <f aca="false">INDEX(球隊主檔!$D$2:$D$31,MATCH($B28,球隊主檔!$A$2:$A$31,0))</f>
        <v>國聯</v>
      </c>
      <c r="E28" s="10" t="str">
        <f aca="false">INDEX(球隊主檔!$E$2:$E$31,MATCH($B28,球隊主檔!$A$2:$A$31,0))</f>
        <v>國西</v>
      </c>
      <c r="F28" s="12" t="n">
        <v>89</v>
      </c>
      <c r="G28" s="13" t="n">
        <f aca="false">INDEX(球季參數!$B$2:$B$4,MATCH($A28,球季參數!$A$2:$A$4,0))-F28</f>
        <v>73</v>
      </c>
      <c r="H28" s="14" t="n">
        <f aca="false">IF(F28+G28=0,0,F28/(F28+G28))</f>
        <v>0.549382716049383</v>
      </c>
      <c r="I28" s="16" t="n">
        <f aca="false">(SUMPRODUCT(MAX(($A$2:$A$91=$A28)*($E$2:$E$91=$E28)*$F$2:$F$91))-F28+G28-SUMPRODUCT(MIN(($A$2:$A$91=$A28)*($E$2:$E$91=$E28)*$G$2:$G$91+(1-($A$2:$A$91=$A28)*($E$2:$E$91=$E28))*999)))/2</f>
        <v>0</v>
      </c>
      <c r="J28" s="12" t="n">
        <v>776</v>
      </c>
      <c r="K28" s="12" t="n">
        <v>711</v>
      </c>
      <c r="L28" s="13" t="n">
        <f aca="false">J28-K28</f>
        <v>65</v>
      </c>
      <c r="M28" s="14" t="n">
        <f aca="false">IF(POWER(J28,INDEX(球季參數!$D$2:$D$4,MATCH($A28,球季參數!$A$2:$A$4,0)))+POWER(K28,INDEX(球季參數!$D$2:$D$4,MATCH($A28,球季參數!$A$2:$A$4,0)))=0,0,POWER(J28,INDEX(球季參數!$D$2:$D$4,MATCH($A28,球季參數!$A$2:$A$4,0)))/(POWER(J28,INDEX(球季參數!$D$2:$D$4,MATCH($A28,球季參數!$A$2:$A$4,0)))+POWER(K28,INDEX(球季參數!$D$2:$D$4,MATCH($A28,球季參數!$A$2:$A$4,0)))))</f>
        <v>0.539936884724407</v>
      </c>
      <c r="N28" s="16" t="n">
        <f aca="false">M28*(F28+G28)</f>
        <v>87.469775325354</v>
      </c>
      <c r="O28" s="16" t="n">
        <f aca="false">F28-N28</f>
        <v>1.53022467464602</v>
      </c>
    </row>
    <row r="29" customFormat="false" ht="15" hidden="false" customHeight="false" outlineLevel="0" collapsed="false">
      <c r="A29" s="5" t="n">
        <v>2024</v>
      </c>
      <c r="B29" s="7" t="s">
        <v>455</v>
      </c>
      <c r="C29" s="10" t="str">
        <f aca="false">INDEX(球隊主檔!$C$2:$C$31,MATCH($B29,球隊主檔!$A$2:$A$31,0))</f>
        <v>洛杉磯道奇</v>
      </c>
      <c r="D29" s="10" t="str">
        <f aca="false">INDEX(球隊主檔!$D$2:$D$31,MATCH($B29,球隊主檔!$A$2:$A$31,0))</f>
        <v>國聯</v>
      </c>
      <c r="E29" s="10" t="str">
        <f aca="false">INDEX(球隊主檔!$E$2:$E$31,MATCH($B29,球隊主檔!$A$2:$A$31,0))</f>
        <v>國西</v>
      </c>
      <c r="F29" s="12" t="n">
        <v>79</v>
      </c>
      <c r="G29" s="13" t="n">
        <f aca="false">INDEX(球季參數!$B$2:$B$4,MATCH($A29,球季參數!$A$2:$A$4,0))-F29</f>
        <v>83</v>
      </c>
      <c r="H29" s="14" t="n">
        <f aca="false">IF(F29+G29=0,0,F29/(F29+G29))</f>
        <v>0.487654320987654</v>
      </c>
      <c r="I29" s="16" t="n">
        <f aca="false">(SUMPRODUCT(MAX(($A$2:$A$91=$A29)*($E$2:$E$91=$E29)*$F$2:$F$91))-F29+G29-SUMPRODUCT(MIN(($A$2:$A$91=$A29)*($E$2:$E$91=$E29)*$G$2:$G$91+(1-($A$2:$A$91=$A29)*($E$2:$E$91=$E29))*999)))/2</f>
        <v>10</v>
      </c>
      <c r="J29" s="12" t="n">
        <v>672</v>
      </c>
      <c r="K29" s="12" t="n">
        <v>680</v>
      </c>
      <c r="L29" s="13" t="n">
        <f aca="false">J29-K29</f>
        <v>-8</v>
      </c>
      <c r="M29" s="14" t="n">
        <f aca="false">IF(POWER(J29,INDEX(球季參數!$D$2:$D$4,MATCH($A29,球季參數!$A$2:$A$4,0)))+POWER(K29,INDEX(球季參數!$D$2:$D$4,MATCH($A29,球季參數!$A$2:$A$4,0)))=0,0,POWER(J29,INDEX(球季參數!$D$2:$D$4,MATCH($A29,球季參數!$A$2:$A$4,0)))/(POWER(J29,INDEX(球季參數!$D$2:$D$4,MATCH($A29,球季參數!$A$2:$A$4,0)))+POWER(K29,INDEX(球季參數!$D$2:$D$4,MATCH($A29,球季參數!$A$2:$A$4,0)))))</f>
        <v>0.494585947236767</v>
      </c>
      <c r="N29" s="16" t="n">
        <f aca="false">M29*(F29+G29)</f>
        <v>80.1229234523562</v>
      </c>
      <c r="O29" s="16" t="n">
        <f aca="false">F29-N29</f>
        <v>-1.12292345235618</v>
      </c>
    </row>
    <row r="30" customFormat="false" ht="15" hidden="false" customHeight="false" outlineLevel="0" collapsed="false">
      <c r="A30" s="5" t="n">
        <v>2024</v>
      </c>
      <c r="B30" s="7" t="s">
        <v>459</v>
      </c>
      <c r="C30" s="10" t="str">
        <f aca="false">INDEX(球隊主檔!$C$2:$C$31,MATCH($B30,球隊主檔!$A$2:$A$31,0))</f>
        <v>聖地牙哥教士</v>
      </c>
      <c r="D30" s="10" t="str">
        <f aca="false">INDEX(球隊主檔!$D$2:$D$31,MATCH($B30,球隊主檔!$A$2:$A$31,0))</f>
        <v>國聯</v>
      </c>
      <c r="E30" s="10" t="str">
        <f aca="false">INDEX(球隊主檔!$E$2:$E$31,MATCH($B30,球隊主檔!$A$2:$A$31,0))</f>
        <v>國西</v>
      </c>
      <c r="F30" s="12" t="n">
        <v>84</v>
      </c>
      <c r="G30" s="13" t="n">
        <f aca="false">INDEX(球季參數!$B$2:$B$4,MATCH($A30,球季參數!$A$2:$A$4,0))-F30</f>
        <v>78</v>
      </c>
      <c r="H30" s="14" t="n">
        <f aca="false">IF(F30+G30=0,0,F30/(F30+G30))</f>
        <v>0.518518518518519</v>
      </c>
      <c r="I30" s="16" t="n">
        <f aca="false">(SUMPRODUCT(MAX(($A$2:$A$91=$A30)*($E$2:$E$91=$E30)*$F$2:$F$91))-F30+G30-SUMPRODUCT(MIN(($A$2:$A$91=$A30)*($E$2:$E$91=$E30)*$G$2:$G$91+(1-($A$2:$A$91=$A30)*($E$2:$E$91=$E30))*999)))/2</f>
        <v>5</v>
      </c>
      <c r="J30" s="12" t="n">
        <v>718</v>
      </c>
      <c r="K30" s="12" t="n">
        <v>708</v>
      </c>
      <c r="L30" s="13" t="n">
        <f aca="false">J30-K30</f>
        <v>10</v>
      </c>
      <c r="M30" s="14" t="n">
        <f aca="false">IF(POWER(J30,INDEX(球季參數!$D$2:$D$4,MATCH($A30,球季參數!$A$2:$A$4,0)))+POWER(K30,INDEX(球季參數!$D$2:$D$4,MATCH($A30,球季參數!$A$2:$A$4,0)))=0,0,POWER(J30,INDEX(球季參數!$D$2:$D$4,MATCH($A30,球季參數!$A$2:$A$4,0)))/(POWER(J30,INDEX(球季參數!$D$2:$D$4,MATCH($A30,球季參數!$A$2:$A$4,0)))+POWER(K30,INDEX(球季參數!$D$2:$D$4,MATCH($A30,球季參數!$A$2:$A$4,0)))))</f>
        <v>0.506416302736699</v>
      </c>
      <c r="N30" s="16" t="n">
        <f aca="false">M30*(F30+G30)</f>
        <v>82.0394410433452</v>
      </c>
      <c r="O30" s="16" t="n">
        <f aca="false">F30-N30</f>
        <v>1.96055895665481</v>
      </c>
    </row>
    <row r="31" customFormat="false" ht="15" hidden="false" customHeight="false" outlineLevel="0" collapsed="false">
      <c r="A31" s="5" t="n">
        <v>2024</v>
      </c>
      <c r="B31" s="7" t="s">
        <v>463</v>
      </c>
      <c r="C31" s="10" t="str">
        <f aca="false">INDEX(球隊主檔!$C$2:$C$31,MATCH($B31,球隊主檔!$A$2:$A$31,0))</f>
        <v>舊金山巨人</v>
      </c>
      <c r="D31" s="10" t="str">
        <f aca="false">INDEX(球隊主檔!$D$2:$D$31,MATCH($B31,球隊主檔!$A$2:$A$31,0))</f>
        <v>國聯</v>
      </c>
      <c r="E31" s="10" t="str">
        <f aca="false">INDEX(球隊主檔!$E$2:$E$31,MATCH($B31,球隊主檔!$A$2:$A$31,0))</f>
        <v>國西</v>
      </c>
      <c r="F31" s="12" t="n">
        <v>78</v>
      </c>
      <c r="G31" s="13" t="n">
        <f aca="false">INDEX(球季參數!$B$2:$B$4,MATCH($A31,球季參數!$A$2:$A$4,0))-F31</f>
        <v>84</v>
      </c>
      <c r="H31" s="14" t="n">
        <f aca="false">IF(F31+G31=0,0,F31/(F31+G31))</f>
        <v>0.481481481481481</v>
      </c>
      <c r="I31" s="16" t="n">
        <f aca="false">(SUMPRODUCT(MAX(($A$2:$A$91=$A31)*($E$2:$E$91=$E31)*$F$2:$F$91))-F31+G31-SUMPRODUCT(MIN(($A$2:$A$91=$A31)*($E$2:$E$91=$E31)*$G$2:$G$91+(1-($A$2:$A$91=$A31)*($E$2:$E$91=$E31))*999)))/2</f>
        <v>11</v>
      </c>
      <c r="J31" s="12" t="n">
        <v>757</v>
      </c>
      <c r="K31" s="12" t="n">
        <v>767</v>
      </c>
      <c r="L31" s="13" t="n">
        <f aca="false">J31-K31</f>
        <v>-10</v>
      </c>
      <c r="M31" s="14" t="n">
        <f aca="false">IF(POWER(J31,INDEX(球季參數!$D$2:$D$4,MATCH($A31,球季參數!$A$2:$A$4,0)))+POWER(K31,INDEX(球季參數!$D$2:$D$4,MATCH($A31,球季參數!$A$2:$A$4,0)))=0,0,POWER(J31,INDEX(球季參數!$D$2:$D$4,MATCH($A31,球季參數!$A$2:$A$4,0)))/(POWER(J31,INDEX(球季參數!$D$2:$D$4,MATCH($A31,球季參數!$A$2:$A$4,0)))+POWER(K31,INDEX(球季參數!$D$2:$D$4,MATCH($A31,球季參數!$A$2:$A$4,0)))))</f>
        <v>0.493996265385196</v>
      </c>
      <c r="N31" s="16" t="n">
        <f aca="false">M31*(F31+G31)</f>
        <v>80.0273949924017</v>
      </c>
      <c r="O31" s="16" t="n">
        <f aca="false">F31-N31</f>
        <v>-2.02739499240171</v>
      </c>
    </row>
    <row r="32" customFormat="false" ht="15" hidden="false" customHeight="false" outlineLevel="0" collapsed="false">
      <c r="A32" s="5" t="n">
        <v>2025</v>
      </c>
      <c r="B32" s="7" t="s">
        <v>340</v>
      </c>
      <c r="C32" s="10" t="str">
        <f aca="false">INDEX(球隊主檔!$C$2:$C$31,MATCH($B32,球隊主檔!$A$2:$A$31,0))</f>
        <v>巴爾的摩金鶯</v>
      </c>
      <c r="D32" s="10" t="str">
        <f aca="false">INDEX(球隊主檔!$D$2:$D$31,MATCH($B32,球隊主檔!$A$2:$A$31,0))</f>
        <v>美聯</v>
      </c>
      <c r="E32" s="10" t="str">
        <f aca="false">INDEX(球隊主檔!$E$2:$E$31,MATCH($B32,球隊主檔!$A$2:$A$31,0))</f>
        <v>美東</v>
      </c>
      <c r="F32" s="12" t="n">
        <v>84</v>
      </c>
      <c r="G32" s="13" t="n">
        <f aca="false">INDEX(球季參數!$B$2:$B$4,MATCH($A32,球季參數!$A$2:$A$4,0))-F32</f>
        <v>78</v>
      </c>
      <c r="H32" s="14" t="n">
        <f aca="false">IF(F32+G32=0,0,F32/(F32+G32))</f>
        <v>0.518518518518519</v>
      </c>
      <c r="I32" s="16" t="n">
        <f aca="false">(SUMPRODUCT(MAX(($A$2:$A$91=$A32)*($E$2:$E$91=$E32)*$F$2:$F$91))-F32+G32-SUMPRODUCT(MIN(($A$2:$A$91=$A32)*($E$2:$E$91=$E32)*$G$2:$G$91+(1-($A$2:$A$91=$A32)*($E$2:$E$91=$E32))*999)))/2</f>
        <v>11</v>
      </c>
      <c r="J32" s="12" t="n">
        <v>754</v>
      </c>
      <c r="K32" s="12" t="n">
        <v>758</v>
      </c>
      <c r="L32" s="13" t="n">
        <f aca="false">J32-K32</f>
        <v>-4</v>
      </c>
      <c r="M32" s="14" t="n">
        <f aca="false">IF(POWER(J32,INDEX(球季參數!$D$2:$D$4,MATCH($A32,球季參數!$A$2:$A$4,0)))+POWER(K32,INDEX(球季參數!$D$2:$D$4,MATCH($A32,球季參數!$A$2:$A$4,0)))=0,0,POWER(J32,INDEX(球季參數!$D$2:$D$4,MATCH($A32,球季參數!$A$2:$A$4,0)))/(POWER(J32,INDEX(球季參數!$D$2:$D$4,MATCH($A32,球季參數!$A$2:$A$4,0)))+POWER(K32,INDEX(球季參數!$D$2:$D$4,MATCH($A32,球季參數!$A$2:$A$4,0)))))</f>
        <v>0.497579378343738</v>
      </c>
      <c r="N32" s="16" t="n">
        <f aca="false">M32*(F32+G32)</f>
        <v>80.6078592916855</v>
      </c>
      <c r="O32" s="16" t="n">
        <f aca="false">F32-N32</f>
        <v>3.39214070831446</v>
      </c>
    </row>
    <row r="33" customFormat="false" ht="15" hidden="false" customHeight="false" outlineLevel="0" collapsed="false">
      <c r="A33" s="5" t="n">
        <v>2025</v>
      </c>
      <c r="B33" s="7" t="s">
        <v>346</v>
      </c>
      <c r="C33" s="10" t="str">
        <f aca="false">INDEX(球隊主檔!$C$2:$C$31,MATCH($B33,球隊主檔!$A$2:$A$31,0))</f>
        <v>波士頓紅襪</v>
      </c>
      <c r="D33" s="10" t="str">
        <f aca="false">INDEX(球隊主檔!$D$2:$D$31,MATCH($B33,球隊主檔!$A$2:$A$31,0))</f>
        <v>美聯</v>
      </c>
      <c r="E33" s="10" t="str">
        <f aca="false">INDEX(球隊主檔!$E$2:$E$31,MATCH($B33,球隊主檔!$A$2:$A$31,0))</f>
        <v>美東</v>
      </c>
      <c r="F33" s="12" t="n">
        <v>84</v>
      </c>
      <c r="G33" s="13" t="n">
        <f aca="false">INDEX(球季參數!$B$2:$B$4,MATCH($A33,球季參數!$A$2:$A$4,0))-F33</f>
        <v>78</v>
      </c>
      <c r="H33" s="14" t="n">
        <f aca="false">IF(F33+G33=0,0,F33/(F33+G33))</f>
        <v>0.518518518518519</v>
      </c>
      <c r="I33" s="16" t="n">
        <f aca="false">(SUMPRODUCT(MAX(($A$2:$A$91=$A33)*($E$2:$E$91=$E33)*$F$2:$F$91))-F33+G33-SUMPRODUCT(MIN(($A$2:$A$91=$A33)*($E$2:$E$91=$E33)*$G$2:$G$91+(1-($A$2:$A$91=$A33)*($E$2:$E$91=$E33))*999)))/2</f>
        <v>11</v>
      </c>
      <c r="J33" s="12" t="n">
        <v>664</v>
      </c>
      <c r="K33" s="12" t="n">
        <v>636</v>
      </c>
      <c r="L33" s="13" t="n">
        <f aca="false">J33-K33</f>
        <v>28</v>
      </c>
      <c r="M33" s="14" t="n">
        <f aca="false">IF(POWER(J33,INDEX(球季參數!$D$2:$D$4,MATCH($A33,球季參數!$A$2:$A$4,0)))+POWER(K33,INDEX(球季參數!$D$2:$D$4,MATCH($A33,球季參數!$A$2:$A$4,0)))=0,0,POWER(J33,INDEX(球季參數!$D$2:$D$4,MATCH($A33,球季參數!$A$2:$A$4,0)))/(POWER(J33,INDEX(球季參數!$D$2:$D$4,MATCH($A33,球季參數!$A$2:$A$4,0)))+POWER(K33,INDEX(球季參數!$D$2:$D$4,MATCH($A33,球季參數!$A$2:$A$4,0)))))</f>
        <v>0.519700536487319</v>
      </c>
      <c r="N33" s="16" t="n">
        <f aca="false">M33*(F33+G33)</f>
        <v>84.1914869109457</v>
      </c>
      <c r="O33" s="16" t="n">
        <f aca="false">F33-N33</f>
        <v>-0.191486910945713</v>
      </c>
    </row>
    <row r="34" customFormat="false" ht="15" hidden="false" customHeight="false" outlineLevel="0" collapsed="false">
      <c r="A34" s="5" t="n">
        <v>2025</v>
      </c>
      <c r="B34" s="7" t="s">
        <v>350</v>
      </c>
      <c r="C34" s="10" t="str">
        <f aca="false">INDEX(球隊主檔!$C$2:$C$31,MATCH($B34,球隊主檔!$A$2:$A$31,0))</f>
        <v>紐約洋基</v>
      </c>
      <c r="D34" s="10" t="str">
        <f aca="false">INDEX(球隊主檔!$D$2:$D$31,MATCH($B34,球隊主檔!$A$2:$A$31,0))</f>
        <v>美聯</v>
      </c>
      <c r="E34" s="10" t="str">
        <f aca="false">INDEX(球隊主檔!$E$2:$E$31,MATCH($B34,球隊主檔!$A$2:$A$31,0))</f>
        <v>美東</v>
      </c>
      <c r="F34" s="12" t="n">
        <v>95</v>
      </c>
      <c r="G34" s="13" t="n">
        <f aca="false">INDEX(球季參數!$B$2:$B$4,MATCH($A34,球季參數!$A$2:$A$4,0))-F34</f>
        <v>67</v>
      </c>
      <c r="H34" s="14" t="n">
        <f aca="false">IF(F34+G34=0,0,F34/(F34+G34))</f>
        <v>0.58641975308642</v>
      </c>
      <c r="I34" s="16" t="n">
        <f aca="false">(SUMPRODUCT(MAX(($A$2:$A$91=$A34)*($E$2:$E$91=$E34)*$F$2:$F$91))-F34+G34-SUMPRODUCT(MIN(($A$2:$A$91=$A34)*($E$2:$E$91=$E34)*$G$2:$G$91+(1-($A$2:$A$91=$A34)*($E$2:$E$91=$E34))*999)))/2</f>
        <v>0</v>
      </c>
      <c r="J34" s="12" t="n">
        <v>806</v>
      </c>
      <c r="K34" s="12" t="n">
        <v>692</v>
      </c>
      <c r="L34" s="13" t="n">
        <f aca="false">J34-K34</f>
        <v>114</v>
      </c>
      <c r="M34" s="14" t="n">
        <f aca="false">IF(POWER(J34,INDEX(球季參數!$D$2:$D$4,MATCH($A34,球季參數!$A$2:$A$4,0)))+POWER(K34,INDEX(球季參數!$D$2:$D$4,MATCH($A34,球季參數!$A$2:$A$4,0)))=0,0,POWER(J34,INDEX(球季參數!$D$2:$D$4,MATCH($A34,球季參數!$A$2:$A$4,0)))/(POWER(J34,INDEX(球季參數!$D$2:$D$4,MATCH($A34,球季參數!$A$2:$A$4,0)))+POWER(K34,INDEX(球季參數!$D$2:$D$4,MATCH($A34,球季參數!$A$2:$A$4,0)))))</f>
        <v>0.56931844025475</v>
      </c>
      <c r="N34" s="16" t="n">
        <f aca="false">M34*(F34+G34)</f>
        <v>92.2295873212695</v>
      </c>
      <c r="O34" s="16" t="n">
        <f aca="false">F34-N34</f>
        <v>2.77041267873048</v>
      </c>
    </row>
    <row r="35" customFormat="false" ht="15" hidden="false" customHeight="false" outlineLevel="0" collapsed="false">
      <c r="A35" s="5" t="n">
        <v>2025</v>
      </c>
      <c r="B35" s="7" t="s">
        <v>354</v>
      </c>
      <c r="C35" s="10" t="str">
        <f aca="false">INDEX(球隊主檔!$C$2:$C$31,MATCH($B35,球隊主檔!$A$2:$A$31,0))</f>
        <v>坦帕灣光芒</v>
      </c>
      <c r="D35" s="10" t="str">
        <f aca="false">INDEX(球隊主檔!$D$2:$D$31,MATCH($B35,球隊主檔!$A$2:$A$31,0))</f>
        <v>美聯</v>
      </c>
      <c r="E35" s="10" t="str">
        <f aca="false">INDEX(球隊主檔!$E$2:$E$31,MATCH($B35,球隊主檔!$A$2:$A$31,0))</f>
        <v>美東</v>
      </c>
      <c r="F35" s="12" t="n">
        <v>76</v>
      </c>
      <c r="G35" s="13" t="n">
        <f aca="false">INDEX(球季參數!$B$2:$B$4,MATCH($A35,球季參數!$A$2:$A$4,0))-F35</f>
        <v>86</v>
      </c>
      <c r="H35" s="14" t="n">
        <f aca="false">IF(F35+G35=0,0,F35/(F35+G35))</f>
        <v>0.469135802469136</v>
      </c>
      <c r="I35" s="16" t="n">
        <f aca="false">(SUMPRODUCT(MAX(($A$2:$A$91=$A35)*($E$2:$E$91=$E35)*$F$2:$F$91))-F35+G35-SUMPRODUCT(MIN(($A$2:$A$91=$A35)*($E$2:$E$91=$E35)*$G$2:$G$91+(1-($A$2:$A$91=$A35)*($E$2:$E$91=$E35))*999)))/2</f>
        <v>19</v>
      </c>
      <c r="J35" s="12" t="n">
        <v>645</v>
      </c>
      <c r="K35" s="12" t="n">
        <v>680</v>
      </c>
      <c r="L35" s="13" t="n">
        <f aca="false">J35-K35</f>
        <v>-35</v>
      </c>
      <c r="M35" s="14" t="n">
        <f aca="false">IF(POWER(J35,INDEX(球季參數!$D$2:$D$4,MATCH($A35,球季參數!$A$2:$A$4,0)))+POWER(K35,INDEX(球季參數!$D$2:$D$4,MATCH($A35,球季參數!$A$2:$A$4,0)))=0,0,POWER(J35,INDEX(球季參數!$D$2:$D$4,MATCH($A35,球季參數!$A$2:$A$4,0)))/(POWER(J35,INDEX(球季參數!$D$2:$D$4,MATCH($A35,球季參數!$A$2:$A$4,0)))+POWER(K35,INDEX(球季參數!$D$2:$D$4,MATCH($A35,球季參數!$A$2:$A$4,0)))))</f>
        <v>0.475843386335554</v>
      </c>
      <c r="N35" s="16" t="n">
        <f aca="false">M35*(F35+G35)</f>
        <v>77.0866285863597</v>
      </c>
      <c r="O35" s="16" t="n">
        <f aca="false">F35-N35</f>
        <v>-1.08662858635974</v>
      </c>
    </row>
    <row r="36" customFormat="false" ht="15" hidden="false" customHeight="false" outlineLevel="0" collapsed="false">
      <c r="A36" s="5" t="n">
        <v>2025</v>
      </c>
      <c r="B36" s="7" t="s">
        <v>358</v>
      </c>
      <c r="C36" s="10" t="str">
        <f aca="false">INDEX(球隊主檔!$C$2:$C$31,MATCH($B36,球隊主檔!$A$2:$A$31,0))</f>
        <v>多倫多藍鳥</v>
      </c>
      <c r="D36" s="10" t="str">
        <f aca="false">INDEX(球隊主檔!$D$2:$D$31,MATCH($B36,球隊主檔!$A$2:$A$31,0))</f>
        <v>美聯</v>
      </c>
      <c r="E36" s="10" t="str">
        <f aca="false">INDEX(球隊主檔!$E$2:$E$31,MATCH($B36,球隊主檔!$A$2:$A$31,0))</f>
        <v>美東</v>
      </c>
      <c r="F36" s="12" t="n">
        <v>90</v>
      </c>
      <c r="G36" s="13" t="n">
        <f aca="false">INDEX(球季參數!$B$2:$B$4,MATCH($A36,球季參數!$A$2:$A$4,0))-F36</f>
        <v>72</v>
      </c>
      <c r="H36" s="14" t="n">
        <f aca="false">IF(F36+G36=0,0,F36/(F36+G36))</f>
        <v>0.555555555555556</v>
      </c>
      <c r="I36" s="16" t="n">
        <f aca="false">(SUMPRODUCT(MAX(($A$2:$A$91=$A36)*($E$2:$E$91=$E36)*$F$2:$F$91))-F36+G36-SUMPRODUCT(MIN(($A$2:$A$91=$A36)*($E$2:$E$91=$E36)*$G$2:$G$91+(1-($A$2:$A$91=$A36)*($E$2:$E$91=$E36))*999)))/2</f>
        <v>5</v>
      </c>
      <c r="J36" s="12" t="n">
        <v>764</v>
      </c>
      <c r="K36" s="12" t="n">
        <v>662</v>
      </c>
      <c r="L36" s="13" t="n">
        <f aca="false">J36-K36</f>
        <v>102</v>
      </c>
      <c r="M36" s="14" t="n">
        <f aca="false">IF(POWER(J36,INDEX(球季參數!$D$2:$D$4,MATCH($A36,球季參數!$A$2:$A$4,0)))+POWER(K36,INDEX(球季參數!$D$2:$D$4,MATCH($A36,球季參數!$A$2:$A$4,0)))=0,0,POWER(J36,INDEX(球季參數!$D$2:$D$4,MATCH($A36,球季參數!$A$2:$A$4,0)))/(POWER(J36,INDEX(球季參數!$D$2:$D$4,MATCH($A36,球季參數!$A$2:$A$4,0)))+POWER(K36,INDEX(球季參數!$D$2:$D$4,MATCH($A36,球季參數!$A$2:$A$4,0)))))</f>
        <v>0.565187612060587</v>
      </c>
      <c r="N36" s="16" t="n">
        <f aca="false">M36*(F36+G36)</f>
        <v>91.5603931538151</v>
      </c>
      <c r="O36" s="16" t="n">
        <f aca="false">F36-N36</f>
        <v>-1.56039315381507</v>
      </c>
    </row>
    <row r="37" customFormat="false" ht="15" hidden="false" customHeight="false" outlineLevel="0" collapsed="false">
      <c r="A37" s="5" t="n">
        <v>2025</v>
      </c>
      <c r="B37" s="7" t="s">
        <v>362</v>
      </c>
      <c r="C37" s="10" t="str">
        <f aca="false">INDEX(球隊主檔!$C$2:$C$31,MATCH($B37,球隊主檔!$A$2:$A$31,0))</f>
        <v>芝加哥白襪</v>
      </c>
      <c r="D37" s="10" t="str">
        <f aca="false">INDEX(球隊主檔!$D$2:$D$31,MATCH($B37,球隊主檔!$A$2:$A$31,0))</f>
        <v>美聯</v>
      </c>
      <c r="E37" s="10" t="str">
        <f aca="false">INDEX(球隊主檔!$E$2:$E$31,MATCH($B37,球隊主檔!$A$2:$A$31,0))</f>
        <v>美中</v>
      </c>
      <c r="F37" s="12" t="n">
        <v>76</v>
      </c>
      <c r="G37" s="13" t="n">
        <f aca="false">INDEX(球季參數!$B$2:$B$4,MATCH($A37,球季參數!$A$2:$A$4,0))-F37</f>
        <v>86</v>
      </c>
      <c r="H37" s="14" t="n">
        <f aca="false">IF(F37+G37=0,0,F37/(F37+G37))</f>
        <v>0.469135802469136</v>
      </c>
      <c r="I37" s="16" t="n">
        <f aca="false">(SUMPRODUCT(MAX(($A$2:$A$91=$A37)*($E$2:$E$91=$E37)*$F$2:$F$91))-F37+G37-SUMPRODUCT(MIN(($A$2:$A$91=$A37)*($E$2:$E$91=$E37)*$G$2:$G$91+(1-($A$2:$A$91=$A37)*($E$2:$E$91=$E37))*999)))/2</f>
        <v>18</v>
      </c>
      <c r="J37" s="12" t="n">
        <v>672</v>
      </c>
      <c r="K37" s="12" t="n">
        <v>708</v>
      </c>
      <c r="L37" s="13" t="n">
        <f aca="false">J37-K37</f>
        <v>-36</v>
      </c>
      <c r="M37" s="14" t="n">
        <f aca="false">IF(POWER(J37,INDEX(球季參數!$D$2:$D$4,MATCH($A37,球季參數!$A$2:$A$4,0)))+POWER(K37,INDEX(球季參數!$D$2:$D$4,MATCH($A37,球季參數!$A$2:$A$4,0)))=0,0,POWER(J37,INDEX(球季參數!$D$2:$D$4,MATCH($A37,球季參數!$A$2:$A$4,0)))/(POWER(J37,INDEX(球季參數!$D$2:$D$4,MATCH($A37,球季參數!$A$2:$A$4,0)))+POWER(K37,INDEX(球季參數!$D$2:$D$4,MATCH($A37,球季參數!$A$2:$A$4,0)))))</f>
        <v>0.476143146847165</v>
      </c>
      <c r="N37" s="16" t="n">
        <f aca="false">M37*(F37+G37)</f>
        <v>77.1351897892407</v>
      </c>
      <c r="O37" s="16" t="n">
        <f aca="false">F37-N37</f>
        <v>-1.13518978924068</v>
      </c>
    </row>
    <row r="38" customFormat="false" ht="15" hidden="false" customHeight="false" outlineLevel="0" collapsed="false">
      <c r="A38" s="5" t="n">
        <v>2025</v>
      </c>
      <c r="B38" s="7" t="s">
        <v>367</v>
      </c>
      <c r="C38" s="10" t="str">
        <f aca="false">INDEX(球隊主檔!$C$2:$C$31,MATCH($B38,球隊主檔!$A$2:$A$31,0))</f>
        <v>克里夫蘭守護者</v>
      </c>
      <c r="D38" s="10" t="str">
        <f aca="false">INDEX(球隊主檔!$D$2:$D$31,MATCH($B38,球隊主檔!$A$2:$A$31,0))</f>
        <v>美聯</v>
      </c>
      <c r="E38" s="10" t="str">
        <f aca="false">INDEX(球隊主檔!$E$2:$E$31,MATCH($B38,球隊主檔!$A$2:$A$31,0))</f>
        <v>美中</v>
      </c>
      <c r="F38" s="12" t="n">
        <v>81</v>
      </c>
      <c r="G38" s="13" t="n">
        <f aca="false">INDEX(球季參數!$B$2:$B$4,MATCH($A38,球季參數!$A$2:$A$4,0))-F38</f>
        <v>81</v>
      </c>
      <c r="H38" s="14" t="n">
        <f aca="false">IF(F38+G38=0,0,F38/(F38+G38))</f>
        <v>0.5</v>
      </c>
      <c r="I38" s="16" t="n">
        <f aca="false">(SUMPRODUCT(MAX(($A$2:$A$91=$A38)*($E$2:$E$91=$E38)*$F$2:$F$91))-F38+G38-SUMPRODUCT(MIN(($A$2:$A$91=$A38)*($E$2:$E$91=$E38)*$G$2:$G$91+(1-($A$2:$A$91=$A38)*($E$2:$E$91=$E38))*999)))/2</f>
        <v>13</v>
      </c>
      <c r="J38" s="12" t="n">
        <v>760</v>
      </c>
      <c r="K38" s="12" t="n">
        <v>750</v>
      </c>
      <c r="L38" s="13" t="n">
        <f aca="false">J38-K38</f>
        <v>10</v>
      </c>
      <c r="M38" s="14" t="n">
        <f aca="false">IF(POWER(J38,INDEX(球季參數!$D$2:$D$4,MATCH($A38,球季參數!$A$2:$A$4,0)))+POWER(K38,INDEX(球季參數!$D$2:$D$4,MATCH($A38,球季參數!$A$2:$A$4,0)))=0,0,POWER(J38,INDEX(球季參數!$D$2:$D$4,MATCH($A38,球季參數!$A$2:$A$4,0)))/(POWER(J38,INDEX(球季參數!$D$2:$D$4,MATCH($A38,球季參數!$A$2:$A$4,0)))+POWER(K38,INDEX(球季參數!$D$2:$D$4,MATCH($A38,球季參數!$A$2:$A$4,0)))))</f>
        <v>0.506059394574229</v>
      </c>
      <c r="N38" s="16" t="n">
        <f aca="false">M38*(F38+G38)</f>
        <v>81.9816219210251</v>
      </c>
      <c r="O38" s="16" t="n">
        <f aca="false">F38-N38</f>
        <v>-0.981621921025095</v>
      </c>
    </row>
    <row r="39" customFormat="false" ht="15" hidden="false" customHeight="false" outlineLevel="0" collapsed="false">
      <c r="A39" s="5" t="n">
        <v>2025</v>
      </c>
      <c r="B39" s="7" t="s">
        <v>371</v>
      </c>
      <c r="C39" s="10" t="str">
        <f aca="false">INDEX(球隊主檔!$C$2:$C$31,MATCH($B39,球隊主檔!$A$2:$A$31,0))</f>
        <v>底特律老虎</v>
      </c>
      <c r="D39" s="10" t="str">
        <f aca="false">INDEX(球隊主檔!$D$2:$D$31,MATCH($B39,球隊主檔!$A$2:$A$31,0))</f>
        <v>美聯</v>
      </c>
      <c r="E39" s="10" t="str">
        <f aca="false">INDEX(球隊主檔!$E$2:$E$31,MATCH($B39,球隊主檔!$A$2:$A$31,0))</f>
        <v>美中</v>
      </c>
      <c r="F39" s="12" t="n">
        <v>94</v>
      </c>
      <c r="G39" s="13" t="n">
        <f aca="false">INDEX(球季參數!$B$2:$B$4,MATCH($A39,球季參數!$A$2:$A$4,0))-F39</f>
        <v>68</v>
      </c>
      <c r="H39" s="14" t="n">
        <f aca="false">IF(F39+G39=0,0,F39/(F39+G39))</f>
        <v>0.580246913580247</v>
      </c>
      <c r="I39" s="16" t="n">
        <f aca="false">(SUMPRODUCT(MAX(($A$2:$A$91=$A39)*($E$2:$E$91=$E39)*$F$2:$F$91))-F39+G39-SUMPRODUCT(MIN(($A$2:$A$91=$A39)*($E$2:$E$91=$E39)*$G$2:$G$91+(1-($A$2:$A$91=$A39)*($E$2:$E$91=$E39))*999)))/2</f>
        <v>0</v>
      </c>
      <c r="J39" s="12" t="n">
        <v>793</v>
      </c>
      <c r="K39" s="12" t="n">
        <v>672</v>
      </c>
      <c r="L39" s="13" t="n">
        <f aca="false">J39-K39</f>
        <v>121</v>
      </c>
      <c r="M39" s="14" t="n">
        <f aca="false">IF(POWER(J39,INDEX(球季參數!$D$2:$D$4,MATCH($A39,球季參數!$A$2:$A$4,0)))+POWER(K39,INDEX(球季參數!$D$2:$D$4,MATCH($A39,球季參數!$A$2:$A$4,0)))=0,0,POWER(J39,INDEX(球季參數!$D$2:$D$4,MATCH($A39,球季參數!$A$2:$A$4,0)))/(POWER(J39,INDEX(球季參數!$D$2:$D$4,MATCH($A39,球季參數!$A$2:$A$4,0)))+POWER(K39,INDEX(球季參數!$D$2:$D$4,MATCH($A39,球季參數!$A$2:$A$4,0)))))</f>
        <v>0.575171752488786</v>
      </c>
      <c r="N39" s="16" t="n">
        <f aca="false">M39*(F39+G39)</f>
        <v>93.1778239031833</v>
      </c>
      <c r="O39" s="16" t="n">
        <f aca="false">F39-N39</f>
        <v>0.822176096816676</v>
      </c>
    </row>
    <row r="40" customFormat="false" ht="15" hidden="false" customHeight="false" outlineLevel="0" collapsed="false">
      <c r="A40" s="5" t="n">
        <v>2025</v>
      </c>
      <c r="B40" s="7" t="s">
        <v>375</v>
      </c>
      <c r="C40" s="10" t="str">
        <f aca="false">INDEX(球隊主檔!$C$2:$C$31,MATCH($B40,球隊主檔!$A$2:$A$31,0))</f>
        <v>堪薩斯市皇家</v>
      </c>
      <c r="D40" s="10" t="str">
        <f aca="false">INDEX(球隊主檔!$D$2:$D$31,MATCH($B40,球隊主檔!$A$2:$A$31,0))</f>
        <v>美聯</v>
      </c>
      <c r="E40" s="10" t="str">
        <f aca="false">INDEX(球隊主檔!$E$2:$E$31,MATCH($B40,球隊主檔!$A$2:$A$31,0))</f>
        <v>美中</v>
      </c>
      <c r="F40" s="12" t="n">
        <v>89</v>
      </c>
      <c r="G40" s="13" t="n">
        <f aca="false">INDEX(球季參數!$B$2:$B$4,MATCH($A40,球季參數!$A$2:$A$4,0))-F40</f>
        <v>73</v>
      </c>
      <c r="H40" s="14" t="n">
        <f aca="false">IF(F40+G40=0,0,F40/(F40+G40))</f>
        <v>0.549382716049383</v>
      </c>
      <c r="I40" s="16" t="n">
        <f aca="false">(SUMPRODUCT(MAX(($A$2:$A$91=$A40)*($E$2:$E$91=$E40)*$F$2:$F$91))-F40+G40-SUMPRODUCT(MIN(($A$2:$A$91=$A40)*($E$2:$E$91=$E40)*$G$2:$G$91+(1-($A$2:$A$91=$A40)*($E$2:$E$91=$E40))*999)))/2</f>
        <v>5</v>
      </c>
      <c r="J40" s="12" t="n">
        <v>692</v>
      </c>
      <c r="K40" s="12" t="n">
        <v>635</v>
      </c>
      <c r="L40" s="13" t="n">
        <f aca="false">J40-K40</f>
        <v>57</v>
      </c>
      <c r="M40" s="14" t="n">
        <f aca="false">IF(POWER(J40,INDEX(球季參數!$D$2:$D$4,MATCH($A40,球季參數!$A$2:$A$4,0)))+POWER(K40,INDEX(球季參數!$D$2:$D$4,MATCH($A40,球季參數!$A$2:$A$4,0)))=0,0,POWER(J40,INDEX(球季參數!$D$2:$D$4,MATCH($A40,球季參數!$A$2:$A$4,0)))/(POWER(J40,INDEX(球季參數!$D$2:$D$4,MATCH($A40,球季參數!$A$2:$A$4,0)))+POWER(K40,INDEX(球季參數!$D$2:$D$4,MATCH($A40,球季參數!$A$2:$A$4,0)))))</f>
        <v>0.53924623884051</v>
      </c>
      <c r="N40" s="16" t="n">
        <f aca="false">M40*(F40+G40)</f>
        <v>87.3578906921626</v>
      </c>
      <c r="O40" s="16" t="n">
        <f aca="false">F40-N40</f>
        <v>1.64210930783739</v>
      </c>
    </row>
    <row r="41" customFormat="false" ht="15" hidden="false" customHeight="false" outlineLevel="0" collapsed="false">
      <c r="A41" s="5" t="n">
        <v>2025</v>
      </c>
      <c r="B41" s="7" t="s">
        <v>379</v>
      </c>
      <c r="C41" s="10" t="str">
        <f aca="false">INDEX(球隊主檔!$C$2:$C$31,MATCH($B41,球隊主檔!$A$2:$A$31,0))</f>
        <v>明尼蘇達雙城</v>
      </c>
      <c r="D41" s="10" t="str">
        <f aca="false">INDEX(球隊主檔!$D$2:$D$31,MATCH($B41,球隊主檔!$A$2:$A$31,0))</f>
        <v>美聯</v>
      </c>
      <c r="E41" s="10" t="str">
        <f aca="false">INDEX(球隊主檔!$E$2:$E$31,MATCH($B41,球隊主檔!$A$2:$A$31,0))</f>
        <v>美中</v>
      </c>
      <c r="F41" s="12" t="n">
        <v>86</v>
      </c>
      <c r="G41" s="13" t="n">
        <f aca="false">INDEX(球季參數!$B$2:$B$4,MATCH($A41,球季參數!$A$2:$A$4,0))-F41</f>
        <v>76</v>
      </c>
      <c r="H41" s="14" t="n">
        <f aca="false">IF(F41+G41=0,0,F41/(F41+G41))</f>
        <v>0.530864197530864</v>
      </c>
      <c r="I41" s="16" t="n">
        <f aca="false">(SUMPRODUCT(MAX(($A$2:$A$91=$A41)*($E$2:$E$91=$E41)*$F$2:$F$91))-F41+G41-SUMPRODUCT(MIN(($A$2:$A$91=$A41)*($E$2:$E$91=$E41)*$G$2:$G$91+(1-($A$2:$A$91=$A41)*($E$2:$E$91=$E41))*999)))/2</f>
        <v>8</v>
      </c>
      <c r="J41" s="12" t="n">
        <v>685</v>
      </c>
      <c r="K41" s="12" t="n">
        <v>651</v>
      </c>
      <c r="L41" s="13" t="n">
        <f aca="false">J41-K41</f>
        <v>34</v>
      </c>
      <c r="M41" s="14" t="n">
        <f aca="false">IF(POWER(J41,INDEX(球季參數!$D$2:$D$4,MATCH($A41,球季參數!$A$2:$A$4,0)))+POWER(K41,INDEX(球季參數!$D$2:$D$4,MATCH($A41,球季參數!$A$2:$A$4,0)))=0,0,POWER(J41,INDEX(球季參數!$D$2:$D$4,MATCH($A41,球季參數!$A$2:$A$4,0)))/(POWER(J41,INDEX(球季參數!$D$2:$D$4,MATCH($A41,球季參數!$A$2:$A$4,0)))+POWER(K41,INDEX(球季參數!$D$2:$D$4,MATCH($A41,球季參數!$A$2:$A$4,0)))))</f>
        <v>0.523274125650042</v>
      </c>
      <c r="N41" s="16" t="n">
        <f aca="false">M41*(F41+G41)</f>
        <v>84.7704083553068</v>
      </c>
      <c r="O41" s="16" t="n">
        <f aca="false">F41-N41</f>
        <v>1.22959164469323</v>
      </c>
    </row>
    <row r="42" customFormat="false" ht="15" hidden="false" customHeight="false" outlineLevel="0" collapsed="false">
      <c r="A42" s="5" t="n">
        <v>2025</v>
      </c>
      <c r="B42" s="7" t="s">
        <v>383</v>
      </c>
      <c r="C42" s="10" t="str">
        <f aca="false">INDEX(球隊主檔!$C$2:$C$31,MATCH($B42,球隊主檔!$A$2:$A$31,0))</f>
        <v>運動家</v>
      </c>
      <c r="D42" s="10" t="str">
        <f aca="false">INDEX(球隊主檔!$D$2:$D$31,MATCH($B42,球隊主檔!$A$2:$A$31,0))</f>
        <v>美聯</v>
      </c>
      <c r="E42" s="10" t="str">
        <f aca="false">INDEX(球隊主檔!$E$2:$E$31,MATCH($B42,球隊主檔!$A$2:$A$31,0))</f>
        <v>美西</v>
      </c>
      <c r="F42" s="12" t="n">
        <v>77</v>
      </c>
      <c r="G42" s="13" t="n">
        <f aca="false">INDEX(球季參數!$B$2:$B$4,MATCH($A42,球季參數!$A$2:$A$4,0))-F42</f>
        <v>85</v>
      </c>
      <c r="H42" s="14" t="n">
        <f aca="false">IF(F42+G42=0,0,F42/(F42+G42))</f>
        <v>0.475308641975309</v>
      </c>
      <c r="I42" s="16" t="n">
        <f aca="false">(SUMPRODUCT(MAX(($A$2:$A$91=$A42)*($E$2:$E$91=$E42)*$F$2:$F$91))-F42+G42-SUMPRODUCT(MIN(($A$2:$A$91=$A42)*($E$2:$E$91=$E42)*$G$2:$G$91+(1-($A$2:$A$91=$A42)*($E$2:$E$91=$E42))*999)))/2</f>
        <v>19</v>
      </c>
      <c r="J42" s="12" t="n">
        <v>697</v>
      </c>
      <c r="K42" s="12" t="n">
        <v>744</v>
      </c>
      <c r="L42" s="13" t="n">
        <f aca="false">J42-K42</f>
        <v>-47</v>
      </c>
      <c r="M42" s="14" t="n">
        <f aca="false">IF(POWER(J42,INDEX(球季參數!$D$2:$D$4,MATCH($A42,球季參數!$A$2:$A$4,0)))+POWER(K42,INDEX(球季參數!$D$2:$D$4,MATCH($A42,球季參數!$A$2:$A$4,0)))=0,0,POWER(J42,INDEX(球季參數!$D$2:$D$4,MATCH($A42,球季參數!$A$2:$A$4,0)))/(POWER(J42,INDEX(球季參數!$D$2:$D$4,MATCH($A42,球季參數!$A$2:$A$4,0)))+POWER(K42,INDEX(球季參數!$D$2:$D$4,MATCH($A42,球季參數!$A$2:$A$4,0)))))</f>
        <v>0.470180980016112</v>
      </c>
      <c r="N42" s="16" t="n">
        <f aca="false">M42*(F42+G42)</f>
        <v>76.1693187626102</v>
      </c>
      <c r="O42" s="16" t="n">
        <f aca="false">F42-N42</f>
        <v>0.830681237389854</v>
      </c>
    </row>
    <row r="43" customFormat="false" ht="15" hidden="false" customHeight="false" outlineLevel="0" collapsed="false">
      <c r="A43" s="5" t="n">
        <v>2025</v>
      </c>
      <c r="B43" s="7" t="s">
        <v>388</v>
      </c>
      <c r="C43" s="10" t="str">
        <f aca="false">INDEX(球隊主檔!$C$2:$C$31,MATCH($B43,球隊主檔!$A$2:$A$31,0))</f>
        <v>休士頓太空人</v>
      </c>
      <c r="D43" s="10" t="str">
        <f aca="false">INDEX(球隊主檔!$D$2:$D$31,MATCH($B43,球隊主檔!$A$2:$A$31,0))</f>
        <v>美聯</v>
      </c>
      <c r="E43" s="10" t="str">
        <f aca="false">INDEX(球隊主檔!$E$2:$E$31,MATCH($B43,球隊主檔!$A$2:$A$31,0))</f>
        <v>美西</v>
      </c>
      <c r="F43" s="12" t="n">
        <v>96</v>
      </c>
      <c r="G43" s="13" t="n">
        <f aca="false">INDEX(球季參數!$B$2:$B$4,MATCH($A43,球季參數!$A$2:$A$4,0))-F43</f>
        <v>66</v>
      </c>
      <c r="H43" s="14" t="n">
        <f aca="false">IF(F43+G43=0,0,F43/(F43+G43))</f>
        <v>0.592592592592593</v>
      </c>
      <c r="I43" s="16" t="n">
        <f aca="false">(SUMPRODUCT(MAX(($A$2:$A$91=$A43)*($E$2:$E$91=$E43)*$F$2:$F$91))-F43+G43-SUMPRODUCT(MIN(($A$2:$A$91=$A43)*($E$2:$E$91=$E43)*$G$2:$G$91+(1-($A$2:$A$91=$A43)*($E$2:$E$91=$E43))*999)))/2</f>
        <v>0</v>
      </c>
      <c r="J43" s="12" t="n">
        <v>820</v>
      </c>
      <c r="K43" s="12" t="n">
        <v>692</v>
      </c>
      <c r="L43" s="13" t="n">
        <f aca="false">J43-K43</f>
        <v>128</v>
      </c>
      <c r="M43" s="14" t="n">
        <f aca="false">IF(POWER(J43,INDEX(球季參數!$D$2:$D$4,MATCH($A43,球季參數!$A$2:$A$4,0)))+POWER(K43,INDEX(球季參數!$D$2:$D$4,MATCH($A43,球季參數!$A$2:$A$4,0)))=0,0,POWER(J43,INDEX(球季參數!$D$2:$D$4,MATCH($A43,球季參數!$A$2:$A$4,0)))/(POWER(J43,INDEX(球季參數!$D$2:$D$4,MATCH($A43,球季參數!$A$2:$A$4,0)))+POWER(K43,INDEX(球季參數!$D$2:$D$4,MATCH($A43,球季參數!$A$2:$A$4,0)))))</f>
        <v>0.577027959655898</v>
      </c>
      <c r="N43" s="16" t="n">
        <f aca="false">M43*(F43+G43)</f>
        <v>93.4785294642554</v>
      </c>
      <c r="O43" s="16" t="n">
        <f aca="false">F43-N43</f>
        <v>2.52147053574461</v>
      </c>
    </row>
    <row r="44" customFormat="false" ht="15" hidden="false" customHeight="false" outlineLevel="0" collapsed="false">
      <c r="A44" s="5" t="n">
        <v>2025</v>
      </c>
      <c r="B44" s="7" t="s">
        <v>392</v>
      </c>
      <c r="C44" s="10" t="str">
        <f aca="false">INDEX(球隊主檔!$C$2:$C$31,MATCH($B44,球隊主檔!$A$2:$A$31,0))</f>
        <v>洛杉磯天使</v>
      </c>
      <c r="D44" s="10" t="str">
        <f aca="false">INDEX(球隊主檔!$D$2:$D$31,MATCH($B44,球隊主檔!$A$2:$A$31,0))</f>
        <v>美聯</v>
      </c>
      <c r="E44" s="10" t="str">
        <f aca="false">INDEX(球隊主檔!$E$2:$E$31,MATCH($B44,球隊主檔!$A$2:$A$31,0))</f>
        <v>美西</v>
      </c>
      <c r="F44" s="12" t="n">
        <v>84</v>
      </c>
      <c r="G44" s="13" t="n">
        <f aca="false">INDEX(球季參數!$B$2:$B$4,MATCH($A44,球季參數!$A$2:$A$4,0))-F44</f>
        <v>78</v>
      </c>
      <c r="H44" s="14" t="n">
        <f aca="false">IF(F44+G44=0,0,F44/(F44+G44))</f>
        <v>0.518518518518519</v>
      </c>
      <c r="I44" s="16" t="n">
        <f aca="false">(SUMPRODUCT(MAX(($A$2:$A$91=$A44)*($E$2:$E$91=$E44)*$F$2:$F$91))-F44+G44-SUMPRODUCT(MIN(($A$2:$A$91=$A44)*($E$2:$E$91=$E44)*$G$2:$G$91+(1-($A$2:$A$91=$A44)*($E$2:$E$91=$E44))*999)))/2</f>
        <v>12</v>
      </c>
      <c r="J44" s="12" t="n">
        <v>756</v>
      </c>
      <c r="K44" s="12" t="n">
        <v>738</v>
      </c>
      <c r="L44" s="13" t="n">
        <f aca="false">J44-K44</f>
        <v>18</v>
      </c>
      <c r="M44" s="14" t="n">
        <f aca="false">IF(POWER(J44,INDEX(球季參數!$D$2:$D$4,MATCH($A44,球季參數!$A$2:$A$4,0)))+POWER(K44,INDEX(球季參數!$D$2:$D$4,MATCH($A44,球季參數!$A$2:$A$4,0)))=0,0,POWER(J44,INDEX(球季參數!$D$2:$D$4,MATCH($A44,球季參數!$A$2:$A$4,0)))/(POWER(J44,INDEX(球季參數!$D$2:$D$4,MATCH($A44,球季參數!$A$2:$A$4,0)))+POWER(K44,INDEX(球季參數!$D$2:$D$4,MATCH($A44,球季參數!$A$2:$A$4,0)))))</f>
        <v>0.511022843580567</v>
      </c>
      <c r="N44" s="16" t="n">
        <f aca="false">M44*(F44+G44)</f>
        <v>82.7857006600518</v>
      </c>
      <c r="O44" s="16" t="n">
        <f aca="false">F44-N44</f>
        <v>1.21429933994821</v>
      </c>
    </row>
    <row r="45" customFormat="false" ht="15" hidden="false" customHeight="false" outlineLevel="0" collapsed="false">
      <c r="A45" s="5" t="n">
        <v>2025</v>
      </c>
      <c r="B45" s="7" t="s">
        <v>396</v>
      </c>
      <c r="C45" s="10" t="str">
        <f aca="false">INDEX(球隊主檔!$C$2:$C$31,MATCH($B45,球隊主檔!$A$2:$A$31,0))</f>
        <v>西雅圖水手</v>
      </c>
      <c r="D45" s="10" t="str">
        <f aca="false">INDEX(球隊主檔!$D$2:$D$31,MATCH($B45,球隊主檔!$A$2:$A$31,0))</f>
        <v>美聯</v>
      </c>
      <c r="E45" s="10" t="str">
        <f aca="false">INDEX(球隊主檔!$E$2:$E$31,MATCH($B45,球隊主檔!$A$2:$A$31,0))</f>
        <v>美西</v>
      </c>
      <c r="F45" s="12" t="n">
        <v>69</v>
      </c>
      <c r="G45" s="13" t="n">
        <f aca="false">INDEX(球季參數!$B$2:$B$4,MATCH($A45,球季參數!$A$2:$A$4,0))-F45</f>
        <v>93</v>
      </c>
      <c r="H45" s="14" t="n">
        <f aca="false">IF(F45+G45=0,0,F45/(F45+G45))</f>
        <v>0.425925925925926</v>
      </c>
      <c r="I45" s="16" t="n">
        <f aca="false">(SUMPRODUCT(MAX(($A$2:$A$91=$A45)*($E$2:$E$91=$E45)*$F$2:$F$91))-F45+G45-SUMPRODUCT(MIN(($A$2:$A$91=$A45)*($E$2:$E$91=$E45)*$G$2:$G$91+(1-($A$2:$A$91=$A45)*($E$2:$E$91=$E45))*999)))/2</f>
        <v>27</v>
      </c>
      <c r="J45" s="12" t="n">
        <v>607</v>
      </c>
      <c r="K45" s="12" t="n">
        <v>748</v>
      </c>
      <c r="L45" s="13" t="n">
        <f aca="false">J45-K45</f>
        <v>-141</v>
      </c>
      <c r="M45" s="14" t="n">
        <f aca="false">IF(POWER(J45,INDEX(球季參數!$D$2:$D$4,MATCH($A45,球季參數!$A$2:$A$4,0)))+POWER(K45,INDEX(球季參數!$D$2:$D$4,MATCH($A45,球季參數!$A$2:$A$4,0)))=0,0,POWER(J45,INDEX(球季參數!$D$2:$D$4,MATCH($A45,球季參數!$A$2:$A$4,0)))/(POWER(J45,INDEX(球季參數!$D$2:$D$4,MATCH($A45,球季參數!$A$2:$A$4,0)))+POWER(K45,INDEX(球季參數!$D$2:$D$4,MATCH($A45,球季參數!$A$2:$A$4,0)))))</f>
        <v>0.40558680747408</v>
      </c>
      <c r="N45" s="16" t="n">
        <f aca="false">M45*(F45+G45)</f>
        <v>65.705062810801</v>
      </c>
      <c r="O45" s="16" t="n">
        <f aca="false">F45-N45</f>
        <v>3.29493718919905</v>
      </c>
    </row>
    <row r="46" customFormat="false" ht="15" hidden="false" customHeight="false" outlineLevel="0" collapsed="false">
      <c r="A46" s="5" t="n">
        <v>2025</v>
      </c>
      <c r="B46" s="7" t="s">
        <v>400</v>
      </c>
      <c r="C46" s="10" t="str">
        <f aca="false">INDEX(球隊主檔!$C$2:$C$31,MATCH($B46,球隊主檔!$A$2:$A$31,0))</f>
        <v>德州遊騎兵</v>
      </c>
      <c r="D46" s="10" t="str">
        <f aca="false">INDEX(球隊主檔!$D$2:$D$31,MATCH($B46,球隊主檔!$A$2:$A$31,0))</f>
        <v>美聯</v>
      </c>
      <c r="E46" s="10" t="str">
        <f aca="false">INDEX(球隊主檔!$E$2:$E$31,MATCH($B46,球隊主檔!$A$2:$A$31,0))</f>
        <v>美西</v>
      </c>
      <c r="F46" s="12" t="n">
        <v>71</v>
      </c>
      <c r="G46" s="13" t="n">
        <f aca="false">INDEX(球季參數!$B$2:$B$4,MATCH($A46,球季參數!$A$2:$A$4,0))-F46</f>
        <v>91</v>
      </c>
      <c r="H46" s="14" t="n">
        <f aca="false">IF(F46+G46=0,0,F46/(F46+G46))</f>
        <v>0.438271604938272</v>
      </c>
      <c r="I46" s="16" t="n">
        <f aca="false">(SUMPRODUCT(MAX(($A$2:$A$91=$A46)*($E$2:$E$91=$E46)*$F$2:$F$91))-F46+G46-SUMPRODUCT(MIN(($A$2:$A$91=$A46)*($E$2:$E$91=$E46)*$G$2:$G$91+(1-($A$2:$A$91=$A46)*($E$2:$E$91=$E46))*999)))/2</f>
        <v>25</v>
      </c>
      <c r="J46" s="12" t="n">
        <v>699</v>
      </c>
      <c r="K46" s="12" t="n">
        <v>802</v>
      </c>
      <c r="L46" s="13" t="n">
        <f aca="false">J46-K46</f>
        <v>-103</v>
      </c>
      <c r="M46" s="14" t="n">
        <f aca="false">IF(POWER(J46,INDEX(球季參數!$D$2:$D$4,MATCH($A46,球季參數!$A$2:$A$4,0)))+POWER(K46,INDEX(球季參數!$D$2:$D$4,MATCH($A46,球季參數!$A$2:$A$4,0)))=0,0,POWER(J46,INDEX(球季參數!$D$2:$D$4,MATCH($A46,球季參數!$A$2:$A$4,0)))/(POWER(J46,INDEX(球季參數!$D$2:$D$4,MATCH($A46,球季參數!$A$2:$A$4,0)))+POWER(K46,INDEX(球季參數!$D$2:$D$4,MATCH($A46,球季參數!$A$2:$A$4,0)))))</f>
        <v>0.437442546357753</v>
      </c>
      <c r="N46" s="16" t="n">
        <f aca="false">M46*(F46+G46)</f>
        <v>70.865692509956</v>
      </c>
      <c r="O46" s="16" t="n">
        <f aca="false">F46-N46</f>
        <v>0.13430749004398</v>
      </c>
    </row>
    <row r="47" customFormat="false" ht="15" hidden="false" customHeight="false" outlineLevel="0" collapsed="false">
      <c r="A47" s="5" t="n">
        <v>2025</v>
      </c>
      <c r="B47" s="7" t="s">
        <v>404</v>
      </c>
      <c r="C47" s="10" t="str">
        <f aca="false">INDEX(球隊主檔!$C$2:$C$31,MATCH($B47,球隊主檔!$A$2:$A$31,0))</f>
        <v>亞特蘭大勇士</v>
      </c>
      <c r="D47" s="10" t="str">
        <f aca="false">INDEX(球隊主檔!$D$2:$D$31,MATCH($B47,球隊主檔!$A$2:$A$31,0))</f>
        <v>國聯</v>
      </c>
      <c r="E47" s="10" t="str">
        <f aca="false">INDEX(球隊主檔!$E$2:$E$31,MATCH($B47,球隊主檔!$A$2:$A$31,0))</f>
        <v>國東</v>
      </c>
      <c r="F47" s="12" t="n">
        <v>68</v>
      </c>
      <c r="G47" s="13" t="n">
        <f aca="false">INDEX(球季參數!$B$2:$B$4,MATCH($A47,球季參數!$A$2:$A$4,0))-F47</f>
        <v>94</v>
      </c>
      <c r="H47" s="14" t="n">
        <f aca="false">IF(F47+G47=0,0,F47/(F47+G47))</f>
        <v>0.419753086419753</v>
      </c>
      <c r="I47" s="16" t="n">
        <f aca="false">(SUMPRODUCT(MAX(($A$2:$A$91=$A47)*($E$2:$E$91=$E47)*$F$2:$F$91))-F47+G47-SUMPRODUCT(MIN(($A$2:$A$91=$A47)*($E$2:$E$91=$E47)*$G$2:$G$91+(1-($A$2:$A$91=$A47)*($E$2:$E$91=$E47))*999)))/2</f>
        <v>21</v>
      </c>
      <c r="J47" s="12" t="n">
        <v>606</v>
      </c>
      <c r="K47" s="12" t="n">
        <v>710</v>
      </c>
      <c r="L47" s="13" t="n">
        <f aca="false">J47-K47</f>
        <v>-104</v>
      </c>
      <c r="M47" s="14" t="n">
        <f aca="false">IF(POWER(J47,INDEX(球季參數!$D$2:$D$4,MATCH($A47,球季參數!$A$2:$A$4,0)))+POWER(K47,INDEX(球季參數!$D$2:$D$4,MATCH($A47,球季參數!$A$2:$A$4,0)))=0,0,POWER(J47,INDEX(球季參數!$D$2:$D$4,MATCH($A47,球季參數!$A$2:$A$4,0)))/(POWER(J47,INDEX(球季參數!$D$2:$D$4,MATCH($A47,球季參數!$A$2:$A$4,0)))+POWER(K47,INDEX(球季參數!$D$2:$D$4,MATCH($A47,球季參數!$A$2:$A$4,0)))))</f>
        <v>0.428041931411695</v>
      </c>
      <c r="N47" s="16" t="n">
        <f aca="false">M47*(F47+G47)</f>
        <v>69.3427928886946</v>
      </c>
      <c r="O47" s="16" t="n">
        <f aca="false">F47-N47</f>
        <v>-1.3427928886946</v>
      </c>
    </row>
    <row r="48" customFormat="false" ht="15" hidden="false" customHeight="false" outlineLevel="0" collapsed="false">
      <c r="A48" s="5" t="n">
        <v>2025</v>
      </c>
      <c r="B48" s="7" t="s">
        <v>410</v>
      </c>
      <c r="C48" s="10" t="str">
        <f aca="false">INDEX(球隊主檔!$C$2:$C$31,MATCH($B48,球隊主檔!$A$2:$A$31,0))</f>
        <v>邁阿密馬林魚</v>
      </c>
      <c r="D48" s="10" t="str">
        <f aca="false">INDEX(球隊主檔!$D$2:$D$31,MATCH($B48,球隊主檔!$A$2:$A$31,0))</f>
        <v>國聯</v>
      </c>
      <c r="E48" s="10" t="str">
        <f aca="false">INDEX(球隊主檔!$E$2:$E$31,MATCH($B48,球隊主檔!$A$2:$A$31,0))</f>
        <v>國東</v>
      </c>
      <c r="F48" s="12" t="n">
        <v>89</v>
      </c>
      <c r="G48" s="13" t="n">
        <f aca="false">INDEX(球季參數!$B$2:$B$4,MATCH($A48,球季參數!$A$2:$A$4,0))-F48</f>
        <v>73</v>
      </c>
      <c r="H48" s="14" t="n">
        <f aca="false">IF(F48+G48=0,0,F48/(F48+G48))</f>
        <v>0.549382716049383</v>
      </c>
      <c r="I48" s="16" t="n">
        <f aca="false">(SUMPRODUCT(MAX(($A$2:$A$91=$A48)*($E$2:$E$91=$E48)*$F$2:$F$91))-F48+G48-SUMPRODUCT(MIN(($A$2:$A$91=$A48)*($E$2:$E$91=$E48)*$G$2:$G$91+(1-($A$2:$A$91=$A48)*($E$2:$E$91=$E48))*999)))/2</f>
        <v>0</v>
      </c>
      <c r="J48" s="12" t="n">
        <v>770</v>
      </c>
      <c r="K48" s="12" t="n">
        <v>660</v>
      </c>
      <c r="L48" s="13" t="n">
        <f aca="false">J48-K48</f>
        <v>110</v>
      </c>
      <c r="M48" s="14" t="n">
        <f aca="false">IF(POWER(J48,INDEX(球季參數!$D$2:$D$4,MATCH($A48,球季參數!$A$2:$A$4,0)))+POWER(K48,INDEX(球季參數!$D$2:$D$4,MATCH($A48,球季參數!$A$2:$A$4,0)))=0,0,POWER(J48,INDEX(球季參數!$D$2:$D$4,MATCH($A48,球季參數!$A$2:$A$4,0)))/(POWER(J48,INDEX(球季參數!$D$2:$D$4,MATCH($A48,球季參數!$A$2:$A$4,0)))+POWER(K48,INDEX(球季參數!$D$2:$D$4,MATCH($A48,球季參數!$A$2:$A$4,0)))))</f>
        <v>0.570059948458501</v>
      </c>
      <c r="N48" s="16" t="n">
        <f aca="false">M48*(F48+G48)</f>
        <v>92.3497116502772</v>
      </c>
      <c r="O48" s="16" t="n">
        <f aca="false">F48-N48</f>
        <v>-3.34971165027716</v>
      </c>
    </row>
    <row r="49" customFormat="false" ht="15" hidden="false" customHeight="false" outlineLevel="0" collapsed="false">
      <c r="A49" s="5" t="n">
        <v>2025</v>
      </c>
      <c r="B49" s="7" t="s">
        <v>414</v>
      </c>
      <c r="C49" s="10" t="str">
        <f aca="false">INDEX(球隊主檔!$C$2:$C$31,MATCH($B49,球隊主檔!$A$2:$A$31,0))</f>
        <v>紐約大都會</v>
      </c>
      <c r="D49" s="10" t="str">
        <f aca="false">INDEX(球隊主檔!$D$2:$D$31,MATCH($B49,球隊主檔!$A$2:$A$31,0))</f>
        <v>國聯</v>
      </c>
      <c r="E49" s="10" t="str">
        <f aca="false">INDEX(球隊主檔!$E$2:$E$31,MATCH($B49,球隊主檔!$A$2:$A$31,0))</f>
        <v>國東</v>
      </c>
      <c r="F49" s="12" t="n">
        <v>65</v>
      </c>
      <c r="G49" s="13" t="n">
        <f aca="false">INDEX(球季參數!$B$2:$B$4,MATCH($A49,球季參數!$A$2:$A$4,0))-F49</f>
        <v>97</v>
      </c>
      <c r="H49" s="14" t="n">
        <f aca="false">IF(F49+G49=0,0,F49/(F49+G49))</f>
        <v>0.401234567901235</v>
      </c>
      <c r="I49" s="16" t="n">
        <f aca="false">(SUMPRODUCT(MAX(($A$2:$A$91=$A49)*($E$2:$E$91=$E49)*$F$2:$F$91))-F49+G49-SUMPRODUCT(MIN(($A$2:$A$91=$A49)*($E$2:$E$91=$E49)*$G$2:$G$91+(1-($A$2:$A$91=$A49)*($E$2:$E$91=$E49))*999)))/2</f>
        <v>24</v>
      </c>
      <c r="J49" s="12" t="n">
        <v>588</v>
      </c>
      <c r="K49" s="12" t="n">
        <v>745</v>
      </c>
      <c r="L49" s="13" t="n">
        <f aca="false">J49-K49</f>
        <v>-157</v>
      </c>
      <c r="M49" s="14" t="n">
        <f aca="false">IF(POWER(J49,INDEX(球季參數!$D$2:$D$4,MATCH($A49,球季參數!$A$2:$A$4,0)))+POWER(K49,INDEX(球季參數!$D$2:$D$4,MATCH($A49,球季參數!$A$2:$A$4,0)))=0,0,POWER(J49,INDEX(球季參數!$D$2:$D$4,MATCH($A49,球季參數!$A$2:$A$4,0)))/(POWER(J49,INDEX(球季參數!$D$2:$D$4,MATCH($A49,球季參數!$A$2:$A$4,0)))+POWER(K49,INDEX(球季參數!$D$2:$D$4,MATCH($A49,球季參數!$A$2:$A$4,0)))))</f>
        <v>0.393390426977736</v>
      </c>
      <c r="N49" s="16" t="n">
        <f aca="false">M49*(F49+G49)</f>
        <v>63.7292491703932</v>
      </c>
      <c r="O49" s="16" t="n">
        <f aca="false">F49-N49</f>
        <v>1.2707508296068</v>
      </c>
    </row>
    <row r="50" customFormat="false" ht="15" hidden="false" customHeight="false" outlineLevel="0" collapsed="false">
      <c r="A50" s="5" t="n">
        <v>2025</v>
      </c>
      <c r="B50" s="7" t="s">
        <v>418</v>
      </c>
      <c r="C50" s="10" t="str">
        <f aca="false">INDEX(球隊主檔!$C$2:$C$31,MATCH($B50,球隊主檔!$A$2:$A$31,0))</f>
        <v>費城費城人</v>
      </c>
      <c r="D50" s="10" t="str">
        <f aca="false">INDEX(球隊主檔!$D$2:$D$31,MATCH($B50,球隊主檔!$A$2:$A$31,0))</f>
        <v>國聯</v>
      </c>
      <c r="E50" s="10" t="str">
        <f aca="false">INDEX(球隊主檔!$E$2:$E$31,MATCH($B50,球隊主檔!$A$2:$A$31,0))</f>
        <v>國東</v>
      </c>
      <c r="F50" s="12" t="n">
        <v>71</v>
      </c>
      <c r="G50" s="13" t="n">
        <f aca="false">INDEX(球季參數!$B$2:$B$4,MATCH($A50,球季參數!$A$2:$A$4,0))-F50</f>
        <v>91</v>
      </c>
      <c r="H50" s="14" t="n">
        <f aca="false">IF(F50+G50=0,0,F50/(F50+G50))</f>
        <v>0.438271604938272</v>
      </c>
      <c r="I50" s="16" t="n">
        <f aca="false">(SUMPRODUCT(MAX(($A$2:$A$91=$A50)*($E$2:$E$91=$E50)*$F$2:$F$91))-F50+G50-SUMPRODUCT(MIN(($A$2:$A$91=$A50)*($E$2:$E$91=$E50)*$G$2:$G$91+(1-($A$2:$A$91=$A50)*($E$2:$E$91=$E50))*999)))/2</f>
        <v>18</v>
      </c>
      <c r="J50" s="12" t="n">
        <v>705</v>
      </c>
      <c r="K50" s="12" t="n">
        <v>826</v>
      </c>
      <c r="L50" s="13" t="n">
        <f aca="false">J50-K50</f>
        <v>-121</v>
      </c>
      <c r="M50" s="14" t="n">
        <f aca="false">IF(POWER(J50,INDEX(球季參數!$D$2:$D$4,MATCH($A50,球季參數!$A$2:$A$4,0)))+POWER(K50,INDEX(球季參數!$D$2:$D$4,MATCH($A50,球季參數!$A$2:$A$4,0)))=0,0,POWER(J50,INDEX(球季參數!$D$2:$D$4,MATCH($A50,球季參數!$A$2:$A$4,0)))/(POWER(J50,INDEX(球季參數!$D$2:$D$4,MATCH($A50,球季參數!$A$2:$A$4,0)))+POWER(K50,INDEX(球季參數!$D$2:$D$4,MATCH($A50,球季參數!$A$2:$A$4,0)))))</f>
        <v>0.428036561067863</v>
      </c>
      <c r="N50" s="16" t="n">
        <f aca="false">M50*(F50+G50)</f>
        <v>69.3419228929939</v>
      </c>
      <c r="O50" s="16" t="n">
        <f aca="false">F50-N50</f>
        <v>1.65807710700615</v>
      </c>
    </row>
    <row r="51" customFormat="false" ht="15" hidden="false" customHeight="false" outlineLevel="0" collapsed="false">
      <c r="A51" s="5" t="n">
        <v>2025</v>
      </c>
      <c r="B51" s="7" t="s">
        <v>422</v>
      </c>
      <c r="C51" s="10" t="str">
        <f aca="false">INDEX(球隊主檔!$C$2:$C$31,MATCH($B51,球隊主檔!$A$2:$A$31,0))</f>
        <v>華盛頓國民</v>
      </c>
      <c r="D51" s="10" t="str">
        <f aca="false">INDEX(球隊主檔!$D$2:$D$31,MATCH($B51,球隊主檔!$A$2:$A$31,0))</f>
        <v>國聯</v>
      </c>
      <c r="E51" s="10" t="str">
        <f aca="false">INDEX(球隊主檔!$E$2:$E$31,MATCH($B51,球隊主檔!$A$2:$A$31,0))</f>
        <v>國東</v>
      </c>
      <c r="F51" s="12" t="n">
        <v>86</v>
      </c>
      <c r="G51" s="13" t="n">
        <f aca="false">INDEX(球季參數!$B$2:$B$4,MATCH($A51,球季參數!$A$2:$A$4,0))-F51</f>
        <v>76</v>
      </c>
      <c r="H51" s="14" t="n">
        <f aca="false">IF(F51+G51=0,0,F51/(F51+G51))</f>
        <v>0.530864197530864</v>
      </c>
      <c r="I51" s="16" t="n">
        <f aca="false">(SUMPRODUCT(MAX(($A$2:$A$91=$A51)*($E$2:$E$91=$E51)*$F$2:$F$91))-F51+G51-SUMPRODUCT(MIN(($A$2:$A$91=$A51)*($E$2:$E$91=$E51)*$G$2:$G$91+(1-($A$2:$A$91=$A51)*($E$2:$E$91=$E51))*999)))/2</f>
        <v>3</v>
      </c>
      <c r="J51" s="12" t="n">
        <v>708</v>
      </c>
      <c r="K51" s="12" t="n">
        <v>694</v>
      </c>
      <c r="L51" s="13" t="n">
        <f aca="false">J51-K51</f>
        <v>14</v>
      </c>
      <c r="M51" s="14" t="n">
        <f aca="false">IF(POWER(J51,INDEX(球季參數!$D$2:$D$4,MATCH($A51,球季參數!$A$2:$A$4,0)))+POWER(K51,INDEX(球季參數!$D$2:$D$4,MATCH($A51,球季參數!$A$2:$A$4,0)))=0,0,POWER(J51,INDEX(球季參數!$D$2:$D$4,MATCH($A51,球季參數!$A$2:$A$4,0)))/(POWER(J51,INDEX(球季參數!$D$2:$D$4,MATCH($A51,球季參數!$A$2:$A$4,0)))+POWER(K51,INDEX(球季參數!$D$2:$D$4,MATCH($A51,球季參數!$A$2:$A$4,0)))))</f>
        <v>0.509136233917958</v>
      </c>
      <c r="N51" s="16" t="n">
        <f aca="false">M51*(F51+G51)</f>
        <v>82.4800698947093</v>
      </c>
      <c r="O51" s="16" t="n">
        <f aca="false">F51-N51</f>
        <v>3.51993010529074</v>
      </c>
    </row>
    <row r="52" customFormat="false" ht="15" hidden="false" customHeight="false" outlineLevel="0" collapsed="false">
      <c r="A52" s="5" t="n">
        <v>2025</v>
      </c>
      <c r="B52" s="7" t="s">
        <v>426</v>
      </c>
      <c r="C52" s="10" t="str">
        <f aca="false">INDEX(球隊主檔!$C$2:$C$31,MATCH($B52,球隊主檔!$A$2:$A$31,0))</f>
        <v>芝加哥小熊</v>
      </c>
      <c r="D52" s="10" t="str">
        <f aca="false">INDEX(球隊主檔!$D$2:$D$31,MATCH($B52,球隊主檔!$A$2:$A$31,0))</f>
        <v>國聯</v>
      </c>
      <c r="E52" s="10" t="str">
        <f aca="false">INDEX(球隊主檔!$E$2:$E$31,MATCH($B52,球隊主檔!$A$2:$A$31,0))</f>
        <v>國中</v>
      </c>
      <c r="F52" s="12" t="n">
        <v>69</v>
      </c>
      <c r="G52" s="13" t="n">
        <f aca="false">INDEX(球季參數!$B$2:$B$4,MATCH($A52,球季參數!$A$2:$A$4,0))-F52</f>
        <v>93</v>
      </c>
      <c r="H52" s="14" t="n">
        <f aca="false">IF(F52+G52=0,0,F52/(F52+G52))</f>
        <v>0.425925925925926</v>
      </c>
      <c r="I52" s="16" t="n">
        <f aca="false">(SUMPRODUCT(MAX(($A$2:$A$91=$A52)*($E$2:$E$91=$E52)*$F$2:$F$91))-F52+G52-SUMPRODUCT(MIN(($A$2:$A$91=$A52)*($E$2:$E$91=$E52)*$G$2:$G$91+(1-($A$2:$A$91=$A52)*($E$2:$E$91=$E52))*999)))/2</f>
        <v>22</v>
      </c>
      <c r="J52" s="12" t="n">
        <v>609</v>
      </c>
      <c r="K52" s="12" t="n">
        <v>742</v>
      </c>
      <c r="L52" s="13" t="n">
        <f aca="false">J52-K52</f>
        <v>-133</v>
      </c>
      <c r="M52" s="14" t="n">
        <f aca="false">IF(POWER(J52,INDEX(球季參數!$D$2:$D$4,MATCH($A52,球季參數!$A$2:$A$4,0)))+POWER(K52,INDEX(球季參數!$D$2:$D$4,MATCH($A52,球季參數!$A$2:$A$4,0)))=0,0,POWER(J52,INDEX(球季參數!$D$2:$D$4,MATCH($A52,球季參數!$A$2:$A$4,0)))/(POWER(J52,INDEX(球季參數!$D$2:$D$4,MATCH($A52,球季參數!$A$2:$A$4,0)))+POWER(K52,INDEX(球季參數!$D$2:$D$4,MATCH($A52,球季參數!$A$2:$A$4,0)))))</f>
        <v>0.410600939142813</v>
      </c>
      <c r="N52" s="16" t="n">
        <f aca="false">M52*(F52+G52)</f>
        <v>66.5173521411357</v>
      </c>
      <c r="O52" s="16" t="n">
        <f aca="false">F52-N52</f>
        <v>2.48264785886431</v>
      </c>
    </row>
    <row r="53" customFormat="false" ht="15" hidden="false" customHeight="false" outlineLevel="0" collapsed="false">
      <c r="A53" s="5" t="n">
        <v>2025</v>
      </c>
      <c r="B53" s="7" t="s">
        <v>430</v>
      </c>
      <c r="C53" s="10" t="str">
        <f aca="false">INDEX(球隊主檔!$C$2:$C$31,MATCH($B53,球隊主檔!$A$2:$A$31,0))</f>
        <v>辛辛那提紅人</v>
      </c>
      <c r="D53" s="10" t="str">
        <f aca="false">INDEX(球隊主檔!$D$2:$D$31,MATCH($B53,球隊主檔!$A$2:$A$31,0))</f>
        <v>國聯</v>
      </c>
      <c r="E53" s="10" t="str">
        <f aca="false">INDEX(球隊主檔!$E$2:$E$31,MATCH($B53,球隊主檔!$A$2:$A$31,0))</f>
        <v>國中</v>
      </c>
      <c r="F53" s="12" t="n">
        <v>91</v>
      </c>
      <c r="G53" s="13" t="n">
        <f aca="false">INDEX(球季參數!$B$2:$B$4,MATCH($A53,球季參數!$A$2:$A$4,0))-F53</f>
        <v>71</v>
      </c>
      <c r="H53" s="14" t="n">
        <f aca="false">IF(F53+G53=0,0,F53/(F53+G53))</f>
        <v>0.561728395061728</v>
      </c>
      <c r="I53" s="16" t="n">
        <f aca="false">(SUMPRODUCT(MAX(($A$2:$A$91=$A53)*($E$2:$E$91=$E53)*$F$2:$F$91))-F53+G53-SUMPRODUCT(MIN(($A$2:$A$91=$A53)*($E$2:$E$91=$E53)*$G$2:$G$91+(1-($A$2:$A$91=$A53)*($E$2:$E$91=$E53))*999)))/2</f>
        <v>0</v>
      </c>
      <c r="J53" s="12" t="n">
        <v>720</v>
      </c>
      <c r="K53" s="12" t="n">
        <v>603</v>
      </c>
      <c r="L53" s="13" t="n">
        <f aca="false">J53-K53</f>
        <v>117</v>
      </c>
      <c r="M53" s="14" t="n">
        <f aca="false">IF(POWER(J53,INDEX(球季參數!$D$2:$D$4,MATCH($A53,球季參數!$A$2:$A$4,0)))+POWER(K53,INDEX(球季參數!$D$2:$D$4,MATCH($A53,球季參數!$A$2:$A$4,0)))=0,0,POWER(J53,INDEX(球季參數!$D$2:$D$4,MATCH($A53,球季參數!$A$2:$A$4,0)))/(POWER(J53,INDEX(球季參數!$D$2:$D$4,MATCH($A53,球季參數!$A$2:$A$4,0)))+POWER(K53,INDEX(球季參數!$D$2:$D$4,MATCH($A53,球季參數!$A$2:$A$4,0)))))</f>
        <v>0.580425718013788</v>
      </c>
      <c r="N53" s="16" t="n">
        <f aca="false">M53*(F53+G53)</f>
        <v>94.0289663182336</v>
      </c>
      <c r="O53" s="16" t="n">
        <f aca="false">F53-N53</f>
        <v>-3.02896631823361</v>
      </c>
    </row>
    <row r="54" customFormat="false" ht="15" hidden="false" customHeight="false" outlineLevel="0" collapsed="false">
      <c r="A54" s="5" t="n">
        <v>2025</v>
      </c>
      <c r="B54" s="7" t="s">
        <v>434</v>
      </c>
      <c r="C54" s="10" t="str">
        <f aca="false">INDEX(球隊主檔!$C$2:$C$31,MATCH($B54,球隊主檔!$A$2:$A$31,0))</f>
        <v>密爾瓦基釀酒人</v>
      </c>
      <c r="D54" s="10" t="str">
        <f aca="false">INDEX(球隊主檔!$D$2:$D$31,MATCH($B54,球隊主檔!$A$2:$A$31,0))</f>
        <v>國聯</v>
      </c>
      <c r="E54" s="10" t="str">
        <f aca="false">INDEX(球隊主檔!$E$2:$E$31,MATCH($B54,球隊主檔!$A$2:$A$31,0))</f>
        <v>國中</v>
      </c>
      <c r="F54" s="12" t="n">
        <v>69</v>
      </c>
      <c r="G54" s="13" t="n">
        <f aca="false">INDEX(球季參數!$B$2:$B$4,MATCH($A54,球季參數!$A$2:$A$4,0))-F54</f>
        <v>93</v>
      </c>
      <c r="H54" s="14" t="n">
        <f aca="false">IF(F54+G54=0,0,F54/(F54+G54))</f>
        <v>0.425925925925926</v>
      </c>
      <c r="I54" s="16" t="n">
        <f aca="false">(SUMPRODUCT(MAX(($A$2:$A$91=$A54)*($E$2:$E$91=$E54)*$F$2:$F$91))-F54+G54-SUMPRODUCT(MIN(($A$2:$A$91=$A54)*($E$2:$E$91=$E54)*$G$2:$G$91+(1-($A$2:$A$91=$A54)*($E$2:$E$91=$E54))*999)))/2</f>
        <v>22</v>
      </c>
      <c r="J54" s="12" t="n">
        <v>657</v>
      </c>
      <c r="K54" s="12" t="n">
        <v>812</v>
      </c>
      <c r="L54" s="13" t="n">
        <f aca="false">J54-K54</f>
        <v>-155</v>
      </c>
      <c r="M54" s="14" t="n">
        <f aca="false">IF(POWER(J54,INDEX(球季參數!$D$2:$D$4,MATCH($A54,球季參數!$A$2:$A$4,0)))+POWER(K54,INDEX(球季參數!$D$2:$D$4,MATCH($A54,球季參數!$A$2:$A$4,0)))=0,0,POWER(J54,INDEX(球季參數!$D$2:$D$4,MATCH($A54,球季參數!$A$2:$A$4,0)))/(POWER(J54,INDEX(球季參數!$D$2:$D$4,MATCH($A54,球季參數!$A$2:$A$4,0)))+POWER(K54,INDEX(球季參數!$D$2:$D$4,MATCH($A54,球季參數!$A$2:$A$4,0)))))</f>
        <v>0.404289436571672</v>
      </c>
      <c r="N54" s="16" t="n">
        <f aca="false">M54*(F54+G54)</f>
        <v>65.4948887246108</v>
      </c>
      <c r="O54" s="16" t="n">
        <f aca="false">F54-N54</f>
        <v>3.50511127538923</v>
      </c>
    </row>
    <row r="55" customFormat="false" ht="15" hidden="false" customHeight="false" outlineLevel="0" collapsed="false">
      <c r="A55" s="5" t="n">
        <v>2025</v>
      </c>
      <c r="B55" s="7" t="s">
        <v>438</v>
      </c>
      <c r="C55" s="10" t="str">
        <f aca="false">INDEX(球隊主檔!$C$2:$C$31,MATCH($B55,球隊主檔!$A$2:$A$31,0))</f>
        <v>匹茲堡海盜</v>
      </c>
      <c r="D55" s="10" t="str">
        <f aca="false">INDEX(球隊主檔!$D$2:$D$31,MATCH($B55,球隊主檔!$A$2:$A$31,0))</f>
        <v>國聯</v>
      </c>
      <c r="E55" s="10" t="str">
        <f aca="false">INDEX(球隊主檔!$E$2:$E$31,MATCH($B55,球隊主檔!$A$2:$A$31,0))</f>
        <v>國中</v>
      </c>
      <c r="F55" s="12" t="n">
        <v>89</v>
      </c>
      <c r="G55" s="13" t="n">
        <f aca="false">INDEX(球季參數!$B$2:$B$4,MATCH($A55,球季參數!$A$2:$A$4,0))-F55</f>
        <v>73</v>
      </c>
      <c r="H55" s="14" t="n">
        <f aca="false">IF(F55+G55=0,0,F55/(F55+G55))</f>
        <v>0.549382716049383</v>
      </c>
      <c r="I55" s="16" t="n">
        <f aca="false">(SUMPRODUCT(MAX(($A$2:$A$91=$A55)*($E$2:$E$91=$E55)*$F$2:$F$91))-F55+G55-SUMPRODUCT(MIN(($A$2:$A$91=$A55)*($E$2:$E$91=$E55)*$G$2:$G$91+(1-($A$2:$A$91=$A55)*($E$2:$E$91=$E55))*999)))/2</f>
        <v>2</v>
      </c>
      <c r="J55" s="12" t="n">
        <v>796</v>
      </c>
      <c r="K55" s="12" t="n">
        <v>689</v>
      </c>
      <c r="L55" s="13" t="n">
        <f aca="false">J55-K55</f>
        <v>107</v>
      </c>
      <c r="M55" s="14" t="n">
        <f aca="false">IF(POWER(J55,INDEX(球季參數!$D$2:$D$4,MATCH($A55,球季參數!$A$2:$A$4,0)))+POWER(K55,INDEX(球季參數!$D$2:$D$4,MATCH($A55,球季參數!$A$2:$A$4,0)))=0,0,POWER(J55,INDEX(球季參數!$D$2:$D$4,MATCH($A55,球季參數!$A$2:$A$4,0)))/(POWER(J55,INDEX(球季參數!$D$2:$D$4,MATCH($A55,球季參數!$A$2:$A$4,0)))+POWER(K55,INDEX(球季參數!$D$2:$D$4,MATCH($A55,球季參數!$A$2:$A$4,0)))))</f>
        <v>0.565662317010803</v>
      </c>
      <c r="N55" s="16" t="n">
        <f aca="false">M55*(F55+G55)</f>
        <v>91.6372953557501</v>
      </c>
      <c r="O55" s="16" t="n">
        <f aca="false">F55-N55</f>
        <v>-2.63729535575013</v>
      </c>
    </row>
    <row r="56" customFormat="false" ht="15" hidden="false" customHeight="false" outlineLevel="0" collapsed="false">
      <c r="A56" s="5" t="n">
        <v>2025</v>
      </c>
      <c r="B56" s="7" t="s">
        <v>442</v>
      </c>
      <c r="C56" s="10" t="str">
        <f aca="false">INDEX(球隊主檔!$C$2:$C$31,MATCH($B56,球隊主檔!$A$2:$A$31,0))</f>
        <v>聖路易紅雀</v>
      </c>
      <c r="D56" s="10" t="str">
        <f aca="false">INDEX(球隊主檔!$D$2:$D$31,MATCH($B56,球隊主檔!$A$2:$A$31,0))</f>
        <v>國聯</v>
      </c>
      <c r="E56" s="10" t="str">
        <f aca="false">INDEX(球隊主檔!$E$2:$E$31,MATCH($B56,球隊主檔!$A$2:$A$31,0))</f>
        <v>國中</v>
      </c>
      <c r="F56" s="12" t="n">
        <v>89</v>
      </c>
      <c r="G56" s="13" t="n">
        <f aca="false">INDEX(球季參數!$B$2:$B$4,MATCH($A56,球季參數!$A$2:$A$4,0))-F56</f>
        <v>73</v>
      </c>
      <c r="H56" s="14" t="n">
        <f aca="false">IF(F56+G56=0,0,F56/(F56+G56))</f>
        <v>0.549382716049383</v>
      </c>
      <c r="I56" s="16" t="n">
        <f aca="false">(SUMPRODUCT(MAX(($A$2:$A$91=$A56)*($E$2:$E$91=$E56)*$F$2:$F$91))-F56+G56-SUMPRODUCT(MIN(($A$2:$A$91=$A56)*($E$2:$E$91=$E56)*$G$2:$G$91+(1-($A$2:$A$91=$A56)*($E$2:$E$91=$E56))*999)))/2</f>
        <v>2</v>
      </c>
      <c r="J56" s="12" t="n">
        <v>771</v>
      </c>
      <c r="K56" s="12" t="n">
        <v>663</v>
      </c>
      <c r="L56" s="13" t="n">
        <f aca="false">J56-K56</f>
        <v>108</v>
      </c>
      <c r="M56" s="14" t="n">
        <f aca="false">IF(POWER(J56,INDEX(球季參數!$D$2:$D$4,MATCH($A56,球季參數!$A$2:$A$4,0)))+POWER(K56,INDEX(球季參數!$D$2:$D$4,MATCH($A56,球季參數!$A$2:$A$4,0)))=0,0,POWER(J56,INDEX(球季參數!$D$2:$D$4,MATCH($A56,球季參數!$A$2:$A$4,0)))/(POWER(J56,INDEX(球季參數!$D$2:$D$4,MATCH($A56,球季參數!$A$2:$A$4,0)))+POWER(K56,INDEX(球季參數!$D$2:$D$4,MATCH($A56,球季參數!$A$2:$A$4,0)))))</f>
        <v>0.568607365261903</v>
      </c>
      <c r="N56" s="16" t="n">
        <f aca="false">M56*(F56+G56)</f>
        <v>92.1143931724283</v>
      </c>
      <c r="O56" s="16" t="n">
        <f aca="false">F56-N56</f>
        <v>-3.11439317242829</v>
      </c>
    </row>
    <row r="57" customFormat="false" ht="15" hidden="false" customHeight="false" outlineLevel="0" collapsed="false">
      <c r="A57" s="5" t="n">
        <v>2025</v>
      </c>
      <c r="B57" s="7" t="s">
        <v>446</v>
      </c>
      <c r="C57" s="10" t="str">
        <f aca="false">INDEX(球隊主檔!$C$2:$C$31,MATCH($B57,球隊主檔!$A$2:$A$31,0))</f>
        <v>亞利桑那響尾蛇</v>
      </c>
      <c r="D57" s="10" t="str">
        <f aca="false">INDEX(球隊主檔!$D$2:$D$31,MATCH($B57,球隊主檔!$A$2:$A$31,0))</f>
        <v>國聯</v>
      </c>
      <c r="E57" s="10" t="str">
        <f aca="false">INDEX(球隊主檔!$E$2:$E$31,MATCH($B57,球隊主檔!$A$2:$A$31,0))</f>
        <v>國西</v>
      </c>
      <c r="F57" s="12" t="n">
        <v>82</v>
      </c>
      <c r="G57" s="13" t="n">
        <f aca="false">INDEX(球季參數!$B$2:$B$4,MATCH($A57,球季參數!$A$2:$A$4,0))-F57</f>
        <v>80</v>
      </c>
      <c r="H57" s="14" t="n">
        <f aca="false">IF(F57+G57=0,0,F57/(F57+G57))</f>
        <v>0.506172839506173</v>
      </c>
      <c r="I57" s="16" t="n">
        <f aca="false">(SUMPRODUCT(MAX(($A$2:$A$91=$A57)*($E$2:$E$91=$E57)*$F$2:$F$91))-F57+G57-SUMPRODUCT(MIN(($A$2:$A$91=$A57)*($E$2:$E$91=$E57)*$G$2:$G$91+(1-($A$2:$A$91=$A57)*($E$2:$E$91=$E57))*999)))/2</f>
        <v>3</v>
      </c>
      <c r="J57" s="12" t="n">
        <v>732</v>
      </c>
      <c r="K57" s="12" t="n">
        <v>754</v>
      </c>
      <c r="L57" s="13" t="n">
        <f aca="false">J57-K57</f>
        <v>-22</v>
      </c>
      <c r="M57" s="14" t="n">
        <f aca="false">IF(POWER(J57,INDEX(球季參數!$D$2:$D$4,MATCH($A57,球季參數!$A$2:$A$4,0)))+POWER(K57,INDEX(球季參數!$D$2:$D$4,MATCH($A57,球季參數!$A$2:$A$4,0)))=0,0,POWER(J57,INDEX(球季參數!$D$2:$D$4,MATCH($A57,球季參數!$A$2:$A$4,0)))/(POWER(J57,INDEX(球季參數!$D$2:$D$4,MATCH($A57,球季參數!$A$2:$A$4,0)))+POWER(K57,INDEX(球季參數!$D$2:$D$4,MATCH($A57,球季參數!$A$2:$A$4,0)))))</f>
        <v>0.486455890993553</v>
      </c>
      <c r="N57" s="16" t="n">
        <f aca="false">M57*(F57+G57)</f>
        <v>78.8058543409557</v>
      </c>
      <c r="O57" s="16" t="n">
        <f aca="false">F57-N57</f>
        <v>3.19414565904434</v>
      </c>
    </row>
    <row r="58" customFormat="false" ht="15" hidden="false" customHeight="false" outlineLevel="0" collapsed="false">
      <c r="A58" s="5" t="n">
        <v>2025</v>
      </c>
      <c r="B58" s="7" t="s">
        <v>451</v>
      </c>
      <c r="C58" s="10" t="str">
        <f aca="false">INDEX(球隊主檔!$C$2:$C$31,MATCH($B58,球隊主檔!$A$2:$A$31,0))</f>
        <v>科羅拉多落磯</v>
      </c>
      <c r="D58" s="10" t="str">
        <f aca="false">INDEX(球隊主檔!$D$2:$D$31,MATCH($B58,球隊主檔!$A$2:$A$31,0))</f>
        <v>國聯</v>
      </c>
      <c r="E58" s="10" t="str">
        <f aca="false">INDEX(球隊主檔!$E$2:$E$31,MATCH($B58,球隊主檔!$A$2:$A$31,0))</f>
        <v>國西</v>
      </c>
      <c r="F58" s="12" t="n">
        <v>80</v>
      </c>
      <c r="G58" s="13" t="n">
        <f aca="false">INDEX(球季參數!$B$2:$B$4,MATCH($A58,球季參數!$A$2:$A$4,0))-F58</f>
        <v>82</v>
      </c>
      <c r="H58" s="14" t="n">
        <f aca="false">IF(F58+G58=0,0,F58/(F58+G58))</f>
        <v>0.493827160493827</v>
      </c>
      <c r="I58" s="16" t="n">
        <f aca="false">(SUMPRODUCT(MAX(($A$2:$A$91=$A58)*($E$2:$E$91=$E58)*$F$2:$F$91))-F58+G58-SUMPRODUCT(MIN(($A$2:$A$91=$A58)*($E$2:$E$91=$E58)*$G$2:$G$91+(1-($A$2:$A$91=$A58)*($E$2:$E$91=$E58))*999)))/2</f>
        <v>5</v>
      </c>
      <c r="J58" s="12" t="n">
        <v>734</v>
      </c>
      <c r="K58" s="12" t="n">
        <v>777</v>
      </c>
      <c r="L58" s="13" t="n">
        <f aca="false">J58-K58</f>
        <v>-43</v>
      </c>
      <c r="M58" s="14" t="n">
        <f aca="false">IF(POWER(J58,INDEX(球季參數!$D$2:$D$4,MATCH($A58,球季參數!$A$2:$A$4,0)))+POWER(K58,INDEX(球季參數!$D$2:$D$4,MATCH($A58,球季參數!$A$2:$A$4,0)))=0,0,POWER(J58,INDEX(球季參數!$D$2:$D$4,MATCH($A58,球季參數!$A$2:$A$4,0)))/(POWER(J58,INDEX(球季參數!$D$2:$D$4,MATCH($A58,球季參數!$A$2:$A$4,0)))+POWER(K58,INDEX(球季參數!$D$2:$D$4,MATCH($A58,球季參數!$A$2:$A$4,0)))))</f>
        <v>0.473977454240793</v>
      </c>
      <c r="N58" s="16" t="n">
        <f aca="false">M58*(F58+G58)</f>
        <v>76.7843475870085</v>
      </c>
      <c r="O58" s="16" t="n">
        <f aca="false">F58-N58</f>
        <v>3.21565241299149</v>
      </c>
    </row>
    <row r="59" customFormat="false" ht="15" hidden="false" customHeight="false" outlineLevel="0" collapsed="false">
      <c r="A59" s="5" t="n">
        <v>2025</v>
      </c>
      <c r="B59" s="7" t="s">
        <v>455</v>
      </c>
      <c r="C59" s="10" t="str">
        <f aca="false">INDEX(球隊主檔!$C$2:$C$31,MATCH($B59,球隊主檔!$A$2:$A$31,0))</f>
        <v>洛杉磯道奇</v>
      </c>
      <c r="D59" s="10" t="str">
        <f aca="false">INDEX(球隊主檔!$D$2:$D$31,MATCH($B59,球隊主檔!$A$2:$A$31,0))</f>
        <v>國聯</v>
      </c>
      <c r="E59" s="10" t="str">
        <f aca="false">INDEX(球隊主檔!$E$2:$E$31,MATCH($B59,球隊主檔!$A$2:$A$31,0))</f>
        <v>國西</v>
      </c>
      <c r="F59" s="12" t="n">
        <v>84</v>
      </c>
      <c r="G59" s="13" t="n">
        <f aca="false">INDEX(球季參數!$B$2:$B$4,MATCH($A59,球季參數!$A$2:$A$4,0))-F59</f>
        <v>78</v>
      </c>
      <c r="H59" s="14" t="n">
        <f aca="false">IF(F59+G59=0,0,F59/(F59+G59))</f>
        <v>0.518518518518519</v>
      </c>
      <c r="I59" s="16" t="n">
        <f aca="false">(SUMPRODUCT(MAX(($A$2:$A$91=$A59)*($E$2:$E$91=$E59)*$F$2:$F$91))-F59+G59-SUMPRODUCT(MIN(($A$2:$A$91=$A59)*($E$2:$E$91=$E59)*$G$2:$G$91+(1-($A$2:$A$91=$A59)*($E$2:$E$91=$E59))*999)))/2</f>
        <v>1</v>
      </c>
      <c r="J59" s="12" t="n">
        <v>675</v>
      </c>
      <c r="K59" s="12" t="n">
        <v>657</v>
      </c>
      <c r="L59" s="13" t="n">
        <f aca="false">J59-K59</f>
        <v>18</v>
      </c>
      <c r="M59" s="14" t="n">
        <f aca="false">IF(POWER(J59,INDEX(球季參數!$D$2:$D$4,MATCH($A59,球季參數!$A$2:$A$4,0)))+POWER(K59,INDEX(球季參數!$D$2:$D$4,MATCH($A59,球季參數!$A$2:$A$4,0)))=0,0,POWER(J59,INDEX(球季參數!$D$2:$D$4,MATCH($A59,球季參數!$A$2:$A$4,0)))/(POWER(J59,INDEX(球季參數!$D$2:$D$4,MATCH($A59,球季參數!$A$2:$A$4,0)))+POWER(K59,INDEX(球季參數!$D$2:$D$4,MATCH($A59,球季參數!$A$2:$A$4,0)))))</f>
        <v>0.512363097156738</v>
      </c>
      <c r="N59" s="16" t="n">
        <f aca="false">M59*(F59+G59)</f>
        <v>83.0028217393916</v>
      </c>
      <c r="O59" s="16" t="n">
        <f aca="false">F59-N59</f>
        <v>0.99717826060845</v>
      </c>
    </row>
    <row r="60" customFormat="false" ht="15" hidden="false" customHeight="false" outlineLevel="0" collapsed="false">
      <c r="A60" s="5" t="n">
        <v>2025</v>
      </c>
      <c r="B60" s="7" t="s">
        <v>459</v>
      </c>
      <c r="C60" s="10" t="str">
        <f aca="false">INDEX(球隊主檔!$C$2:$C$31,MATCH($B60,球隊主檔!$A$2:$A$31,0))</f>
        <v>聖地牙哥教士</v>
      </c>
      <c r="D60" s="10" t="str">
        <f aca="false">INDEX(球隊主檔!$D$2:$D$31,MATCH($B60,球隊主檔!$A$2:$A$31,0))</f>
        <v>國聯</v>
      </c>
      <c r="E60" s="10" t="str">
        <f aca="false">INDEX(球隊主檔!$E$2:$E$31,MATCH($B60,球隊主檔!$A$2:$A$31,0))</f>
        <v>國西</v>
      </c>
      <c r="F60" s="12" t="n">
        <v>85</v>
      </c>
      <c r="G60" s="13" t="n">
        <f aca="false">INDEX(球季參數!$B$2:$B$4,MATCH($A60,球季參數!$A$2:$A$4,0))-F60</f>
        <v>77</v>
      </c>
      <c r="H60" s="14" t="n">
        <f aca="false">IF(F60+G60=0,0,F60/(F60+G60))</f>
        <v>0.524691358024691</v>
      </c>
      <c r="I60" s="16" t="n">
        <f aca="false">(SUMPRODUCT(MAX(($A$2:$A$91=$A60)*($E$2:$E$91=$E60)*$F$2:$F$91))-F60+G60-SUMPRODUCT(MIN(($A$2:$A$91=$A60)*($E$2:$E$91=$E60)*$G$2:$G$91+(1-($A$2:$A$91=$A60)*($E$2:$E$91=$E60))*999)))/2</f>
        <v>0</v>
      </c>
      <c r="J60" s="12" t="n">
        <v>751</v>
      </c>
      <c r="K60" s="12" t="n">
        <v>717</v>
      </c>
      <c r="L60" s="13" t="n">
        <f aca="false">J60-K60</f>
        <v>34</v>
      </c>
      <c r="M60" s="14" t="n">
        <f aca="false">IF(POWER(J60,INDEX(球季參數!$D$2:$D$4,MATCH($A60,球季參數!$A$2:$A$4,0)))+POWER(K60,INDEX(球季參數!$D$2:$D$4,MATCH($A60,球季參數!$A$2:$A$4,0)))=0,0,POWER(J60,INDEX(球季參數!$D$2:$D$4,MATCH($A60,球季參數!$A$2:$A$4,0)))/(POWER(J60,INDEX(球季參數!$D$2:$D$4,MATCH($A60,球季參數!$A$2:$A$4,0)))+POWER(K60,INDEX(球季參數!$D$2:$D$4,MATCH($A60,球季參數!$A$2:$A$4,0)))))</f>
        <v>0.521183200947093</v>
      </c>
      <c r="N60" s="16" t="n">
        <f aca="false">M60*(F60+G60)</f>
        <v>84.4316785534291</v>
      </c>
      <c r="O60" s="16" t="n">
        <f aca="false">F60-N60</f>
        <v>0.568321446570948</v>
      </c>
    </row>
    <row r="61" customFormat="false" ht="15" hidden="false" customHeight="false" outlineLevel="0" collapsed="false">
      <c r="A61" s="5" t="n">
        <v>2025</v>
      </c>
      <c r="B61" s="7" t="s">
        <v>463</v>
      </c>
      <c r="C61" s="10" t="str">
        <f aca="false">INDEX(球隊主檔!$C$2:$C$31,MATCH($B61,球隊主檔!$A$2:$A$31,0))</f>
        <v>舊金山巨人</v>
      </c>
      <c r="D61" s="10" t="str">
        <f aca="false">INDEX(球隊主檔!$D$2:$D$31,MATCH($B61,球隊主檔!$A$2:$A$31,0))</f>
        <v>國聯</v>
      </c>
      <c r="E61" s="10" t="str">
        <f aca="false">INDEX(球隊主檔!$E$2:$E$31,MATCH($B61,球隊主檔!$A$2:$A$31,0))</f>
        <v>國西</v>
      </c>
      <c r="F61" s="12" t="n">
        <v>61</v>
      </c>
      <c r="G61" s="13" t="n">
        <f aca="false">INDEX(球季參數!$B$2:$B$4,MATCH($A61,球季參數!$A$2:$A$4,0))-F61</f>
        <v>101</v>
      </c>
      <c r="H61" s="14" t="n">
        <f aca="false">IF(F61+G61=0,0,F61/(F61+G61))</f>
        <v>0.376543209876543</v>
      </c>
      <c r="I61" s="16" t="n">
        <f aca="false">(SUMPRODUCT(MAX(($A$2:$A$91=$A61)*($E$2:$E$91=$E61)*$F$2:$F$91))-F61+G61-SUMPRODUCT(MIN(($A$2:$A$91=$A61)*($E$2:$E$91=$E61)*$G$2:$G$91+(1-($A$2:$A$91=$A61)*($E$2:$E$91=$E61))*999)))/2</f>
        <v>24</v>
      </c>
      <c r="J61" s="12" t="n">
        <v>597</v>
      </c>
      <c r="K61" s="12" t="n">
        <v>781</v>
      </c>
      <c r="L61" s="13" t="n">
        <f aca="false">J61-K61</f>
        <v>-184</v>
      </c>
      <c r="M61" s="14" t="n">
        <f aca="false">IF(POWER(J61,INDEX(球季參數!$D$2:$D$4,MATCH($A61,球季參數!$A$2:$A$4,0)))+POWER(K61,INDEX(球季參數!$D$2:$D$4,MATCH($A61,球季參數!$A$2:$A$4,0)))=0,0,POWER(J61,INDEX(球季參數!$D$2:$D$4,MATCH($A61,球季參數!$A$2:$A$4,0)))/(POWER(J61,INDEX(球季參數!$D$2:$D$4,MATCH($A61,球季參數!$A$2:$A$4,0)))+POWER(K61,INDEX(球季參數!$D$2:$D$4,MATCH($A61,球季參數!$A$2:$A$4,0)))))</f>
        <v>0.379506311139256</v>
      </c>
      <c r="N61" s="16" t="n">
        <f aca="false">M61*(F61+G61)</f>
        <v>61.4800224045594</v>
      </c>
      <c r="O61" s="16" t="n">
        <f aca="false">F61-N61</f>
        <v>-0.480022404559442</v>
      </c>
    </row>
    <row r="62" customFormat="false" ht="15" hidden="false" customHeight="false" outlineLevel="0" collapsed="false">
      <c r="A62" s="5" t="n">
        <v>2026</v>
      </c>
      <c r="B62" s="7" t="s">
        <v>340</v>
      </c>
      <c r="C62" s="10" t="str">
        <f aca="false">INDEX(球隊主檔!$C$2:$C$31,MATCH($B62,球隊主檔!$A$2:$A$31,0))</f>
        <v>巴爾的摩金鶯</v>
      </c>
      <c r="D62" s="10" t="str">
        <f aca="false">INDEX(球隊主檔!$D$2:$D$31,MATCH($B62,球隊主檔!$A$2:$A$31,0))</f>
        <v>美聯</v>
      </c>
      <c r="E62" s="10" t="str">
        <f aca="false">INDEX(球隊主檔!$E$2:$E$31,MATCH($B62,球隊主檔!$A$2:$A$31,0))</f>
        <v>美東</v>
      </c>
      <c r="F62" s="12" t="n">
        <v>74</v>
      </c>
      <c r="G62" s="13" t="n">
        <f aca="false">INDEX(球季參數!$B$2:$B$4,MATCH($A62,球季參數!$A$2:$A$4,0))-F62</f>
        <v>88</v>
      </c>
      <c r="H62" s="14" t="n">
        <f aca="false">IF(F62+G62=0,0,F62/(F62+G62))</f>
        <v>0.45679012345679</v>
      </c>
      <c r="I62" s="16" t="n">
        <f aca="false">(SUMPRODUCT(MAX(($A$2:$A$91=$A62)*($E$2:$E$91=$E62)*$F$2:$F$91))-F62+G62-SUMPRODUCT(MIN(($A$2:$A$91=$A62)*($E$2:$E$91=$E62)*$G$2:$G$91+(1-($A$2:$A$91=$A62)*($E$2:$E$91=$E62))*999)))/2</f>
        <v>15</v>
      </c>
      <c r="J62" s="12" t="n">
        <v>716</v>
      </c>
      <c r="K62" s="12" t="n">
        <v>752</v>
      </c>
      <c r="L62" s="13" t="n">
        <f aca="false">J62-K62</f>
        <v>-36</v>
      </c>
      <c r="M62" s="14" t="n">
        <f aca="false">IF(POWER(J62,INDEX(球季參數!$D$2:$D$4,MATCH($A62,球季參數!$A$2:$A$4,0)))+POWER(K62,INDEX(球季參數!$D$2:$D$4,MATCH($A62,球季參數!$A$2:$A$4,0)))=0,0,POWER(J62,INDEX(球季參數!$D$2:$D$4,MATCH($A62,球季參數!$A$2:$A$4,0)))/(POWER(J62,INDEX(球季參數!$D$2:$D$4,MATCH($A62,球季參數!$A$2:$A$4,0)))+POWER(K62,INDEX(球季參數!$D$2:$D$4,MATCH($A62,球季參數!$A$2:$A$4,0)))))</f>
        <v>0.477571868793625</v>
      </c>
      <c r="N62" s="16" t="n">
        <f aca="false">M62*(F62+G62)</f>
        <v>77.3666427445673</v>
      </c>
      <c r="O62" s="16" t="n">
        <f aca="false">F62-N62</f>
        <v>-3.36664274456732</v>
      </c>
    </row>
    <row r="63" customFormat="false" ht="15" hidden="false" customHeight="false" outlineLevel="0" collapsed="false">
      <c r="A63" s="5" t="n">
        <v>2026</v>
      </c>
      <c r="B63" s="7" t="s">
        <v>346</v>
      </c>
      <c r="C63" s="10" t="str">
        <f aca="false">INDEX(球隊主檔!$C$2:$C$31,MATCH($B63,球隊主檔!$A$2:$A$31,0))</f>
        <v>波士頓紅襪</v>
      </c>
      <c r="D63" s="10" t="str">
        <f aca="false">INDEX(球隊主檔!$D$2:$D$31,MATCH($B63,球隊主檔!$A$2:$A$31,0))</f>
        <v>美聯</v>
      </c>
      <c r="E63" s="10" t="str">
        <f aca="false">INDEX(球隊主檔!$E$2:$E$31,MATCH($B63,球隊主檔!$A$2:$A$31,0))</f>
        <v>美東</v>
      </c>
      <c r="F63" s="12" t="n">
        <v>89</v>
      </c>
      <c r="G63" s="13" t="n">
        <f aca="false">INDEX(球季參數!$B$2:$B$4,MATCH($A63,球季參數!$A$2:$A$4,0))-F63</f>
        <v>73</v>
      </c>
      <c r="H63" s="14" t="n">
        <f aca="false">IF(F63+G63=0,0,F63/(F63+G63))</f>
        <v>0.549382716049383</v>
      </c>
      <c r="I63" s="16" t="n">
        <f aca="false">(SUMPRODUCT(MAX(($A$2:$A$91=$A63)*($E$2:$E$91=$E63)*$F$2:$F$91))-F63+G63-SUMPRODUCT(MIN(($A$2:$A$91=$A63)*($E$2:$E$91=$E63)*$G$2:$G$91+(1-($A$2:$A$91=$A63)*($E$2:$E$91=$E63))*999)))/2</f>
        <v>0</v>
      </c>
      <c r="J63" s="12" t="n">
        <v>771</v>
      </c>
      <c r="K63" s="12" t="n">
        <v>683</v>
      </c>
      <c r="L63" s="13" t="n">
        <f aca="false">J63-K63</f>
        <v>88</v>
      </c>
      <c r="M63" s="14" t="n">
        <f aca="false">IF(POWER(J63,INDEX(球季參數!$D$2:$D$4,MATCH($A63,球季參數!$A$2:$A$4,0)))+POWER(K63,INDEX(球季參數!$D$2:$D$4,MATCH($A63,球季參數!$A$2:$A$4,0)))=0,0,POWER(J63,INDEX(球季參數!$D$2:$D$4,MATCH($A63,球季參數!$A$2:$A$4,0)))/(POWER(J63,INDEX(球季參數!$D$2:$D$4,MATCH($A63,球季參數!$A$2:$A$4,0)))+POWER(K63,INDEX(球季參數!$D$2:$D$4,MATCH($A63,球季參數!$A$2:$A$4,0)))))</f>
        <v>0.555219870821168</v>
      </c>
      <c r="N63" s="16" t="n">
        <f aca="false">M63*(F63+G63)</f>
        <v>89.9456190730293</v>
      </c>
      <c r="O63" s="16" t="n">
        <f aca="false">F63-N63</f>
        <v>-0.945619073029249</v>
      </c>
    </row>
    <row r="64" customFormat="false" ht="15" hidden="false" customHeight="false" outlineLevel="0" collapsed="false">
      <c r="A64" s="5" t="n">
        <v>2026</v>
      </c>
      <c r="B64" s="7" t="s">
        <v>350</v>
      </c>
      <c r="C64" s="10" t="str">
        <f aca="false">INDEX(球隊主檔!$C$2:$C$31,MATCH($B64,球隊主檔!$A$2:$A$31,0))</f>
        <v>紐約洋基</v>
      </c>
      <c r="D64" s="10" t="str">
        <f aca="false">INDEX(球隊主檔!$D$2:$D$31,MATCH($B64,球隊主檔!$A$2:$A$31,0))</f>
        <v>美聯</v>
      </c>
      <c r="E64" s="10" t="str">
        <f aca="false">INDEX(球隊主檔!$E$2:$E$31,MATCH($B64,球隊主檔!$A$2:$A$31,0))</f>
        <v>美東</v>
      </c>
      <c r="F64" s="12" t="n">
        <v>89</v>
      </c>
      <c r="G64" s="13" t="n">
        <f aca="false">INDEX(球季參數!$B$2:$B$4,MATCH($A64,球季參數!$A$2:$A$4,0))-F64</f>
        <v>73</v>
      </c>
      <c r="H64" s="14" t="n">
        <f aca="false">IF(F64+G64=0,0,F64/(F64+G64))</f>
        <v>0.549382716049383</v>
      </c>
      <c r="I64" s="16" t="n">
        <f aca="false">(SUMPRODUCT(MAX(($A$2:$A$91=$A64)*($E$2:$E$91=$E64)*$F$2:$F$91))-F64+G64-SUMPRODUCT(MIN(($A$2:$A$91=$A64)*($E$2:$E$91=$E64)*$G$2:$G$91+(1-($A$2:$A$91=$A64)*($E$2:$E$91=$E64))*999)))/2</f>
        <v>0</v>
      </c>
      <c r="J64" s="12" t="n">
        <v>759</v>
      </c>
      <c r="K64" s="12" t="n">
        <v>712</v>
      </c>
      <c r="L64" s="13" t="n">
        <f aca="false">J64-K64</f>
        <v>47</v>
      </c>
      <c r="M64" s="14" t="n">
        <f aca="false">IF(POWER(J64,INDEX(球季參數!$D$2:$D$4,MATCH($A64,球季參數!$A$2:$A$4,0)))+POWER(K64,INDEX(球季參數!$D$2:$D$4,MATCH($A64,球季參數!$A$2:$A$4,0)))=0,0,POWER(J64,INDEX(球季參數!$D$2:$D$4,MATCH($A64,球季參數!$A$2:$A$4,0)))/(POWER(J64,INDEX(球季參數!$D$2:$D$4,MATCH($A64,球季參數!$A$2:$A$4,0)))+POWER(K64,INDEX(球季參數!$D$2:$D$4,MATCH($A64,球季參數!$A$2:$A$4,0)))))</f>
        <v>0.529211863856432</v>
      </c>
      <c r="N64" s="16" t="n">
        <f aca="false">M64*(F64+G64)</f>
        <v>85.7323219447419</v>
      </c>
      <c r="O64" s="16" t="n">
        <f aca="false">F64-N64</f>
        <v>3.2676780552581</v>
      </c>
    </row>
    <row r="65" customFormat="false" ht="15" hidden="false" customHeight="false" outlineLevel="0" collapsed="false">
      <c r="A65" s="5" t="n">
        <v>2026</v>
      </c>
      <c r="B65" s="7" t="s">
        <v>354</v>
      </c>
      <c r="C65" s="10" t="str">
        <f aca="false">INDEX(球隊主檔!$C$2:$C$31,MATCH($B65,球隊主檔!$A$2:$A$31,0))</f>
        <v>坦帕灣光芒</v>
      </c>
      <c r="D65" s="10" t="str">
        <f aca="false">INDEX(球隊主檔!$D$2:$D$31,MATCH($B65,球隊主檔!$A$2:$A$31,0))</f>
        <v>美聯</v>
      </c>
      <c r="E65" s="10" t="str">
        <f aca="false">INDEX(球隊主檔!$E$2:$E$31,MATCH($B65,球隊主檔!$A$2:$A$31,0))</f>
        <v>美東</v>
      </c>
      <c r="F65" s="12" t="n">
        <v>70</v>
      </c>
      <c r="G65" s="13" t="n">
        <f aca="false">INDEX(球季參數!$B$2:$B$4,MATCH($A65,球季參數!$A$2:$A$4,0))-F65</f>
        <v>92</v>
      </c>
      <c r="H65" s="14" t="n">
        <f aca="false">IF(F65+G65=0,0,F65/(F65+G65))</f>
        <v>0.432098765432099</v>
      </c>
      <c r="I65" s="16" t="n">
        <f aca="false">(SUMPRODUCT(MAX(($A$2:$A$91=$A65)*($E$2:$E$91=$E65)*$F$2:$F$91))-F65+G65-SUMPRODUCT(MIN(($A$2:$A$91=$A65)*($E$2:$E$91=$E65)*$G$2:$G$91+(1-($A$2:$A$91=$A65)*($E$2:$E$91=$E65))*999)))/2</f>
        <v>19</v>
      </c>
      <c r="J65" s="12" t="n">
        <v>692</v>
      </c>
      <c r="K65" s="12" t="n">
        <v>800</v>
      </c>
      <c r="L65" s="13" t="n">
        <f aca="false">J65-K65</f>
        <v>-108</v>
      </c>
      <c r="M65" s="14" t="n">
        <f aca="false">IF(POWER(J65,INDEX(球季參數!$D$2:$D$4,MATCH($A65,球季參數!$A$2:$A$4,0)))+POWER(K65,INDEX(球季參數!$D$2:$D$4,MATCH($A65,球季參數!$A$2:$A$4,0)))=0,0,POWER(J65,INDEX(球季參數!$D$2:$D$4,MATCH($A65,球季參數!$A$2:$A$4,0)))/(POWER(J65,INDEX(球季參數!$D$2:$D$4,MATCH($A65,球季參數!$A$2:$A$4,0)))+POWER(K65,INDEX(球季參數!$D$2:$D$4,MATCH($A65,球季參數!$A$2:$A$4,0)))))</f>
        <v>0.43403743191636</v>
      </c>
      <c r="N65" s="16" t="n">
        <f aca="false">M65*(F65+G65)</f>
        <v>70.3140639704502</v>
      </c>
      <c r="O65" s="16" t="n">
        <f aca="false">F65-N65</f>
        <v>-0.314063970450235</v>
      </c>
    </row>
    <row r="66" customFormat="false" ht="15" hidden="false" customHeight="false" outlineLevel="0" collapsed="false">
      <c r="A66" s="5" t="n">
        <v>2026</v>
      </c>
      <c r="B66" s="7" t="s">
        <v>358</v>
      </c>
      <c r="C66" s="10" t="str">
        <f aca="false">INDEX(球隊主檔!$C$2:$C$31,MATCH($B66,球隊主檔!$A$2:$A$31,0))</f>
        <v>多倫多藍鳥</v>
      </c>
      <c r="D66" s="10" t="str">
        <f aca="false">INDEX(球隊主檔!$D$2:$D$31,MATCH($B66,球隊主檔!$A$2:$A$31,0))</f>
        <v>美聯</v>
      </c>
      <c r="E66" s="10" t="str">
        <f aca="false">INDEX(球隊主檔!$E$2:$E$31,MATCH($B66,球隊主檔!$A$2:$A$31,0))</f>
        <v>美東</v>
      </c>
      <c r="F66" s="12" t="n">
        <v>86</v>
      </c>
      <c r="G66" s="13" t="n">
        <f aca="false">INDEX(球季參數!$B$2:$B$4,MATCH($A66,球季參數!$A$2:$A$4,0))-F66</f>
        <v>76</v>
      </c>
      <c r="H66" s="14" t="n">
        <f aca="false">IF(F66+G66=0,0,F66/(F66+G66))</f>
        <v>0.530864197530864</v>
      </c>
      <c r="I66" s="16" t="n">
        <f aca="false">(SUMPRODUCT(MAX(($A$2:$A$91=$A66)*($E$2:$E$91=$E66)*$F$2:$F$91))-F66+G66-SUMPRODUCT(MIN(($A$2:$A$91=$A66)*($E$2:$E$91=$E66)*$G$2:$G$91+(1-($A$2:$A$91=$A66)*($E$2:$E$91=$E66))*999)))/2</f>
        <v>3</v>
      </c>
      <c r="J66" s="12" t="n">
        <v>774</v>
      </c>
      <c r="K66" s="12" t="n">
        <v>757</v>
      </c>
      <c r="L66" s="13" t="n">
        <f aca="false">J66-K66</f>
        <v>17</v>
      </c>
      <c r="M66" s="14" t="n">
        <f aca="false">IF(POWER(J66,INDEX(球季參數!$D$2:$D$4,MATCH($A66,球季參數!$A$2:$A$4,0)))+POWER(K66,INDEX(球季參數!$D$2:$D$4,MATCH($A66,球季參數!$A$2:$A$4,0)))=0,0,POWER(J66,INDEX(球季參數!$D$2:$D$4,MATCH($A66,球季參數!$A$2:$A$4,0)))/(POWER(J66,INDEX(球季參數!$D$2:$D$4,MATCH($A66,球季參數!$A$2:$A$4,0)))+POWER(K66,INDEX(球季參數!$D$2:$D$4,MATCH($A66,球季參數!$A$2:$A$4,0)))))</f>
        <v>0.510159045404619</v>
      </c>
      <c r="N66" s="16" t="n">
        <f aca="false">M66*(F66+G66)</f>
        <v>82.6457653555482</v>
      </c>
      <c r="O66" s="16" t="n">
        <f aca="false">F66-N66</f>
        <v>3.35423464445179</v>
      </c>
    </row>
    <row r="67" customFormat="false" ht="15" hidden="false" customHeight="false" outlineLevel="0" collapsed="false">
      <c r="A67" s="5" t="n">
        <v>2026</v>
      </c>
      <c r="B67" s="7" t="s">
        <v>362</v>
      </c>
      <c r="C67" s="10" t="str">
        <f aca="false">INDEX(球隊主檔!$C$2:$C$31,MATCH($B67,球隊主檔!$A$2:$A$31,0))</f>
        <v>芝加哥白襪</v>
      </c>
      <c r="D67" s="10" t="str">
        <f aca="false">INDEX(球隊主檔!$D$2:$D$31,MATCH($B67,球隊主檔!$A$2:$A$31,0))</f>
        <v>美聯</v>
      </c>
      <c r="E67" s="10" t="str">
        <f aca="false">INDEX(球隊主檔!$E$2:$E$31,MATCH($B67,球隊主檔!$A$2:$A$31,0))</f>
        <v>美中</v>
      </c>
      <c r="F67" s="12" t="n">
        <v>84</v>
      </c>
      <c r="G67" s="13" t="n">
        <f aca="false">INDEX(球季參數!$B$2:$B$4,MATCH($A67,球季參數!$A$2:$A$4,0))-F67</f>
        <v>78</v>
      </c>
      <c r="H67" s="14" t="n">
        <f aca="false">IF(F67+G67=0,0,F67/(F67+G67))</f>
        <v>0.518518518518519</v>
      </c>
      <c r="I67" s="16" t="n">
        <f aca="false">(SUMPRODUCT(MAX(($A$2:$A$91=$A67)*($E$2:$E$91=$E67)*$F$2:$F$91))-F67+G67-SUMPRODUCT(MIN(($A$2:$A$91=$A67)*($E$2:$E$91=$E67)*$G$2:$G$91+(1-($A$2:$A$91=$A67)*($E$2:$E$91=$E67))*999)))/2</f>
        <v>14</v>
      </c>
      <c r="J67" s="12" t="n">
        <v>752</v>
      </c>
      <c r="K67" s="12" t="n">
        <v>726</v>
      </c>
      <c r="L67" s="13" t="n">
        <f aca="false">J67-K67</f>
        <v>26</v>
      </c>
      <c r="M67" s="14" t="n">
        <f aca="false">IF(POWER(J67,INDEX(球季參數!$D$2:$D$4,MATCH($A67,球季參數!$A$2:$A$4,0)))+POWER(K67,INDEX(球季參數!$D$2:$D$4,MATCH($A67,球季參數!$A$2:$A$4,0)))=0,0,POWER(J67,INDEX(球季參數!$D$2:$D$4,MATCH($A67,球季參數!$A$2:$A$4,0)))/(POWER(J67,INDEX(球季參數!$D$2:$D$4,MATCH($A67,球季參數!$A$2:$A$4,0)))+POWER(K67,INDEX(球季參數!$D$2:$D$4,MATCH($A67,球季參數!$A$2:$A$4,0)))))</f>
        <v>0.516092176701834</v>
      </c>
      <c r="N67" s="16" t="n">
        <f aca="false">M67*(F67+G67)</f>
        <v>83.6069326256971</v>
      </c>
      <c r="O67" s="16" t="n">
        <f aca="false">F67-N67</f>
        <v>0.393067374302916</v>
      </c>
    </row>
    <row r="68" customFormat="false" ht="15" hidden="false" customHeight="false" outlineLevel="0" collapsed="false">
      <c r="A68" s="5" t="n">
        <v>2026</v>
      </c>
      <c r="B68" s="7" t="s">
        <v>367</v>
      </c>
      <c r="C68" s="10" t="str">
        <f aca="false">INDEX(球隊主檔!$C$2:$C$31,MATCH($B68,球隊主檔!$A$2:$A$31,0))</f>
        <v>克里夫蘭守護者</v>
      </c>
      <c r="D68" s="10" t="str">
        <f aca="false">INDEX(球隊主檔!$D$2:$D$31,MATCH($B68,球隊主檔!$A$2:$A$31,0))</f>
        <v>美聯</v>
      </c>
      <c r="E68" s="10" t="str">
        <f aca="false">INDEX(球隊主檔!$E$2:$E$31,MATCH($B68,球隊主檔!$A$2:$A$31,0))</f>
        <v>美中</v>
      </c>
      <c r="F68" s="12" t="n">
        <v>97</v>
      </c>
      <c r="G68" s="13" t="n">
        <f aca="false">INDEX(球季參數!$B$2:$B$4,MATCH($A68,球季參數!$A$2:$A$4,0))-F68</f>
        <v>65</v>
      </c>
      <c r="H68" s="14" t="n">
        <f aca="false">IF(F68+G68=0,0,F68/(F68+G68))</f>
        <v>0.598765432098765</v>
      </c>
      <c r="I68" s="16" t="n">
        <f aca="false">(SUMPRODUCT(MAX(($A$2:$A$91=$A68)*($E$2:$E$91=$E68)*$F$2:$F$91))-F68+G68-SUMPRODUCT(MIN(($A$2:$A$91=$A68)*($E$2:$E$91=$E68)*$G$2:$G$91+(1-($A$2:$A$91=$A68)*($E$2:$E$91=$E68))*999)))/2</f>
        <v>1</v>
      </c>
      <c r="J68" s="12" t="n">
        <v>810</v>
      </c>
      <c r="K68" s="12" t="n">
        <v>631</v>
      </c>
      <c r="L68" s="13" t="n">
        <f aca="false">J68-K68</f>
        <v>179</v>
      </c>
      <c r="M68" s="14" t="n">
        <f aca="false">IF(POWER(J68,INDEX(球季參數!$D$2:$D$4,MATCH($A68,球季參數!$A$2:$A$4,0)))+POWER(K68,INDEX(球季參數!$D$2:$D$4,MATCH($A68,球季參數!$A$2:$A$4,0)))=0,0,POWER(J68,INDEX(球季參數!$D$2:$D$4,MATCH($A68,球季參數!$A$2:$A$4,0)))/(POWER(J68,INDEX(球季參數!$D$2:$D$4,MATCH($A68,球季參數!$A$2:$A$4,0)))+POWER(K68,INDEX(球季參數!$D$2:$D$4,MATCH($A68,球季參數!$A$2:$A$4,0)))))</f>
        <v>0.61230295096834</v>
      </c>
      <c r="N68" s="16" t="n">
        <f aca="false">M68*(F68+G68)</f>
        <v>99.1930780568711</v>
      </c>
      <c r="O68" s="16" t="n">
        <f aca="false">F68-N68</f>
        <v>-2.19307805687107</v>
      </c>
    </row>
    <row r="69" customFormat="false" ht="15" hidden="false" customHeight="false" outlineLevel="0" collapsed="false">
      <c r="A69" s="5" t="n">
        <v>2026</v>
      </c>
      <c r="B69" s="7" t="s">
        <v>371</v>
      </c>
      <c r="C69" s="10" t="str">
        <f aca="false">INDEX(球隊主檔!$C$2:$C$31,MATCH($B69,球隊主檔!$A$2:$A$31,0))</f>
        <v>底特律老虎</v>
      </c>
      <c r="D69" s="10" t="str">
        <f aca="false">INDEX(球隊主檔!$D$2:$D$31,MATCH($B69,球隊主檔!$A$2:$A$31,0))</f>
        <v>美聯</v>
      </c>
      <c r="E69" s="10" t="str">
        <f aca="false">INDEX(球隊主檔!$E$2:$E$31,MATCH($B69,球隊主檔!$A$2:$A$31,0))</f>
        <v>美中</v>
      </c>
      <c r="F69" s="12" t="n">
        <v>73</v>
      </c>
      <c r="G69" s="13" t="n">
        <f aca="false">INDEX(球季參數!$B$2:$B$4,MATCH($A69,球季參數!$A$2:$A$4,0))-F69</f>
        <v>89</v>
      </c>
      <c r="H69" s="14" t="n">
        <f aca="false">IF(F69+G69=0,0,F69/(F69+G69))</f>
        <v>0.450617283950617</v>
      </c>
      <c r="I69" s="16" t="n">
        <f aca="false">(SUMPRODUCT(MAX(($A$2:$A$91=$A69)*($E$2:$E$91=$E69)*$F$2:$F$91))-F69+G69-SUMPRODUCT(MIN(($A$2:$A$91=$A69)*($E$2:$E$91=$E69)*$G$2:$G$91+(1-($A$2:$A$91=$A69)*($E$2:$E$91=$E69))*999)))/2</f>
        <v>25</v>
      </c>
      <c r="J69" s="12" t="n">
        <v>644</v>
      </c>
      <c r="K69" s="12" t="n">
        <v>748</v>
      </c>
      <c r="L69" s="13" t="n">
        <f aca="false">J69-K69</f>
        <v>-104</v>
      </c>
      <c r="M69" s="14" t="n">
        <f aca="false">IF(POWER(J69,INDEX(球季參數!$D$2:$D$4,MATCH($A69,球季參數!$A$2:$A$4,0)))+POWER(K69,INDEX(球季參數!$D$2:$D$4,MATCH($A69,球季參數!$A$2:$A$4,0)))=0,0,POWER(J69,INDEX(球季參數!$D$2:$D$4,MATCH($A69,球季參數!$A$2:$A$4,0)))/(POWER(J69,INDEX(球季參數!$D$2:$D$4,MATCH($A69,球季參數!$A$2:$A$4,0)))+POWER(K69,INDEX(球季參數!$D$2:$D$4,MATCH($A69,球季參數!$A$2:$A$4,0)))))</f>
        <v>0.431935479425578</v>
      </c>
      <c r="N69" s="16" t="n">
        <f aca="false">M69*(F69+G69)</f>
        <v>69.9735476669437</v>
      </c>
      <c r="O69" s="16" t="n">
        <f aca="false">F69-N69</f>
        <v>3.02645233305636</v>
      </c>
    </row>
    <row r="70" customFormat="false" ht="15" hidden="false" customHeight="false" outlineLevel="0" collapsed="false">
      <c r="A70" s="5" t="n">
        <v>2026</v>
      </c>
      <c r="B70" s="7" t="s">
        <v>375</v>
      </c>
      <c r="C70" s="10" t="str">
        <f aca="false">INDEX(球隊主檔!$C$2:$C$31,MATCH($B70,球隊主檔!$A$2:$A$31,0))</f>
        <v>堪薩斯市皇家</v>
      </c>
      <c r="D70" s="10" t="str">
        <f aca="false">INDEX(球隊主檔!$D$2:$D$31,MATCH($B70,球隊主檔!$A$2:$A$31,0))</f>
        <v>美聯</v>
      </c>
      <c r="E70" s="10" t="str">
        <f aca="false">INDEX(球隊主檔!$E$2:$E$31,MATCH($B70,球隊主檔!$A$2:$A$31,0))</f>
        <v>美中</v>
      </c>
      <c r="F70" s="12" t="n">
        <v>84</v>
      </c>
      <c r="G70" s="13" t="n">
        <f aca="false">INDEX(球季參數!$B$2:$B$4,MATCH($A70,球季參數!$A$2:$A$4,0))-F70</f>
        <v>78</v>
      </c>
      <c r="H70" s="14" t="n">
        <f aca="false">IF(F70+G70=0,0,F70/(F70+G70))</f>
        <v>0.518518518518519</v>
      </c>
      <c r="I70" s="16" t="n">
        <f aca="false">(SUMPRODUCT(MAX(($A$2:$A$91=$A70)*($E$2:$E$91=$E70)*$F$2:$F$91))-F70+G70-SUMPRODUCT(MIN(($A$2:$A$91=$A70)*($E$2:$E$91=$E70)*$G$2:$G$91+(1-($A$2:$A$91=$A70)*($E$2:$E$91=$E70))*999)))/2</f>
        <v>14</v>
      </c>
      <c r="J70" s="12" t="n">
        <v>733</v>
      </c>
      <c r="K70" s="12" t="n">
        <v>674</v>
      </c>
      <c r="L70" s="13" t="n">
        <f aca="false">J70-K70</f>
        <v>59</v>
      </c>
      <c r="M70" s="14" t="n">
        <f aca="false">IF(POWER(J70,INDEX(球季參數!$D$2:$D$4,MATCH($A70,球季參數!$A$2:$A$4,0)))+POWER(K70,INDEX(球季參數!$D$2:$D$4,MATCH($A70,球季參數!$A$2:$A$4,0)))=0,0,POWER(J70,INDEX(球季參數!$D$2:$D$4,MATCH($A70,球季參數!$A$2:$A$4,0)))/(POWER(J70,INDEX(球季參數!$D$2:$D$4,MATCH($A70,球季參數!$A$2:$A$4,0)))+POWER(K70,INDEX(球季參數!$D$2:$D$4,MATCH($A70,球季參數!$A$2:$A$4,0)))))</f>
        <v>0.538316113710809</v>
      </c>
      <c r="N70" s="16" t="n">
        <f aca="false">M70*(F70+G70)</f>
        <v>87.207210421151</v>
      </c>
      <c r="O70" s="16" t="n">
        <f aca="false">F70-N70</f>
        <v>-3.20721042115102</v>
      </c>
    </row>
    <row r="71" customFormat="false" ht="15" hidden="false" customHeight="false" outlineLevel="0" collapsed="false">
      <c r="A71" s="5" t="n">
        <v>2026</v>
      </c>
      <c r="B71" s="7" t="s">
        <v>379</v>
      </c>
      <c r="C71" s="10" t="str">
        <f aca="false">INDEX(球隊主檔!$C$2:$C$31,MATCH($B71,球隊主檔!$A$2:$A$31,0))</f>
        <v>明尼蘇達雙城</v>
      </c>
      <c r="D71" s="10" t="str">
        <f aca="false">INDEX(球隊主檔!$D$2:$D$31,MATCH($B71,球隊主檔!$A$2:$A$31,0))</f>
        <v>美聯</v>
      </c>
      <c r="E71" s="10" t="str">
        <f aca="false">INDEX(球隊主檔!$E$2:$E$31,MATCH($B71,球隊主檔!$A$2:$A$31,0))</f>
        <v>美中</v>
      </c>
      <c r="F71" s="12" t="n">
        <v>98</v>
      </c>
      <c r="G71" s="13" t="n">
        <f aca="false">INDEX(球季參數!$B$2:$B$4,MATCH($A71,球季參數!$A$2:$A$4,0))-F71</f>
        <v>64</v>
      </c>
      <c r="H71" s="14" t="n">
        <f aca="false">IF(F71+G71=0,0,F71/(F71+G71))</f>
        <v>0.604938271604938</v>
      </c>
      <c r="I71" s="16" t="n">
        <f aca="false">(SUMPRODUCT(MAX(($A$2:$A$91=$A71)*($E$2:$E$91=$E71)*$F$2:$F$91))-F71+G71-SUMPRODUCT(MIN(($A$2:$A$91=$A71)*($E$2:$E$91=$E71)*$G$2:$G$91+(1-($A$2:$A$91=$A71)*($E$2:$E$91=$E71))*999)))/2</f>
        <v>0</v>
      </c>
      <c r="J71" s="12" t="n">
        <v>784</v>
      </c>
      <c r="K71" s="12" t="n">
        <v>619</v>
      </c>
      <c r="L71" s="13" t="n">
        <f aca="false">J71-K71</f>
        <v>165</v>
      </c>
      <c r="M71" s="14" t="n">
        <f aca="false">IF(POWER(J71,INDEX(球季參數!$D$2:$D$4,MATCH($A71,球季參數!$A$2:$A$4,0)))+POWER(K71,INDEX(球季參數!$D$2:$D$4,MATCH($A71,球季參數!$A$2:$A$4,0)))=0,0,POWER(J71,INDEX(球季參數!$D$2:$D$4,MATCH($A71,球季參數!$A$2:$A$4,0)))/(POWER(J71,INDEX(球季參數!$D$2:$D$4,MATCH($A71,球季參數!$A$2:$A$4,0)))+POWER(K71,INDEX(球季參數!$D$2:$D$4,MATCH($A71,球季參數!$A$2:$A$4,0)))))</f>
        <v>0.606455178629726</v>
      </c>
      <c r="N71" s="16" t="n">
        <f aca="false">M71*(F71+G71)</f>
        <v>98.2457389380156</v>
      </c>
      <c r="O71" s="16" t="n">
        <f aca="false">F71-N71</f>
        <v>-0.245738938015606</v>
      </c>
    </row>
    <row r="72" customFormat="false" ht="15" hidden="false" customHeight="false" outlineLevel="0" collapsed="false">
      <c r="A72" s="5" t="n">
        <v>2026</v>
      </c>
      <c r="B72" s="7" t="s">
        <v>383</v>
      </c>
      <c r="C72" s="10" t="str">
        <f aca="false">INDEX(球隊主檔!$C$2:$C$31,MATCH($B72,球隊主檔!$A$2:$A$31,0))</f>
        <v>運動家</v>
      </c>
      <c r="D72" s="10" t="str">
        <f aca="false">INDEX(球隊主檔!$D$2:$D$31,MATCH($B72,球隊主檔!$A$2:$A$31,0))</f>
        <v>美聯</v>
      </c>
      <c r="E72" s="10" t="str">
        <f aca="false">INDEX(球隊主檔!$E$2:$E$31,MATCH($B72,球隊主檔!$A$2:$A$31,0))</f>
        <v>美西</v>
      </c>
      <c r="F72" s="12" t="n">
        <v>89</v>
      </c>
      <c r="G72" s="13" t="n">
        <f aca="false">INDEX(球季參數!$B$2:$B$4,MATCH($A72,球季參數!$A$2:$A$4,0))-F72</f>
        <v>73</v>
      </c>
      <c r="H72" s="14" t="n">
        <f aca="false">IF(F72+G72=0,0,F72/(F72+G72))</f>
        <v>0.549382716049383</v>
      </c>
      <c r="I72" s="16" t="n">
        <f aca="false">(SUMPRODUCT(MAX(($A$2:$A$91=$A72)*($E$2:$E$91=$E72)*$F$2:$F$91))-F72+G72-SUMPRODUCT(MIN(($A$2:$A$91=$A72)*($E$2:$E$91=$E72)*$G$2:$G$91+(1-($A$2:$A$91=$A72)*($E$2:$E$91=$E72))*999)))/2</f>
        <v>1</v>
      </c>
      <c r="J72" s="12" t="n">
        <v>808</v>
      </c>
      <c r="K72" s="12" t="n">
        <v>713</v>
      </c>
      <c r="L72" s="13" t="n">
        <f aca="false">J72-K72</f>
        <v>95</v>
      </c>
      <c r="M72" s="14" t="n">
        <f aca="false">IF(POWER(J72,INDEX(球季參數!$D$2:$D$4,MATCH($A72,球季參數!$A$2:$A$4,0)))+POWER(K72,INDEX(球季參數!$D$2:$D$4,MATCH($A72,球季參數!$A$2:$A$4,0)))=0,0,POWER(J72,INDEX(球季參數!$D$2:$D$4,MATCH($A72,球季參數!$A$2:$A$4,0)))/(POWER(J72,INDEX(球季參數!$D$2:$D$4,MATCH($A72,球季參數!$A$2:$A$4,0)))+POWER(K72,INDEX(球季參數!$D$2:$D$4,MATCH($A72,球季參數!$A$2:$A$4,0)))))</f>
        <v>0.556975842412608</v>
      </c>
      <c r="N72" s="16" t="n">
        <f aca="false">M72*(F72+G72)</f>
        <v>90.2300864708425</v>
      </c>
      <c r="O72" s="16" t="n">
        <f aca="false">F72-N72</f>
        <v>-1.23008647084249</v>
      </c>
    </row>
    <row r="73" customFormat="false" ht="15" hidden="false" customHeight="false" outlineLevel="0" collapsed="false">
      <c r="A73" s="5" t="n">
        <v>2026</v>
      </c>
      <c r="B73" s="7" t="s">
        <v>388</v>
      </c>
      <c r="C73" s="10" t="str">
        <f aca="false">INDEX(球隊主檔!$C$2:$C$31,MATCH($B73,球隊主檔!$A$2:$A$31,0))</f>
        <v>休士頓太空人</v>
      </c>
      <c r="D73" s="10" t="str">
        <f aca="false">INDEX(球隊主檔!$D$2:$D$31,MATCH($B73,球隊主檔!$A$2:$A$31,0))</f>
        <v>美聯</v>
      </c>
      <c r="E73" s="10" t="str">
        <f aca="false">INDEX(球隊主檔!$E$2:$E$31,MATCH($B73,球隊主檔!$A$2:$A$31,0))</f>
        <v>美西</v>
      </c>
      <c r="F73" s="12" t="n">
        <v>84</v>
      </c>
      <c r="G73" s="13" t="n">
        <f aca="false">INDEX(球季參數!$B$2:$B$4,MATCH($A73,球季參數!$A$2:$A$4,0))-F73</f>
        <v>78</v>
      </c>
      <c r="H73" s="14" t="n">
        <f aca="false">IF(F73+G73=0,0,F73/(F73+G73))</f>
        <v>0.518518518518519</v>
      </c>
      <c r="I73" s="16" t="n">
        <f aca="false">(SUMPRODUCT(MAX(($A$2:$A$91=$A73)*($E$2:$E$91=$E73)*$F$2:$F$91))-F73+G73-SUMPRODUCT(MIN(($A$2:$A$91=$A73)*($E$2:$E$91=$E73)*$G$2:$G$91+(1-($A$2:$A$91=$A73)*($E$2:$E$91=$E73))*999)))/2</f>
        <v>6</v>
      </c>
      <c r="J73" s="12" t="n">
        <v>714</v>
      </c>
      <c r="K73" s="12" t="n">
        <v>657</v>
      </c>
      <c r="L73" s="13" t="n">
        <f aca="false">J73-K73</f>
        <v>57</v>
      </c>
      <c r="M73" s="14" t="n">
        <f aca="false">IF(POWER(J73,INDEX(球季參數!$D$2:$D$4,MATCH($A73,球季參數!$A$2:$A$4,0)))+POWER(K73,INDEX(球季參數!$D$2:$D$4,MATCH($A73,球季參數!$A$2:$A$4,0)))=0,0,POWER(J73,INDEX(球季參數!$D$2:$D$4,MATCH($A73,球季參數!$A$2:$A$4,0)))/(POWER(J73,INDEX(球季參數!$D$2:$D$4,MATCH($A73,球季參數!$A$2:$A$4,0)))+POWER(K73,INDEX(球季參數!$D$2:$D$4,MATCH($A73,球季參數!$A$2:$A$4,0)))))</f>
        <v>0.537990156713864</v>
      </c>
      <c r="N73" s="16" t="n">
        <f aca="false">M73*(F73+G73)</f>
        <v>87.1544053876459</v>
      </c>
      <c r="O73" s="16" t="n">
        <f aca="false">F73-N73</f>
        <v>-3.15440538764589</v>
      </c>
    </row>
    <row r="74" customFormat="false" ht="15" hidden="false" customHeight="false" outlineLevel="0" collapsed="false">
      <c r="A74" s="5" t="n">
        <v>2026</v>
      </c>
      <c r="B74" s="7" t="s">
        <v>392</v>
      </c>
      <c r="C74" s="10" t="str">
        <f aca="false">INDEX(球隊主檔!$C$2:$C$31,MATCH($B74,球隊主檔!$A$2:$A$31,0))</f>
        <v>洛杉磯天使</v>
      </c>
      <c r="D74" s="10" t="str">
        <f aca="false">INDEX(球隊主檔!$D$2:$D$31,MATCH($B74,球隊主檔!$A$2:$A$31,0))</f>
        <v>美聯</v>
      </c>
      <c r="E74" s="10" t="str">
        <f aca="false">INDEX(球隊主檔!$E$2:$E$31,MATCH($B74,球隊主檔!$A$2:$A$31,0))</f>
        <v>美西</v>
      </c>
      <c r="F74" s="12" t="n">
        <v>90</v>
      </c>
      <c r="G74" s="13" t="n">
        <f aca="false">INDEX(球季參數!$B$2:$B$4,MATCH($A74,球季參數!$A$2:$A$4,0))-F74</f>
        <v>72</v>
      </c>
      <c r="H74" s="14" t="n">
        <f aca="false">IF(F74+G74=0,0,F74/(F74+G74))</f>
        <v>0.555555555555556</v>
      </c>
      <c r="I74" s="16" t="n">
        <f aca="false">(SUMPRODUCT(MAX(($A$2:$A$91=$A74)*($E$2:$E$91=$E74)*$F$2:$F$91))-F74+G74-SUMPRODUCT(MIN(($A$2:$A$91=$A74)*($E$2:$E$91=$E74)*$G$2:$G$91+(1-($A$2:$A$91=$A74)*($E$2:$E$91=$E74))*999)))/2</f>
        <v>0</v>
      </c>
      <c r="J74" s="12" t="n">
        <v>738</v>
      </c>
      <c r="K74" s="12" t="n">
        <v>683</v>
      </c>
      <c r="L74" s="13" t="n">
        <f aca="false">J74-K74</f>
        <v>55</v>
      </c>
      <c r="M74" s="14" t="n">
        <f aca="false">IF(POWER(J74,INDEX(球季參數!$D$2:$D$4,MATCH($A74,球季參數!$A$2:$A$4,0)))+POWER(K74,INDEX(球季參數!$D$2:$D$4,MATCH($A74,球季參數!$A$2:$A$4,0)))=0,0,POWER(J74,INDEX(球季參數!$D$2:$D$4,MATCH($A74,球季參數!$A$2:$A$4,0)))/(POWER(J74,INDEX(球季參數!$D$2:$D$4,MATCH($A74,球季參數!$A$2:$A$4,0)))+POWER(K74,INDEX(球季參數!$D$2:$D$4,MATCH($A74,球季參數!$A$2:$A$4,0)))))</f>
        <v>0.535373706180187</v>
      </c>
      <c r="N74" s="16" t="n">
        <f aca="false">M74*(F74+G74)</f>
        <v>86.7305404011903</v>
      </c>
      <c r="O74" s="16" t="n">
        <f aca="false">F74-N74</f>
        <v>3.26945959880968</v>
      </c>
    </row>
    <row r="75" customFormat="false" ht="15" hidden="false" customHeight="false" outlineLevel="0" collapsed="false">
      <c r="A75" s="5" t="n">
        <v>2026</v>
      </c>
      <c r="B75" s="7" t="s">
        <v>396</v>
      </c>
      <c r="C75" s="10" t="str">
        <f aca="false">INDEX(球隊主檔!$C$2:$C$31,MATCH($B75,球隊主檔!$A$2:$A$31,0))</f>
        <v>西雅圖水手</v>
      </c>
      <c r="D75" s="10" t="str">
        <f aca="false">INDEX(球隊主檔!$D$2:$D$31,MATCH($B75,球隊主檔!$A$2:$A$31,0))</f>
        <v>美聯</v>
      </c>
      <c r="E75" s="10" t="str">
        <f aca="false">INDEX(球隊主檔!$E$2:$E$31,MATCH($B75,球隊主檔!$A$2:$A$31,0))</f>
        <v>美西</v>
      </c>
      <c r="F75" s="12" t="n">
        <v>64</v>
      </c>
      <c r="G75" s="13" t="n">
        <f aca="false">INDEX(球季參數!$B$2:$B$4,MATCH($A75,球季參數!$A$2:$A$4,0))-F75</f>
        <v>98</v>
      </c>
      <c r="H75" s="14" t="n">
        <f aca="false">IF(F75+G75=0,0,F75/(F75+G75))</f>
        <v>0.395061728395062</v>
      </c>
      <c r="I75" s="16" t="n">
        <f aca="false">(SUMPRODUCT(MAX(($A$2:$A$91=$A75)*($E$2:$E$91=$E75)*$F$2:$F$91))-F75+G75-SUMPRODUCT(MIN(($A$2:$A$91=$A75)*($E$2:$E$91=$E75)*$G$2:$G$91+(1-($A$2:$A$91=$A75)*($E$2:$E$91=$E75))*999)))/2</f>
        <v>26</v>
      </c>
      <c r="J75" s="12" t="n">
        <v>624</v>
      </c>
      <c r="K75" s="12" t="n">
        <v>802</v>
      </c>
      <c r="L75" s="13" t="n">
        <f aca="false">J75-K75</f>
        <v>-178</v>
      </c>
      <c r="M75" s="14" t="n">
        <f aca="false">IF(POWER(J75,INDEX(球季參數!$D$2:$D$4,MATCH($A75,球季參數!$A$2:$A$4,0)))+POWER(K75,INDEX(球季參數!$D$2:$D$4,MATCH($A75,球季參數!$A$2:$A$4,0)))=0,0,POWER(J75,INDEX(球季參數!$D$2:$D$4,MATCH($A75,球季參數!$A$2:$A$4,0)))/(POWER(J75,INDEX(球季參數!$D$2:$D$4,MATCH($A75,球季參數!$A$2:$A$4,0)))+POWER(K75,INDEX(球季參數!$D$2:$D$4,MATCH($A75,球季參數!$A$2:$A$4,0)))))</f>
        <v>0.387162910770422</v>
      </c>
      <c r="N75" s="16" t="n">
        <f aca="false">M75*(F75+G75)</f>
        <v>62.7203915448084</v>
      </c>
      <c r="O75" s="16" t="n">
        <f aca="false">F75-N75</f>
        <v>1.27960845519162</v>
      </c>
    </row>
    <row r="76" customFormat="false" ht="15" hidden="false" customHeight="false" outlineLevel="0" collapsed="false">
      <c r="A76" s="5" t="n">
        <v>2026</v>
      </c>
      <c r="B76" s="7" t="s">
        <v>400</v>
      </c>
      <c r="C76" s="10" t="str">
        <f aca="false">INDEX(球隊主檔!$C$2:$C$31,MATCH($B76,球隊主檔!$A$2:$A$31,0))</f>
        <v>德州遊騎兵</v>
      </c>
      <c r="D76" s="10" t="str">
        <f aca="false">INDEX(球隊主檔!$D$2:$D$31,MATCH($B76,球隊主檔!$A$2:$A$31,0))</f>
        <v>美聯</v>
      </c>
      <c r="E76" s="10" t="str">
        <f aca="false">INDEX(球隊主檔!$E$2:$E$31,MATCH($B76,球隊主檔!$A$2:$A$31,0))</f>
        <v>美西</v>
      </c>
      <c r="F76" s="12" t="n">
        <v>71</v>
      </c>
      <c r="G76" s="13" t="n">
        <f aca="false">INDEX(球季參數!$B$2:$B$4,MATCH($A76,球季參數!$A$2:$A$4,0))-F76</f>
        <v>91</v>
      </c>
      <c r="H76" s="14" t="n">
        <f aca="false">IF(F76+G76=0,0,F76/(F76+G76))</f>
        <v>0.438271604938272</v>
      </c>
      <c r="I76" s="16" t="n">
        <f aca="false">(SUMPRODUCT(MAX(($A$2:$A$91=$A76)*($E$2:$E$91=$E76)*$F$2:$F$91))-F76+G76-SUMPRODUCT(MIN(($A$2:$A$91=$A76)*($E$2:$E$91=$E76)*$G$2:$G$91+(1-($A$2:$A$91=$A76)*($E$2:$E$91=$E76))*999)))/2</f>
        <v>19</v>
      </c>
      <c r="J76" s="12" t="n">
        <v>673</v>
      </c>
      <c r="K76" s="12" t="n">
        <v>777</v>
      </c>
      <c r="L76" s="13" t="n">
        <f aca="false">J76-K76</f>
        <v>-104</v>
      </c>
      <c r="M76" s="14" t="n">
        <f aca="false">IF(POWER(J76,INDEX(球季參數!$D$2:$D$4,MATCH($A76,球季參數!$A$2:$A$4,0)))+POWER(K76,INDEX(球季參數!$D$2:$D$4,MATCH($A76,球季參數!$A$2:$A$4,0)))=0,0,POWER(J76,INDEX(球季參數!$D$2:$D$4,MATCH($A76,球季參數!$A$2:$A$4,0)))/(POWER(J76,INDEX(球季參數!$D$2:$D$4,MATCH($A76,球季參數!$A$2:$A$4,0)))+POWER(K76,INDEX(球季參數!$D$2:$D$4,MATCH($A76,球季參數!$A$2:$A$4,0)))))</f>
        <v>0.434635750436727</v>
      </c>
      <c r="N76" s="16" t="n">
        <f aca="false">M76*(F76+G76)</f>
        <v>70.4109915707497</v>
      </c>
      <c r="O76" s="16" t="n">
        <f aca="false">F76-N76</f>
        <v>0.589008429250285</v>
      </c>
    </row>
    <row r="77" customFormat="false" ht="15" hidden="false" customHeight="false" outlineLevel="0" collapsed="false">
      <c r="A77" s="5" t="n">
        <v>2026</v>
      </c>
      <c r="B77" s="7" t="s">
        <v>404</v>
      </c>
      <c r="C77" s="10" t="str">
        <f aca="false">INDEX(球隊主檔!$C$2:$C$31,MATCH($B77,球隊主檔!$A$2:$A$31,0))</f>
        <v>亞特蘭大勇士</v>
      </c>
      <c r="D77" s="10" t="str">
        <f aca="false">INDEX(球隊主檔!$D$2:$D$31,MATCH($B77,球隊主檔!$A$2:$A$31,0))</f>
        <v>國聯</v>
      </c>
      <c r="E77" s="10" t="str">
        <f aca="false">INDEX(球隊主檔!$E$2:$E$31,MATCH($B77,球隊主檔!$A$2:$A$31,0))</f>
        <v>國東</v>
      </c>
      <c r="F77" s="12" t="n">
        <v>77</v>
      </c>
      <c r="G77" s="13" t="n">
        <f aca="false">INDEX(球季參數!$B$2:$B$4,MATCH($A77,球季參數!$A$2:$A$4,0))-F77</f>
        <v>85</v>
      </c>
      <c r="H77" s="14" t="n">
        <f aca="false">IF(F77+G77=0,0,F77/(F77+G77))</f>
        <v>0.475308641975309</v>
      </c>
      <c r="I77" s="16" t="n">
        <f aca="false">(SUMPRODUCT(MAX(($A$2:$A$91=$A77)*($E$2:$E$91=$E77)*$F$2:$F$91))-F77+G77-SUMPRODUCT(MIN(($A$2:$A$91=$A77)*($E$2:$E$91=$E77)*$G$2:$G$91+(1-($A$2:$A$91=$A77)*($E$2:$E$91=$E77))*999)))/2</f>
        <v>10</v>
      </c>
      <c r="J77" s="12" t="n">
        <v>714</v>
      </c>
      <c r="K77" s="12" t="n">
        <v>767</v>
      </c>
      <c r="L77" s="13" t="n">
        <f aca="false">J77-K77</f>
        <v>-53</v>
      </c>
      <c r="M77" s="14" t="n">
        <f aca="false">IF(POWER(J77,INDEX(球季參數!$D$2:$D$4,MATCH($A77,球季參數!$A$2:$A$4,0)))+POWER(K77,INDEX(球季參數!$D$2:$D$4,MATCH($A77,球季參數!$A$2:$A$4,0)))=0,0,POWER(J77,INDEX(球季參數!$D$2:$D$4,MATCH($A77,球季參數!$A$2:$A$4,0)))/(POWER(J77,INDEX(球季參數!$D$2:$D$4,MATCH($A77,球季參數!$A$2:$A$4,0)))+POWER(K77,INDEX(球季參數!$D$2:$D$4,MATCH($A77,球季參數!$A$2:$A$4,0)))))</f>
        <v>0.467288036109153</v>
      </c>
      <c r="N77" s="16" t="n">
        <f aca="false">M77*(F77+G77)</f>
        <v>75.7006618496828</v>
      </c>
      <c r="O77" s="16" t="n">
        <f aca="false">F77-N77</f>
        <v>1.2993381503172</v>
      </c>
    </row>
    <row r="78" customFormat="false" ht="15" hidden="false" customHeight="false" outlineLevel="0" collapsed="false">
      <c r="A78" s="5" t="n">
        <v>2026</v>
      </c>
      <c r="B78" s="7" t="s">
        <v>410</v>
      </c>
      <c r="C78" s="10" t="str">
        <f aca="false">INDEX(球隊主檔!$C$2:$C$31,MATCH($B78,球隊主檔!$A$2:$A$31,0))</f>
        <v>邁阿密馬林魚</v>
      </c>
      <c r="D78" s="10" t="str">
        <f aca="false">INDEX(球隊主檔!$D$2:$D$31,MATCH($B78,球隊主檔!$A$2:$A$31,0))</f>
        <v>國聯</v>
      </c>
      <c r="E78" s="10" t="str">
        <f aca="false">INDEX(球隊主檔!$E$2:$E$31,MATCH($B78,球隊主檔!$A$2:$A$31,0))</f>
        <v>國東</v>
      </c>
      <c r="F78" s="12" t="n">
        <v>80</v>
      </c>
      <c r="G78" s="13" t="n">
        <f aca="false">INDEX(球季參數!$B$2:$B$4,MATCH($A78,球季參數!$A$2:$A$4,0))-F78</f>
        <v>82</v>
      </c>
      <c r="H78" s="14" t="n">
        <f aca="false">IF(F78+G78=0,0,F78/(F78+G78))</f>
        <v>0.493827160493827</v>
      </c>
      <c r="I78" s="16" t="n">
        <f aca="false">(SUMPRODUCT(MAX(($A$2:$A$91=$A78)*($E$2:$E$91=$E78)*$F$2:$F$91))-F78+G78-SUMPRODUCT(MIN(($A$2:$A$91=$A78)*($E$2:$E$91=$E78)*$G$2:$G$91+(1-($A$2:$A$91=$A78)*($E$2:$E$91=$E78))*999)))/2</f>
        <v>7</v>
      </c>
      <c r="J78" s="12" t="n">
        <v>745</v>
      </c>
      <c r="K78" s="12" t="n">
        <v>759</v>
      </c>
      <c r="L78" s="13" t="n">
        <f aca="false">J78-K78</f>
        <v>-14</v>
      </c>
      <c r="M78" s="14" t="n">
        <f aca="false">IF(POWER(J78,INDEX(球季參數!$D$2:$D$4,MATCH($A78,球季參數!$A$2:$A$4,0)))+POWER(K78,INDEX(球季參數!$D$2:$D$4,MATCH($A78,球季參數!$A$2:$A$4,0)))=0,0,POWER(J78,INDEX(球季參數!$D$2:$D$4,MATCH($A78,球季參數!$A$2:$A$4,0)))/(POWER(J78,INDEX(球季參數!$D$2:$D$4,MATCH($A78,球季參數!$A$2:$A$4,0)))+POWER(K78,INDEX(球季參數!$D$2:$D$4,MATCH($A78,球季參數!$A$2:$A$4,0)))))</f>
        <v>0.491483290565423</v>
      </c>
      <c r="N78" s="16" t="n">
        <f aca="false">M78*(F78+G78)</f>
        <v>79.6202930715986</v>
      </c>
      <c r="O78" s="16" t="n">
        <f aca="false">F78-N78</f>
        <v>0.379706928401404</v>
      </c>
    </row>
    <row r="79" customFormat="false" ht="15" hidden="false" customHeight="false" outlineLevel="0" collapsed="false">
      <c r="A79" s="5" t="n">
        <v>2026</v>
      </c>
      <c r="B79" s="7" t="s">
        <v>414</v>
      </c>
      <c r="C79" s="10" t="str">
        <f aca="false">INDEX(球隊主檔!$C$2:$C$31,MATCH($B79,球隊主檔!$A$2:$A$31,0))</f>
        <v>紐約大都會</v>
      </c>
      <c r="D79" s="10" t="str">
        <f aca="false">INDEX(球隊主檔!$D$2:$D$31,MATCH($B79,球隊主檔!$A$2:$A$31,0))</f>
        <v>國聯</v>
      </c>
      <c r="E79" s="10" t="str">
        <f aca="false">INDEX(球隊主檔!$E$2:$E$31,MATCH($B79,球隊主檔!$A$2:$A$31,0))</f>
        <v>國東</v>
      </c>
      <c r="F79" s="12" t="n">
        <v>74</v>
      </c>
      <c r="G79" s="13" t="n">
        <f aca="false">INDEX(球季參數!$B$2:$B$4,MATCH($A79,球季參數!$A$2:$A$4,0))-F79</f>
        <v>88</v>
      </c>
      <c r="H79" s="14" t="n">
        <f aca="false">IF(F79+G79=0,0,F79/(F79+G79))</f>
        <v>0.45679012345679</v>
      </c>
      <c r="I79" s="16" t="n">
        <f aca="false">(SUMPRODUCT(MAX(($A$2:$A$91=$A79)*($E$2:$E$91=$E79)*$F$2:$F$91))-F79+G79-SUMPRODUCT(MIN(($A$2:$A$91=$A79)*($E$2:$E$91=$E79)*$G$2:$G$91+(1-($A$2:$A$91=$A79)*($E$2:$E$91=$E79))*999)))/2</f>
        <v>13</v>
      </c>
      <c r="J79" s="12" t="n">
        <v>667</v>
      </c>
      <c r="K79" s="12" t="n">
        <v>766</v>
      </c>
      <c r="L79" s="13" t="n">
        <f aca="false">J79-K79</f>
        <v>-99</v>
      </c>
      <c r="M79" s="14" t="n">
        <f aca="false">IF(POWER(J79,INDEX(球季參數!$D$2:$D$4,MATCH($A79,球季參數!$A$2:$A$4,0)))+POWER(K79,INDEX(球季參數!$D$2:$D$4,MATCH($A79,球季參數!$A$2:$A$4,0)))=0,0,POWER(J79,INDEX(球季參數!$D$2:$D$4,MATCH($A79,球季參數!$A$2:$A$4,0)))/(POWER(J79,INDEX(球季參數!$D$2:$D$4,MATCH($A79,球季參數!$A$2:$A$4,0)))+POWER(K79,INDEX(球季參數!$D$2:$D$4,MATCH($A79,球季參數!$A$2:$A$4,0)))))</f>
        <v>0.437021859101903</v>
      </c>
      <c r="N79" s="16" t="n">
        <f aca="false">M79*(F79+G79)</f>
        <v>70.7975411745082</v>
      </c>
      <c r="O79" s="16" t="n">
        <f aca="false">F79-N79</f>
        <v>3.20245882549177</v>
      </c>
    </row>
    <row r="80" customFormat="false" ht="15" hidden="false" customHeight="false" outlineLevel="0" collapsed="false">
      <c r="A80" s="5" t="n">
        <v>2026</v>
      </c>
      <c r="B80" s="7" t="s">
        <v>418</v>
      </c>
      <c r="C80" s="10" t="str">
        <f aca="false">INDEX(球隊主檔!$C$2:$C$31,MATCH($B80,球隊主檔!$A$2:$A$31,0))</f>
        <v>費城費城人</v>
      </c>
      <c r="D80" s="10" t="str">
        <f aca="false">INDEX(球隊主檔!$D$2:$D$31,MATCH($B80,球隊主檔!$A$2:$A$31,0))</f>
        <v>國聯</v>
      </c>
      <c r="E80" s="10" t="str">
        <f aca="false">INDEX(球隊主檔!$E$2:$E$31,MATCH($B80,球隊主檔!$A$2:$A$31,0))</f>
        <v>國東</v>
      </c>
      <c r="F80" s="12" t="n">
        <v>83</v>
      </c>
      <c r="G80" s="13" t="n">
        <f aca="false">INDEX(球季參數!$B$2:$B$4,MATCH($A80,球季參數!$A$2:$A$4,0))-F80</f>
        <v>79</v>
      </c>
      <c r="H80" s="14" t="n">
        <f aca="false">IF(F80+G80=0,0,F80/(F80+G80))</f>
        <v>0.512345679012346</v>
      </c>
      <c r="I80" s="16" t="n">
        <f aca="false">(SUMPRODUCT(MAX(($A$2:$A$91=$A80)*($E$2:$E$91=$E80)*$F$2:$F$91))-F80+G80-SUMPRODUCT(MIN(($A$2:$A$91=$A80)*($E$2:$E$91=$E80)*$G$2:$G$91+(1-($A$2:$A$91=$A80)*($E$2:$E$91=$E80))*999)))/2</f>
        <v>4</v>
      </c>
      <c r="J80" s="12" t="n">
        <v>760</v>
      </c>
      <c r="K80" s="12" t="n">
        <v>717</v>
      </c>
      <c r="L80" s="13" t="n">
        <f aca="false">J80-K80</f>
        <v>43</v>
      </c>
      <c r="M80" s="14" t="n">
        <f aca="false">IF(POWER(J80,INDEX(球季參數!$D$2:$D$4,MATCH($A80,球季參數!$A$2:$A$4,0)))+POWER(K80,INDEX(球季參數!$D$2:$D$4,MATCH($A80,球季參數!$A$2:$A$4,0)))=0,0,POWER(J80,INDEX(球季參數!$D$2:$D$4,MATCH($A80,球季參數!$A$2:$A$4,0)))/(POWER(J80,INDEX(球季參數!$D$2:$D$4,MATCH($A80,球季參數!$A$2:$A$4,0)))+POWER(K80,INDEX(球季參數!$D$2:$D$4,MATCH($A80,球季參數!$A$2:$A$4,0)))))</f>
        <v>0.526620789603035</v>
      </c>
      <c r="N80" s="16" t="n">
        <f aca="false">M80*(F80+G80)</f>
        <v>85.3125679156917</v>
      </c>
      <c r="O80" s="16" t="n">
        <f aca="false">F80-N80</f>
        <v>-2.31256791569173</v>
      </c>
    </row>
    <row r="81" customFormat="false" ht="15" hidden="false" customHeight="false" outlineLevel="0" collapsed="false">
      <c r="A81" s="5" t="n">
        <v>2026</v>
      </c>
      <c r="B81" s="7" t="s">
        <v>422</v>
      </c>
      <c r="C81" s="10" t="str">
        <f aca="false">INDEX(球隊主檔!$C$2:$C$31,MATCH($B81,球隊主檔!$A$2:$A$31,0))</f>
        <v>華盛頓國民</v>
      </c>
      <c r="D81" s="10" t="str">
        <f aca="false">INDEX(球隊主檔!$D$2:$D$31,MATCH($B81,球隊主檔!$A$2:$A$31,0))</f>
        <v>國聯</v>
      </c>
      <c r="E81" s="10" t="str">
        <f aca="false">INDEX(球隊主檔!$E$2:$E$31,MATCH($B81,球隊主檔!$A$2:$A$31,0))</f>
        <v>國東</v>
      </c>
      <c r="F81" s="12" t="n">
        <v>87</v>
      </c>
      <c r="G81" s="13" t="n">
        <f aca="false">INDEX(球季參數!$B$2:$B$4,MATCH($A81,球季參數!$A$2:$A$4,0))-F81</f>
        <v>75</v>
      </c>
      <c r="H81" s="14" t="n">
        <f aca="false">IF(F81+G81=0,0,F81/(F81+G81))</f>
        <v>0.537037037037037</v>
      </c>
      <c r="I81" s="16" t="n">
        <f aca="false">(SUMPRODUCT(MAX(($A$2:$A$91=$A81)*($E$2:$E$91=$E81)*$F$2:$F$91))-F81+G81-SUMPRODUCT(MIN(($A$2:$A$91=$A81)*($E$2:$E$91=$E81)*$G$2:$G$91+(1-($A$2:$A$91=$A81)*($E$2:$E$91=$E81))*999)))/2</f>
        <v>0</v>
      </c>
      <c r="J81" s="12" t="n">
        <v>695</v>
      </c>
      <c r="K81" s="12" t="n">
        <v>661</v>
      </c>
      <c r="L81" s="13" t="n">
        <f aca="false">J81-K81</f>
        <v>34</v>
      </c>
      <c r="M81" s="14" t="n">
        <f aca="false">IF(POWER(J81,INDEX(球季參數!$D$2:$D$4,MATCH($A81,球季參數!$A$2:$A$4,0)))+POWER(K81,INDEX(球季參數!$D$2:$D$4,MATCH($A81,球季參數!$A$2:$A$4,0)))=0,0,POWER(J81,INDEX(球季參數!$D$2:$D$4,MATCH($A81,球季參數!$A$2:$A$4,0)))/(POWER(J81,INDEX(球季參數!$D$2:$D$4,MATCH($A81,球季參數!$A$2:$A$4,0)))+POWER(K81,INDEX(球季參數!$D$2:$D$4,MATCH($A81,球季參數!$A$2:$A$4,0)))))</f>
        <v>0.52293118979373</v>
      </c>
      <c r="N81" s="16" t="n">
        <f aca="false">M81*(F81+G81)</f>
        <v>84.7148527465842</v>
      </c>
      <c r="O81" s="16" t="n">
        <f aca="false">F81-N81</f>
        <v>2.28514725341576</v>
      </c>
    </row>
    <row r="82" customFormat="false" ht="15" hidden="false" customHeight="false" outlineLevel="0" collapsed="false">
      <c r="A82" s="5" t="n">
        <v>2026</v>
      </c>
      <c r="B82" s="7" t="s">
        <v>426</v>
      </c>
      <c r="C82" s="10" t="str">
        <f aca="false">INDEX(球隊主檔!$C$2:$C$31,MATCH($B82,球隊主檔!$A$2:$A$31,0))</f>
        <v>芝加哥小熊</v>
      </c>
      <c r="D82" s="10" t="str">
        <f aca="false">INDEX(球隊主檔!$D$2:$D$31,MATCH($B82,球隊主檔!$A$2:$A$31,0))</f>
        <v>國聯</v>
      </c>
      <c r="E82" s="10" t="str">
        <f aca="false">INDEX(球隊主檔!$E$2:$E$31,MATCH($B82,球隊主檔!$A$2:$A$31,0))</f>
        <v>國中</v>
      </c>
      <c r="F82" s="12" t="n">
        <v>65</v>
      </c>
      <c r="G82" s="13" t="n">
        <f aca="false">INDEX(球季參數!$B$2:$B$4,MATCH($A82,球季參數!$A$2:$A$4,0))-F82</f>
        <v>97</v>
      </c>
      <c r="H82" s="14" t="n">
        <f aca="false">IF(F82+G82=0,0,F82/(F82+G82))</f>
        <v>0.401234567901235</v>
      </c>
      <c r="I82" s="16" t="n">
        <f aca="false">(SUMPRODUCT(MAX(($A$2:$A$91=$A82)*($E$2:$E$91=$E82)*$F$2:$F$91))-F82+G82-SUMPRODUCT(MIN(($A$2:$A$91=$A82)*($E$2:$E$91=$E82)*$G$2:$G$91+(1-($A$2:$A$91=$A82)*($E$2:$E$91=$E82))*999)))/2</f>
        <v>23</v>
      </c>
      <c r="J82" s="12" t="n">
        <v>599</v>
      </c>
      <c r="K82" s="12" t="n">
        <v>740</v>
      </c>
      <c r="L82" s="13" t="n">
        <f aca="false">J82-K82</f>
        <v>-141</v>
      </c>
      <c r="M82" s="14" t="n">
        <f aca="false">IF(POWER(J82,INDEX(球季參數!$D$2:$D$4,MATCH($A82,球季參數!$A$2:$A$4,0)))+POWER(K82,INDEX(球季參數!$D$2:$D$4,MATCH($A82,球季參數!$A$2:$A$4,0)))=0,0,POWER(J82,INDEX(球季參數!$D$2:$D$4,MATCH($A82,球季參數!$A$2:$A$4,0)))/(POWER(J82,INDEX(球季參數!$D$2:$D$4,MATCH($A82,球季參數!$A$2:$A$4,0)))+POWER(K82,INDEX(球季參數!$D$2:$D$4,MATCH($A82,球季參數!$A$2:$A$4,0)))))</f>
        <v>0.404477968392379</v>
      </c>
      <c r="N82" s="16" t="n">
        <f aca="false">M82*(F82+G82)</f>
        <v>65.5254308795654</v>
      </c>
      <c r="O82" s="16" t="n">
        <f aca="false">F82-N82</f>
        <v>-0.525430879565391</v>
      </c>
    </row>
    <row r="83" customFormat="false" ht="15" hidden="false" customHeight="false" outlineLevel="0" collapsed="false">
      <c r="A83" s="5" t="n">
        <v>2026</v>
      </c>
      <c r="B83" s="7" t="s">
        <v>430</v>
      </c>
      <c r="C83" s="10" t="str">
        <f aca="false">INDEX(球隊主檔!$C$2:$C$31,MATCH($B83,球隊主檔!$A$2:$A$31,0))</f>
        <v>辛辛那提紅人</v>
      </c>
      <c r="D83" s="10" t="str">
        <f aca="false">INDEX(球隊主檔!$D$2:$D$31,MATCH($B83,球隊主檔!$A$2:$A$31,0))</f>
        <v>國聯</v>
      </c>
      <c r="E83" s="10" t="str">
        <f aca="false">INDEX(球隊主檔!$E$2:$E$31,MATCH($B83,球隊主檔!$A$2:$A$31,0))</f>
        <v>國中</v>
      </c>
      <c r="F83" s="12" t="n">
        <v>88</v>
      </c>
      <c r="G83" s="13" t="n">
        <f aca="false">INDEX(球季參數!$B$2:$B$4,MATCH($A83,球季參數!$A$2:$A$4,0))-F83</f>
        <v>74</v>
      </c>
      <c r="H83" s="14" t="n">
        <f aca="false">IF(F83+G83=0,0,F83/(F83+G83))</f>
        <v>0.54320987654321</v>
      </c>
      <c r="I83" s="16" t="n">
        <f aca="false">(SUMPRODUCT(MAX(($A$2:$A$91=$A83)*($E$2:$E$91=$E83)*$F$2:$F$91))-F83+G83-SUMPRODUCT(MIN(($A$2:$A$91=$A83)*($E$2:$E$91=$E83)*$G$2:$G$91+(1-($A$2:$A$91=$A83)*($E$2:$E$91=$E83))*999)))/2</f>
        <v>0</v>
      </c>
      <c r="J83" s="12" t="n">
        <v>781</v>
      </c>
      <c r="K83" s="12" t="n">
        <v>742</v>
      </c>
      <c r="L83" s="13" t="n">
        <f aca="false">J83-K83</f>
        <v>39</v>
      </c>
      <c r="M83" s="14" t="n">
        <f aca="false">IF(POWER(J83,INDEX(球季參數!$D$2:$D$4,MATCH($A83,球季參數!$A$2:$A$4,0)))+POWER(K83,INDEX(球季參數!$D$2:$D$4,MATCH($A83,球季參數!$A$2:$A$4,0)))=0,0,POWER(J83,INDEX(球季參數!$D$2:$D$4,MATCH($A83,球季參數!$A$2:$A$4,0)))/(POWER(J83,INDEX(球季參數!$D$2:$D$4,MATCH($A83,球季參數!$A$2:$A$4,0)))+POWER(K83,INDEX(球季參數!$D$2:$D$4,MATCH($A83,球季參數!$A$2:$A$4,0)))))</f>
        <v>0.523418704853782</v>
      </c>
      <c r="N83" s="16" t="n">
        <f aca="false">M83*(F83+G83)</f>
        <v>84.7938301863127</v>
      </c>
      <c r="O83" s="16" t="n">
        <f aca="false">F83-N83</f>
        <v>3.20616981368728</v>
      </c>
    </row>
    <row r="84" customFormat="false" ht="15" hidden="false" customHeight="false" outlineLevel="0" collapsed="false">
      <c r="A84" s="5" t="n">
        <v>2026</v>
      </c>
      <c r="B84" s="7" t="s">
        <v>434</v>
      </c>
      <c r="C84" s="10" t="str">
        <f aca="false">INDEX(球隊主檔!$C$2:$C$31,MATCH($B84,球隊主檔!$A$2:$A$31,0))</f>
        <v>密爾瓦基釀酒人</v>
      </c>
      <c r="D84" s="10" t="str">
        <f aca="false">INDEX(球隊主檔!$D$2:$D$31,MATCH($B84,球隊主檔!$A$2:$A$31,0))</f>
        <v>國聯</v>
      </c>
      <c r="E84" s="10" t="str">
        <f aca="false">INDEX(球隊主檔!$E$2:$E$31,MATCH($B84,球隊主檔!$A$2:$A$31,0))</f>
        <v>國中</v>
      </c>
      <c r="F84" s="12" t="n">
        <v>72</v>
      </c>
      <c r="G84" s="13" t="n">
        <f aca="false">INDEX(球季參數!$B$2:$B$4,MATCH($A84,球季參數!$A$2:$A$4,0))-F84</f>
        <v>90</v>
      </c>
      <c r="H84" s="14" t="n">
        <f aca="false">IF(F84+G84=0,0,F84/(F84+G84))</f>
        <v>0.444444444444444</v>
      </c>
      <c r="I84" s="16" t="n">
        <f aca="false">(SUMPRODUCT(MAX(($A$2:$A$91=$A84)*($E$2:$E$91=$E84)*$F$2:$F$91))-F84+G84-SUMPRODUCT(MIN(($A$2:$A$91=$A84)*($E$2:$E$91=$E84)*$G$2:$G$91+(1-($A$2:$A$91=$A84)*($E$2:$E$91=$E84))*999)))/2</f>
        <v>16</v>
      </c>
      <c r="J84" s="12" t="n">
        <v>708</v>
      </c>
      <c r="K84" s="12" t="n">
        <v>765</v>
      </c>
      <c r="L84" s="13" t="n">
        <f aca="false">J84-K84</f>
        <v>-57</v>
      </c>
      <c r="M84" s="14" t="n">
        <f aca="false">IF(POWER(J84,INDEX(球季參數!$D$2:$D$4,MATCH($A84,球季參數!$A$2:$A$4,0)))+POWER(K84,INDEX(球季參數!$D$2:$D$4,MATCH($A84,球季參數!$A$2:$A$4,0)))=0,0,POWER(J84,INDEX(球季參數!$D$2:$D$4,MATCH($A84,球季參數!$A$2:$A$4,0)))/(POWER(J84,INDEX(球季參數!$D$2:$D$4,MATCH($A84,球季參數!$A$2:$A$4,0)))+POWER(K84,INDEX(球季參數!$D$2:$D$4,MATCH($A84,球季參數!$A$2:$A$4,0)))))</f>
        <v>0.46463413477597</v>
      </c>
      <c r="N84" s="16" t="n">
        <f aca="false">M84*(F84+G84)</f>
        <v>75.2707298337072</v>
      </c>
      <c r="O84" s="16" t="n">
        <f aca="false">F84-N84</f>
        <v>-3.27072983370721</v>
      </c>
    </row>
    <row r="85" customFormat="false" ht="15" hidden="false" customHeight="false" outlineLevel="0" collapsed="false">
      <c r="A85" s="5" t="n">
        <v>2026</v>
      </c>
      <c r="B85" s="7" t="s">
        <v>438</v>
      </c>
      <c r="C85" s="10" t="str">
        <f aca="false">INDEX(球隊主檔!$C$2:$C$31,MATCH($B85,球隊主檔!$A$2:$A$31,0))</f>
        <v>匹茲堡海盜</v>
      </c>
      <c r="D85" s="10" t="str">
        <f aca="false">INDEX(球隊主檔!$D$2:$D$31,MATCH($B85,球隊主檔!$A$2:$A$31,0))</f>
        <v>國聯</v>
      </c>
      <c r="E85" s="10" t="str">
        <f aca="false">INDEX(球隊主檔!$E$2:$E$31,MATCH($B85,球隊主檔!$A$2:$A$31,0))</f>
        <v>國中</v>
      </c>
      <c r="F85" s="12" t="n">
        <v>87</v>
      </c>
      <c r="G85" s="13" t="n">
        <f aca="false">INDEX(球季參數!$B$2:$B$4,MATCH($A85,球季參數!$A$2:$A$4,0))-F85</f>
        <v>75</v>
      </c>
      <c r="H85" s="14" t="n">
        <f aca="false">IF(F85+G85=0,0,F85/(F85+G85))</f>
        <v>0.537037037037037</v>
      </c>
      <c r="I85" s="16" t="n">
        <f aca="false">(SUMPRODUCT(MAX(($A$2:$A$91=$A85)*($E$2:$E$91=$E85)*$F$2:$F$91))-F85+G85-SUMPRODUCT(MIN(($A$2:$A$91=$A85)*($E$2:$E$91=$E85)*$G$2:$G$91+(1-($A$2:$A$91=$A85)*($E$2:$E$91=$E85))*999)))/2</f>
        <v>1</v>
      </c>
      <c r="J85" s="12" t="n">
        <v>725</v>
      </c>
      <c r="K85" s="12" t="n">
        <v>687</v>
      </c>
      <c r="L85" s="13" t="n">
        <f aca="false">J85-K85</f>
        <v>38</v>
      </c>
      <c r="M85" s="14" t="n">
        <f aca="false">IF(POWER(J85,INDEX(球季參數!$D$2:$D$4,MATCH($A85,球季參數!$A$2:$A$4,0)))+POWER(K85,INDEX(球季參數!$D$2:$D$4,MATCH($A85,球季參數!$A$2:$A$4,0)))=0,0,POWER(J85,INDEX(球季參數!$D$2:$D$4,MATCH($A85,球季參數!$A$2:$A$4,0)))/(POWER(J85,INDEX(球季參數!$D$2:$D$4,MATCH($A85,球季參數!$A$2:$A$4,0)))+POWER(K85,INDEX(球季參數!$D$2:$D$4,MATCH($A85,球季參數!$A$2:$A$4,0)))))</f>
        <v>0.524610689328517</v>
      </c>
      <c r="N85" s="16" t="n">
        <f aca="false">M85*(F85+G85)</f>
        <v>84.9869316712198</v>
      </c>
      <c r="O85" s="16" t="n">
        <f aca="false">F85-N85</f>
        <v>2.01306832878025</v>
      </c>
    </row>
    <row r="86" customFormat="false" ht="15" hidden="false" customHeight="false" outlineLevel="0" collapsed="false">
      <c r="A86" s="5" t="n">
        <v>2026</v>
      </c>
      <c r="B86" s="7" t="s">
        <v>442</v>
      </c>
      <c r="C86" s="10" t="str">
        <f aca="false">INDEX(球隊主檔!$C$2:$C$31,MATCH($B86,球隊主檔!$A$2:$A$31,0))</f>
        <v>聖路易紅雀</v>
      </c>
      <c r="D86" s="10" t="str">
        <f aca="false">INDEX(球隊主檔!$D$2:$D$31,MATCH($B86,球隊主檔!$A$2:$A$31,0))</f>
        <v>國聯</v>
      </c>
      <c r="E86" s="10" t="str">
        <f aca="false">INDEX(球隊主檔!$E$2:$E$31,MATCH($B86,球隊主檔!$A$2:$A$31,0))</f>
        <v>國中</v>
      </c>
      <c r="F86" s="12" t="n">
        <v>87</v>
      </c>
      <c r="G86" s="13" t="n">
        <f aca="false">INDEX(球季參數!$B$2:$B$4,MATCH($A86,球季參數!$A$2:$A$4,0))-F86</f>
        <v>75</v>
      </c>
      <c r="H86" s="14" t="n">
        <f aca="false">IF(F86+G86=0,0,F86/(F86+G86))</f>
        <v>0.537037037037037</v>
      </c>
      <c r="I86" s="16" t="n">
        <f aca="false">(SUMPRODUCT(MAX(($A$2:$A$91=$A86)*($E$2:$E$91=$E86)*$F$2:$F$91))-F86+G86-SUMPRODUCT(MIN(($A$2:$A$91=$A86)*($E$2:$E$91=$E86)*$G$2:$G$91+(1-($A$2:$A$91=$A86)*($E$2:$E$91=$E86))*999)))/2</f>
        <v>1</v>
      </c>
      <c r="J86" s="12" t="n">
        <v>740</v>
      </c>
      <c r="K86" s="12" t="n">
        <v>655</v>
      </c>
      <c r="L86" s="13" t="n">
        <f aca="false">J86-K86</f>
        <v>85</v>
      </c>
      <c r="M86" s="14" t="n">
        <f aca="false">IF(POWER(J86,INDEX(球季參數!$D$2:$D$4,MATCH($A86,球季參數!$A$2:$A$4,0)))+POWER(K86,INDEX(球季參數!$D$2:$D$4,MATCH($A86,球季參數!$A$2:$A$4,0)))=0,0,POWER(J86,INDEX(球季參數!$D$2:$D$4,MATCH($A86,球季參數!$A$2:$A$4,0)))/(POWER(J86,INDEX(球季參數!$D$2:$D$4,MATCH($A86,球季參數!$A$2:$A$4,0)))+POWER(K86,INDEX(球季參數!$D$2:$D$4,MATCH($A86,球季參數!$A$2:$A$4,0)))))</f>
        <v>0.555591063473294</v>
      </c>
      <c r="N86" s="16" t="n">
        <f aca="false">M86*(F86+G86)</f>
        <v>90.0057522826737</v>
      </c>
      <c r="O86" s="16" t="n">
        <f aca="false">F86-N86</f>
        <v>-3.00575228267365</v>
      </c>
    </row>
    <row r="87" customFormat="false" ht="15" hidden="false" customHeight="false" outlineLevel="0" collapsed="false">
      <c r="A87" s="5" t="n">
        <v>2026</v>
      </c>
      <c r="B87" s="7" t="s">
        <v>446</v>
      </c>
      <c r="C87" s="10" t="str">
        <f aca="false">INDEX(球隊主檔!$C$2:$C$31,MATCH($B87,球隊主檔!$A$2:$A$31,0))</f>
        <v>亞利桑那響尾蛇</v>
      </c>
      <c r="D87" s="10" t="str">
        <f aca="false">INDEX(球隊主檔!$D$2:$D$31,MATCH($B87,球隊主檔!$A$2:$A$31,0))</f>
        <v>國聯</v>
      </c>
      <c r="E87" s="10" t="str">
        <f aca="false">INDEX(球隊主檔!$E$2:$E$31,MATCH($B87,球隊主檔!$A$2:$A$31,0))</f>
        <v>國西</v>
      </c>
      <c r="F87" s="12" t="n">
        <v>90</v>
      </c>
      <c r="G87" s="13" t="n">
        <f aca="false">INDEX(球季參數!$B$2:$B$4,MATCH($A87,球季參數!$A$2:$A$4,0))-F87</f>
        <v>72</v>
      </c>
      <c r="H87" s="14" t="n">
        <f aca="false">IF(F87+G87=0,0,F87/(F87+G87))</f>
        <v>0.555555555555556</v>
      </c>
      <c r="I87" s="16" t="n">
        <f aca="false">(SUMPRODUCT(MAX(($A$2:$A$91=$A87)*($E$2:$E$91=$E87)*$F$2:$F$91))-F87+G87-SUMPRODUCT(MIN(($A$2:$A$91=$A87)*($E$2:$E$91=$E87)*$G$2:$G$91+(1-($A$2:$A$91=$A87)*($E$2:$E$91=$E87))*999)))/2</f>
        <v>0</v>
      </c>
      <c r="J87" s="12" t="n">
        <v>772</v>
      </c>
      <c r="K87" s="12" t="n">
        <v>654</v>
      </c>
      <c r="L87" s="13" t="n">
        <f aca="false">J87-K87</f>
        <v>118</v>
      </c>
      <c r="M87" s="14" t="n">
        <f aca="false">IF(POWER(J87,INDEX(球季參數!$D$2:$D$4,MATCH($A87,球季參數!$A$2:$A$4,0)))+POWER(K87,INDEX(球季參數!$D$2:$D$4,MATCH($A87,球季參數!$A$2:$A$4,0)))=0,0,POWER(J87,INDEX(球季參數!$D$2:$D$4,MATCH($A87,球季參數!$A$2:$A$4,0)))/(POWER(J87,INDEX(球季參數!$D$2:$D$4,MATCH($A87,球季參數!$A$2:$A$4,0)))+POWER(K87,INDEX(球季參數!$D$2:$D$4,MATCH($A87,球季參數!$A$2:$A$4,0)))))</f>
        <v>0.575311402061974</v>
      </c>
      <c r="N87" s="16" t="n">
        <f aca="false">M87*(F87+G87)</f>
        <v>93.2004471340397</v>
      </c>
      <c r="O87" s="16" t="n">
        <f aca="false">F87-N87</f>
        <v>-3.20044713403972</v>
      </c>
    </row>
    <row r="88" customFormat="false" ht="15" hidden="false" customHeight="false" outlineLevel="0" collapsed="false">
      <c r="A88" s="5" t="n">
        <v>2026</v>
      </c>
      <c r="B88" s="7" t="s">
        <v>451</v>
      </c>
      <c r="C88" s="10" t="str">
        <f aca="false">INDEX(球隊主檔!$C$2:$C$31,MATCH($B88,球隊主檔!$A$2:$A$31,0))</f>
        <v>科羅拉多落磯</v>
      </c>
      <c r="D88" s="10" t="str">
        <f aca="false">INDEX(球隊主檔!$D$2:$D$31,MATCH($B88,球隊主檔!$A$2:$A$31,0))</f>
        <v>國聯</v>
      </c>
      <c r="E88" s="10" t="str">
        <f aca="false">INDEX(球隊主檔!$E$2:$E$31,MATCH($B88,球隊主檔!$A$2:$A$31,0))</f>
        <v>國西</v>
      </c>
      <c r="F88" s="12" t="n">
        <v>76</v>
      </c>
      <c r="G88" s="13" t="n">
        <f aca="false">INDEX(球季參數!$B$2:$B$4,MATCH($A88,球季參數!$A$2:$A$4,0))-F88</f>
        <v>86</v>
      </c>
      <c r="H88" s="14" t="n">
        <f aca="false">IF(F88+G88=0,0,F88/(F88+G88))</f>
        <v>0.469135802469136</v>
      </c>
      <c r="I88" s="16" t="n">
        <f aca="false">(SUMPRODUCT(MAX(($A$2:$A$91=$A88)*($E$2:$E$91=$E88)*$F$2:$F$91))-F88+G88-SUMPRODUCT(MIN(($A$2:$A$91=$A88)*($E$2:$E$91=$E88)*$G$2:$G$91+(1-($A$2:$A$91=$A88)*($E$2:$E$91=$E88))*999)))/2</f>
        <v>14</v>
      </c>
      <c r="J88" s="12" t="n">
        <v>694</v>
      </c>
      <c r="K88" s="12" t="n">
        <v>732</v>
      </c>
      <c r="L88" s="13" t="n">
        <f aca="false">J88-K88</f>
        <v>-38</v>
      </c>
      <c r="M88" s="14" t="n">
        <f aca="false">IF(POWER(J88,INDEX(球季參數!$D$2:$D$4,MATCH($A88,球季參數!$A$2:$A$4,0)))+POWER(K88,INDEX(球季參數!$D$2:$D$4,MATCH($A88,球季參數!$A$2:$A$4,0)))=0,0,POWER(J88,INDEX(球季參數!$D$2:$D$4,MATCH($A88,球季參數!$A$2:$A$4,0)))/(POWER(J88,INDEX(球季參數!$D$2:$D$4,MATCH($A88,球季參數!$A$2:$A$4,0)))+POWER(K88,INDEX(球季參數!$D$2:$D$4,MATCH($A88,球季參數!$A$2:$A$4,0)))))</f>
        <v>0.475630660464587</v>
      </c>
      <c r="N88" s="16" t="n">
        <f aca="false">M88*(F88+G88)</f>
        <v>77.0521669952631</v>
      </c>
      <c r="O88" s="16" t="n">
        <f aca="false">F88-N88</f>
        <v>-1.05216699526312</v>
      </c>
    </row>
    <row r="89" customFormat="false" ht="15" hidden="false" customHeight="false" outlineLevel="0" collapsed="false">
      <c r="A89" s="5" t="n">
        <v>2026</v>
      </c>
      <c r="B89" s="7" t="s">
        <v>455</v>
      </c>
      <c r="C89" s="10" t="str">
        <f aca="false">INDEX(球隊主檔!$C$2:$C$31,MATCH($B89,球隊主檔!$A$2:$A$31,0))</f>
        <v>洛杉磯道奇</v>
      </c>
      <c r="D89" s="10" t="str">
        <f aca="false">INDEX(球隊主檔!$D$2:$D$31,MATCH($B89,球隊主檔!$A$2:$A$31,0))</f>
        <v>國聯</v>
      </c>
      <c r="E89" s="10" t="str">
        <f aca="false">INDEX(球隊主檔!$E$2:$E$31,MATCH($B89,球隊主檔!$A$2:$A$31,0))</f>
        <v>國西</v>
      </c>
      <c r="F89" s="12" t="n">
        <v>78</v>
      </c>
      <c r="G89" s="13" t="n">
        <f aca="false">INDEX(球季參數!$B$2:$B$4,MATCH($A89,球季參數!$A$2:$A$4,0))-F89</f>
        <v>84</v>
      </c>
      <c r="H89" s="14" t="n">
        <f aca="false">IF(F89+G89=0,0,F89/(F89+G89))</f>
        <v>0.481481481481481</v>
      </c>
      <c r="I89" s="16" t="n">
        <f aca="false">(SUMPRODUCT(MAX(($A$2:$A$91=$A89)*($E$2:$E$91=$E89)*$F$2:$F$91))-F89+G89-SUMPRODUCT(MIN(($A$2:$A$91=$A89)*($E$2:$E$91=$E89)*$G$2:$G$91+(1-($A$2:$A$91=$A89)*($E$2:$E$91=$E89))*999)))/2</f>
        <v>12</v>
      </c>
      <c r="J89" s="12" t="n">
        <v>646</v>
      </c>
      <c r="K89" s="12" t="n">
        <v>672</v>
      </c>
      <c r="L89" s="13" t="n">
        <f aca="false">J89-K89</f>
        <v>-26</v>
      </c>
      <c r="M89" s="14" t="n">
        <f aca="false">IF(POWER(J89,INDEX(球季參數!$D$2:$D$4,MATCH($A89,球季參數!$A$2:$A$4,0)))+POWER(K89,INDEX(球季參數!$D$2:$D$4,MATCH($A89,球季參數!$A$2:$A$4,0)))=0,0,POWER(J89,INDEX(球季參數!$D$2:$D$4,MATCH($A89,球季參數!$A$2:$A$4,0)))/(POWER(J89,INDEX(球季參數!$D$2:$D$4,MATCH($A89,球季參數!$A$2:$A$4,0)))+POWER(K89,INDEX(球季參數!$D$2:$D$4,MATCH($A89,球季參數!$A$2:$A$4,0)))))</f>
        <v>0.481955422234742</v>
      </c>
      <c r="N89" s="16" t="n">
        <f aca="false">M89*(F89+G89)</f>
        <v>78.0767784020282</v>
      </c>
      <c r="O89" s="16" t="n">
        <f aca="false">F89-N89</f>
        <v>-0.0767784020281823</v>
      </c>
    </row>
    <row r="90" customFormat="false" ht="15" hidden="false" customHeight="false" outlineLevel="0" collapsed="false">
      <c r="A90" s="5" t="n">
        <v>2026</v>
      </c>
      <c r="B90" s="7" t="s">
        <v>459</v>
      </c>
      <c r="C90" s="10" t="str">
        <f aca="false">INDEX(球隊主檔!$C$2:$C$31,MATCH($B90,球隊主檔!$A$2:$A$31,0))</f>
        <v>聖地牙哥教士</v>
      </c>
      <c r="D90" s="10" t="str">
        <f aca="false">INDEX(球隊主檔!$D$2:$D$31,MATCH($B90,球隊主檔!$A$2:$A$31,0))</f>
        <v>國聯</v>
      </c>
      <c r="E90" s="10" t="str">
        <f aca="false">INDEX(球隊主檔!$E$2:$E$31,MATCH($B90,球隊主檔!$A$2:$A$31,0))</f>
        <v>國西</v>
      </c>
      <c r="F90" s="12" t="n">
        <v>69</v>
      </c>
      <c r="G90" s="13" t="n">
        <f aca="false">INDEX(球季參數!$B$2:$B$4,MATCH($A90,球季參數!$A$2:$A$4,0))-F90</f>
        <v>93</v>
      </c>
      <c r="H90" s="14" t="n">
        <f aca="false">IF(F90+G90=0,0,F90/(F90+G90))</f>
        <v>0.425925925925926</v>
      </c>
      <c r="I90" s="16" t="n">
        <f aca="false">(SUMPRODUCT(MAX(($A$2:$A$91=$A90)*($E$2:$E$91=$E90)*$F$2:$F$91))-F90+G90-SUMPRODUCT(MIN(($A$2:$A$91=$A90)*($E$2:$E$91=$E90)*$G$2:$G$91+(1-($A$2:$A$91=$A90)*($E$2:$E$91=$E90))*999)))/2</f>
        <v>21</v>
      </c>
      <c r="J90" s="12" t="n">
        <v>591</v>
      </c>
      <c r="K90" s="12" t="n">
        <v>718</v>
      </c>
      <c r="L90" s="13" t="n">
        <f aca="false">J90-K90</f>
        <v>-127</v>
      </c>
      <c r="M90" s="14" t="n">
        <f aca="false">IF(POWER(J90,INDEX(球季參數!$D$2:$D$4,MATCH($A90,球季參數!$A$2:$A$4,0)))+POWER(K90,INDEX(球季參數!$D$2:$D$4,MATCH($A90,球季參數!$A$2:$A$4,0)))=0,0,POWER(J90,INDEX(球季參數!$D$2:$D$4,MATCH($A90,球季參數!$A$2:$A$4,0)))/(POWER(J90,INDEX(球季參數!$D$2:$D$4,MATCH($A90,球季參數!$A$2:$A$4,0)))+POWER(K90,INDEX(球季參數!$D$2:$D$4,MATCH($A90,球季參數!$A$2:$A$4,0)))))</f>
        <v>0.41187587339375</v>
      </c>
      <c r="N90" s="16" t="n">
        <f aca="false">M90*(F90+G90)</f>
        <v>66.7238914897874</v>
      </c>
      <c r="O90" s="16" t="n">
        <f aca="false">F90-N90</f>
        <v>2.27610851021257</v>
      </c>
    </row>
    <row r="91" customFormat="false" ht="15" hidden="false" customHeight="false" outlineLevel="0" collapsed="false">
      <c r="A91" s="5" t="n">
        <v>2026</v>
      </c>
      <c r="B91" s="7" t="s">
        <v>463</v>
      </c>
      <c r="C91" s="10" t="str">
        <f aca="false">INDEX(球隊主檔!$C$2:$C$31,MATCH($B91,球隊主檔!$A$2:$A$31,0))</f>
        <v>舊金山巨人</v>
      </c>
      <c r="D91" s="10" t="str">
        <f aca="false">INDEX(球隊主檔!$D$2:$D$31,MATCH($B91,球隊主檔!$A$2:$A$31,0))</f>
        <v>國聯</v>
      </c>
      <c r="E91" s="10" t="str">
        <f aca="false">INDEX(球隊主檔!$E$2:$E$31,MATCH($B91,球隊主檔!$A$2:$A$31,0))</f>
        <v>國西</v>
      </c>
      <c r="F91" s="12" t="n">
        <v>75</v>
      </c>
      <c r="G91" s="13" t="n">
        <f aca="false">INDEX(球季參數!$B$2:$B$4,MATCH($A91,球季參數!$A$2:$A$4,0))-F91</f>
        <v>87</v>
      </c>
      <c r="H91" s="14" t="n">
        <f aca="false">IF(F91+G91=0,0,F91/(F91+G91))</f>
        <v>0.462962962962963</v>
      </c>
      <c r="I91" s="16" t="n">
        <f aca="false">(SUMPRODUCT(MAX(($A$2:$A$91=$A91)*($E$2:$E$91=$E91)*$F$2:$F$91))-F91+G91-SUMPRODUCT(MIN(($A$2:$A$91=$A91)*($E$2:$E$91=$E91)*$G$2:$G$91+(1-($A$2:$A$91=$A91)*($E$2:$E$91=$E91))*999)))/2</f>
        <v>15</v>
      </c>
      <c r="J91" s="12" t="n">
        <v>616</v>
      </c>
      <c r="K91" s="12" t="n">
        <v>699</v>
      </c>
      <c r="L91" s="13" t="n">
        <f aca="false">J91-K91</f>
        <v>-83</v>
      </c>
      <c r="M91" s="14" t="n">
        <f aca="false">IF(POWER(J91,INDEX(球季參數!$D$2:$D$4,MATCH($A91,球季參數!$A$2:$A$4,0)))+POWER(K91,INDEX(球季參數!$D$2:$D$4,MATCH($A91,球季參數!$A$2:$A$4,0)))=0,0,POWER(J91,INDEX(球季參數!$D$2:$D$4,MATCH($A91,球季參數!$A$2:$A$4,0)))/(POWER(J91,INDEX(球季參數!$D$2:$D$4,MATCH($A91,球季參數!$A$2:$A$4,0)))+POWER(K91,INDEX(球季參數!$D$2:$D$4,MATCH($A91,球季參數!$A$2:$A$4,0)))))</f>
        <v>0.44242676376362</v>
      </c>
      <c r="N91" s="16" t="n">
        <f aca="false">M91*(F91+G91)</f>
        <v>71.6731357297064</v>
      </c>
      <c r="O91" s="16" t="n">
        <f aca="false">F91-N91</f>
        <v>3.3268642702936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5" min="4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11" min="8" style="0" width="12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8" min="16" style="0" width="12"/>
    <col collapsed="false" customWidth="true" hidden="false" outlineLevel="0" max="19" min="19" style="0" width="15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2"/>
    <col collapsed="false" customWidth="true" hidden="false" outlineLevel="0" max="24" min="24" style="0" width="15"/>
  </cols>
  <sheetData>
    <row r="1" customFormat="false" ht="31.5" hidden="false" customHeight="true" outlineLevel="0" collapsed="false">
      <c r="A1" s="1" t="s">
        <v>55</v>
      </c>
      <c r="B1" s="1" t="s">
        <v>80</v>
      </c>
      <c r="C1" s="1" t="s">
        <v>85</v>
      </c>
      <c r="D1" s="1" t="s">
        <v>87</v>
      </c>
      <c r="E1" s="1" t="s">
        <v>89</v>
      </c>
      <c r="F1" s="1" t="s">
        <v>276</v>
      </c>
      <c r="G1" s="1" t="s">
        <v>279</v>
      </c>
      <c r="H1" s="1" t="s">
        <v>297</v>
      </c>
      <c r="I1" s="1" t="s">
        <v>300</v>
      </c>
      <c r="J1" s="1" t="s">
        <v>302</v>
      </c>
      <c r="K1" s="1" t="s">
        <v>304</v>
      </c>
      <c r="L1" s="1" t="s">
        <v>306</v>
      </c>
      <c r="M1" s="1" t="s">
        <v>308</v>
      </c>
      <c r="N1" s="1" t="s">
        <v>310</v>
      </c>
      <c r="O1" s="1" t="s">
        <v>312</v>
      </c>
      <c r="P1" s="1" t="s">
        <v>314</v>
      </c>
      <c r="Q1" s="1" t="s">
        <v>316</v>
      </c>
      <c r="R1" s="1" t="s">
        <v>318</v>
      </c>
      <c r="S1" s="1" t="s">
        <v>320</v>
      </c>
      <c r="T1" s="1" t="s">
        <v>322</v>
      </c>
      <c r="U1" s="1" t="s">
        <v>324</v>
      </c>
      <c r="V1" s="1" t="s">
        <v>326</v>
      </c>
      <c r="W1" s="1" t="s">
        <v>328</v>
      </c>
      <c r="X1" s="1" t="s">
        <v>330</v>
      </c>
    </row>
    <row r="2" customFormat="false" ht="15" hidden="false" customHeight="false" outlineLevel="0" collapsed="false">
      <c r="A2" s="5" t="n">
        <v>2024</v>
      </c>
      <c r="B2" s="7" t="s">
        <v>340</v>
      </c>
      <c r="C2" s="10" t="str">
        <f aca="false">INDEX(球隊主檔!$C$2:$C$31,MATCH($B2,球隊主檔!$A$2:$A$31,0))</f>
        <v>巴爾的摩金鶯</v>
      </c>
      <c r="D2" s="10" t="str">
        <f aca="false">INDEX(球隊主檔!$D$2:$D$31,MATCH($B2,球隊主檔!$A$2:$A$31,0))</f>
        <v>美聯</v>
      </c>
      <c r="E2" s="10" t="str">
        <f aca="false">INDEX(球隊主檔!$E$2:$E$31,MATCH($B2,球隊主檔!$A$2:$A$31,0))</f>
        <v>美東</v>
      </c>
      <c r="F2" s="19" t="n">
        <f aca="false">SUMIFS(球隊戰績!$F$2:$F$91,球隊戰績!$A$2:$A$91,$A2,球隊戰績!$B$2:$B$91,$B2)</f>
        <v>83</v>
      </c>
      <c r="G2" s="14" t="n">
        <f aca="false">IF(INDEX(球季參數!$B$2:$B$4,MATCH($A2,球季參數!$A$2:$A$4,0))=0,0,F2/INDEX(球季參數!$B$2:$B$4,MATCH($A2,球季參數!$A$2:$A$4,0)))</f>
        <v>0.512345679012346</v>
      </c>
      <c r="H2" s="11" t="n">
        <f aca="false">COUNTIFS(打擊成績!$A$2:$A$901,$A2,打擊成績!$D$2:$D$901,$B2)</f>
        <v>10</v>
      </c>
      <c r="I2" s="13" t="n">
        <f aca="false">SUMIFS(打擊成績!$J$2:$J$901,打擊成績!$A$2:$A$901,$A2,打擊成績!$D$2:$D$901,$B2)</f>
        <v>4882</v>
      </c>
      <c r="J2" s="13" t="n">
        <f aca="false">SUMIFS(打擊成績!$K$2:$K$901,打擊成績!$A$2:$A$901,$A2,打擊成績!$D$2:$D$901,$B2)</f>
        <v>4352</v>
      </c>
      <c r="K2" s="13" t="n">
        <f aca="false">SUMIFS(打擊成績!$M$2:$M$901,打擊成績!$A$2:$A$901,$A2,打擊成績!$D$2:$D$901,$B2)</f>
        <v>1064</v>
      </c>
      <c r="L2" s="13" t="n">
        <f aca="false">SUMIFS(打擊成績!$X$2:$X$901,打擊成績!$A$2:$A$901,$A2,打擊成績!$D$2:$D$901,$B2)</f>
        <v>1981</v>
      </c>
      <c r="M2" s="13" t="n">
        <f aca="false">SUMIFS(打擊成績!$P$2:$P$901,打擊成績!$A$2:$A$901,$A2,打擊成績!$D$2:$D$901,$B2)</f>
        <v>195</v>
      </c>
      <c r="N2" s="13" t="n">
        <f aca="false">SUMIFS(打擊成績!$Q$2:$Q$901,打擊成績!$A$2:$A$901,$A2,打擊成績!$D$2:$D$901,$B2)</f>
        <v>673</v>
      </c>
      <c r="O2" s="13" t="n">
        <f aca="false">SUMIFS(打擊成績!$V$2:$V$901,打擊成績!$A$2:$A$901,$A2,打擊成績!$D$2:$D$901,$B2)</f>
        <v>106</v>
      </c>
      <c r="P2" s="14" t="n">
        <f aca="false">IF(J2=0,0,K2/J2)</f>
        <v>0.244485294117647</v>
      </c>
      <c r="Q2" s="14" t="n">
        <f aca="false">IF(J2=0,0,L2/J2)</f>
        <v>0.455193014705882</v>
      </c>
      <c r="R2" s="11" t="n">
        <f aca="false">COUNTIFS(投手成績!$A$2:$A$901,$A2,投手成績!$D$2:$D$901,$B2)</f>
        <v>10</v>
      </c>
      <c r="S2" s="13" t="n">
        <f aca="false">SUMIFS(投手成績!$O$2:$O$901,投手成績!$A$2:$A$901,$A2,投手成績!$D$2:$D$901,$B2)</f>
        <v>2768</v>
      </c>
      <c r="T2" s="16" t="n">
        <f aca="false">S2/3</f>
        <v>922.666666666667</v>
      </c>
      <c r="U2" s="13" t="n">
        <f aca="false">SUMIFS(投手成績!$W$2:$W$901,投手成績!$A$2:$A$901,$A2,投手成績!$D$2:$D$901,$B2)</f>
        <v>884</v>
      </c>
      <c r="V2" s="13" t="n">
        <f aca="false">SUMIFS(投手成績!$T$2:$T$901,投手成績!$A$2:$A$901,$A2,投手成績!$D$2:$D$901,$B2)</f>
        <v>409</v>
      </c>
      <c r="W2" s="18" t="n">
        <f aca="false">IF(S2=0,0,V2*27/S2)</f>
        <v>3.98952312138728</v>
      </c>
      <c r="X2" s="18" t="n">
        <f aca="false">IF(S2=0,0,U2*27/S2)</f>
        <v>8.6228323699422</v>
      </c>
    </row>
    <row r="3" customFormat="false" ht="15" hidden="false" customHeight="false" outlineLevel="0" collapsed="false">
      <c r="A3" s="5" t="n">
        <v>2024</v>
      </c>
      <c r="B3" s="7" t="s">
        <v>346</v>
      </c>
      <c r="C3" s="10" t="str">
        <f aca="false">INDEX(球隊主檔!$C$2:$C$31,MATCH($B3,球隊主檔!$A$2:$A$31,0))</f>
        <v>波士頓紅襪</v>
      </c>
      <c r="D3" s="10" t="str">
        <f aca="false">INDEX(球隊主檔!$D$2:$D$31,MATCH($B3,球隊主檔!$A$2:$A$31,0))</f>
        <v>美聯</v>
      </c>
      <c r="E3" s="10" t="str">
        <f aca="false">INDEX(球隊主檔!$E$2:$E$31,MATCH($B3,球隊主檔!$A$2:$A$31,0))</f>
        <v>美東</v>
      </c>
      <c r="F3" s="19" t="n">
        <f aca="false">SUMIFS(球隊戰績!$F$2:$F$91,球隊戰績!$A$2:$A$91,$A3,球隊戰績!$B$2:$B$91,$B3)</f>
        <v>88</v>
      </c>
      <c r="G3" s="14" t="n">
        <f aca="false">IF(INDEX(球季參數!$B$2:$B$4,MATCH($A3,球季參數!$A$2:$A$4,0))=0,0,F3/INDEX(球季參數!$B$2:$B$4,MATCH($A3,球季參數!$A$2:$A$4,0)))</f>
        <v>0.54320987654321</v>
      </c>
      <c r="H3" s="11" t="n">
        <f aca="false">COUNTIFS(打擊成績!$A$2:$A$901,$A3,打擊成績!$D$2:$D$901,$B3)</f>
        <v>10</v>
      </c>
      <c r="I3" s="13" t="n">
        <f aca="false">SUMIFS(打擊成績!$J$2:$J$901,打擊成績!$A$2:$A$901,$A3,打擊成績!$D$2:$D$901,$B3)</f>
        <v>4511</v>
      </c>
      <c r="J3" s="13" t="n">
        <f aca="false">SUMIFS(打擊成績!$K$2:$K$901,打擊成績!$A$2:$A$901,$A3,打擊成績!$D$2:$D$901,$B3)</f>
        <v>4067</v>
      </c>
      <c r="K3" s="13" t="n">
        <f aca="false">SUMIFS(打擊成績!$M$2:$M$901,打擊成績!$A$2:$A$901,$A3,打擊成績!$D$2:$D$901,$B3)</f>
        <v>992</v>
      </c>
      <c r="L3" s="13" t="n">
        <f aca="false">SUMIFS(打擊成績!$X$2:$X$901,打擊成績!$A$2:$A$901,$A3,打擊成績!$D$2:$D$901,$B3)</f>
        <v>1949</v>
      </c>
      <c r="M3" s="13" t="n">
        <f aca="false">SUMIFS(打擊成績!$P$2:$P$901,打擊成績!$A$2:$A$901,$A3,打擊成績!$D$2:$D$901,$B3)</f>
        <v>193</v>
      </c>
      <c r="N3" s="13" t="n">
        <f aca="false">SUMIFS(打擊成績!$Q$2:$Q$901,打擊成績!$A$2:$A$901,$A3,打擊成績!$D$2:$D$901,$B3)</f>
        <v>634</v>
      </c>
      <c r="O3" s="13" t="n">
        <f aca="false">SUMIFS(打擊成績!$V$2:$V$901,打擊成績!$A$2:$A$901,$A3,打擊成績!$D$2:$D$901,$B3)</f>
        <v>157</v>
      </c>
      <c r="P3" s="14" t="n">
        <f aca="false">IF(J3=0,0,K3/J3)</f>
        <v>0.243914433243177</v>
      </c>
      <c r="Q3" s="14" t="n">
        <f aca="false">IF(J3=0,0,L3/J3)</f>
        <v>0.479223014507008</v>
      </c>
      <c r="R3" s="11" t="n">
        <f aca="false">COUNTIFS(投手成績!$A$2:$A$901,$A3,投手成績!$D$2:$D$901,$B3)</f>
        <v>10</v>
      </c>
      <c r="S3" s="13" t="n">
        <f aca="false">SUMIFS(投手成績!$O$2:$O$901,投手成績!$A$2:$A$901,$A3,投手成績!$D$2:$D$901,$B3)</f>
        <v>2894</v>
      </c>
      <c r="T3" s="16" t="n">
        <f aca="false">S3/3</f>
        <v>964.666666666667</v>
      </c>
      <c r="U3" s="13" t="n">
        <f aca="false">SUMIFS(投手成績!$W$2:$W$901,投手成績!$A$2:$A$901,$A3,投手成績!$D$2:$D$901,$B3)</f>
        <v>988</v>
      </c>
      <c r="V3" s="13" t="n">
        <f aca="false">SUMIFS(投手成績!$T$2:$T$901,投手成績!$A$2:$A$901,$A3,投手成績!$D$2:$D$901,$B3)</f>
        <v>403</v>
      </c>
      <c r="W3" s="18" t="n">
        <f aca="false">IF(S3=0,0,V3*27/S3)</f>
        <v>3.75984796129924</v>
      </c>
      <c r="X3" s="18" t="n">
        <f aca="false">IF(S3=0,0,U3*27/S3)</f>
        <v>9.21769177608846</v>
      </c>
    </row>
    <row r="4" customFormat="false" ht="15" hidden="false" customHeight="false" outlineLevel="0" collapsed="false">
      <c r="A4" s="5" t="n">
        <v>2024</v>
      </c>
      <c r="B4" s="7" t="s">
        <v>350</v>
      </c>
      <c r="C4" s="10" t="str">
        <f aca="false">INDEX(球隊主檔!$C$2:$C$31,MATCH($B4,球隊主檔!$A$2:$A$31,0))</f>
        <v>紐約洋基</v>
      </c>
      <c r="D4" s="10" t="str">
        <f aca="false">INDEX(球隊主檔!$D$2:$D$31,MATCH($B4,球隊主檔!$A$2:$A$31,0))</f>
        <v>美聯</v>
      </c>
      <c r="E4" s="10" t="str">
        <f aca="false">INDEX(球隊主檔!$E$2:$E$31,MATCH($B4,球隊主檔!$A$2:$A$31,0))</f>
        <v>美東</v>
      </c>
      <c r="F4" s="19" t="n">
        <f aca="false">SUMIFS(球隊戰績!$F$2:$F$91,球隊戰績!$A$2:$A$91,$A4,球隊戰績!$B$2:$B$91,$B4)</f>
        <v>87</v>
      </c>
      <c r="G4" s="14" t="n">
        <f aca="false">IF(INDEX(球季參數!$B$2:$B$4,MATCH($A4,球季參數!$A$2:$A$4,0))=0,0,F4/INDEX(球季參數!$B$2:$B$4,MATCH($A4,球季參數!$A$2:$A$4,0)))</f>
        <v>0.537037037037037</v>
      </c>
      <c r="H4" s="11" t="n">
        <f aca="false">COUNTIFS(打擊成績!$A$2:$A$901,$A4,打擊成績!$D$2:$D$901,$B4)</f>
        <v>10</v>
      </c>
      <c r="I4" s="13" t="n">
        <f aca="false">SUMIFS(打擊成績!$J$2:$J$901,打擊成績!$A$2:$A$901,$A4,打擊成績!$D$2:$D$901,$B4)</f>
        <v>4574</v>
      </c>
      <c r="J4" s="13" t="n">
        <f aca="false">SUMIFS(打擊成績!$K$2:$K$901,打擊成績!$A$2:$A$901,$A4,打擊成績!$D$2:$D$901,$B4)</f>
        <v>4132</v>
      </c>
      <c r="K4" s="13" t="n">
        <f aca="false">SUMIFS(打擊成績!$M$2:$M$901,打擊成績!$A$2:$A$901,$A4,打擊成績!$D$2:$D$901,$B4)</f>
        <v>1086</v>
      </c>
      <c r="L4" s="13" t="n">
        <f aca="false">SUMIFS(打擊成績!$X$2:$X$901,打擊成績!$A$2:$A$901,$A4,打擊成績!$D$2:$D$901,$B4)</f>
        <v>1941</v>
      </c>
      <c r="M4" s="13" t="n">
        <f aca="false">SUMIFS(打擊成績!$P$2:$P$901,打擊成績!$A$2:$A$901,$A4,打擊成績!$D$2:$D$901,$B4)</f>
        <v>185</v>
      </c>
      <c r="N4" s="13" t="n">
        <f aca="false">SUMIFS(打擊成績!$Q$2:$Q$901,打擊成績!$A$2:$A$901,$A4,打擊成績!$D$2:$D$901,$B4)</f>
        <v>661</v>
      </c>
      <c r="O4" s="13" t="n">
        <f aca="false">SUMIFS(打擊成績!$V$2:$V$901,打擊成績!$A$2:$A$901,$A4,打擊成績!$D$2:$D$901,$B4)</f>
        <v>67</v>
      </c>
      <c r="P4" s="14" t="n">
        <f aca="false">IF(J4=0,0,K4/J4)</f>
        <v>0.262826718296225</v>
      </c>
      <c r="Q4" s="14" t="n">
        <f aca="false">IF(J4=0,0,L4/J4)</f>
        <v>0.469748305905131</v>
      </c>
      <c r="R4" s="11" t="n">
        <f aca="false">COUNTIFS(投手成績!$A$2:$A$901,$A4,投手成績!$D$2:$D$901,$B4)</f>
        <v>10</v>
      </c>
      <c r="S4" s="13" t="n">
        <f aca="false">SUMIFS(投手成績!$O$2:$O$901,投手成績!$A$2:$A$901,$A4,投手成績!$D$2:$D$901,$B4)</f>
        <v>2966</v>
      </c>
      <c r="T4" s="16" t="n">
        <f aca="false">S4/3</f>
        <v>988.666666666667</v>
      </c>
      <c r="U4" s="13" t="n">
        <f aca="false">SUMIFS(投手成績!$W$2:$W$901,投手成績!$A$2:$A$901,$A4,投手成績!$D$2:$D$901,$B4)</f>
        <v>943</v>
      </c>
      <c r="V4" s="13" t="n">
        <f aca="false">SUMIFS(投手成績!$T$2:$T$901,投手成績!$A$2:$A$901,$A4,投手成績!$D$2:$D$901,$B4)</f>
        <v>394</v>
      </c>
      <c r="W4" s="18" t="n">
        <f aca="false">IF(S4=0,0,V4*27/S4)</f>
        <v>3.58664868509778</v>
      </c>
      <c r="X4" s="18" t="n">
        <f aca="false">IF(S4=0,0,U4*27/S4)</f>
        <v>8.58428860418072</v>
      </c>
    </row>
    <row r="5" customFormat="false" ht="15" hidden="false" customHeight="false" outlineLevel="0" collapsed="false">
      <c r="A5" s="5" t="n">
        <v>2024</v>
      </c>
      <c r="B5" s="7" t="s">
        <v>354</v>
      </c>
      <c r="C5" s="10" t="str">
        <f aca="false">INDEX(球隊主檔!$C$2:$C$31,MATCH($B5,球隊主檔!$A$2:$A$31,0))</f>
        <v>坦帕灣光芒</v>
      </c>
      <c r="D5" s="10" t="str">
        <f aca="false">INDEX(球隊主檔!$D$2:$D$31,MATCH($B5,球隊主檔!$A$2:$A$31,0))</f>
        <v>美聯</v>
      </c>
      <c r="E5" s="10" t="str">
        <f aca="false">INDEX(球隊主檔!$E$2:$E$31,MATCH($B5,球隊主檔!$A$2:$A$31,0))</f>
        <v>美東</v>
      </c>
      <c r="F5" s="19" t="n">
        <f aca="false">SUMIFS(球隊戰績!$F$2:$F$91,球隊戰績!$A$2:$A$91,$A5,球隊戰績!$B$2:$B$91,$B5)</f>
        <v>75</v>
      </c>
      <c r="G5" s="14" t="n">
        <f aca="false">IF(INDEX(球季參數!$B$2:$B$4,MATCH($A5,球季參數!$A$2:$A$4,0))=0,0,F5/INDEX(球季參數!$B$2:$B$4,MATCH($A5,球季參數!$A$2:$A$4,0)))</f>
        <v>0.462962962962963</v>
      </c>
      <c r="H5" s="11" t="n">
        <f aca="false">COUNTIFS(打擊成績!$A$2:$A$901,$A5,打擊成績!$D$2:$D$901,$B5)</f>
        <v>10</v>
      </c>
      <c r="I5" s="13" t="n">
        <f aca="false">SUMIFS(打擊成績!$J$2:$J$901,打擊成績!$A$2:$A$901,$A5,打擊成績!$D$2:$D$901,$B5)</f>
        <v>4606</v>
      </c>
      <c r="J5" s="13" t="n">
        <f aca="false">SUMIFS(打擊成績!$K$2:$K$901,打擊成績!$A$2:$A$901,$A5,打擊成績!$D$2:$D$901,$B5)</f>
        <v>4193</v>
      </c>
      <c r="K5" s="13" t="n">
        <f aca="false">SUMIFS(打擊成績!$M$2:$M$901,打擊成績!$A$2:$A$901,$A5,打擊成績!$D$2:$D$901,$B5)</f>
        <v>981</v>
      </c>
      <c r="L5" s="13" t="n">
        <f aca="false">SUMIFS(打擊成績!$X$2:$X$901,打擊成績!$A$2:$A$901,$A5,打擊成績!$D$2:$D$901,$B5)</f>
        <v>1728</v>
      </c>
      <c r="M5" s="13" t="n">
        <f aca="false">SUMIFS(打擊成績!$P$2:$P$901,打擊成績!$A$2:$A$901,$A5,打擊成績!$D$2:$D$901,$B5)</f>
        <v>126</v>
      </c>
      <c r="N5" s="13" t="n">
        <f aca="false">SUMIFS(打擊成績!$Q$2:$Q$901,打擊成績!$A$2:$A$901,$A5,打擊成績!$D$2:$D$901,$B5)</f>
        <v>487</v>
      </c>
      <c r="O5" s="13" t="n">
        <f aca="false">SUMIFS(打擊成績!$V$2:$V$901,打擊成績!$A$2:$A$901,$A5,打擊成績!$D$2:$D$901,$B5)</f>
        <v>167</v>
      </c>
      <c r="P5" s="14" t="n">
        <f aca="false">IF(J5=0,0,K5/J5)</f>
        <v>0.233961364178393</v>
      </c>
      <c r="Q5" s="14" t="n">
        <f aca="false">IF(J5=0,0,L5/J5)</f>
        <v>0.41211543047937</v>
      </c>
      <c r="R5" s="11" t="n">
        <f aca="false">COUNTIFS(投手成績!$A$2:$A$901,$A5,投手成績!$D$2:$D$901,$B5)</f>
        <v>10</v>
      </c>
      <c r="S5" s="13" t="n">
        <f aca="false">SUMIFS(投手成績!$O$2:$O$901,投手成績!$A$2:$A$901,$A5,投手成績!$D$2:$D$901,$B5)</f>
        <v>3163</v>
      </c>
      <c r="T5" s="16" t="n">
        <f aca="false">S5/3</f>
        <v>1054.33333333333</v>
      </c>
      <c r="U5" s="13" t="n">
        <f aca="false">SUMIFS(投手成績!$W$2:$W$901,投手成績!$A$2:$A$901,$A5,投手成績!$D$2:$D$901,$B5)</f>
        <v>1059</v>
      </c>
      <c r="V5" s="13" t="n">
        <f aca="false">SUMIFS(投手成績!$T$2:$T$901,投手成績!$A$2:$A$901,$A5,投手成績!$D$2:$D$901,$B5)</f>
        <v>506</v>
      </c>
      <c r="W5" s="18" t="n">
        <f aca="false">IF(S5=0,0,V5*27/S5)</f>
        <v>4.31931710401518</v>
      </c>
      <c r="X5" s="18" t="n">
        <f aca="false">IF(S5=0,0,U5*27/S5)</f>
        <v>9.03983559911477</v>
      </c>
    </row>
    <row r="6" customFormat="false" ht="15" hidden="false" customHeight="false" outlineLevel="0" collapsed="false">
      <c r="A6" s="5" t="n">
        <v>2024</v>
      </c>
      <c r="B6" s="7" t="s">
        <v>358</v>
      </c>
      <c r="C6" s="10" t="str">
        <f aca="false">INDEX(球隊主檔!$C$2:$C$31,MATCH($B6,球隊主檔!$A$2:$A$31,0))</f>
        <v>多倫多藍鳥</v>
      </c>
      <c r="D6" s="10" t="str">
        <f aca="false">INDEX(球隊主檔!$D$2:$D$31,MATCH($B6,球隊主檔!$A$2:$A$31,0))</f>
        <v>美聯</v>
      </c>
      <c r="E6" s="10" t="str">
        <f aca="false">INDEX(球隊主檔!$E$2:$E$31,MATCH($B6,球隊主檔!$A$2:$A$31,0))</f>
        <v>美東</v>
      </c>
      <c r="F6" s="19" t="n">
        <f aca="false">SUMIFS(球隊戰績!$F$2:$F$91,球隊戰績!$A$2:$A$91,$A6,球隊戰績!$B$2:$B$91,$B6)</f>
        <v>73</v>
      </c>
      <c r="G6" s="14" t="n">
        <f aca="false">IF(INDEX(球季參數!$B$2:$B$4,MATCH($A6,球季參數!$A$2:$A$4,0))=0,0,F6/INDEX(球季參數!$B$2:$B$4,MATCH($A6,球季參數!$A$2:$A$4,0)))</f>
        <v>0.450617283950617</v>
      </c>
      <c r="H6" s="11" t="n">
        <f aca="false">COUNTIFS(打擊成績!$A$2:$A$901,$A6,打擊成績!$D$2:$D$901,$B6)</f>
        <v>10</v>
      </c>
      <c r="I6" s="13" t="n">
        <f aca="false">SUMIFS(打擊成績!$J$2:$J$901,打擊成績!$A$2:$A$901,$A6,打擊成績!$D$2:$D$901,$B6)</f>
        <v>4842</v>
      </c>
      <c r="J6" s="13" t="n">
        <f aca="false">SUMIFS(打擊成績!$K$2:$K$901,打擊成績!$A$2:$A$901,$A6,打擊成績!$D$2:$D$901,$B6)</f>
        <v>4303</v>
      </c>
      <c r="K6" s="13" t="n">
        <f aca="false">SUMIFS(打擊成績!$M$2:$M$901,打擊成績!$A$2:$A$901,$A6,打擊成績!$D$2:$D$901,$B6)</f>
        <v>1078</v>
      </c>
      <c r="L6" s="13" t="n">
        <f aca="false">SUMIFS(打擊成績!$X$2:$X$901,打擊成績!$A$2:$A$901,$A6,打擊成績!$D$2:$D$901,$B6)</f>
        <v>1939</v>
      </c>
      <c r="M6" s="13" t="n">
        <f aca="false">SUMIFS(打擊成績!$P$2:$P$901,打擊成績!$A$2:$A$901,$A6,打擊成績!$D$2:$D$901,$B6)</f>
        <v>170</v>
      </c>
      <c r="N6" s="13" t="n">
        <f aca="false">SUMIFS(打擊成績!$Q$2:$Q$901,打擊成績!$A$2:$A$901,$A6,打擊成績!$D$2:$D$901,$B6)</f>
        <v>595</v>
      </c>
      <c r="O6" s="13" t="n">
        <f aca="false">SUMIFS(打擊成績!$V$2:$V$901,打擊成績!$A$2:$A$901,$A6,打擊成績!$D$2:$D$901,$B6)</f>
        <v>130</v>
      </c>
      <c r="P6" s="14" t="n">
        <f aca="false">IF(J6=0,0,K6/J6)</f>
        <v>0.250522891006275</v>
      </c>
      <c r="Q6" s="14" t="n">
        <f aca="false">IF(J6=0,0,L6/J6)</f>
        <v>0.45061584940739</v>
      </c>
      <c r="R6" s="11" t="n">
        <f aca="false">COUNTIFS(投手成績!$A$2:$A$901,$A6,投手成績!$D$2:$D$901,$B6)</f>
        <v>10</v>
      </c>
      <c r="S6" s="13" t="n">
        <f aca="false">SUMIFS(投手成績!$O$2:$O$901,投手成績!$A$2:$A$901,$A6,投手成績!$D$2:$D$901,$B6)</f>
        <v>2826</v>
      </c>
      <c r="T6" s="16" t="n">
        <f aca="false">S6/3</f>
        <v>942</v>
      </c>
      <c r="U6" s="13" t="n">
        <f aca="false">SUMIFS(投手成績!$W$2:$W$901,投手成績!$A$2:$A$901,$A6,投手成績!$D$2:$D$901,$B6)</f>
        <v>1061</v>
      </c>
      <c r="V6" s="13" t="n">
        <f aca="false">SUMIFS(投手成績!$T$2:$T$901,投手成績!$A$2:$A$901,$A6,投手成績!$D$2:$D$901,$B6)</f>
        <v>430</v>
      </c>
      <c r="W6" s="18" t="n">
        <f aca="false">IF(S6=0,0,V6*27/S6)</f>
        <v>4.10828025477707</v>
      </c>
      <c r="X6" s="18" t="n">
        <f aca="false">IF(S6=0,0,U6*27/S6)</f>
        <v>10.1369426751592</v>
      </c>
    </row>
    <row r="7" customFormat="false" ht="15" hidden="false" customHeight="false" outlineLevel="0" collapsed="false">
      <c r="A7" s="5" t="n">
        <v>2024</v>
      </c>
      <c r="B7" s="7" t="s">
        <v>362</v>
      </c>
      <c r="C7" s="10" t="str">
        <f aca="false">INDEX(球隊主檔!$C$2:$C$31,MATCH($B7,球隊主檔!$A$2:$A$31,0))</f>
        <v>芝加哥白襪</v>
      </c>
      <c r="D7" s="10" t="str">
        <f aca="false">INDEX(球隊主檔!$D$2:$D$31,MATCH($B7,球隊主檔!$A$2:$A$31,0))</f>
        <v>美聯</v>
      </c>
      <c r="E7" s="10" t="str">
        <f aca="false">INDEX(球隊主檔!$E$2:$E$31,MATCH($B7,球隊主檔!$A$2:$A$31,0))</f>
        <v>美中</v>
      </c>
      <c r="F7" s="19" t="n">
        <f aca="false">SUMIFS(球隊戰績!$F$2:$F$91,球隊戰績!$A$2:$A$91,$A7,球隊戰績!$B$2:$B$91,$B7)</f>
        <v>86</v>
      </c>
      <c r="G7" s="14" t="n">
        <f aca="false">IF(INDEX(球季參數!$B$2:$B$4,MATCH($A7,球季參數!$A$2:$A$4,0))=0,0,F7/INDEX(球季參數!$B$2:$B$4,MATCH($A7,球季參數!$A$2:$A$4,0)))</f>
        <v>0.530864197530864</v>
      </c>
      <c r="H7" s="11" t="n">
        <f aca="false">COUNTIFS(打擊成績!$A$2:$A$901,$A7,打擊成績!$D$2:$D$901,$B7)</f>
        <v>10</v>
      </c>
      <c r="I7" s="13" t="n">
        <f aca="false">SUMIFS(打擊成績!$J$2:$J$901,打擊成績!$A$2:$A$901,$A7,打擊成績!$D$2:$D$901,$B7)</f>
        <v>5072</v>
      </c>
      <c r="J7" s="13" t="n">
        <f aca="false">SUMIFS(打擊成績!$K$2:$K$901,打擊成績!$A$2:$A$901,$A7,打擊成績!$D$2:$D$901,$B7)</f>
        <v>4587</v>
      </c>
      <c r="K7" s="13" t="n">
        <f aca="false">SUMIFS(打擊成績!$M$2:$M$901,打擊成績!$A$2:$A$901,$A7,打擊成績!$D$2:$D$901,$B7)</f>
        <v>1109</v>
      </c>
      <c r="L7" s="13" t="n">
        <f aca="false">SUMIFS(打擊成績!$X$2:$X$901,打擊成績!$A$2:$A$901,$A7,打擊成績!$D$2:$D$901,$B7)</f>
        <v>1858</v>
      </c>
      <c r="M7" s="13" t="n">
        <f aca="false">SUMIFS(打擊成績!$P$2:$P$901,打擊成績!$A$2:$A$901,$A7,打擊成績!$D$2:$D$901,$B7)</f>
        <v>142</v>
      </c>
      <c r="N7" s="13" t="n">
        <f aca="false">SUMIFS(打擊成績!$Q$2:$Q$901,打擊成績!$A$2:$A$901,$A7,打擊成績!$D$2:$D$901,$B7)</f>
        <v>531</v>
      </c>
      <c r="O7" s="13" t="n">
        <f aca="false">SUMIFS(打擊成績!$V$2:$V$901,打擊成績!$A$2:$A$901,$A7,打擊成績!$D$2:$D$901,$B7)</f>
        <v>83</v>
      </c>
      <c r="P7" s="14" t="n">
        <f aca="false">IF(J7=0,0,K7/J7)</f>
        <v>0.241770220187486</v>
      </c>
      <c r="Q7" s="14" t="n">
        <f aca="false">IF(J7=0,0,L7/J7)</f>
        <v>0.405057771964247</v>
      </c>
      <c r="R7" s="11" t="n">
        <f aca="false">COUNTIFS(投手成績!$A$2:$A$901,$A7,投手成績!$D$2:$D$901,$B7)</f>
        <v>10</v>
      </c>
      <c r="S7" s="13" t="n">
        <f aca="false">SUMIFS(投手成績!$O$2:$O$901,投手成績!$A$2:$A$901,$A7,投手成績!$D$2:$D$901,$B7)</f>
        <v>3408</v>
      </c>
      <c r="T7" s="16" t="n">
        <f aca="false">S7/3</f>
        <v>1136</v>
      </c>
      <c r="U7" s="13" t="n">
        <f aca="false">SUMIFS(投手成績!$W$2:$W$901,投手成績!$A$2:$A$901,$A7,投手成績!$D$2:$D$901,$B7)</f>
        <v>1142</v>
      </c>
      <c r="V7" s="13" t="n">
        <f aca="false">SUMIFS(投手成績!$T$2:$T$901,投手成績!$A$2:$A$901,$A7,投手成績!$D$2:$D$901,$B7)</f>
        <v>551</v>
      </c>
      <c r="W7" s="18" t="n">
        <f aca="false">IF(S7=0,0,V7*27/S7)</f>
        <v>4.36531690140845</v>
      </c>
      <c r="X7" s="18" t="n">
        <f aca="false">IF(S7=0,0,U7*27/S7)</f>
        <v>9.04753521126761</v>
      </c>
    </row>
    <row r="8" customFormat="false" ht="15" hidden="false" customHeight="false" outlineLevel="0" collapsed="false">
      <c r="A8" s="5" t="n">
        <v>2024</v>
      </c>
      <c r="B8" s="7" t="s">
        <v>367</v>
      </c>
      <c r="C8" s="10" t="str">
        <f aca="false">INDEX(球隊主檔!$C$2:$C$31,MATCH($B8,球隊主檔!$A$2:$A$31,0))</f>
        <v>克里夫蘭守護者</v>
      </c>
      <c r="D8" s="10" t="str">
        <f aca="false">INDEX(球隊主檔!$D$2:$D$31,MATCH($B8,球隊主檔!$A$2:$A$31,0))</f>
        <v>美聯</v>
      </c>
      <c r="E8" s="10" t="str">
        <f aca="false">INDEX(球隊主檔!$E$2:$E$31,MATCH($B8,球隊主檔!$A$2:$A$31,0))</f>
        <v>美中</v>
      </c>
      <c r="F8" s="19" t="n">
        <f aca="false">SUMIFS(球隊戰績!$F$2:$F$91,球隊戰績!$A$2:$A$91,$A8,球隊戰績!$B$2:$B$91,$B8)</f>
        <v>80</v>
      </c>
      <c r="G8" s="14" t="n">
        <f aca="false">IF(INDEX(球季參數!$B$2:$B$4,MATCH($A8,球季參數!$A$2:$A$4,0))=0,0,F8/INDEX(球季參數!$B$2:$B$4,MATCH($A8,球季參數!$A$2:$A$4,0)))</f>
        <v>0.493827160493827</v>
      </c>
      <c r="H8" s="11" t="n">
        <f aca="false">COUNTIFS(打擊成績!$A$2:$A$901,$A8,打擊成績!$D$2:$D$901,$B8)</f>
        <v>10</v>
      </c>
      <c r="I8" s="13" t="n">
        <f aca="false">SUMIFS(打擊成績!$J$2:$J$901,打擊成績!$A$2:$A$901,$A8,打擊成績!$D$2:$D$901,$B8)</f>
        <v>4995</v>
      </c>
      <c r="J8" s="13" t="n">
        <f aca="false">SUMIFS(打擊成績!$K$2:$K$901,打擊成績!$A$2:$A$901,$A8,打擊成績!$D$2:$D$901,$B8)</f>
        <v>4544</v>
      </c>
      <c r="K8" s="13" t="n">
        <f aca="false">SUMIFS(打擊成績!$M$2:$M$901,打擊成績!$A$2:$A$901,$A8,打擊成績!$D$2:$D$901,$B8)</f>
        <v>1111</v>
      </c>
      <c r="L8" s="13" t="n">
        <f aca="false">SUMIFS(打擊成績!$X$2:$X$901,打擊成績!$A$2:$A$901,$A8,打擊成績!$D$2:$D$901,$B8)</f>
        <v>1961</v>
      </c>
      <c r="M8" s="13" t="n">
        <f aca="false">SUMIFS(打擊成績!$P$2:$P$901,打擊成績!$A$2:$A$901,$A8,打擊成績!$D$2:$D$901,$B8)</f>
        <v>165</v>
      </c>
      <c r="N8" s="13" t="n">
        <f aca="false">SUMIFS(打擊成績!$Q$2:$Q$901,打擊成績!$A$2:$A$901,$A8,打擊成績!$D$2:$D$901,$B8)</f>
        <v>606</v>
      </c>
      <c r="O8" s="13" t="n">
        <f aca="false">SUMIFS(打擊成績!$V$2:$V$901,打擊成績!$A$2:$A$901,$A8,打擊成績!$D$2:$D$901,$B8)</f>
        <v>137</v>
      </c>
      <c r="P8" s="14" t="n">
        <f aca="false">IF(J8=0,0,K8/J8)</f>
        <v>0.24449823943662</v>
      </c>
      <c r="Q8" s="14" t="n">
        <f aca="false">IF(J8=0,0,L8/J8)</f>
        <v>0.431558098591549</v>
      </c>
      <c r="R8" s="11" t="n">
        <f aca="false">COUNTIFS(投手成績!$A$2:$A$901,$A8,投手成績!$D$2:$D$901,$B8)</f>
        <v>10</v>
      </c>
      <c r="S8" s="13" t="n">
        <f aca="false">SUMIFS(投手成績!$O$2:$O$901,投手成績!$A$2:$A$901,$A8,投手成績!$D$2:$D$901,$B8)</f>
        <v>2778</v>
      </c>
      <c r="T8" s="16" t="n">
        <f aca="false">S8/3</f>
        <v>926</v>
      </c>
      <c r="U8" s="13" t="n">
        <f aca="false">SUMIFS(投手成績!$W$2:$W$901,投手成績!$A$2:$A$901,$A8,投手成績!$D$2:$D$901,$B8)</f>
        <v>945</v>
      </c>
      <c r="V8" s="13" t="n">
        <f aca="false">SUMIFS(投手成績!$T$2:$T$901,投手成績!$A$2:$A$901,$A8,投手成績!$D$2:$D$901,$B8)</f>
        <v>418</v>
      </c>
      <c r="W8" s="18" t="n">
        <f aca="false">IF(S8=0,0,V8*27/S8)</f>
        <v>4.06263498920086</v>
      </c>
      <c r="X8" s="18" t="n">
        <f aca="false">IF(S8=0,0,U8*27/S8)</f>
        <v>9.18466522678186</v>
      </c>
    </row>
    <row r="9" customFormat="false" ht="15" hidden="false" customHeight="false" outlineLevel="0" collapsed="false">
      <c r="A9" s="5" t="n">
        <v>2024</v>
      </c>
      <c r="B9" s="7" t="s">
        <v>371</v>
      </c>
      <c r="C9" s="10" t="str">
        <f aca="false">INDEX(球隊主檔!$C$2:$C$31,MATCH($B9,球隊主檔!$A$2:$A$31,0))</f>
        <v>底特律老虎</v>
      </c>
      <c r="D9" s="10" t="str">
        <f aca="false">INDEX(球隊主檔!$D$2:$D$31,MATCH($B9,球隊主檔!$A$2:$A$31,0))</f>
        <v>美聯</v>
      </c>
      <c r="E9" s="10" t="str">
        <f aca="false">INDEX(球隊主檔!$E$2:$E$31,MATCH($B9,球隊主檔!$A$2:$A$31,0))</f>
        <v>美中</v>
      </c>
      <c r="F9" s="19" t="n">
        <f aca="false">SUMIFS(球隊戰績!$F$2:$F$91,球隊戰績!$A$2:$A$91,$A9,球隊戰績!$B$2:$B$91,$B9)</f>
        <v>95</v>
      </c>
      <c r="G9" s="14" t="n">
        <f aca="false">IF(INDEX(球季參數!$B$2:$B$4,MATCH($A9,球季參數!$A$2:$A$4,0))=0,0,F9/INDEX(球季參數!$B$2:$B$4,MATCH($A9,球季參數!$A$2:$A$4,0)))</f>
        <v>0.58641975308642</v>
      </c>
      <c r="H9" s="11" t="n">
        <f aca="false">COUNTIFS(打擊成績!$A$2:$A$901,$A9,打擊成績!$D$2:$D$901,$B9)</f>
        <v>10</v>
      </c>
      <c r="I9" s="13" t="n">
        <f aca="false">SUMIFS(打擊成績!$J$2:$J$901,打擊成績!$A$2:$A$901,$A9,打擊成績!$D$2:$D$901,$B9)</f>
        <v>5170</v>
      </c>
      <c r="J9" s="13" t="n">
        <f aca="false">SUMIFS(打擊成績!$K$2:$K$901,打擊成績!$A$2:$A$901,$A9,打擊成績!$D$2:$D$901,$B9)</f>
        <v>4664</v>
      </c>
      <c r="K9" s="13" t="n">
        <f aca="false">SUMIFS(打擊成績!$M$2:$M$901,打擊成績!$A$2:$A$901,$A9,打擊成績!$D$2:$D$901,$B9)</f>
        <v>1183</v>
      </c>
      <c r="L9" s="13" t="n">
        <f aca="false">SUMIFS(打擊成績!$X$2:$X$901,打擊成績!$A$2:$A$901,$A9,打擊成績!$D$2:$D$901,$B9)</f>
        <v>2077</v>
      </c>
      <c r="M9" s="13" t="n">
        <f aca="false">SUMIFS(打擊成績!$P$2:$P$901,打擊成績!$A$2:$A$901,$A9,打擊成績!$D$2:$D$901,$B9)</f>
        <v>188</v>
      </c>
      <c r="N9" s="13" t="n">
        <f aca="false">SUMIFS(打擊成績!$Q$2:$Q$901,打擊成績!$A$2:$A$901,$A9,打擊成績!$D$2:$D$901,$B9)</f>
        <v>677</v>
      </c>
      <c r="O9" s="13" t="n">
        <f aca="false">SUMIFS(打擊成績!$V$2:$V$901,打擊成績!$A$2:$A$901,$A9,打擊成績!$D$2:$D$901,$B9)</f>
        <v>152</v>
      </c>
      <c r="P9" s="14" t="n">
        <f aca="false">IF(J9=0,0,K9/J9)</f>
        <v>0.253644939965695</v>
      </c>
      <c r="Q9" s="14" t="n">
        <f aca="false">IF(J9=0,0,L9/J9)</f>
        <v>0.44532590051458</v>
      </c>
      <c r="R9" s="11" t="n">
        <f aca="false">COUNTIFS(投手成績!$A$2:$A$901,$A9,投手成績!$D$2:$D$901,$B9)</f>
        <v>10</v>
      </c>
      <c r="S9" s="13" t="n">
        <f aca="false">SUMIFS(投手成績!$O$2:$O$901,投手成績!$A$2:$A$901,$A9,投手成績!$D$2:$D$901,$B9)</f>
        <v>2978</v>
      </c>
      <c r="T9" s="16" t="n">
        <f aca="false">S9/3</f>
        <v>992.666666666667</v>
      </c>
      <c r="U9" s="13" t="n">
        <f aca="false">SUMIFS(投手成績!$W$2:$W$901,投手成績!$A$2:$A$901,$A9,投手成績!$D$2:$D$901,$B9)</f>
        <v>993</v>
      </c>
      <c r="V9" s="13" t="n">
        <f aca="false">SUMIFS(投手成績!$T$2:$T$901,投手成績!$A$2:$A$901,$A9,投手成績!$D$2:$D$901,$B9)</f>
        <v>527</v>
      </c>
      <c r="W9" s="18" t="n">
        <f aca="false">IF(S9=0,0,V9*27/S9)</f>
        <v>4.77803895231699</v>
      </c>
      <c r="X9" s="18" t="n">
        <f aca="false">IF(S9=0,0,U9*27/S9)</f>
        <v>9.00302216252518</v>
      </c>
    </row>
    <row r="10" customFormat="false" ht="15" hidden="false" customHeight="false" outlineLevel="0" collapsed="false">
      <c r="A10" s="5" t="n">
        <v>2024</v>
      </c>
      <c r="B10" s="7" t="s">
        <v>375</v>
      </c>
      <c r="C10" s="10" t="str">
        <f aca="false">INDEX(球隊主檔!$C$2:$C$31,MATCH($B10,球隊主檔!$A$2:$A$31,0))</f>
        <v>堪薩斯市皇家</v>
      </c>
      <c r="D10" s="10" t="str">
        <f aca="false">INDEX(球隊主檔!$D$2:$D$31,MATCH($B10,球隊主檔!$A$2:$A$31,0))</f>
        <v>美聯</v>
      </c>
      <c r="E10" s="10" t="str">
        <f aca="false">INDEX(球隊主檔!$E$2:$E$31,MATCH($B10,球隊主檔!$A$2:$A$31,0))</f>
        <v>美中</v>
      </c>
      <c r="F10" s="19" t="n">
        <f aca="false">SUMIFS(球隊戰績!$F$2:$F$91,球隊戰績!$A$2:$A$91,$A10,球隊戰績!$B$2:$B$91,$B10)</f>
        <v>83</v>
      </c>
      <c r="G10" s="14" t="n">
        <f aca="false">IF(INDEX(球季參數!$B$2:$B$4,MATCH($A10,球季參數!$A$2:$A$4,0))=0,0,F10/INDEX(球季參數!$B$2:$B$4,MATCH($A10,球季參數!$A$2:$A$4,0)))</f>
        <v>0.512345679012346</v>
      </c>
      <c r="H10" s="11" t="n">
        <f aca="false">COUNTIFS(打擊成績!$A$2:$A$901,$A10,打擊成績!$D$2:$D$901,$B10)</f>
        <v>10</v>
      </c>
      <c r="I10" s="13" t="n">
        <f aca="false">SUMIFS(打擊成績!$J$2:$J$901,打擊成績!$A$2:$A$901,$A10,打擊成績!$D$2:$D$901,$B10)</f>
        <v>4234</v>
      </c>
      <c r="J10" s="13" t="n">
        <f aca="false">SUMIFS(打擊成績!$K$2:$K$901,打擊成績!$A$2:$A$901,$A10,打擊成績!$D$2:$D$901,$B10)</f>
        <v>3817</v>
      </c>
      <c r="K10" s="13" t="n">
        <f aca="false">SUMIFS(打擊成績!$M$2:$M$901,打擊成績!$A$2:$A$901,$A10,打擊成績!$D$2:$D$901,$B10)</f>
        <v>953</v>
      </c>
      <c r="L10" s="13" t="n">
        <f aca="false">SUMIFS(打擊成績!$X$2:$X$901,打擊成績!$A$2:$A$901,$A10,打擊成績!$D$2:$D$901,$B10)</f>
        <v>1718</v>
      </c>
      <c r="M10" s="13" t="n">
        <f aca="false">SUMIFS(打擊成績!$P$2:$P$901,打擊成績!$A$2:$A$901,$A10,打擊成績!$D$2:$D$901,$B10)</f>
        <v>130</v>
      </c>
      <c r="N10" s="13" t="n">
        <f aca="false">SUMIFS(打擊成績!$Q$2:$Q$901,打擊成績!$A$2:$A$901,$A10,打擊成績!$D$2:$D$901,$B10)</f>
        <v>489</v>
      </c>
      <c r="O10" s="13" t="n">
        <f aca="false">SUMIFS(打擊成績!$V$2:$V$901,打擊成績!$A$2:$A$901,$A10,打擊成績!$D$2:$D$901,$B10)</f>
        <v>90</v>
      </c>
      <c r="P10" s="14" t="n">
        <f aca="false">IF(J10=0,0,K10/J10)</f>
        <v>0.249672517684045</v>
      </c>
      <c r="Q10" s="14" t="n">
        <f aca="false">IF(J10=0,0,L10/J10)</f>
        <v>0.450091695048467</v>
      </c>
      <c r="R10" s="11" t="n">
        <f aca="false">COUNTIFS(投手成績!$A$2:$A$901,$A10,投手成績!$D$2:$D$901,$B10)</f>
        <v>10</v>
      </c>
      <c r="S10" s="13" t="n">
        <f aca="false">SUMIFS(投手成績!$O$2:$O$901,投手成績!$A$2:$A$901,$A10,投手成績!$D$2:$D$901,$B10)</f>
        <v>3282</v>
      </c>
      <c r="T10" s="16" t="n">
        <f aca="false">S10/3</f>
        <v>1094</v>
      </c>
      <c r="U10" s="13" t="n">
        <f aca="false">SUMIFS(投手成績!$W$2:$W$901,投手成績!$A$2:$A$901,$A10,投手成績!$D$2:$D$901,$B10)</f>
        <v>1079</v>
      </c>
      <c r="V10" s="13" t="n">
        <f aca="false">SUMIFS(投手成績!$T$2:$T$901,投手成績!$A$2:$A$901,$A10,投手成績!$D$2:$D$901,$B10)</f>
        <v>486</v>
      </c>
      <c r="W10" s="18" t="n">
        <f aca="false">IF(S10=0,0,V10*27/S10)</f>
        <v>3.9981718464351</v>
      </c>
      <c r="X10" s="18" t="n">
        <f aca="false">IF(S10=0,0,U10*27/S10)</f>
        <v>8.87659963436929</v>
      </c>
    </row>
    <row r="11" customFormat="false" ht="15" hidden="false" customHeight="false" outlineLevel="0" collapsed="false">
      <c r="A11" s="5" t="n">
        <v>2024</v>
      </c>
      <c r="B11" s="7" t="s">
        <v>379</v>
      </c>
      <c r="C11" s="10" t="str">
        <f aca="false">INDEX(球隊主檔!$C$2:$C$31,MATCH($B11,球隊主檔!$A$2:$A$31,0))</f>
        <v>明尼蘇達雙城</v>
      </c>
      <c r="D11" s="10" t="str">
        <f aca="false">INDEX(球隊主檔!$D$2:$D$31,MATCH($B11,球隊主檔!$A$2:$A$31,0))</f>
        <v>美聯</v>
      </c>
      <c r="E11" s="10" t="str">
        <f aca="false">INDEX(球隊主檔!$E$2:$E$31,MATCH($B11,球隊主檔!$A$2:$A$31,0))</f>
        <v>美中</v>
      </c>
      <c r="F11" s="19" t="n">
        <f aca="false">SUMIFS(球隊戰績!$F$2:$F$91,球隊戰績!$A$2:$A$91,$A11,球隊戰績!$B$2:$B$91,$B11)</f>
        <v>82</v>
      </c>
      <c r="G11" s="14" t="n">
        <f aca="false">IF(INDEX(球季參數!$B$2:$B$4,MATCH($A11,球季參數!$A$2:$A$4,0))=0,0,F11/INDEX(球季參數!$B$2:$B$4,MATCH($A11,球季參數!$A$2:$A$4,0)))</f>
        <v>0.506172839506173</v>
      </c>
      <c r="H11" s="11" t="n">
        <f aca="false">COUNTIFS(打擊成績!$A$2:$A$901,$A11,打擊成績!$D$2:$D$901,$B11)</f>
        <v>10</v>
      </c>
      <c r="I11" s="13" t="n">
        <f aca="false">SUMIFS(打擊成績!$J$2:$J$901,打擊成績!$A$2:$A$901,$A11,打擊成績!$D$2:$D$901,$B11)</f>
        <v>4572</v>
      </c>
      <c r="J11" s="13" t="n">
        <f aca="false">SUMIFS(打擊成績!$K$2:$K$901,打擊成績!$A$2:$A$901,$A11,打擊成績!$D$2:$D$901,$B11)</f>
        <v>4094</v>
      </c>
      <c r="K11" s="13" t="n">
        <f aca="false">SUMIFS(打擊成績!$M$2:$M$901,打擊成績!$A$2:$A$901,$A11,打擊成績!$D$2:$D$901,$B11)</f>
        <v>1015</v>
      </c>
      <c r="L11" s="13" t="n">
        <f aca="false">SUMIFS(打擊成績!$X$2:$X$901,打擊成績!$A$2:$A$901,$A11,打擊成績!$D$2:$D$901,$B11)</f>
        <v>1754</v>
      </c>
      <c r="M11" s="13" t="n">
        <f aca="false">SUMIFS(打擊成績!$P$2:$P$901,打擊成績!$A$2:$A$901,$A11,打擊成績!$D$2:$D$901,$B11)</f>
        <v>152</v>
      </c>
      <c r="N11" s="13" t="n">
        <f aca="false">SUMIFS(打擊成績!$Q$2:$Q$901,打擊成績!$A$2:$A$901,$A11,打擊成績!$D$2:$D$901,$B11)</f>
        <v>530</v>
      </c>
      <c r="O11" s="13" t="n">
        <f aca="false">SUMIFS(打擊成績!$V$2:$V$901,打擊成績!$A$2:$A$901,$A11,打擊成績!$D$2:$D$901,$B11)</f>
        <v>102</v>
      </c>
      <c r="P11" s="14" t="n">
        <f aca="false">IF(J11=0,0,K11/J11)</f>
        <v>0.247923790913532</v>
      </c>
      <c r="Q11" s="14" t="n">
        <f aca="false">IF(J11=0,0,L11/J11)</f>
        <v>0.428431851489985</v>
      </c>
      <c r="R11" s="11" t="n">
        <f aca="false">COUNTIFS(投手成績!$A$2:$A$901,$A11,投手成績!$D$2:$D$901,$B11)</f>
        <v>10</v>
      </c>
      <c r="S11" s="13" t="n">
        <f aca="false">SUMIFS(投手成績!$O$2:$O$901,投手成績!$A$2:$A$901,$A11,投手成績!$D$2:$D$901,$B11)</f>
        <v>3120</v>
      </c>
      <c r="T11" s="16" t="n">
        <f aca="false">S11/3</f>
        <v>1040</v>
      </c>
      <c r="U11" s="13" t="n">
        <f aca="false">SUMIFS(投手成績!$W$2:$W$901,投手成績!$A$2:$A$901,$A11,投手成績!$D$2:$D$901,$B11)</f>
        <v>1154</v>
      </c>
      <c r="V11" s="13" t="n">
        <f aca="false">SUMIFS(投手成績!$T$2:$T$901,投手成績!$A$2:$A$901,$A11,投手成績!$D$2:$D$901,$B11)</f>
        <v>463</v>
      </c>
      <c r="W11" s="18" t="n">
        <f aca="false">IF(S11=0,0,V11*27/S11)</f>
        <v>4.00673076923077</v>
      </c>
      <c r="X11" s="18" t="n">
        <f aca="false">IF(S11=0,0,U11*27/S11)</f>
        <v>9.98653846153846</v>
      </c>
    </row>
    <row r="12" customFormat="false" ht="15" hidden="false" customHeight="false" outlineLevel="0" collapsed="false">
      <c r="A12" s="5" t="n">
        <v>2024</v>
      </c>
      <c r="B12" s="7" t="s">
        <v>383</v>
      </c>
      <c r="C12" s="10" t="str">
        <f aca="false">INDEX(球隊主檔!$C$2:$C$31,MATCH($B12,球隊主檔!$A$2:$A$31,0))</f>
        <v>運動家</v>
      </c>
      <c r="D12" s="10" t="str">
        <f aca="false">INDEX(球隊主檔!$D$2:$D$31,MATCH($B12,球隊主檔!$A$2:$A$31,0))</f>
        <v>美聯</v>
      </c>
      <c r="E12" s="10" t="str">
        <f aca="false">INDEX(球隊主檔!$E$2:$E$31,MATCH($B12,球隊主檔!$A$2:$A$31,0))</f>
        <v>美西</v>
      </c>
      <c r="F12" s="19" t="n">
        <f aca="false">SUMIFS(球隊戰績!$F$2:$F$91,球隊戰績!$A$2:$A$91,$A12,球隊戰績!$B$2:$B$91,$B12)</f>
        <v>79</v>
      </c>
      <c r="G12" s="14" t="n">
        <f aca="false">IF(INDEX(球季參數!$B$2:$B$4,MATCH($A12,球季參數!$A$2:$A$4,0))=0,0,F12/INDEX(球季參數!$B$2:$B$4,MATCH($A12,球季參數!$A$2:$A$4,0)))</f>
        <v>0.487654320987654</v>
      </c>
      <c r="H12" s="11" t="n">
        <f aca="false">COUNTIFS(打擊成績!$A$2:$A$901,$A12,打擊成績!$D$2:$D$901,$B12)</f>
        <v>10</v>
      </c>
      <c r="I12" s="13" t="n">
        <f aca="false">SUMIFS(打擊成績!$J$2:$J$901,打擊成績!$A$2:$A$901,$A12,打擊成績!$D$2:$D$901,$B12)</f>
        <v>4802</v>
      </c>
      <c r="J12" s="13" t="n">
        <f aca="false">SUMIFS(打擊成績!$K$2:$K$901,打擊成績!$A$2:$A$901,$A12,打擊成績!$D$2:$D$901,$B12)</f>
        <v>4251</v>
      </c>
      <c r="K12" s="13" t="n">
        <f aca="false">SUMIFS(打擊成績!$M$2:$M$901,打擊成績!$A$2:$A$901,$A12,打擊成績!$D$2:$D$901,$B12)</f>
        <v>1095</v>
      </c>
      <c r="L12" s="13" t="n">
        <f aca="false">SUMIFS(打擊成績!$X$2:$X$901,打擊成績!$A$2:$A$901,$A12,打擊成績!$D$2:$D$901,$B12)</f>
        <v>1892</v>
      </c>
      <c r="M12" s="13" t="n">
        <f aca="false">SUMIFS(打擊成績!$P$2:$P$901,打擊成績!$A$2:$A$901,$A12,打擊成績!$D$2:$D$901,$B12)</f>
        <v>175</v>
      </c>
      <c r="N12" s="13" t="n">
        <f aca="false">SUMIFS(打擊成績!$Q$2:$Q$901,打擊成績!$A$2:$A$901,$A12,打擊成績!$D$2:$D$901,$B12)</f>
        <v>598</v>
      </c>
      <c r="O12" s="13" t="n">
        <f aca="false">SUMIFS(打擊成績!$V$2:$V$901,打擊成績!$A$2:$A$901,$A12,打擊成績!$D$2:$D$901,$B12)</f>
        <v>141</v>
      </c>
      <c r="P12" s="14" t="n">
        <f aca="false">IF(J12=0,0,K12/J12)</f>
        <v>0.257586450247001</v>
      </c>
      <c r="Q12" s="14" t="n">
        <f aca="false">IF(J12=0,0,L12/J12)</f>
        <v>0.445071747824041</v>
      </c>
      <c r="R12" s="11" t="n">
        <f aca="false">COUNTIFS(投手成績!$A$2:$A$901,$A12,投手成績!$D$2:$D$901,$B12)</f>
        <v>10</v>
      </c>
      <c r="S12" s="13" t="n">
        <f aca="false">SUMIFS(投手成績!$O$2:$O$901,投手成績!$A$2:$A$901,$A12,投手成績!$D$2:$D$901,$B12)</f>
        <v>3009</v>
      </c>
      <c r="T12" s="16" t="n">
        <f aca="false">S12/3</f>
        <v>1003</v>
      </c>
      <c r="U12" s="13" t="n">
        <f aca="false">SUMIFS(投手成績!$W$2:$W$901,投手成績!$A$2:$A$901,$A12,投手成績!$D$2:$D$901,$B12)</f>
        <v>987</v>
      </c>
      <c r="V12" s="13" t="n">
        <f aca="false">SUMIFS(投手成績!$T$2:$T$901,投手成績!$A$2:$A$901,$A12,投手成績!$D$2:$D$901,$B12)</f>
        <v>505</v>
      </c>
      <c r="W12" s="18" t="n">
        <f aca="false">IF(S12=0,0,V12*27/S12)</f>
        <v>4.53140578265204</v>
      </c>
      <c r="X12" s="18" t="n">
        <f aca="false">IF(S12=0,0,U12*27/S12)</f>
        <v>8.85643070787637</v>
      </c>
    </row>
    <row r="13" customFormat="false" ht="15" hidden="false" customHeight="false" outlineLevel="0" collapsed="false">
      <c r="A13" s="5" t="n">
        <v>2024</v>
      </c>
      <c r="B13" s="7" t="s">
        <v>388</v>
      </c>
      <c r="C13" s="10" t="str">
        <f aca="false">INDEX(球隊主檔!$C$2:$C$31,MATCH($B13,球隊主檔!$A$2:$A$31,0))</f>
        <v>休士頓太空人</v>
      </c>
      <c r="D13" s="10" t="str">
        <f aca="false">INDEX(球隊主檔!$D$2:$D$31,MATCH($B13,球隊主檔!$A$2:$A$31,0))</f>
        <v>美聯</v>
      </c>
      <c r="E13" s="10" t="str">
        <f aca="false">INDEX(球隊主檔!$E$2:$E$31,MATCH($B13,球隊主檔!$A$2:$A$31,0))</f>
        <v>美西</v>
      </c>
      <c r="F13" s="19" t="n">
        <f aca="false">SUMIFS(球隊戰績!$F$2:$F$91,球隊戰績!$A$2:$A$91,$A13,球隊戰績!$B$2:$B$91,$B13)</f>
        <v>99</v>
      </c>
      <c r="G13" s="14" t="n">
        <f aca="false">IF(INDEX(球季參數!$B$2:$B$4,MATCH($A13,球季參數!$A$2:$A$4,0))=0,0,F13/INDEX(球季參數!$B$2:$B$4,MATCH($A13,球季參數!$A$2:$A$4,0)))</f>
        <v>0.611111111111111</v>
      </c>
      <c r="H13" s="11" t="n">
        <f aca="false">COUNTIFS(打擊成績!$A$2:$A$901,$A13,打擊成績!$D$2:$D$901,$B13)</f>
        <v>10</v>
      </c>
      <c r="I13" s="13" t="n">
        <f aca="false">SUMIFS(打擊成績!$J$2:$J$901,打擊成績!$A$2:$A$901,$A13,打擊成績!$D$2:$D$901,$B13)</f>
        <v>4926</v>
      </c>
      <c r="J13" s="13" t="n">
        <f aca="false">SUMIFS(打擊成績!$K$2:$K$901,打擊成績!$A$2:$A$901,$A13,打擊成績!$D$2:$D$901,$B13)</f>
        <v>4567</v>
      </c>
      <c r="K13" s="13" t="n">
        <f aca="false">SUMIFS(打擊成績!$M$2:$M$901,打擊成績!$A$2:$A$901,$A13,打擊成績!$D$2:$D$901,$B13)</f>
        <v>1109</v>
      </c>
      <c r="L13" s="13" t="n">
        <f aca="false">SUMIFS(打擊成績!$X$2:$X$901,打擊成績!$A$2:$A$901,$A13,打擊成績!$D$2:$D$901,$B13)</f>
        <v>1895</v>
      </c>
      <c r="M13" s="13" t="n">
        <f aca="false">SUMIFS(打擊成績!$P$2:$P$901,打擊成績!$A$2:$A$901,$A13,打擊成績!$D$2:$D$901,$B13)</f>
        <v>139</v>
      </c>
      <c r="N13" s="13" t="n">
        <f aca="false">SUMIFS(打擊成績!$Q$2:$Q$901,打擊成績!$A$2:$A$901,$A13,打擊成績!$D$2:$D$901,$B13)</f>
        <v>535</v>
      </c>
      <c r="O13" s="13" t="n">
        <f aca="false">SUMIFS(打擊成績!$V$2:$V$901,打擊成績!$A$2:$A$901,$A13,打擊成績!$D$2:$D$901,$B13)</f>
        <v>71</v>
      </c>
      <c r="P13" s="14" t="n">
        <f aca="false">IF(J13=0,0,K13/J13)</f>
        <v>0.242828990584629</v>
      </c>
      <c r="Q13" s="14" t="n">
        <f aca="false">IF(J13=0,0,L13/J13)</f>
        <v>0.414933216553536</v>
      </c>
      <c r="R13" s="11" t="n">
        <f aca="false">COUNTIFS(投手成績!$A$2:$A$901,$A13,投手成績!$D$2:$D$901,$B13)</f>
        <v>10</v>
      </c>
      <c r="S13" s="13" t="n">
        <f aca="false">SUMIFS(投手成績!$O$2:$O$901,投手成績!$A$2:$A$901,$A13,投手成績!$D$2:$D$901,$B13)</f>
        <v>3262</v>
      </c>
      <c r="T13" s="16" t="n">
        <f aca="false">S13/3</f>
        <v>1087.33333333333</v>
      </c>
      <c r="U13" s="13" t="n">
        <f aca="false">SUMIFS(投手成績!$W$2:$W$901,投手成績!$A$2:$A$901,$A13,投手成績!$D$2:$D$901,$B13)</f>
        <v>1147</v>
      </c>
      <c r="V13" s="13" t="n">
        <f aca="false">SUMIFS(投手成績!$T$2:$T$901,投手成績!$A$2:$A$901,$A13,投手成績!$D$2:$D$901,$B13)</f>
        <v>517</v>
      </c>
      <c r="W13" s="18" t="n">
        <f aca="false">IF(S13=0,0,V13*27/S13)</f>
        <v>4.27927651747394</v>
      </c>
      <c r="X13" s="18" t="n">
        <f aca="false">IF(S13=0,0,U13*27/S13)</f>
        <v>9.49386879215205</v>
      </c>
    </row>
    <row r="14" customFormat="false" ht="15" hidden="false" customHeight="false" outlineLevel="0" collapsed="false">
      <c r="A14" s="5" t="n">
        <v>2024</v>
      </c>
      <c r="B14" s="7" t="s">
        <v>392</v>
      </c>
      <c r="C14" s="10" t="str">
        <f aca="false">INDEX(球隊主檔!$C$2:$C$31,MATCH($B14,球隊主檔!$A$2:$A$31,0))</f>
        <v>洛杉磯天使</v>
      </c>
      <c r="D14" s="10" t="str">
        <f aca="false">INDEX(球隊主檔!$D$2:$D$31,MATCH($B14,球隊主檔!$A$2:$A$31,0))</f>
        <v>美聯</v>
      </c>
      <c r="E14" s="10" t="str">
        <f aca="false">INDEX(球隊主檔!$E$2:$E$31,MATCH($B14,球隊主檔!$A$2:$A$31,0))</f>
        <v>美西</v>
      </c>
      <c r="F14" s="19" t="n">
        <f aca="false">SUMIFS(球隊戰績!$F$2:$F$91,球隊戰績!$A$2:$A$91,$A14,球隊戰績!$B$2:$B$91,$B14)</f>
        <v>71</v>
      </c>
      <c r="G14" s="14" t="n">
        <f aca="false">IF(INDEX(球季參數!$B$2:$B$4,MATCH($A14,球季參數!$A$2:$A$4,0))=0,0,F14/INDEX(球季參數!$B$2:$B$4,MATCH($A14,球季參數!$A$2:$A$4,0)))</f>
        <v>0.438271604938272</v>
      </c>
      <c r="H14" s="11" t="n">
        <f aca="false">COUNTIFS(打擊成績!$A$2:$A$901,$A14,打擊成績!$D$2:$D$901,$B14)</f>
        <v>10</v>
      </c>
      <c r="I14" s="13" t="n">
        <f aca="false">SUMIFS(打擊成績!$J$2:$J$901,打擊成績!$A$2:$A$901,$A14,打擊成績!$D$2:$D$901,$B14)</f>
        <v>4955</v>
      </c>
      <c r="J14" s="13" t="n">
        <f aca="false">SUMIFS(打擊成績!$K$2:$K$901,打擊成績!$A$2:$A$901,$A14,打擊成績!$D$2:$D$901,$B14)</f>
        <v>4433</v>
      </c>
      <c r="K14" s="13" t="n">
        <f aca="false">SUMIFS(打擊成績!$M$2:$M$901,打擊成績!$A$2:$A$901,$A14,打擊成績!$D$2:$D$901,$B14)</f>
        <v>1110</v>
      </c>
      <c r="L14" s="13" t="n">
        <f aca="false">SUMIFS(打擊成績!$X$2:$X$901,打擊成績!$A$2:$A$901,$A14,打擊成績!$D$2:$D$901,$B14)</f>
        <v>1799</v>
      </c>
      <c r="M14" s="13" t="n">
        <f aca="false">SUMIFS(打擊成績!$P$2:$P$901,打擊成績!$A$2:$A$901,$A14,打擊成績!$D$2:$D$901,$B14)</f>
        <v>113</v>
      </c>
      <c r="N14" s="13" t="n">
        <f aca="false">SUMIFS(打擊成績!$Q$2:$Q$901,打擊成績!$A$2:$A$901,$A14,打擊成績!$D$2:$D$901,$B14)</f>
        <v>455</v>
      </c>
      <c r="O14" s="13" t="n">
        <f aca="false">SUMIFS(打擊成績!$V$2:$V$901,打擊成績!$A$2:$A$901,$A14,打擊成績!$D$2:$D$901,$B14)</f>
        <v>159</v>
      </c>
      <c r="P14" s="14" t="n">
        <f aca="false">IF(J14=0,0,K14/J14)</f>
        <v>0.250394766523799</v>
      </c>
      <c r="Q14" s="14" t="n">
        <f aca="false">IF(J14=0,0,L14/J14)</f>
        <v>0.405819986465148</v>
      </c>
      <c r="R14" s="11" t="n">
        <f aca="false">COUNTIFS(投手成績!$A$2:$A$901,$A14,投手成績!$D$2:$D$901,$B14)</f>
        <v>10</v>
      </c>
      <c r="S14" s="13" t="n">
        <f aca="false">SUMIFS(投手成績!$O$2:$O$901,投手成績!$A$2:$A$901,$A14,投手成績!$D$2:$D$901,$B14)</f>
        <v>2988</v>
      </c>
      <c r="T14" s="16" t="n">
        <f aca="false">S14/3</f>
        <v>996</v>
      </c>
      <c r="U14" s="13" t="n">
        <f aca="false">SUMIFS(投手成績!$W$2:$W$901,投手成績!$A$2:$A$901,$A14,投手成績!$D$2:$D$901,$B14)</f>
        <v>913</v>
      </c>
      <c r="V14" s="13" t="n">
        <f aca="false">SUMIFS(投手成績!$T$2:$T$901,投手成績!$A$2:$A$901,$A14,投手成績!$D$2:$D$901,$B14)</f>
        <v>401</v>
      </c>
      <c r="W14" s="18" t="n">
        <f aca="false">IF(S14=0,0,V14*27/S14)</f>
        <v>3.62349397590361</v>
      </c>
      <c r="X14" s="18" t="n">
        <f aca="false">IF(S14=0,0,U14*27/S14)</f>
        <v>8.25</v>
      </c>
    </row>
    <row r="15" customFormat="false" ht="15" hidden="false" customHeight="false" outlineLevel="0" collapsed="false">
      <c r="A15" s="5" t="n">
        <v>2024</v>
      </c>
      <c r="B15" s="7" t="s">
        <v>396</v>
      </c>
      <c r="C15" s="10" t="str">
        <f aca="false">INDEX(球隊主檔!$C$2:$C$31,MATCH($B15,球隊主檔!$A$2:$A$31,0))</f>
        <v>西雅圖水手</v>
      </c>
      <c r="D15" s="10" t="str">
        <f aca="false">INDEX(球隊主檔!$D$2:$D$31,MATCH($B15,球隊主檔!$A$2:$A$31,0))</f>
        <v>美聯</v>
      </c>
      <c r="E15" s="10" t="str">
        <f aca="false">INDEX(球隊主檔!$E$2:$E$31,MATCH($B15,球隊主檔!$A$2:$A$31,0))</f>
        <v>美西</v>
      </c>
      <c r="F15" s="19" t="n">
        <f aca="false">SUMIFS(球隊戰績!$F$2:$F$91,球隊戰績!$A$2:$A$91,$A15,球隊戰績!$B$2:$B$91,$B15)</f>
        <v>73</v>
      </c>
      <c r="G15" s="14" t="n">
        <f aca="false">IF(INDEX(球季參數!$B$2:$B$4,MATCH($A15,球季參數!$A$2:$A$4,0))=0,0,F15/INDEX(球季參數!$B$2:$B$4,MATCH($A15,球季參數!$A$2:$A$4,0)))</f>
        <v>0.450617283950617</v>
      </c>
      <c r="H15" s="11" t="n">
        <f aca="false">COUNTIFS(打擊成績!$A$2:$A$901,$A15,打擊成績!$D$2:$D$901,$B15)</f>
        <v>10</v>
      </c>
      <c r="I15" s="13" t="n">
        <f aca="false">SUMIFS(打擊成績!$J$2:$J$901,打擊成績!$A$2:$A$901,$A15,打擊成績!$D$2:$D$901,$B15)</f>
        <v>4844</v>
      </c>
      <c r="J15" s="13" t="n">
        <f aca="false">SUMIFS(打擊成績!$K$2:$K$901,打擊成績!$A$2:$A$901,$A15,打擊成績!$D$2:$D$901,$B15)</f>
        <v>4398</v>
      </c>
      <c r="K15" s="13" t="n">
        <f aca="false">SUMIFS(打擊成績!$M$2:$M$901,打擊成績!$A$2:$A$901,$A15,打擊成績!$D$2:$D$901,$B15)</f>
        <v>1074</v>
      </c>
      <c r="L15" s="13" t="n">
        <f aca="false">SUMIFS(打擊成績!$X$2:$X$901,打擊成績!$A$2:$A$901,$A15,打擊成績!$D$2:$D$901,$B15)</f>
        <v>1949</v>
      </c>
      <c r="M15" s="13" t="n">
        <f aca="false">SUMIFS(打擊成績!$P$2:$P$901,打擊成績!$A$2:$A$901,$A15,打擊成績!$D$2:$D$901,$B15)</f>
        <v>179</v>
      </c>
      <c r="N15" s="13" t="n">
        <f aca="false">SUMIFS(打擊成績!$Q$2:$Q$901,打擊成績!$A$2:$A$901,$A15,打擊成績!$D$2:$D$901,$B15)</f>
        <v>618</v>
      </c>
      <c r="O15" s="13" t="n">
        <f aca="false">SUMIFS(打擊成績!$V$2:$V$901,打擊成績!$A$2:$A$901,$A15,打擊成績!$D$2:$D$901,$B15)</f>
        <v>170</v>
      </c>
      <c r="P15" s="14" t="n">
        <f aca="false">IF(J15=0,0,K15/J15)</f>
        <v>0.244201909959072</v>
      </c>
      <c r="Q15" s="14" t="n">
        <f aca="false">IF(J15=0,0,L15/J15)</f>
        <v>0.443155979990905</v>
      </c>
      <c r="R15" s="11" t="n">
        <f aca="false">COUNTIFS(投手成績!$A$2:$A$901,$A15,投手成績!$D$2:$D$901,$B15)</f>
        <v>10</v>
      </c>
      <c r="S15" s="13" t="n">
        <f aca="false">SUMIFS(投手成績!$O$2:$O$901,投手成績!$A$2:$A$901,$A15,投手成績!$D$2:$D$901,$B15)</f>
        <v>3010</v>
      </c>
      <c r="T15" s="16" t="n">
        <f aca="false">S15/3</f>
        <v>1003.33333333333</v>
      </c>
      <c r="U15" s="13" t="n">
        <f aca="false">SUMIFS(投手成績!$W$2:$W$901,投手成績!$A$2:$A$901,$A15,投手成績!$D$2:$D$901,$B15)</f>
        <v>1038</v>
      </c>
      <c r="V15" s="13" t="n">
        <f aca="false">SUMIFS(投手成績!$T$2:$T$901,投手成績!$A$2:$A$901,$A15,投手成績!$D$2:$D$901,$B15)</f>
        <v>457</v>
      </c>
      <c r="W15" s="18" t="n">
        <f aca="false">IF(S15=0,0,V15*27/S15)</f>
        <v>4.09933554817276</v>
      </c>
      <c r="X15" s="18" t="n">
        <f aca="false">IF(S15=0,0,U15*27/S15)</f>
        <v>9.3109634551495</v>
      </c>
    </row>
    <row r="16" customFormat="false" ht="15" hidden="false" customHeight="false" outlineLevel="0" collapsed="false">
      <c r="A16" s="5" t="n">
        <v>2024</v>
      </c>
      <c r="B16" s="7" t="s">
        <v>400</v>
      </c>
      <c r="C16" s="10" t="str">
        <f aca="false">INDEX(球隊主檔!$C$2:$C$31,MATCH($B16,球隊主檔!$A$2:$A$31,0))</f>
        <v>德州遊騎兵</v>
      </c>
      <c r="D16" s="10" t="str">
        <f aca="false">INDEX(球隊主檔!$D$2:$D$31,MATCH($B16,球隊主檔!$A$2:$A$31,0))</f>
        <v>美聯</v>
      </c>
      <c r="E16" s="10" t="str">
        <f aca="false">INDEX(球隊主檔!$E$2:$E$31,MATCH($B16,球隊主檔!$A$2:$A$31,0))</f>
        <v>美西</v>
      </c>
      <c r="F16" s="19" t="n">
        <f aca="false">SUMIFS(球隊戰績!$F$2:$F$91,球隊戰績!$A$2:$A$91,$A16,球隊戰績!$B$2:$B$91,$B16)</f>
        <v>81</v>
      </c>
      <c r="G16" s="14" t="n">
        <f aca="false">IF(INDEX(球季參數!$B$2:$B$4,MATCH($A16,球季參數!$A$2:$A$4,0))=0,0,F16/INDEX(球季參數!$B$2:$B$4,MATCH($A16,球季參數!$A$2:$A$4,0)))</f>
        <v>0.5</v>
      </c>
      <c r="H16" s="11" t="n">
        <f aca="false">COUNTIFS(打擊成績!$A$2:$A$901,$A16,打擊成績!$D$2:$D$901,$B16)</f>
        <v>10</v>
      </c>
      <c r="I16" s="13" t="n">
        <f aca="false">SUMIFS(打擊成績!$J$2:$J$901,打擊成績!$A$2:$A$901,$A16,打擊成績!$D$2:$D$901,$B16)</f>
        <v>4641</v>
      </c>
      <c r="J16" s="13" t="n">
        <f aca="false">SUMIFS(打擊成績!$K$2:$K$901,打擊成績!$A$2:$A$901,$A16,打擊成績!$D$2:$D$901,$B16)</f>
        <v>4070</v>
      </c>
      <c r="K16" s="13" t="n">
        <f aca="false">SUMIFS(打擊成績!$M$2:$M$901,打擊成績!$A$2:$A$901,$A16,打擊成績!$D$2:$D$901,$B16)</f>
        <v>1056</v>
      </c>
      <c r="L16" s="13" t="n">
        <f aca="false">SUMIFS(打擊成績!$X$2:$X$901,打擊成績!$A$2:$A$901,$A16,打擊成績!$D$2:$D$901,$B16)</f>
        <v>1896</v>
      </c>
      <c r="M16" s="13" t="n">
        <f aca="false">SUMIFS(打擊成績!$P$2:$P$901,打擊成績!$A$2:$A$901,$A16,打擊成績!$D$2:$D$901,$B16)</f>
        <v>156</v>
      </c>
      <c r="N16" s="13" t="n">
        <f aca="false">SUMIFS(打擊成績!$Q$2:$Q$901,打擊成績!$A$2:$A$901,$A16,打擊成績!$D$2:$D$901,$B16)</f>
        <v>560</v>
      </c>
      <c r="O16" s="13" t="n">
        <f aca="false">SUMIFS(打擊成績!$V$2:$V$901,打擊成績!$A$2:$A$901,$A16,打擊成績!$D$2:$D$901,$B16)</f>
        <v>156</v>
      </c>
      <c r="P16" s="14" t="n">
        <f aca="false">IF(J16=0,0,K16/J16)</f>
        <v>0.25945945945946</v>
      </c>
      <c r="Q16" s="14" t="n">
        <f aca="false">IF(J16=0,0,L16/J16)</f>
        <v>0.465847665847666</v>
      </c>
      <c r="R16" s="11" t="n">
        <f aca="false">COUNTIFS(投手成績!$A$2:$A$901,$A16,投手成績!$D$2:$D$901,$B16)</f>
        <v>10</v>
      </c>
      <c r="S16" s="13" t="n">
        <f aca="false">SUMIFS(投手成績!$O$2:$O$901,投手成績!$A$2:$A$901,$A16,投手成績!$D$2:$D$901,$B16)</f>
        <v>3293</v>
      </c>
      <c r="T16" s="16" t="n">
        <f aca="false">S16/3</f>
        <v>1097.66666666667</v>
      </c>
      <c r="U16" s="13" t="n">
        <f aca="false">SUMIFS(投手成績!$W$2:$W$901,投手成績!$A$2:$A$901,$A16,投手成績!$D$2:$D$901,$B16)</f>
        <v>1033</v>
      </c>
      <c r="V16" s="13" t="n">
        <f aca="false">SUMIFS(投手成績!$T$2:$T$901,投手成績!$A$2:$A$901,$A16,投手成績!$D$2:$D$901,$B16)</f>
        <v>539</v>
      </c>
      <c r="W16" s="18" t="n">
        <f aca="false">IF(S16=0,0,V16*27/S16)</f>
        <v>4.41937443061039</v>
      </c>
      <c r="X16" s="18" t="n">
        <f aca="false">IF(S16=0,0,U16*27/S16)</f>
        <v>8.46978439113271</v>
      </c>
    </row>
    <row r="17" customFormat="false" ht="15" hidden="false" customHeight="false" outlineLevel="0" collapsed="false">
      <c r="A17" s="5" t="n">
        <v>2024</v>
      </c>
      <c r="B17" s="7" t="s">
        <v>404</v>
      </c>
      <c r="C17" s="10" t="str">
        <f aca="false">INDEX(球隊主檔!$C$2:$C$31,MATCH($B17,球隊主檔!$A$2:$A$31,0))</f>
        <v>亞特蘭大勇士</v>
      </c>
      <c r="D17" s="10" t="str">
        <f aca="false">INDEX(球隊主檔!$D$2:$D$31,MATCH($B17,球隊主檔!$A$2:$A$31,0))</f>
        <v>國聯</v>
      </c>
      <c r="E17" s="10" t="str">
        <f aca="false">INDEX(球隊主檔!$E$2:$E$31,MATCH($B17,球隊主檔!$A$2:$A$31,0))</f>
        <v>國東</v>
      </c>
      <c r="F17" s="19" t="n">
        <f aca="false">SUMIFS(球隊戰績!$F$2:$F$91,球隊戰績!$A$2:$A$91,$A17,球隊戰績!$B$2:$B$91,$B17)</f>
        <v>79</v>
      </c>
      <c r="G17" s="14" t="n">
        <f aca="false">IF(INDEX(球季參數!$B$2:$B$4,MATCH($A17,球季參數!$A$2:$A$4,0))=0,0,F17/INDEX(球季參數!$B$2:$B$4,MATCH($A17,球季參數!$A$2:$A$4,0)))</f>
        <v>0.487654320987654</v>
      </c>
      <c r="H17" s="11" t="n">
        <f aca="false">COUNTIFS(打擊成績!$A$2:$A$901,$A17,打擊成績!$D$2:$D$901,$B17)</f>
        <v>10</v>
      </c>
      <c r="I17" s="13" t="n">
        <f aca="false">SUMIFS(打擊成績!$J$2:$J$901,打擊成績!$A$2:$A$901,$A17,打擊成績!$D$2:$D$901,$B17)</f>
        <v>5087</v>
      </c>
      <c r="J17" s="13" t="n">
        <f aca="false">SUMIFS(打擊成績!$K$2:$K$901,打擊成績!$A$2:$A$901,$A17,打擊成績!$D$2:$D$901,$B17)</f>
        <v>4530</v>
      </c>
      <c r="K17" s="13" t="n">
        <f aca="false">SUMIFS(打擊成績!$M$2:$M$901,打擊成績!$A$2:$A$901,$A17,打擊成績!$D$2:$D$901,$B17)</f>
        <v>1101</v>
      </c>
      <c r="L17" s="13" t="n">
        <f aca="false">SUMIFS(打擊成績!$X$2:$X$901,打擊成績!$A$2:$A$901,$A17,打擊成績!$D$2:$D$901,$B17)</f>
        <v>1897</v>
      </c>
      <c r="M17" s="13" t="n">
        <f aca="false">SUMIFS(打擊成績!$P$2:$P$901,打擊成績!$A$2:$A$901,$A17,打擊成績!$D$2:$D$901,$B17)</f>
        <v>135</v>
      </c>
      <c r="N17" s="13" t="n">
        <f aca="false">SUMIFS(打擊成績!$Q$2:$Q$901,打擊成績!$A$2:$A$901,$A17,打擊成績!$D$2:$D$901,$B17)</f>
        <v>518</v>
      </c>
      <c r="O17" s="13" t="n">
        <f aca="false">SUMIFS(打擊成績!$V$2:$V$901,打擊成績!$A$2:$A$901,$A17,打擊成績!$D$2:$D$901,$B17)</f>
        <v>127</v>
      </c>
      <c r="P17" s="14" t="n">
        <f aca="false">IF(J17=0,0,K17/J17)</f>
        <v>0.243046357615894</v>
      </c>
      <c r="Q17" s="14" t="n">
        <f aca="false">IF(J17=0,0,L17/J17)</f>
        <v>0.418763796909492</v>
      </c>
      <c r="R17" s="11" t="n">
        <f aca="false">COUNTIFS(投手成績!$A$2:$A$901,$A17,投手成績!$D$2:$D$901,$B17)</f>
        <v>10</v>
      </c>
      <c r="S17" s="13" t="n">
        <f aca="false">SUMIFS(投手成績!$O$2:$O$901,投手成績!$A$2:$A$901,$A17,投手成績!$D$2:$D$901,$B17)</f>
        <v>2501</v>
      </c>
      <c r="T17" s="16" t="n">
        <f aca="false">S17/3</f>
        <v>833.666666666667</v>
      </c>
      <c r="U17" s="13" t="n">
        <f aca="false">SUMIFS(投手成績!$W$2:$W$901,投手成績!$A$2:$A$901,$A17,投手成績!$D$2:$D$901,$B17)</f>
        <v>789</v>
      </c>
      <c r="V17" s="13" t="n">
        <f aca="false">SUMIFS(投手成績!$T$2:$T$901,投手成績!$A$2:$A$901,$A17,投手成績!$D$2:$D$901,$B17)</f>
        <v>359</v>
      </c>
      <c r="W17" s="18" t="n">
        <f aca="false">IF(S17=0,0,V17*27/S17)</f>
        <v>3.87564974010396</v>
      </c>
      <c r="X17" s="18" t="n">
        <f aca="false">IF(S17=0,0,U17*27/S17)</f>
        <v>8.51779288284686</v>
      </c>
    </row>
    <row r="18" customFormat="false" ht="15" hidden="false" customHeight="false" outlineLevel="0" collapsed="false">
      <c r="A18" s="5" t="n">
        <v>2024</v>
      </c>
      <c r="B18" s="7" t="s">
        <v>410</v>
      </c>
      <c r="C18" s="10" t="str">
        <f aca="false">INDEX(球隊主檔!$C$2:$C$31,MATCH($B18,球隊主檔!$A$2:$A$31,0))</f>
        <v>邁阿密馬林魚</v>
      </c>
      <c r="D18" s="10" t="str">
        <f aca="false">INDEX(球隊主檔!$D$2:$D$31,MATCH($B18,球隊主檔!$A$2:$A$31,0))</f>
        <v>國聯</v>
      </c>
      <c r="E18" s="10" t="str">
        <f aca="false">INDEX(球隊主檔!$E$2:$E$31,MATCH($B18,球隊主檔!$A$2:$A$31,0))</f>
        <v>國東</v>
      </c>
      <c r="F18" s="19" t="n">
        <f aca="false">SUMIFS(球隊戰績!$F$2:$F$91,球隊戰績!$A$2:$A$91,$A18,球隊戰績!$B$2:$B$91,$B18)</f>
        <v>77</v>
      </c>
      <c r="G18" s="14" t="n">
        <f aca="false">IF(INDEX(球季參數!$B$2:$B$4,MATCH($A18,球季參數!$A$2:$A$4,0))=0,0,F18/INDEX(球季參數!$B$2:$B$4,MATCH($A18,球季參數!$A$2:$A$4,0)))</f>
        <v>0.475308641975309</v>
      </c>
      <c r="H18" s="11" t="n">
        <f aca="false">COUNTIFS(打擊成績!$A$2:$A$901,$A18,打擊成績!$D$2:$D$901,$B18)</f>
        <v>10</v>
      </c>
      <c r="I18" s="13" t="n">
        <f aca="false">SUMIFS(打擊成績!$J$2:$J$901,打擊成績!$A$2:$A$901,$A18,打擊成績!$D$2:$D$901,$B18)</f>
        <v>5020</v>
      </c>
      <c r="J18" s="13" t="n">
        <f aca="false">SUMIFS(打擊成績!$K$2:$K$901,打擊成績!$A$2:$A$901,$A18,打擊成績!$D$2:$D$901,$B18)</f>
        <v>4506</v>
      </c>
      <c r="K18" s="13" t="n">
        <f aca="false">SUMIFS(打擊成績!$M$2:$M$901,打擊成績!$A$2:$A$901,$A18,打擊成績!$D$2:$D$901,$B18)</f>
        <v>1063</v>
      </c>
      <c r="L18" s="13" t="n">
        <f aca="false">SUMIFS(打擊成績!$X$2:$X$901,打擊成績!$A$2:$A$901,$A18,打擊成績!$D$2:$D$901,$B18)</f>
        <v>1782</v>
      </c>
      <c r="M18" s="13" t="n">
        <f aca="false">SUMIFS(打擊成績!$P$2:$P$901,打擊成績!$A$2:$A$901,$A18,打擊成績!$D$2:$D$901,$B18)</f>
        <v>119</v>
      </c>
      <c r="N18" s="13" t="n">
        <f aca="false">SUMIFS(打擊成績!$Q$2:$Q$901,打擊成績!$A$2:$A$901,$A18,打擊成績!$D$2:$D$901,$B18)</f>
        <v>492</v>
      </c>
      <c r="O18" s="13" t="n">
        <f aca="false">SUMIFS(打擊成績!$V$2:$V$901,打擊成績!$A$2:$A$901,$A18,打擊成績!$D$2:$D$901,$B18)</f>
        <v>117</v>
      </c>
      <c r="P18" s="14" t="n">
        <f aca="false">IF(J18=0,0,K18/J18)</f>
        <v>0.235907678650688</v>
      </c>
      <c r="Q18" s="14" t="n">
        <f aca="false">IF(J18=0,0,L18/J18)</f>
        <v>0.395472703062583</v>
      </c>
      <c r="R18" s="11" t="n">
        <f aca="false">COUNTIFS(投手成績!$A$2:$A$901,$A18,投手成績!$D$2:$D$901,$B18)</f>
        <v>10</v>
      </c>
      <c r="S18" s="13" t="n">
        <f aca="false">SUMIFS(投手成績!$O$2:$O$901,投手成績!$A$2:$A$901,$A18,投手成績!$D$2:$D$901,$B18)</f>
        <v>2637</v>
      </c>
      <c r="T18" s="16" t="n">
        <f aca="false">S18/3</f>
        <v>879</v>
      </c>
      <c r="U18" s="13" t="n">
        <f aca="false">SUMIFS(投手成績!$W$2:$W$901,投手成績!$A$2:$A$901,$A18,投手成績!$D$2:$D$901,$B18)</f>
        <v>782</v>
      </c>
      <c r="V18" s="13" t="n">
        <f aca="false">SUMIFS(投手成績!$T$2:$T$901,投手成績!$A$2:$A$901,$A18,投手成績!$D$2:$D$901,$B18)</f>
        <v>417</v>
      </c>
      <c r="W18" s="18" t="n">
        <f aca="false">IF(S18=0,0,V18*27/S18)</f>
        <v>4.26962457337884</v>
      </c>
      <c r="X18" s="18" t="n">
        <f aca="false">IF(S18=0,0,U18*27/S18)</f>
        <v>8.00682593856655</v>
      </c>
    </row>
    <row r="19" customFormat="false" ht="15" hidden="false" customHeight="false" outlineLevel="0" collapsed="false">
      <c r="A19" s="5" t="n">
        <v>2024</v>
      </c>
      <c r="B19" s="7" t="s">
        <v>414</v>
      </c>
      <c r="C19" s="10" t="str">
        <f aca="false">INDEX(球隊主檔!$C$2:$C$31,MATCH($B19,球隊主檔!$A$2:$A$31,0))</f>
        <v>紐約大都會</v>
      </c>
      <c r="D19" s="10" t="str">
        <f aca="false">INDEX(球隊主檔!$D$2:$D$31,MATCH($B19,球隊主檔!$A$2:$A$31,0))</f>
        <v>國聯</v>
      </c>
      <c r="E19" s="10" t="str">
        <f aca="false">INDEX(球隊主檔!$E$2:$E$31,MATCH($B19,球隊主檔!$A$2:$A$31,0))</f>
        <v>國東</v>
      </c>
      <c r="F19" s="19" t="n">
        <f aca="false">SUMIFS(球隊戰績!$F$2:$F$91,球隊戰績!$A$2:$A$91,$A19,球隊戰績!$B$2:$B$91,$B19)</f>
        <v>76</v>
      </c>
      <c r="G19" s="14" t="n">
        <f aca="false">IF(INDEX(球季參數!$B$2:$B$4,MATCH($A19,球季參數!$A$2:$A$4,0))=0,0,F19/INDEX(球季參數!$B$2:$B$4,MATCH($A19,球季參數!$A$2:$A$4,0)))</f>
        <v>0.469135802469136</v>
      </c>
      <c r="H19" s="11" t="n">
        <f aca="false">COUNTIFS(打擊成績!$A$2:$A$901,$A19,打擊成績!$D$2:$D$901,$B19)</f>
        <v>10</v>
      </c>
      <c r="I19" s="13" t="n">
        <f aca="false">SUMIFS(打擊成績!$J$2:$J$901,打擊成績!$A$2:$A$901,$A19,打擊成績!$D$2:$D$901,$B19)</f>
        <v>4688</v>
      </c>
      <c r="J19" s="13" t="n">
        <f aca="false">SUMIFS(打擊成績!$K$2:$K$901,打擊成績!$A$2:$A$901,$A19,打擊成績!$D$2:$D$901,$B19)</f>
        <v>4229</v>
      </c>
      <c r="K19" s="13" t="n">
        <f aca="false">SUMIFS(打擊成績!$M$2:$M$901,打擊成績!$A$2:$A$901,$A19,打擊成績!$D$2:$D$901,$B19)</f>
        <v>1052</v>
      </c>
      <c r="L19" s="13" t="n">
        <f aca="false">SUMIFS(打擊成績!$X$2:$X$901,打擊成績!$A$2:$A$901,$A19,打擊成績!$D$2:$D$901,$B19)</f>
        <v>1801</v>
      </c>
      <c r="M19" s="13" t="n">
        <f aca="false">SUMIFS(打擊成績!$P$2:$P$901,打擊成績!$A$2:$A$901,$A19,打擊成績!$D$2:$D$901,$B19)</f>
        <v>139</v>
      </c>
      <c r="N19" s="13" t="n">
        <f aca="false">SUMIFS(打擊成績!$Q$2:$Q$901,打擊成績!$A$2:$A$901,$A19,打擊成績!$D$2:$D$901,$B19)</f>
        <v>526</v>
      </c>
      <c r="O19" s="13" t="n">
        <f aca="false">SUMIFS(打擊成績!$V$2:$V$901,打擊成績!$A$2:$A$901,$A19,打擊成績!$D$2:$D$901,$B19)</f>
        <v>106</v>
      </c>
      <c r="P19" s="14" t="n">
        <f aca="false">IF(J19=0,0,K19/J19)</f>
        <v>0.248758571766375</v>
      </c>
      <c r="Q19" s="14" t="n">
        <f aca="false">IF(J19=0,0,L19/J19)</f>
        <v>0.425868999763538</v>
      </c>
      <c r="R19" s="11" t="n">
        <f aca="false">COUNTIFS(投手成績!$A$2:$A$901,$A19,投手成績!$D$2:$D$901,$B19)</f>
        <v>10</v>
      </c>
      <c r="S19" s="13" t="n">
        <f aca="false">SUMIFS(投手成績!$O$2:$O$901,投手成績!$A$2:$A$901,$A19,投手成績!$D$2:$D$901,$B19)</f>
        <v>2956</v>
      </c>
      <c r="T19" s="16" t="n">
        <f aca="false">S19/3</f>
        <v>985.333333333333</v>
      </c>
      <c r="U19" s="13" t="n">
        <f aca="false">SUMIFS(投手成績!$W$2:$W$901,投手成績!$A$2:$A$901,$A19,投手成績!$D$2:$D$901,$B19)</f>
        <v>812</v>
      </c>
      <c r="V19" s="13" t="n">
        <f aca="false">SUMIFS(投手成績!$T$2:$T$901,投手成績!$A$2:$A$901,$A19,投手成績!$D$2:$D$901,$B19)</f>
        <v>461</v>
      </c>
      <c r="W19" s="18" t="n">
        <f aca="false">IF(S19=0,0,V19*27/S19)</f>
        <v>4.21075778078484</v>
      </c>
      <c r="X19" s="18" t="n">
        <f aca="false">IF(S19=0,0,U19*27/S19)</f>
        <v>7.41677943166441</v>
      </c>
    </row>
    <row r="20" customFormat="false" ht="15" hidden="false" customHeight="false" outlineLevel="0" collapsed="false">
      <c r="A20" s="5" t="n">
        <v>2024</v>
      </c>
      <c r="B20" s="7" t="s">
        <v>418</v>
      </c>
      <c r="C20" s="10" t="str">
        <f aca="false">INDEX(球隊主檔!$C$2:$C$31,MATCH($B20,球隊主檔!$A$2:$A$31,0))</f>
        <v>費城費城人</v>
      </c>
      <c r="D20" s="10" t="str">
        <f aca="false">INDEX(球隊主檔!$D$2:$D$31,MATCH($B20,球隊主檔!$A$2:$A$31,0))</f>
        <v>國聯</v>
      </c>
      <c r="E20" s="10" t="str">
        <f aca="false">INDEX(球隊主檔!$E$2:$E$31,MATCH($B20,球隊主檔!$A$2:$A$31,0))</f>
        <v>國東</v>
      </c>
      <c r="F20" s="19" t="n">
        <f aca="false">SUMIFS(球隊戰績!$F$2:$F$91,球隊戰績!$A$2:$A$91,$A20,球隊戰績!$B$2:$B$91,$B20)</f>
        <v>73</v>
      </c>
      <c r="G20" s="14" t="n">
        <f aca="false">IF(INDEX(球季參數!$B$2:$B$4,MATCH($A20,球季參數!$A$2:$A$4,0))=0,0,F20/INDEX(球季參數!$B$2:$B$4,MATCH($A20,球季參數!$A$2:$A$4,0)))</f>
        <v>0.450617283950617</v>
      </c>
      <c r="H20" s="11" t="n">
        <f aca="false">COUNTIFS(打擊成績!$A$2:$A$901,$A20,打擊成績!$D$2:$D$901,$B20)</f>
        <v>10</v>
      </c>
      <c r="I20" s="13" t="n">
        <f aca="false">SUMIFS(打擊成績!$J$2:$J$901,打擊成績!$A$2:$A$901,$A20,打擊成績!$D$2:$D$901,$B20)</f>
        <v>5038</v>
      </c>
      <c r="J20" s="13" t="n">
        <f aca="false">SUMIFS(打擊成績!$K$2:$K$901,打擊成績!$A$2:$A$901,$A20,打擊成績!$D$2:$D$901,$B20)</f>
        <v>4448</v>
      </c>
      <c r="K20" s="13" t="n">
        <f aca="false">SUMIFS(打擊成績!$M$2:$M$901,打擊成績!$A$2:$A$901,$A20,打擊成績!$D$2:$D$901,$B20)</f>
        <v>1103</v>
      </c>
      <c r="L20" s="13" t="n">
        <f aca="false">SUMIFS(打擊成績!$X$2:$X$901,打擊成績!$A$2:$A$901,$A20,打擊成績!$D$2:$D$901,$B20)</f>
        <v>1892</v>
      </c>
      <c r="M20" s="13" t="n">
        <f aca="false">SUMIFS(打擊成績!$P$2:$P$901,打擊成績!$A$2:$A$901,$A20,打擊成績!$D$2:$D$901,$B20)</f>
        <v>149</v>
      </c>
      <c r="N20" s="13" t="n">
        <f aca="false">SUMIFS(打擊成績!$Q$2:$Q$901,打擊成績!$A$2:$A$901,$A20,打擊成績!$D$2:$D$901,$B20)</f>
        <v>560</v>
      </c>
      <c r="O20" s="13" t="n">
        <f aca="false">SUMIFS(打擊成績!$V$2:$V$901,打擊成績!$A$2:$A$901,$A20,打擊成績!$D$2:$D$901,$B20)</f>
        <v>156</v>
      </c>
      <c r="P20" s="14" t="n">
        <f aca="false">IF(J20=0,0,K20/J20)</f>
        <v>0.247976618705036</v>
      </c>
      <c r="Q20" s="14" t="n">
        <f aca="false">IF(J20=0,0,L20/J20)</f>
        <v>0.425359712230216</v>
      </c>
      <c r="R20" s="11" t="n">
        <f aca="false">COUNTIFS(投手成績!$A$2:$A$901,$A20,投手成績!$D$2:$D$901,$B20)</f>
        <v>10</v>
      </c>
      <c r="S20" s="13" t="n">
        <f aca="false">SUMIFS(投手成績!$O$2:$O$901,投手成績!$A$2:$A$901,$A20,投手成績!$D$2:$D$901,$B20)</f>
        <v>2960</v>
      </c>
      <c r="T20" s="16" t="n">
        <f aca="false">S20/3</f>
        <v>986.666666666667</v>
      </c>
      <c r="U20" s="13" t="n">
        <f aca="false">SUMIFS(投手成績!$W$2:$W$901,投手成績!$A$2:$A$901,$A20,投手成績!$D$2:$D$901,$B20)</f>
        <v>870</v>
      </c>
      <c r="V20" s="13" t="n">
        <f aca="false">SUMIFS(投手成績!$T$2:$T$901,投手成績!$A$2:$A$901,$A20,投手成績!$D$2:$D$901,$B20)</f>
        <v>499</v>
      </c>
      <c r="W20" s="18" t="n">
        <f aca="false">IF(S20=0,0,V20*27/S20)</f>
        <v>4.55168918918919</v>
      </c>
      <c r="X20" s="18" t="n">
        <f aca="false">IF(S20=0,0,U20*27/S20)</f>
        <v>7.93581081081081</v>
      </c>
    </row>
    <row r="21" customFormat="false" ht="15" hidden="false" customHeight="false" outlineLevel="0" collapsed="false">
      <c r="A21" s="5" t="n">
        <v>2024</v>
      </c>
      <c r="B21" s="7" t="s">
        <v>422</v>
      </c>
      <c r="C21" s="10" t="str">
        <f aca="false">INDEX(球隊主檔!$C$2:$C$31,MATCH($B21,球隊主檔!$A$2:$A$31,0))</f>
        <v>華盛頓國民</v>
      </c>
      <c r="D21" s="10" t="str">
        <f aca="false">INDEX(球隊主檔!$D$2:$D$31,MATCH($B21,球隊主檔!$A$2:$A$31,0))</f>
        <v>國聯</v>
      </c>
      <c r="E21" s="10" t="str">
        <f aca="false">INDEX(球隊主檔!$E$2:$E$31,MATCH($B21,球隊主檔!$A$2:$A$31,0))</f>
        <v>國東</v>
      </c>
      <c r="F21" s="19" t="n">
        <f aca="false">SUMIFS(球隊戰績!$F$2:$F$91,球隊戰績!$A$2:$A$91,$A21,球隊戰績!$B$2:$B$91,$B21)</f>
        <v>81</v>
      </c>
      <c r="G21" s="14" t="n">
        <f aca="false">IF(INDEX(球季參數!$B$2:$B$4,MATCH($A21,球季參數!$A$2:$A$4,0))=0,0,F21/INDEX(球季參數!$B$2:$B$4,MATCH($A21,球季參數!$A$2:$A$4,0)))</f>
        <v>0.5</v>
      </c>
      <c r="H21" s="11" t="n">
        <f aca="false">COUNTIFS(打擊成績!$A$2:$A$901,$A21,打擊成績!$D$2:$D$901,$B21)</f>
        <v>10</v>
      </c>
      <c r="I21" s="13" t="n">
        <f aca="false">SUMIFS(打擊成績!$J$2:$J$901,打擊成績!$A$2:$A$901,$A21,打擊成績!$D$2:$D$901,$B21)</f>
        <v>4990</v>
      </c>
      <c r="J21" s="13" t="n">
        <f aca="false">SUMIFS(打擊成績!$K$2:$K$901,打擊成績!$A$2:$A$901,$A21,打擊成績!$D$2:$D$901,$B21)</f>
        <v>4475</v>
      </c>
      <c r="K21" s="13" t="n">
        <f aca="false">SUMIFS(打擊成績!$M$2:$M$901,打擊成績!$A$2:$A$901,$A21,打擊成績!$D$2:$D$901,$B21)</f>
        <v>1061</v>
      </c>
      <c r="L21" s="13" t="n">
        <f aca="false">SUMIFS(打擊成績!$X$2:$X$901,打擊成績!$A$2:$A$901,$A21,打擊成績!$D$2:$D$901,$B21)</f>
        <v>1926</v>
      </c>
      <c r="M21" s="13" t="n">
        <f aca="false">SUMIFS(打擊成績!$P$2:$P$901,打擊成績!$A$2:$A$901,$A21,打擊成績!$D$2:$D$901,$B21)</f>
        <v>151</v>
      </c>
      <c r="N21" s="13" t="n">
        <f aca="false">SUMIFS(打擊成績!$Q$2:$Q$901,打擊成績!$A$2:$A$901,$A21,打擊成績!$D$2:$D$901,$B21)</f>
        <v>569</v>
      </c>
      <c r="O21" s="13" t="n">
        <f aca="false">SUMIFS(打擊成績!$V$2:$V$901,打擊成績!$A$2:$A$901,$A21,打擊成績!$D$2:$D$901,$B21)</f>
        <v>140</v>
      </c>
      <c r="P21" s="14" t="n">
        <f aca="false">IF(J21=0,0,K21/J21)</f>
        <v>0.237094972067039</v>
      </c>
      <c r="Q21" s="14" t="n">
        <f aca="false">IF(J21=0,0,L21/J21)</f>
        <v>0.430391061452514</v>
      </c>
      <c r="R21" s="11" t="n">
        <f aca="false">COUNTIFS(投手成績!$A$2:$A$901,$A21,投手成績!$D$2:$D$901,$B21)</f>
        <v>10</v>
      </c>
      <c r="S21" s="13" t="n">
        <f aca="false">SUMIFS(投手成績!$O$2:$O$901,投手成績!$A$2:$A$901,$A21,投手成績!$D$2:$D$901,$B21)</f>
        <v>2742</v>
      </c>
      <c r="T21" s="16" t="n">
        <f aca="false">S21/3</f>
        <v>914</v>
      </c>
      <c r="U21" s="13" t="n">
        <f aca="false">SUMIFS(投手成績!$W$2:$W$901,投手成績!$A$2:$A$901,$A21,投手成績!$D$2:$D$901,$B21)</f>
        <v>978</v>
      </c>
      <c r="V21" s="13" t="n">
        <f aca="false">SUMIFS(投手成績!$T$2:$T$901,投手成績!$A$2:$A$901,$A21,投手成績!$D$2:$D$901,$B21)</f>
        <v>441</v>
      </c>
      <c r="W21" s="18" t="n">
        <f aca="false">IF(S21=0,0,V21*27/S21)</f>
        <v>4.34245076586433</v>
      </c>
      <c r="X21" s="18" t="n">
        <f aca="false">IF(S21=0,0,U21*27/S21)</f>
        <v>9.63019693654267</v>
      </c>
    </row>
    <row r="22" customFormat="false" ht="15" hidden="false" customHeight="false" outlineLevel="0" collapsed="false">
      <c r="A22" s="5" t="n">
        <v>2024</v>
      </c>
      <c r="B22" s="7" t="s">
        <v>426</v>
      </c>
      <c r="C22" s="10" t="str">
        <f aca="false">INDEX(球隊主檔!$C$2:$C$31,MATCH($B22,球隊主檔!$A$2:$A$31,0))</f>
        <v>芝加哥小熊</v>
      </c>
      <c r="D22" s="10" t="str">
        <f aca="false">INDEX(球隊主檔!$D$2:$D$31,MATCH($B22,球隊主檔!$A$2:$A$31,0))</f>
        <v>國聯</v>
      </c>
      <c r="E22" s="10" t="str">
        <f aca="false">INDEX(球隊主檔!$E$2:$E$31,MATCH($B22,球隊主檔!$A$2:$A$31,0))</f>
        <v>國中</v>
      </c>
      <c r="F22" s="19" t="n">
        <f aca="false">SUMIFS(球隊戰績!$F$2:$F$91,球隊戰績!$A$2:$A$91,$A22,球隊戰績!$B$2:$B$91,$B22)</f>
        <v>74</v>
      </c>
      <c r="G22" s="14" t="n">
        <f aca="false">IF(INDEX(球季參數!$B$2:$B$4,MATCH($A22,球季參數!$A$2:$A$4,0))=0,0,F22/INDEX(球季參數!$B$2:$B$4,MATCH($A22,球季參數!$A$2:$A$4,0)))</f>
        <v>0.45679012345679</v>
      </c>
      <c r="H22" s="11" t="n">
        <f aca="false">COUNTIFS(打擊成績!$A$2:$A$901,$A22,打擊成績!$D$2:$D$901,$B22)</f>
        <v>10</v>
      </c>
      <c r="I22" s="13" t="n">
        <f aca="false">SUMIFS(打擊成績!$J$2:$J$901,打擊成績!$A$2:$A$901,$A22,打擊成績!$D$2:$D$901,$B22)</f>
        <v>4170</v>
      </c>
      <c r="J22" s="13" t="n">
        <f aca="false">SUMIFS(打擊成績!$K$2:$K$901,打擊成績!$A$2:$A$901,$A22,打擊成績!$D$2:$D$901,$B22)</f>
        <v>3704</v>
      </c>
      <c r="K22" s="13" t="n">
        <f aca="false">SUMIFS(打擊成績!$M$2:$M$901,打擊成績!$A$2:$A$901,$A22,打擊成績!$D$2:$D$901,$B22)</f>
        <v>886</v>
      </c>
      <c r="L22" s="13" t="n">
        <f aca="false">SUMIFS(打擊成績!$X$2:$X$901,打擊成績!$A$2:$A$901,$A22,打擊成績!$D$2:$D$901,$B22)</f>
        <v>1534</v>
      </c>
      <c r="M22" s="13" t="n">
        <f aca="false">SUMIFS(打擊成績!$P$2:$P$901,打擊成績!$A$2:$A$901,$A22,打擊成績!$D$2:$D$901,$B22)</f>
        <v>117</v>
      </c>
      <c r="N22" s="13" t="n">
        <f aca="false">SUMIFS(打擊成績!$Q$2:$Q$901,打擊成績!$A$2:$A$901,$A22,打擊成績!$D$2:$D$901,$B22)</f>
        <v>422</v>
      </c>
      <c r="O22" s="13" t="n">
        <f aca="false">SUMIFS(打擊成績!$V$2:$V$901,打擊成績!$A$2:$A$901,$A22,打擊成績!$D$2:$D$901,$B22)</f>
        <v>97</v>
      </c>
      <c r="P22" s="14" t="n">
        <f aca="false">IF(J22=0,0,K22/J22)</f>
        <v>0.239200863930886</v>
      </c>
      <c r="Q22" s="14" t="n">
        <f aca="false">IF(J22=0,0,L22/J22)</f>
        <v>0.41414686825054</v>
      </c>
      <c r="R22" s="11" t="n">
        <f aca="false">COUNTIFS(投手成績!$A$2:$A$901,$A22,投手成績!$D$2:$D$901,$B22)</f>
        <v>10</v>
      </c>
      <c r="S22" s="13" t="n">
        <f aca="false">SUMIFS(投手成績!$O$2:$O$901,投手成績!$A$2:$A$901,$A22,投手成績!$D$2:$D$901,$B22)</f>
        <v>3109</v>
      </c>
      <c r="T22" s="16" t="n">
        <f aca="false">S22/3</f>
        <v>1036.33333333333</v>
      </c>
      <c r="U22" s="13" t="n">
        <f aca="false">SUMIFS(投手成績!$W$2:$W$901,投手成績!$A$2:$A$901,$A22,投手成績!$D$2:$D$901,$B22)</f>
        <v>1106</v>
      </c>
      <c r="V22" s="13" t="n">
        <f aca="false">SUMIFS(投手成績!$T$2:$T$901,投手成績!$A$2:$A$901,$A22,投手成績!$D$2:$D$901,$B22)</f>
        <v>481</v>
      </c>
      <c r="W22" s="18" t="n">
        <f aca="false">IF(S22=0,0,V22*27/S22)</f>
        <v>4.17722740431007</v>
      </c>
      <c r="X22" s="18" t="n">
        <f aca="false">IF(S22=0,0,U22*27/S22)</f>
        <v>9.60501769057575</v>
      </c>
    </row>
    <row r="23" customFormat="false" ht="15" hidden="false" customHeight="false" outlineLevel="0" collapsed="false">
      <c r="A23" s="5" t="n">
        <v>2024</v>
      </c>
      <c r="B23" s="7" t="s">
        <v>430</v>
      </c>
      <c r="C23" s="10" t="str">
        <f aca="false">INDEX(球隊主檔!$C$2:$C$31,MATCH($B23,球隊主檔!$A$2:$A$31,0))</f>
        <v>辛辛那提紅人</v>
      </c>
      <c r="D23" s="10" t="str">
        <f aca="false">INDEX(球隊主檔!$D$2:$D$31,MATCH($B23,球隊主檔!$A$2:$A$31,0))</f>
        <v>國聯</v>
      </c>
      <c r="E23" s="10" t="str">
        <f aca="false">INDEX(球隊主檔!$E$2:$E$31,MATCH($B23,球隊主檔!$A$2:$A$31,0))</f>
        <v>國中</v>
      </c>
      <c r="F23" s="19" t="n">
        <f aca="false">SUMIFS(球隊戰績!$F$2:$F$91,球隊戰績!$A$2:$A$91,$A23,球隊戰績!$B$2:$B$91,$B23)</f>
        <v>75</v>
      </c>
      <c r="G23" s="14" t="n">
        <f aca="false">IF(INDEX(球季參數!$B$2:$B$4,MATCH($A23,球季參數!$A$2:$A$4,0))=0,0,F23/INDEX(球季參數!$B$2:$B$4,MATCH($A23,球季參數!$A$2:$A$4,0)))</f>
        <v>0.462962962962963</v>
      </c>
      <c r="H23" s="11" t="n">
        <f aca="false">COUNTIFS(打擊成績!$A$2:$A$901,$A23,打擊成績!$D$2:$D$901,$B23)</f>
        <v>10</v>
      </c>
      <c r="I23" s="13" t="n">
        <f aca="false">SUMIFS(打擊成績!$J$2:$J$901,打擊成績!$A$2:$A$901,$A23,打擊成績!$D$2:$D$901,$B23)</f>
        <v>4200</v>
      </c>
      <c r="J23" s="13" t="n">
        <f aca="false">SUMIFS(打擊成績!$K$2:$K$901,打擊成績!$A$2:$A$901,$A23,打擊成績!$D$2:$D$901,$B23)</f>
        <v>3712</v>
      </c>
      <c r="K23" s="13" t="n">
        <f aca="false">SUMIFS(打擊成績!$M$2:$M$901,打擊成績!$A$2:$A$901,$A23,打擊成績!$D$2:$D$901,$B23)</f>
        <v>890</v>
      </c>
      <c r="L23" s="13" t="n">
        <f aca="false">SUMIFS(打擊成績!$X$2:$X$901,打擊成績!$A$2:$A$901,$A23,打擊成績!$D$2:$D$901,$B23)</f>
        <v>1623</v>
      </c>
      <c r="M23" s="13" t="n">
        <f aca="false">SUMIFS(打擊成績!$P$2:$P$901,打擊成績!$A$2:$A$901,$A23,打擊成績!$D$2:$D$901,$B23)</f>
        <v>141</v>
      </c>
      <c r="N23" s="13" t="n">
        <f aca="false">SUMIFS(打擊成績!$Q$2:$Q$901,打擊成績!$A$2:$A$901,$A23,打擊成績!$D$2:$D$901,$B23)</f>
        <v>503</v>
      </c>
      <c r="O23" s="13" t="n">
        <f aca="false">SUMIFS(打擊成績!$V$2:$V$901,打擊成績!$A$2:$A$901,$A23,打擊成績!$D$2:$D$901,$B23)</f>
        <v>80</v>
      </c>
      <c r="P23" s="14" t="n">
        <f aca="false">IF(J23=0,0,K23/J23)</f>
        <v>0.239762931034483</v>
      </c>
      <c r="Q23" s="14" t="n">
        <f aca="false">IF(J23=0,0,L23/J23)</f>
        <v>0.437230603448276</v>
      </c>
      <c r="R23" s="11" t="n">
        <f aca="false">COUNTIFS(投手成績!$A$2:$A$901,$A23,投手成績!$D$2:$D$901,$B23)</f>
        <v>10</v>
      </c>
      <c r="S23" s="13" t="n">
        <f aca="false">SUMIFS(投手成績!$O$2:$O$901,投手成績!$A$2:$A$901,$A23,投手成績!$D$2:$D$901,$B23)</f>
        <v>2753</v>
      </c>
      <c r="T23" s="16" t="n">
        <f aca="false">S23/3</f>
        <v>917.666666666667</v>
      </c>
      <c r="U23" s="13" t="n">
        <f aca="false">SUMIFS(投手成績!$W$2:$W$901,投手成績!$A$2:$A$901,$A23,投手成績!$D$2:$D$901,$B23)</f>
        <v>819</v>
      </c>
      <c r="V23" s="13" t="n">
        <f aca="false">SUMIFS(投手成績!$T$2:$T$901,投手成績!$A$2:$A$901,$A23,投手成績!$D$2:$D$901,$B23)</f>
        <v>412</v>
      </c>
      <c r="W23" s="18" t="n">
        <f aca="false">IF(S23=0,0,V23*27/S23)</f>
        <v>4.04068289139121</v>
      </c>
      <c r="X23" s="18" t="n">
        <f aca="false">IF(S23=0,0,U23*27/S23)</f>
        <v>8.03232836905194</v>
      </c>
    </row>
    <row r="24" customFormat="false" ht="15" hidden="false" customHeight="false" outlineLevel="0" collapsed="false">
      <c r="A24" s="5" t="n">
        <v>2024</v>
      </c>
      <c r="B24" s="7" t="s">
        <v>434</v>
      </c>
      <c r="C24" s="10" t="str">
        <f aca="false">INDEX(球隊主檔!$C$2:$C$31,MATCH($B24,球隊主檔!$A$2:$A$31,0))</f>
        <v>密爾瓦基釀酒人</v>
      </c>
      <c r="D24" s="10" t="str">
        <f aca="false">INDEX(球隊主檔!$D$2:$D$31,MATCH($B24,球隊主檔!$A$2:$A$31,0))</f>
        <v>國聯</v>
      </c>
      <c r="E24" s="10" t="str">
        <f aca="false">INDEX(球隊主檔!$E$2:$E$31,MATCH($B24,球隊主檔!$A$2:$A$31,0))</f>
        <v>國中</v>
      </c>
      <c r="F24" s="19" t="n">
        <f aca="false">SUMIFS(球隊戰績!$F$2:$F$91,球隊戰績!$A$2:$A$91,$A24,球隊戰績!$B$2:$B$91,$B24)</f>
        <v>73</v>
      </c>
      <c r="G24" s="14" t="n">
        <f aca="false">IF(INDEX(球季參數!$B$2:$B$4,MATCH($A24,球季參數!$A$2:$A$4,0))=0,0,F24/INDEX(球季參數!$B$2:$B$4,MATCH($A24,球季參數!$A$2:$A$4,0)))</f>
        <v>0.450617283950617</v>
      </c>
      <c r="H24" s="11" t="n">
        <f aca="false">COUNTIFS(打擊成績!$A$2:$A$901,$A24,打擊成績!$D$2:$D$901,$B24)</f>
        <v>10</v>
      </c>
      <c r="I24" s="13" t="n">
        <f aca="false">SUMIFS(打擊成績!$J$2:$J$901,打擊成績!$A$2:$A$901,$A24,打擊成績!$D$2:$D$901,$B24)</f>
        <v>5110</v>
      </c>
      <c r="J24" s="13" t="n">
        <f aca="false">SUMIFS(打擊成績!$K$2:$K$901,打擊成績!$A$2:$A$901,$A24,打擊成績!$D$2:$D$901,$B24)</f>
        <v>4490</v>
      </c>
      <c r="K24" s="13" t="n">
        <f aca="false">SUMIFS(打擊成績!$M$2:$M$901,打擊成績!$A$2:$A$901,$A24,打擊成績!$D$2:$D$901,$B24)</f>
        <v>1114</v>
      </c>
      <c r="L24" s="13" t="n">
        <f aca="false">SUMIFS(打擊成績!$X$2:$X$901,打擊成績!$A$2:$A$901,$A24,打擊成績!$D$2:$D$901,$B24)</f>
        <v>1946</v>
      </c>
      <c r="M24" s="13" t="n">
        <f aca="false">SUMIFS(打擊成績!$P$2:$P$901,打擊成績!$A$2:$A$901,$A24,打擊成績!$D$2:$D$901,$B24)</f>
        <v>159</v>
      </c>
      <c r="N24" s="13" t="n">
        <f aca="false">SUMIFS(打擊成績!$Q$2:$Q$901,打擊成績!$A$2:$A$901,$A24,打擊成績!$D$2:$D$901,$B24)</f>
        <v>577</v>
      </c>
      <c r="O24" s="13" t="n">
        <f aca="false">SUMIFS(打擊成績!$V$2:$V$901,打擊成績!$A$2:$A$901,$A24,打擊成績!$D$2:$D$901,$B24)</f>
        <v>122</v>
      </c>
      <c r="P24" s="14" t="n">
        <f aca="false">IF(J24=0,0,K24/J24)</f>
        <v>0.248106904231626</v>
      </c>
      <c r="Q24" s="14" t="n">
        <f aca="false">IF(J24=0,0,L24/J24)</f>
        <v>0.433407572383074</v>
      </c>
      <c r="R24" s="11" t="n">
        <f aca="false">COUNTIFS(投手成績!$A$2:$A$901,$A24,投手成績!$D$2:$D$901,$B24)</f>
        <v>10</v>
      </c>
      <c r="S24" s="13" t="n">
        <f aca="false">SUMIFS(投手成績!$O$2:$O$901,投手成績!$A$2:$A$901,$A24,投手成績!$D$2:$D$901,$B24)</f>
        <v>2780</v>
      </c>
      <c r="T24" s="16" t="n">
        <f aca="false">S24/3</f>
        <v>926.666666666667</v>
      </c>
      <c r="U24" s="13" t="n">
        <f aca="false">SUMIFS(投手成績!$W$2:$W$901,投手成績!$A$2:$A$901,$A24,投手成績!$D$2:$D$901,$B24)</f>
        <v>1095</v>
      </c>
      <c r="V24" s="13" t="n">
        <f aca="false">SUMIFS(投手成績!$T$2:$T$901,投手成績!$A$2:$A$901,$A24,投手成績!$D$2:$D$901,$B24)</f>
        <v>410</v>
      </c>
      <c r="W24" s="18" t="n">
        <f aca="false">IF(S24=0,0,V24*27/S24)</f>
        <v>3.98201438848921</v>
      </c>
      <c r="X24" s="18" t="n">
        <f aca="false">IF(S24=0,0,U24*27/S24)</f>
        <v>10.6348920863309</v>
      </c>
    </row>
    <row r="25" customFormat="false" ht="15" hidden="false" customHeight="false" outlineLevel="0" collapsed="false">
      <c r="A25" s="5" t="n">
        <v>2024</v>
      </c>
      <c r="B25" s="7" t="s">
        <v>438</v>
      </c>
      <c r="C25" s="10" t="str">
        <f aca="false">INDEX(球隊主檔!$C$2:$C$31,MATCH($B25,球隊主檔!$A$2:$A$31,0))</f>
        <v>匹茲堡海盜</v>
      </c>
      <c r="D25" s="10" t="str">
        <f aca="false">INDEX(球隊主檔!$D$2:$D$31,MATCH($B25,球隊主檔!$A$2:$A$31,0))</f>
        <v>國聯</v>
      </c>
      <c r="E25" s="10" t="str">
        <f aca="false">INDEX(球隊主檔!$E$2:$E$31,MATCH($B25,球隊主檔!$A$2:$A$31,0))</f>
        <v>國中</v>
      </c>
      <c r="F25" s="19" t="n">
        <f aca="false">SUMIFS(球隊戰績!$F$2:$F$91,球隊戰績!$A$2:$A$91,$A25,球隊戰績!$B$2:$B$91,$B25)</f>
        <v>88</v>
      </c>
      <c r="G25" s="14" t="n">
        <f aca="false">IF(INDEX(球季參數!$B$2:$B$4,MATCH($A25,球季參數!$A$2:$A$4,0))=0,0,F25/INDEX(球季參數!$B$2:$B$4,MATCH($A25,球季參數!$A$2:$A$4,0)))</f>
        <v>0.54320987654321</v>
      </c>
      <c r="H25" s="11" t="n">
        <f aca="false">COUNTIFS(打擊成績!$A$2:$A$901,$A25,打擊成績!$D$2:$D$901,$B25)</f>
        <v>10</v>
      </c>
      <c r="I25" s="13" t="n">
        <f aca="false">SUMIFS(打擊成績!$J$2:$J$901,打擊成績!$A$2:$A$901,$A25,打擊成績!$D$2:$D$901,$B25)</f>
        <v>4641</v>
      </c>
      <c r="J25" s="13" t="n">
        <f aca="false">SUMIFS(打擊成績!$K$2:$K$901,打擊成績!$A$2:$A$901,$A25,打擊成績!$D$2:$D$901,$B25)</f>
        <v>4161</v>
      </c>
      <c r="K25" s="13" t="n">
        <f aca="false">SUMIFS(打擊成績!$M$2:$M$901,打擊成績!$A$2:$A$901,$A25,打擊成績!$D$2:$D$901,$B25)</f>
        <v>1115</v>
      </c>
      <c r="L25" s="13" t="n">
        <f aca="false">SUMIFS(打擊成績!$X$2:$X$901,打擊成績!$A$2:$A$901,$A25,打擊成績!$D$2:$D$901,$B25)</f>
        <v>1926</v>
      </c>
      <c r="M25" s="13" t="n">
        <f aca="false">SUMIFS(打擊成績!$P$2:$P$901,打擊成績!$A$2:$A$901,$A25,打擊成績!$D$2:$D$901,$B25)</f>
        <v>165</v>
      </c>
      <c r="N25" s="13" t="n">
        <f aca="false">SUMIFS(打擊成績!$Q$2:$Q$901,打擊成績!$A$2:$A$901,$A25,打擊成績!$D$2:$D$901,$B25)</f>
        <v>601</v>
      </c>
      <c r="O25" s="13" t="n">
        <f aca="false">SUMIFS(打擊成績!$V$2:$V$901,打擊成績!$A$2:$A$901,$A25,打擊成績!$D$2:$D$901,$B25)</f>
        <v>153</v>
      </c>
      <c r="P25" s="14" t="n">
        <f aca="false">IF(J25=0,0,K25/J25)</f>
        <v>0.267964431627013</v>
      </c>
      <c r="Q25" s="14" t="n">
        <f aca="false">IF(J25=0,0,L25/J25)</f>
        <v>0.462869502523432</v>
      </c>
      <c r="R25" s="11" t="n">
        <f aca="false">COUNTIFS(投手成績!$A$2:$A$901,$A25,投手成績!$D$2:$D$901,$B25)</f>
        <v>10</v>
      </c>
      <c r="S25" s="13" t="n">
        <f aca="false">SUMIFS(投手成績!$O$2:$O$901,投手成績!$A$2:$A$901,$A25,投手成績!$D$2:$D$901,$B25)</f>
        <v>2718</v>
      </c>
      <c r="T25" s="16" t="n">
        <f aca="false">S25/3</f>
        <v>906</v>
      </c>
      <c r="U25" s="13" t="n">
        <f aca="false">SUMIFS(投手成績!$W$2:$W$901,投手成績!$A$2:$A$901,$A25,投手成績!$D$2:$D$901,$B25)</f>
        <v>985</v>
      </c>
      <c r="V25" s="13" t="n">
        <f aca="false">SUMIFS(投手成績!$T$2:$T$901,投手成績!$A$2:$A$901,$A25,投手成績!$D$2:$D$901,$B25)</f>
        <v>422</v>
      </c>
      <c r="W25" s="18" t="n">
        <f aca="false">IF(S25=0,0,V25*27/S25)</f>
        <v>4.19205298013245</v>
      </c>
      <c r="X25" s="18" t="n">
        <f aca="false">IF(S25=0,0,U25*27/S25)</f>
        <v>9.78476821192053</v>
      </c>
    </row>
    <row r="26" customFormat="false" ht="15" hidden="false" customHeight="false" outlineLevel="0" collapsed="false">
      <c r="A26" s="5" t="n">
        <v>2024</v>
      </c>
      <c r="B26" s="7" t="s">
        <v>442</v>
      </c>
      <c r="C26" s="10" t="str">
        <f aca="false">INDEX(球隊主檔!$C$2:$C$31,MATCH($B26,球隊主檔!$A$2:$A$31,0))</f>
        <v>聖路易紅雀</v>
      </c>
      <c r="D26" s="10" t="str">
        <f aca="false">INDEX(球隊主檔!$D$2:$D$31,MATCH($B26,球隊主檔!$A$2:$A$31,0))</f>
        <v>國聯</v>
      </c>
      <c r="E26" s="10" t="str">
        <f aca="false">INDEX(球隊主檔!$E$2:$E$31,MATCH($B26,球隊主檔!$A$2:$A$31,0))</f>
        <v>國中</v>
      </c>
      <c r="F26" s="19" t="n">
        <f aca="false">SUMIFS(球隊戰績!$F$2:$F$91,球隊戰績!$A$2:$A$91,$A26,球隊戰績!$B$2:$B$91,$B26)</f>
        <v>86</v>
      </c>
      <c r="G26" s="14" t="n">
        <f aca="false">IF(INDEX(球季參數!$B$2:$B$4,MATCH($A26,球季參數!$A$2:$A$4,0))=0,0,F26/INDEX(球季參數!$B$2:$B$4,MATCH($A26,球季參數!$A$2:$A$4,0)))</f>
        <v>0.530864197530864</v>
      </c>
      <c r="H26" s="11" t="n">
        <f aca="false">COUNTIFS(打擊成績!$A$2:$A$901,$A26,打擊成績!$D$2:$D$901,$B26)</f>
        <v>10</v>
      </c>
      <c r="I26" s="13" t="n">
        <f aca="false">SUMIFS(打擊成績!$J$2:$J$901,打擊成績!$A$2:$A$901,$A26,打擊成績!$D$2:$D$901,$B26)</f>
        <v>4322</v>
      </c>
      <c r="J26" s="13" t="n">
        <f aca="false">SUMIFS(打擊成績!$K$2:$K$901,打擊成績!$A$2:$A$901,$A26,打擊成績!$D$2:$D$901,$B26)</f>
        <v>3924</v>
      </c>
      <c r="K26" s="13" t="n">
        <f aca="false">SUMIFS(打擊成績!$M$2:$M$901,打擊成績!$A$2:$A$901,$A26,打擊成績!$D$2:$D$901,$B26)</f>
        <v>1006</v>
      </c>
      <c r="L26" s="13" t="n">
        <f aca="false">SUMIFS(打擊成績!$X$2:$X$901,打擊成績!$A$2:$A$901,$A26,打擊成績!$D$2:$D$901,$B26)</f>
        <v>1838</v>
      </c>
      <c r="M26" s="13" t="n">
        <f aca="false">SUMIFS(打擊成績!$P$2:$P$901,打擊成績!$A$2:$A$901,$A26,打擊成績!$D$2:$D$901,$B26)</f>
        <v>154</v>
      </c>
      <c r="N26" s="13" t="n">
        <f aca="false">SUMIFS(打擊成績!$Q$2:$Q$901,打擊成績!$A$2:$A$901,$A26,打擊成績!$D$2:$D$901,$B26)</f>
        <v>542</v>
      </c>
      <c r="O26" s="13" t="n">
        <f aca="false">SUMIFS(打擊成績!$V$2:$V$901,打擊成績!$A$2:$A$901,$A26,打擊成績!$D$2:$D$901,$B26)</f>
        <v>116</v>
      </c>
      <c r="P26" s="14" t="n">
        <f aca="false">IF(J26=0,0,K26/J26)</f>
        <v>0.256371049949032</v>
      </c>
      <c r="Q26" s="14" t="n">
        <f aca="false">IF(J26=0,0,L26/J26)</f>
        <v>0.468399592252803</v>
      </c>
      <c r="R26" s="11" t="n">
        <f aca="false">COUNTIFS(投手成績!$A$2:$A$901,$A26,投手成績!$D$2:$D$901,$B26)</f>
        <v>10</v>
      </c>
      <c r="S26" s="13" t="n">
        <f aca="false">SUMIFS(投手成績!$O$2:$O$901,投手成績!$A$2:$A$901,$A26,投手成績!$D$2:$D$901,$B26)</f>
        <v>2896</v>
      </c>
      <c r="T26" s="16" t="n">
        <f aca="false">S26/3</f>
        <v>965.333333333333</v>
      </c>
      <c r="U26" s="13" t="n">
        <f aca="false">SUMIFS(投手成績!$W$2:$W$901,投手成績!$A$2:$A$901,$A26,投手成績!$D$2:$D$901,$B26)</f>
        <v>1093</v>
      </c>
      <c r="V26" s="13" t="n">
        <f aca="false">SUMIFS(投手成績!$T$2:$T$901,投手成績!$A$2:$A$901,$A26,投手成績!$D$2:$D$901,$B26)</f>
        <v>440</v>
      </c>
      <c r="W26" s="18" t="n">
        <f aca="false">IF(S26=0,0,V26*27/S26)</f>
        <v>4.10220994475138</v>
      </c>
      <c r="X26" s="18" t="n">
        <f aca="false">IF(S26=0,0,U26*27/S26)</f>
        <v>10.1902624309392</v>
      </c>
    </row>
    <row r="27" customFormat="false" ht="15" hidden="false" customHeight="false" outlineLevel="0" collapsed="false">
      <c r="A27" s="5" t="n">
        <v>2024</v>
      </c>
      <c r="B27" s="7" t="s">
        <v>446</v>
      </c>
      <c r="C27" s="10" t="str">
        <f aca="false">INDEX(球隊主檔!$C$2:$C$31,MATCH($B27,球隊主檔!$A$2:$A$31,0))</f>
        <v>亞利桑那響尾蛇</v>
      </c>
      <c r="D27" s="10" t="str">
        <f aca="false">INDEX(球隊主檔!$D$2:$D$31,MATCH($B27,球隊主檔!$A$2:$A$31,0))</f>
        <v>國聯</v>
      </c>
      <c r="E27" s="10" t="str">
        <f aca="false">INDEX(球隊主檔!$E$2:$E$31,MATCH($B27,球隊主檔!$A$2:$A$31,0))</f>
        <v>國西</v>
      </c>
      <c r="F27" s="19" t="n">
        <f aca="false">SUMIFS(球隊戰績!$F$2:$F$91,球隊戰績!$A$2:$A$91,$A27,球隊戰績!$B$2:$B$91,$B27)</f>
        <v>83</v>
      </c>
      <c r="G27" s="14" t="n">
        <f aca="false">IF(INDEX(球季參數!$B$2:$B$4,MATCH($A27,球季參數!$A$2:$A$4,0))=0,0,F27/INDEX(球季參數!$B$2:$B$4,MATCH($A27,球季參數!$A$2:$A$4,0)))</f>
        <v>0.512345679012346</v>
      </c>
      <c r="H27" s="11" t="n">
        <f aca="false">COUNTIFS(打擊成績!$A$2:$A$901,$A27,打擊成績!$D$2:$D$901,$B27)</f>
        <v>10</v>
      </c>
      <c r="I27" s="13" t="n">
        <f aca="false">SUMIFS(打擊成績!$J$2:$J$901,打擊成績!$A$2:$A$901,$A27,打擊成績!$D$2:$D$901,$B27)</f>
        <v>5114</v>
      </c>
      <c r="J27" s="13" t="n">
        <f aca="false">SUMIFS(打擊成績!$K$2:$K$901,打擊成績!$A$2:$A$901,$A27,打擊成績!$D$2:$D$901,$B27)</f>
        <v>4573</v>
      </c>
      <c r="K27" s="13" t="n">
        <f aca="false">SUMIFS(打擊成績!$M$2:$M$901,打擊成績!$A$2:$A$901,$A27,打擊成績!$D$2:$D$901,$B27)</f>
        <v>1154</v>
      </c>
      <c r="L27" s="13" t="n">
        <f aca="false">SUMIFS(打擊成績!$X$2:$X$901,打擊成績!$A$2:$A$901,$A27,打擊成績!$D$2:$D$901,$B27)</f>
        <v>1915</v>
      </c>
      <c r="M27" s="13" t="n">
        <f aca="false">SUMIFS(打擊成績!$P$2:$P$901,打擊成績!$A$2:$A$901,$A27,打擊成績!$D$2:$D$901,$B27)</f>
        <v>139</v>
      </c>
      <c r="N27" s="13" t="n">
        <f aca="false">SUMIFS(打擊成績!$Q$2:$Q$901,打擊成績!$A$2:$A$901,$A27,打擊成績!$D$2:$D$901,$B27)</f>
        <v>562</v>
      </c>
      <c r="O27" s="13" t="n">
        <f aca="false">SUMIFS(打擊成績!$V$2:$V$901,打擊成績!$A$2:$A$901,$A27,打擊成績!$D$2:$D$901,$B27)</f>
        <v>159</v>
      </c>
      <c r="P27" s="14" t="n">
        <f aca="false">IF(J27=0,0,K27/J27)</f>
        <v>0.252350754428165</v>
      </c>
      <c r="Q27" s="14" t="n">
        <f aca="false">IF(J27=0,0,L27/J27)</f>
        <v>0.418762300459217</v>
      </c>
      <c r="R27" s="11" t="n">
        <f aca="false">COUNTIFS(投手成績!$A$2:$A$901,$A27,投手成績!$D$2:$D$901,$B27)</f>
        <v>10</v>
      </c>
      <c r="S27" s="13" t="n">
        <f aca="false">SUMIFS(投手成績!$O$2:$O$901,投手成績!$A$2:$A$901,$A27,投手成績!$D$2:$D$901,$B27)</f>
        <v>2665</v>
      </c>
      <c r="T27" s="16" t="n">
        <f aca="false">S27/3</f>
        <v>888.333333333333</v>
      </c>
      <c r="U27" s="13" t="n">
        <f aca="false">SUMIFS(投手成績!$W$2:$W$901,投手成績!$A$2:$A$901,$A27,投手成績!$D$2:$D$901,$B27)</f>
        <v>1017</v>
      </c>
      <c r="V27" s="13" t="n">
        <f aca="false">SUMIFS(投手成績!$T$2:$T$901,投手成績!$A$2:$A$901,$A27,投手成績!$D$2:$D$901,$B27)</f>
        <v>408</v>
      </c>
      <c r="W27" s="18" t="n">
        <f aca="false">IF(S27=0,0,V27*27/S27)</f>
        <v>4.13358348968105</v>
      </c>
      <c r="X27" s="18" t="n">
        <f aca="false">IF(S27=0,0,U27*27/S27)</f>
        <v>10.303564727955</v>
      </c>
    </row>
    <row r="28" customFormat="false" ht="15" hidden="false" customHeight="false" outlineLevel="0" collapsed="false">
      <c r="A28" s="5" t="n">
        <v>2024</v>
      </c>
      <c r="B28" s="7" t="s">
        <v>451</v>
      </c>
      <c r="C28" s="10" t="str">
        <f aca="false">INDEX(球隊主檔!$C$2:$C$31,MATCH($B28,球隊主檔!$A$2:$A$31,0))</f>
        <v>科羅拉多落磯</v>
      </c>
      <c r="D28" s="10" t="str">
        <f aca="false">INDEX(球隊主檔!$D$2:$D$31,MATCH($B28,球隊主檔!$A$2:$A$31,0))</f>
        <v>國聯</v>
      </c>
      <c r="E28" s="10" t="str">
        <f aca="false">INDEX(球隊主檔!$E$2:$E$31,MATCH($B28,球隊主檔!$A$2:$A$31,0))</f>
        <v>國西</v>
      </c>
      <c r="F28" s="19" t="n">
        <f aca="false">SUMIFS(球隊戰績!$F$2:$F$91,球隊戰績!$A$2:$A$91,$A28,球隊戰績!$B$2:$B$91,$B28)</f>
        <v>89</v>
      </c>
      <c r="G28" s="14" t="n">
        <f aca="false">IF(INDEX(球季參數!$B$2:$B$4,MATCH($A28,球季參數!$A$2:$A$4,0))=0,0,F28/INDEX(球季參數!$B$2:$B$4,MATCH($A28,球季參數!$A$2:$A$4,0)))</f>
        <v>0.549382716049383</v>
      </c>
      <c r="H28" s="11" t="n">
        <f aca="false">COUNTIFS(打擊成績!$A$2:$A$901,$A28,打擊成績!$D$2:$D$901,$B28)</f>
        <v>10</v>
      </c>
      <c r="I28" s="13" t="n">
        <f aca="false">SUMIFS(打擊成績!$J$2:$J$901,打擊成績!$A$2:$A$901,$A28,打擊成績!$D$2:$D$901,$B28)</f>
        <v>4676</v>
      </c>
      <c r="J28" s="13" t="n">
        <f aca="false">SUMIFS(打擊成績!$K$2:$K$901,打擊成績!$A$2:$A$901,$A28,打擊成績!$D$2:$D$901,$B28)</f>
        <v>4193</v>
      </c>
      <c r="K28" s="13" t="n">
        <f aca="false">SUMIFS(打擊成績!$M$2:$M$901,打擊成績!$A$2:$A$901,$A28,打擊成績!$D$2:$D$901,$B28)</f>
        <v>1048</v>
      </c>
      <c r="L28" s="13" t="n">
        <f aca="false">SUMIFS(打擊成績!$X$2:$X$901,打擊成績!$A$2:$A$901,$A28,打擊成績!$D$2:$D$901,$B28)</f>
        <v>1751</v>
      </c>
      <c r="M28" s="13" t="n">
        <f aca="false">SUMIFS(打擊成績!$P$2:$P$901,打擊成績!$A$2:$A$901,$A28,打擊成績!$D$2:$D$901,$B28)</f>
        <v>138</v>
      </c>
      <c r="N28" s="13" t="n">
        <f aca="false">SUMIFS(打擊成績!$Q$2:$Q$901,打擊成績!$A$2:$A$901,$A28,打擊成績!$D$2:$D$901,$B28)</f>
        <v>515</v>
      </c>
      <c r="O28" s="13" t="n">
        <f aca="false">SUMIFS(打擊成績!$V$2:$V$901,打擊成績!$A$2:$A$901,$A28,打擊成績!$D$2:$D$901,$B28)</f>
        <v>146</v>
      </c>
      <c r="P28" s="14" t="n">
        <f aca="false">IF(J28=0,0,K28/J28)</f>
        <v>0.249940376818507</v>
      </c>
      <c r="Q28" s="14" t="n">
        <f aca="false">IF(J28=0,0,L28/J28)</f>
        <v>0.417600763176723</v>
      </c>
      <c r="R28" s="11" t="n">
        <f aca="false">COUNTIFS(投手成績!$A$2:$A$901,$A28,投手成績!$D$2:$D$901,$B28)</f>
        <v>10</v>
      </c>
      <c r="S28" s="13" t="n">
        <f aca="false">SUMIFS(投手成績!$O$2:$O$901,投手成績!$A$2:$A$901,$A28,投手成績!$D$2:$D$901,$B28)</f>
        <v>2668</v>
      </c>
      <c r="T28" s="16" t="n">
        <f aca="false">S28/3</f>
        <v>889.333333333333</v>
      </c>
      <c r="U28" s="13" t="n">
        <f aca="false">SUMIFS(投手成績!$W$2:$W$901,投手成績!$A$2:$A$901,$A28,投手成績!$D$2:$D$901,$B28)</f>
        <v>920</v>
      </c>
      <c r="V28" s="13" t="n">
        <f aca="false">SUMIFS(投手成績!$T$2:$T$901,投手成績!$A$2:$A$901,$A28,投手成績!$D$2:$D$901,$B28)</f>
        <v>329</v>
      </c>
      <c r="W28" s="18" t="n">
        <f aca="false">IF(S28=0,0,V28*27/S28)</f>
        <v>3.32946026986507</v>
      </c>
      <c r="X28" s="18" t="n">
        <f aca="false">IF(S28=0,0,U28*27/S28)</f>
        <v>9.31034482758621</v>
      </c>
    </row>
    <row r="29" customFormat="false" ht="15" hidden="false" customHeight="false" outlineLevel="0" collapsed="false">
      <c r="A29" s="5" t="n">
        <v>2024</v>
      </c>
      <c r="B29" s="7" t="s">
        <v>455</v>
      </c>
      <c r="C29" s="10" t="str">
        <f aca="false">INDEX(球隊主檔!$C$2:$C$31,MATCH($B29,球隊主檔!$A$2:$A$31,0))</f>
        <v>洛杉磯道奇</v>
      </c>
      <c r="D29" s="10" t="str">
        <f aca="false">INDEX(球隊主檔!$D$2:$D$31,MATCH($B29,球隊主檔!$A$2:$A$31,0))</f>
        <v>國聯</v>
      </c>
      <c r="E29" s="10" t="str">
        <f aca="false">INDEX(球隊主檔!$E$2:$E$31,MATCH($B29,球隊主檔!$A$2:$A$31,0))</f>
        <v>國西</v>
      </c>
      <c r="F29" s="19" t="n">
        <f aca="false">SUMIFS(球隊戰績!$F$2:$F$91,球隊戰績!$A$2:$A$91,$A29,球隊戰績!$B$2:$B$91,$B29)</f>
        <v>79</v>
      </c>
      <c r="G29" s="14" t="n">
        <f aca="false">IF(INDEX(球季參數!$B$2:$B$4,MATCH($A29,球季參數!$A$2:$A$4,0))=0,0,F29/INDEX(球季參數!$B$2:$B$4,MATCH($A29,球季參數!$A$2:$A$4,0)))</f>
        <v>0.487654320987654</v>
      </c>
      <c r="H29" s="11" t="n">
        <f aca="false">COUNTIFS(打擊成績!$A$2:$A$901,$A29,打擊成績!$D$2:$D$901,$B29)</f>
        <v>10</v>
      </c>
      <c r="I29" s="13" t="n">
        <f aca="false">SUMIFS(打擊成績!$J$2:$J$901,打擊成績!$A$2:$A$901,$A29,打擊成績!$D$2:$D$901,$B29)</f>
        <v>4396</v>
      </c>
      <c r="J29" s="13" t="n">
        <f aca="false">SUMIFS(打擊成績!$K$2:$K$901,打擊成績!$A$2:$A$901,$A29,打擊成績!$D$2:$D$901,$B29)</f>
        <v>3994</v>
      </c>
      <c r="K29" s="13" t="n">
        <f aca="false">SUMIFS(打擊成績!$M$2:$M$901,打擊成績!$A$2:$A$901,$A29,打擊成績!$D$2:$D$901,$B29)</f>
        <v>1026</v>
      </c>
      <c r="L29" s="13" t="n">
        <f aca="false">SUMIFS(打擊成績!$X$2:$X$901,打擊成績!$A$2:$A$901,$A29,打擊成績!$D$2:$D$901,$B29)</f>
        <v>1783</v>
      </c>
      <c r="M29" s="13" t="n">
        <f aca="false">SUMIFS(打擊成績!$P$2:$P$901,打擊成績!$A$2:$A$901,$A29,打擊成績!$D$2:$D$901,$B29)</f>
        <v>154</v>
      </c>
      <c r="N29" s="13" t="n">
        <f aca="false">SUMIFS(打擊成績!$Q$2:$Q$901,打擊成績!$A$2:$A$901,$A29,打擊成績!$D$2:$D$901,$B29)</f>
        <v>528</v>
      </c>
      <c r="O29" s="13" t="n">
        <f aca="false">SUMIFS(打擊成績!$V$2:$V$901,打擊成績!$A$2:$A$901,$A29,打擊成績!$D$2:$D$901,$B29)</f>
        <v>97</v>
      </c>
      <c r="P29" s="14" t="n">
        <f aca="false">IF(J29=0,0,K29/J29)</f>
        <v>0.256885327991988</v>
      </c>
      <c r="Q29" s="14" t="n">
        <f aca="false">IF(J29=0,0,L29/J29)</f>
        <v>0.446419629444166</v>
      </c>
      <c r="R29" s="11" t="n">
        <f aca="false">COUNTIFS(投手成績!$A$2:$A$901,$A29,投手成績!$D$2:$D$901,$B29)</f>
        <v>10</v>
      </c>
      <c r="S29" s="13" t="n">
        <f aca="false">SUMIFS(投手成績!$O$2:$O$901,投手成績!$A$2:$A$901,$A29,投手成績!$D$2:$D$901,$B29)</f>
        <v>2841</v>
      </c>
      <c r="T29" s="16" t="n">
        <f aca="false">S29/3</f>
        <v>947</v>
      </c>
      <c r="U29" s="13" t="n">
        <f aca="false">SUMIFS(投手成績!$W$2:$W$901,投手成績!$A$2:$A$901,$A29,投手成績!$D$2:$D$901,$B29)</f>
        <v>864</v>
      </c>
      <c r="V29" s="13" t="n">
        <f aca="false">SUMIFS(投手成績!$T$2:$T$901,投手成績!$A$2:$A$901,$A29,投手成績!$D$2:$D$901,$B29)</f>
        <v>436</v>
      </c>
      <c r="W29" s="18" t="n">
        <f aca="false">IF(S29=0,0,V29*27/S29)</f>
        <v>4.14361140443506</v>
      </c>
      <c r="X29" s="18" t="n">
        <f aca="false">IF(S29=0,0,U29*27/S29)</f>
        <v>8.21119324181626</v>
      </c>
    </row>
    <row r="30" customFormat="false" ht="15" hidden="false" customHeight="false" outlineLevel="0" collapsed="false">
      <c r="A30" s="5" t="n">
        <v>2024</v>
      </c>
      <c r="B30" s="7" t="s">
        <v>459</v>
      </c>
      <c r="C30" s="10" t="str">
        <f aca="false">INDEX(球隊主檔!$C$2:$C$31,MATCH($B30,球隊主檔!$A$2:$A$31,0))</f>
        <v>聖地牙哥教士</v>
      </c>
      <c r="D30" s="10" t="str">
        <f aca="false">INDEX(球隊主檔!$D$2:$D$31,MATCH($B30,球隊主檔!$A$2:$A$31,0))</f>
        <v>國聯</v>
      </c>
      <c r="E30" s="10" t="str">
        <f aca="false">INDEX(球隊主檔!$E$2:$E$31,MATCH($B30,球隊主檔!$A$2:$A$31,0))</f>
        <v>國西</v>
      </c>
      <c r="F30" s="19" t="n">
        <f aca="false">SUMIFS(球隊戰績!$F$2:$F$91,球隊戰績!$A$2:$A$91,$A30,球隊戰績!$B$2:$B$91,$B30)</f>
        <v>84</v>
      </c>
      <c r="G30" s="14" t="n">
        <f aca="false">IF(INDEX(球季參數!$B$2:$B$4,MATCH($A30,球季參數!$A$2:$A$4,0))=0,0,F30/INDEX(球季參數!$B$2:$B$4,MATCH($A30,球季參數!$A$2:$A$4,0)))</f>
        <v>0.518518518518519</v>
      </c>
      <c r="H30" s="11" t="n">
        <f aca="false">COUNTIFS(打擊成績!$A$2:$A$901,$A30,打擊成績!$D$2:$D$901,$B30)</f>
        <v>10</v>
      </c>
      <c r="I30" s="13" t="n">
        <f aca="false">SUMIFS(打擊成績!$J$2:$J$901,打擊成績!$A$2:$A$901,$A30,打擊成績!$D$2:$D$901,$B30)</f>
        <v>4352</v>
      </c>
      <c r="J30" s="13" t="n">
        <f aca="false">SUMIFS(打擊成績!$K$2:$K$901,打擊成績!$A$2:$A$901,$A30,打擊成績!$D$2:$D$901,$B30)</f>
        <v>3909</v>
      </c>
      <c r="K30" s="13" t="n">
        <f aca="false">SUMIFS(打擊成績!$M$2:$M$901,打擊成績!$A$2:$A$901,$A30,打擊成績!$D$2:$D$901,$B30)</f>
        <v>971</v>
      </c>
      <c r="L30" s="13" t="n">
        <f aca="false">SUMIFS(打擊成績!$X$2:$X$901,打擊成績!$A$2:$A$901,$A30,打擊成績!$D$2:$D$901,$B30)</f>
        <v>1663</v>
      </c>
      <c r="M30" s="13" t="n">
        <f aca="false">SUMIFS(打擊成績!$P$2:$P$901,打擊成績!$A$2:$A$901,$A30,打擊成績!$D$2:$D$901,$B30)</f>
        <v>120</v>
      </c>
      <c r="N30" s="13" t="n">
        <f aca="false">SUMIFS(打擊成績!$Q$2:$Q$901,打擊成績!$A$2:$A$901,$A30,打擊成績!$D$2:$D$901,$B30)</f>
        <v>478</v>
      </c>
      <c r="O30" s="13" t="n">
        <f aca="false">SUMIFS(打擊成績!$V$2:$V$901,打擊成績!$A$2:$A$901,$A30,打擊成績!$D$2:$D$901,$B30)</f>
        <v>84</v>
      </c>
      <c r="P30" s="14" t="n">
        <f aca="false">IF(J30=0,0,K30/J30)</f>
        <v>0.248401125607572</v>
      </c>
      <c r="Q30" s="14" t="n">
        <f aca="false">IF(J30=0,0,L30/J30)</f>
        <v>0.425428498337171</v>
      </c>
      <c r="R30" s="11" t="n">
        <f aca="false">COUNTIFS(投手成績!$A$2:$A$901,$A30,投手成績!$D$2:$D$901,$B30)</f>
        <v>10</v>
      </c>
      <c r="S30" s="13" t="n">
        <f aca="false">SUMIFS(投手成績!$O$2:$O$901,投手成績!$A$2:$A$901,$A30,投手成績!$D$2:$D$901,$B30)</f>
        <v>2955</v>
      </c>
      <c r="T30" s="16" t="n">
        <f aca="false">S30/3</f>
        <v>985</v>
      </c>
      <c r="U30" s="13" t="n">
        <f aca="false">SUMIFS(投手成績!$W$2:$W$901,投手成績!$A$2:$A$901,$A30,投手成績!$D$2:$D$901,$B30)</f>
        <v>1126</v>
      </c>
      <c r="V30" s="13" t="n">
        <f aca="false">SUMIFS(投手成績!$T$2:$T$901,投手成績!$A$2:$A$901,$A30,投手成績!$D$2:$D$901,$B30)</f>
        <v>509</v>
      </c>
      <c r="W30" s="18" t="n">
        <f aca="false">IF(S30=0,0,V30*27/S30)</f>
        <v>4.6507614213198</v>
      </c>
      <c r="X30" s="18" t="n">
        <f aca="false">IF(S30=0,0,U30*27/S30)</f>
        <v>10.2883248730964</v>
      </c>
    </row>
    <row r="31" customFormat="false" ht="15" hidden="false" customHeight="false" outlineLevel="0" collapsed="false">
      <c r="A31" s="5" t="n">
        <v>2024</v>
      </c>
      <c r="B31" s="7" t="s">
        <v>463</v>
      </c>
      <c r="C31" s="10" t="str">
        <f aca="false">INDEX(球隊主檔!$C$2:$C$31,MATCH($B31,球隊主檔!$A$2:$A$31,0))</f>
        <v>舊金山巨人</v>
      </c>
      <c r="D31" s="10" t="str">
        <f aca="false">INDEX(球隊主檔!$D$2:$D$31,MATCH($B31,球隊主檔!$A$2:$A$31,0))</f>
        <v>國聯</v>
      </c>
      <c r="E31" s="10" t="str">
        <f aca="false">INDEX(球隊主檔!$E$2:$E$31,MATCH($B31,球隊主檔!$A$2:$A$31,0))</f>
        <v>國西</v>
      </c>
      <c r="F31" s="19" t="n">
        <f aca="false">SUMIFS(球隊戰績!$F$2:$F$91,球隊戰績!$A$2:$A$91,$A31,球隊戰績!$B$2:$B$91,$B31)</f>
        <v>78</v>
      </c>
      <c r="G31" s="14" t="n">
        <f aca="false">IF(INDEX(球季參數!$B$2:$B$4,MATCH($A31,球季參數!$A$2:$A$4,0))=0,0,F31/INDEX(球季參數!$B$2:$B$4,MATCH($A31,球季參數!$A$2:$A$4,0)))</f>
        <v>0.481481481481481</v>
      </c>
      <c r="H31" s="11" t="n">
        <f aca="false">COUNTIFS(打擊成績!$A$2:$A$901,$A31,打擊成績!$D$2:$D$901,$B31)</f>
        <v>10</v>
      </c>
      <c r="I31" s="13" t="n">
        <f aca="false">SUMIFS(打擊成績!$J$2:$J$901,打擊成績!$A$2:$A$901,$A31,打擊成績!$D$2:$D$901,$B31)</f>
        <v>4820</v>
      </c>
      <c r="J31" s="13" t="n">
        <f aca="false">SUMIFS(打擊成績!$K$2:$K$901,打擊成績!$A$2:$A$901,$A31,打擊成績!$D$2:$D$901,$B31)</f>
        <v>4349</v>
      </c>
      <c r="K31" s="13" t="n">
        <f aca="false">SUMIFS(打擊成績!$M$2:$M$901,打擊成績!$A$2:$A$901,$A31,打擊成績!$D$2:$D$901,$B31)</f>
        <v>1059</v>
      </c>
      <c r="L31" s="13" t="n">
        <f aca="false">SUMIFS(打擊成績!$X$2:$X$901,打擊成績!$A$2:$A$901,$A31,打擊成績!$D$2:$D$901,$B31)</f>
        <v>1824</v>
      </c>
      <c r="M31" s="13" t="n">
        <f aca="false">SUMIFS(打擊成績!$P$2:$P$901,打擊成績!$A$2:$A$901,$A31,打擊成績!$D$2:$D$901,$B31)</f>
        <v>135</v>
      </c>
      <c r="N31" s="13" t="n">
        <f aca="false">SUMIFS(打擊成績!$Q$2:$Q$901,打擊成績!$A$2:$A$901,$A31,打擊成績!$D$2:$D$901,$B31)</f>
        <v>535</v>
      </c>
      <c r="O31" s="13" t="n">
        <f aca="false">SUMIFS(打擊成績!$V$2:$V$901,打擊成績!$A$2:$A$901,$A31,打擊成績!$D$2:$D$901,$B31)</f>
        <v>169</v>
      </c>
      <c r="P31" s="14" t="n">
        <f aca="false">IF(J31=0,0,K31/J31)</f>
        <v>0.24350425385146</v>
      </c>
      <c r="Q31" s="14" t="n">
        <f aca="false">IF(J31=0,0,L31/J31)</f>
        <v>0.419406760174753</v>
      </c>
      <c r="R31" s="11" t="n">
        <f aca="false">COUNTIFS(投手成績!$A$2:$A$901,$A31,投手成績!$D$2:$D$901,$B31)</f>
        <v>10</v>
      </c>
      <c r="S31" s="13" t="n">
        <f aca="false">SUMIFS(投手成績!$O$2:$O$901,投手成績!$A$2:$A$901,$A31,投手成績!$D$2:$D$901,$B31)</f>
        <v>3070</v>
      </c>
      <c r="T31" s="16" t="n">
        <f aca="false">S31/3</f>
        <v>1023.33333333333</v>
      </c>
      <c r="U31" s="13" t="n">
        <f aca="false">SUMIFS(投手成績!$W$2:$W$901,投手成績!$A$2:$A$901,$A31,投手成績!$D$2:$D$901,$B31)</f>
        <v>1054</v>
      </c>
      <c r="V31" s="13" t="n">
        <f aca="false">SUMIFS(投手成績!$T$2:$T$901,投手成績!$A$2:$A$901,$A31,投手成績!$D$2:$D$901,$B31)</f>
        <v>505</v>
      </c>
      <c r="W31" s="18" t="n">
        <f aca="false">IF(S31=0,0,V31*27/S31)</f>
        <v>4.4413680781759</v>
      </c>
      <c r="X31" s="18" t="n">
        <f aca="false">IF(S31=0,0,U31*27/S31)</f>
        <v>9.26970684039088</v>
      </c>
    </row>
    <row r="32" customFormat="false" ht="15" hidden="false" customHeight="false" outlineLevel="0" collapsed="false">
      <c r="A32" s="5" t="n">
        <v>2025</v>
      </c>
      <c r="B32" s="7" t="s">
        <v>340</v>
      </c>
      <c r="C32" s="10" t="str">
        <f aca="false">INDEX(球隊主檔!$C$2:$C$31,MATCH($B32,球隊主檔!$A$2:$A$31,0))</f>
        <v>巴爾的摩金鶯</v>
      </c>
      <c r="D32" s="10" t="str">
        <f aca="false">INDEX(球隊主檔!$D$2:$D$31,MATCH($B32,球隊主檔!$A$2:$A$31,0))</f>
        <v>美聯</v>
      </c>
      <c r="E32" s="10" t="str">
        <f aca="false">INDEX(球隊主檔!$E$2:$E$31,MATCH($B32,球隊主檔!$A$2:$A$31,0))</f>
        <v>美東</v>
      </c>
      <c r="F32" s="19" t="n">
        <f aca="false">SUMIFS(球隊戰績!$F$2:$F$91,球隊戰績!$A$2:$A$91,$A32,球隊戰績!$B$2:$B$91,$B32)</f>
        <v>84</v>
      </c>
      <c r="G32" s="14" t="n">
        <f aca="false">IF(INDEX(球季參數!$B$2:$B$4,MATCH($A32,球季參數!$A$2:$A$4,0))=0,0,F32/INDEX(球季參數!$B$2:$B$4,MATCH($A32,球季參數!$A$2:$A$4,0)))</f>
        <v>0.518518518518519</v>
      </c>
      <c r="H32" s="11" t="n">
        <f aca="false">COUNTIFS(打擊成績!$A$2:$A$901,$A32,打擊成績!$D$2:$D$901,$B32)</f>
        <v>10</v>
      </c>
      <c r="I32" s="13" t="n">
        <f aca="false">SUMIFS(打擊成績!$J$2:$J$901,打擊成績!$A$2:$A$901,$A32,打擊成績!$D$2:$D$901,$B32)</f>
        <v>5494</v>
      </c>
      <c r="J32" s="13" t="n">
        <f aca="false">SUMIFS(打擊成績!$K$2:$K$901,打擊成績!$A$2:$A$901,$A32,打擊成績!$D$2:$D$901,$B32)</f>
        <v>4929</v>
      </c>
      <c r="K32" s="13" t="n">
        <f aca="false">SUMIFS(打擊成績!$M$2:$M$901,打擊成績!$A$2:$A$901,$A32,打擊成績!$D$2:$D$901,$B32)</f>
        <v>1120</v>
      </c>
      <c r="L32" s="13" t="n">
        <f aca="false">SUMIFS(打擊成績!$X$2:$X$901,打擊成績!$A$2:$A$901,$A32,打擊成績!$D$2:$D$901,$B32)</f>
        <v>1977</v>
      </c>
      <c r="M32" s="13" t="n">
        <f aca="false">SUMIFS(打擊成績!$P$2:$P$901,打擊成績!$A$2:$A$901,$A32,打擊成績!$D$2:$D$901,$B32)</f>
        <v>169</v>
      </c>
      <c r="N32" s="13" t="n">
        <f aca="false">SUMIFS(打擊成績!$Q$2:$Q$901,打擊成績!$A$2:$A$901,$A32,打擊成績!$D$2:$D$901,$B32)</f>
        <v>579</v>
      </c>
      <c r="O32" s="13" t="n">
        <f aca="false">SUMIFS(打擊成績!$V$2:$V$901,打擊成績!$A$2:$A$901,$A32,打擊成績!$D$2:$D$901,$B32)</f>
        <v>108</v>
      </c>
      <c r="P32" s="14" t="n">
        <f aca="false">IF(J32=0,0,K32/J32)</f>
        <v>0.227226617975249</v>
      </c>
      <c r="Q32" s="14" t="n">
        <f aca="false">IF(J32=0,0,L32/J32)</f>
        <v>0.401095556908095</v>
      </c>
      <c r="R32" s="11" t="n">
        <f aca="false">COUNTIFS(投手成績!$A$2:$A$901,$A32,投手成績!$D$2:$D$901,$B32)</f>
        <v>10</v>
      </c>
      <c r="S32" s="13" t="n">
        <f aca="false">SUMIFS(投手成績!$O$2:$O$901,投手成績!$A$2:$A$901,$A32,投手成績!$D$2:$D$901,$B32)</f>
        <v>2911</v>
      </c>
      <c r="T32" s="16" t="n">
        <f aca="false">S32/3</f>
        <v>970.333333333333</v>
      </c>
      <c r="U32" s="13" t="n">
        <f aca="false">SUMIFS(投手成績!$W$2:$W$901,投手成績!$A$2:$A$901,$A32,投手成績!$D$2:$D$901,$B32)</f>
        <v>939</v>
      </c>
      <c r="V32" s="13" t="n">
        <f aca="false">SUMIFS(投手成績!$T$2:$T$901,投手成績!$A$2:$A$901,$A32,投手成績!$D$2:$D$901,$B32)</f>
        <v>461</v>
      </c>
      <c r="W32" s="18" t="n">
        <f aca="false">IF(S32=0,0,V32*27/S32)</f>
        <v>4.27585022329097</v>
      </c>
      <c r="X32" s="18" t="n">
        <f aca="false">IF(S32=0,0,U32*27/S32)</f>
        <v>8.70937822054277</v>
      </c>
    </row>
    <row r="33" customFormat="false" ht="15" hidden="false" customHeight="false" outlineLevel="0" collapsed="false">
      <c r="A33" s="5" t="n">
        <v>2025</v>
      </c>
      <c r="B33" s="7" t="s">
        <v>346</v>
      </c>
      <c r="C33" s="10" t="str">
        <f aca="false">INDEX(球隊主檔!$C$2:$C$31,MATCH($B33,球隊主檔!$A$2:$A$31,0))</f>
        <v>波士頓紅襪</v>
      </c>
      <c r="D33" s="10" t="str">
        <f aca="false">INDEX(球隊主檔!$D$2:$D$31,MATCH($B33,球隊主檔!$A$2:$A$31,0))</f>
        <v>美聯</v>
      </c>
      <c r="E33" s="10" t="str">
        <f aca="false">INDEX(球隊主檔!$E$2:$E$31,MATCH($B33,球隊主檔!$A$2:$A$31,0))</f>
        <v>美東</v>
      </c>
      <c r="F33" s="19" t="n">
        <f aca="false">SUMIFS(球隊戰績!$F$2:$F$91,球隊戰績!$A$2:$A$91,$A33,球隊戰績!$B$2:$B$91,$B33)</f>
        <v>84</v>
      </c>
      <c r="G33" s="14" t="n">
        <f aca="false">IF(INDEX(球季參數!$B$2:$B$4,MATCH($A33,球季參數!$A$2:$A$4,0))=0,0,F33/INDEX(球季參數!$B$2:$B$4,MATCH($A33,球季參數!$A$2:$A$4,0)))</f>
        <v>0.518518518518519</v>
      </c>
      <c r="H33" s="11" t="n">
        <f aca="false">COUNTIFS(打擊成績!$A$2:$A$901,$A33,打擊成績!$D$2:$D$901,$B33)</f>
        <v>10</v>
      </c>
      <c r="I33" s="13" t="n">
        <f aca="false">SUMIFS(打擊成績!$J$2:$J$901,打擊成績!$A$2:$A$901,$A33,打擊成績!$D$2:$D$901,$B33)</f>
        <v>4734</v>
      </c>
      <c r="J33" s="13" t="n">
        <f aca="false">SUMIFS(打擊成績!$K$2:$K$901,打擊成績!$A$2:$A$901,$A33,打擊成績!$D$2:$D$901,$B33)</f>
        <v>4231</v>
      </c>
      <c r="K33" s="13" t="n">
        <f aca="false">SUMIFS(打擊成績!$M$2:$M$901,打擊成績!$A$2:$A$901,$A33,打擊成績!$D$2:$D$901,$B33)</f>
        <v>1050</v>
      </c>
      <c r="L33" s="13" t="n">
        <f aca="false">SUMIFS(打擊成績!$X$2:$X$901,打擊成績!$A$2:$A$901,$A33,打擊成績!$D$2:$D$901,$B33)</f>
        <v>1975</v>
      </c>
      <c r="M33" s="13" t="n">
        <f aca="false">SUMIFS(打擊成績!$P$2:$P$901,打擊成績!$A$2:$A$901,$A33,打擊成績!$D$2:$D$901,$B33)</f>
        <v>198</v>
      </c>
      <c r="N33" s="13" t="n">
        <f aca="false">SUMIFS(打擊成績!$Q$2:$Q$901,打擊成績!$A$2:$A$901,$A33,打擊成績!$D$2:$D$901,$B33)</f>
        <v>659</v>
      </c>
      <c r="O33" s="13" t="n">
        <f aca="false">SUMIFS(打擊成績!$V$2:$V$901,打擊成績!$A$2:$A$901,$A33,打擊成績!$D$2:$D$901,$B33)</f>
        <v>149</v>
      </c>
      <c r="P33" s="14" t="n">
        <f aca="false">IF(J33=0,0,K33/J33)</f>
        <v>0.248168281730087</v>
      </c>
      <c r="Q33" s="14" t="n">
        <f aca="false">IF(J33=0,0,L33/J33)</f>
        <v>0.466792720397069</v>
      </c>
      <c r="R33" s="11" t="n">
        <f aca="false">COUNTIFS(投手成績!$A$2:$A$901,$A33,投手成績!$D$2:$D$901,$B33)</f>
        <v>10</v>
      </c>
      <c r="S33" s="13" t="n">
        <f aca="false">SUMIFS(投手成績!$O$2:$O$901,投手成績!$A$2:$A$901,$A33,投手成績!$D$2:$D$901,$B33)</f>
        <v>2865</v>
      </c>
      <c r="T33" s="16" t="n">
        <f aca="false">S33/3</f>
        <v>955</v>
      </c>
      <c r="U33" s="13" t="n">
        <f aca="false">SUMIFS(投手成績!$W$2:$W$901,投手成績!$A$2:$A$901,$A33,投手成績!$D$2:$D$901,$B33)</f>
        <v>926</v>
      </c>
      <c r="V33" s="13" t="n">
        <f aca="false">SUMIFS(投手成績!$T$2:$T$901,投手成績!$A$2:$A$901,$A33,投手成績!$D$2:$D$901,$B33)</f>
        <v>377</v>
      </c>
      <c r="W33" s="18" t="n">
        <f aca="false">IF(S33=0,0,V33*27/S33)</f>
        <v>3.55287958115183</v>
      </c>
      <c r="X33" s="18" t="n">
        <f aca="false">IF(S33=0,0,U33*27/S33)</f>
        <v>8.72670157068063</v>
      </c>
    </row>
    <row r="34" customFormat="false" ht="15" hidden="false" customHeight="false" outlineLevel="0" collapsed="false">
      <c r="A34" s="5" t="n">
        <v>2025</v>
      </c>
      <c r="B34" s="7" t="s">
        <v>350</v>
      </c>
      <c r="C34" s="10" t="str">
        <f aca="false">INDEX(球隊主檔!$C$2:$C$31,MATCH($B34,球隊主檔!$A$2:$A$31,0))</f>
        <v>紐約洋基</v>
      </c>
      <c r="D34" s="10" t="str">
        <f aca="false">INDEX(球隊主檔!$D$2:$D$31,MATCH($B34,球隊主檔!$A$2:$A$31,0))</f>
        <v>美聯</v>
      </c>
      <c r="E34" s="10" t="str">
        <f aca="false">INDEX(球隊主檔!$E$2:$E$31,MATCH($B34,球隊主檔!$A$2:$A$31,0))</f>
        <v>美東</v>
      </c>
      <c r="F34" s="19" t="n">
        <f aca="false">SUMIFS(球隊戰績!$F$2:$F$91,球隊戰績!$A$2:$A$91,$A34,球隊戰績!$B$2:$B$91,$B34)</f>
        <v>95</v>
      </c>
      <c r="G34" s="14" t="n">
        <f aca="false">IF(INDEX(球季參數!$B$2:$B$4,MATCH($A34,球季參數!$A$2:$A$4,0))=0,0,F34/INDEX(球季參數!$B$2:$B$4,MATCH($A34,球季參數!$A$2:$A$4,0)))</f>
        <v>0.58641975308642</v>
      </c>
      <c r="H34" s="11" t="n">
        <f aca="false">COUNTIFS(打擊成績!$A$2:$A$901,$A34,打擊成績!$D$2:$D$901,$B34)</f>
        <v>10</v>
      </c>
      <c r="I34" s="13" t="n">
        <f aca="false">SUMIFS(打擊成績!$J$2:$J$901,打擊成績!$A$2:$A$901,$A34,打擊成績!$D$2:$D$901,$B34)</f>
        <v>5237</v>
      </c>
      <c r="J34" s="13" t="n">
        <f aca="false">SUMIFS(打擊成績!$K$2:$K$901,打擊成績!$A$2:$A$901,$A34,打擊成績!$D$2:$D$901,$B34)</f>
        <v>4701</v>
      </c>
      <c r="K34" s="13" t="n">
        <f aca="false">SUMIFS(打擊成績!$M$2:$M$901,打擊成績!$A$2:$A$901,$A34,打擊成績!$D$2:$D$901,$B34)</f>
        <v>1174</v>
      </c>
      <c r="L34" s="13" t="n">
        <f aca="false">SUMIFS(打擊成績!$X$2:$X$901,打擊成績!$A$2:$A$901,$A34,打擊成績!$D$2:$D$901,$B34)</f>
        <v>2159</v>
      </c>
      <c r="M34" s="13" t="n">
        <f aca="false">SUMIFS(打擊成績!$P$2:$P$901,打擊成績!$A$2:$A$901,$A34,打擊成績!$D$2:$D$901,$B34)</f>
        <v>206</v>
      </c>
      <c r="N34" s="13" t="n">
        <f aca="false">SUMIFS(打擊成績!$Q$2:$Q$901,打擊成績!$A$2:$A$901,$A34,打擊成績!$D$2:$D$901,$B34)</f>
        <v>708</v>
      </c>
      <c r="O34" s="13" t="n">
        <f aca="false">SUMIFS(打擊成績!$V$2:$V$901,打擊成績!$A$2:$A$901,$A34,打擊成績!$D$2:$D$901,$B34)</f>
        <v>61</v>
      </c>
      <c r="P34" s="14" t="n">
        <f aca="false">IF(J34=0,0,K34/J34)</f>
        <v>0.249734099127845</v>
      </c>
      <c r="Q34" s="14" t="n">
        <f aca="false">IF(J34=0,0,L34/J34)</f>
        <v>0.459263986385875</v>
      </c>
      <c r="R34" s="11" t="n">
        <f aca="false">COUNTIFS(投手成績!$A$2:$A$901,$A34,投手成績!$D$2:$D$901,$B34)</f>
        <v>10</v>
      </c>
      <c r="S34" s="13" t="n">
        <f aca="false">SUMIFS(投手成績!$O$2:$O$901,投手成績!$A$2:$A$901,$A34,投手成績!$D$2:$D$901,$B34)</f>
        <v>2822</v>
      </c>
      <c r="T34" s="16" t="n">
        <f aca="false">S34/3</f>
        <v>940.666666666667</v>
      </c>
      <c r="U34" s="13" t="n">
        <f aca="false">SUMIFS(投手成績!$W$2:$W$901,投手成績!$A$2:$A$901,$A34,投手成績!$D$2:$D$901,$B34)</f>
        <v>873</v>
      </c>
      <c r="V34" s="13" t="n">
        <f aca="false">SUMIFS(投手成績!$T$2:$T$901,投手成績!$A$2:$A$901,$A34,投手成績!$D$2:$D$901,$B34)</f>
        <v>386</v>
      </c>
      <c r="W34" s="18" t="n">
        <f aca="false">IF(S34=0,0,V34*27/S34)</f>
        <v>3.69312544294826</v>
      </c>
      <c r="X34" s="18" t="n">
        <f aca="false">IF(S34=0,0,U34*27/S34)</f>
        <v>8.35258681785967</v>
      </c>
    </row>
    <row r="35" customFormat="false" ht="15" hidden="false" customHeight="false" outlineLevel="0" collapsed="false">
      <c r="A35" s="5" t="n">
        <v>2025</v>
      </c>
      <c r="B35" s="7" t="s">
        <v>354</v>
      </c>
      <c r="C35" s="10" t="str">
        <f aca="false">INDEX(球隊主檔!$C$2:$C$31,MATCH($B35,球隊主檔!$A$2:$A$31,0))</f>
        <v>坦帕灣光芒</v>
      </c>
      <c r="D35" s="10" t="str">
        <f aca="false">INDEX(球隊主檔!$D$2:$D$31,MATCH($B35,球隊主檔!$A$2:$A$31,0))</f>
        <v>美聯</v>
      </c>
      <c r="E35" s="10" t="str">
        <f aca="false">INDEX(球隊主檔!$E$2:$E$31,MATCH($B35,球隊主檔!$A$2:$A$31,0))</f>
        <v>美東</v>
      </c>
      <c r="F35" s="19" t="n">
        <f aca="false">SUMIFS(球隊戰績!$F$2:$F$91,球隊戰績!$A$2:$A$91,$A35,球隊戰績!$B$2:$B$91,$B35)</f>
        <v>76</v>
      </c>
      <c r="G35" s="14" t="n">
        <f aca="false">IF(INDEX(球季參數!$B$2:$B$4,MATCH($A35,球季參數!$A$2:$A$4,0))=0,0,F35/INDEX(球季參數!$B$2:$B$4,MATCH($A35,球季參數!$A$2:$A$4,0)))</f>
        <v>0.469135802469136</v>
      </c>
      <c r="H35" s="11" t="n">
        <f aca="false">COUNTIFS(打擊成績!$A$2:$A$901,$A35,打擊成績!$D$2:$D$901,$B35)</f>
        <v>10</v>
      </c>
      <c r="I35" s="13" t="n">
        <f aca="false">SUMIFS(打擊成績!$J$2:$J$901,打擊成績!$A$2:$A$901,$A35,打擊成績!$D$2:$D$901,$B35)</f>
        <v>4721</v>
      </c>
      <c r="J35" s="13" t="n">
        <f aca="false">SUMIFS(打擊成績!$K$2:$K$901,打擊成績!$A$2:$A$901,$A35,打擊成績!$D$2:$D$901,$B35)</f>
        <v>4219</v>
      </c>
      <c r="K35" s="13" t="n">
        <f aca="false">SUMIFS(打擊成績!$M$2:$M$901,打擊成績!$A$2:$A$901,$A35,打擊成績!$D$2:$D$901,$B35)</f>
        <v>959</v>
      </c>
      <c r="L35" s="13" t="n">
        <f aca="false">SUMIFS(打擊成績!$X$2:$X$901,打擊成績!$A$2:$A$901,$A35,打擊成績!$D$2:$D$901,$B35)</f>
        <v>1642</v>
      </c>
      <c r="M35" s="13" t="n">
        <f aca="false">SUMIFS(打擊成績!$P$2:$P$901,打擊成績!$A$2:$A$901,$A35,打擊成績!$D$2:$D$901,$B35)</f>
        <v>104</v>
      </c>
      <c r="N35" s="13" t="n">
        <f aca="false">SUMIFS(打擊成績!$Q$2:$Q$901,打擊成績!$A$2:$A$901,$A35,打擊成績!$D$2:$D$901,$B35)</f>
        <v>458</v>
      </c>
      <c r="O35" s="13" t="n">
        <f aca="false">SUMIFS(打擊成績!$V$2:$V$901,打擊成績!$A$2:$A$901,$A35,打擊成績!$D$2:$D$901,$B35)</f>
        <v>93</v>
      </c>
      <c r="P35" s="14" t="n">
        <f aca="false">IF(J35=0,0,K35/J35)</f>
        <v>0.227305048589713</v>
      </c>
      <c r="Q35" s="14" t="n">
        <f aca="false">IF(J35=0,0,L35/J35)</f>
        <v>0.389191751599905</v>
      </c>
      <c r="R35" s="11" t="n">
        <f aca="false">COUNTIFS(投手成績!$A$2:$A$901,$A35,投手成績!$D$2:$D$901,$B35)</f>
        <v>10</v>
      </c>
      <c r="S35" s="13" t="n">
        <f aca="false">SUMIFS(投手成績!$O$2:$O$901,投手成績!$A$2:$A$901,$A35,投手成績!$D$2:$D$901,$B35)</f>
        <v>2913</v>
      </c>
      <c r="T35" s="16" t="n">
        <f aca="false">S35/3</f>
        <v>971</v>
      </c>
      <c r="U35" s="13" t="n">
        <f aca="false">SUMIFS(投手成績!$W$2:$W$901,投手成績!$A$2:$A$901,$A35,投手成績!$D$2:$D$901,$B35)</f>
        <v>886</v>
      </c>
      <c r="V35" s="13" t="n">
        <f aca="false">SUMIFS(投手成績!$T$2:$T$901,投手成績!$A$2:$A$901,$A35,投手成績!$D$2:$D$901,$B35)</f>
        <v>465</v>
      </c>
      <c r="W35" s="18" t="n">
        <f aca="false">IF(S35=0,0,V35*27/S35)</f>
        <v>4.30998970133883</v>
      </c>
      <c r="X35" s="18" t="n">
        <f aca="false">IF(S35=0,0,U35*27/S35)</f>
        <v>8.21215242018538</v>
      </c>
    </row>
    <row r="36" customFormat="false" ht="15" hidden="false" customHeight="false" outlineLevel="0" collapsed="false">
      <c r="A36" s="5" t="n">
        <v>2025</v>
      </c>
      <c r="B36" s="7" t="s">
        <v>358</v>
      </c>
      <c r="C36" s="10" t="str">
        <f aca="false">INDEX(球隊主檔!$C$2:$C$31,MATCH($B36,球隊主檔!$A$2:$A$31,0))</f>
        <v>多倫多藍鳥</v>
      </c>
      <c r="D36" s="10" t="str">
        <f aca="false">INDEX(球隊主檔!$D$2:$D$31,MATCH($B36,球隊主檔!$A$2:$A$31,0))</f>
        <v>美聯</v>
      </c>
      <c r="E36" s="10" t="str">
        <f aca="false">INDEX(球隊主檔!$E$2:$E$31,MATCH($B36,球隊主檔!$A$2:$A$31,0))</f>
        <v>美東</v>
      </c>
      <c r="F36" s="19" t="n">
        <f aca="false">SUMIFS(球隊戰績!$F$2:$F$91,球隊戰績!$A$2:$A$91,$A36,球隊戰績!$B$2:$B$91,$B36)</f>
        <v>90</v>
      </c>
      <c r="G36" s="14" t="n">
        <f aca="false">IF(INDEX(球季參數!$B$2:$B$4,MATCH($A36,球季參數!$A$2:$A$4,0))=0,0,F36/INDEX(球季參數!$B$2:$B$4,MATCH($A36,球季參數!$A$2:$A$4,0)))</f>
        <v>0.555555555555556</v>
      </c>
      <c r="H36" s="11" t="n">
        <f aca="false">COUNTIFS(打擊成績!$A$2:$A$901,$A36,打擊成績!$D$2:$D$901,$B36)</f>
        <v>10</v>
      </c>
      <c r="I36" s="13" t="n">
        <f aca="false">SUMIFS(打擊成績!$J$2:$J$901,打擊成績!$A$2:$A$901,$A36,打擊成績!$D$2:$D$901,$B36)</f>
        <v>4815</v>
      </c>
      <c r="J36" s="13" t="n">
        <f aca="false">SUMIFS(打擊成績!$K$2:$K$901,打擊成績!$A$2:$A$901,$A36,打擊成績!$D$2:$D$901,$B36)</f>
        <v>4298</v>
      </c>
      <c r="K36" s="13" t="n">
        <f aca="false">SUMIFS(打擊成績!$M$2:$M$901,打擊成績!$A$2:$A$901,$A36,打擊成績!$D$2:$D$901,$B36)</f>
        <v>1054</v>
      </c>
      <c r="L36" s="13" t="n">
        <f aca="false">SUMIFS(打擊成績!$X$2:$X$901,打擊成績!$A$2:$A$901,$A36,打擊成績!$D$2:$D$901,$B36)</f>
        <v>1855</v>
      </c>
      <c r="M36" s="13" t="n">
        <f aca="false">SUMIFS(打擊成績!$P$2:$P$901,打擊成績!$A$2:$A$901,$A36,打擊成績!$D$2:$D$901,$B36)</f>
        <v>147</v>
      </c>
      <c r="N36" s="13" t="n">
        <f aca="false">SUMIFS(打擊成績!$Q$2:$Q$901,打擊成績!$A$2:$A$901,$A36,打擊成績!$D$2:$D$901,$B36)</f>
        <v>548</v>
      </c>
      <c r="O36" s="13" t="n">
        <f aca="false">SUMIFS(打擊成績!$V$2:$V$901,打擊成績!$A$2:$A$901,$A36,打擊成績!$D$2:$D$901,$B36)</f>
        <v>125</v>
      </c>
      <c r="P36" s="14" t="n">
        <f aca="false">IF(J36=0,0,K36/J36)</f>
        <v>0.24523033969288</v>
      </c>
      <c r="Q36" s="14" t="n">
        <f aca="false">IF(J36=0,0,L36/J36)</f>
        <v>0.431596091205212</v>
      </c>
      <c r="R36" s="11" t="n">
        <f aca="false">COUNTIFS(投手成績!$A$2:$A$901,$A36,投手成績!$D$2:$D$901,$B36)</f>
        <v>10</v>
      </c>
      <c r="S36" s="13" t="n">
        <f aca="false">SUMIFS(投手成績!$O$2:$O$901,投手成績!$A$2:$A$901,$A36,投手成績!$D$2:$D$901,$B36)</f>
        <v>3058</v>
      </c>
      <c r="T36" s="16" t="n">
        <f aca="false">S36/3</f>
        <v>1019.33333333333</v>
      </c>
      <c r="U36" s="13" t="n">
        <f aca="false">SUMIFS(投手成績!$W$2:$W$901,投手成績!$A$2:$A$901,$A36,投手成績!$D$2:$D$901,$B36)</f>
        <v>1140</v>
      </c>
      <c r="V36" s="13" t="n">
        <f aca="false">SUMIFS(投手成績!$T$2:$T$901,投手成績!$A$2:$A$901,$A36,投手成績!$D$2:$D$901,$B36)</f>
        <v>466</v>
      </c>
      <c r="W36" s="18" t="n">
        <f aca="false">IF(S36=0,0,V36*27/S36)</f>
        <v>4.11445389143231</v>
      </c>
      <c r="X36" s="18" t="n">
        <f aca="false">IF(S36=0,0,U36*27/S36)</f>
        <v>10.0654022236756</v>
      </c>
    </row>
    <row r="37" customFormat="false" ht="15" hidden="false" customHeight="false" outlineLevel="0" collapsed="false">
      <c r="A37" s="5" t="n">
        <v>2025</v>
      </c>
      <c r="B37" s="7" t="s">
        <v>362</v>
      </c>
      <c r="C37" s="10" t="str">
        <f aca="false">INDEX(球隊主檔!$C$2:$C$31,MATCH($B37,球隊主檔!$A$2:$A$31,0))</f>
        <v>芝加哥白襪</v>
      </c>
      <c r="D37" s="10" t="str">
        <f aca="false">INDEX(球隊主檔!$D$2:$D$31,MATCH($B37,球隊主檔!$A$2:$A$31,0))</f>
        <v>美聯</v>
      </c>
      <c r="E37" s="10" t="str">
        <f aca="false">INDEX(球隊主檔!$E$2:$E$31,MATCH($B37,球隊主檔!$A$2:$A$31,0))</f>
        <v>美中</v>
      </c>
      <c r="F37" s="19" t="n">
        <f aca="false">SUMIFS(球隊戰績!$F$2:$F$91,球隊戰績!$A$2:$A$91,$A37,球隊戰績!$B$2:$B$91,$B37)</f>
        <v>76</v>
      </c>
      <c r="G37" s="14" t="n">
        <f aca="false">IF(INDEX(球季參數!$B$2:$B$4,MATCH($A37,球季參數!$A$2:$A$4,0))=0,0,F37/INDEX(球季參數!$B$2:$B$4,MATCH($A37,球季參數!$A$2:$A$4,0)))</f>
        <v>0.469135802469136</v>
      </c>
      <c r="H37" s="11" t="n">
        <f aca="false">COUNTIFS(打擊成績!$A$2:$A$901,$A37,打擊成績!$D$2:$D$901,$B37)</f>
        <v>10</v>
      </c>
      <c r="I37" s="13" t="n">
        <f aca="false">SUMIFS(打擊成績!$J$2:$J$901,打擊成績!$A$2:$A$901,$A37,打擊成績!$D$2:$D$901,$B37)</f>
        <v>4777</v>
      </c>
      <c r="J37" s="13" t="n">
        <f aca="false">SUMIFS(打擊成績!$K$2:$K$901,打擊成績!$A$2:$A$901,$A37,打擊成績!$D$2:$D$901,$B37)</f>
        <v>4345</v>
      </c>
      <c r="K37" s="13" t="n">
        <f aca="false">SUMIFS(打擊成績!$M$2:$M$901,打擊成績!$A$2:$A$901,$A37,打擊成績!$D$2:$D$901,$B37)</f>
        <v>1069</v>
      </c>
      <c r="L37" s="13" t="n">
        <f aca="false">SUMIFS(打擊成績!$X$2:$X$901,打擊成績!$A$2:$A$901,$A37,打擊成績!$D$2:$D$901,$B37)</f>
        <v>1836</v>
      </c>
      <c r="M37" s="13" t="n">
        <f aca="false">SUMIFS(打擊成績!$P$2:$P$901,打擊成績!$A$2:$A$901,$A37,打擊成績!$D$2:$D$901,$B37)</f>
        <v>137</v>
      </c>
      <c r="N37" s="13" t="n">
        <f aca="false">SUMIFS(打擊成績!$Q$2:$Q$901,打擊成績!$A$2:$A$901,$A37,打擊成績!$D$2:$D$901,$B37)</f>
        <v>569</v>
      </c>
      <c r="O37" s="13" t="n">
        <f aca="false">SUMIFS(打擊成績!$V$2:$V$901,打擊成績!$A$2:$A$901,$A37,打擊成績!$D$2:$D$901,$B37)</f>
        <v>84</v>
      </c>
      <c r="P37" s="14" t="n">
        <f aca="false">IF(J37=0,0,K37/J37)</f>
        <v>0.246029919447641</v>
      </c>
      <c r="Q37" s="14" t="n">
        <f aca="false">IF(J37=0,0,L37/J37)</f>
        <v>0.422554660529344</v>
      </c>
      <c r="R37" s="11" t="n">
        <f aca="false">COUNTIFS(投手成績!$A$2:$A$901,$A37,投手成績!$D$2:$D$901,$B37)</f>
        <v>10</v>
      </c>
      <c r="S37" s="13" t="n">
        <f aca="false">SUMIFS(投手成績!$O$2:$O$901,投手成績!$A$2:$A$901,$A37,投手成績!$D$2:$D$901,$B37)</f>
        <v>2726</v>
      </c>
      <c r="T37" s="16" t="n">
        <f aca="false">S37/3</f>
        <v>908.666666666667</v>
      </c>
      <c r="U37" s="13" t="n">
        <f aca="false">SUMIFS(投手成績!$W$2:$W$901,投手成績!$A$2:$A$901,$A37,投手成績!$D$2:$D$901,$B37)</f>
        <v>920</v>
      </c>
      <c r="V37" s="13" t="n">
        <f aca="false">SUMIFS(投手成績!$T$2:$T$901,投手成績!$A$2:$A$901,$A37,投手成績!$D$2:$D$901,$B37)</f>
        <v>448</v>
      </c>
      <c r="W37" s="18" t="n">
        <f aca="false">IF(S37=0,0,V37*27/S37)</f>
        <v>4.43727072633896</v>
      </c>
      <c r="X37" s="18" t="n">
        <f aca="false">IF(S37=0,0,U37*27/S37)</f>
        <v>9.11225238444608</v>
      </c>
    </row>
    <row r="38" customFormat="false" ht="15" hidden="false" customHeight="false" outlineLevel="0" collapsed="false">
      <c r="A38" s="5" t="n">
        <v>2025</v>
      </c>
      <c r="B38" s="7" t="s">
        <v>367</v>
      </c>
      <c r="C38" s="10" t="str">
        <f aca="false">INDEX(球隊主檔!$C$2:$C$31,MATCH($B38,球隊主檔!$A$2:$A$31,0))</f>
        <v>克里夫蘭守護者</v>
      </c>
      <c r="D38" s="10" t="str">
        <f aca="false">INDEX(球隊主檔!$D$2:$D$31,MATCH($B38,球隊主檔!$A$2:$A$31,0))</f>
        <v>美聯</v>
      </c>
      <c r="E38" s="10" t="str">
        <f aca="false">INDEX(球隊主檔!$E$2:$E$31,MATCH($B38,球隊主檔!$A$2:$A$31,0))</f>
        <v>美中</v>
      </c>
      <c r="F38" s="19" t="n">
        <f aca="false">SUMIFS(球隊戰績!$F$2:$F$91,球隊戰績!$A$2:$A$91,$A38,球隊戰績!$B$2:$B$91,$B38)</f>
        <v>81</v>
      </c>
      <c r="G38" s="14" t="n">
        <f aca="false">IF(INDEX(球季參數!$B$2:$B$4,MATCH($A38,球季參數!$A$2:$A$4,0))=0,0,F38/INDEX(球季參數!$B$2:$B$4,MATCH($A38,球季參數!$A$2:$A$4,0)))</f>
        <v>0.5</v>
      </c>
      <c r="H38" s="11" t="n">
        <f aca="false">COUNTIFS(打擊成績!$A$2:$A$901,$A38,打擊成績!$D$2:$D$901,$B38)</f>
        <v>10</v>
      </c>
      <c r="I38" s="13" t="n">
        <f aca="false">SUMIFS(打擊成績!$J$2:$J$901,打擊成績!$A$2:$A$901,$A38,打擊成績!$D$2:$D$901,$B38)</f>
        <v>4337</v>
      </c>
      <c r="J38" s="13" t="n">
        <f aca="false">SUMIFS(打擊成績!$K$2:$K$901,打擊成績!$A$2:$A$901,$A38,打擊成績!$D$2:$D$901,$B38)</f>
        <v>3894</v>
      </c>
      <c r="K38" s="13" t="n">
        <f aca="false">SUMIFS(打擊成績!$M$2:$M$901,打擊成績!$A$2:$A$901,$A38,打擊成績!$D$2:$D$901,$B38)</f>
        <v>985</v>
      </c>
      <c r="L38" s="13" t="n">
        <f aca="false">SUMIFS(打擊成績!$X$2:$X$901,打擊成績!$A$2:$A$901,$A38,打擊成績!$D$2:$D$901,$B38)</f>
        <v>1685</v>
      </c>
      <c r="M38" s="13" t="n">
        <f aca="false">SUMIFS(打擊成績!$P$2:$P$901,打擊成績!$A$2:$A$901,$A38,打擊成績!$D$2:$D$901,$B38)</f>
        <v>131</v>
      </c>
      <c r="N38" s="13" t="n">
        <f aca="false">SUMIFS(打擊成績!$Q$2:$Q$901,打擊成績!$A$2:$A$901,$A38,打擊成績!$D$2:$D$901,$B38)</f>
        <v>505</v>
      </c>
      <c r="O38" s="13" t="n">
        <f aca="false">SUMIFS(打擊成績!$V$2:$V$901,打擊成績!$A$2:$A$901,$A38,打擊成績!$D$2:$D$901,$B38)</f>
        <v>90</v>
      </c>
      <c r="P38" s="14" t="n">
        <f aca="false">IF(J38=0,0,K38/J38)</f>
        <v>0.252953261427838</v>
      </c>
      <c r="Q38" s="14" t="n">
        <f aca="false">IF(J38=0,0,L38/J38)</f>
        <v>0.432717000513611</v>
      </c>
      <c r="R38" s="11" t="n">
        <f aca="false">COUNTIFS(投手成績!$A$2:$A$901,$A38,投手成績!$D$2:$D$901,$B38)</f>
        <v>10</v>
      </c>
      <c r="S38" s="13" t="n">
        <f aca="false">SUMIFS(投手成績!$O$2:$O$901,投手成績!$A$2:$A$901,$A38,投手成績!$D$2:$D$901,$B38)</f>
        <v>3074</v>
      </c>
      <c r="T38" s="16" t="n">
        <f aca="false">S38/3</f>
        <v>1024.66666666667</v>
      </c>
      <c r="U38" s="13" t="n">
        <f aca="false">SUMIFS(投手成績!$W$2:$W$901,投手成績!$A$2:$A$901,$A38,投手成績!$D$2:$D$901,$B38)</f>
        <v>1093</v>
      </c>
      <c r="V38" s="13" t="n">
        <f aca="false">SUMIFS(投手成績!$T$2:$T$901,投手成績!$A$2:$A$901,$A38,投手成績!$D$2:$D$901,$B38)</f>
        <v>469</v>
      </c>
      <c r="W38" s="18" t="n">
        <f aca="false">IF(S38=0,0,V38*27/S38)</f>
        <v>4.11938841899805</v>
      </c>
      <c r="X38" s="18" t="n">
        <f aca="false">IF(S38=0,0,U38*27/S38)</f>
        <v>9.60019518542616</v>
      </c>
    </row>
    <row r="39" customFormat="false" ht="15" hidden="false" customHeight="false" outlineLevel="0" collapsed="false">
      <c r="A39" s="5" t="n">
        <v>2025</v>
      </c>
      <c r="B39" s="7" t="s">
        <v>371</v>
      </c>
      <c r="C39" s="10" t="str">
        <f aca="false">INDEX(球隊主檔!$C$2:$C$31,MATCH($B39,球隊主檔!$A$2:$A$31,0))</f>
        <v>底特律老虎</v>
      </c>
      <c r="D39" s="10" t="str">
        <f aca="false">INDEX(球隊主檔!$D$2:$D$31,MATCH($B39,球隊主檔!$A$2:$A$31,0))</f>
        <v>美聯</v>
      </c>
      <c r="E39" s="10" t="str">
        <f aca="false">INDEX(球隊主檔!$E$2:$E$31,MATCH($B39,球隊主檔!$A$2:$A$31,0))</f>
        <v>美中</v>
      </c>
      <c r="F39" s="19" t="n">
        <f aca="false">SUMIFS(球隊戰績!$F$2:$F$91,球隊戰績!$A$2:$A$91,$A39,球隊戰績!$B$2:$B$91,$B39)</f>
        <v>94</v>
      </c>
      <c r="G39" s="14" t="n">
        <f aca="false">IF(INDEX(球季參數!$B$2:$B$4,MATCH($A39,球季參數!$A$2:$A$4,0))=0,0,F39/INDEX(球季參數!$B$2:$B$4,MATCH($A39,球季參數!$A$2:$A$4,0)))</f>
        <v>0.580246913580247</v>
      </c>
      <c r="H39" s="11" t="n">
        <f aca="false">COUNTIFS(打擊成績!$A$2:$A$901,$A39,打擊成績!$D$2:$D$901,$B39)</f>
        <v>10</v>
      </c>
      <c r="I39" s="13" t="n">
        <f aca="false">SUMIFS(打擊成績!$J$2:$J$901,打擊成績!$A$2:$A$901,$A39,打擊成績!$D$2:$D$901,$B39)</f>
        <v>4434</v>
      </c>
      <c r="J39" s="13" t="n">
        <f aca="false">SUMIFS(打擊成績!$K$2:$K$901,打擊成績!$A$2:$A$901,$A39,打擊成績!$D$2:$D$901,$B39)</f>
        <v>3983</v>
      </c>
      <c r="K39" s="13" t="n">
        <f aca="false">SUMIFS(打擊成績!$M$2:$M$901,打擊成績!$A$2:$A$901,$A39,打擊成績!$D$2:$D$901,$B39)</f>
        <v>947</v>
      </c>
      <c r="L39" s="13" t="n">
        <f aca="false">SUMIFS(打擊成績!$X$2:$X$901,打擊成績!$A$2:$A$901,$A39,打擊成績!$D$2:$D$901,$B39)</f>
        <v>1689</v>
      </c>
      <c r="M39" s="13" t="n">
        <f aca="false">SUMIFS(打擊成績!$P$2:$P$901,打擊成績!$A$2:$A$901,$A39,打擊成績!$D$2:$D$901,$B39)</f>
        <v>139</v>
      </c>
      <c r="N39" s="13" t="n">
        <f aca="false">SUMIFS(打擊成績!$Q$2:$Q$901,打擊成績!$A$2:$A$901,$A39,打擊成績!$D$2:$D$901,$B39)</f>
        <v>500</v>
      </c>
      <c r="O39" s="13" t="n">
        <f aca="false">SUMIFS(打擊成績!$V$2:$V$901,打擊成績!$A$2:$A$901,$A39,打擊成績!$D$2:$D$901,$B39)</f>
        <v>102</v>
      </c>
      <c r="P39" s="14" t="n">
        <f aca="false">IF(J39=0,0,K39/J39)</f>
        <v>0.237760482048707</v>
      </c>
      <c r="Q39" s="14" t="n">
        <f aca="false">IF(J39=0,0,L39/J39)</f>
        <v>0.424052221943259</v>
      </c>
      <c r="R39" s="11" t="n">
        <f aca="false">COUNTIFS(投手成績!$A$2:$A$901,$A39,投手成績!$D$2:$D$901,$B39)</f>
        <v>10</v>
      </c>
      <c r="S39" s="13" t="n">
        <f aca="false">SUMIFS(投手成績!$O$2:$O$901,投手成績!$A$2:$A$901,$A39,投手成績!$D$2:$D$901,$B39)</f>
        <v>2836</v>
      </c>
      <c r="T39" s="16" t="n">
        <f aca="false">S39/3</f>
        <v>945.333333333333</v>
      </c>
      <c r="U39" s="13" t="n">
        <f aca="false">SUMIFS(投手成績!$W$2:$W$901,投手成績!$A$2:$A$901,$A39,投手成績!$D$2:$D$901,$B39)</f>
        <v>951</v>
      </c>
      <c r="V39" s="13" t="n">
        <f aca="false">SUMIFS(投手成績!$T$2:$T$901,投手成績!$A$2:$A$901,$A39,投手成績!$D$2:$D$901,$B39)</f>
        <v>475</v>
      </c>
      <c r="W39" s="18" t="n">
        <f aca="false">IF(S39=0,0,V39*27/S39)</f>
        <v>4.5222143864598</v>
      </c>
      <c r="X39" s="18" t="n">
        <f aca="false">IF(S39=0,0,U39*27/S39)</f>
        <v>9.05394922425952</v>
      </c>
    </row>
    <row r="40" customFormat="false" ht="15" hidden="false" customHeight="false" outlineLevel="0" collapsed="false">
      <c r="A40" s="5" t="n">
        <v>2025</v>
      </c>
      <c r="B40" s="7" t="s">
        <v>375</v>
      </c>
      <c r="C40" s="10" t="str">
        <f aca="false">INDEX(球隊主檔!$C$2:$C$31,MATCH($B40,球隊主檔!$A$2:$A$31,0))</f>
        <v>堪薩斯市皇家</v>
      </c>
      <c r="D40" s="10" t="str">
        <f aca="false">INDEX(球隊主檔!$D$2:$D$31,MATCH($B40,球隊主檔!$A$2:$A$31,0))</f>
        <v>美聯</v>
      </c>
      <c r="E40" s="10" t="str">
        <f aca="false">INDEX(球隊主檔!$E$2:$E$31,MATCH($B40,球隊主檔!$A$2:$A$31,0))</f>
        <v>美中</v>
      </c>
      <c r="F40" s="19" t="n">
        <f aca="false">SUMIFS(球隊戰績!$F$2:$F$91,球隊戰績!$A$2:$A$91,$A40,球隊戰績!$B$2:$B$91,$B40)</f>
        <v>89</v>
      </c>
      <c r="G40" s="14" t="n">
        <f aca="false">IF(INDEX(球季參數!$B$2:$B$4,MATCH($A40,球季參數!$A$2:$A$4,0))=0,0,F40/INDEX(球季參數!$B$2:$B$4,MATCH($A40,球季參數!$A$2:$A$4,0)))</f>
        <v>0.549382716049383</v>
      </c>
      <c r="H40" s="11" t="n">
        <f aca="false">COUNTIFS(打擊成績!$A$2:$A$901,$A40,打擊成績!$D$2:$D$901,$B40)</f>
        <v>10</v>
      </c>
      <c r="I40" s="13" t="n">
        <f aca="false">SUMIFS(打擊成績!$J$2:$J$901,打擊成績!$A$2:$A$901,$A40,打擊成績!$D$2:$D$901,$B40)</f>
        <v>4714</v>
      </c>
      <c r="J40" s="13" t="n">
        <f aca="false">SUMIFS(打擊成績!$K$2:$K$901,打擊成績!$A$2:$A$901,$A40,打擊成績!$D$2:$D$901,$B40)</f>
        <v>4251</v>
      </c>
      <c r="K40" s="13" t="n">
        <f aca="false">SUMIFS(打擊成績!$M$2:$M$901,打擊成績!$A$2:$A$901,$A40,打擊成績!$D$2:$D$901,$B40)</f>
        <v>1126</v>
      </c>
      <c r="L40" s="13" t="n">
        <f aca="false">SUMIFS(打擊成績!$X$2:$X$901,打擊成績!$A$2:$A$901,$A40,打擊成績!$D$2:$D$901,$B40)</f>
        <v>1951</v>
      </c>
      <c r="M40" s="13" t="n">
        <f aca="false">SUMIFS(打擊成績!$P$2:$P$901,打擊成績!$A$2:$A$901,$A40,打擊成績!$D$2:$D$901,$B40)</f>
        <v>152</v>
      </c>
      <c r="N40" s="13" t="n">
        <f aca="false">SUMIFS(打擊成績!$Q$2:$Q$901,打擊成績!$A$2:$A$901,$A40,打擊成績!$D$2:$D$901,$B40)</f>
        <v>557</v>
      </c>
      <c r="O40" s="13" t="n">
        <f aca="false">SUMIFS(打擊成績!$V$2:$V$901,打擊成績!$A$2:$A$901,$A40,打擊成績!$D$2:$D$901,$B40)</f>
        <v>138</v>
      </c>
      <c r="P40" s="14" t="n">
        <f aca="false">IF(J40=0,0,K40/J40)</f>
        <v>0.264878852034815</v>
      </c>
      <c r="Q40" s="14" t="n">
        <f aca="false">IF(J40=0,0,L40/J40)</f>
        <v>0.458950835097624</v>
      </c>
      <c r="R40" s="11" t="n">
        <f aca="false">COUNTIFS(投手成績!$A$2:$A$901,$A40,投手成績!$D$2:$D$901,$B40)</f>
        <v>10</v>
      </c>
      <c r="S40" s="13" t="n">
        <f aca="false">SUMIFS(投手成績!$O$2:$O$901,投手成績!$A$2:$A$901,$A40,投手成績!$D$2:$D$901,$B40)</f>
        <v>2764</v>
      </c>
      <c r="T40" s="16" t="n">
        <f aca="false">S40/3</f>
        <v>921.333333333333</v>
      </c>
      <c r="U40" s="13" t="n">
        <f aca="false">SUMIFS(投手成績!$W$2:$W$901,投手成績!$A$2:$A$901,$A40,投手成績!$D$2:$D$901,$B40)</f>
        <v>868</v>
      </c>
      <c r="V40" s="13" t="n">
        <f aca="false">SUMIFS(投手成績!$T$2:$T$901,投手成績!$A$2:$A$901,$A40,投手成績!$D$2:$D$901,$B40)</f>
        <v>539</v>
      </c>
      <c r="W40" s="18" t="n">
        <f aca="false">IF(S40=0,0,V40*27/S40)</f>
        <v>5.26519536903039</v>
      </c>
      <c r="X40" s="18" t="n">
        <f aca="false">IF(S40=0,0,U40*27/S40)</f>
        <v>8.47901591895803</v>
      </c>
    </row>
    <row r="41" customFormat="false" ht="15" hidden="false" customHeight="false" outlineLevel="0" collapsed="false">
      <c r="A41" s="5" t="n">
        <v>2025</v>
      </c>
      <c r="B41" s="7" t="s">
        <v>379</v>
      </c>
      <c r="C41" s="10" t="str">
        <f aca="false">INDEX(球隊主檔!$C$2:$C$31,MATCH($B41,球隊主檔!$A$2:$A$31,0))</f>
        <v>明尼蘇達雙城</v>
      </c>
      <c r="D41" s="10" t="str">
        <f aca="false">INDEX(球隊主檔!$D$2:$D$31,MATCH($B41,球隊主檔!$A$2:$A$31,0))</f>
        <v>美聯</v>
      </c>
      <c r="E41" s="10" t="str">
        <f aca="false">INDEX(球隊主檔!$E$2:$E$31,MATCH($B41,球隊主檔!$A$2:$A$31,0))</f>
        <v>美中</v>
      </c>
      <c r="F41" s="19" t="n">
        <f aca="false">SUMIFS(球隊戰績!$F$2:$F$91,球隊戰績!$A$2:$A$91,$A41,球隊戰績!$B$2:$B$91,$B41)</f>
        <v>86</v>
      </c>
      <c r="G41" s="14" t="n">
        <f aca="false">IF(INDEX(球季參數!$B$2:$B$4,MATCH($A41,球季參數!$A$2:$A$4,0))=0,0,F41/INDEX(球季參數!$B$2:$B$4,MATCH($A41,球季參數!$A$2:$A$4,0)))</f>
        <v>0.530864197530864</v>
      </c>
      <c r="H41" s="11" t="n">
        <f aca="false">COUNTIFS(打擊成績!$A$2:$A$901,$A41,打擊成績!$D$2:$D$901,$B41)</f>
        <v>10</v>
      </c>
      <c r="I41" s="13" t="n">
        <f aca="false">SUMIFS(打擊成績!$J$2:$J$901,打擊成績!$A$2:$A$901,$A41,打擊成績!$D$2:$D$901,$B41)</f>
        <v>4520</v>
      </c>
      <c r="J41" s="13" t="n">
        <f aca="false">SUMIFS(打擊成績!$K$2:$K$901,打擊成績!$A$2:$A$901,$A41,打擊成績!$D$2:$D$901,$B41)</f>
        <v>4012</v>
      </c>
      <c r="K41" s="13" t="n">
        <f aca="false">SUMIFS(打擊成績!$M$2:$M$901,打擊成績!$A$2:$A$901,$A41,打擊成績!$D$2:$D$901,$B41)</f>
        <v>1001</v>
      </c>
      <c r="L41" s="13" t="n">
        <f aca="false">SUMIFS(打擊成績!$X$2:$X$901,打擊成績!$A$2:$A$901,$A41,打擊成績!$D$2:$D$901,$B41)</f>
        <v>1833</v>
      </c>
      <c r="M41" s="13" t="n">
        <f aca="false">SUMIFS(打擊成績!$P$2:$P$901,打擊成績!$A$2:$A$901,$A41,打擊成績!$D$2:$D$901,$B41)</f>
        <v>157</v>
      </c>
      <c r="N41" s="13" t="n">
        <f aca="false">SUMIFS(打擊成績!$Q$2:$Q$901,打擊成績!$A$2:$A$901,$A41,打擊成績!$D$2:$D$901,$B41)</f>
        <v>576</v>
      </c>
      <c r="O41" s="13" t="n">
        <f aca="false">SUMIFS(打擊成績!$V$2:$V$901,打擊成績!$A$2:$A$901,$A41,打擊成績!$D$2:$D$901,$B41)</f>
        <v>75</v>
      </c>
      <c r="P41" s="14" t="n">
        <f aca="false">IF(J41=0,0,K41/J41)</f>
        <v>0.24950149551346</v>
      </c>
      <c r="Q41" s="14" t="n">
        <f aca="false">IF(J41=0,0,L41/J41)</f>
        <v>0.456879361914257</v>
      </c>
      <c r="R41" s="11" t="n">
        <f aca="false">COUNTIFS(投手成績!$A$2:$A$901,$A41,投手成績!$D$2:$D$901,$B41)</f>
        <v>10</v>
      </c>
      <c r="S41" s="13" t="n">
        <f aca="false">SUMIFS(投手成績!$O$2:$O$901,投手成績!$A$2:$A$901,$A41,投手成績!$D$2:$D$901,$B41)</f>
        <v>2651</v>
      </c>
      <c r="T41" s="16" t="n">
        <f aca="false">S41/3</f>
        <v>883.666666666667</v>
      </c>
      <c r="U41" s="13" t="n">
        <f aca="false">SUMIFS(投手成績!$W$2:$W$901,投手成績!$A$2:$A$901,$A41,投手成績!$D$2:$D$901,$B41)</f>
        <v>873</v>
      </c>
      <c r="V41" s="13" t="n">
        <f aca="false">SUMIFS(投手成績!$T$2:$T$901,投手成績!$A$2:$A$901,$A41,投手成績!$D$2:$D$901,$B41)</f>
        <v>437</v>
      </c>
      <c r="W41" s="18" t="n">
        <f aca="false">IF(S41=0,0,V41*27/S41)</f>
        <v>4.45077329309695</v>
      </c>
      <c r="X41" s="18" t="n">
        <f aca="false">IF(S41=0,0,U41*27/S41)</f>
        <v>8.89136175028291</v>
      </c>
    </row>
    <row r="42" customFormat="false" ht="15" hidden="false" customHeight="false" outlineLevel="0" collapsed="false">
      <c r="A42" s="5" t="n">
        <v>2025</v>
      </c>
      <c r="B42" s="7" t="s">
        <v>383</v>
      </c>
      <c r="C42" s="10" t="str">
        <f aca="false">INDEX(球隊主檔!$C$2:$C$31,MATCH($B42,球隊主檔!$A$2:$A$31,0))</f>
        <v>運動家</v>
      </c>
      <c r="D42" s="10" t="str">
        <f aca="false">INDEX(球隊主檔!$D$2:$D$31,MATCH($B42,球隊主檔!$A$2:$A$31,0))</f>
        <v>美聯</v>
      </c>
      <c r="E42" s="10" t="str">
        <f aca="false">INDEX(球隊主檔!$E$2:$E$31,MATCH($B42,球隊主檔!$A$2:$A$31,0))</f>
        <v>美西</v>
      </c>
      <c r="F42" s="19" t="n">
        <f aca="false">SUMIFS(球隊戰績!$F$2:$F$91,球隊戰績!$A$2:$A$91,$A42,球隊戰績!$B$2:$B$91,$B42)</f>
        <v>77</v>
      </c>
      <c r="G42" s="14" t="n">
        <f aca="false">IF(INDEX(球季參數!$B$2:$B$4,MATCH($A42,球季參數!$A$2:$A$4,0))=0,0,F42/INDEX(球季參數!$B$2:$B$4,MATCH($A42,球季參數!$A$2:$A$4,0)))</f>
        <v>0.475308641975309</v>
      </c>
      <c r="H42" s="11" t="n">
        <f aca="false">COUNTIFS(打擊成績!$A$2:$A$901,$A42,打擊成績!$D$2:$D$901,$B42)</f>
        <v>10</v>
      </c>
      <c r="I42" s="13" t="n">
        <f aca="false">SUMIFS(打擊成績!$J$2:$J$901,打擊成績!$A$2:$A$901,$A42,打擊成績!$D$2:$D$901,$B42)</f>
        <v>4955</v>
      </c>
      <c r="J42" s="13" t="n">
        <f aca="false">SUMIFS(打擊成績!$K$2:$K$901,打擊成績!$A$2:$A$901,$A42,打擊成績!$D$2:$D$901,$B42)</f>
        <v>4428</v>
      </c>
      <c r="K42" s="13" t="n">
        <f aca="false">SUMIFS(打擊成績!$M$2:$M$901,打擊成績!$A$2:$A$901,$A42,打擊成績!$D$2:$D$901,$B42)</f>
        <v>1041</v>
      </c>
      <c r="L42" s="13" t="n">
        <f aca="false">SUMIFS(打擊成績!$X$2:$X$901,打擊成績!$A$2:$A$901,$A42,打擊成績!$D$2:$D$901,$B42)</f>
        <v>1918</v>
      </c>
      <c r="M42" s="13" t="n">
        <f aca="false">SUMIFS(打擊成績!$P$2:$P$901,打擊成績!$A$2:$A$901,$A42,打擊成績!$D$2:$D$901,$B42)</f>
        <v>176</v>
      </c>
      <c r="N42" s="13" t="n">
        <f aca="false">SUMIFS(打擊成績!$Q$2:$Q$901,打擊成績!$A$2:$A$901,$A42,打擊成績!$D$2:$D$901,$B42)</f>
        <v>597</v>
      </c>
      <c r="O42" s="13" t="n">
        <f aca="false">SUMIFS(打擊成績!$V$2:$V$901,打擊成績!$A$2:$A$901,$A42,打擊成績!$D$2:$D$901,$B42)</f>
        <v>167</v>
      </c>
      <c r="P42" s="14" t="n">
        <f aca="false">IF(J42=0,0,K42/J42)</f>
        <v>0.23509485094851</v>
      </c>
      <c r="Q42" s="14" t="n">
        <f aca="false">IF(J42=0,0,L42/J42)</f>
        <v>0.433152664859982</v>
      </c>
      <c r="R42" s="11" t="n">
        <f aca="false">COUNTIFS(投手成績!$A$2:$A$901,$A42,投手成績!$D$2:$D$901,$B42)</f>
        <v>10</v>
      </c>
      <c r="S42" s="13" t="n">
        <f aca="false">SUMIFS(投手成績!$O$2:$O$901,投手成績!$A$2:$A$901,$A42,投手成績!$D$2:$D$901,$B42)</f>
        <v>3148</v>
      </c>
      <c r="T42" s="16" t="n">
        <f aca="false">S42/3</f>
        <v>1049.33333333333</v>
      </c>
      <c r="U42" s="13" t="n">
        <f aca="false">SUMIFS(投手成績!$W$2:$W$901,投手成績!$A$2:$A$901,$A42,投手成績!$D$2:$D$901,$B42)</f>
        <v>903</v>
      </c>
      <c r="V42" s="13" t="n">
        <f aca="false">SUMIFS(投手成績!$T$2:$T$901,投手成績!$A$2:$A$901,$A42,投手成績!$D$2:$D$901,$B42)</f>
        <v>462</v>
      </c>
      <c r="W42" s="18" t="n">
        <f aca="false">IF(S42=0,0,V42*27/S42)</f>
        <v>3.96251588310038</v>
      </c>
      <c r="X42" s="18" t="n">
        <f aca="false">IF(S42=0,0,U42*27/S42)</f>
        <v>7.74491740787802</v>
      </c>
    </row>
    <row r="43" customFormat="false" ht="15" hidden="false" customHeight="false" outlineLevel="0" collapsed="false">
      <c r="A43" s="5" t="n">
        <v>2025</v>
      </c>
      <c r="B43" s="7" t="s">
        <v>388</v>
      </c>
      <c r="C43" s="10" t="str">
        <f aca="false">INDEX(球隊主檔!$C$2:$C$31,MATCH($B43,球隊主檔!$A$2:$A$31,0))</f>
        <v>休士頓太空人</v>
      </c>
      <c r="D43" s="10" t="str">
        <f aca="false">INDEX(球隊主檔!$D$2:$D$31,MATCH($B43,球隊主檔!$A$2:$A$31,0))</f>
        <v>美聯</v>
      </c>
      <c r="E43" s="10" t="str">
        <f aca="false">INDEX(球隊主檔!$E$2:$E$31,MATCH($B43,球隊主檔!$A$2:$A$31,0))</f>
        <v>美西</v>
      </c>
      <c r="F43" s="19" t="n">
        <f aca="false">SUMIFS(球隊戰績!$F$2:$F$91,球隊戰績!$A$2:$A$91,$A43,球隊戰績!$B$2:$B$91,$B43)</f>
        <v>96</v>
      </c>
      <c r="G43" s="14" t="n">
        <f aca="false">IF(INDEX(球季參數!$B$2:$B$4,MATCH($A43,球季參數!$A$2:$A$4,0))=0,0,F43/INDEX(球季參數!$B$2:$B$4,MATCH($A43,球季參數!$A$2:$A$4,0)))</f>
        <v>0.592592592592593</v>
      </c>
      <c r="H43" s="11" t="n">
        <f aca="false">COUNTIFS(打擊成績!$A$2:$A$901,$A43,打擊成績!$D$2:$D$901,$B43)</f>
        <v>10</v>
      </c>
      <c r="I43" s="13" t="n">
        <f aca="false">SUMIFS(打擊成績!$J$2:$J$901,打擊成績!$A$2:$A$901,$A43,打擊成績!$D$2:$D$901,$B43)</f>
        <v>4978</v>
      </c>
      <c r="J43" s="13" t="n">
        <f aca="false">SUMIFS(打擊成績!$K$2:$K$901,打擊成績!$A$2:$A$901,$A43,打擊成績!$D$2:$D$901,$B43)</f>
        <v>4562</v>
      </c>
      <c r="K43" s="13" t="n">
        <f aca="false">SUMIFS(打擊成績!$M$2:$M$901,打擊成績!$A$2:$A$901,$A43,打擊成績!$D$2:$D$901,$B43)</f>
        <v>1143</v>
      </c>
      <c r="L43" s="13" t="n">
        <f aca="false">SUMIFS(打擊成績!$X$2:$X$901,打擊成績!$A$2:$A$901,$A43,打擊成績!$D$2:$D$901,$B43)</f>
        <v>1898</v>
      </c>
      <c r="M43" s="13" t="n">
        <f aca="false">SUMIFS(打擊成績!$P$2:$P$901,打擊成績!$A$2:$A$901,$A43,打擊成績!$D$2:$D$901,$B43)</f>
        <v>132</v>
      </c>
      <c r="N43" s="13" t="n">
        <f aca="false">SUMIFS(打擊成績!$Q$2:$Q$901,打擊成績!$A$2:$A$901,$A43,打擊成績!$D$2:$D$901,$B43)</f>
        <v>537</v>
      </c>
      <c r="O43" s="13" t="n">
        <f aca="false">SUMIFS(打擊成績!$V$2:$V$901,打擊成績!$A$2:$A$901,$A43,打擊成績!$D$2:$D$901,$B43)</f>
        <v>99</v>
      </c>
      <c r="P43" s="14" t="n">
        <f aca="false">IF(J43=0,0,K43/J43)</f>
        <v>0.250548005260851</v>
      </c>
      <c r="Q43" s="14" t="n">
        <f aca="false">IF(J43=0,0,L43/J43)</f>
        <v>0.416045594037703</v>
      </c>
      <c r="R43" s="11" t="n">
        <f aca="false">COUNTIFS(投手成績!$A$2:$A$901,$A43,投手成績!$D$2:$D$901,$B43)</f>
        <v>10</v>
      </c>
      <c r="S43" s="13" t="n">
        <f aca="false">SUMIFS(投手成績!$O$2:$O$901,投手成績!$A$2:$A$901,$A43,投手成績!$D$2:$D$901,$B43)</f>
        <v>2661</v>
      </c>
      <c r="T43" s="16" t="n">
        <f aca="false">S43/3</f>
        <v>887</v>
      </c>
      <c r="U43" s="13" t="n">
        <f aca="false">SUMIFS(投手成績!$W$2:$W$901,投手成績!$A$2:$A$901,$A43,投手成績!$D$2:$D$901,$B43)</f>
        <v>1068</v>
      </c>
      <c r="V43" s="13" t="n">
        <f aca="false">SUMIFS(投手成績!$T$2:$T$901,投手成績!$A$2:$A$901,$A43,投手成績!$D$2:$D$901,$B43)</f>
        <v>451</v>
      </c>
      <c r="W43" s="18" t="n">
        <f aca="false">IF(S43=0,0,V43*27/S43)</f>
        <v>4.576099210823</v>
      </c>
      <c r="X43" s="18" t="n">
        <f aca="false">IF(S43=0,0,U43*27/S43)</f>
        <v>10.836527621195</v>
      </c>
    </row>
    <row r="44" customFormat="false" ht="15" hidden="false" customHeight="false" outlineLevel="0" collapsed="false">
      <c r="A44" s="5" t="n">
        <v>2025</v>
      </c>
      <c r="B44" s="7" t="s">
        <v>392</v>
      </c>
      <c r="C44" s="10" t="str">
        <f aca="false">INDEX(球隊主檔!$C$2:$C$31,MATCH($B44,球隊主檔!$A$2:$A$31,0))</f>
        <v>洛杉磯天使</v>
      </c>
      <c r="D44" s="10" t="str">
        <f aca="false">INDEX(球隊主檔!$D$2:$D$31,MATCH($B44,球隊主檔!$A$2:$A$31,0))</f>
        <v>美聯</v>
      </c>
      <c r="E44" s="10" t="str">
        <f aca="false">INDEX(球隊主檔!$E$2:$E$31,MATCH($B44,球隊主檔!$A$2:$A$31,0))</f>
        <v>美西</v>
      </c>
      <c r="F44" s="19" t="n">
        <f aca="false">SUMIFS(球隊戰績!$F$2:$F$91,球隊戰績!$A$2:$A$91,$A44,球隊戰績!$B$2:$B$91,$B44)</f>
        <v>84</v>
      </c>
      <c r="G44" s="14" t="n">
        <f aca="false">IF(INDEX(球季參數!$B$2:$B$4,MATCH($A44,球季參數!$A$2:$A$4,0))=0,0,F44/INDEX(球季參數!$B$2:$B$4,MATCH($A44,球季參數!$A$2:$A$4,0)))</f>
        <v>0.518518518518519</v>
      </c>
      <c r="H44" s="11" t="n">
        <f aca="false">COUNTIFS(打擊成績!$A$2:$A$901,$A44,打擊成績!$D$2:$D$901,$B44)</f>
        <v>10</v>
      </c>
      <c r="I44" s="13" t="n">
        <f aca="false">SUMIFS(打擊成績!$J$2:$J$901,打擊成績!$A$2:$A$901,$A44,打擊成績!$D$2:$D$901,$B44)</f>
        <v>4839</v>
      </c>
      <c r="J44" s="13" t="n">
        <f aca="false">SUMIFS(打擊成績!$K$2:$K$901,打擊成績!$A$2:$A$901,$A44,打擊成績!$D$2:$D$901,$B44)</f>
        <v>4381</v>
      </c>
      <c r="K44" s="13" t="n">
        <f aca="false">SUMIFS(打擊成績!$M$2:$M$901,打擊成績!$A$2:$A$901,$A44,打擊成績!$D$2:$D$901,$B44)</f>
        <v>1147</v>
      </c>
      <c r="L44" s="13" t="n">
        <f aca="false">SUMIFS(打擊成績!$X$2:$X$901,打擊成績!$A$2:$A$901,$A44,打擊成績!$D$2:$D$901,$B44)</f>
        <v>1835</v>
      </c>
      <c r="M44" s="13" t="n">
        <f aca="false">SUMIFS(打擊成績!$P$2:$P$901,打擊成績!$A$2:$A$901,$A44,打擊成績!$D$2:$D$901,$B44)</f>
        <v>114</v>
      </c>
      <c r="N44" s="13" t="n">
        <f aca="false">SUMIFS(打擊成績!$Q$2:$Q$901,打擊成績!$A$2:$A$901,$A44,打擊成績!$D$2:$D$901,$B44)</f>
        <v>495</v>
      </c>
      <c r="O44" s="13" t="n">
        <f aca="false">SUMIFS(打擊成績!$V$2:$V$901,打擊成績!$A$2:$A$901,$A44,打擊成績!$D$2:$D$901,$B44)</f>
        <v>177</v>
      </c>
      <c r="P44" s="14" t="n">
        <f aca="false">IF(J44=0,0,K44/J44)</f>
        <v>0.261812371604657</v>
      </c>
      <c r="Q44" s="14" t="n">
        <f aca="false">IF(J44=0,0,L44/J44)</f>
        <v>0.418854142889751</v>
      </c>
      <c r="R44" s="11" t="n">
        <f aca="false">COUNTIFS(投手成績!$A$2:$A$901,$A44,投手成績!$D$2:$D$901,$B44)</f>
        <v>10</v>
      </c>
      <c r="S44" s="13" t="n">
        <f aca="false">SUMIFS(投手成績!$O$2:$O$901,投手成績!$A$2:$A$901,$A44,投手成績!$D$2:$D$901,$B44)</f>
        <v>2925</v>
      </c>
      <c r="T44" s="16" t="n">
        <f aca="false">S44/3</f>
        <v>975</v>
      </c>
      <c r="U44" s="13" t="n">
        <f aca="false">SUMIFS(投手成績!$W$2:$W$901,投手成績!$A$2:$A$901,$A44,投手成績!$D$2:$D$901,$B44)</f>
        <v>959</v>
      </c>
      <c r="V44" s="13" t="n">
        <f aca="false">SUMIFS(投手成績!$T$2:$T$901,投手成績!$A$2:$A$901,$A44,投手成績!$D$2:$D$901,$B44)</f>
        <v>413</v>
      </c>
      <c r="W44" s="18" t="n">
        <f aca="false">IF(S44=0,0,V44*27/S44)</f>
        <v>3.81230769230769</v>
      </c>
      <c r="X44" s="18" t="n">
        <f aca="false">IF(S44=0,0,U44*27/S44)</f>
        <v>8.85230769230769</v>
      </c>
    </row>
    <row r="45" customFormat="false" ht="15" hidden="false" customHeight="false" outlineLevel="0" collapsed="false">
      <c r="A45" s="5" t="n">
        <v>2025</v>
      </c>
      <c r="B45" s="7" t="s">
        <v>396</v>
      </c>
      <c r="C45" s="10" t="str">
        <f aca="false">INDEX(球隊主檔!$C$2:$C$31,MATCH($B45,球隊主檔!$A$2:$A$31,0))</f>
        <v>西雅圖水手</v>
      </c>
      <c r="D45" s="10" t="str">
        <f aca="false">INDEX(球隊主檔!$D$2:$D$31,MATCH($B45,球隊主檔!$A$2:$A$31,0))</f>
        <v>美聯</v>
      </c>
      <c r="E45" s="10" t="str">
        <f aca="false">INDEX(球隊主檔!$E$2:$E$31,MATCH($B45,球隊主檔!$A$2:$A$31,0))</f>
        <v>美西</v>
      </c>
      <c r="F45" s="19" t="n">
        <f aca="false">SUMIFS(球隊戰績!$F$2:$F$91,球隊戰績!$A$2:$A$91,$A45,球隊戰績!$B$2:$B$91,$B45)</f>
        <v>69</v>
      </c>
      <c r="G45" s="14" t="n">
        <f aca="false">IF(INDEX(球季參數!$B$2:$B$4,MATCH($A45,球季參數!$A$2:$A$4,0))=0,0,F45/INDEX(球季參數!$B$2:$B$4,MATCH($A45,球季參數!$A$2:$A$4,0)))</f>
        <v>0.425925925925926</v>
      </c>
      <c r="H45" s="11" t="n">
        <f aca="false">COUNTIFS(打擊成績!$A$2:$A$901,$A45,打擊成績!$D$2:$D$901,$B45)</f>
        <v>10</v>
      </c>
      <c r="I45" s="13" t="n">
        <f aca="false">SUMIFS(打擊成績!$J$2:$J$901,打擊成績!$A$2:$A$901,$A45,打擊成績!$D$2:$D$901,$B45)</f>
        <v>5176</v>
      </c>
      <c r="J45" s="13" t="n">
        <f aca="false">SUMIFS(打擊成績!$K$2:$K$901,打擊成績!$A$2:$A$901,$A45,打擊成績!$D$2:$D$901,$B45)</f>
        <v>4640</v>
      </c>
      <c r="K45" s="13" t="n">
        <f aca="false">SUMIFS(打擊成績!$M$2:$M$901,打擊成績!$A$2:$A$901,$A45,打擊成績!$D$2:$D$901,$B45)</f>
        <v>1158</v>
      </c>
      <c r="L45" s="13" t="n">
        <f aca="false">SUMIFS(打擊成績!$X$2:$X$901,打擊成績!$A$2:$A$901,$A45,打擊成績!$D$2:$D$901,$B45)</f>
        <v>2134</v>
      </c>
      <c r="M45" s="13" t="n">
        <f aca="false">SUMIFS(打擊成績!$P$2:$P$901,打擊成績!$A$2:$A$901,$A45,打擊成績!$D$2:$D$901,$B45)</f>
        <v>202</v>
      </c>
      <c r="N45" s="13" t="n">
        <f aca="false">SUMIFS(打擊成績!$Q$2:$Q$901,打擊成績!$A$2:$A$901,$A45,打擊成績!$D$2:$D$901,$B45)</f>
        <v>668</v>
      </c>
      <c r="O45" s="13" t="n">
        <f aca="false">SUMIFS(打擊成績!$V$2:$V$901,打擊成績!$A$2:$A$901,$A45,打擊成績!$D$2:$D$901,$B45)</f>
        <v>168</v>
      </c>
      <c r="P45" s="14" t="n">
        <f aca="false">IF(J45=0,0,K45/J45)</f>
        <v>0.249568965517241</v>
      </c>
      <c r="Q45" s="14" t="n">
        <f aca="false">IF(J45=0,0,L45/J45)</f>
        <v>0.459913793103448</v>
      </c>
      <c r="R45" s="11" t="n">
        <f aca="false">COUNTIFS(投手成績!$A$2:$A$901,$A45,投手成績!$D$2:$D$901,$B45)</f>
        <v>10</v>
      </c>
      <c r="S45" s="13" t="n">
        <f aca="false">SUMIFS(投手成績!$O$2:$O$901,投手成績!$A$2:$A$901,$A45,投手成績!$D$2:$D$901,$B45)</f>
        <v>2813</v>
      </c>
      <c r="T45" s="16" t="n">
        <f aca="false">S45/3</f>
        <v>937.666666666667</v>
      </c>
      <c r="U45" s="13" t="n">
        <f aca="false">SUMIFS(投手成績!$W$2:$W$901,投手成績!$A$2:$A$901,$A45,投手成績!$D$2:$D$901,$B45)</f>
        <v>932</v>
      </c>
      <c r="V45" s="13" t="n">
        <f aca="false">SUMIFS(投手成績!$T$2:$T$901,投手成績!$A$2:$A$901,$A45,投手成績!$D$2:$D$901,$B45)</f>
        <v>418</v>
      </c>
      <c r="W45" s="18" t="n">
        <f aca="false">IF(S45=0,0,V45*27/S45)</f>
        <v>4.01208674013509</v>
      </c>
      <c r="X45" s="18" t="n">
        <f aca="false">IF(S45=0,0,U45*27/S45)</f>
        <v>8.94560966939211</v>
      </c>
    </row>
    <row r="46" customFormat="false" ht="15" hidden="false" customHeight="false" outlineLevel="0" collapsed="false">
      <c r="A46" s="5" t="n">
        <v>2025</v>
      </c>
      <c r="B46" s="7" t="s">
        <v>400</v>
      </c>
      <c r="C46" s="10" t="str">
        <f aca="false">INDEX(球隊主檔!$C$2:$C$31,MATCH($B46,球隊主檔!$A$2:$A$31,0))</f>
        <v>德州遊騎兵</v>
      </c>
      <c r="D46" s="10" t="str">
        <f aca="false">INDEX(球隊主檔!$D$2:$D$31,MATCH($B46,球隊主檔!$A$2:$A$31,0))</f>
        <v>美聯</v>
      </c>
      <c r="E46" s="10" t="str">
        <f aca="false">INDEX(球隊主檔!$E$2:$E$31,MATCH($B46,球隊主檔!$A$2:$A$31,0))</f>
        <v>美西</v>
      </c>
      <c r="F46" s="19" t="n">
        <f aca="false">SUMIFS(球隊戰績!$F$2:$F$91,球隊戰績!$A$2:$A$91,$A46,球隊戰績!$B$2:$B$91,$B46)</f>
        <v>71</v>
      </c>
      <c r="G46" s="14" t="n">
        <f aca="false">IF(INDEX(球季參數!$B$2:$B$4,MATCH($A46,球季參數!$A$2:$A$4,0))=0,0,F46/INDEX(球季參數!$B$2:$B$4,MATCH($A46,球季參數!$A$2:$A$4,0)))</f>
        <v>0.438271604938272</v>
      </c>
      <c r="H46" s="11" t="n">
        <f aca="false">COUNTIFS(打擊成績!$A$2:$A$901,$A46,打擊成績!$D$2:$D$901,$B46)</f>
        <v>10</v>
      </c>
      <c r="I46" s="13" t="n">
        <f aca="false">SUMIFS(打擊成績!$J$2:$J$901,打擊成績!$A$2:$A$901,$A46,打擊成績!$D$2:$D$901,$B46)</f>
        <v>4850</v>
      </c>
      <c r="J46" s="13" t="n">
        <f aca="false">SUMIFS(打擊成績!$K$2:$K$901,打擊成績!$A$2:$A$901,$A46,打擊成績!$D$2:$D$901,$B46)</f>
        <v>4302</v>
      </c>
      <c r="K46" s="13" t="n">
        <f aca="false">SUMIFS(打擊成績!$M$2:$M$901,打擊成績!$A$2:$A$901,$A46,打擊成績!$D$2:$D$901,$B46)</f>
        <v>1060</v>
      </c>
      <c r="L46" s="13" t="n">
        <f aca="false">SUMIFS(打擊成績!$X$2:$X$901,打擊成績!$A$2:$A$901,$A46,打擊成績!$D$2:$D$901,$B46)</f>
        <v>1936</v>
      </c>
      <c r="M46" s="13" t="n">
        <f aca="false">SUMIFS(打擊成績!$P$2:$P$901,打擊成績!$A$2:$A$901,$A46,打擊成績!$D$2:$D$901,$B46)</f>
        <v>178</v>
      </c>
      <c r="N46" s="13" t="n">
        <f aca="false">SUMIFS(打擊成績!$Q$2:$Q$901,打擊成績!$A$2:$A$901,$A46,打擊成績!$D$2:$D$901,$B46)</f>
        <v>593</v>
      </c>
      <c r="O46" s="13" t="n">
        <f aca="false">SUMIFS(打擊成績!$V$2:$V$901,打擊成績!$A$2:$A$901,$A46,打擊成績!$D$2:$D$901,$B46)</f>
        <v>156</v>
      </c>
      <c r="P46" s="14" t="n">
        <f aca="false">IF(J46=0,0,K46/J46)</f>
        <v>0.246397024639702</v>
      </c>
      <c r="Q46" s="14" t="n">
        <f aca="false">IF(J46=0,0,L46/J46)</f>
        <v>0.450023245002325</v>
      </c>
      <c r="R46" s="11" t="n">
        <f aca="false">COUNTIFS(投手成績!$A$2:$A$901,$A46,投手成績!$D$2:$D$901,$B46)</f>
        <v>10</v>
      </c>
      <c r="S46" s="13" t="n">
        <f aca="false">SUMIFS(投手成績!$O$2:$O$901,投手成績!$A$2:$A$901,$A46,投手成績!$D$2:$D$901,$B46)</f>
        <v>3029</v>
      </c>
      <c r="T46" s="16" t="n">
        <f aca="false">S46/3</f>
        <v>1009.66666666667</v>
      </c>
      <c r="U46" s="13" t="n">
        <f aca="false">SUMIFS(投手成績!$W$2:$W$901,投手成績!$A$2:$A$901,$A46,投手成績!$D$2:$D$901,$B46)</f>
        <v>1048</v>
      </c>
      <c r="V46" s="13" t="n">
        <f aca="false">SUMIFS(投手成績!$T$2:$T$901,投手成績!$A$2:$A$901,$A46,投手成績!$D$2:$D$901,$B46)</f>
        <v>465</v>
      </c>
      <c r="W46" s="18" t="n">
        <f aca="false">IF(S46=0,0,V46*27/S46)</f>
        <v>4.14493232089799</v>
      </c>
      <c r="X46" s="18" t="n">
        <f aca="false">IF(S46=0,0,U46*27/S46)</f>
        <v>9.34169692967976</v>
      </c>
    </row>
    <row r="47" customFormat="false" ht="15" hidden="false" customHeight="false" outlineLevel="0" collapsed="false">
      <c r="A47" s="5" t="n">
        <v>2025</v>
      </c>
      <c r="B47" s="7" t="s">
        <v>404</v>
      </c>
      <c r="C47" s="10" t="str">
        <f aca="false">INDEX(球隊主檔!$C$2:$C$31,MATCH($B47,球隊主檔!$A$2:$A$31,0))</f>
        <v>亞特蘭大勇士</v>
      </c>
      <c r="D47" s="10" t="str">
        <f aca="false">INDEX(球隊主檔!$D$2:$D$31,MATCH($B47,球隊主檔!$A$2:$A$31,0))</f>
        <v>國聯</v>
      </c>
      <c r="E47" s="10" t="str">
        <f aca="false">INDEX(球隊主檔!$E$2:$E$31,MATCH($B47,球隊主檔!$A$2:$A$31,0))</f>
        <v>國東</v>
      </c>
      <c r="F47" s="19" t="n">
        <f aca="false">SUMIFS(球隊戰績!$F$2:$F$91,球隊戰績!$A$2:$A$91,$A47,球隊戰績!$B$2:$B$91,$B47)</f>
        <v>68</v>
      </c>
      <c r="G47" s="14" t="n">
        <f aca="false">IF(INDEX(球季參數!$B$2:$B$4,MATCH($A47,球季參數!$A$2:$A$4,0))=0,0,F47/INDEX(球季參數!$B$2:$B$4,MATCH($A47,球季參數!$A$2:$A$4,0)))</f>
        <v>0.419753086419753</v>
      </c>
      <c r="H47" s="11" t="n">
        <f aca="false">COUNTIFS(打擊成績!$A$2:$A$901,$A47,打擊成績!$D$2:$D$901,$B47)</f>
        <v>10</v>
      </c>
      <c r="I47" s="13" t="n">
        <f aca="false">SUMIFS(打擊成績!$J$2:$J$901,打擊成績!$A$2:$A$901,$A47,打擊成績!$D$2:$D$901,$B47)</f>
        <v>4223</v>
      </c>
      <c r="J47" s="13" t="n">
        <f aca="false">SUMIFS(打擊成績!$K$2:$K$901,打擊成績!$A$2:$A$901,$A47,打擊成績!$D$2:$D$901,$B47)</f>
        <v>3747</v>
      </c>
      <c r="K47" s="13" t="n">
        <f aca="false">SUMIFS(打擊成績!$M$2:$M$901,打擊成績!$A$2:$A$901,$A47,打擊成績!$D$2:$D$901,$B47)</f>
        <v>932</v>
      </c>
      <c r="L47" s="13" t="n">
        <f aca="false">SUMIFS(打擊成績!$X$2:$X$901,打擊成績!$A$2:$A$901,$A47,打擊成績!$D$2:$D$901,$B47)</f>
        <v>1667</v>
      </c>
      <c r="M47" s="13" t="n">
        <f aca="false">SUMIFS(打擊成績!$P$2:$P$901,打擊成績!$A$2:$A$901,$A47,打擊成績!$D$2:$D$901,$B47)</f>
        <v>128</v>
      </c>
      <c r="N47" s="13" t="n">
        <f aca="false">SUMIFS(打擊成績!$Q$2:$Q$901,打擊成績!$A$2:$A$901,$A47,打擊成績!$D$2:$D$901,$B47)</f>
        <v>468</v>
      </c>
      <c r="O47" s="13" t="n">
        <f aca="false">SUMIFS(打擊成績!$V$2:$V$901,打擊成績!$A$2:$A$901,$A47,打擊成績!$D$2:$D$901,$B47)</f>
        <v>122</v>
      </c>
      <c r="P47" s="14" t="n">
        <f aca="false">IF(J47=0,0,K47/J47)</f>
        <v>0.248732319188684</v>
      </c>
      <c r="Q47" s="14" t="n">
        <f aca="false">IF(J47=0,0,L47/J47)</f>
        <v>0.444889244729117</v>
      </c>
      <c r="R47" s="11" t="n">
        <f aca="false">COUNTIFS(投手成績!$A$2:$A$901,$A47,投手成績!$D$2:$D$901,$B47)</f>
        <v>10</v>
      </c>
      <c r="S47" s="13" t="n">
        <f aca="false">SUMIFS(投手成績!$O$2:$O$901,投手成績!$A$2:$A$901,$A47,投手成績!$D$2:$D$901,$B47)</f>
        <v>3053</v>
      </c>
      <c r="T47" s="16" t="n">
        <f aca="false">S47/3</f>
        <v>1017.66666666667</v>
      </c>
      <c r="U47" s="13" t="n">
        <f aca="false">SUMIFS(投手成績!$W$2:$W$901,投手成績!$A$2:$A$901,$A47,投手成績!$D$2:$D$901,$B47)</f>
        <v>875</v>
      </c>
      <c r="V47" s="13" t="n">
        <f aca="false">SUMIFS(投手成績!$T$2:$T$901,投手成績!$A$2:$A$901,$A47,投手成績!$D$2:$D$901,$B47)</f>
        <v>449</v>
      </c>
      <c r="W47" s="18" t="n">
        <f aca="false">IF(S47=0,0,V47*27/S47)</f>
        <v>3.97084834588929</v>
      </c>
      <c r="X47" s="18" t="n">
        <f aca="false">IF(S47=0,0,U47*27/S47)</f>
        <v>7.73829020635441</v>
      </c>
    </row>
    <row r="48" customFormat="false" ht="15" hidden="false" customHeight="false" outlineLevel="0" collapsed="false">
      <c r="A48" s="5" t="n">
        <v>2025</v>
      </c>
      <c r="B48" s="7" t="s">
        <v>410</v>
      </c>
      <c r="C48" s="10" t="str">
        <f aca="false">INDEX(球隊主檔!$C$2:$C$31,MATCH($B48,球隊主檔!$A$2:$A$31,0))</f>
        <v>邁阿密馬林魚</v>
      </c>
      <c r="D48" s="10" t="str">
        <f aca="false">INDEX(球隊主檔!$D$2:$D$31,MATCH($B48,球隊主檔!$A$2:$A$31,0))</f>
        <v>國聯</v>
      </c>
      <c r="E48" s="10" t="str">
        <f aca="false">INDEX(球隊主檔!$E$2:$E$31,MATCH($B48,球隊主檔!$A$2:$A$31,0))</f>
        <v>國東</v>
      </c>
      <c r="F48" s="19" t="n">
        <f aca="false">SUMIFS(球隊戰績!$F$2:$F$91,球隊戰績!$A$2:$A$91,$A48,球隊戰績!$B$2:$B$91,$B48)</f>
        <v>89</v>
      </c>
      <c r="G48" s="14" t="n">
        <f aca="false">IF(INDEX(球季參數!$B$2:$B$4,MATCH($A48,球季參數!$A$2:$A$4,0))=0,0,F48/INDEX(球季參數!$B$2:$B$4,MATCH($A48,球季參數!$A$2:$A$4,0)))</f>
        <v>0.549382716049383</v>
      </c>
      <c r="H48" s="11" t="n">
        <f aca="false">COUNTIFS(打擊成績!$A$2:$A$901,$A48,打擊成績!$D$2:$D$901,$B48)</f>
        <v>10</v>
      </c>
      <c r="I48" s="13" t="n">
        <f aca="false">SUMIFS(打擊成績!$J$2:$J$901,打擊成績!$A$2:$A$901,$A48,打擊成績!$D$2:$D$901,$B48)</f>
        <v>4972</v>
      </c>
      <c r="J48" s="13" t="n">
        <f aca="false">SUMIFS(打擊成績!$K$2:$K$901,打擊成績!$A$2:$A$901,$A48,打擊成績!$D$2:$D$901,$B48)</f>
        <v>4444</v>
      </c>
      <c r="K48" s="13" t="n">
        <f aca="false">SUMIFS(打擊成績!$M$2:$M$901,打擊成績!$A$2:$A$901,$A48,打擊成績!$D$2:$D$901,$B48)</f>
        <v>1185</v>
      </c>
      <c r="L48" s="13" t="n">
        <f aca="false">SUMIFS(打擊成績!$X$2:$X$901,打擊成績!$A$2:$A$901,$A48,打擊成績!$D$2:$D$901,$B48)</f>
        <v>1862</v>
      </c>
      <c r="M48" s="13" t="n">
        <f aca="false">SUMIFS(打擊成績!$P$2:$P$901,打擊成績!$A$2:$A$901,$A48,打擊成績!$D$2:$D$901,$B48)</f>
        <v>106</v>
      </c>
      <c r="N48" s="13" t="n">
        <f aca="false">SUMIFS(打擊成績!$Q$2:$Q$901,打擊成績!$A$2:$A$901,$A48,打擊成績!$D$2:$D$901,$B48)</f>
        <v>485</v>
      </c>
      <c r="O48" s="13" t="n">
        <f aca="false">SUMIFS(打擊成績!$V$2:$V$901,打擊成績!$A$2:$A$901,$A48,打擊成績!$D$2:$D$901,$B48)</f>
        <v>107</v>
      </c>
      <c r="P48" s="14" t="n">
        <f aca="false">IF(J48=0,0,K48/J48)</f>
        <v>0.266651665166517</v>
      </c>
      <c r="Q48" s="14" t="n">
        <f aca="false">IF(J48=0,0,L48/J48)</f>
        <v>0.418991899189919</v>
      </c>
      <c r="R48" s="11" t="n">
        <f aca="false">COUNTIFS(投手成績!$A$2:$A$901,$A48,投手成績!$D$2:$D$901,$B48)</f>
        <v>10</v>
      </c>
      <c r="S48" s="13" t="n">
        <f aca="false">SUMIFS(投手成績!$O$2:$O$901,投手成績!$A$2:$A$901,$A48,投手成績!$D$2:$D$901,$B48)</f>
        <v>3319</v>
      </c>
      <c r="T48" s="16" t="n">
        <f aca="false">S48/3</f>
        <v>1106.33333333333</v>
      </c>
      <c r="U48" s="13" t="n">
        <f aca="false">SUMIFS(投手成績!$W$2:$W$901,投手成績!$A$2:$A$901,$A48,投手成績!$D$2:$D$901,$B48)</f>
        <v>914</v>
      </c>
      <c r="V48" s="13" t="n">
        <f aca="false">SUMIFS(投手成績!$T$2:$T$901,投手成績!$A$2:$A$901,$A48,投手成績!$D$2:$D$901,$B48)</f>
        <v>523</v>
      </c>
      <c r="W48" s="18" t="n">
        <f aca="false">IF(S48=0,0,V48*27/S48)</f>
        <v>4.25459475745707</v>
      </c>
      <c r="X48" s="18" t="n">
        <f aca="false">IF(S48=0,0,U48*27/S48)</f>
        <v>7.43537210003013</v>
      </c>
    </row>
    <row r="49" customFormat="false" ht="15" hidden="false" customHeight="false" outlineLevel="0" collapsed="false">
      <c r="A49" s="5" t="n">
        <v>2025</v>
      </c>
      <c r="B49" s="7" t="s">
        <v>414</v>
      </c>
      <c r="C49" s="10" t="str">
        <f aca="false">INDEX(球隊主檔!$C$2:$C$31,MATCH($B49,球隊主檔!$A$2:$A$31,0))</f>
        <v>紐約大都會</v>
      </c>
      <c r="D49" s="10" t="str">
        <f aca="false">INDEX(球隊主檔!$D$2:$D$31,MATCH($B49,球隊主檔!$A$2:$A$31,0))</f>
        <v>國聯</v>
      </c>
      <c r="E49" s="10" t="str">
        <f aca="false">INDEX(球隊主檔!$E$2:$E$31,MATCH($B49,球隊主檔!$A$2:$A$31,0))</f>
        <v>國東</v>
      </c>
      <c r="F49" s="19" t="n">
        <f aca="false">SUMIFS(球隊戰績!$F$2:$F$91,球隊戰績!$A$2:$A$91,$A49,球隊戰績!$B$2:$B$91,$B49)</f>
        <v>65</v>
      </c>
      <c r="G49" s="14" t="n">
        <f aca="false">IF(INDEX(球季參數!$B$2:$B$4,MATCH($A49,球季參數!$A$2:$A$4,0))=0,0,F49/INDEX(球季參數!$B$2:$B$4,MATCH($A49,球季參數!$A$2:$A$4,0)))</f>
        <v>0.401234567901235</v>
      </c>
      <c r="H49" s="11" t="n">
        <f aca="false">COUNTIFS(打擊成績!$A$2:$A$901,$A49,打擊成績!$D$2:$D$901,$B49)</f>
        <v>10</v>
      </c>
      <c r="I49" s="13" t="n">
        <f aca="false">SUMIFS(打擊成績!$J$2:$J$901,打擊成績!$A$2:$A$901,$A49,打擊成績!$D$2:$D$901,$B49)</f>
        <v>4732</v>
      </c>
      <c r="J49" s="13" t="n">
        <f aca="false">SUMIFS(打擊成績!$K$2:$K$901,打擊成績!$A$2:$A$901,$A49,打擊成績!$D$2:$D$901,$B49)</f>
        <v>4336</v>
      </c>
      <c r="K49" s="13" t="n">
        <f aca="false">SUMIFS(打擊成績!$M$2:$M$901,打擊成績!$A$2:$A$901,$A49,打擊成績!$D$2:$D$901,$B49)</f>
        <v>1061</v>
      </c>
      <c r="L49" s="13" t="n">
        <f aca="false">SUMIFS(打擊成績!$X$2:$X$901,打擊成績!$A$2:$A$901,$A49,打擊成績!$D$2:$D$901,$B49)</f>
        <v>1833</v>
      </c>
      <c r="M49" s="13" t="n">
        <f aca="false">SUMIFS(打擊成績!$P$2:$P$901,打擊成績!$A$2:$A$901,$A49,打擊成績!$D$2:$D$901,$B49)</f>
        <v>142</v>
      </c>
      <c r="N49" s="13" t="n">
        <f aca="false">SUMIFS(打擊成績!$Q$2:$Q$901,打擊成績!$A$2:$A$901,$A49,打擊成績!$D$2:$D$901,$B49)</f>
        <v>558</v>
      </c>
      <c r="O49" s="13" t="n">
        <f aca="false">SUMIFS(打擊成績!$V$2:$V$901,打擊成績!$A$2:$A$901,$A49,打擊成績!$D$2:$D$901,$B49)</f>
        <v>106</v>
      </c>
      <c r="P49" s="14" t="n">
        <f aca="false">IF(J49=0,0,K49/J49)</f>
        <v>0.24469557195572</v>
      </c>
      <c r="Q49" s="14" t="n">
        <f aca="false">IF(J49=0,0,L49/J49)</f>
        <v>0.422739852398524</v>
      </c>
      <c r="R49" s="11" t="n">
        <f aca="false">COUNTIFS(投手成績!$A$2:$A$901,$A49,投手成績!$D$2:$D$901,$B49)</f>
        <v>10</v>
      </c>
      <c r="S49" s="13" t="n">
        <f aca="false">SUMIFS(投手成績!$O$2:$O$901,投手成績!$A$2:$A$901,$A49,投手成績!$D$2:$D$901,$B49)</f>
        <v>3015</v>
      </c>
      <c r="T49" s="16" t="n">
        <f aca="false">S49/3</f>
        <v>1005</v>
      </c>
      <c r="U49" s="13" t="n">
        <f aca="false">SUMIFS(投手成績!$W$2:$W$901,投手成績!$A$2:$A$901,$A49,投手成績!$D$2:$D$901,$B49)</f>
        <v>834</v>
      </c>
      <c r="V49" s="13" t="n">
        <f aca="false">SUMIFS(投手成績!$T$2:$T$901,投手成績!$A$2:$A$901,$A49,投手成績!$D$2:$D$901,$B49)</f>
        <v>472</v>
      </c>
      <c r="W49" s="18" t="n">
        <f aca="false">IF(S49=0,0,V49*27/S49)</f>
        <v>4.22686567164179</v>
      </c>
      <c r="X49" s="18" t="n">
        <f aca="false">IF(S49=0,0,U49*27/S49)</f>
        <v>7.46865671641791</v>
      </c>
    </row>
    <row r="50" customFormat="false" ht="15" hidden="false" customHeight="false" outlineLevel="0" collapsed="false">
      <c r="A50" s="5" t="n">
        <v>2025</v>
      </c>
      <c r="B50" s="7" t="s">
        <v>418</v>
      </c>
      <c r="C50" s="10" t="str">
        <f aca="false">INDEX(球隊主檔!$C$2:$C$31,MATCH($B50,球隊主檔!$A$2:$A$31,0))</f>
        <v>費城費城人</v>
      </c>
      <c r="D50" s="10" t="str">
        <f aca="false">INDEX(球隊主檔!$D$2:$D$31,MATCH($B50,球隊主檔!$A$2:$A$31,0))</f>
        <v>國聯</v>
      </c>
      <c r="E50" s="10" t="str">
        <f aca="false">INDEX(球隊主檔!$E$2:$E$31,MATCH($B50,球隊主檔!$A$2:$A$31,0))</f>
        <v>國東</v>
      </c>
      <c r="F50" s="19" t="n">
        <f aca="false">SUMIFS(球隊戰績!$F$2:$F$91,球隊戰績!$A$2:$A$91,$A50,球隊戰績!$B$2:$B$91,$B50)</f>
        <v>71</v>
      </c>
      <c r="G50" s="14" t="n">
        <f aca="false">IF(INDEX(球季參數!$B$2:$B$4,MATCH($A50,球季參數!$A$2:$A$4,0))=0,0,F50/INDEX(球季參數!$B$2:$B$4,MATCH($A50,球季參數!$A$2:$A$4,0)))</f>
        <v>0.438271604938272</v>
      </c>
      <c r="H50" s="11" t="n">
        <f aca="false">COUNTIFS(打擊成績!$A$2:$A$901,$A50,打擊成績!$D$2:$D$901,$B50)</f>
        <v>10</v>
      </c>
      <c r="I50" s="13" t="n">
        <f aca="false">SUMIFS(打擊成績!$J$2:$J$901,打擊成績!$A$2:$A$901,$A50,打擊成績!$D$2:$D$901,$B50)</f>
        <v>4876</v>
      </c>
      <c r="J50" s="13" t="n">
        <f aca="false">SUMIFS(打擊成績!$K$2:$K$901,打擊成績!$A$2:$A$901,$A50,打擊成績!$D$2:$D$901,$B50)</f>
        <v>4319</v>
      </c>
      <c r="K50" s="13" t="n">
        <f aca="false">SUMIFS(打擊成績!$M$2:$M$901,打擊成績!$A$2:$A$901,$A50,打擊成績!$D$2:$D$901,$B50)</f>
        <v>1028</v>
      </c>
      <c r="L50" s="13" t="n">
        <f aca="false">SUMIFS(打擊成績!$X$2:$X$901,打擊成績!$A$2:$A$901,$A50,打擊成績!$D$2:$D$901,$B50)</f>
        <v>1630</v>
      </c>
      <c r="M50" s="13" t="n">
        <f aca="false">SUMIFS(打擊成績!$P$2:$P$901,打擊成績!$A$2:$A$901,$A50,打擊成績!$D$2:$D$901,$B50)</f>
        <v>88</v>
      </c>
      <c r="N50" s="13" t="n">
        <f aca="false">SUMIFS(打擊成績!$Q$2:$Q$901,打擊成績!$A$2:$A$901,$A50,打擊成績!$D$2:$D$901,$B50)</f>
        <v>421</v>
      </c>
      <c r="O50" s="13" t="n">
        <f aca="false">SUMIFS(打擊成績!$V$2:$V$901,打擊成績!$A$2:$A$901,$A50,打擊成績!$D$2:$D$901,$B50)</f>
        <v>109</v>
      </c>
      <c r="P50" s="14" t="n">
        <f aca="false">IF(J50=0,0,K50/J50)</f>
        <v>0.23801805973605</v>
      </c>
      <c r="Q50" s="14" t="n">
        <f aca="false">IF(J50=0,0,L50/J50)</f>
        <v>0.377402176429729</v>
      </c>
      <c r="R50" s="11" t="n">
        <f aca="false">COUNTIFS(投手成績!$A$2:$A$901,$A50,投手成績!$D$2:$D$901,$B50)</f>
        <v>10</v>
      </c>
      <c r="S50" s="13" t="n">
        <f aca="false">SUMIFS(投手成績!$O$2:$O$901,投手成績!$A$2:$A$901,$A50,投手成績!$D$2:$D$901,$B50)</f>
        <v>3251</v>
      </c>
      <c r="T50" s="16" t="n">
        <f aca="false">S50/3</f>
        <v>1083.66666666667</v>
      </c>
      <c r="U50" s="13" t="n">
        <f aca="false">SUMIFS(投手成績!$W$2:$W$901,投手成績!$A$2:$A$901,$A50,投手成績!$D$2:$D$901,$B50)</f>
        <v>1064</v>
      </c>
      <c r="V50" s="13" t="n">
        <f aca="false">SUMIFS(投手成績!$T$2:$T$901,投手成績!$A$2:$A$901,$A50,投手成績!$D$2:$D$901,$B50)</f>
        <v>485</v>
      </c>
      <c r="W50" s="18" t="n">
        <f aca="false">IF(S50=0,0,V50*27/S50)</f>
        <v>4.02799138726546</v>
      </c>
      <c r="X50" s="18" t="n">
        <f aca="false">IF(S50=0,0,U50*27/S50)</f>
        <v>8.83666564134113</v>
      </c>
    </row>
    <row r="51" customFormat="false" ht="15" hidden="false" customHeight="false" outlineLevel="0" collapsed="false">
      <c r="A51" s="5" t="n">
        <v>2025</v>
      </c>
      <c r="B51" s="7" t="s">
        <v>422</v>
      </c>
      <c r="C51" s="10" t="str">
        <f aca="false">INDEX(球隊主檔!$C$2:$C$31,MATCH($B51,球隊主檔!$A$2:$A$31,0))</f>
        <v>華盛頓國民</v>
      </c>
      <c r="D51" s="10" t="str">
        <f aca="false">INDEX(球隊主檔!$D$2:$D$31,MATCH($B51,球隊主檔!$A$2:$A$31,0))</f>
        <v>國聯</v>
      </c>
      <c r="E51" s="10" t="str">
        <f aca="false">INDEX(球隊主檔!$E$2:$E$31,MATCH($B51,球隊主檔!$A$2:$A$31,0))</f>
        <v>國東</v>
      </c>
      <c r="F51" s="19" t="n">
        <f aca="false">SUMIFS(球隊戰績!$F$2:$F$91,球隊戰績!$A$2:$A$91,$A51,球隊戰績!$B$2:$B$91,$B51)</f>
        <v>86</v>
      </c>
      <c r="G51" s="14" t="n">
        <f aca="false">IF(INDEX(球季參數!$B$2:$B$4,MATCH($A51,球季參數!$A$2:$A$4,0))=0,0,F51/INDEX(球季參數!$B$2:$B$4,MATCH($A51,球季參數!$A$2:$A$4,0)))</f>
        <v>0.530864197530864</v>
      </c>
      <c r="H51" s="11" t="n">
        <f aca="false">COUNTIFS(打擊成績!$A$2:$A$901,$A51,打擊成績!$D$2:$D$901,$B51)</f>
        <v>10</v>
      </c>
      <c r="I51" s="13" t="n">
        <f aca="false">SUMIFS(打擊成績!$J$2:$J$901,打擊成績!$A$2:$A$901,$A51,打擊成績!$D$2:$D$901,$B51)</f>
        <v>4368</v>
      </c>
      <c r="J51" s="13" t="n">
        <f aca="false">SUMIFS(打擊成績!$K$2:$K$901,打擊成績!$A$2:$A$901,$A51,打擊成績!$D$2:$D$901,$B51)</f>
        <v>3914</v>
      </c>
      <c r="K51" s="13" t="n">
        <f aca="false">SUMIFS(打擊成績!$M$2:$M$901,打擊成績!$A$2:$A$901,$A51,打擊成績!$D$2:$D$901,$B51)</f>
        <v>961</v>
      </c>
      <c r="L51" s="13" t="n">
        <f aca="false">SUMIFS(打擊成績!$X$2:$X$901,打擊成績!$A$2:$A$901,$A51,打擊成績!$D$2:$D$901,$B51)</f>
        <v>1550</v>
      </c>
      <c r="M51" s="13" t="n">
        <f aca="false">SUMIFS(打擊成績!$P$2:$P$901,打擊成績!$A$2:$A$901,$A51,打擊成績!$D$2:$D$901,$B51)</f>
        <v>92</v>
      </c>
      <c r="N51" s="13" t="n">
        <f aca="false">SUMIFS(打擊成績!$Q$2:$Q$901,打擊成績!$A$2:$A$901,$A51,打擊成績!$D$2:$D$901,$B51)</f>
        <v>418</v>
      </c>
      <c r="O51" s="13" t="n">
        <f aca="false">SUMIFS(打擊成績!$V$2:$V$901,打擊成績!$A$2:$A$901,$A51,打擊成績!$D$2:$D$901,$B51)</f>
        <v>107</v>
      </c>
      <c r="P51" s="14" t="n">
        <f aca="false">IF(J51=0,0,K51/J51)</f>
        <v>0.245528870720491</v>
      </c>
      <c r="Q51" s="14" t="n">
        <f aca="false">IF(J51=0,0,L51/J51)</f>
        <v>0.396014307613694</v>
      </c>
      <c r="R51" s="11" t="n">
        <f aca="false">COUNTIFS(投手成績!$A$2:$A$901,$A51,投手成績!$D$2:$D$901,$B51)</f>
        <v>10</v>
      </c>
      <c r="S51" s="13" t="n">
        <f aca="false">SUMIFS(投手成績!$O$2:$O$901,投手成績!$A$2:$A$901,$A51,投手成績!$D$2:$D$901,$B51)</f>
        <v>2484</v>
      </c>
      <c r="T51" s="16" t="n">
        <f aca="false">S51/3</f>
        <v>828</v>
      </c>
      <c r="U51" s="13" t="n">
        <f aca="false">SUMIFS(投手成績!$W$2:$W$901,投手成績!$A$2:$A$901,$A51,投手成績!$D$2:$D$901,$B51)</f>
        <v>896</v>
      </c>
      <c r="V51" s="13" t="n">
        <f aca="false">SUMIFS(投手成績!$T$2:$T$901,投手成績!$A$2:$A$901,$A51,投手成績!$D$2:$D$901,$B51)</f>
        <v>424</v>
      </c>
      <c r="W51" s="18" t="n">
        <f aca="false">IF(S51=0,0,V51*27/S51)</f>
        <v>4.60869565217391</v>
      </c>
      <c r="X51" s="18" t="n">
        <f aca="false">IF(S51=0,0,U51*27/S51)</f>
        <v>9.73913043478261</v>
      </c>
    </row>
    <row r="52" customFormat="false" ht="15" hidden="false" customHeight="false" outlineLevel="0" collapsed="false">
      <c r="A52" s="5" t="n">
        <v>2025</v>
      </c>
      <c r="B52" s="7" t="s">
        <v>426</v>
      </c>
      <c r="C52" s="10" t="str">
        <f aca="false">INDEX(球隊主檔!$C$2:$C$31,MATCH($B52,球隊主檔!$A$2:$A$31,0))</f>
        <v>芝加哥小熊</v>
      </c>
      <c r="D52" s="10" t="str">
        <f aca="false">INDEX(球隊主檔!$D$2:$D$31,MATCH($B52,球隊主檔!$A$2:$A$31,0))</f>
        <v>國聯</v>
      </c>
      <c r="E52" s="10" t="str">
        <f aca="false">INDEX(球隊主檔!$E$2:$E$31,MATCH($B52,球隊主檔!$A$2:$A$31,0))</f>
        <v>國中</v>
      </c>
      <c r="F52" s="19" t="n">
        <f aca="false">SUMIFS(球隊戰績!$F$2:$F$91,球隊戰績!$A$2:$A$91,$A52,球隊戰績!$B$2:$B$91,$B52)</f>
        <v>69</v>
      </c>
      <c r="G52" s="14" t="n">
        <f aca="false">IF(INDEX(球季參數!$B$2:$B$4,MATCH($A52,球季參數!$A$2:$A$4,0))=0,0,F52/INDEX(球季參數!$B$2:$B$4,MATCH($A52,球季參數!$A$2:$A$4,0)))</f>
        <v>0.425925925925926</v>
      </c>
      <c r="H52" s="11" t="n">
        <f aca="false">COUNTIFS(打擊成績!$A$2:$A$901,$A52,打擊成績!$D$2:$D$901,$B52)</f>
        <v>10</v>
      </c>
      <c r="I52" s="13" t="n">
        <f aca="false">SUMIFS(打擊成績!$J$2:$J$901,打擊成績!$A$2:$A$901,$A52,打擊成績!$D$2:$D$901,$B52)</f>
        <v>4454</v>
      </c>
      <c r="J52" s="13" t="n">
        <f aca="false">SUMIFS(打擊成績!$K$2:$K$901,打擊成績!$A$2:$A$901,$A52,打擊成績!$D$2:$D$901,$B52)</f>
        <v>3976</v>
      </c>
      <c r="K52" s="13" t="n">
        <f aca="false">SUMIFS(打擊成績!$M$2:$M$901,打擊成績!$A$2:$A$901,$A52,打擊成績!$D$2:$D$901,$B52)</f>
        <v>885</v>
      </c>
      <c r="L52" s="13" t="n">
        <f aca="false">SUMIFS(打擊成績!$X$2:$X$901,打擊成績!$A$2:$A$901,$A52,打擊成績!$D$2:$D$901,$B52)</f>
        <v>1650</v>
      </c>
      <c r="M52" s="13" t="n">
        <f aca="false">SUMIFS(打擊成績!$P$2:$P$901,打擊成績!$A$2:$A$901,$A52,打擊成績!$D$2:$D$901,$B52)</f>
        <v>146</v>
      </c>
      <c r="N52" s="13" t="n">
        <f aca="false">SUMIFS(打擊成績!$Q$2:$Q$901,打擊成績!$A$2:$A$901,$A52,打擊成績!$D$2:$D$901,$B52)</f>
        <v>486</v>
      </c>
      <c r="O52" s="13" t="n">
        <f aca="false">SUMIFS(打擊成績!$V$2:$V$901,打擊成績!$A$2:$A$901,$A52,打擊成績!$D$2:$D$901,$B52)</f>
        <v>126</v>
      </c>
      <c r="P52" s="14" t="n">
        <f aca="false">IF(J52=0,0,K52/J52)</f>
        <v>0.222585513078471</v>
      </c>
      <c r="Q52" s="14" t="n">
        <f aca="false">IF(J52=0,0,L52/J52)</f>
        <v>0.414989939637827</v>
      </c>
      <c r="R52" s="11" t="n">
        <f aca="false">COUNTIFS(投手成績!$A$2:$A$901,$A52,投手成績!$D$2:$D$901,$B52)</f>
        <v>10</v>
      </c>
      <c r="S52" s="13" t="n">
        <f aca="false">SUMIFS(投手成績!$O$2:$O$901,投手成績!$A$2:$A$901,$A52,投手成績!$D$2:$D$901,$B52)</f>
        <v>2982</v>
      </c>
      <c r="T52" s="16" t="n">
        <f aca="false">S52/3</f>
        <v>994</v>
      </c>
      <c r="U52" s="13" t="n">
        <f aca="false">SUMIFS(投手成績!$W$2:$W$901,投手成績!$A$2:$A$901,$A52,投手成績!$D$2:$D$901,$B52)</f>
        <v>1069</v>
      </c>
      <c r="V52" s="13" t="n">
        <f aca="false">SUMIFS(投手成績!$T$2:$T$901,投手成績!$A$2:$A$901,$A52,投手成績!$D$2:$D$901,$B52)</f>
        <v>412</v>
      </c>
      <c r="W52" s="18" t="n">
        <f aca="false">IF(S52=0,0,V52*27/S52)</f>
        <v>3.73038229376258</v>
      </c>
      <c r="X52" s="18" t="n">
        <f aca="false">IF(S52=0,0,U52*27/S52)</f>
        <v>9.67907444668008</v>
      </c>
    </row>
    <row r="53" customFormat="false" ht="15" hidden="false" customHeight="false" outlineLevel="0" collapsed="false">
      <c r="A53" s="5" t="n">
        <v>2025</v>
      </c>
      <c r="B53" s="7" t="s">
        <v>430</v>
      </c>
      <c r="C53" s="10" t="str">
        <f aca="false">INDEX(球隊主檔!$C$2:$C$31,MATCH($B53,球隊主檔!$A$2:$A$31,0))</f>
        <v>辛辛那提紅人</v>
      </c>
      <c r="D53" s="10" t="str">
        <f aca="false">INDEX(球隊主檔!$D$2:$D$31,MATCH($B53,球隊主檔!$A$2:$A$31,0))</f>
        <v>國聯</v>
      </c>
      <c r="E53" s="10" t="str">
        <f aca="false">INDEX(球隊主檔!$E$2:$E$31,MATCH($B53,球隊主檔!$A$2:$A$31,0))</f>
        <v>國中</v>
      </c>
      <c r="F53" s="19" t="n">
        <f aca="false">SUMIFS(球隊戰績!$F$2:$F$91,球隊戰績!$A$2:$A$91,$A53,球隊戰績!$B$2:$B$91,$B53)</f>
        <v>91</v>
      </c>
      <c r="G53" s="14" t="n">
        <f aca="false">IF(INDEX(球季參數!$B$2:$B$4,MATCH($A53,球季參數!$A$2:$A$4,0))=0,0,F53/INDEX(球季參數!$B$2:$B$4,MATCH($A53,球季參數!$A$2:$A$4,0)))</f>
        <v>0.561728395061728</v>
      </c>
      <c r="H53" s="11" t="n">
        <f aca="false">COUNTIFS(打擊成績!$A$2:$A$901,$A53,打擊成績!$D$2:$D$901,$B53)</f>
        <v>10</v>
      </c>
      <c r="I53" s="13" t="n">
        <f aca="false">SUMIFS(打擊成績!$J$2:$J$901,打擊成績!$A$2:$A$901,$A53,打擊成績!$D$2:$D$901,$B53)</f>
        <v>4728</v>
      </c>
      <c r="J53" s="13" t="n">
        <f aca="false">SUMIFS(打擊成績!$K$2:$K$901,打擊成績!$A$2:$A$901,$A53,打擊成績!$D$2:$D$901,$B53)</f>
        <v>4215</v>
      </c>
      <c r="K53" s="13" t="n">
        <f aca="false">SUMIFS(打擊成績!$M$2:$M$901,打擊成績!$A$2:$A$901,$A53,打擊成績!$D$2:$D$901,$B53)</f>
        <v>986</v>
      </c>
      <c r="L53" s="13" t="n">
        <f aca="false">SUMIFS(打擊成績!$X$2:$X$901,打擊成績!$A$2:$A$901,$A53,打擊成績!$D$2:$D$901,$B53)</f>
        <v>1899</v>
      </c>
      <c r="M53" s="13" t="n">
        <f aca="false">SUMIFS(打擊成績!$P$2:$P$901,打擊成績!$A$2:$A$901,$A53,打擊成績!$D$2:$D$901,$B53)</f>
        <v>194</v>
      </c>
      <c r="N53" s="13" t="n">
        <f aca="false">SUMIFS(打擊成績!$Q$2:$Q$901,打擊成績!$A$2:$A$901,$A53,打擊成績!$D$2:$D$901,$B53)</f>
        <v>584</v>
      </c>
      <c r="O53" s="13" t="n">
        <f aca="false">SUMIFS(打擊成績!$V$2:$V$901,打擊成績!$A$2:$A$901,$A53,打擊成績!$D$2:$D$901,$B53)</f>
        <v>131</v>
      </c>
      <c r="P53" s="14" t="n">
        <f aca="false">IF(J53=0,0,K53/J53)</f>
        <v>0.233926453143535</v>
      </c>
      <c r="Q53" s="14" t="n">
        <f aca="false">IF(J53=0,0,L53/J53)</f>
        <v>0.450533807829182</v>
      </c>
      <c r="R53" s="11" t="n">
        <f aca="false">COUNTIFS(投手成績!$A$2:$A$901,$A53,投手成績!$D$2:$D$901,$B53)</f>
        <v>10</v>
      </c>
      <c r="S53" s="13" t="n">
        <f aca="false">SUMIFS(投手成績!$O$2:$O$901,投手成績!$A$2:$A$901,$A53,投手成績!$D$2:$D$901,$B53)</f>
        <v>3064</v>
      </c>
      <c r="T53" s="16" t="n">
        <f aca="false">S53/3</f>
        <v>1021.33333333333</v>
      </c>
      <c r="U53" s="13" t="n">
        <f aca="false">SUMIFS(投手成績!$W$2:$W$901,投手成績!$A$2:$A$901,$A53,投手成績!$D$2:$D$901,$B53)</f>
        <v>869</v>
      </c>
      <c r="V53" s="13" t="n">
        <f aca="false">SUMIFS(投手成績!$T$2:$T$901,投手成績!$A$2:$A$901,$A53,投手成績!$D$2:$D$901,$B53)</f>
        <v>473</v>
      </c>
      <c r="W53" s="18" t="n">
        <f aca="false">IF(S53=0,0,V53*27/S53)</f>
        <v>4.16808093994778</v>
      </c>
      <c r="X53" s="18" t="n">
        <f aca="false">IF(S53=0,0,U53*27/S53)</f>
        <v>7.65763707571802</v>
      </c>
    </row>
    <row r="54" customFormat="false" ht="15" hidden="false" customHeight="false" outlineLevel="0" collapsed="false">
      <c r="A54" s="5" t="n">
        <v>2025</v>
      </c>
      <c r="B54" s="7" t="s">
        <v>434</v>
      </c>
      <c r="C54" s="10" t="str">
        <f aca="false">INDEX(球隊主檔!$C$2:$C$31,MATCH($B54,球隊主檔!$A$2:$A$31,0))</f>
        <v>密爾瓦基釀酒人</v>
      </c>
      <c r="D54" s="10" t="str">
        <f aca="false">INDEX(球隊主檔!$D$2:$D$31,MATCH($B54,球隊主檔!$A$2:$A$31,0))</f>
        <v>國聯</v>
      </c>
      <c r="E54" s="10" t="str">
        <f aca="false">INDEX(球隊主檔!$E$2:$E$31,MATCH($B54,球隊主檔!$A$2:$A$31,0))</f>
        <v>國中</v>
      </c>
      <c r="F54" s="19" t="n">
        <f aca="false">SUMIFS(球隊戰績!$F$2:$F$91,球隊戰績!$A$2:$A$91,$A54,球隊戰績!$B$2:$B$91,$B54)</f>
        <v>69</v>
      </c>
      <c r="G54" s="14" t="n">
        <f aca="false">IF(INDEX(球季參數!$B$2:$B$4,MATCH($A54,球季參數!$A$2:$A$4,0))=0,0,F54/INDEX(球季參數!$B$2:$B$4,MATCH($A54,球季參數!$A$2:$A$4,0)))</f>
        <v>0.425925925925926</v>
      </c>
      <c r="H54" s="11" t="n">
        <f aca="false">COUNTIFS(打擊成績!$A$2:$A$901,$A54,打擊成績!$D$2:$D$901,$B54)</f>
        <v>10</v>
      </c>
      <c r="I54" s="13" t="n">
        <f aca="false">SUMIFS(打擊成績!$J$2:$J$901,打擊成績!$A$2:$A$901,$A54,打擊成績!$D$2:$D$901,$B54)</f>
        <v>4749</v>
      </c>
      <c r="J54" s="13" t="n">
        <f aca="false">SUMIFS(打擊成績!$K$2:$K$901,打擊成績!$A$2:$A$901,$A54,打擊成績!$D$2:$D$901,$B54)</f>
        <v>4217</v>
      </c>
      <c r="K54" s="13" t="n">
        <f aca="false">SUMIFS(打擊成績!$M$2:$M$901,打擊成績!$A$2:$A$901,$A54,打擊成績!$D$2:$D$901,$B54)</f>
        <v>1106</v>
      </c>
      <c r="L54" s="13" t="n">
        <f aca="false">SUMIFS(打擊成績!$X$2:$X$901,打擊成績!$A$2:$A$901,$A54,打擊成績!$D$2:$D$901,$B54)</f>
        <v>1864</v>
      </c>
      <c r="M54" s="13" t="n">
        <f aca="false">SUMIFS(打擊成績!$P$2:$P$901,打擊成績!$A$2:$A$901,$A54,打擊成績!$D$2:$D$901,$B54)</f>
        <v>150</v>
      </c>
      <c r="N54" s="13" t="n">
        <f aca="false">SUMIFS(打擊成績!$Q$2:$Q$901,打擊成績!$A$2:$A$901,$A54,打擊成績!$D$2:$D$901,$B54)</f>
        <v>563</v>
      </c>
      <c r="O54" s="13" t="n">
        <f aca="false">SUMIFS(打擊成績!$V$2:$V$901,打擊成績!$A$2:$A$901,$A54,打擊成績!$D$2:$D$901,$B54)</f>
        <v>135</v>
      </c>
      <c r="P54" s="14" t="n">
        <f aca="false">IF(J54=0,0,K54/J54)</f>
        <v>0.262271757173346</v>
      </c>
      <c r="Q54" s="14" t="n">
        <f aca="false">IF(J54=0,0,L54/J54)</f>
        <v>0.442020393644771</v>
      </c>
      <c r="R54" s="11" t="n">
        <f aca="false">COUNTIFS(投手成績!$A$2:$A$901,$A54,投手成績!$D$2:$D$901,$B54)</f>
        <v>10</v>
      </c>
      <c r="S54" s="13" t="n">
        <f aca="false">SUMIFS(投手成績!$O$2:$O$901,投手成績!$A$2:$A$901,$A54,投手成績!$D$2:$D$901,$B54)</f>
        <v>3084</v>
      </c>
      <c r="T54" s="16" t="n">
        <f aca="false">S54/3</f>
        <v>1028</v>
      </c>
      <c r="U54" s="13" t="n">
        <f aca="false">SUMIFS(投手成績!$W$2:$W$901,投手成績!$A$2:$A$901,$A54,投手成績!$D$2:$D$901,$B54)</f>
        <v>1167</v>
      </c>
      <c r="V54" s="13" t="n">
        <f aca="false">SUMIFS(投手成績!$T$2:$T$901,投手成績!$A$2:$A$901,$A54,投手成績!$D$2:$D$901,$B54)</f>
        <v>450</v>
      </c>
      <c r="W54" s="18" t="n">
        <f aca="false">IF(S54=0,0,V54*27/S54)</f>
        <v>3.93968871595331</v>
      </c>
      <c r="X54" s="18" t="n">
        <f aca="false">IF(S54=0,0,U54*27/S54)</f>
        <v>10.2169260700389</v>
      </c>
    </row>
    <row r="55" customFormat="false" ht="15" hidden="false" customHeight="false" outlineLevel="0" collapsed="false">
      <c r="A55" s="5" t="n">
        <v>2025</v>
      </c>
      <c r="B55" s="7" t="s">
        <v>438</v>
      </c>
      <c r="C55" s="10" t="str">
        <f aca="false">INDEX(球隊主檔!$C$2:$C$31,MATCH($B55,球隊主檔!$A$2:$A$31,0))</f>
        <v>匹茲堡海盜</v>
      </c>
      <c r="D55" s="10" t="str">
        <f aca="false">INDEX(球隊主檔!$D$2:$D$31,MATCH($B55,球隊主檔!$A$2:$A$31,0))</f>
        <v>國聯</v>
      </c>
      <c r="E55" s="10" t="str">
        <f aca="false">INDEX(球隊主檔!$E$2:$E$31,MATCH($B55,球隊主檔!$A$2:$A$31,0))</f>
        <v>國中</v>
      </c>
      <c r="F55" s="19" t="n">
        <f aca="false">SUMIFS(球隊戰績!$F$2:$F$91,球隊戰績!$A$2:$A$91,$A55,球隊戰績!$B$2:$B$91,$B55)</f>
        <v>89</v>
      </c>
      <c r="G55" s="14" t="n">
        <f aca="false">IF(INDEX(球季參數!$B$2:$B$4,MATCH($A55,球季參數!$A$2:$A$4,0))=0,0,F55/INDEX(球季參數!$B$2:$B$4,MATCH($A55,球季參數!$A$2:$A$4,0)))</f>
        <v>0.549382716049383</v>
      </c>
      <c r="H55" s="11" t="n">
        <f aca="false">COUNTIFS(打擊成績!$A$2:$A$901,$A55,打擊成績!$D$2:$D$901,$B55)</f>
        <v>10</v>
      </c>
      <c r="I55" s="13" t="n">
        <f aca="false">SUMIFS(打擊成績!$J$2:$J$901,打擊成績!$A$2:$A$901,$A55,打擊成績!$D$2:$D$901,$B55)</f>
        <v>4954</v>
      </c>
      <c r="J55" s="13" t="n">
        <f aca="false">SUMIFS(打擊成績!$K$2:$K$901,打擊成績!$A$2:$A$901,$A55,打擊成績!$D$2:$D$901,$B55)</f>
        <v>4444</v>
      </c>
      <c r="K55" s="13" t="n">
        <f aca="false">SUMIFS(打擊成績!$M$2:$M$901,打擊成績!$A$2:$A$901,$A55,打擊成績!$D$2:$D$901,$B55)</f>
        <v>1084</v>
      </c>
      <c r="L55" s="13" t="n">
        <f aca="false">SUMIFS(打擊成績!$X$2:$X$901,打擊成績!$A$2:$A$901,$A55,打擊成績!$D$2:$D$901,$B55)</f>
        <v>2028</v>
      </c>
      <c r="M55" s="13" t="n">
        <f aca="false">SUMIFS(打擊成績!$P$2:$P$901,打擊成績!$A$2:$A$901,$A55,打擊成績!$D$2:$D$901,$B55)</f>
        <v>200</v>
      </c>
      <c r="N55" s="13" t="n">
        <f aca="false">SUMIFS(打擊成績!$Q$2:$Q$901,打擊成績!$A$2:$A$901,$A55,打擊成績!$D$2:$D$901,$B55)</f>
        <v>656</v>
      </c>
      <c r="O55" s="13" t="n">
        <f aca="false">SUMIFS(打擊成績!$V$2:$V$901,打擊成績!$A$2:$A$901,$A55,打擊成績!$D$2:$D$901,$B55)</f>
        <v>169</v>
      </c>
      <c r="P55" s="14" t="n">
        <f aca="false">IF(J55=0,0,K55/J55)</f>
        <v>0.243924392439244</v>
      </c>
      <c r="Q55" s="14" t="n">
        <f aca="false">IF(J55=0,0,L55/J55)</f>
        <v>0.456345634563456</v>
      </c>
      <c r="R55" s="11" t="n">
        <f aca="false">COUNTIFS(投手成績!$A$2:$A$901,$A55,投手成績!$D$2:$D$901,$B55)</f>
        <v>10</v>
      </c>
      <c r="S55" s="13" t="n">
        <f aca="false">SUMIFS(投手成績!$O$2:$O$901,投手成績!$A$2:$A$901,$A55,投手成績!$D$2:$D$901,$B55)</f>
        <v>2858</v>
      </c>
      <c r="T55" s="16" t="n">
        <f aca="false">S55/3</f>
        <v>952.666666666667</v>
      </c>
      <c r="U55" s="13" t="n">
        <f aca="false">SUMIFS(投手成績!$W$2:$W$901,投手成績!$A$2:$A$901,$A55,投手成績!$D$2:$D$901,$B55)</f>
        <v>1024</v>
      </c>
      <c r="V55" s="13" t="n">
        <f aca="false">SUMIFS(投手成績!$T$2:$T$901,投手成績!$A$2:$A$901,$A55,投手成績!$D$2:$D$901,$B55)</f>
        <v>443</v>
      </c>
      <c r="W55" s="18" t="n">
        <f aca="false">IF(S55=0,0,V55*27/S55)</f>
        <v>4.1850944716585</v>
      </c>
      <c r="X55" s="18" t="n">
        <f aca="false">IF(S55=0,0,U55*27/S55)</f>
        <v>9.67389783065081</v>
      </c>
    </row>
    <row r="56" customFormat="false" ht="15" hidden="false" customHeight="false" outlineLevel="0" collapsed="false">
      <c r="A56" s="5" t="n">
        <v>2025</v>
      </c>
      <c r="B56" s="7" t="s">
        <v>442</v>
      </c>
      <c r="C56" s="10" t="str">
        <f aca="false">INDEX(球隊主檔!$C$2:$C$31,MATCH($B56,球隊主檔!$A$2:$A$31,0))</f>
        <v>聖路易紅雀</v>
      </c>
      <c r="D56" s="10" t="str">
        <f aca="false">INDEX(球隊主檔!$D$2:$D$31,MATCH($B56,球隊主檔!$A$2:$A$31,0))</f>
        <v>國聯</v>
      </c>
      <c r="E56" s="10" t="str">
        <f aca="false">INDEX(球隊主檔!$E$2:$E$31,MATCH($B56,球隊主檔!$A$2:$A$31,0))</f>
        <v>國中</v>
      </c>
      <c r="F56" s="19" t="n">
        <f aca="false">SUMIFS(球隊戰績!$F$2:$F$91,球隊戰績!$A$2:$A$91,$A56,球隊戰績!$B$2:$B$91,$B56)</f>
        <v>89</v>
      </c>
      <c r="G56" s="14" t="n">
        <f aca="false">IF(INDEX(球季參數!$B$2:$B$4,MATCH($A56,球季參數!$A$2:$A$4,0))=0,0,F56/INDEX(球季參數!$B$2:$B$4,MATCH($A56,球季參數!$A$2:$A$4,0)))</f>
        <v>0.549382716049383</v>
      </c>
      <c r="H56" s="11" t="n">
        <f aca="false">COUNTIFS(打擊成績!$A$2:$A$901,$A56,打擊成績!$D$2:$D$901,$B56)</f>
        <v>10</v>
      </c>
      <c r="I56" s="13" t="n">
        <f aca="false">SUMIFS(打擊成績!$J$2:$J$901,打擊成績!$A$2:$A$901,$A56,打擊成績!$D$2:$D$901,$B56)</f>
        <v>4441</v>
      </c>
      <c r="J56" s="13" t="n">
        <f aca="false">SUMIFS(打擊成績!$K$2:$K$901,打擊成績!$A$2:$A$901,$A56,打擊成績!$D$2:$D$901,$B56)</f>
        <v>4012</v>
      </c>
      <c r="K56" s="13" t="n">
        <f aca="false">SUMIFS(打擊成績!$M$2:$M$901,打擊成績!$A$2:$A$901,$A56,打擊成績!$D$2:$D$901,$B56)</f>
        <v>1051</v>
      </c>
      <c r="L56" s="13" t="n">
        <f aca="false">SUMIFS(打擊成績!$X$2:$X$901,打擊成績!$A$2:$A$901,$A56,打擊成績!$D$2:$D$901,$B56)</f>
        <v>1789</v>
      </c>
      <c r="M56" s="13" t="n">
        <f aca="false">SUMIFS(打擊成績!$P$2:$P$901,打擊成績!$A$2:$A$901,$A56,打擊成績!$D$2:$D$901,$B56)</f>
        <v>138</v>
      </c>
      <c r="N56" s="13" t="n">
        <f aca="false">SUMIFS(打擊成績!$Q$2:$Q$901,打擊成績!$A$2:$A$901,$A56,打擊成績!$D$2:$D$901,$B56)</f>
        <v>532</v>
      </c>
      <c r="O56" s="13" t="n">
        <f aca="false">SUMIFS(打擊成績!$V$2:$V$901,打擊成績!$A$2:$A$901,$A56,打擊成績!$D$2:$D$901,$B56)</f>
        <v>99</v>
      </c>
      <c r="P56" s="14" t="n">
        <f aca="false">IF(J56=0,0,K56/J56)</f>
        <v>0.261964107676969</v>
      </c>
      <c r="Q56" s="14" t="n">
        <f aca="false">IF(J56=0,0,L56/J56)</f>
        <v>0.445912263210369</v>
      </c>
      <c r="R56" s="11" t="n">
        <f aca="false">COUNTIFS(投手成績!$A$2:$A$901,$A56,投手成績!$D$2:$D$901,$B56)</f>
        <v>10</v>
      </c>
      <c r="S56" s="13" t="n">
        <f aca="false">SUMIFS(投手成績!$O$2:$O$901,投手成績!$A$2:$A$901,$A56,投手成績!$D$2:$D$901,$B56)</f>
        <v>2864</v>
      </c>
      <c r="T56" s="16" t="n">
        <f aca="false">S56/3</f>
        <v>954.666666666667</v>
      </c>
      <c r="U56" s="13" t="n">
        <f aca="false">SUMIFS(投手成績!$W$2:$W$901,投手成績!$A$2:$A$901,$A56,投手成績!$D$2:$D$901,$B56)</f>
        <v>945</v>
      </c>
      <c r="V56" s="13" t="n">
        <f aca="false">SUMIFS(投手成績!$T$2:$T$901,投手成績!$A$2:$A$901,$A56,投手成績!$D$2:$D$901,$B56)</f>
        <v>463</v>
      </c>
      <c r="W56" s="18" t="n">
        <f aca="false">IF(S56=0,0,V56*27/S56)</f>
        <v>4.36487430167598</v>
      </c>
      <c r="X56" s="18" t="n">
        <f aca="false">IF(S56=0,0,U56*27/S56)</f>
        <v>8.9088687150838</v>
      </c>
    </row>
    <row r="57" customFormat="false" ht="15" hidden="false" customHeight="false" outlineLevel="0" collapsed="false">
      <c r="A57" s="5" t="n">
        <v>2025</v>
      </c>
      <c r="B57" s="7" t="s">
        <v>446</v>
      </c>
      <c r="C57" s="10" t="str">
        <f aca="false">INDEX(球隊主檔!$C$2:$C$31,MATCH($B57,球隊主檔!$A$2:$A$31,0))</f>
        <v>亞利桑那響尾蛇</v>
      </c>
      <c r="D57" s="10" t="str">
        <f aca="false">INDEX(球隊主檔!$D$2:$D$31,MATCH($B57,球隊主檔!$A$2:$A$31,0))</f>
        <v>國聯</v>
      </c>
      <c r="E57" s="10" t="str">
        <f aca="false">INDEX(球隊主檔!$E$2:$E$31,MATCH($B57,球隊主檔!$A$2:$A$31,0))</f>
        <v>國西</v>
      </c>
      <c r="F57" s="19" t="n">
        <f aca="false">SUMIFS(球隊戰績!$F$2:$F$91,球隊戰績!$A$2:$A$91,$A57,球隊戰績!$B$2:$B$91,$B57)</f>
        <v>82</v>
      </c>
      <c r="G57" s="14" t="n">
        <f aca="false">IF(INDEX(球季參數!$B$2:$B$4,MATCH($A57,球季參數!$A$2:$A$4,0))=0,0,F57/INDEX(球季參數!$B$2:$B$4,MATCH($A57,球季參數!$A$2:$A$4,0)))</f>
        <v>0.506172839506173</v>
      </c>
      <c r="H57" s="11" t="n">
        <f aca="false">COUNTIFS(打擊成績!$A$2:$A$901,$A57,打擊成績!$D$2:$D$901,$B57)</f>
        <v>10</v>
      </c>
      <c r="I57" s="13" t="n">
        <f aca="false">SUMIFS(打擊成績!$J$2:$J$901,打擊成績!$A$2:$A$901,$A57,打擊成績!$D$2:$D$901,$B57)</f>
        <v>4902</v>
      </c>
      <c r="J57" s="13" t="n">
        <f aca="false">SUMIFS(打擊成績!$K$2:$K$901,打擊成績!$A$2:$A$901,$A57,打擊成績!$D$2:$D$901,$B57)</f>
        <v>4416</v>
      </c>
      <c r="K57" s="13" t="n">
        <f aca="false">SUMIFS(打擊成績!$M$2:$M$901,打擊成績!$A$2:$A$901,$A57,打擊成績!$D$2:$D$901,$B57)</f>
        <v>1148</v>
      </c>
      <c r="L57" s="13" t="n">
        <f aca="false">SUMIFS(打擊成績!$X$2:$X$901,打擊成績!$A$2:$A$901,$A57,打擊成績!$D$2:$D$901,$B57)</f>
        <v>1919</v>
      </c>
      <c r="M57" s="13" t="n">
        <f aca="false">SUMIFS(打擊成績!$P$2:$P$901,打擊成績!$A$2:$A$901,$A57,打擊成績!$D$2:$D$901,$B57)</f>
        <v>147</v>
      </c>
      <c r="N57" s="13" t="n">
        <f aca="false">SUMIFS(打擊成績!$Q$2:$Q$901,打擊成績!$A$2:$A$901,$A57,打擊成績!$D$2:$D$901,$B57)</f>
        <v>565</v>
      </c>
      <c r="O57" s="13" t="n">
        <f aca="false">SUMIFS(打擊成績!$V$2:$V$901,打擊成績!$A$2:$A$901,$A57,打擊成績!$D$2:$D$901,$B57)</f>
        <v>151</v>
      </c>
      <c r="P57" s="14" t="n">
        <f aca="false">IF(J57=0,0,K57/J57)</f>
        <v>0.259963768115942</v>
      </c>
      <c r="Q57" s="14" t="n">
        <f aca="false">IF(J57=0,0,L57/J57)</f>
        <v>0.43455615942029</v>
      </c>
      <c r="R57" s="11" t="n">
        <f aca="false">COUNTIFS(投手成績!$A$2:$A$901,$A57,投手成績!$D$2:$D$901,$B57)</f>
        <v>10</v>
      </c>
      <c r="S57" s="13" t="n">
        <f aca="false">SUMIFS(投手成績!$O$2:$O$901,投手成績!$A$2:$A$901,$A57,投手成績!$D$2:$D$901,$B57)</f>
        <v>2805</v>
      </c>
      <c r="T57" s="16" t="n">
        <f aca="false">S57/3</f>
        <v>935</v>
      </c>
      <c r="U57" s="13" t="n">
        <f aca="false">SUMIFS(投手成績!$W$2:$W$901,投手成績!$A$2:$A$901,$A57,投手成績!$D$2:$D$901,$B57)</f>
        <v>1015</v>
      </c>
      <c r="V57" s="13" t="n">
        <f aca="false">SUMIFS(投手成績!$T$2:$T$901,投手成績!$A$2:$A$901,$A57,投手成績!$D$2:$D$901,$B57)</f>
        <v>423</v>
      </c>
      <c r="W57" s="18" t="n">
        <f aca="false">IF(S57=0,0,V57*27/S57)</f>
        <v>4.0716577540107</v>
      </c>
      <c r="X57" s="18" t="n">
        <f aca="false">IF(S57=0,0,U57*27/S57)</f>
        <v>9.77005347593583</v>
      </c>
    </row>
    <row r="58" customFormat="false" ht="15" hidden="false" customHeight="false" outlineLevel="0" collapsed="false">
      <c r="A58" s="5" t="n">
        <v>2025</v>
      </c>
      <c r="B58" s="7" t="s">
        <v>451</v>
      </c>
      <c r="C58" s="10" t="str">
        <f aca="false">INDEX(球隊主檔!$C$2:$C$31,MATCH($B58,球隊主檔!$A$2:$A$31,0))</f>
        <v>科羅拉多落磯</v>
      </c>
      <c r="D58" s="10" t="str">
        <f aca="false">INDEX(球隊主檔!$D$2:$D$31,MATCH($B58,球隊主檔!$A$2:$A$31,0))</f>
        <v>國聯</v>
      </c>
      <c r="E58" s="10" t="str">
        <f aca="false">INDEX(球隊主檔!$E$2:$E$31,MATCH($B58,球隊主檔!$A$2:$A$31,0))</f>
        <v>國西</v>
      </c>
      <c r="F58" s="19" t="n">
        <f aca="false">SUMIFS(球隊戰績!$F$2:$F$91,球隊戰績!$A$2:$A$91,$A58,球隊戰績!$B$2:$B$91,$B58)</f>
        <v>80</v>
      </c>
      <c r="G58" s="14" t="n">
        <f aca="false">IF(INDEX(球季參數!$B$2:$B$4,MATCH($A58,球季參數!$A$2:$A$4,0))=0,0,F58/INDEX(球季參數!$B$2:$B$4,MATCH($A58,球季參數!$A$2:$A$4,0)))</f>
        <v>0.493827160493827</v>
      </c>
      <c r="H58" s="11" t="n">
        <f aca="false">COUNTIFS(打擊成績!$A$2:$A$901,$A58,打擊成績!$D$2:$D$901,$B58)</f>
        <v>10</v>
      </c>
      <c r="I58" s="13" t="n">
        <f aca="false">SUMIFS(打擊成績!$J$2:$J$901,打擊成績!$A$2:$A$901,$A58,打擊成績!$D$2:$D$901,$B58)</f>
        <v>3993</v>
      </c>
      <c r="J58" s="13" t="n">
        <f aca="false">SUMIFS(打擊成績!$K$2:$K$901,打擊成績!$A$2:$A$901,$A58,打擊成績!$D$2:$D$901,$B58)</f>
        <v>3579</v>
      </c>
      <c r="K58" s="13" t="n">
        <f aca="false">SUMIFS(打擊成績!$M$2:$M$901,打擊成績!$A$2:$A$901,$A58,打擊成績!$D$2:$D$901,$B58)</f>
        <v>847</v>
      </c>
      <c r="L58" s="13" t="n">
        <f aca="false">SUMIFS(打擊成績!$X$2:$X$901,打擊成績!$A$2:$A$901,$A58,打擊成績!$D$2:$D$901,$B58)</f>
        <v>1594</v>
      </c>
      <c r="M58" s="13" t="n">
        <f aca="false">SUMIFS(打擊成績!$P$2:$P$901,打擊成績!$A$2:$A$901,$A58,打擊成績!$D$2:$D$901,$B58)</f>
        <v>137</v>
      </c>
      <c r="N58" s="13" t="n">
        <f aca="false">SUMIFS(打擊成績!$Q$2:$Q$901,打擊成績!$A$2:$A$901,$A58,打擊成績!$D$2:$D$901,$B58)</f>
        <v>446</v>
      </c>
      <c r="O58" s="13" t="n">
        <f aca="false">SUMIFS(打擊成績!$V$2:$V$901,打擊成績!$A$2:$A$901,$A58,打擊成績!$D$2:$D$901,$B58)</f>
        <v>117</v>
      </c>
      <c r="P58" s="14" t="n">
        <f aca="false">IF(J58=0,0,K58/J58)</f>
        <v>0.236658284436994</v>
      </c>
      <c r="Q58" s="14" t="n">
        <f aca="false">IF(J58=0,0,L58/J58)</f>
        <v>0.44537580329701</v>
      </c>
      <c r="R58" s="11" t="n">
        <f aca="false">COUNTIFS(投手成績!$A$2:$A$901,$A58,投手成績!$D$2:$D$901,$B58)</f>
        <v>10</v>
      </c>
      <c r="S58" s="13" t="n">
        <f aca="false">SUMIFS(投手成績!$O$2:$O$901,投手成績!$A$2:$A$901,$A58,投手成績!$D$2:$D$901,$B58)</f>
        <v>2992</v>
      </c>
      <c r="T58" s="16" t="n">
        <f aca="false">S58/3</f>
        <v>997.333333333333</v>
      </c>
      <c r="U58" s="13" t="n">
        <f aca="false">SUMIFS(投手成績!$W$2:$W$901,投手成績!$A$2:$A$901,$A58,投手成績!$D$2:$D$901,$B58)</f>
        <v>1111</v>
      </c>
      <c r="V58" s="13" t="n">
        <f aca="false">SUMIFS(投手成績!$T$2:$T$901,投手成績!$A$2:$A$901,$A58,投手成績!$D$2:$D$901,$B58)</f>
        <v>393</v>
      </c>
      <c r="W58" s="18" t="n">
        <f aca="false">IF(S58=0,0,V58*27/S58)</f>
        <v>3.54645721925134</v>
      </c>
      <c r="X58" s="18" t="n">
        <f aca="false">IF(S58=0,0,U58*27/S58)</f>
        <v>10.0257352941176</v>
      </c>
    </row>
    <row r="59" customFormat="false" ht="15" hidden="false" customHeight="false" outlineLevel="0" collapsed="false">
      <c r="A59" s="5" t="n">
        <v>2025</v>
      </c>
      <c r="B59" s="7" t="s">
        <v>455</v>
      </c>
      <c r="C59" s="10" t="str">
        <f aca="false">INDEX(球隊主檔!$C$2:$C$31,MATCH($B59,球隊主檔!$A$2:$A$31,0))</f>
        <v>洛杉磯道奇</v>
      </c>
      <c r="D59" s="10" t="str">
        <f aca="false">INDEX(球隊主檔!$D$2:$D$31,MATCH($B59,球隊主檔!$A$2:$A$31,0))</f>
        <v>國聯</v>
      </c>
      <c r="E59" s="10" t="str">
        <f aca="false">INDEX(球隊主檔!$E$2:$E$31,MATCH($B59,球隊主檔!$A$2:$A$31,0))</f>
        <v>國西</v>
      </c>
      <c r="F59" s="19" t="n">
        <f aca="false">SUMIFS(球隊戰績!$F$2:$F$91,球隊戰績!$A$2:$A$91,$A59,球隊戰績!$B$2:$B$91,$B59)</f>
        <v>84</v>
      </c>
      <c r="G59" s="14" t="n">
        <f aca="false">IF(INDEX(球季參數!$B$2:$B$4,MATCH($A59,球季參數!$A$2:$A$4,0))=0,0,F59/INDEX(球季參數!$B$2:$B$4,MATCH($A59,球季參數!$A$2:$A$4,0)))</f>
        <v>0.518518518518519</v>
      </c>
      <c r="H59" s="11" t="n">
        <f aca="false">COUNTIFS(打擊成績!$A$2:$A$901,$A59,打擊成績!$D$2:$D$901,$B59)</f>
        <v>10</v>
      </c>
      <c r="I59" s="13" t="n">
        <f aca="false">SUMIFS(打擊成績!$J$2:$J$901,打擊成績!$A$2:$A$901,$A59,打擊成績!$D$2:$D$901,$B59)</f>
        <v>4732</v>
      </c>
      <c r="J59" s="13" t="n">
        <f aca="false">SUMIFS(打擊成績!$K$2:$K$901,打擊成績!$A$2:$A$901,$A59,打擊成績!$D$2:$D$901,$B59)</f>
        <v>4240</v>
      </c>
      <c r="K59" s="13" t="n">
        <f aca="false">SUMIFS(打擊成績!$M$2:$M$901,打擊成績!$A$2:$A$901,$A59,打擊成績!$D$2:$D$901,$B59)</f>
        <v>1084</v>
      </c>
      <c r="L59" s="13" t="n">
        <f aca="false">SUMIFS(打擊成績!$X$2:$X$901,打擊成績!$A$2:$A$901,$A59,打擊成績!$D$2:$D$901,$B59)</f>
        <v>1950</v>
      </c>
      <c r="M59" s="13" t="n">
        <f aca="false">SUMIFS(打擊成績!$P$2:$P$901,打擊成績!$A$2:$A$901,$A59,打擊成績!$D$2:$D$901,$B59)</f>
        <v>165</v>
      </c>
      <c r="N59" s="13" t="n">
        <f aca="false">SUMIFS(打擊成績!$Q$2:$Q$901,打擊成績!$A$2:$A$901,$A59,打擊成績!$D$2:$D$901,$B59)</f>
        <v>600</v>
      </c>
      <c r="O59" s="13" t="n">
        <f aca="false">SUMIFS(打擊成績!$V$2:$V$901,打擊成績!$A$2:$A$901,$A59,打擊成績!$D$2:$D$901,$B59)</f>
        <v>101</v>
      </c>
      <c r="P59" s="14" t="n">
        <f aca="false">IF(J59=0,0,K59/J59)</f>
        <v>0.255660377358491</v>
      </c>
      <c r="Q59" s="14" t="n">
        <f aca="false">IF(J59=0,0,L59/J59)</f>
        <v>0.459905660377358</v>
      </c>
      <c r="R59" s="11" t="n">
        <f aca="false">COUNTIFS(投手成績!$A$2:$A$901,$A59,投手成績!$D$2:$D$901,$B59)</f>
        <v>10</v>
      </c>
      <c r="S59" s="13" t="n">
        <f aca="false">SUMIFS(投手成績!$O$2:$O$901,投手成績!$A$2:$A$901,$A59,投手成績!$D$2:$D$901,$B59)</f>
        <v>2338</v>
      </c>
      <c r="T59" s="16" t="n">
        <f aca="false">S59/3</f>
        <v>779.333333333333</v>
      </c>
      <c r="U59" s="13" t="n">
        <f aca="false">SUMIFS(投手成績!$W$2:$W$901,投手成績!$A$2:$A$901,$A59,投手成績!$D$2:$D$901,$B59)</f>
        <v>766</v>
      </c>
      <c r="V59" s="13" t="n">
        <f aca="false">SUMIFS(投手成績!$T$2:$T$901,投手成績!$A$2:$A$901,$A59,投手成績!$D$2:$D$901,$B59)</f>
        <v>359</v>
      </c>
      <c r="W59" s="18" t="n">
        <f aca="false">IF(S59=0,0,V59*27/S59)</f>
        <v>4.14585115483319</v>
      </c>
      <c r="X59" s="18" t="n">
        <f aca="false">IF(S59=0,0,U59*27/S59)</f>
        <v>8.84602224123182</v>
      </c>
    </row>
    <row r="60" customFormat="false" ht="15" hidden="false" customHeight="false" outlineLevel="0" collapsed="false">
      <c r="A60" s="5" t="n">
        <v>2025</v>
      </c>
      <c r="B60" s="7" t="s">
        <v>459</v>
      </c>
      <c r="C60" s="10" t="str">
        <f aca="false">INDEX(球隊主檔!$C$2:$C$31,MATCH($B60,球隊主檔!$A$2:$A$31,0))</f>
        <v>聖地牙哥教士</v>
      </c>
      <c r="D60" s="10" t="str">
        <f aca="false">INDEX(球隊主檔!$D$2:$D$31,MATCH($B60,球隊主檔!$A$2:$A$31,0))</f>
        <v>國聯</v>
      </c>
      <c r="E60" s="10" t="str">
        <f aca="false">INDEX(球隊主檔!$E$2:$E$31,MATCH($B60,球隊主檔!$A$2:$A$31,0))</f>
        <v>國西</v>
      </c>
      <c r="F60" s="19" t="n">
        <f aca="false">SUMIFS(球隊戰績!$F$2:$F$91,球隊戰績!$A$2:$A$91,$A60,球隊戰績!$B$2:$B$91,$B60)</f>
        <v>85</v>
      </c>
      <c r="G60" s="14" t="n">
        <f aca="false">IF(INDEX(球季參數!$B$2:$B$4,MATCH($A60,球季參數!$A$2:$A$4,0))=0,0,F60/INDEX(球季參數!$B$2:$B$4,MATCH($A60,球季參數!$A$2:$A$4,0)))</f>
        <v>0.524691358024691</v>
      </c>
      <c r="H60" s="11" t="n">
        <f aca="false">COUNTIFS(打擊成績!$A$2:$A$901,$A60,打擊成績!$D$2:$D$901,$B60)</f>
        <v>10</v>
      </c>
      <c r="I60" s="13" t="n">
        <f aca="false">SUMIFS(打擊成績!$J$2:$J$901,打擊成績!$A$2:$A$901,$A60,打擊成績!$D$2:$D$901,$B60)</f>
        <v>4220</v>
      </c>
      <c r="J60" s="13" t="n">
        <f aca="false">SUMIFS(打擊成績!$K$2:$K$901,打擊成績!$A$2:$A$901,$A60,打擊成績!$D$2:$D$901,$B60)</f>
        <v>3770</v>
      </c>
      <c r="K60" s="13" t="n">
        <f aca="false">SUMIFS(打擊成績!$M$2:$M$901,打擊成績!$A$2:$A$901,$A60,打擊成績!$D$2:$D$901,$B60)</f>
        <v>923</v>
      </c>
      <c r="L60" s="13" t="n">
        <f aca="false">SUMIFS(打擊成績!$X$2:$X$901,打擊成績!$A$2:$A$901,$A60,打擊成績!$D$2:$D$901,$B60)</f>
        <v>1630</v>
      </c>
      <c r="M60" s="13" t="n">
        <f aca="false">SUMIFS(打擊成績!$P$2:$P$901,打擊成績!$A$2:$A$901,$A60,打擊成績!$D$2:$D$901,$B60)</f>
        <v>115</v>
      </c>
      <c r="N60" s="13" t="n">
        <f aca="false">SUMIFS(打擊成績!$Q$2:$Q$901,打擊成績!$A$2:$A$901,$A60,打擊成績!$D$2:$D$901,$B60)</f>
        <v>428</v>
      </c>
      <c r="O60" s="13" t="n">
        <f aca="false">SUMIFS(打擊成績!$V$2:$V$901,打擊成績!$A$2:$A$901,$A60,打擊成績!$D$2:$D$901,$B60)</f>
        <v>69</v>
      </c>
      <c r="P60" s="14" t="n">
        <f aca="false">IF(J60=0,0,K60/J60)</f>
        <v>0.244827586206897</v>
      </c>
      <c r="Q60" s="14" t="n">
        <f aca="false">IF(J60=0,0,L60/J60)</f>
        <v>0.43236074270557</v>
      </c>
      <c r="R60" s="11" t="n">
        <f aca="false">COUNTIFS(投手成績!$A$2:$A$901,$A60,投手成績!$D$2:$D$901,$B60)</f>
        <v>10</v>
      </c>
      <c r="S60" s="13" t="n">
        <f aca="false">SUMIFS(投手成績!$O$2:$O$901,投手成績!$A$2:$A$901,$A60,投手成績!$D$2:$D$901,$B60)</f>
        <v>3086</v>
      </c>
      <c r="T60" s="16" t="n">
        <f aca="false">S60/3</f>
        <v>1028.66666666667</v>
      </c>
      <c r="U60" s="13" t="n">
        <f aca="false">SUMIFS(投手成績!$W$2:$W$901,投手成績!$A$2:$A$901,$A60,投手成績!$D$2:$D$901,$B60)</f>
        <v>1186</v>
      </c>
      <c r="V60" s="13" t="n">
        <f aca="false">SUMIFS(投手成績!$T$2:$T$901,投手成績!$A$2:$A$901,$A60,投手成績!$D$2:$D$901,$B60)</f>
        <v>500</v>
      </c>
      <c r="W60" s="18" t="n">
        <f aca="false">IF(S60=0,0,V60*27/S60)</f>
        <v>4.37459494491251</v>
      </c>
      <c r="X60" s="18" t="n">
        <f aca="false">IF(S60=0,0,U60*27/S60)</f>
        <v>10.3765392093325</v>
      </c>
    </row>
    <row r="61" customFormat="false" ht="15" hidden="false" customHeight="false" outlineLevel="0" collapsed="false">
      <c r="A61" s="5" t="n">
        <v>2025</v>
      </c>
      <c r="B61" s="7" t="s">
        <v>463</v>
      </c>
      <c r="C61" s="10" t="str">
        <f aca="false">INDEX(球隊主檔!$C$2:$C$31,MATCH($B61,球隊主檔!$A$2:$A$31,0))</f>
        <v>舊金山巨人</v>
      </c>
      <c r="D61" s="10" t="str">
        <f aca="false">INDEX(球隊主檔!$D$2:$D$31,MATCH($B61,球隊主檔!$A$2:$A$31,0))</f>
        <v>國聯</v>
      </c>
      <c r="E61" s="10" t="str">
        <f aca="false">INDEX(球隊主檔!$E$2:$E$31,MATCH($B61,球隊主檔!$A$2:$A$31,0))</f>
        <v>國西</v>
      </c>
      <c r="F61" s="19" t="n">
        <f aca="false">SUMIFS(球隊戰績!$F$2:$F$91,球隊戰績!$A$2:$A$91,$A61,球隊戰績!$B$2:$B$91,$B61)</f>
        <v>61</v>
      </c>
      <c r="G61" s="14" t="n">
        <f aca="false">IF(INDEX(球季參數!$B$2:$B$4,MATCH($A61,球季參數!$A$2:$A$4,0))=0,0,F61/INDEX(球季參數!$B$2:$B$4,MATCH($A61,球季參數!$A$2:$A$4,0)))</f>
        <v>0.376543209876543</v>
      </c>
      <c r="H61" s="11" t="n">
        <f aca="false">COUNTIFS(打擊成績!$A$2:$A$901,$A61,打擊成績!$D$2:$D$901,$B61)</f>
        <v>10</v>
      </c>
      <c r="I61" s="13" t="n">
        <f aca="false">SUMIFS(打擊成績!$J$2:$J$901,打擊成績!$A$2:$A$901,$A61,打擊成績!$D$2:$D$901,$B61)</f>
        <v>4713</v>
      </c>
      <c r="J61" s="13" t="n">
        <f aca="false">SUMIFS(打擊成績!$K$2:$K$901,打擊成績!$A$2:$A$901,$A61,打擊成績!$D$2:$D$901,$B61)</f>
        <v>4250</v>
      </c>
      <c r="K61" s="13" t="n">
        <f aca="false">SUMIFS(打擊成績!$M$2:$M$901,打擊成績!$A$2:$A$901,$A61,打擊成績!$D$2:$D$901,$B61)</f>
        <v>1059</v>
      </c>
      <c r="L61" s="13" t="n">
        <f aca="false">SUMIFS(打擊成績!$X$2:$X$901,打擊成績!$A$2:$A$901,$A61,打擊成績!$D$2:$D$901,$B61)</f>
        <v>1809</v>
      </c>
      <c r="M61" s="13" t="n">
        <f aca="false">SUMIFS(打擊成績!$P$2:$P$901,打擊成績!$A$2:$A$901,$A61,打擊成績!$D$2:$D$901,$B61)</f>
        <v>127</v>
      </c>
      <c r="N61" s="13" t="n">
        <f aca="false">SUMIFS(打擊成績!$Q$2:$Q$901,打擊成績!$A$2:$A$901,$A61,打擊成績!$D$2:$D$901,$B61)</f>
        <v>506</v>
      </c>
      <c r="O61" s="13" t="n">
        <f aca="false">SUMIFS(打擊成績!$V$2:$V$901,打擊成績!$A$2:$A$901,$A61,打擊成績!$D$2:$D$901,$B61)</f>
        <v>138</v>
      </c>
      <c r="P61" s="14" t="n">
        <f aca="false">IF(J61=0,0,K61/J61)</f>
        <v>0.249176470588235</v>
      </c>
      <c r="Q61" s="14" t="n">
        <f aca="false">IF(J61=0,0,L61/J61)</f>
        <v>0.425647058823529</v>
      </c>
      <c r="R61" s="11" t="n">
        <f aca="false">COUNTIFS(投手成績!$A$2:$A$901,$A61,投手成績!$D$2:$D$901,$B61)</f>
        <v>10</v>
      </c>
      <c r="S61" s="13" t="n">
        <f aca="false">SUMIFS(投手成績!$O$2:$O$901,投手成績!$A$2:$A$901,$A61,投手成績!$D$2:$D$901,$B61)</f>
        <v>3270</v>
      </c>
      <c r="T61" s="16" t="n">
        <f aca="false">S61/3</f>
        <v>1090</v>
      </c>
      <c r="U61" s="13" t="n">
        <f aca="false">SUMIFS(投手成績!$W$2:$W$901,投手成績!$A$2:$A$901,$A61,投手成績!$D$2:$D$901,$B61)</f>
        <v>1083</v>
      </c>
      <c r="V61" s="13" t="n">
        <f aca="false">SUMIFS(投手成績!$T$2:$T$901,投手成績!$A$2:$A$901,$A61,投手成績!$D$2:$D$901,$B61)</f>
        <v>432</v>
      </c>
      <c r="W61" s="18" t="n">
        <f aca="false">IF(S61=0,0,V61*27/S61)</f>
        <v>3.56697247706422</v>
      </c>
      <c r="X61" s="18" t="n">
        <f aca="false">IF(S61=0,0,U61*27/S61)</f>
        <v>8.94220183486239</v>
      </c>
    </row>
    <row r="62" customFormat="false" ht="15" hidden="false" customHeight="false" outlineLevel="0" collapsed="false">
      <c r="A62" s="5" t="n">
        <v>2026</v>
      </c>
      <c r="B62" s="7" t="s">
        <v>340</v>
      </c>
      <c r="C62" s="10" t="str">
        <f aca="false">INDEX(球隊主檔!$C$2:$C$31,MATCH($B62,球隊主檔!$A$2:$A$31,0))</f>
        <v>巴爾的摩金鶯</v>
      </c>
      <c r="D62" s="10" t="str">
        <f aca="false">INDEX(球隊主檔!$D$2:$D$31,MATCH($B62,球隊主檔!$A$2:$A$31,0))</f>
        <v>美聯</v>
      </c>
      <c r="E62" s="10" t="str">
        <f aca="false">INDEX(球隊主檔!$E$2:$E$31,MATCH($B62,球隊主檔!$A$2:$A$31,0))</f>
        <v>美東</v>
      </c>
      <c r="F62" s="19" t="n">
        <f aca="false">SUMIFS(球隊戰績!$F$2:$F$91,球隊戰績!$A$2:$A$91,$A62,球隊戰績!$B$2:$B$91,$B62)</f>
        <v>74</v>
      </c>
      <c r="G62" s="14" t="n">
        <f aca="false">IF(INDEX(球季參數!$B$2:$B$4,MATCH($A62,球季參數!$A$2:$A$4,0))=0,0,F62/INDEX(球季參數!$B$2:$B$4,MATCH($A62,球季參數!$A$2:$A$4,0)))</f>
        <v>0.45679012345679</v>
      </c>
      <c r="H62" s="11" t="n">
        <f aca="false">COUNTIFS(打擊成績!$A$2:$A$901,$A62,打擊成績!$D$2:$D$901,$B62)</f>
        <v>10</v>
      </c>
      <c r="I62" s="13" t="n">
        <f aca="false">SUMIFS(打擊成績!$J$2:$J$901,打擊成績!$A$2:$A$901,$A62,打擊成績!$D$2:$D$901,$B62)</f>
        <v>4388</v>
      </c>
      <c r="J62" s="13" t="n">
        <f aca="false">SUMIFS(打擊成績!$K$2:$K$901,打擊成績!$A$2:$A$901,$A62,打擊成績!$D$2:$D$901,$B62)</f>
        <v>3872</v>
      </c>
      <c r="K62" s="13" t="n">
        <f aca="false">SUMIFS(打擊成績!$M$2:$M$901,打擊成績!$A$2:$A$901,$A62,打擊成績!$D$2:$D$901,$B62)</f>
        <v>910</v>
      </c>
      <c r="L62" s="13" t="n">
        <f aca="false">SUMIFS(打擊成績!$X$2:$X$901,打擊成績!$A$2:$A$901,$A62,打擊成績!$D$2:$D$901,$B62)</f>
        <v>1560</v>
      </c>
      <c r="M62" s="13" t="n">
        <f aca="false">SUMIFS(打擊成績!$P$2:$P$901,打擊成績!$A$2:$A$901,$A62,打擊成績!$D$2:$D$901,$B62)</f>
        <v>122</v>
      </c>
      <c r="N62" s="13" t="n">
        <f aca="false">SUMIFS(打擊成績!$Q$2:$Q$901,打擊成績!$A$2:$A$901,$A62,打擊成績!$D$2:$D$901,$B62)</f>
        <v>456</v>
      </c>
      <c r="O62" s="13" t="n">
        <f aca="false">SUMIFS(打擊成績!$V$2:$V$901,打擊成績!$A$2:$A$901,$A62,打擊成績!$D$2:$D$901,$B62)</f>
        <v>78</v>
      </c>
      <c r="P62" s="14" t="n">
        <f aca="false">IF(J62=0,0,K62/J62)</f>
        <v>0.235020661157025</v>
      </c>
      <c r="Q62" s="14" t="n">
        <f aca="false">IF(J62=0,0,L62/J62)</f>
        <v>0.402892561983471</v>
      </c>
      <c r="R62" s="11" t="n">
        <f aca="false">COUNTIFS(投手成績!$A$2:$A$901,$A62,投手成績!$D$2:$D$901,$B62)</f>
        <v>10</v>
      </c>
      <c r="S62" s="13" t="n">
        <f aca="false">SUMIFS(投手成績!$O$2:$O$901,投手成績!$A$2:$A$901,$A62,投手成績!$D$2:$D$901,$B62)</f>
        <v>3323</v>
      </c>
      <c r="T62" s="16" t="n">
        <f aca="false">S62/3</f>
        <v>1107.66666666667</v>
      </c>
      <c r="U62" s="13" t="n">
        <f aca="false">SUMIFS(投手成績!$W$2:$W$901,投手成績!$A$2:$A$901,$A62,投手成績!$D$2:$D$901,$B62)</f>
        <v>1166</v>
      </c>
      <c r="V62" s="13" t="n">
        <f aca="false">SUMIFS(投手成績!$T$2:$T$901,投手成績!$A$2:$A$901,$A62,投手成績!$D$2:$D$901,$B62)</f>
        <v>487</v>
      </c>
      <c r="W62" s="18" t="n">
        <f aca="false">IF(S62=0,0,V62*27/S62)</f>
        <v>3.95696659644899</v>
      </c>
      <c r="X62" s="18" t="n">
        <f aca="false">IF(S62=0,0,U62*27/S62)</f>
        <v>9.47396930484502</v>
      </c>
    </row>
    <row r="63" customFormat="false" ht="15" hidden="false" customHeight="false" outlineLevel="0" collapsed="false">
      <c r="A63" s="5" t="n">
        <v>2026</v>
      </c>
      <c r="B63" s="7" t="s">
        <v>346</v>
      </c>
      <c r="C63" s="10" t="str">
        <f aca="false">INDEX(球隊主檔!$C$2:$C$31,MATCH($B63,球隊主檔!$A$2:$A$31,0))</f>
        <v>波士頓紅襪</v>
      </c>
      <c r="D63" s="10" t="str">
        <f aca="false">INDEX(球隊主檔!$D$2:$D$31,MATCH($B63,球隊主檔!$A$2:$A$31,0))</f>
        <v>美聯</v>
      </c>
      <c r="E63" s="10" t="str">
        <f aca="false">INDEX(球隊主檔!$E$2:$E$31,MATCH($B63,球隊主檔!$A$2:$A$31,0))</f>
        <v>美東</v>
      </c>
      <c r="F63" s="19" t="n">
        <f aca="false">SUMIFS(球隊戰績!$F$2:$F$91,球隊戰績!$A$2:$A$91,$A63,球隊戰績!$B$2:$B$91,$B63)</f>
        <v>89</v>
      </c>
      <c r="G63" s="14" t="n">
        <f aca="false">IF(INDEX(球季參數!$B$2:$B$4,MATCH($A63,球季參數!$A$2:$A$4,0))=0,0,F63/INDEX(球季參數!$B$2:$B$4,MATCH($A63,球季參數!$A$2:$A$4,0)))</f>
        <v>0.549382716049383</v>
      </c>
      <c r="H63" s="11" t="n">
        <f aca="false">COUNTIFS(打擊成績!$A$2:$A$901,$A63,打擊成績!$D$2:$D$901,$B63)</f>
        <v>10</v>
      </c>
      <c r="I63" s="13" t="n">
        <f aca="false">SUMIFS(打擊成績!$J$2:$J$901,打擊成績!$A$2:$A$901,$A63,打擊成績!$D$2:$D$901,$B63)</f>
        <v>4499</v>
      </c>
      <c r="J63" s="13" t="n">
        <f aca="false">SUMIFS(打擊成績!$K$2:$K$901,打擊成績!$A$2:$A$901,$A63,打擊成績!$D$2:$D$901,$B63)</f>
        <v>4035</v>
      </c>
      <c r="K63" s="13" t="n">
        <f aca="false">SUMIFS(打擊成績!$M$2:$M$901,打擊成績!$A$2:$A$901,$A63,打擊成績!$D$2:$D$901,$B63)</f>
        <v>981</v>
      </c>
      <c r="L63" s="13" t="n">
        <f aca="false">SUMIFS(打擊成績!$X$2:$X$901,打擊成績!$A$2:$A$901,$A63,打擊成績!$D$2:$D$901,$B63)</f>
        <v>1866</v>
      </c>
      <c r="M63" s="13" t="n">
        <f aca="false">SUMIFS(打擊成績!$P$2:$P$901,打擊成績!$A$2:$A$901,$A63,打擊成績!$D$2:$D$901,$B63)</f>
        <v>169</v>
      </c>
      <c r="N63" s="13" t="n">
        <f aca="false">SUMIFS(打擊成績!$Q$2:$Q$901,打擊成績!$A$2:$A$901,$A63,打擊成績!$D$2:$D$901,$B63)</f>
        <v>583</v>
      </c>
      <c r="O63" s="13" t="n">
        <f aca="false">SUMIFS(打擊成績!$V$2:$V$901,打擊成績!$A$2:$A$901,$A63,打擊成績!$D$2:$D$901,$B63)</f>
        <v>125</v>
      </c>
      <c r="P63" s="14" t="n">
        <f aca="false">IF(J63=0,0,K63/J63)</f>
        <v>0.243122676579926</v>
      </c>
      <c r="Q63" s="14" t="n">
        <f aca="false">IF(J63=0,0,L63/J63)</f>
        <v>0.462453531598513</v>
      </c>
      <c r="R63" s="11" t="n">
        <f aca="false">COUNTIFS(投手成績!$A$2:$A$901,$A63,投手成績!$D$2:$D$901,$B63)</f>
        <v>10</v>
      </c>
      <c r="S63" s="13" t="n">
        <f aca="false">SUMIFS(投手成績!$O$2:$O$901,投手成績!$A$2:$A$901,$A63,投手成績!$D$2:$D$901,$B63)</f>
        <v>2976</v>
      </c>
      <c r="T63" s="16" t="n">
        <f aca="false">S63/3</f>
        <v>992</v>
      </c>
      <c r="U63" s="13" t="n">
        <f aca="false">SUMIFS(投手成績!$W$2:$W$901,投手成績!$A$2:$A$901,$A63,投手成績!$D$2:$D$901,$B63)</f>
        <v>978</v>
      </c>
      <c r="V63" s="13" t="n">
        <f aca="false">SUMIFS(投手成績!$T$2:$T$901,投手成績!$A$2:$A$901,$A63,投手成績!$D$2:$D$901,$B63)</f>
        <v>392</v>
      </c>
      <c r="W63" s="18" t="n">
        <f aca="false">IF(S63=0,0,V63*27/S63)</f>
        <v>3.55645161290323</v>
      </c>
      <c r="X63" s="18" t="n">
        <f aca="false">IF(S63=0,0,U63*27/S63)</f>
        <v>8.87298387096774</v>
      </c>
    </row>
    <row r="64" customFormat="false" ht="15" hidden="false" customHeight="false" outlineLevel="0" collapsed="false">
      <c r="A64" s="5" t="n">
        <v>2026</v>
      </c>
      <c r="B64" s="7" t="s">
        <v>350</v>
      </c>
      <c r="C64" s="10" t="str">
        <f aca="false">INDEX(球隊主檔!$C$2:$C$31,MATCH($B64,球隊主檔!$A$2:$A$31,0))</f>
        <v>紐約洋基</v>
      </c>
      <c r="D64" s="10" t="str">
        <f aca="false">INDEX(球隊主檔!$D$2:$D$31,MATCH($B64,球隊主檔!$A$2:$A$31,0))</f>
        <v>美聯</v>
      </c>
      <c r="E64" s="10" t="str">
        <f aca="false">INDEX(球隊主檔!$E$2:$E$31,MATCH($B64,球隊主檔!$A$2:$A$31,0))</f>
        <v>美東</v>
      </c>
      <c r="F64" s="19" t="n">
        <f aca="false">SUMIFS(球隊戰績!$F$2:$F$91,球隊戰績!$A$2:$A$91,$A64,球隊戰績!$B$2:$B$91,$B64)</f>
        <v>89</v>
      </c>
      <c r="G64" s="14" t="n">
        <f aca="false">IF(INDEX(球季參數!$B$2:$B$4,MATCH($A64,球季參數!$A$2:$A$4,0))=0,0,F64/INDEX(球季參數!$B$2:$B$4,MATCH($A64,球季參數!$A$2:$A$4,0)))</f>
        <v>0.549382716049383</v>
      </c>
      <c r="H64" s="11" t="n">
        <f aca="false">COUNTIFS(打擊成績!$A$2:$A$901,$A64,打擊成績!$D$2:$D$901,$B64)</f>
        <v>10</v>
      </c>
      <c r="I64" s="13" t="n">
        <f aca="false">SUMIFS(打擊成績!$J$2:$J$901,打擊成績!$A$2:$A$901,$A64,打擊成績!$D$2:$D$901,$B64)</f>
        <v>5090</v>
      </c>
      <c r="J64" s="13" t="n">
        <f aca="false">SUMIFS(打擊成績!$K$2:$K$901,打擊成績!$A$2:$A$901,$A64,打擊成績!$D$2:$D$901,$B64)</f>
        <v>4530</v>
      </c>
      <c r="K64" s="13" t="n">
        <f aca="false">SUMIFS(打擊成績!$M$2:$M$901,打擊成績!$A$2:$A$901,$A64,打擊成績!$D$2:$D$901,$B64)</f>
        <v>1137</v>
      </c>
      <c r="L64" s="13" t="n">
        <f aca="false">SUMIFS(打擊成績!$X$2:$X$901,打擊成績!$A$2:$A$901,$A64,打擊成績!$D$2:$D$901,$B64)</f>
        <v>2109</v>
      </c>
      <c r="M64" s="13" t="n">
        <f aca="false">SUMIFS(打擊成績!$P$2:$P$901,打擊成績!$A$2:$A$901,$A64,打擊成績!$D$2:$D$901,$B64)</f>
        <v>197</v>
      </c>
      <c r="N64" s="13" t="n">
        <f aca="false">SUMIFS(打擊成績!$Q$2:$Q$901,打擊成績!$A$2:$A$901,$A64,打擊成績!$D$2:$D$901,$B64)</f>
        <v>663</v>
      </c>
      <c r="O64" s="13" t="n">
        <f aca="false">SUMIFS(打擊成績!$V$2:$V$901,打擊成績!$A$2:$A$901,$A64,打擊成績!$D$2:$D$901,$B64)</f>
        <v>63</v>
      </c>
      <c r="P64" s="14" t="n">
        <f aca="false">IF(J64=0,0,K64/J64)</f>
        <v>0.250993377483444</v>
      </c>
      <c r="Q64" s="14" t="n">
        <f aca="false">IF(J64=0,0,L64/J64)</f>
        <v>0.465562913907285</v>
      </c>
      <c r="R64" s="11" t="n">
        <f aca="false">COUNTIFS(投手成績!$A$2:$A$901,$A64,投手成績!$D$2:$D$901,$B64)</f>
        <v>10</v>
      </c>
      <c r="S64" s="13" t="n">
        <f aca="false">SUMIFS(投手成績!$O$2:$O$901,投手成績!$A$2:$A$901,$A64,投手成績!$D$2:$D$901,$B64)</f>
        <v>2559</v>
      </c>
      <c r="T64" s="16" t="n">
        <f aca="false">S64/3</f>
        <v>853</v>
      </c>
      <c r="U64" s="13" t="n">
        <f aca="false">SUMIFS(投手成績!$W$2:$W$901,投手成績!$A$2:$A$901,$A64,投手成績!$D$2:$D$901,$B64)</f>
        <v>736</v>
      </c>
      <c r="V64" s="13" t="n">
        <f aca="false">SUMIFS(投手成績!$T$2:$T$901,投手成績!$A$2:$A$901,$A64,投手成績!$D$2:$D$901,$B64)</f>
        <v>365</v>
      </c>
      <c r="W64" s="18" t="n">
        <f aca="false">IF(S64=0,0,V64*27/S64)</f>
        <v>3.85111371629543</v>
      </c>
      <c r="X64" s="18" t="n">
        <f aca="false">IF(S64=0,0,U64*27/S64)</f>
        <v>7.76553341148886</v>
      </c>
    </row>
    <row r="65" customFormat="false" ht="15" hidden="false" customHeight="false" outlineLevel="0" collapsed="false">
      <c r="A65" s="5" t="n">
        <v>2026</v>
      </c>
      <c r="B65" s="7" t="s">
        <v>354</v>
      </c>
      <c r="C65" s="10" t="str">
        <f aca="false">INDEX(球隊主檔!$C$2:$C$31,MATCH($B65,球隊主檔!$A$2:$A$31,0))</f>
        <v>坦帕灣光芒</v>
      </c>
      <c r="D65" s="10" t="str">
        <f aca="false">INDEX(球隊主檔!$D$2:$D$31,MATCH($B65,球隊主檔!$A$2:$A$31,0))</f>
        <v>美聯</v>
      </c>
      <c r="E65" s="10" t="str">
        <f aca="false">INDEX(球隊主檔!$E$2:$E$31,MATCH($B65,球隊主檔!$A$2:$A$31,0))</f>
        <v>美東</v>
      </c>
      <c r="F65" s="19" t="n">
        <f aca="false">SUMIFS(球隊戰績!$F$2:$F$91,球隊戰績!$A$2:$A$91,$A65,球隊戰績!$B$2:$B$91,$B65)</f>
        <v>70</v>
      </c>
      <c r="G65" s="14" t="n">
        <f aca="false">IF(INDEX(球季參數!$B$2:$B$4,MATCH($A65,球季參數!$A$2:$A$4,0))=0,0,F65/INDEX(球季參數!$B$2:$B$4,MATCH($A65,球季參數!$A$2:$A$4,0)))</f>
        <v>0.432098765432099</v>
      </c>
      <c r="H65" s="11" t="n">
        <f aca="false">COUNTIFS(打擊成績!$A$2:$A$901,$A65,打擊成績!$D$2:$D$901,$B65)</f>
        <v>10</v>
      </c>
      <c r="I65" s="13" t="n">
        <f aca="false">SUMIFS(打擊成績!$J$2:$J$901,打擊成績!$A$2:$A$901,$A65,打擊成績!$D$2:$D$901,$B65)</f>
        <v>5115</v>
      </c>
      <c r="J65" s="13" t="n">
        <f aca="false">SUMIFS(打擊成績!$K$2:$K$901,打擊成績!$A$2:$A$901,$A65,打擊成績!$D$2:$D$901,$B65)</f>
        <v>4558</v>
      </c>
      <c r="K65" s="13" t="n">
        <f aca="false">SUMIFS(打擊成績!$M$2:$M$901,打擊成績!$A$2:$A$901,$A65,打擊成績!$D$2:$D$901,$B65)</f>
        <v>1141</v>
      </c>
      <c r="L65" s="13" t="n">
        <f aca="false">SUMIFS(打擊成績!$X$2:$X$901,打擊成績!$A$2:$A$901,$A65,打擊成績!$D$2:$D$901,$B65)</f>
        <v>1892</v>
      </c>
      <c r="M65" s="13" t="n">
        <f aca="false">SUMIFS(打擊成績!$P$2:$P$901,打擊成績!$A$2:$A$901,$A65,打擊成績!$D$2:$D$901,$B65)</f>
        <v>129</v>
      </c>
      <c r="N65" s="13" t="n">
        <f aca="false">SUMIFS(打擊成績!$Q$2:$Q$901,打擊成績!$A$2:$A$901,$A65,打擊成績!$D$2:$D$901,$B65)</f>
        <v>511</v>
      </c>
      <c r="O65" s="13" t="n">
        <f aca="false">SUMIFS(打擊成績!$V$2:$V$901,打擊成績!$A$2:$A$901,$A65,打擊成績!$D$2:$D$901,$B65)</f>
        <v>139</v>
      </c>
      <c r="P65" s="14" t="n">
        <f aca="false">IF(J65=0,0,K65/J65)</f>
        <v>0.250329091706889</v>
      </c>
      <c r="Q65" s="14" t="n">
        <f aca="false">IF(J65=0,0,L65/J65)</f>
        <v>0.415094339622642</v>
      </c>
      <c r="R65" s="11" t="n">
        <f aca="false">COUNTIFS(投手成績!$A$2:$A$901,$A65,投手成績!$D$2:$D$901,$B65)</f>
        <v>10</v>
      </c>
      <c r="S65" s="13" t="n">
        <f aca="false">SUMIFS(投手成績!$O$2:$O$901,投手成績!$A$2:$A$901,$A65,投手成績!$D$2:$D$901,$B65)</f>
        <v>3121</v>
      </c>
      <c r="T65" s="16" t="n">
        <f aca="false">S65/3</f>
        <v>1040.33333333333</v>
      </c>
      <c r="U65" s="13" t="n">
        <f aca="false">SUMIFS(投手成績!$W$2:$W$901,投手成績!$A$2:$A$901,$A65,投手成績!$D$2:$D$901,$B65)</f>
        <v>1014</v>
      </c>
      <c r="V65" s="13" t="n">
        <f aca="false">SUMIFS(投手成績!$T$2:$T$901,投手成績!$A$2:$A$901,$A65,投手成績!$D$2:$D$901,$B65)</f>
        <v>559</v>
      </c>
      <c r="W65" s="18" t="n">
        <f aca="false">IF(S65=0,0,V65*27/S65)</f>
        <v>4.83595001602051</v>
      </c>
      <c r="X65" s="18" t="n">
        <f aca="false">IF(S65=0,0,U65*27/S65)</f>
        <v>8.77218840115348</v>
      </c>
    </row>
    <row r="66" customFormat="false" ht="15" hidden="false" customHeight="false" outlineLevel="0" collapsed="false">
      <c r="A66" s="5" t="n">
        <v>2026</v>
      </c>
      <c r="B66" s="7" t="s">
        <v>358</v>
      </c>
      <c r="C66" s="10" t="str">
        <f aca="false">INDEX(球隊主檔!$C$2:$C$31,MATCH($B66,球隊主檔!$A$2:$A$31,0))</f>
        <v>多倫多藍鳥</v>
      </c>
      <c r="D66" s="10" t="str">
        <f aca="false">INDEX(球隊主檔!$D$2:$D$31,MATCH($B66,球隊主檔!$A$2:$A$31,0))</f>
        <v>美聯</v>
      </c>
      <c r="E66" s="10" t="str">
        <f aca="false">INDEX(球隊主檔!$E$2:$E$31,MATCH($B66,球隊主檔!$A$2:$A$31,0))</f>
        <v>美東</v>
      </c>
      <c r="F66" s="19" t="n">
        <f aca="false">SUMIFS(球隊戰績!$F$2:$F$91,球隊戰績!$A$2:$A$91,$A66,球隊戰績!$B$2:$B$91,$B66)</f>
        <v>86</v>
      </c>
      <c r="G66" s="14" t="n">
        <f aca="false">IF(INDEX(球季參數!$B$2:$B$4,MATCH($A66,球季參數!$A$2:$A$4,0))=0,0,F66/INDEX(球季參數!$B$2:$B$4,MATCH($A66,球季參數!$A$2:$A$4,0)))</f>
        <v>0.530864197530864</v>
      </c>
      <c r="H66" s="11" t="n">
        <f aca="false">COUNTIFS(打擊成績!$A$2:$A$901,$A66,打擊成績!$D$2:$D$901,$B66)</f>
        <v>10</v>
      </c>
      <c r="I66" s="13" t="n">
        <f aca="false">SUMIFS(打擊成績!$J$2:$J$901,打擊成績!$A$2:$A$901,$A66,打擊成績!$D$2:$D$901,$B66)</f>
        <v>4835</v>
      </c>
      <c r="J66" s="13" t="n">
        <f aca="false">SUMIFS(打擊成績!$K$2:$K$901,打擊成績!$A$2:$A$901,$A66,打擊成績!$D$2:$D$901,$B66)</f>
        <v>4357</v>
      </c>
      <c r="K66" s="13" t="n">
        <f aca="false">SUMIFS(打擊成績!$M$2:$M$901,打擊成績!$A$2:$A$901,$A66,打擊成績!$D$2:$D$901,$B66)</f>
        <v>1007</v>
      </c>
      <c r="L66" s="13" t="n">
        <f aca="false">SUMIFS(打擊成績!$X$2:$X$901,打擊成績!$A$2:$A$901,$A66,打擊成績!$D$2:$D$901,$B66)</f>
        <v>1712</v>
      </c>
      <c r="M66" s="13" t="n">
        <f aca="false">SUMIFS(打擊成績!$P$2:$P$901,打擊成績!$A$2:$A$901,$A66,打擊成績!$D$2:$D$901,$B66)</f>
        <v>129</v>
      </c>
      <c r="N66" s="13" t="n">
        <f aca="false">SUMIFS(打擊成績!$Q$2:$Q$901,打擊成績!$A$2:$A$901,$A66,打擊成績!$D$2:$D$901,$B66)</f>
        <v>487</v>
      </c>
      <c r="O66" s="13" t="n">
        <f aca="false">SUMIFS(打擊成績!$V$2:$V$901,打擊成績!$A$2:$A$901,$A66,打擊成績!$D$2:$D$901,$B66)</f>
        <v>140</v>
      </c>
      <c r="P66" s="14" t="n">
        <f aca="false">IF(J66=0,0,K66/J66)</f>
        <v>0.231122331879734</v>
      </c>
      <c r="Q66" s="14" t="n">
        <f aca="false">IF(J66=0,0,L66/J66)</f>
        <v>0.39293091576773</v>
      </c>
      <c r="R66" s="11" t="n">
        <f aca="false">COUNTIFS(投手成績!$A$2:$A$901,$A66,投手成績!$D$2:$D$901,$B66)</f>
        <v>10</v>
      </c>
      <c r="S66" s="13" t="n">
        <f aca="false">SUMIFS(投手成績!$O$2:$O$901,投手成績!$A$2:$A$901,$A66,投手成績!$D$2:$D$901,$B66)</f>
        <v>3435</v>
      </c>
      <c r="T66" s="16" t="n">
        <f aca="false">S66/3</f>
        <v>1145</v>
      </c>
      <c r="U66" s="13" t="n">
        <f aca="false">SUMIFS(投手成績!$W$2:$W$901,投手成績!$A$2:$A$901,$A66,投手成績!$D$2:$D$901,$B66)</f>
        <v>1265</v>
      </c>
      <c r="V66" s="13" t="n">
        <f aca="false">SUMIFS(投手成績!$T$2:$T$901,投手成績!$A$2:$A$901,$A66,投手成績!$D$2:$D$901,$B66)</f>
        <v>503</v>
      </c>
      <c r="W66" s="18" t="n">
        <f aca="false">IF(S66=0,0,V66*27/S66)</f>
        <v>3.95371179039301</v>
      </c>
      <c r="X66" s="18" t="n">
        <f aca="false">IF(S66=0,0,U66*27/S66)</f>
        <v>9.94323144104803</v>
      </c>
    </row>
    <row r="67" customFormat="false" ht="15" hidden="false" customHeight="false" outlineLevel="0" collapsed="false">
      <c r="A67" s="5" t="n">
        <v>2026</v>
      </c>
      <c r="B67" s="7" t="s">
        <v>362</v>
      </c>
      <c r="C67" s="10" t="str">
        <f aca="false">INDEX(球隊主檔!$C$2:$C$31,MATCH($B67,球隊主檔!$A$2:$A$31,0))</f>
        <v>芝加哥白襪</v>
      </c>
      <c r="D67" s="10" t="str">
        <f aca="false">INDEX(球隊主檔!$D$2:$D$31,MATCH($B67,球隊主檔!$A$2:$A$31,0))</f>
        <v>美聯</v>
      </c>
      <c r="E67" s="10" t="str">
        <f aca="false">INDEX(球隊主檔!$E$2:$E$31,MATCH($B67,球隊主檔!$A$2:$A$31,0))</f>
        <v>美中</v>
      </c>
      <c r="F67" s="19" t="n">
        <f aca="false">SUMIFS(球隊戰績!$F$2:$F$91,球隊戰績!$A$2:$A$91,$A67,球隊戰績!$B$2:$B$91,$B67)</f>
        <v>84</v>
      </c>
      <c r="G67" s="14" t="n">
        <f aca="false">IF(INDEX(球季參數!$B$2:$B$4,MATCH($A67,球季參數!$A$2:$A$4,0))=0,0,F67/INDEX(球季參數!$B$2:$B$4,MATCH($A67,球季參數!$A$2:$A$4,0)))</f>
        <v>0.518518518518519</v>
      </c>
      <c r="H67" s="11" t="n">
        <f aca="false">COUNTIFS(打擊成績!$A$2:$A$901,$A67,打擊成績!$D$2:$D$901,$B67)</f>
        <v>10</v>
      </c>
      <c r="I67" s="13" t="n">
        <f aca="false">SUMIFS(打擊成績!$J$2:$J$901,打擊成績!$A$2:$A$901,$A67,打擊成績!$D$2:$D$901,$B67)</f>
        <v>4687</v>
      </c>
      <c r="J67" s="13" t="n">
        <f aca="false">SUMIFS(打擊成績!$K$2:$K$901,打擊成績!$A$2:$A$901,$A67,打擊成績!$D$2:$D$901,$B67)</f>
        <v>4216</v>
      </c>
      <c r="K67" s="13" t="n">
        <f aca="false">SUMIFS(打擊成績!$M$2:$M$901,打擊成績!$A$2:$A$901,$A67,打擊成績!$D$2:$D$901,$B67)</f>
        <v>1007</v>
      </c>
      <c r="L67" s="13" t="n">
        <f aca="false">SUMIFS(打擊成績!$X$2:$X$901,打擊成績!$A$2:$A$901,$A67,打擊成績!$D$2:$D$901,$B67)</f>
        <v>1718</v>
      </c>
      <c r="M67" s="13" t="n">
        <f aca="false">SUMIFS(打擊成績!$P$2:$P$901,打擊成績!$A$2:$A$901,$A67,打擊成績!$D$2:$D$901,$B67)</f>
        <v>124</v>
      </c>
      <c r="N67" s="13" t="n">
        <f aca="false">SUMIFS(打擊成績!$Q$2:$Q$901,打擊成績!$A$2:$A$901,$A67,打擊成績!$D$2:$D$901,$B67)</f>
        <v>502</v>
      </c>
      <c r="O67" s="13" t="n">
        <f aca="false">SUMIFS(打擊成績!$V$2:$V$901,打擊成績!$A$2:$A$901,$A67,打擊成績!$D$2:$D$901,$B67)</f>
        <v>56</v>
      </c>
      <c r="P67" s="14" t="n">
        <f aca="false">IF(J67=0,0,K67/J67)</f>
        <v>0.238851992409867</v>
      </c>
      <c r="Q67" s="14" t="n">
        <f aca="false">IF(J67=0,0,L67/J67)</f>
        <v>0.407495256166983</v>
      </c>
      <c r="R67" s="11" t="n">
        <f aca="false">COUNTIFS(投手成績!$A$2:$A$901,$A67,投手成績!$D$2:$D$901,$B67)</f>
        <v>10</v>
      </c>
      <c r="S67" s="13" t="n">
        <f aca="false">SUMIFS(投手成績!$O$2:$O$901,投手成績!$A$2:$A$901,$A67,投手成績!$D$2:$D$901,$B67)</f>
        <v>2784</v>
      </c>
      <c r="T67" s="16" t="n">
        <f aca="false">S67/3</f>
        <v>928</v>
      </c>
      <c r="U67" s="13" t="n">
        <f aca="false">SUMIFS(投手成績!$W$2:$W$901,投手成績!$A$2:$A$901,$A67,投手成績!$D$2:$D$901,$B67)</f>
        <v>973</v>
      </c>
      <c r="V67" s="13" t="n">
        <f aca="false">SUMIFS(投手成績!$T$2:$T$901,投手成績!$A$2:$A$901,$A67,投手成績!$D$2:$D$901,$B67)</f>
        <v>463</v>
      </c>
      <c r="W67" s="18" t="n">
        <f aca="false">IF(S67=0,0,V67*27/S67)</f>
        <v>4.49030172413793</v>
      </c>
      <c r="X67" s="18" t="n">
        <f aca="false">IF(S67=0,0,U67*27/S67)</f>
        <v>9.4364224137931</v>
      </c>
    </row>
    <row r="68" customFormat="false" ht="15" hidden="false" customHeight="false" outlineLevel="0" collapsed="false">
      <c r="A68" s="5" t="n">
        <v>2026</v>
      </c>
      <c r="B68" s="7" t="s">
        <v>367</v>
      </c>
      <c r="C68" s="10" t="str">
        <f aca="false">INDEX(球隊主檔!$C$2:$C$31,MATCH($B68,球隊主檔!$A$2:$A$31,0))</f>
        <v>克里夫蘭守護者</v>
      </c>
      <c r="D68" s="10" t="str">
        <f aca="false">INDEX(球隊主檔!$D$2:$D$31,MATCH($B68,球隊主檔!$A$2:$A$31,0))</f>
        <v>美聯</v>
      </c>
      <c r="E68" s="10" t="str">
        <f aca="false">INDEX(球隊主檔!$E$2:$E$31,MATCH($B68,球隊主檔!$A$2:$A$31,0))</f>
        <v>美中</v>
      </c>
      <c r="F68" s="19" t="n">
        <f aca="false">SUMIFS(球隊戰績!$F$2:$F$91,球隊戰績!$A$2:$A$91,$A68,球隊戰績!$B$2:$B$91,$B68)</f>
        <v>97</v>
      </c>
      <c r="G68" s="14" t="n">
        <f aca="false">IF(INDEX(球季參數!$B$2:$B$4,MATCH($A68,球季參數!$A$2:$A$4,0))=0,0,F68/INDEX(球季參數!$B$2:$B$4,MATCH($A68,球季參數!$A$2:$A$4,0)))</f>
        <v>0.598765432098765</v>
      </c>
      <c r="H68" s="11" t="n">
        <f aca="false">COUNTIFS(打擊成績!$A$2:$A$901,$A68,打擊成績!$D$2:$D$901,$B68)</f>
        <v>10</v>
      </c>
      <c r="I68" s="13" t="n">
        <f aca="false">SUMIFS(打擊成績!$J$2:$J$901,打擊成績!$A$2:$A$901,$A68,打擊成績!$D$2:$D$901,$B68)</f>
        <v>4985</v>
      </c>
      <c r="J68" s="13" t="n">
        <f aca="false">SUMIFS(打擊成績!$K$2:$K$901,打擊成績!$A$2:$A$901,$A68,打擊成績!$D$2:$D$901,$B68)</f>
        <v>4492</v>
      </c>
      <c r="K68" s="13" t="n">
        <f aca="false">SUMIFS(打擊成績!$M$2:$M$901,打擊成績!$A$2:$A$901,$A68,打擊成績!$D$2:$D$901,$B68)</f>
        <v>1080</v>
      </c>
      <c r="L68" s="13" t="n">
        <f aca="false">SUMIFS(打擊成績!$X$2:$X$901,打擊成績!$A$2:$A$901,$A68,打擊成績!$D$2:$D$901,$B68)</f>
        <v>1929</v>
      </c>
      <c r="M68" s="13" t="n">
        <f aca="false">SUMIFS(打擊成績!$P$2:$P$901,打擊成績!$A$2:$A$901,$A68,打擊成績!$D$2:$D$901,$B68)</f>
        <v>173</v>
      </c>
      <c r="N68" s="13" t="n">
        <f aca="false">SUMIFS(打擊成績!$Q$2:$Q$901,打擊成績!$A$2:$A$901,$A68,打擊成績!$D$2:$D$901,$B68)</f>
        <v>628</v>
      </c>
      <c r="O68" s="13" t="n">
        <f aca="false">SUMIFS(打擊成績!$V$2:$V$901,打擊成績!$A$2:$A$901,$A68,打擊成績!$D$2:$D$901,$B68)</f>
        <v>127</v>
      </c>
      <c r="P68" s="14" t="n">
        <f aca="false">IF(J68=0,0,K68/J68)</f>
        <v>0.240427426536064</v>
      </c>
      <c r="Q68" s="14" t="n">
        <f aca="false">IF(J68=0,0,L68/J68)</f>
        <v>0.429430097951915</v>
      </c>
      <c r="R68" s="11" t="n">
        <f aca="false">COUNTIFS(投手成績!$A$2:$A$901,$A68,投手成績!$D$2:$D$901,$B68)</f>
        <v>10</v>
      </c>
      <c r="S68" s="13" t="n">
        <f aca="false">SUMIFS(投手成績!$O$2:$O$901,投手成績!$A$2:$A$901,$A68,投手成績!$D$2:$D$901,$B68)</f>
        <v>3193</v>
      </c>
      <c r="T68" s="16" t="n">
        <f aca="false">S68/3</f>
        <v>1064.33333333333</v>
      </c>
      <c r="U68" s="13" t="n">
        <f aca="false">SUMIFS(投手成績!$W$2:$W$901,投手成績!$A$2:$A$901,$A68,投手成績!$D$2:$D$901,$B68)</f>
        <v>1081</v>
      </c>
      <c r="V68" s="13" t="n">
        <f aca="false">SUMIFS(投手成績!$T$2:$T$901,投手成績!$A$2:$A$901,$A68,投手成績!$D$2:$D$901,$B68)</f>
        <v>513</v>
      </c>
      <c r="W68" s="18" t="n">
        <f aca="false">IF(S68=0,0,V68*27/S68)</f>
        <v>4.33792671468838</v>
      </c>
      <c r="X68" s="18" t="n">
        <f aca="false">IF(S68=0,0,U68*27/S68)</f>
        <v>9.14093329157532</v>
      </c>
    </row>
    <row r="69" customFormat="false" ht="15" hidden="false" customHeight="false" outlineLevel="0" collapsed="false">
      <c r="A69" s="5" t="n">
        <v>2026</v>
      </c>
      <c r="B69" s="7" t="s">
        <v>371</v>
      </c>
      <c r="C69" s="10" t="str">
        <f aca="false">INDEX(球隊主檔!$C$2:$C$31,MATCH($B69,球隊主檔!$A$2:$A$31,0))</f>
        <v>底特律老虎</v>
      </c>
      <c r="D69" s="10" t="str">
        <f aca="false">INDEX(球隊主檔!$D$2:$D$31,MATCH($B69,球隊主檔!$A$2:$A$31,0))</f>
        <v>美聯</v>
      </c>
      <c r="E69" s="10" t="str">
        <f aca="false">INDEX(球隊主檔!$E$2:$E$31,MATCH($B69,球隊主檔!$A$2:$A$31,0))</f>
        <v>美中</v>
      </c>
      <c r="F69" s="19" t="n">
        <f aca="false">SUMIFS(球隊戰績!$F$2:$F$91,球隊戰績!$A$2:$A$91,$A69,球隊戰績!$B$2:$B$91,$B69)</f>
        <v>73</v>
      </c>
      <c r="G69" s="14" t="n">
        <f aca="false">IF(INDEX(球季參數!$B$2:$B$4,MATCH($A69,球季參數!$A$2:$A$4,0))=0,0,F69/INDEX(球季參數!$B$2:$B$4,MATCH($A69,球季參數!$A$2:$A$4,0)))</f>
        <v>0.450617283950617</v>
      </c>
      <c r="H69" s="11" t="n">
        <f aca="false">COUNTIFS(打擊成績!$A$2:$A$901,$A69,打擊成績!$D$2:$D$901,$B69)</f>
        <v>10</v>
      </c>
      <c r="I69" s="13" t="n">
        <f aca="false">SUMIFS(打擊成績!$J$2:$J$901,打擊成績!$A$2:$A$901,$A69,打擊成績!$D$2:$D$901,$B69)</f>
        <v>4606</v>
      </c>
      <c r="J69" s="13" t="n">
        <f aca="false">SUMIFS(打擊成績!$K$2:$K$901,打擊成績!$A$2:$A$901,$A69,打擊成績!$D$2:$D$901,$B69)</f>
        <v>4137</v>
      </c>
      <c r="K69" s="13" t="n">
        <f aca="false">SUMIFS(打擊成績!$M$2:$M$901,打擊成績!$A$2:$A$901,$A69,打擊成績!$D$2:$D$901,$B69)</f>
        <v>957</v>
      </c>
      <c r="L69" s="13" t="n">
        <f aca="false">SUMIFS(打擊成績!$X$2:$X$901,打擊成績!$A$2:$A$901,$A69,打擊成績!$D$2:$D$901,$B69)</f>
        <v>1744</v>
      </c>
      <c r="M69" s="13" t="n">
        <f aca="false">SUMIFS(打擊成績!$P$2:$P$901,打擊成績!$A$2:$A$901,$A69,打擊成績!$D$2:$D$901,$B69)</f>
        <v>163</v>
      </c>
      <c r="N69" s="13" t="n">
        <f aca="false">SUMIFS(打擊成績!$Q$2:$Q$901,打擊成績!$A$2:$A$901,$A69,打擊成績!$D$2:$D$901,$B69)</f>
        <v>533</v>
      </c>
      <c r="O69" s="13" t="n">
        <f aca="false">SUMIFS(打擊成績!$V$2:$V$901,打擊成績!$A$2:$A$901,$A69,打擊成績!$D$2:$D$901,$B69)</f>
        <v>98</v>
      </c>
      <c r="P69" s="14" t="n">
        <f aca="false">IF(J69=0,0,K69/J69)</f>
        <v>0.231327048585932</v>
      </c>
      <c r="Q69" s="14" t="n">
        <f aca="false">IF(J69=0,0,L69/J69)</f>
        <v>0.421561518008219</v>
      </c>
      <c r="R69" s="11" t="n">
        <f aca="false">COUNTIFS(投手成績!$A$2:$A$901,$A69,投手成績!$D$2:$D$901,$B69)</f>
        <v>10</v>
      </c>
      <c r="S69" s="13" t="n">
        <f aca="false">SUMIFS(投手成績!$O$2:$O$901,投手成績!$A$2:$A$901,$A69,投手成績!$D$2:$D$901,$B69)</f>
        <v>3252</v>
      </c>
      <c r="T69" s="16" t="n">
        <f aca="false">S69/3</f>
        <v>1084</v>
      </c>
      <c r="U69" s="13" t="n">
        <f aca="false">SUMIFS(投手成績!$W$2:$W$901,投手成績!$A$2:$A$901,$A69,投手成績!$D$2:$D$901,$B69)</f>
        <v>1041</v>
      </c>
      <c r="V69" s="13" t="n">
        <f aca="false">SUMIFS(投手成績!$T$2:$T$901,投手成績!$A$2:$A$901,$A69,投手成績!$D$2:$D$901,$B69)</f>
        <v>522</v>
      </c>
      <c r="W69" s="18" t="n">
        <f aca="false">IF(S69=0,0,V69*27/S69)</f>
        <v>4.3339483394834</v>
      </c>
      <c r="X69" s="18" t="n">
        <f aca="false">IF(S69=0,0,U69*27/S69)</f>
        <v>8.6429889298893</v>
      </c>
    </row>
    <row r="70" customFormat="false" ht="15" hidden="false" customHeight="false" outlineLevel="0" collapsed="false">
      <c r="A70" s="5" t="n">
        <v>2026</v>
      </c>
      <c r="B70" s="7" t="s">
        <v>375</v>
      </c>
      <c r="C70" s="10" t="str">
        <f aca="false">INDEX(球隊主檔!$C$2:$C$31,MATCH($B70,球隊主檔!$A$2:$A$31,0))</f>
        <v>堪薩斯市皇家</v>
      </c>
      <c r="D70" s="10" t="str">
        <f aca="false">INDEX(球隊主檔!$D$2:$D$31,MATCH($B70,球隊主檔!$A$2:$A$31,0))</f>
        <v>美聯</v>
      </c>
      <c r="E70" s="10" t="str">
        <f aca="false">INDEX(球隊主檔!$E$2:$E$31,MATCH($B70,球隊主檔!$A$2:$A$31,0))</f>
        <v>美中</v>
      </c>
      <c r="F70" s="19" t="n">
        <f aca="false">SUMIFS(球隊戰績!$F$2:$F$91,球隊戰績!$A$2:$A$91,$A70,球隊戰績!$B$2:$B$91,$B70)</f>
        <v>84</v>
      </c>
      <c r="G70" s="14" t="n">
        <f aca="false">IF(INDEX(球季參數!$B$2:$B$4,MATCH($A70,球季參數!$A$2:$A$4,0))=0,0,F70/INDEX(球季參數!$B$2:$B$4,MATCH($A70,球季參數!$A$2:$A$4,0)))</f>
        <v>0.518518518518519</v>
      </c>
      <c r="H70" s="11" t="n">
        <f aca="false">COUNTIFS(打擊成績!$A$2:$A$901,$A70,打擊成績!$D$2:$D$901,$B70)</f>
        <v>10</v>
      </c>
      <c r="I70" s="13" t="n">
        <f aca="false">SUMIFS(打擊成績!$J$2:$J$901,打擊成績!$A$2:$A$901,$A70,打擊成績!$D$2:$D$901,$B70)</f>
        <v>4683</v>
      </c>
      <c r="J70" s="13" t="n">
        <f aca="false">SUMIFS(打擊成績!$K$2:$K$901,打擊成績!$A$2:$A$901,$A70,打擊成績!$D$2:$D$901,$B70)</f>
        <v>4157</v>
      </c>
      <c r="K70" s="13" t="n">
        <f aca="false">SUMIFS(打擊成績!$M$2:$M$901,打擊成績!$A$2:$A$901,$A70,打擊成績!$D$2:$D$901,$B70)</f>
        <v>1099</v>
      </c>
      <c r="L70" s="13" t="n">
        <f aca="false">SUMIFS(打擊成績!$X$2:$X$901,打擊成績!$A$2:$A$901,$A70,打擊成績!$D$2:$D$901,$B70)</f>
        <v>1874</v>
      </c>
      <c r="M70" s="13" t="n">
        <f aca="false">SUMIFS(打擊成績!$P$2:$P$901,打擊成績!$A$2:$A$901,$A70,打擊成績!$D$2:$D$901,$B70)</f>
        <v>151</v>
      </c>
      <c r="N70" s="13" t="n">
        <f aca="false">SUMIFS(打擊成績!$Q$2:$Q$901,打擊成績!$A$2:$A$901,$A70,打擊成績!$D$2:$D$901,$B70)</f>
        <v>570</v>
      </c>
      <c r="O70" s="13" t="n">
        <f aca="false">SUMIFS(打擊成績!$V$2:$V$901,打擊成績!$A$2:$A$901,$A70,打擊成績!$D$2:$D$901,$B70)</f>
        <v>110</v>
      </c>
      <c r="P70" s="14" t="n">
        <f aca="false">IF(J70=0,0,K70/J70)</f>
        <v>0.264373346163098</v>
      </c>
      <c r="Q70" s="14" t="n">
        <f aca="false">IF(J70=0,0,L70/J70)</f>
        <v>0.450805869617513</v>
      </c>
      <c r="R70" s="11" t="n">
        <f aca="false">COUNTIFS(投手成績!$A$2:$A$901,$A70,投手成績!$D$2:$D$901,$B70)</f>
        <v>10</v>
      </c>
      <c r="S70" s="13" t="n">
        <f aca="false">SUMIFS(投手成績!$O$2:$O$901,投手成績!$A$2:$A$901,$A70,投手成績!$D$2:$D$901,$B70)</f>
        <v>3393</v>
      </c>
      <c r="T70" s="16" t="n">
        <f aca="false">S70/3</f>
        <v>1131</v>
      </c>
      <c r="U70" s="13" t="n">
        <f aca="false">SUMIFS(投手成績!$W$2:$W$901,投手成績!$A$2:$A$901,$A70,投手成績!$D$2:$D$901,$B70)</f>
        <v>1117</v>
      </c>
      <c r="V70" s="13" t="n">
        <f aca="false">SUMIFS(投手成績!$T$2:$T$901,投手成績!$A$2:$A$901,$A70,投手成績!$D$2:$D$901,$B70)</f>
        <v>532</v>
      </c>
      <c r="W70" s="18" t="n">
        <f aca="false">IF(S70=0,0,V70*27/S70)</f>
        <v>4.23342175066313</v>
      </c>
      <c r="X70" s="18" t="n">
        <f aca="false">IF(S70=0,0,U70*27/S70)</f>
        <v>8.88859416445623</v>
      </c>
    </row>
    <row r="71" customFormat="false" ht="15" hidden="false" customHeight="false" outlineLevel="0" collapsed="false">
      <c r="A71" s="5" t="n">
        <v>2026</v>
      </c>
      <c r="B71" s="7" t="s">
        <v>379</v>
      </c>
      <c r="C71" s="10" t="str">
        <f aca="false">INDEX(球隊主檔!$C$2:$C$31,MATCH($B71,球隊主檔!$A$2:$A$31,0))</f>
        <v>明尼蘇達雙城</v>
      </c>
      <c r="D71" s="10" t="str">
        <f aca="false">INDEX(球隊主檔!$D$2:$D$31,MATCH($B71,球隊主檔!$A$2:$A$31,0))</f>
        <v>美聯</v>
      </c>
      <c r="E71" s="10" t="str">
        <f aca="false">INDEX(球隊主檔!$E$2:$E$31,MATCH($B71,球隊主檔!$A$2:$A$31,0))</f>
        <v>美中</v>
      </c>
      <c r="F71" s="19" t="n">
        <f aca="false">SUMIFS(球隊戰績!$F$2:$F$91,球隊戰績!$A$2:$A$91,$A71,球隊戰績!$B$2:$B$91,$B71)</f>
        <v>98</v>
      </c>
      <c r="G71" s="14" t="n">
        <f aca="false">IF(INDEX(球季參數!$B$2:$B$4,MATCH($A71,球季參數!$A$2:$A$4,0))=0,0,F71/INDEX(球季參數!$B$2:$B$4,MATCH($A71,球季參數!$A$2:$A$4,0)))</f>
        <v>0.604938271604938</v>
      </c>
      <c r="H71" s="11" t="n">
        <f aca="false">COUNTIFS(打擊成績!$A$2:$A$901,$A71,打擊成績!$D$2:$D$901,$B71)</f>
        <v>10</v>
      </c>
      <c r="I71" s="13" t="n">
        <f aca="false">SUMIFS(打擊成績!$J$2:$J$901,打擊成績!$A$2:$A$901,$A71,打擊成績!$D$2:$D$901,$B71)</f>
        <v>5081</v>
      </c>
      <c r="J71" s="13" t="n">
        <f aca="false">SUMIFS(打擊成績!$K$2:$K$901,打擊成績!$A$2:$A$901,$A71,打擊成績!$D$2:$D$901,$B71)</f>
        <v>4639</v>
      </c>
      <c r="K71" s="13" t="n">
        <f aca="false">SUMIFS(打擊成績!$M$2:$M$901,打擊成績!$A$2:$A$901,$A71,打擊成績!$D$2:$D$901,$B71)</f>
        <v>1160</v>
      </c>
      <c r="L71" s="13" t="n">
        <f aca="false">SUMIFS(打擊成績!$X$2:$X$901,打擊成績!$A$2:$A$901,$A71,打擊成績!$D$2:$D$901,$B71)</f>
        <v>1982</v>
      </c>
      <c r="M71" s="13" t="n">
        <f aca="false">SUMIFS(打擊成績!$P$2:$P$901,打擊成績!$A$2:$A$901,$A71,打擊成績!$D$2:$D$901,$B71)</f>
        <v>153</v>
      </c>
      <c r="N71" s="13" t="n">
        <f aca="false">SUMIFS(打擊成績!$Q$2:$Q$901,打擊成績!$A$2:$A$901,$A71,打擊成績!$D$2:$D$901,$B71)</f>
        <v>576</v>
      </c>
      <c r="O71" s="13" t="n">
        <f aca="false">SUMIFS(打擊成績!$V$2:$V$901,打擊成績!$A$2:$A$901,$A71,打擊成績!$D$2:$D$901,$B71)</f>
        <v>87</v>
      </c>
      <c r="P71" s="14" t="n">
        <f aca="false">IF(J71=0,0,K71/J71)</f>
        <v>0.250053890924768</v>
      </c>
      <c r="Q71" s="14" t="n">
        <f aca="false">IF(J71=0,0,L71/J71)</f>
        <v>0.427247251562837</v>
      </c>
      <c r="R71" s="11" t="n">
        <f aca="false">COUNTIFS(投手成績!$A$2:$A$901,$A71,投手成績!$D$2:$D$901,$B71)</f>
        <v>10</v>
      </c>
      <c r="S71" s="13" t="n">
        <f aca="false">SUMIFS(投手成績!$O$2:$O$901,投手成績!$A$2:$A$901,$A71,投手成績!$D$2:$D$901,$B71)</f>
        <v>2988</v>
      </c>
      <c r="T71" s="16" t="n">
        <f aca="false">S71/3</f>
        <v>996</v>
      </c>
      <c r="U71" s="13" t="n">
        <f aca="false">SUMIFS(投手成績!$W$2:$W$901,投手成績!$A$2:$A$901,$A71,投手成績!$D$2:$D$901,$B71)</f>
        <v>1112</v>
      </c>
      <c r="V71" s="13" t="n">
        <f aca="false">SUMIFS(投手成績!$T$2:$T$901,投手成績!$A$2:$A$901,$A71,投手成績!$D$2:$D$901,$B71)</f>
        <v>484</v>
      </c>
      <c r="W71" s="18" t="n">
        <f aca="false">IF(S71=0,0,V71*27/S71)</f>
        <v>4.37349397590362</v>
      </c>
      <c r="X71" s="18" t="n">
        <f aca="false">IF(S71=0,0,U71*27/S71)</f>
        <v>10.0481927710843</v>
      </c>
    </row>
    <row r="72" customFormat="false" ht="15" hidden="false" customHeight="false" outlineLevel="0" collapsed="false">
      <c r="A72" s="5" t="n">
        <v>2026</v>
      </c>
      <c r="B72" s="7" t="s">
        <v>383</v>
      </c>
      <c r="C72" s="10" t="str">
        <f aca="false">INDEX(球隊主檔!$C$2:$C$31,MATCH($B72,球隊主檔!$A$2:$A$31,0))</f>
        <v>運動家</v>
      </c>
      <c r="D72" s="10" t="str">
        <f aca="false">INDEX(球隊主檔!$D$2:$D$31,MATCH($B72,球隊主檔!$A$2:$A$31,0))</f>
        <v>美聯</v>
      </c>
      <c r="E72" s="10" t="str">
        <f aca="false">INDEX(球隊主檔!$E$2:$E$31,MATCH($B72,球隊主檔!$A$2:$A$31,0))</f>
        <v>美西</v>
      </c>
      <c r="F72" s="19" t="n">
        <f aca="false">SUMIFS(球隊戰績!$F$2:$F$91,球隊戰績!$A$2:$A$91,$A72,球隊戰績!$B$2:$B$91,$B72)</f>
        <v>89</v>
      </c>
      <c r="G72" s="14" t="n">
        <f aca="false">IF(INDEX(球季參數!$B$2:$B$4,MATCH($A72,球季參數!$A$2:$A$4,0))=0,0,F72/INDEX(球季參數!$B$2:$B$4,MATCH($A72,球季參數!$A$2:$A$4,0)))</f>
        <v>0.549382716049383</v>
      </c>
      <c r="H72" s="11" t="n">
        <f aca="false">COUNTIFS(打擊成績!$A$2:$A$901,$A72,打擊成績!$D$2:$D$901,$B72)</f>
        <v>10</v>
      </c>
      <c r="I72" s="13" t="n">
        <f aca="false">SUMIFS(打擊成績!$J$2:$J$901,打擊成績!$A$2:$A$901,$A72,打擊成績!$D$2:$D$901,$B72)</f>
        <v>4764</v>
      </c>
      <c r="J72" s="13" t="n">
        <f aca="false">SUMIFS(打擊成績!$K$2:$K$901,打擊成績!$A$2:$A$901,$A72,打擊成績!$D$2:$D$901,$B72)</f>
        <v>4286</v>
      </c>
      <c r="K72" s="13" t="n">
        <f aca="false">SUMIFS(打擊成績!$M$2:$M$901,打擊成績!$A$2:$A$901,$A72,打擊成績!$D$2:$D$901,$B72)</f>
        <v>1006</v>
      </c>
      <c r="L72" s="13" t="n">
        <f aca="false">SUMIFS(打擊成績!$X$2:$X$901,打擊成績!$A$2:$A$901,$A72,打擊成績!$D$2:$D$901,$B72)</f>
        <v>1914</v>
      </c>
      <c r="M72" s="13" t="n">
        <f aca="false">SUMIFS(打擊成績!$P$2:$P$901,打擊成績!$A$2:$A$901,$A72,打擊成績!$D$2:$D$901,$B72)</f>
        <v>171</v>
      </c>
      <c r="N72" s="13" t="n">
        <f aca="false">SUMIFS(打擊成績!$Q$2:$Q$901,打擊成績!$A$2:$A$901,$A72,打擊成績!$D$2:$D$901,$B72)</f>
        <v>576</v>
      </c>
      <c r="O72" s="13" t="n">
        <f aca="false">SUMIFS(打擊成績!$V$2:$V$901,打擊成績!$A$2:$A$901,$A72,打擊成績!$D$2:$D$901,$B72)</f>
        <v>133</v>
      </c>
      <c r="P72" s="14" t="n">
        <f aca="false">IF(J72=0,0,K72/J72)</f>
        <v>0.234717685487634</v>
      </c>
      <c r="Q72" s="14" t="n">
        <f aca="false">IF(J72=0,0,L72/J72)</f>
        <v>0.446570228651423</v>
      </c>
      <c r="R72" s="11" t="n">
        <f aca="false">COUNTIFS(投手成績!$A$2:$A$901,$A72,投手成績!$D$2:$D$901,$B72)</f>
        <v>10</v>
      </c>
      <c r="S72" s="13" t="n">
        <f aca="false">SUMIFS(投手成績!$O$2:$O$901,投手成績!$A$2:$A$901,$A72,投手成績!$D$2:$D$901,$B72)</f>
        <v>2790</v>
      </c>
      <c r="T72" s="16" t="n">
        <f aca="false">S72/3</f>
        <v>930</v>
      </c>
      <c r="U72" s="13" t="n">
        <f aca="false">SUMIFS(投手成績!$W$2:$W$901,投手成績!$A$2:$A$901,$A72,投手成績!$D$2:$D$901,$B72)</f>
        <v>788</v>
      </c>
      <c r="V72" s="13" t="n">
        <f aca="false">SUMIFS(投手成績!$T$2:$T$901,投手成績!$A$2:$A$901,$A72,投手成績!$D$2:$D$901,$B72)</f>
        <v>430</v>
      </c>
      <c r="W72" s="18" t="n">
        <f aca="false">IF(S72=0,0,V72*27/S72)</f>
        <v>4.16129032258065</v>
      </c>
      <c r="X72" s="18" t="n">
        <f aca="false">IF(S72=0,0,U72*27/S72)</f>
        <v>7.6258064516129</v>
      </c>
    </row>
    <row r="73" customFormat="false" ht="15" hidden="false" customHeight="false" outlineLevel="0" collapsed="false">
      <c r="A73" s="5" t="n">
        <v>2026</v>
      </c>
      <c r="B73" s="7" t="s">
        <v>388</v>
      </c>
      <c r="C73" s="10" t="str">
        <f aca="false">INDEX(球隊主檔!$C$2:$C$31,MATCH($B73,球隊主檔!$A$2:$A$31,0))</f>
        <v>休士頓太空人</v>
      </c>
      <c r="D73" s="10" t="str">
        <f aca="false">INDEX(球隊主檔!$D$2:$D$31,MATCH($B73,球隊主檔!$A$2:$A$31,0))</f>
        <v>美聯</v>
      </c>
      <c r="E73" s="10" t="str">
        <f aca="false">INDEX(球隊主檔!$E$2:$E$31,MATCH($B73,球隊主檔!$A$2:$A$31,0))</f>
        <v>美西</v>
      </c>
      <c r="F73" s="19" t="n">
        <f aca="false">SUMIFS(球隊戰績!$F$2:$F$91,球隊戰績!$A$2:$A$91,$A73,球隊戰績!$B$2:$B$91,$B73)</f>
        <v>84</v>
      </c>
      <c r="G73" s="14" t="n">
        <f aca="false">IF(INDEX(球季參數!$B$2:$B$4,MATCH($A73,球季參數!$A$2:$A$4,0))=0,0,F73/INDEX(球季參數!$B$2:$B$4,MATCH($A73,球季參數!$A$2:$A$4,0)))</f>
        <v>0.518518518518519</v>
      </c>
      <c r="H73" s="11" t="n">
        <f aca="false">COUNTIFS(打擊成績!$A$2:$A$901,$A73,打擊成績!$D$2:$D$901,$B73)</f>
        <v>10</v>
      </c>
      <c r="I73" s="13" t="n">
        <f aca="false">SUMIFS(打擊成績!$J$2:$J$901,打擊成績!$A$2:$A$901,$A73,打擊成績!$D$2:$D$901,$B73)</f>
        <v>4627</v>
      </c>
      <c r="J73" s="13" t="n">
        <f aca="false">SUMIFS(打擊成績!$K$2:$K$901,打擊成績!$A$2:$A$901,$A73,打擊成績!$D$2:$D$901,$B73)</f>
        <v>4198</v>
      </c>
      <c r="K73" s="13" t="n">
        <f aca="false">SUMIFS(打擊成績!$M$2:$M$901,打擊成績!$A$2:$A$901,$A73,打擊成績!$D$2:$D$901,$B73)</f>
        <v>1097</v>
      </c>
      <c r="L73" s="13" t="n">
        <f aca="false">SUMIFS(打擊成績!$X$2:$X$901,打擊成績!$A$2:$A$901,$A73,打擊成績!$D$2:$D$901,$B73)</f>
        <v>1837</v>
      </c>
      <c r="M73" s="13" t="n">
        <f aca="false">SUMIFS(打擊成績!$P$2:$P$901,打擊成績!$A$2:$A$901,$A73,打擊成績!$D$2:$D$901,$B73)</f>
        <v>116</v>
      </c>
      <c r="N73" s="13" t="n">
        <f aca="false">SUMIFS(打擊成績!$Q$2:$Q$901,打擊成績!$A$2:$A$901,$A73,打擊成績!$D$2:$D$901,$B73)</f>
        <v>472</v>
      </c>
      <c r="O73" s="13" t="n">
        <f aca="false">SUMIFS(打擊成績!$V$2:$V$901,打擊成績!$A$2:$A$901,$A73,打擊成績!$D$2:$D$901,$B73)</f>
        <v>94</v>
      </c>
      <c r="P73" s="14" t="n">
        <f aca="false">IF(J73=0,0,K73/J73)</f>
        <v>0.261314911862792</v>
      </c>
      <c r="Q73" s="14" t="n">
        <f aca="false">IF(J73=0,0,L73/J73)</f>
        <v>0.437589328251548</v>
      </c>
      <c r="R73" s="11" t="n">
        <f aca="false">COUNTIFS(投手成績!$A$2:$A$901,$A73,投手成績!$D$2:$D$901,$B73)</f>
        <v>10</v>
      </c>
      <c r="S73" s="13" t="n">
        <f aca="false">SUMIFS(投手成績!$O$2:$O$901,投手成績!$A$2:$A$901,$A73,投手成績!$D$2:$D$901,$B73)</f>
        <v>2852</v>
      </c>
      <c r="T73" s="16" t="n">
        <f aca="false">S73/3</f>
        <v>950.666666666667</v>
      </c>
      <c r="U73" s="13" t="n">
        <f aca="false">SUMIFS(投手成績!$W$2:$W$901,投手成績!$A$2:$A$901,$A73,投手成績!$D$2:$D$901,$B73)</f>
        <v>1071</v>
      </c>
      <c r="V73" s="13" t="n">
        <f aca="false">SUMIFS(投手成績!$T$2:$T$901,投手成績!$A$2:$A$901,$A73,投手成績!$D$2:$D$901,$B73)</f>
        <v>480</v>
      </c>
      <c r="W73" s="18" t="n">
        <f aca="false">IF(S73=0,0,V73*27/S73)</f>
        <v>4.54417952314166</v>
      </c>
      <c r="X73" s="18" t="n">
        <f aca="false">IF(S73=0,0,U73*27/S73)</f>
        <v>10.1392005610098</v>
      </c>
    </row>
    <row r="74" customFormat="false" ht="15" hidden="false" customHeight="false" outlineLevel="0" collapsed="false">
      <c r="A74" s="5" t="n">
        <v>2026</v>
      </c>
      <c r="B74" s="7" t="s">
        <v>392</v>
      </c>
      <c r="C74" s="10" t="str">
        <f aca="false">INDEX(球隊主檔!$C$2:$C$31,MATCH($B74,球隊主檔!$A$2:$A$31,0))</f>
        <v>洛杉磯天使</v>
      </c>
      <c r="D74" s="10" t="str">
        <f aca="false">INDEX(球隊主檔!$D$2:$D$31,MATCH($B74,球隊主檔!$A$2:$A$31,0))</f>
        <v>美聯</v>
      </c>
      <c r="E74" s="10" t="str">
        <f aca="false">INDEX(球隊主檔!$E$2:$E$31,MATCH($B74,球隊主檔!$A$2:$A$31,0))</f>
        <v>美西</v>
      </c>
      <c r="F74" s="19" t="n">
        <f aca="false">SUMIFS(球隊戰績!$F$2:$F$91,球隊戰績!$A$2:$A$91,$A74,球隊戰績!$B$2:$B$91,$B74)</f>
        <v>90</v>
      </c>
      <c r="G74" s="14" t="n">
        <f aca="false">IF(INDEX(球季參數!$B$2:$B$4,MATCH($A74,球季參數!$A$2:$A$4,0))=0,0,F74/INDEX(球季參數!$B$2:$B$4,MATCH($A74,球季參數!$A$2:$A$4,0)))</f>
        <v>0.555555555555556</v>
      </c>
      <c r="H74" s="11" t="n">
        <f aca="false">COUNTIFS(打擊成績!$A$2:$A$901,$A74,打擊成績!$D$2:$D$901,$B74)</f>
        <v>10</v>
      </c>
      <c r="I74" s="13" t="n">
        <f aca="false">SUMIFS(打擊成績!$J$2:$J$901,打擊成績!$A$2:$A$901,$A74,打擊成績!$D$2:$D$901,$B74)</f>
        <v>4921</v>
      </c>
      <c r="J74" s="13" t="n">
        <f aca="false">SUMIFS(打擊成績!$K$2:$K$901,打擊成績!$A$2:$A$901,$A74,打擊成績!$D$2:$D$901,$B74)</f>
        <v>4429</v>
      </c>
      <c r="K74" s="13" t="n">
        <f aca="false">SUMIFS(打擊成績!$M$2:$M$901,打擊成績!$A$2:$A$901,$A74,打擊成績!$D$2:$D$901,$B74)</f>
        <v>1147</v>
      </c>
      <c r="L74" s="13" t="n">
        <f aca="false">SUMIFS(打擊成績!$X$2:$X$901,打擊成績!$A$2:$A$901,$A74,打擊成績!$D$2:$D$901,$B74)</f>
        <v>1879</v>
      </c>
      <c r="M74" s="13" t="n">
        <f aca="false">SUMIFS(打擊成績!$P$2:$P$901,打擊成績!$A$2:$A$901,$A74,打擊成績!$D$2:$D$901,$B74)</f>
        <v>133</v>
      </c>
      <c r="N74" s="13" t="n">
        <f aca="false">SUMIFS(打擊成績!$Q$2:$Q$901,打擊成績!$A$2:$A$901,$A74,打擊成績!$D$2:$D$901,$B74)</f>
        <v>545</v>
      </c>
      <c r="O74" s="13" t="n">
        <f aca="false">SUMIFS(打擊成績!$V$2:$V$901,打擊成績!$A$2:$A$901,$A74,打擊成績!$D$2:$D$901,$B74)</f>
        <v>149</v>
      </c>
      <c r="P74" s="14" t="n">
        <f aca="false">IF(J74=0,0,K74/J74)</f>
        <v>0.258974937909235</v>
      </c>
      <c r="Q74" s="14" t="n">
        <f aca="false">IF(J74=0,0,L74/J74)</f>
        <v>0.424249266200045</v>
      </c>
      <c r="R74" s="11" t="n">
        <f aca="false">COUNTIFS(投手成績!$A$2:$A$901,$A74,投手成績!$D$2:$D$901,$B74)</f>
        <v>10</v>
      </c>
      <c r="S74" s="13" t="n">
        <f aca="false">SUMIFS(投手成績!$O$2:$O$901,投手成績!$A$2:$A$901,$A74,投手成績!$D$2:$D$901,$B74)</f>
        <v>2823</v>
      </c>
      <c r="T74" s="16" t="n">
        <f aca="false">S74/3</f>
        <v>941</v>
      </c>
      <c r="U74" s="13" t="n">
        <f aca="false">SUMIFS(投手成績!$W$2:$W$901,投手成績!$A$2:$A$901,$A74,投手成績!$D$2:$D$901,$B74)</f>
        <v>918</v>
      </c>
      <c r="V74" s="13" t="n">
        <f aca="false">SUMIFS(投手成績!$T$2:$T$901,投手成績!$A$2:$A$901,$A74,投手成績!$D$2:$D$901,$B74)</f>
        <v>398</v>
      </c>
      <c r="W74" s="18" t="n">
        <f aca="false">IF(S74=0,0,V74*27/S74)</f>
        <v>3.80658873538789</v>
      </c>
      <c r="X74" s="18" t="n">
        <f aca="false">IF(S74=0,0,U74*27/S74)</f>
        <v>8.78002125398512</v>
      </c>
    </row>
    <row r="75" customFormat="false" ht="15" hidden="false" customHeight="false" outlineLevel="0" collapsed="false">
      <c r="A75" s="5" t="n">
        <v>2026</v>
      </c>
      <c r="B75" s="7" t="s">
        <v>396</v>
      </c>
      <c r="C75" s="10" t="str">
        <f aca="false">INDEX(球隊主檔!$C$2:$C$31,MATCH($B75,球隊主檔!$A$2:$A$31,0))</f>
        <v>西雅圖水手</v>
      </c>
      <c r="D75" s="10" t="str">
        <f aca="false">INDEX(球隊主檔!$D$2:$D$31,MATCH($B75,球隊主檔!$A$2:$A$31,0))</f>
        <v>美聯</v>
      </c>
      <c r="E75" s="10" t="str">
        <f aca="false">INDEX(球隊主檔!$E$2:$E$31,MATCH($B75,球隊主檔!$A$2:$A$31,0))</f>
        <v>美西</v>
      </c>
      <c r="F75" s="19" t="n">
        <f aca="false">SUMIFS(球隊戰績!$F$2:$F$91,球隊戰績!$A$2:$A$91,$A75,球隊戰績!$B$2:$B$91,$B75)</f>
        <v>64</v>
      </c>
      <c r="G75" s="14" t="n">
        <f aca="false">IF(INDEX(球季參數!$B$2:$B$4,MATCH($A75,球季參數!$A$2:$A$4,0))=0,0,F75/INDEX(球季參數!$B$2:$B$4,MATCH($A75,球季參數!$A$2:$A$4,0)))</f>
        <v>0.395061728395062</v>
      </c>
      <c r="H75" s="11" t="n">
        <f aca="false">COUNTIFS(打擊成績!$A$2:$A$901,$A75,打擊成績!$D$2:$D$901,$B75)</f>
        <v>10</v>
      </c>
      <c r="I75" s="13" t="n">
        <f aca="false">SUMIFS(打擊成績!$J$2:$J$901,打擊成績!$A$2:$A$901,$A75,打擊成績!$D$2:$D$901,$B75)</f>
        <v>4563</v>
      </c>
      <c r="J75" s="13" t="n">
        <f aca="false">SUMIFS(打擊成績!$K$2:$K$901,打擊成績!$A$2:$A$901,$A75,打擊成績!$D$2:$D$901,$B75)</f>
        <v>4151</v>
      </c>
      <c r="K75" s="13" t="n">
        <f aca="false">SUMIFS(打擊成績!$M$2:$M$901,打擊成績!$A$2:$A$901,$A75,打擊成績!$D$2:$D$901,$B75)</f>
        <v>1045</v>
      </c>
      <c r="L75" s="13" t="n">
        <f aca="false">SUMIFS(打擊成績!$X$2:$X$901,打擊成績!$A$2:$A$901,$A75,打擊成績!$D$2:$D$901,$B75)</f>
        <v>1798</v>
      </c>
      <c r="M75" s="13" t="n">
        <f aca="false">SUMIFS(打擊成績!$P$2:$P$901,打擊成績!$A$2:$A$901,$A75,打擊成績!$D$2:$D$901,$B75)</f>
        <v>144</v>
      </c>
      <c r="N75" s="13" t="n">
        <f aca="false">SUMIFS(打擊成績!$Q$2:$Q$901,打擊成績!$A$2:$A$901,$A75,打擊成績!$D$2:$D$901,$B75)</f>
        <v>517</v>
      </c>
      <c r="O75" s="13" t="n">
        <f aca="false">SUMIFS(打擊成績!$V$2:$V$901,打擊成績!$A$2:$A$901,$A75,打擊成績!$D$2:$D$901,$B75)</f>
        <v>150</v>
      </c>
      <c r="P75" s="14" t="n">
        <f aca="false">IF(J75=0,0,K75/J75)</f>
        <v>0.251746567092267</v>
      </c>
      <c r="Q75" s="14" t="n">
        <f aca="false">IF(J75=0,0,L75/J75)</f>
        <v>0.433148638882197</v>
      </c>
      <c r="R75" s="11" t="n">
        <f aca="false">COUNTIFS(投手成績!$A$2:$A$901,$A75,投手成績!$D$2:$D$901,$B75)</f>
        <v>10</v>
      </c>
      <c r="S75" s="13" t="n">
        <f aca="false">SUMIFS(投手成績!$O$2:$O$901,投手成績!$A$2:$A$901,$A75,投手成績!$D$2:$D$901,$B75)</f>
        <v>2740</v>
      </c>
      <c r="T75" s="16" t="n">
        <f aca="false">S75/3</f>
        <v>913.333333333333</v>
      </c>
      <c r="U75" s="13" t="n">
        <f aca="false">SUMIFS(投手成績!$W$2:$W$901,投手成績!$A$2:$A$901,$A75,投手成績!$D$2:$D$901,$B75)</f>
        <v>918</v>
      </c>
      <c r="V75" s="13" t="n">
        <f aca="false">SUMIFS(投手成績!$T$2:$T$901,投手成績!$A$2:$A$901,$A75,投手成績!$D$2:$D$901,$B75)</f>
        <v>441</v>
      </c>
      <c r="W75" s="18" t="n">
        <f aca="false">IF(S75=0,0,V75*27/S75)</f>
        <v>4.3456204379562</v>
      </c>
      <c r="X75" s="18" t="n">
        <f aca="false">IF(S75=0,0,U75*27/S75)</f>
        <v>9.04598540145985</v>
      </c>
    </row>
    <row r="76" customFormat="false" ht="15" hidden="false" customHeight="false" outlineLevel="0" collapsed="false">
      <c r="A76" s="5" t="n">
        <v>2026</v>
      </c>
      <c r="B76" s="7" t="s">
        <v>400</v>
      </c>
      <c r="C76" s="10" t="str">
        <f aca="false">INDEX(球隊主檔!$C$2:$C$31,MATCH($B76,球隊主檔!$A$2:$A$31,0))</f>
        <v>德州遊騎兵</v>
      </c>
      <c r="D76" s="10" t="str">
        <f aca="false">INDEX(球隊主檔!$D$2:$D$31,MATCH($B76,球隊主檔!$A$2:$A$31,0))</f>
        <v>美聯</v>
      </c>
      <c r="E76" s="10" t="str">
        <f aca="false">INDEX(球隊主檔!$E$2:$E$31,MATCH($B76,球隊主檔!$A$2:$A$31,0))</f>
        <v>美西</v>
      </c>
      <c r="F76" s="19" t="n">
        <f aca="false">SUMIFS(球隊戰績!$F$2:$F$91,球隊戰績!$A$2:$A$91,$A76,球隊戰績!$B$2:$B$91,$B76)</f>
        <v>71</v>
      </c>
      <c r="G76" s="14" t="n">
        <f aca="false">IF(INDEX(球季參數!$B$2:$B$4,MATCH($A76,球季參數!$A$2:$A$4,0))=0,0,F76/INDEX(球季參數!$B$2:$B$4,MATCH($A76,球季參數!$A$2:$A$4,0)))</f>
        <v>0.438271604938272</v>
      </c>
      <c r="H76" s="11" t="n">
        <f aca="false">COUNTIFS(打擊成績!$A$2:$A$901,$A76,打擊成績!$D$2:$D$901,$B76)</f>
        <v>10</v>
      </c>
      <c r="I76" s="13" t="n">
        <f aca="false">SUMIFS(打擊成績!$J$2:$J$901,打擊成績!$A$2:$A$901,$A76,打擊成績!$D$2:$D$901,$B76)</f>
        <v>4487</v>
      </c>
      <c r="J76" s="13" t="n">
        <f aca="false">SUMIFS(打擊成績!$K$2:$K$901,打擊成績!$A$2:$A$901,$A76,打擊成績!$D$2:$D$901,$B76)</f>
        <v>3988</v>
      </c>
      <c r="K76" s="13" t="n">
        <f aca="false">SUMIFS(打擊成績!$M$2:$M$901,打擊成績!$A$2:$A$901,$A76,打擊成績!$D$2:$D$901,$B76)</f>
        <v>1007</v>
      </c>
      <c r="L76" s="13" t="n">
        <f aca="false">SUMIFS(打擊成績!$X$2:$X$901,打擊成績!$A$2:$A$901,$A76,打擊成績!$D$2:$D$901,$B76)</f>
        <v>1788</v>
      </c>
      <c r="M76" s="13" t="n">
        <f aca="false">SUMIFS(打擊成績!$P$2:$P$901,打擊成績!$A$2:$A$901,$A76,打擊成績!$D$2:$D$901,$B76)</f>
        <v>153</v>
      </c>
      <c r="N76" s="13" t="n">
        <f aca="false">SUMIFS(打擊成績!$Q$2:$Q$901,打擊成績!$A$2:$A$901,$A76,打擊成績!$D$2:$D$901,$B76)</f>
        <v>530</v>
      </c>
      <c r="O76" s="13" t="n">
        <f aca="false">SUMIFS(打擊成績!$V$2:$V$901,打擊成績!$A$2:$A$901,$A76,打擊成績!$D$2:$D$901,$B76)</f>
        <v>128</v>
      </c>
      <c r="P76" s="14" t="n">
        <f aca="false">IF(J76=0,0,K76/J76)</f>
        <v>0.252507522567703</v>
      </c>
      <c r="Q76" s="14" t="n">
        <f aca="false">IF(J76=0,0,L76/J76)</f>
        <v>0.448345035105316</v>
      </c>
      <c r="R76" s="11" t="n">
        <f aca="false">COUNTIFS(投手成績!$A$2:$A$901,$A76,投手成績!$D$2:$D$901,$B76)</f>
        <v>10</v>
      </c>
      <c r="S76" s="13" t="n">
        <f aca="false">SUMIFS(投手成績!$O$2:$O$901,投手成績!$A$2:$A$901,$A76,投手成績!$D$2:$D$901,$B76)</f>
        <v>3221</v>
      </c>
      <c r="T76" s="16" t="n">
        <f aca="false">S76/3</f>
        <v>1073.66666666667</v>
      </c>
      <c r="U76" s="13" t="n">
        <f aca="false">SUMIFS(投手成績!$W$2:$W$901,投手成績!$A$2:$A$901,$A76,投手成績!$D$2:$D$901,$B76)</f>
        <v>1115</v>
      </c>
      <c r="V76" s="13" t="n">
        <f aca="false">SUMIFS(投手成績!$T$2:$T$901,投手成績!$A$2:$A$901,$A76,投手成績!$D$2:$D$901,$B76)</f>
        <v>496</v>
      </c>
      <c r="W76" s="18" t="n">
        <f aca="false">IF(S76=0,0,V76*27/S76)</f>
        <v>4.15771499534306</v>
      </c>
      <c r="X76" s="18" t="n">
        <f aca="false">IF(S76=0,0,U76*27/S76)</f>
        <v>9.34647624961192</v>
      </c>
    </row>
    <row r="77" customFormat="false" ht="15" hidden="false" customHeight="false" outlineLevel="0" collapsed="false">
      <c r="A77" s="5" t="n">
        <v>2026</v>
      </c>
      <c r="B77" s="7" t="s">
        <v>404</v>
      </c>
      <c r="C77" s="10" t="str">
        <f aca="false">INDEX(球隊主檔!$C$2:$C$31,MATCH($B77,球隊主檔!$A$2:$A$31,0))</f>
        <v>亞特蘭大勇士</v>
      </c>
      <c r="D77" s="10" t="str">
        <f aca="false">INDEX(球隊主檔!$D$2:$D$31,MATCH($B77,球隊主檔!$A$2:$A$31,0))</f>
        <v>國聯</v>
      </c>
      <c r="E77" s="10" t="str">
        <f aca="false">INDEX(球隊主檔!$E$2:$E$31,MATCH($B77,球隊主檔!$A$2:$A$31,0))</f>
        <v>國東</v>
      </c>
      <c r="F77" s="19" t="n">
        <f aca="false">SUMIFS(球隊戰績!$F$2:$F$91,球隊戰績!$A$2:$A$91,$A77,球隊戰績!$B$2:$B$91,$B77)</f>
        <v>77</v>
      </c>
      <c r="G77" s="14" t="n">
        <f aca="false">IF(INDEX(球季參數!$B$2:$B$4,MATCH($A77,球季參數!$A$2:$A$4,0))=0,0,F77/INDEX(球季參數!$B$2:$B$4,MATCH($A77,球季參數!$A$2:$A$4,0)))</f>
        <v>0.475308641975309</v>
      </c>
      <c r="H77" s="11" t="n">
        <f aca="false">COUNTIFS(打擊成績!$A$2:$A$901,$A77,打擊成績!$D$2:$D$901,$B77)</f>
        <v>10</v>
      </c>
      <c r="I77" s="13" t="n">
        <f aca="false">SUMIFS(打擊成績!$J$2:$J$901,打擊成績!$A$2:$A$901,$A77,打擊成績!$D$2:$D$901,$B77)</f>
        <v>4998</v>
      </c>
      <c r="J77" s="13" t="n">
        <f aca="false">SUMIFS(打擊成績!$K$2:$K$901,打擊成績!$A$2:$A$901,$A77,打擊成績!$D$2:$D$901,$B77)</f>
        <v>4439</v>
      </c>
      <c r="K77" s="13" t="n">
        <f aca="false">SUMIFS(打擊成績!$M$2:$M$901,打擊成績!$A$2:$A$901,$A77,打擊成績!$D$2:$D$901,$B77)</f>
        <v>1018</v>
      </c>
      <c r="L77" s="13" t="n">
        <f aca="false">SUMIFS(打擊成績!$X$2:$X$901,打擊成績!$A$2:$A$901,$A77,打擊成績!$D$2:$D$901,$B77)</f>
        <v>1857</v>
      </c>
      <c r="M77" s="13" t="n">
        <f aca="false">SUMIFS(打擊成績!$P$2:$P$901,打擊成績!$A$2:$A$901,$A77,打擊成績!$D$2:$D$901,$B77)</f>
        <v>170</v>
      </c>
      <c r="N77" s="13" t="n">
        <f aca="false">SUMIFS(打擊成績!$Q$2:$Q$901,打擊成績!$A$2:$A$901,$A77,打擊成績!$D$2:$D$901,$B77)</f>
        <v>586</v>
      </c>
      <c r="O77" s="13" t="n">
        <f aca="false">SUMIFS(打擊成績!$V$2:$V$901,打擊成績!$A$2:$A$901,$A77,打擊成績!$D$2:$D$901,$B77)</f>
        <v>103</v>
      </c>
      <c r="P77" s="14" t="n">
        <f aca="false">IF(J77=0,0,K77/J77)</f>
        <v>0.229330930389727</v>
      </c>
      <c r="Q77" s="14" t="n">
        <f aca="false">IF(J77=0,0,L77/J77)</f>
        <v>0.418337463392656</v>
      </c>
      <c r="R77" s="11" t="n">
        <f aca="false">COUNTIFS(投手成績!$A$2:$A$901,$A77,投手成績!$D$2:$D$901,$B77)</f>
        <v>10</v>
      </c>
      <c r="S77" s="13" t="n">
        <f aca="false">SUMIFS(投手成績!$O$2:$O$901,投手成績!$A$2:$A$901,$A77,投手成績!$D$2:$D$901,$B77)</f>
        <v>2769</v>
      </c>
      <c r="T77" s="16" t="n">
        <f aca="false">S77/3</f>
        <v>923</v>
      </c>
      <c r="U77" s="13" t="n">
        <f aca="false">SUMIFS(投手成績!$W$2:$W$901,投手成績!$A$2:$A$901,$A77,投手成績!$D$2:$D$901,$B77)</f>
        <v>777</v>
      </c>
      <c r="V77" s="13" t="n">
        <f aca="false">SUMIFS(投手成績!$T$2:$T$901,投手成績!$A$2:$A$901,$A77,投手成績!$D$2:$D$901,$B77)</f>
        <v>482</v>
      </c>
      <c r="W77" s="18" t="n">
        <f aca="false">IF(S77=0,0,V77*27/S77)</f>
        <v>4.69989165763814</v>
      </c>
      <c r="X77" s="18" t="n">
        <f aca="false">IF(S77=0,0,U77*27/S77)</f>
        <v>7.57638136511376</v>
      </c>
    </row>
    <row r="78" customFormat="false" ht="15" hidden="false" customHeight="false" outlineLevel="0" collapsed="false">
      <c r="A78" s="5" t="n">
        <v>2026</v>
      </c>
      <c r="B78" s="7" t="s">
        <v>410</v>
      </c>
      <c r="C78" s="10" t="str">
        <f aca="false">INDEX(球隊主檔!$C$2:$C$31,MATCH($B78,球隊主檔!$A$2:$A$31,0))</f>
        <v>邁阿密馬林魚</v>
      </c>
      <c r="D78" s="10" t="str">
        <f aca="false">INDEX(球隊主檔!$D$2:$D$31,MATCH($B78,球隊主檔!$A$2:$A$31,0))</f>
        <v>國聯</v>
      </c>
      <c r="E78" s="10" t="str">
        <f aca="false">INDEX(球隊主檔!$E$2:$E$31,MATCH($B78,球隊主檔!$A$2:$A$31,0))</f>
        <v>國東</v>
      </c>
      <c r="F78" s="19" t="n">
        <f aca="false">SUMIFS(球隊戰績!$F$2:$F$91,球隊戰績!$A$2:$A$91,$A78,球隊戰績!$B$2:$B$91,$B78)</f>
        <v>80</v>
      </c>
      <c r="G78" s="14" t="n">
        <f aca="false">IF(INDEX(球季參數!$B$2:$B$4,MATCH($A78,球季參數!$A$2:$A$4,0))=0,0,F78/INDEX(球季參數!$B$2:$B$4,MATCH($A78,球季參數!$A$2:$A$4,0)))</f>
        <v>0.493827160493827</v>
      </c>
      <c r="H78" s="11" t="n">
        <f aca="false">COUNTIFS(打擊成績!$A$2:$A$901,$A78,打擊成績!$D$2:$D$901,$B78)</f>
        <v>10</v>
      </c>
      <c r="I78" s="13" t="n">
        <f aca="false">SUMIFS(打擊成績!$J$2:$J$901,打擊成績!$A$2:$A$901,$A78,打擊成績!$D$2:$D$901,$B78)</f>
        <v>5140</v>
      </c>
      <c r="J78" s="13" t="n">
        <f aca="false">SUMIFS(打擊成績!$K$2:$K$901,打擊成績!$A$2:$A$901,$A78,打擊成績!$D$2:$D$901,$B78)</f>
        <v>4633</v>
      </c>
      <c r="K78" s="13" t="n">
        <f aca="false">SUMIFS(打擊成績!$M$2:$M$901,打擊成績!$A$2:$A$901,$A78,打擊成績!$D$2:$D$901,$B78)</f>
        <v>1213</v>
      </c>
      <c r="L78" s="13" t="n">
        <f aca="false">SUMIFS(打擊成績!$X$2:$X$901,打擊成績!$A$2:$A$901,$A78,打擊成績!$D$2:$D$901,$B78)</f>
        <v>1922</v>
      </c>
      <c r="M78" s="13" t="n">
        <f aca="false">SUMIFS(打擊成績!$P$2:$P$901,打擊成績!$A$2:$A$901,$A78,打擊成績!$D$2:$D$901,$B78)</f>
        <v>120</v>
      </c>
      <c r="N78" s="13" t="n">
        <f aca="false">SUMIFS(打擊成績!$Q$2:$Q$901,打擊成績!$A$2:$A$901,$A78,打擊成績!$D$2:$D$901,$B78)</f>
        <v>520</v>
      </c>
      <c r="O78" s="13" t="n">
        <f aca="false">SUMIFS(打擊成績!$V$2:$V$901,打擊成績!$A$2:$A$901,$A78,打擊成績!$D$2:$D$901,$B78)</f>
        <v>111</v>
      </c>
      <c r="P78" s="14" t="n">
        <f aca="false">IF(J78=0,0,K78/J78)</f>
        <v>0.261817396935031</v>
      </c>
      <c r="Q78" s="14" t="n">
        <f aca="false">IF(J78=0,0,L78/J78)</f>
        <v>0.414849989207857</v>
      </c>
      <c r="R78" s="11" t="n">
        <f aca="false">COUNTIFS(投手成績!$A$2:$A$901,$A78,投手成績!$D$2:$D$901,$B78)</f>
        <v>10</v>
      </c>
      <c r="S78" s="13" t="n">
        <f aca="false">SUMIFS(投手成績!$O$2:$O$901,投手成績!$A$2:$A$901,$A78,投手成績!$D$2:$D$901,$B78)</f>
        <v>3341</v>
      </c>
      <c r="T78" s="16" t="n">
        <f aca="false">S78/3</f>
        <v>1113.66666666667</v>
      </c>
      <c r="U78" s="13" t="n">
        <f aca="false">SUMIFS(投手成績!$W$2:$W$901,投手成績!$A$2:$A$901,$A78,投手成績!$D$2:$D$901,$B78)</f>
        <v>994</v>
      </c>
      <c r="V78" s="13" t="n">
        <f aca="false">SUMIFS(投手成績!$T$2:$T$901,投手成績!$A$2:$A$901,$A78,投手成績!$D$2:$D$901,$B78)</f>
        <v>503</v>
      </c>
      <c r="W78" s="18" t="n">
        <f aca="false">IF(S78=0,0,V78*27/S78)</f>
        <v>4.06495061358875</v>
      </c>
      <c r="X78" s="18" t="n">
        <f aca="false">IF(S78=0,0,U78*27/S78)</f>
        <v>8.03292427416941</v>
      </c>
    </row>
    <row r="79" customFormat="false" ht="15" hidden="false" customHeight="false" outlineLevel="0" collapsed="false">
      <c r="A79" s="5" t="n">
        <v>2026</v>
      </c>
      <c r="B79" s="7" t="s">
        <v>414</v>
      </c>
      <c r="C79" s="10" t="str">
        <f aca="false">INDEX(球隊主檔!$C$2:$C$31,MATCH($B79,球隊主檔!$A$2:$A$31,0))</f>
        <v>紐約大都會</v>
      </c>
      <c r="D79" s="10" t="str">
        <f aca="false">INDEX(球隊主檔!$D$2:$D$31,MATCH($B79,球隊主檔!$A$2:$A$31,0))</f>
        <v>國聯</v>
      </c>
      <c r="E79" s="10" t="str">
        <f aca="false">INDEX(球隊主檔!$E$2:$E$31,MATCH($B79,球隊主檔!$A$2:$A$31,0))</f>
        <v>國東</v>
      </c>
      <c r="F79" s="19" t="n">
        <f aca="false">SUMIFS(球隊戰績!$F$2:$F$91,球隊戰績!$A$2:$A$91,$A79,球隊戰績!$B$2:$B$91,$B79)</f>
        <v>74</v>
      </c>
      <c r="G79" s="14" t="n">
        <f aca="false">IF(INDEX(球季參數!$B$2:$B$4,MATCH($A79,球季參數!$A$2:$A$4,0))=0,0,F79/INDEX(球季參數!$B$2:$B$4,MATCH($A79,球季參數!$A$2:$A$4,0)))</f>
        <v>0.45679012345679</v>
      </c>
      <c r="H79" s="11" t="n">
        <f aca="false">COUNTIFS(打擊成績!$A$2:$A$901,$A79,打擊成績!$D$2:$D$901,$B79)</f>
        <v>10</v>
      </c>
      <c r="I79" s="13" t="n">
        <f aca="false">SUMIFS(打擊成績!$J$2:$J$901,打擊成績!$A$2:$A$901,$A79,打擊成績!$D$2:$D$901,$B79)</f>
        <v>4937</v>
      </c>
      <c r="J79" s="13" t="n">
        <f aca="false">SUMIFS(打擊成績!$K$2:$K$901,打擊成績!$A$2:$A$901,$A79,打擊成績!$D$2:$D$901,$B79)</f>
        <v>4480</v>
      </c>
      <c r="K79" s="13" t="n">
        <f aca="false">SUMIFS(打擊成績!$M$2:$M$901,打擊成績!$A$2:$A$901,$A79,打擊成績!$D$2:$D$901,$B79)</f>
        <v>1083</v>
      </c>
      <c r="L79" s="13" t="n">
        <f aca="false">SUMIFS(打擊成績!$X$2:$X$901,打擊成績!$A$2:$A$901,$A79,打擊成績!$D$2:$D$901,$B79)</f>
        <v>1914</v>
      </c>
      <c r="M79" s="13" t="n">
        <f aca="false">SUMIFS(打擊成績!$P$2:$P$901,打擊成績!$A$2:$A$901,$A79,打擊成績!$D$2:$D$901,$B79)</f>
        <v>135</v>
      </c>
      <c r="N79" s="13" t="n">
        <f aca="false">SUMIFS(打擊成績!$Q$2:$Q$901,打擊成績!$A$2:$A$901,$A79,打擊成績!$D$2:$D$901,$B79)</f>
        <v>513</v>
      </c>
      <c r="O79" s="13" t="n">
        <f aca="false">SUMIFS(打擊成績!$V$2:$V$901,打擊成績!$A$2:$A$901,$A79,打擊成績!$D$2:$D$901,$B79)</f>
        <v>92</v>
      </c>
      <c r="P79" s="14" t="n">
        <f aca="false">IF(J79=0,0,K79/J79)</f>
        <v>0.241741071428571</v>
      </c>
      <c r="Q79" s="14" t="n">
        <f aca="false">IF(J79=0,0,L79/J79)</f>
        <v>0.427232142857143</v>
      </c>
      <c r="R79" s="11" t="n">
        <f aca="false">COUNTIFS(投手成績!$A$2:$A$901,$A79,投手成績!$D$2:$D$901,$B79)</f>
        <v>10</v>
      </c>
      <c r="S79" s="13" t="n">
        <f aca="false">SUMIFS(投手成績!$O$2:$O$901,投手成績!$A$2:$A$901,$A79,投手成績!$D$2:$D$901,$B79)</f>
        <v>2945</v>
      </c>
      <c r="T79" s="16" t="n">
        <f aca="false">S79/3</f>
        <v>981.666666666667</v>
      </c>
      <c r="U79" s="13" t="n">
        <f aca="false">SUMIFS(投手成績!$W$2:$W$901,投手成績!$A$2:$A$901,$A79,投手成績!$D$2:$D$901,$B79)</f>
        <v>810</v>
      </c>
      <c r="V79" s="13" t="n">
        <f aca="false">SUMIFS(投手成績!$T$2:$T$901,投手成績!$A$2:$A$901,$A79,投手成績!$D$2:$D$901,$B79)</f>
        <v>501</v>
      </c>
      <c r="W79" s="18" t="n">
        <f aca="false">IF(S79=0,0,V79*27/S79)</f>
        <v>4.59320882852292</v>
      </c>
      <c r="X79" s="18" t="n">
        <f aca="false">IF(S79=0,0,U79*27/S79)</f>
        <v>7.42614601018676</v>
      </c>
    </row>
    <row r="80" customFormat="false" ht="15" hidden="false" customHeight="false" outlineLevel="0" collapsed="false">
      <c r="A80" s="5" t="n">
        <v>2026</v>
      </c>
      <c r="B80" s="7" t="s">
        <v>418</v>
      </c>
      <c r="C80" s="10" t="str">
        <f aca="false">INDEX(球隊主檔!$C$2:$C$31,MATCH($B80,球隊主檔!$A$2:$A$31,0))</f>
        <v>費城費城人</v>
      </c>
      <c r="D80" s="10" t="str">
        <f aca="false">INDEX(球隊主檔!$D$2:$D$31,MATCH($B80,球隊主檔!$A$2:$A$31,0))</f>
        <v>國聯</v>
      </c>
      <c r="E80" s="10" t="str">
        <f aca="false">INDEX(球隊主檔!$E$2:$E$31,MATCH($B80,球隊主檔!$A$2:$A$31,0))</f>
        <v>國東</v>
      </c>
      <c r="F80" s="19" t="n">
        <f aca="false">SUMIFS(球隊戰績!$F$2:$F$91,球隊戰績!$A$2:$A$91,$A80,球隊戰績!$B$2:$B$91,$B80)</f>
        <v>83</v>
      </c>
      <c r="G80" s="14" t="n">
        <f aca="false">IF(INDEX(球季參數!$B$2:$B$4,MATCH($A80,球季參數!$A$2:$A$4,0))=0,0,F80/INDEX(球季參數!$B$2:$B$4,MATCH($A80,球季參數!$A$2:$A$4,0)))</f>
        <v>0.512345679012346</v>
      </c>
      <c r="H80" s="11" t="n">
        <f aca="false">COUNTIFS(打擊成績!$A$2:$A$901,$A80,打擊成績!$D$2:$D$901,$B80)</f>
        <v>10</v>
      </c>
      <c r="I80" s="13" t="n">
        <f aca="false">SUMIFS(打擊成績!$J$2:$J$901,打擊成績!$A$2:$A$901,$A80,打擊成績!$D$2:$D$901,$B80)</f>
        <v>4871</v>
      </c>
      <c r="J80" s="13" t="n">
        <f aca="false">SUMIFS(打擊成績!$K$2:$K$901,打擊成績!$A$2:$A$901,$A80,打擊成績!$D$2:$D$901,$B80)</f>
        <v>4337</v>
      </c>
      <c r="K80" s="13" t="n">
        <f aca="false">SUMIFS(打擊成績!$M$2:$M$901,打擊成績!$A$2:$A$901,$A80,打擊成績!$D$2:$D$901,$B80)</f>
        <v>1046</v>
      </c>
      <c r="L80" s="13" t="n">
        <f aca="false">SUMIFS(打擊成績!$X$2:$X$901,打擊成績!$A$2:$A$901,$A80,打擊成績!$D$2:$D$901,$B80)</f>
        <v>1769</v>
      </c>
      <c r="M80" s="13" t="n">
        <f aca="false">SUMIFS(打擊成績!$P$2:$P$901,打擊成績!$A$2:$A$901,$A80,打擊成績!$D$2:$D$901,$B80)</f>
        <v>125</v>
      </c>
      <c r="N80" s="13" t="n">
        <f aca="false">SUMIFS(打擊成績!$Q$2:$Q$901,打擊成績!$A$2:$A$901,$A80,打擊成績!$D$2:$D$901,$B80)</f>
        <v>496</v>
      </c>
      <c r="O80" s="13" t="n">
        <f aca="false">SUMIFS(打擊成績!$V$2:$V$901,打擊成績!$A$2:$A$901,$A80,打擊成績!$D$2:$D$901,$B80)</f>
        <v>158</v>
      </c>
      <c r="P80" s="14" t="n">
        <f aca="false">IF(J80=0,0,K80/J80)</f>
        <v>0.241180539543463</v>
      </c>
      <c r="Q80" s="14" t="n">
        <f aca="false">IF(J80=0,0,L80/J80)</f>
        <v>0.407885635231727</v>
      </c>
      <c r="R80" s="11" t="n">
        <f aca="false">COUNTIFS(投手成績!$A$2:$A$901,$A80,投手成績!$D$2:$D$901,$B80)</f>
        <v>10</v>
      </c>
      <c r="S80" s="13" t="n">
        <f aca="false">SUMIFS(投手成績!$O$2:$O$901,投手成績!$A$2:$A$901,$A80,投手成績!$D$2:$D$901,$B80)</f>
        <v>2825</v>
      </c>
      <c r="T80" s="16" t="n">
        <f aca="false">S80/3</f>
        <v>941.666666666667</v>
      </c>
      <c r="U80" s="13" t="n">
        <f aca="false">SUMIFS(投手成績!$W$2:$W$901,投手成績!$A$2:$A$901,$A80,投手成績!$D$2:$D$901,$B80)</f>
        <v>896</v>
      </c>
      <c r="V80" s="13" t="n">
        <f aca="false">SUMIFS(投手成績!$T$2:$T$901,投手成績!$A$2:$A$901,$A80,投手成績!$D$2:$D$901,$B80)</f>
        <v>460</v>
      </c>
      <c r="W80" s="18" t="n">
        <f aca="false">IF(S80=0,0,V80*27/S80)</f>
        <v>4.39646017699115</v>
      </c>
      <c r="X80" s="18" t="n">
        <f aca="false">IF(S80=0,0,U80*27/S80)</f>
        <v>8.56353982300885</v>
      </c>
    </row>
    <row r="81" customFormat="false" ht="15" hidden="false" customHeight="false" outlineLevel="0" collapsed="false">
      <c r="A81" s="5" t="n">
        <v>2026</v>
      </c>
      <c r="B81" s="7" t="s">
        <v>422</v>
      </c>
      <c r="C81" s="10" t="str">
        <f aca="false">INDEX(球隊主檔!$C$2:$C$31,MATCH($B81,球隊主檔!$A$2:$A$31,0))</f>
        <v>華盛頓國民</v>
      </c>
      <c r="D81" s="10" t="str">
        <f aca="false">INDEX(球隊主檔!$D$2:$D$31,MATCH($B81,球隊主檔!$A$2:$A$31,0))</f>
        <v>國聯</v>
      </c>
      <c r="E81" s="10" t="str">
        <f aca="false">INDEX(球隊主檔!$E$2:$E$31,MATCH($B81,球隊主檔!$A$2:$A$31,0))</f>
        <v>國東</v>
      </c>
      <c r="F81" s="19" t="n">
        <f aca="false">SUMIFS(球隊戰績!$F$2:$F$91,球隊戰績!$A$2:$A$91,$A81,球隊戰績!$B$2:$B$91,$B81)</f>
        <v>87</v>
      </c>
      <c r="G81" s="14" t="n">
        <f aca="false">IF(INDEX(球季參數!$B$2:$B$4,MATCH($A81,球季參數!$A$2:$A$4,0))=0,0,F81/INDEX(球季參數!$B$2:$B$4,MATCH($A81,球季參數!$A$2:$A$4,0)))</f>
        <v>0.537037037037037</v>
      </c>
      <c r="H81" s="11" t="n">
        <f aca="false">COUNTIFS(打擊成績!$A$2:$A$901,$A81,打擊成績!$D$2:$D$901,$B81)</f>
        <v>10</v>
      </c>
      <c r="I81" s="13" t="n">
        <f aca="false">SUMIFS(打擊成績!$J$2:$J$901,打擊成績!$A$2:$A$901,$A81,打擊成績!$D$2:$D$901,$B81)</f>
        <v>4616</v>
      </c>
      <c r="J81" s="13" t="n">
        <f aca="false">SUMIFS(打擊成績!$K$2:$K$901,打擊成績!$A$2:$A$901,$A81,打擊成績!$D$2:$D$901,$B81)</f>
        <v>4190</v>
      </c>
      <c r="K81" s="13" t="n">
        <f aca="false">SUMIFS(打擊成績!$M$2:$M$901,打擊成績!$A$2:$A$901,$A81,打擊成績!$D$2:$D$901,$B81)</f>
        <v>1056</v>
      </c>
      <c r="L81" s="13" t="n">
        <f aca="false">SUMIFS(打擊成績!$X$2:$X$901,打擊成績!$A$2:$A$901,$A81,打擊成績!$D$2:$D$901,$B81)</f>
        <v>1784</v>
      </c>
      <c r="M81" s="13" t="n">
        <f aca="false">SUMIFS(打擊成績!$P$2:$P$901,打擊成績!$A$2:$A$901,$A81,打擊成績!$D$2:$D$901,$B81)</f>
        <v>133</v>
      </c>
      <c r="N81" s="13" t="n">
        <f aca="false">SUMIFS(打擊成績!$Q$2:$Q$901,打擊成績!$A$2:$A$901,$A81,打擊成績!$D$2:$D$901,$B81)</f>
        <v>517</v>
      </c>
      <c r="O81" s="13" t="n">
        <f aca="false">SUMIFS(打擊成績!$V$2:$V$901,打擊成績!$A$2:$A$901,$A81,打擊成績!$D$2:$D$901,$B81)</f>
        <v>113</v>
      </c>
      <c r="P81" s="14" t="n">
        <f aca="false">IF(J81=0,0,K81/J81)</f>
        <v>0.252028639618138</v>
      </c>
      <c r="Q81" s="14" t="n">
        <f aca="false">IF(J81=0,0,L81/J81)</f>
        <v>0.425775656324582</v>
      </c>
      <c r="R81" s="11" t="n">
        <f aca="false">COUNTIFS(投手成績!$A$2:$A$901,$A81,投手成績!$D$2:$D$901,$B81)</f>
        <v>10</v>
      </c>
      <c r="S81" s="13" t="n">
        <f aca="false">SUMIFS(投手成績!$O$2:$O$901,投手成績!$A$2:$A$901,$A81,投手成績!$D$2:$D$901,$B81)</f>
        <v>2706</v>
      </c>
      <c r="T81" s="16" t="n">
        <f aca="false">S81/3</f>
        <v>902</v>
      </c>
      <c r="U81" s="13" t="n">
        <f aca="false">SUMIFS(投手成績!$W$2:$W$901,投手成績!$A$2:$A$901,$A81,投手成績!$D$2:$D$901,$B81)</f>
        <v>886</v>
      </c>
      <c r="V81" s="13" t="n">
        <f aca="false">SUMIFS(投手成績!$T$2:$T$901,投手成績!$A$2:$A$901,$A81,投手成績!$D$2:$D$901,$B81)</f>
        <v>428</v>
      </c>
      <c r="W81" s="18" t="n">
        <f aca="false">IF(S81=0,0,V81*27/S81)</f>
        <v>4.27050997782705</v>
      </c>
      <c r="X81" s="18" t="n">
        <f aca="false">IF(S81=0,0,U81*27/S81)</f>
        <v>8.84035476718404</v>
      </c>
    </row>
    <row r="82" customFormat="false" ht="15" hidden="false" customHeight="false" outlineLevel="0" collapsed="false">
      <c r="A82" s="5" t="n">
        <v>2026</v>
      </c>
      <c r="B82" s="7" t="s">
        <v>426</v>
      </c>
      <c r="C82" s="10" t="str">
        <f aca="false">INDEX(球隊主檔!$C$2:$C$31,MATCH($B82,球隊主檔!$A$2:$A$31,0))</f>
        <v>芝加哥小熊</v>
      </c>
      <c r="D82" s="10" t="str">
        <f aca="false">INDEX(球隊主檔!$D$2:$D$31,MATCH($B82,球隊主檔!$A$2:$A$31,0))</f>
        <v>國聯</v>
      </c>
      <c r="E82" s="10" t="str">
        <f aca="false">INDEX(球隊主檔!$E$2:$E$31,MATCH($B82,球隊主檔!$A$2:$A$31,0))</f>
        <v>國中</v>
      </c>
      <c r="F82" s="19" t="n">
        <f aca="false">SUMIFS(球隊戰績!$F$2:$F$91,球隊戰績!$A$2:$A$91,$A82,球隊戰績!$B$2:$B$91,$B82)</f>
        <v>65</v>
      </c>
      <c r="G82" s="14" t="n">
        <f aca="false">IF(INDEX(球季參數!$B$2:$B$4,MATCH($A82,球季參數!$A$2:$A$4,0))=0,0,F82/INDEX(球季參數!$B$2:$B$4,MATCH($A82,球季參數!$A$2:$A$4,0)))</f>
        <v>0.401234567901235</v>
      </c>
      <c r="H82" s="11" t="n">
        <f aca="false">COUNTIFS(打擊成績!$A$2:$A$901,$A82,打擊成績!$D$2:$D$901,$B82)</f>
        <v>10</v>
      </c>
      <c r="I82" s="13" t="n">
        <f aca="false">SUMIFS(打擊成績!$J$2:$J$901,打擊成績!$A$2:$A$901,$A82,打擊成績!$D$2:$D$901,$B82)</f>
        <v>4843</v>
      </c>
      <c r="J82" s="13" t="n">
        <f aca="false">SUMIFS(打擊成績!$K$2:$K$901,打擊成績!$A$2:$A$901,$A82,打擊成績!$D$2:$D$901,$B82)</f>
        <v>4298</v>
      </c>
      <c r="K82" s="13" t="n">
        <f aca="false">SUMIFS(打擊成績!$M$2:$M$901,打擊成績!$A$2:$A$901,$A82,打擊成績!$D$2:$D$901,$B82)</f>
        <v>1058</v>
      </c>
      <c r="L82" s="13" t="n">
        <f aca="false">SUMIFS(打擊成績!$X$2:$X$901,打擊成績!$A$2:$A$901,$A82,打擊成績!$D$2:$D$901,$B82)</f>
        <v>1810</v>
      </c>
      <c r="M82" s="13" t="n">
        <f aca="false">SUMIFS(打擊成績!$P$2:$P$901,打擊成績!$A$2:$A$901,$A82,打擊成績!$D$2:$D$901,$B82)</f>
        <v>139</v>
      </c>
      <c r="N82" s="13" t="n">
        <f aca="false">SUMIFS(打擊成績!$Q$2:$Q$901,打擊成績!$A$2:$A$901,$A82,打擊成績!$D$2:$D$901,$B82)</f>
        <v>526</v>
      </c>
      <c r="O82" s="13" t="n">
        <f aca="false">SUMIFS(打擊成績!$V$2:$V$901,打擊成績!$A$2:$A$901,$A82,打擊成績!$D$2:$D$901,$B82)</f>
        <v>103</v>
      </c>
      <c r="P82" s="14" t="n">
        <f aca="false">IF(J82=0,0,K82/J82)</f>
        <v>0.24616100511866</v>
      </c>
      <c r="Q82" s="14" t="n">
        <f aca="false">IF(J82=0,0,L82/J82)</f>
        <v>0.421126105165193</v>
      </c>
      <c r="R82" s="11" t="n">
        <f aca="false">COUNTIFS(投手成績!$A$2:$A$901,$A82,投手成績!$D$2:$D$901,$B82)</f>
        <v>10</v>
      </c>
      <c r="S82" s="13" t="n">
        <f aca="false">SUMIFS(投手成績!$O$2:$O$901,投手成績!$A$2:$A$901,$A82,投手成績!$D$2:$D$901,$B82)</f>
        <v>2677</v>
      </c>
      <c r="T82" s="16" t="n">
        <f aca="false">S82/3</f>
        <v>892.333333333333</v>
      </c>
      <c r="U82" s="13" t="n">
        <f aca="false">SUMIFS(投手成績!$W$2:$W$901,投手成績!$A$2:$A$901,$A82,投手成績!$D$2:$D$901,$B82)</f>
        <v>884</v>
      </c>
      <c r="V82" s="13" t="n">
        <f aca="false">SUMIFS(投手成績!$T$2:$T$901,投手成績!$A$2:$A$901,$A82,投手成績!$D$2:$D$901,$B82)</f>
        <v>352</v>
      </c>
      <c r="W82" s="18" t="n">
        <f aca="false">IF(S82=0,0,V82*27/S82)</f>
        <v>3.55024280911468</v>
      </c>
      <c r="X82" s="18" t="n">
        <f aca="false">IF(S82=0,0,U82*27/S82)</f>
        <v>8.9159506910721</v>
      </c>
    </row>
    <row r="83" customFormat="false" ht="15" hidden="false" customHeight="false" outlineLevel="0" collapsed="false">
      <c r="A83" s="5" t="n">
        <v>2026</v>
      </c>
      <c r="B83" s="7" t="s">
        <v>430</v>
      </c>
      <c r="C83" s="10" t="str">
        <f aca="false">INDEX(球隊主檔!$C$2:$C$31,MATCH($B83,球隊主檔!$A$2:$A$31,0))</f>
        <v>辛辛那提紅人</v>
      </c>
      <c r="D83" s="10" t="str">
        <f aca="false">INDEX(球隊主檔!$D$2:$D$31,MATCH($B83,球隊主檔!$A$2:$A$31,0))</f>
        <v>國聯</v>
      </c>
      <c r="E83" s="10" t="str">
        <f aca="false">INDEX(球隊主檔!$E$2:$E$31,MATCH($B83,球隊主檔!$A$2:$A$31,0))</f>
        <v>國中</v>
      </c>
      <c r="F83" s="19" t="n">
        <f aca="false">SUMIFS(球隊戰績!$F$2:$F$91,球隊戰績!$A$2:$A$91,$A83,球隊戰績!$B$2:$B$91,$B83)</f>
        <v>88</v>
      </c>
      <c r="G83" s="14" t="n">
        <f aca="false">IF(INDEX(球季參數!$B$2:$B$4,MATCH($A83,球季參數!$A$2:$A$4,0))=0,0,F83/INDEX(球季參數!$B$2:$B$4,MATCH($A83,球季參數!$A$2:$A$4,0)))</f>
        <v>0.54320987654321</v>
      </c>
      <c r="H83" s="11" t="n">
        <f aca="false">COUNTIFS(打擊成績!$A$2:$A$901,$A83,打擊成績!$D$2:$D$901,$B83)</f>
        <v>10</v>
      </c>
      <c r="I83" s="13" t="n">
        <f aca="false">SUMIFS(打擊成績!$J$2:$J$901,打擊成績!$A$2:$A$901,$A83,打擊成績!$D$2:$D$901,$B83)</f>
        <v>4636</v>
      </c>
      <c r="J83" s="13" t="n">
        <f aca="false">SUMIFS(打擊成績!$K$2:$K$901,打擊成績!$A$2:$A$901,$A83,打擊成績!$D$2:$D$901,$B83)</f>
        <v>4153</v>
      </c>
      <c r="K83" s="13" t="n">
        <f aca="false">SUMIFS(打擊成績!$M$2:$M$901,打擊成績!$A$2:$A$901,$A83,打擊成績!$D$2:$D$901,$B83)</f>
        <v>1047</v>
      </c>
      <c r="L83" s="13" t="n">
        <f aca="false">SUMIFS(打擊成績!$X$2:$X$901,打擊成績!$A$2:$A$901,$A83,打擊成績!$D$2:$D$901,$B83)</f>
        <v>1797</v>
      </c>
      <c r="M83" s="13" t="n">
        <f aca="false">SUMIFS(打擊成績!$P$2:$P$901,打擊成績!$A$2:$A$901,$A83,打擊成績!$D$2:$D$901,$B83)</f>
        <v>135</v>
      </c>
      <c r="N83" s="13" t="n">
        <f aca="false">SUMIFS(打擊成績!$Q$2:$Q$901,打擊成績!$A$2:$A$901,$A83,打擊成績!$D$2:$D$901,$B83)</f>
        <v>532</v>
      </c>
      <c r="O83" s="13" t="n">
        <f aca="false">SUMIFS(打擊成績!$V$2:$V$901,打擊成績!$A$2:$A$901,$A83,打擊成績!$D$2:$D$901,$B83)</f>
        <v>109</v>
      </c>
      <c r="P83" s="14" t="n">
        <f aca="false">IF(J83=0,0,K83/J83)</f>
        <v>0.252106910666988</v>
      </c>
      <c r="Q83" s="14" t="n">
        <f aca="false">IF(J83=0,0,L83/J83)</f>
        <v>0.432699253551649</v>
      </c>
      <c r="R83" s="11" t="n">
        <f aca="false">COUNTIFS(投手成績!$A$2:$A$901,$A83,投手成績!$D$2:$D$901,$B83)</f>
        <v>10</v>
      </c>
      <c r="S83" s="13" t="n">
        <f aca="false">SUMIFS(投手成績!$O$2:$O$901,投手成績!$A$2:$A$901,$A83,投手成績!$D$2:$D$901,$B83)</f>
        <v>2738</v>
      </c>
      <c r="T83" s="16" t="n">
        <f aca="false">S83/3</f>
        <v>912.666666666667</v>
      </c>
      <c r="U83" s="13" t="n">
        <f aca="false">SUMIFS(投手成績!$W$2:$W$901,投手成績!$A$2:$A$901,$A83,投手成績!$D$2:$D$901,$B83)</f>
        <v>860</v>
      </c>
      <c r="V83" s="13" t="n">
        <f aca="false">SUMIFS(投手成績!$T$2:$T$901,投手成績!$A$2:$A$901,$A83,投手成績!$D$2:$D$901,$B83)</f>
        <v>414</v>
      </c>
      <c r="W83" s="18" t="n">
        <f aca="false">IF(S83=0,0,V83*27/S83)</f>
        <v>4.08254200146092</v>
      </c>
      <c r="X83" s="18" t="n">
        <f aca="false">IF(S83=0,0,U83*27/S83)</f>
        <v>8.48064280496713</v>
      </c>
    </row>
    <row r="84" customFormat="false" ht="15" hidden="false" customHeight="false" outlineLevel="0" collapsed="false">
      <c r="A84" s="5" t="n">
        <v>2026</v>
      </c>
      <c r="B84" s="7" t="s">
        <v>434</v>
      </c>
      <c r="C84" s="10" t="str">
        <f aca="false">INDEX(球隊主檔!$C$2:$C$31,MATCH($B84,球隊主檔!$A$2:$A$31,0))</f>
        <v>密爾瓦基釀酒人</v>
      </c>
      <c r="D84" s="10" t="str">
        <f aca="false">INDEX(球隊主檔!$D$2:$D$31,MATCH($B84,球隊主檔!$A$2:$A$31,0))</f>
        <v>國聯</v>
      </c>
      <c r="E84" s="10" t="str">
        <f aca="false">INDEX(球隊主檔!$E$2:$E$31,MATCH($B84,球隊主檔!$A$2:$A$31,0))</f>
        <v>國中</v>
      </c>
      <c r="F84" s="19" t="n">
        <f aca="false">SUMIFS(球隊戰績!$F$2:$F$91,球隊戰績!$A$2:$A$91,$A84,球隊戰績!$B$2:$B$91,$B84)</f>
        <v>72</v>
      </c>
      <c r="G84" s="14" t="n">
        <f aca="false">IF(INDEX(球季參數!$B$2:$B$4,MATCH($A84,球季參數!$A$2:$A$4,0))=0,0,F84/INDEX(球季參數!$B$2:$B$4,MATCH($A84,球季參數!$A$2:$A$4,0)))</f>
        <v>0.444444444444444</v>
      </c>
      <c r="H84" s="11" t="n">
        <f aca="false">COUNTIFS(打擊成績!$A$2:$A$901,$A84,打擊成績!$D$2:$D$901,$B84)</f>
        <v>10</v>
      </c>
      <c r="I84" s="13" t="n">
        <f aca="false">SUMIFS(打擊成績!$J$2:$J$901,打擊成績!$A$2:$A$901,$A84,打擊成績!$D$2:$D$901,$B84)</f>
        <v>4606</v>
      </c>
      <c r="J84" s="13" t="n">
        <f aca="false">SUMIFS(打擊成績!$K$2:$K$901,打擊成績!$A$2:$A$901,$A84,打擊成績!$D$2:$D$901,$B84)</f>
        <v>4090</v>
      </c>
      <c r="K84" s="13" t="n">
        <f aca="false">SUMIFS(打擊成績!$M$2:$M$901,打擊成績!$A$2:$A$901,$A84,打擊成績!$D$2:$D$901,$B84)</f>
        <v>987</v>
      </c>
      <c r="L84" s="13" t="n">
        <f aca="false">SUMIFS(打擊成績!$X$2:$X$901,打擊成績!$A$2:$A$901,$A84,打擊成績!$D$2:$D$901,$B84)</f>
        <v>1864</v>
      </c>
      <c r="M84" s="13" t="n">
        <f aca="false">SUMIFS(打擊成績!$P$2:$P$901,打擊成績!$A$2:$A$901,$A84,打擊成績!$D$2:$D$901,$B84)</f>
        <v>166</v>
      </c>
      <c r="N84" s="13" t="n">
        <f aca="false">SUMIFS(打擊成績!$Q$2:$Q$901,打擊成績!$A$2:$A$901,$A84,打擊成績!$D$2:$D$901,$B84)</f>
        <v>581</v>
      </c>
      <c r="O84" s="13" t="n">
        <f aca="false">SUMIFS(打擊成績!$V$2:$V$901,打擊成績!$A$2:$A$901,$A84,打擊成績!$D$2:$D$901,$B84)</f>
        <v>107</v>
      </c>
      <c r="P84" s="14" t="n">
        <f aca="false">IF(J84=0,0,K84/J84)</f>
        <v>0.241320293398533</v>
      </c>
      <c r="Q84" s="14" t="n">
        <f aca="false">IF(J84=0,0,L84/J84)</f>
        <v>0.455745721271394</v>
      </c>
      <c r="R84" s="11" t="n">
        <f aca="false">COUNTIFS(投手成績!$A$2:$A$901,$A84,投手成績!$D$2:$D$901,$B84)</f>
        <v>10</v>
      </c>
      <c r="S84" s="13" t="n">
        <f aca="false">SUMIFS(投手成績!$O$2:$O$901,投手成績!$A$2:$A$901,$A84,投手成績!$D$2:$D$901,$B84)</f>
        <v>3104</v>
      </c>
      <c r="T84" s="16" t="n">
        <f aca="false">S84/3</f>
        <v>1034.66666666667</v>
      </c>
      <c r="U84" s="13" t="n">
        <f aca="false">SUMIFS(投手成績!$W$2:$W$901,投手成績!$A$2:$A$901,$A84,投手成績!$D$2:$D$901,$B84)</f>
        <v>1092</v>
      </c>
      <c r="V84" s="13" t="n">
        <f aca="false">SUMIFS(投手成績!$T$2:$T$901,投手成績!$A$2:$A$901,$A84,投手成績!$D$2:$D$901,$B84)</f>
        <v>474</v>
      </c>
      <c r="W84" s="18" t="n">
        <f aca="false">IF(S84=0,0,V84*27/S84)</f>
        <v>4.12306701030928</v>
      </c>
      <c r="X84" s="18" t="n">
        <f aca="false">IF(S84=0,0,U84*27/S84)</f>
        <v>9.49871134020619</v>
      </c>
    </row>
    <row r="85" customFormat="false" ht="15" hidden="false" customHeight="false" outlineLevel="0" collapsed="false">
      <c r="A85" s="5" t="n">
        <v>2026</v>
      </c>
      <c r="B85" s="7" t="s">
        <v>438</v>
      </c>
      <c r="C85" s="10" t="str">
        <f aca="false">INDEX(球隊主檔!$C$2:$C$31,MATCH($B85,球隊主檔!$A$2:$A$31,0))</f>
        <v>匹茲堡海盜</v>
      </c>
      <c r="D85" s="10" t="str">
        <f aca="false">INDEX(球隊主檔!$D$2:$D$31,MATCH($B85,球隊主檔!$A$2:$A$31,0))</f>
        <v>國聯</v>
      </c>
      <c r="E85" s="10" t="str">
        <f aca="false">INDEX(球隊主檔!$E$2:$E$31,MATCH($B85,球隊主檔!$A$2:$A$31,0))</f>
        <v>國中</v>
      </c>
      <c r="F85" s="19" t="n">
        <f aca="false">SUMIFS(球隊戰績!$F$2:$F$91,球隊戰績!$A$2:$A$91,$A85,球隊戰績!$B$2:$B$91,$B85)</f>
        <v>87</v>
      </c>
      <c r="G85" s="14" t="n">
        <f aca="false">IF(INDEX(球季參數!$B$2:$B$4,MATCH($A85,球季參數!$A$2:$A$4,0))=0,0,F85/INDEX(球季參數!$B$2:$B$4,MATCH($A85,球季參數!$A$2:$A$4,0)))</f>
        <v>0.537037037037037</v>
      </c>
      <c r="H85" s="11" t="n">
        <f aca="false">COUNTIFS(打擊成績!$A$2:$A$901,$A85,打擊成績!$D$2:$D$901,$B85)</f>
        <v>10</v>
      </c>
      <c r="I85" s="13" t="n">
        <f aca="false">SUMIFS(打擊成績!$J$2:$J$901,打擊成績!$A$2:$A$901,$A85,打擊成績!$D$2:$D$901,$B85)</f>
        <v>4663</v>
      </c>
      <c r="J85" s="13" t="n">
        <f aca="false">SUMIFS(打擊成績!$K$2:$K$901,打擊成績!$A$2:$A$901,$A85,打擊成績!$D$2:$D$901,$B85)</f>
        <v>4224</v>
      </c>
      <c r="K85" s="13" t="n">
        <f aca="false">SUMIFS(打擊成績!$M$2:$M$901,打擊成績!$A$2:$A$901,$A85,打擊成績!$D$2:$D$901,$B85)</f>
        <v>1030</v>
      </c>
      <c r="L85" s="13" t="n">
        <f aca="false">SUMIFS(打擊成績!$X$2:$X$901,打擊成績!$A$2:$A$901,$A85,打擊成績!$D$2:$D$901,$B85)</f>
        <v>1957</v>
      </c>
      <c r="M85" s="13" t="n">
        <f aca="false">SUMIFS(打擊成績!$P$2:$P$901,打擊成績!$A$2:$A$901,$A85,打擊成績!$D$2:$D$901,$B85)</f>
        <v>188</v>
      </c>
      <c r="N85" s="13" t="n">
        <f aca="false">SUMIFS(打擊成績!$Q$2:$Q$901,打擊成績!$A$2:$A$901,$A85,打擊成績!$D$2:$D$901,$B85)</f>
        <v>602</v>
      </c>
      <c r="O85" s="13" t="n">
        <f aca="false">SUMIFS(打擊成績!$V$2:$V$901,打擊成績!$A$2:$A$901,$A85,打擊成績!$D$2:$D$901,$B85)</f>
        <v>162</v>
      </c>
      <c r="P85" s="14" t="n">
        <f aca="false">IF(J85=0,0,K85/J85)</f>
        <v>0.243844696969697</v>
      </c>
      <c r="Q85" s="14" t="n">
        <f aca="false">IF(J85=0,0,L85/J85)</f>
        <v>0.463304924242424</v>
      </c>
      <c r="R85" s="11" t="n">
        <f aca="false">COUNTIFS(投手成績!$A$2:$A$901,$A85,投手成績!$D$2:$D$901,$B85)</f>
        <v>10</v>
      </c>
      <c r="S85" s="13" t="n">
        <f aca="false">SUMIFS(投手成績!$O$2:$O$901,投手成績!$A$2:$A$901,$A85,投手成績!$D$2:$D$901,$B85)</f>
        <v>2939</v>
      </c>
      <c r="T85" s="16" t="n">
        <f aca="false">S85/3</f>
        <v>979.666666666667</v>
      </c>
      <c r="U85" s="13" t="n">
        <f aca="false">SUMIFS(投手成績!$W$2:$W$901,投手成績!$A$2:$A$901,$A85,投手成績!$D$2:$D$901,$B85)</f>
        <v>1071</v>
      </c>
      <c r="V85" s="13" t="n">
        <f aca="false">SUMIFS(投手成績!$T$2:$T$901,投手成績!$A$2:$A$901,$A85,投手成績!$D$2:$D$901,$B85)</f>
        <v>434</v>
      </c>
      <c r="W85" s="18" t="n">
        <f aca="false">IF(S85=0,0,V85*27/S85)</f>
        <v>3.98707043211977</v>
      </c>
      <c r="X85" s="18" t="n">
        <f aca="false">IF(S85=0,0,U85*27/S85)</f>
        <v>9.83906090506975</v>
      </c>
    </row>
    <row r="86" customFormat="false" ht="15" hidden="false" customHeight="false" outlineLevel="0" collapsed="false">
      <c r="A86" s="5" t="n">
        <v>2026</v>
      </c>
      <c r="B86" s="7" t="s">
        <v>442</v>
      </c>
      <c r="C86" s="10" t="str">
        <f aca="false">INDEX(球隊主檔!$C$2:$C$31,MATCH($B86,球隊主檔!$A$2:$A$31,0))</f>
        <v>聖路易紅雀</v>
      </c>
      <c r="D86" s="10" t="str">
        <f aca="false">INDEX(球隊主檔!$D$2:$D$31,MATCH($B86,球隊主檔!$A$2:$A$31,0))</f>
        <v>國聯</v>
      </c>
      <c r="E86" s="10" t="str">
        <f aca="false">INDEX(球隊主檔!$E$2:$E$31,MATCH($B86,球隊主檔!$A$2:$A$31,0))</f>
        <v>國中</v>
      </c>
      <c r="F86" s="19" t="n">
        <f aca="false">SUMIFS(球隊戰績!$F$2:$F$91,球隊戰績!$A$2:$A$91,$A86,球隊戰績!$B$2:$B$91,$B86)</f>
        <v>87</v>
      </c>
      <c r="G86" s="14" t="n">
        <f aca="false">IF(INDEX(球季參數!$B$2:$B$4,MATCH($A86,球季參數!$A$2:$A$4,0))=0,0,F86/INDEX(球季參數!$B$2:$B$4,MATCH($A86,球季參數!$A$2:$A$4,0)))</f>
        <v>0.537037037037037</v>
      </c>
      <c r="H86" s="11" t="n">
        <f aca="false">COUNTIFS(打擊成績!$A$2:$A$901,$A86,打擊成績!$D$2:$D$901,$B86)</f>
        <v>10</v>
      </c>
      <c r="I86" s="13" t="n">
        <f aca="false">SUMIFS(打擊成績!$J$2:$J$901,打擊成績!$A$2:$A$901,$A86,打擊成績!$D$2:$D$901,$B86)</f>
        <v>4510</v>
      </c>
      <c r="J86" s="13" t="n">
        <f aca="false">SUMIFS(打擊成績!$K$2:$K$901,打擊成績!$A$2:$A$901,$A86,打擊成績!$D$2:$D$901,$B86)</f>
        <v>4126</v>
      </c>
      <c r="K86" s="13" t="n">
        <f aca="false">SUMIFS(打擊成績!$M$2:$M$901,打擊成績!$A$2:$A$901,$A86,打擊成績!$D$2:$D$901,$B86)</f>
        <v>1012</v>
      </c>
      <c r="L86" s="13" t="n">
        <f aca="false">SUMIFS(打擊成績!$X$2:$X$901,打擊成績!$A$2:$A$901,$A86,打擊成績!$D$2:$D$901,$B86)</f>
        <v>1839</v>
      </c>
      <c r="M86" s="13" t="n">
        <f aca="false">SUMIFS(打擊成績!$P$2:$P$901,打擊成績!$A$2:$A$901,$A86,打擊成績!$D$2:$D$901,$B86)</f>
        <v>154</v>
      </c>
      <c r="N86" s="13" t="n">
        <f aca="false">SUMIFS(打擊成績!$Q$2:$Q$901,打擊成績!$A$2:$A$901,$A86,打擊成績!$D$2:$D$901,$B86)</f>
        <v>552</v>
      </c>
      <c r="O86" s="13" t="n">
        <f aca="false">SUMIFS(打擊成績!$V$2:$V$901,打擊成績!$A$2:$A$901,$A86,打擊成績!$D$2:$D$901,$B86)</f>
        <v>96</v>
      </c>
      <c r="P86" s="14" t="n">
        <f aca="false">IF(J86=0,0,K86/J86)</f>
        <v>0.245273873000485</v>
      </c>
      <c r="Q86" s="14" t="n">
        <f aca="false">IF(J86=0,0,L86/J86)</f>
        <v>0.445710130877363</v>
      </c>
      <c r="R86" s="11" t="n">
        <f aca="false">COUNTIFS(投手成績!$A$2:$A$901,$A86,投手成績!$D$2:$D$901,$B86)</f>
        <v>10</v>
      </c>
      <c r="S86" s="13" t="n">
        <f aca="false">SUMIFS(投手成績!$O$2:$O$901,投手成績!$A$2:$A$901,$A86,投手成績!$D$2:$D$901,$B86)</f>
        <v>3276</v>
      </c>
      <c r="T86" s="16" t="n">
        <f aca="false">S86/3</f>
        <v>1092</v>
      </c>
      <c r="U86" s="13" t="n">
        <f aca="false">SUMIFS(投手成績!$W$2:$W$901,投手成績!$A$2:$A$901,$A86,投手成績!$D$2:$D$901,$B86)</f>
        <v>1197</v>
      </c>
      <c r="V86" s="13" t="n">
        <f aca="false">SUMIFS(投手成績!$T$2:$T$901,投手成績!$A$2:$A$901,$A86,投手成績!$D$2:$D$901,$B86)</f>
        <v>518</v>
      </c>
      <c r="W86" s="18" t="n">
        <f aca="false">IF(S86=0,0,V86*27/S86)</f>
        <v>4.26923076923077</v>
      </c>
      <c r="X86" s="18" t="n">
        <f aca="false">IF(S86=0,0,U86*27/S86)</f>
        <v>9.86538461538462</v>
      </c>
    </row>
    <row r="87" customFormat="false" ht="15" hidden="false" customHeight="false" outlineLevel="0" collapsed="false">
      <c r="A87" s="5" t="n">
        <v>2026</v>
      </c>
      <c r="B87" s="7" t="s">
        <v>446</v>
      </c>
      <c r="C87" s="10" t="str">
        <f aca="false">INDEX(球隊主檔!$C$2:$C$31,MATCH($B87,球隊主檔!$A$2:$A$31,0))</f>
        <v>亞利桑那響尾蛇</v>
      </c>
      <c r="D87" s="10" t="str">
        <f aca="false">INDEX(球隊主檔!$D$2:$D$31,MATCH($B87,球隊主檔!$A$2:$A$31,0))</f>
        <v>國聯</v>
      </c>
      <c r="E87" s="10" t="str">
        <f aca="false">INDEX(球隊主檔!$E$2:$E$31,MATCH($B87,球隊主檔!$A$2:$A$31,0))</f>
        <v>國西</v>
      </c>
      <c r="F87" s="19" t="n">
        <f aca="false">SUMIFS(球隊戰績!$F$2:$F$91,球隊戰績!$A$2:$A$91,$A87,球隊戰績!$B$2:$B$91,$B87)</f>
        <v>90</v>
      </c>
      <c r="G87" s="14" t="n">
        <f aca="false">IF(INDEX(球季參數!$B$2:$B$4,MATCH($A87,球季參數!$A$2:$A$4,0))=0,0,F87/INDEX(球季參數!$B$2:$B$4,MATCH($A87,球季參數!$A$2:$A$4,0)))</f>
        <v>0.555555555555556</v>
      </c>
      <c r="H87" s="11" t="n">
        <f aca="false">COUNTIFS(打擊成績!$A$2:$A$901,$A87,打擊成績!$D$2:$D$901,$B87)</f>
        <v>10</v>
      </c>
      <c r="I87" s="13" t="n">
        <f aca="false">SUMIFS(打擊成績!$J$2:$J$901,打擊成績!$A$2:$A$901,$A87,打擊成績!$D$2:$D$901,$B87)</f>
        <v>4571</v>
      </c>
      <c r="J87" s="13" t="n">
        <f aca="false">SUMIFS(打擊成績!$K$2:$K$901,打擊成績!$A$2:$A$901,$A87,打擊成績!$D$2:$D$901,$B87)</f>
        <v>4145</v>
      </c>
      <c r="K87" s="13" t="n">
        <f aca="false">SUMIFS(打擊成績!$M$2:$M$901,打擊成績!$A$2:$A$901,$A87,打擊成績!$D$2:$D$901,$B87)</f>
        <v>1088</v>
      </c>
      <c r="L87" s="13" t="n">
        <f aca="false">SUMIFS(打擊成績!$X$2:$X$901,打擊成績!$A$2:$A$901,$A87,打擊成績!$D$2:$D$901,$B87)</f>
        <v>1783</v>
      </c>
      <c r="M87" s="13" t="n">
        <f aca="false">SUMIFS(打擊成績!$P$2:$P$901,打擊成績!$A$2:$A$901,$A87,打擊成績!$D$2:$D$901,$B87)</f>
        <v>122</v>
      </c>
      <c r="N87" s="13" t="n">
        <f aca="false">SUMIFS(打擊成績!$Q$2:$Q$901,打擊成績!$A$2:$A$901,$A87,打擊成績!$D$2:$D$901,$B87)</f>
        <v>491</v>
      </c>
      <c r="O87" s="13" t="n">
        <f aca="false">SUMIFS(打擊成績!$V$2:$V$901,打擊成績!$A$2:$A$901,$A87,打擊成績!$D$2:$D$901,$B87)</f>
        <v>113</v>
      </c>
      <c r="P87" s="14" t="n">
        <f aca="false">IF(J87=0,0,K87/J87)</f>
        <v>0.26248492159228</v>
      </c>
      <c r="Q87" s="14" t="n">
        <f aca="false">IF(J87=0,0,L87/J87)</f>
        <v>0.43015681544029</v>
      </c>
      <c r="R87" s="11" t="n">
        <f aca="false">COUNTIFS(投手成績!$A$2:$A$901,$A87,投手成績!$D$2:$D$901,$B87)</f>
        <v>10</v>
      </c>
      <c r="S87" s="13" t="n">
        <f aca="false">SUMIFS(投手成績!$O$2:$O$901,投手成績!$A$2:$A$901,$A87,投手成績!$D$2:$D$901,$B87)</f>
        <v>3091</v>
      </c>
      <c r="T87" s="16" t="n">
        <f aca="false">S87/3</f>
        <v>1030.33333333333</v>
      </c>
      <c r="U87" s="13" t="n">
        <f aca="false">SUMIFS(投手成績!$W$2:$W$901,投手成績!$A$2:$A$901,$A87,投手成績!$D$2:$D$901,$B87)</f>
        <v>1142</v>
      </c>
      <c r="V87" s="13" t="n">
        <f aca="false">SUMIFS(投手成績!$T$2:$T$901,投手成績!$A$2:$A$901,$A87,投手成績!$D$2:$D$901,$B87)</f>
        <v>456</v>
      </c>
      <c r="W87" s="18" t="n">
        <f aca="false">IF(S87=0,0,V87*27/S87)</f>
        <v>3.98317696538337</v>
      </c>
      <c r="X87" s="18" t="n">
        <f aca="false">IF(S87=0,0,U87*27/S87)</f>
        <v>9.975412487868</v>
      </c>
    </row>
    <row r="88" customFormat="false" ht="15" hidden="false" customHeight="false" outlineLevel="0" collapsed="false">
      <c r="A88" s="5" t="n">
        <v>2026</v>
      </c>
      <c r="B88" s="7" t="s">
        <v>451</v>
      </c>
      <c r="C88" s="10" t="str">
        <f aca="false">INDEX(球隊主檔!$C$2:$C$31,MATCH($B88,球隊主檔!$A$2:$A$31,0))</f>
        <v>科羅拉多落磯</v>
      </c>
      <c r="D88" s="10" t="str">
        <f aca="false">INDEX(球隊主檔!$D$2:$D$31,MATCH($B88,球隊主檔!$A$2:$A$31,0))</f>
        <v>國聯</v>
      </c>
      <c r="E88" s="10" t="str">
        <f aca="false">INDEX(球隊主檔!$E$2:$E$31,MATCH($B88,球隊主檔!$A$2:$A$31,0))</f>
        <v>國西</v>
      </c>
      <c r="F88" s="19" t="n">
        <f aca="false">SUMIFS(球隊戰績!$F$2:$F$91,球隊戰績!$A$2:$A$91,$A88,球隊戰績!$B$2:$B$91,$B88)</f>
        <v>76</v>
      </c>
      <c r="G88" s="14" t="n">
        <f aca="false">IF(INDEX(球季參數!$B$2:$B$4,MATCH($A88,球季參數!$A$2:$A$4,0))=0,0,F88/INDEX(球季參數!$B$2:$B$4,MATCH($A88,球季參數!$A$2:$A$4,0)))</f>
        <v>0.469135802469136</v>
      </c>
      <c r="H88" s="11" t="n">
        <f aca="false">COUNTIFS(打擊成績!$A$2:$A$901,$A88,打擊成績!$D$2:$D$901,$B88)</f>
        <v>10</v>
      </c>
      <c r="I88" s="13" t="n">
        <f aca="false">SUMIFS(打擊成績!$J$2:$J$901,打擊成績!$A$2:$A$901,$A88,打擊成績!$D$2:$D$901,$B88)</f>
        <v>5243</v>
      </c>
      <c r="J88" s="13" t="n">
        <f aca="false">SUMIFS(打擊成績!$K$2:$K$901,打擊成績!$A$2:$A$901,$A88,打擊成績!$D$2:$D$901,$B88)</f>
        <v>4669</v>
      </c>
      <c r="K88" s="13" t="n">
        <f aca="false">SUMIFS(打擊成績!$M$2:$M$901,打擊成績!$A$2:$A$901,$A88,打擊成績!$D$2:$D$901,$B88)</f>
        <v>1130</v>
      </c>
      <c r="L88" s="13" t="n">
        <f aca="false">SUMIFS(打擊成績!$X$2:$X$901,打擊成績!$A$2:$A$901,$A88,打擊成績!$D$2:$D$901,$B88)</f>
        <v>2036</v>
      </c>
      <c r="M88" s="13" t="n">
        <f aca="false">SUMIFS(打擊成績!$P$2:$P$901,打擊成績!$A$2:$A$901,$A88,打擊成績!$D$2:$D$901,$B88)</f>
        <v>180</v>
      </c>
      <c r="N88" s="13" t="n">
        <f aca="false">SUMIFS(打擊成績!$Q$2:$Q$901,打擊成績!$A$2:$A$901,$A88,打擊成績!$D$2:$D$901,$B88)</f>
        <v>599</v>
      </c>
      <c r="O88" s="13" t="n">
        <f aca="false">SUMIFS(打擊成績!$V$2:$V$901,打擊成績!$A$2:$A$901,$A88,打擊成績!$D$2:$D$901,$B88)</f>
        <v>118</v>
      </c>
      <c r="P88" s="14" t="n">
        <f aca="false">IF(J88=0,0,K88/J88)</f>
        <v>0.242021846219747</v>
      </c>
      <c r="Q88" s="14" t="n">
        <f aca="false">IF(J88=0,0,L88/J88)</f>
        <v>0.436067680445492</v>
      </c>
      <c r="R88" s="11" t="n">
        <f aca="false">COUNTIFS(投手成績!$A$2:$A$901,$A88,投手成績!$D$2:$D$901,$B88)</f>
        <v>10</v>
      </c>
      <c r="S88" s="13" t="n">
        <f aca="false">SUMIFS(投手成績!$O$2:$O$901,投手成績!$A$2:$A$901,$A88,投手成績!$D$2:$D$901,$B88)</f>
        <v>3257</v>
      </c>
      <c r="T88" s="16" t="n">
        <f aca="false">S88/3</f>
        <v>1085.66666666667</v>
      </c>
      <c r="U88" s="13" t="n">
        <f aca="false">SUMIFS(投手成績!$W$2:$W$901,投手成績!$A$2:$A$901,$A88,投手成績!$D$2:$D$901,$B88)</f>
        <v>1054</v>
      </c>
      <c r="V88" s="13" t="n">
        <f aca="false">SUMIFS(投手成績!$T$2:$T$901,投手成績!$A$2:$A$901,$A88,投手成績!$D$2:$D$901,$B88)</f>
        <v>456</v>
      </c>
      <c r="W88" s="18" t="n">
        <f aca="false">IF(S88=0,0,V88*27/S88)</f>
        <v>3.78016579674547</v>
      </c>
      <c r="X88" s="18" t="n">
        <f aca="false">IF(S88=0,0,U88*27/S88)</f>
        <v>8.73748848633712</v>
      </c>
    </row>
    <row r="89" customFormat="false" ht="15" hidden="false" customHeight="false" outlineLevel="0" collapsed="false">
      <c r="A89" s="5" t="n">
        <v>2026</v>
      </c>
      <c r="B89" s="7" t="s">
        <v>455</v>
      </c>
      <c r="C89" s="10" t="str">
        <f aca="false">INDEX(球隊主檔!$C$2:$C$31,MATCH($B89,球隊主檔!$A$2:$A$31,0))</f>
        <v>洛杉磯道奇</v>
      </c>
      <c r="D89" s="10" t="str">
        <f aca="false">INDEX(球隊主檔!$D$2:$D$31,MATCH($B89,球隊主檔!$A$2:$A$31,0))</f>
        <v>國聯</v>
      </c>
      <c r="E89" s="10" t="str">
        <f aca="false">INDEX(球隊主檔!$E$2:$E$31,MATCH($B89,球隊主檔!$A$2:$A$31,0))</f>
        <v>國西</v>
      </c>
      <c r="F89" s="19" t="n">
        <f aca="false">SUMIFS(球隊戰績!$F$2:$F$91,球隊戰績!$A$2:$A$91,$A89,球隊戰績!$B$2:$B$91,$B89)</f>
        <v>78</v>
      </c>
      <c r="G89" s="14" t="n">
        <f aca="false">IF(INDEX(球季參數!$B$2:$B$4,MATCH($A89,球季參數!$A$2:$A$4,0))=0,0,F89/INDEX(球季參數!$B$2:$B$4,MATCH($A89,球季參數!$A$2:$A$4,0)))</f>
        <v>0.481481481481481</v>
      </c>
      <c r="H89" s="11" t="n">
        <f aca="false">COUNTIFS(打擊成績!$A$2:$A$901,$A89,打擊成績!$D$2:$D$901,$B89)</f>
        <v>10</v>
      </c>
      <c r="I89" s="13" t="n">
        <f aca="false">SUMIFS(打擊成績!$J$2:$J$901,打擊成績!$A$2:$A$901,$A89,打擊成績!$D$2:$D$901,$B89)</f>
        <v>4400</v>
      </c>
      <c r="J89" s="13" t="n">
        <f aca="false">SUMIFS(打擊成績!$K$2:$K$901,打擊成績!$A$2:$A$901,$A89,打擊成績!$D$2:$D$901,$B89)</f>
        <v>3943</v>
      </c>
      <c r="K89" s="13" t="n">
        <f aca="false">SUMIFS(打擊成績!$M$2:$M$901,打擊成績!$A$2:$A$901,$A89,打擊成績!$D$2:$D$901,$B89)</f>
        <v>978</v>
      </c>
      <c r="L89" s="13" t="n">
        <f aca="false">SUMIFS(打擊成績!$X$2:$X$901,打擊成績!$A$2:$A$901,$A89,打擊成績!$D$2:$D$901,$B89)</f>
        <v>1810</v>
      </c>
      <c r="M89" s="13" t="n">
        <f aca="false">SUMIFS(打擊成績!$P$2:$P$901,打擊成績!$A$2:$A$901,$A89,打擊成績!$D$2:$D$901,$B89)</f>
        <v>151</v>
      </c>
      <c r="N89" s="13" t="n">
        <f aca="false">SUMIFS(打擊成績!$Q$2:$Q$901,打擊成績!$A$2:$A$901,$A89,打擊成績!$D$2:$D$901,$B89)</f>
        <v>533</v>
      </c>
      <c r="O89" s="13" t="n">
        <f aca="false">SUMIFS(打擊成績!$V$2:$V$901,打擊成績!$A$2:$A$901,$A89,打擊成績!$D$2:$D$901,$B89)</f>
        <v>95</v>
      </c>
      <c r="P89" s="14" t="n">
        <f aca="false">IF(J89=0,0,K89/J89)</f>
        <v>0.248034491503931</v>
      </c>
      <c r="Q89" s="14" t="n">
        <f aca="false">IF(J89=0,0,L89/J89)</f>
        <v>0.459041339081917</v>
      </c>
      <c r="R89" s="11" t="n">
        <f aca="false">COUNTIFS(投手成績!$A$2:$A$901,$A89,投手成績!$D$2:$D$901,$B89)</f>
        <v>10</v>
      </c>
      <c r="S89" s="13" t="n">
        <f aca="false">SUMIFS(投手成績!$O$2:$O$901,投手成績!$A$2:$A$901,$A89,投手成績!$D$2:$D$901,$B89)</f>
        <v>2996</v>
      </c>
      <c r="T89" s="16" t="n">
        <f aca="false">S89/3</f>
        <v>998.666666666667</v>
      </c>
      <c r="U89" s="13" t="n">
        <f aca="false">SUMIFS(投手成績!$W$2:$W$901,投手成績!$A$2:$A$901,$A89,投手成績!$D$2:$D$901,$B89)</f>
        <v>1095</v>
      </c>
      <c r="V89" s="13" t="n">
        <f aca="false">SUMIFS(投手成績!$T$2:$T$901,投手成績!$A$2:$A$901,$A89,投手成績!$D$2:$D$901,$B89)</f>
        <v>425</v>
      </c>
      <c r="W89" s="18" t="n">
        <f aca="false">IF(S89=0,0,V89*27/S89)</f>
        <v>3.83010680907877</v>
      </c>
      <c r="X89" s="18" t="n">
        <f aca="false">IF(S89=0,0,U89*27/S89)</f>
        <v>9.86815754339119</v>
      </c>
    </row>
    <row r="90" customFormat="false" ht="15" hidden="false" customHeight="false" outlineLevel="0" collapsed="false">
      <c r="A90" s="5" t="n">
        <v>2026</v>
      </c>
      <c r="B90" s="7" t="s">
        <v>459</v>
      </c>
      <c r="C90" s="10" t="str">
        <f aca="false">INDEX(球隊主檔!$C$2:$C$31,MATCH($B90,球隊主檔!$A$2:$A$31,0))</f>
        <v>聖地牙哥教士</v>
      </c>
      <c r="D90" s="10" t="str">
        <f aca="false">INDEX(球隊主檔!$D$2:$D$31,MATCH($B90,球隊主檔!$A$2:$A$31,0))</f>
        <v>國聯</v>
      </c>
      <c r="E90" s="10" t="str">
        <f aca="false">INDEX(球隊主檔!$E$2:$E$31,MATCH($B90,球隊主檔!$A$2:$A$31,0))</f>
        <v>國西</v>
      </c>
      <c r="F90" s="19" t="n">
        <f aca="false">SUMIFS(球隊戰績!$F$2:$F$91,球隊戰績!$A$2:$A$91,$A90,球隊戰績!$B$2:$B$91,$B90)</f>
        <v>69</v>
      </c>
      <c r="G90" s="14" t="n">
        <f aca="false">IF(INDEX(球季參數!$B$2:$B$4,MATCH($A90,球季參數!$A$2:$A$4,0))=0,0,F90/INDEX(球季參數!$B$2:$B$4,MATCH($A90,球季參數!$A$2:$A$4,0)))</f>
        <v>0.425925925925926</v>
      </c>
      <c r="H90" s="11" t="n">
        <f aca="false">COUNTIFS(打擊成績!$A$2:$A$901,$A90,打擊成績!$D$2:$D$901,$B90)</f>
        <v>10</v>
      </c>
      <c r="I90" s="13" t="n">
        <f aca="false">SUMIFS(打擊成績!$J$2:$J$901,打擊成績!$A$2:$A$901,$A90,打擊成績!$D$2:$D$901,$B90)</f>
        <v>4508</v>
      </c>
      <c r="J90" s="13" t="n">
        <f aca="false">SUMIFS(打擊成績!$K$2:$K$901,打擊成績!$A$2:$A$901,$A90,打擊成績!$D$2:$D$901,$B90)</f>
        <v>3983</v>
      </c>
      <c r="K90" s="13" t="n">
        <f aca="false">SUMIFS(打擊成績!$M$2:$M$901,打擊成績!$A$2:$A$901,$A90,打擊成績!$D$2:$D$901,$B90)</f>
        <v>898</v>
      </c>
      <c r="L90" s="13" t="n">
        <f aca="false">SUMIFS(打擊成績!$X$2:$X$901,打擊成績!$A$2:$A$901,$A90,打擊成績!$D$2:$D$901,$B90)</f>
        <v>1589</v>
      </c>
      <c r="M90" s="13" t="n">
        <f aca="false">SUMIFS(打擊成績!$P$2:$P$901,打擊成績!$A$2:$A$901,$A90,打擊成績!$D$2:$D$901,$B90)</f>
        <v>113</v>
      </c>
      <c r="N90" s="13" t="n">
        <f aca="false">SUMIFS(打擊成績!$Q$2:$Q$901,打擊成績!$A$2:$A$901,$A90,打擊成績!$D$2:$D$901,$B90)</f>
        <v>436</v>
      </c>
      <c r="O90" s="13" t="n">
        <f aca="false">SUMIFS(打擊成績!$V$2:$V$901,打擊成績!$A$2:$A$901,$A90,打擊成績!$D$2:$D$901,$B90)</f>
        <v>87</v>
      </c>
      <c r="P90" s="14" t="n">
        <f aca="false">IF(J90=0,0,K90/J90)</f>
        <v>0.225458197338689</v>
      </c>
      <c r="Q90" s="14" t="n">
        <f aca="false">IF(J90=0,0,L90/J90)</f>
        <v>0.398945518453427</v>
      </c>
      <c r="R90" s="11" t="n">
        <f aca="false">COUNTIFS(投手成績!$A$2:$A$901,$A90,投手成績!$D$2:$D$901,$B90)</f>
        <v>10</v>
      </c>
      <c r="S90" s="13" t="n">
        <f aca="false">SUMIFS(投手成績!$O$2:$O$901,投手成績!$A$2:$A$901,$A90,投手成績!$D$2:$D$901,$B90)</f>
        <v>2776</v>
      </c>
      <c r="T90" s="16" t="n">
        <f aca="false">S90/3</f>
        <v>925.333333333333</v>
      </c>
      <c r="U90" s="13" t="n">
        <f aca="false">SUMIFS(投手成績!$W$2:$W$901,投手成績!$A$2:$A$901,$A90,投手成績!$D$2:$D$901,$B90)</f>
        <v>1056</v>
      </c>
      <c r="V90" s="13" t="n">
        <f aca="false">SUMIFS(投手成績!$T$2:$T$901,投手成績!$A$2:$A$901,$A90,投手成績!$D$2:$D$901,$B90)</f>
        <v>435</v>
      </c>
      <c r="W90" s="18" t="n">
        <f aca="false">IF(S90=0,0,V90*27/S90)</f>
        <v>4.23090778097983</v>
      </c>
      <c r="X90" s="18" t="n">
        <f aca="false">IF(S90=0,0,U90*27/S90)</f>
        <v>10.2708933717579</v>
      </c>
    </row>
    <row r="91" customFormat="false" ht="15" hidden="false" customHeight="false" outlineLevel="0" collapsed="false">
      <c r="A91" s="5" t="n">
        <v>2026</v>
      </c>
      <c r="B91" s="7" t="s">
        <v>463</v>
      </c>
      <c r="C91" s="10" t="str">
        <f aca="false">INDEX(球隊主檔!$C$2:$C$31,MATCH($B91,球隊主檔!$A$2:$A$31,0))</f>
        <v>舊金山巨人</v>
      </c>
      <c r="D91" s="10" t="str">
        <f aca="false">INDEX(球隊主檔!$D$2:$D$31,MATCH($B91,球隊主檔!$A$2:$A$31,0))</f>
        <v>國聯</v>
      </c>
      <c r="E91" s="10" t="str">
        <f aca="false">INDEX(球隊主檔!$E$2:$E$31,MATCH($B91,球隊主檔!$A$2:$A$31,0))</f>
        <v>國西</v>
      </c>
      <c r="F91" s="19" t="n">
        <f aca="false">SUMIFS(球隊戰績!$F$2:$F$91,球隊戰績!$A$2:$A$91,$A91,球隊戰績!$B$2:$B$91,$B91)</f>
        <v>75</v>
      </c>
      <c r="G91" s="14" t="n">
        <f aca="false">IF(INDEX(球季參數!$B$2:$B$4,MATCH($A91,球季參數!$A$2:$A$4,0))=0,0,F91/INDEX(球季參數!$B$2:$B$4,MATCH($A91,球季參數!$A$2:$A$4,0)))</f>
        <v>0.462962962962963</v>
      </c>
      <c r="H91" s="11" t="n">
        <f aca="false">COUNTIFS(打擊成績!$A$2:$A$901,$A91,打擊成績!$D$2:$D$901,$B91)</f>
        <v>10</v>
      </c>
      <c r="I91" s="13" t="n">
        <f aca="false">SUMIFS(打擊成績!$J$2:$J$901,打擊成績!$A$2:$A$901,$A91,打擊成績!$D$2:$D$901,$B91)</f>
        <v>4673</v>
      </c>
      <c r="J91" s="13" t="n">
        <f aca="false">SUMIFS(打擊成績!$K$2:$K$901,打擊成績!$A$2:$A$901,$A91,打擊成績!$D$2:$D$901,$B91)</f>
        <v>4227</v>
      </c>
      <c r="K91" s="13" t="n">
        <f aca="false">SUMIFS(打擊成績!$M$2:$M$901,打擊成績!$A$2:$A$901,$A91,打擊成績!$D$2:$D$901,$B91)</f>
        <v>953</v>
      </c>
      <c r="L91" s="13" t="n">
        <f aca="false">SUMIFS(打擊成績!$X$2:$X$901,打擊成績!$A$2:$A$901,$A91,打擊成績!$D$2:$D$901,$B91)</f>
        <v>1625</v>
      </c>
      <c r="M91" s="13" t="n">
        <f aca="false">SUMIFS(打擊成績!$P$2:$P$901,打擊成績!$A$2:$A$901,$A91,打擊成績!$D$2:$D$901,$B91)</f>
        <v>116</v>
      </c>
      <c r="N91" s="13" t="n">
        <f aca="false">SUMIFS(打擊成績!$Q$2:$Q$901,打擊成績!$A$2:$A$901,$A91,打擊成績!$D$2:$D$901,$B91)</f>
        <v>474</v>
      </c>
      <c r="O91" s="13" t="n">
        <f aca="false">SUMIFS(打擊成績!$V$2:$V$901,打擊成績!$A$2:$A$901,$A91,打擊成績!$D$2:$D$901,$B91)</f>
        <v>143</v>
      </c>
      <c r="P91" s="14" t="n">
        <f aca="false">IF(J91=0,0,K91/J91)</f>
        <v>0.225455405725101</v>
      </c>
      <c r="Q91" s="14" t="n">
        <f aca="false">IF(J91=0,0,L91/J91)</f>
        <v>0.384433404305654</v>
      </c>
      <c r="R91" s="11" t="n">
        <f aca="false">COUNTIFS(投手成績!$A$2:$A$901,$A91,投手成績!$D$2:$D$901,$B91)</f>
        <v>10</v>
      </c>
      <c r="S91" s="13" t="n">
        <f aca="false">SUMIFS(投手成績!$O$2:$O$901,投手成績!$A$2:$A$901,$A91,投手成績!$D$2:$D$901,$B91)</f>
        <v>3041</v>
      </c>
      <c r="T91" s="16" t="n">
        <f aca="false">S91/3</f>
        <v>1013.66666666667</v>
      </c>
      <c r="U91" s="13" t="n">
        <f aca="false">SUMIFS(投手成績!$W$2:$W$901,投手成績!$A$2:$A$901,$A91,投手成績!$D$2:$D$901,$B91)</f>
        <v>928</v>
      </c>
      <c r="V91" s="13" t="n">
        <f aca="false">SUMIFS(投手成績!$T$2:$T$901,投手成績!$A$2:$A$901,$A91,投手成績!$D$2:$D$901,$B91)</f>
        <v>448</v>
      </c>
      <c r="W91" s="18" t="n">
        <f aca="false">IF(S91=0,0,V91*27/S91)</f>
        <v>3.977638934561</v>
      </c>
      <c r="X91" s="18" t="n">
        <f aca="false">IF(S91=0,0,U91*27/S91)</f>
        <v>8.23939493587636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31.5" hidden="false" customHeight="true" outlineLevel="0" collapsed="false">
      <c r="A1" s="1" t="s">
        <v>55</v>
      </c>
      <c r="B1" s="1" t="s">
        <v>333</v>
      </c>
      <c r="C1" s="1" t="s">
        <v>335</v>
      </c>
      <c r="D1" s="1" t="s">
        <v>66</v>
      </c>
      <c r="E1" s="1" t="s">
        <v>50</v>
      </c>
    </row>
    <row r="2" customFormat="false" ht="15" hidden="false" customHeight="false" outlineLevel="0" collapsed="false">
      <c r="A2" s="5" t="n">
        <v>2024</v>
      </c>
      <c r="B2" s="7" t="s">
        <v>1973</v>
      </c>
      <c r="C2" s="8" t="s">
        <v>1974</v>
      </c>
      <c r="D2" s="11" t="n">
        <f aca="false">COUNTIFS(球隊戰績!$A$2:$A$91,$A2)</f>
        <v>30</v>
      </c>
      <c r="E2" s="8" t="s">
        <v>1975</v>
      </c>
    </row>
    <row r="3" customFormat="false" ht="15" hidden="false" customHeight="false" outlineLevel="0" collapsed="false">
      <c r="A3" s="5" t="n">
        <v>2025</v>
      </c>
      <c r="B3" s="7" t="s">
        <v>1973</v>
      </c>
      <c r="C3" s="8" t="s">
        <v>1974</v>
      </c>
      <c r="D3" s="11" t="n">
        <f aca="false">COUNTIFS(球隊戰績!$A$2:$A$91,$A3)</f>
        <v>30</v>
      </c>
      <c r="E3" s="8" t="s">
        <v>1975</v>
      </c>
    </row>
    <row r="4" customFormat="false" ht="15" hidden="false" customHeight="false" outlineLevel="0" collapsed="false">
      <c r="A4" s="5" t="n">
        <v>2026</v>
      </c>
      <c r="B4" s="7" t="s">
        <v>1973</v>
      </c>
      <c r="C4" s="8" t="s">
        <v>1974</v>
      </c>
      <c r="D4" s="11" t="n">
        <f aca="false">COUNTIFS(球隊戰績!$A$2:$A$91,$A4)</f>
        <v>30</v>
      </c>
      <c r="E4" s="8" t="s">
        <v>1975</v>
      </c>
    </row>
    <row r="5" customFormat="false" ht="15" hidden="false" customHeight="false" outlineLevel="0" collapsed="false">
      <c r="A5" s="5" t="n">
        <v>2024</v>
      </c>
      <c r="B5" s="7" t="s">
        <v>1976</v>
      </c>
      <c r="C5" s="8" t="s">
        <v>297</v>
      </c>
      <c r="D5" s="11" t="n">
        <f aca="false">COUNTIFS(打擊成績!$A$2:$A$901,$A5)</f>
        <v>300</v>
      </c>
      <c r="E5" s="8" t="s">
        <v>298</v>
      </c>
    </row>
    <row r="6" customFormat="false" ht="15" hidden="false" customHeight="false" outlineLevel="0" collapsed="false">
      <c r="A6" s="5" t="n">
        <v>2025</v>
      </c>
      <c r="B6" s="7" t="s">
        <v>1976</v>
      </c>
      <c r="C6" s="8" t="s">
        <v>297</v>
      </c>
      <c r="D6" s="11" t="n">
        <f aca="false">COUNTIFS(打擊成績!$A$2:$A$901,$A6)</f>
        <v>300</v>
      </c>
      <c r="E6" s="8" t="s">
        <v>298</v>
      </c>
    </row>
    <row r="7" customFormat="false" ht="15" hidden="false" customHeight="false" outlineLevel="0" collapsed="false">
      <c r="A7" s="5" t="n">
        <v>2026</v>
      </c>
      <c r="B7" s="7" t="s">
        <v>1976</v>
      </c>
      <c r="C7" s="8" t="s">
        <v>297</v>
      </c>
      <c r="D7" s="11" t="n">
        <f aca="false">COUNTIFS(打擊成績!$A$2:$A$901,$A7)</f>
        <v>300</v>
      </c>
      <c r="E7" s="8" t="s">
        <v>298</v>
      </c>
    </row>
    <row r="8" customFormat="false" ht="15" hidden="false" customHeight="false" outlineLevel="0" collapsed="false">
      <c r="A8" s="5" t="n">
        <v>2024</v>
      </c>
      <c r="B8" s="7" t="s">
        <v>1977</v>
      </c>
      <c r="C8" s="8" t="s">
        <v>318</v>
      </c>
      <c r="D8" s="11" t="n">
        <f aca="false">COUNTIFS(投手成績!$A$2:$A$901,$A8)</f>
        <v>300</v>
      </c>
      <c r="E8" s="8" t="s">
        <v>298</v>
      </c>
    </row>
    <row r="9" customFormat="false" ht="15" hidden="false" customHeight="false" outlineLevel="0" collapsed="false">
      <c r="A9" s="5" t="n">
        <v>2025</v>
      </c>
      <c r="B9" s="7" t="s">
        <v>1977</v>
      </c>
      <c r="C9" s="8" t="s">
        <v>318</v>
      </c>
      <c r="D9" s="11" t="n">
        <f aca="false">COUNTIFS(投手成績!$A$2:$A$901,$A9)</f>
        <v>300</v>
      </c>
      <c r="E9" s="8" t="s">
        <v>298</v>
      </c>
    </row>
    <row r="10" customFormat="false" ht="15" hidden="false" customHeight="false" outlineLevel="0" collapsed="false">
      <c r="A10" s="5" t="n">
        <v>2026</v>
      </c>
      <c r="B10" s="7" t="s">
        <v>1977</v>
      </c>
      <c r="C10" s="8" t="s">
        <v>318</v>
      </c>
      <c r="D10" s="11" t="n">
        <f aca="false">COUNTIFS(投手成績!$A$2:$A$901,$A10)</f>
        <v>300</v>
      </c>
      <c r="E10" s="8" t="s">
        <v>298</v>
      </c>
    </row>
    <row r="11" customFormat="false" ht="15" hidden="false" customHeight="false" outlineLevel="0" collapsed="false">
      <c r="A11" s="5" t="n">
        <v>2024</v>
      </c>
      <c r="B11" s="7" t="s">
        <v>1978</v>
      </c>
      <c r="C11" s="8" t="s">
        <v>1979</v>
      </c>
      <c r="D11" s="11" t="n">
        <f aca="false">SUMIFS(打擊成績!$AG$2:$AG$901,打擊成績!$A$2:$A$901,$A11)</f>
        <v>145</v>
      </c>
      <c r="E11" s="8" t="s">
        <v>298</v>
      </c>
    </row>
    <row r="12" customFormat="false" ht="15" hidden="false" customHeight="false" outlineLevel="0" collapsed="false">
      <c r="A12" s="5" t="n">
        <v>2025</v>
      </c>
      <c r="B12" s="7" t="s">
        <v>1978</v>
      </c>
      <c r="C12" s="8" t="s">
        <v>1979</v>
      </c>
      <c r="D12" s="11" t="n">
        <f aca="false">SUMIFS(打擊成績!$AG$2:$AG$901,打擊成績!$A$2:$A$901,$A12)</f>
        <v>152</v>
      </c>
      <c r="E12" s="8" t="s">
        <v>298</v>
      </c>
    </row>
    <row r="13" customFormat="false" ht="15" hidden="false" customHeight="false" outlineLevel="0" collapsed="false">
      <c r="A13" s="5" t="n">
        <v>2026</v>
      </c>
      <c r="B13" s="7" t="s">
        <v>1978</v>
      </c>
      <c r="C13" s="8" t="s">
        <v>1979</v>
      </c>
      <c r="D13" s="11" t="n">
        <f aca="false">SUMIFS(打擊成績!$AG$2:$AG$901,打擊成績!$A$2:$A$901,$A13)</f>
        <v>154</v>
      </c>
      <c r="E13" s="8" t="s">
        <v>298</v>
      </c>
    </row>
    <row r="14" customFormat="false" ht="15" hidden="false" customHeight="false" outlineLevel="0" collapsed="false">
      <c r="A14" s="5" t="n">
        <v>2024</v>
      </c>
      <c r="B14" s="7" t="s">
        <v>1980</v>
      </c>
      <c r="C14" s="8" t="s">
        <v>1981</v>
      </c>
      <c r="D14" s="11" t="n">
        <f aca="false">SUMIFS(投手成績!$AE$2:$AE$901,投手成績!$A$2:$A$901,$A14)</f>
        <v>43</v>
      </c>
      <c r="E14" s="8" t="s">
        <v>298</v>
      </c>
    </row>
    <row r="15" customFormat="false" ht="15" hidden="false" customHeight="false" outlineLevel="0" collapsed="false">
      <c r="A15" s="5" t="n">
        <v>2025</v>
      </c>
      <c r="B15" s="7" t="s">
        <v>1980</v>
      </c>
      <c r="C15" s="8" t="s">
        <v>1981</v>
      </c>
      <c r="D15" s="11" t="n">
        <f aca="false">SUMIFS(投手成績!$AE$2:$AE$901,投手成績!$A$2:$A$901,$A15)</f>
        <v>43</v>
      </c>
      <c r="E15" s="8" t="s">
        <v>298</v>
      </c>
    </row>
    <row r="16" customFormat="false" ht="15" hidden="false" customHeight="false" outlineLevel="0" collapsed="false">
      <c r="A16" s="5" t="n">
        <v>2026</v>
      </c>
      <c r="B16" s="7" t="s">
        <v>1980</v>
      </c>
      <c r="C16" s="8" t="s">
        <v>1981</v>
      </c>
      <c r="D16" s="11" t="n">
        <f aca="false">SUMIFS(投手成績!$AE$2:$AE$901,投手成績!$A$2:$A$901,$A16)</f>
        <v>49</v>
      </c>
      <c r="E16" s="8" t="s">
        <v>298</v>
      </c>
    </row>
    <row r="17" customFormat="false" ht="15" hidden="false" customHeight="false" outlineLevel="0" collapsed="false">
      <c r="A17" s="5" t="n">
        <v>2024</v>
      </c>
      <c r="B17" s="7" t="s">
        <v>1982</v>
      </c>
      <c r="C17" s="8" t="s">
        <v>1983</v>
      </c>
      <c r="D17" s="13" t="n">
        <f aca="false">SUMIFS(打擊成績!$P$2:$P$901,打擊成績!$A$2:$A$901,$A17)</f>
        <v>4523</v>
      </c>
      <c r="E17" s="8" t="s">
        <v>1984</v>
      </c>
    </row>
    <row r="18" customFormat="false" ht="15" hidden="false" customHeight="false" outlineLevel="0" collapsed="false">
      <c r="A18" s="5" t="n">
        <v>2025</v>
      </c>
      <c r="B18" s="7" t="s">
        <v>1982</v>
      </c>
      <c r="C18" s="8" t="s">
        <v>1983</v>
      </c>
      <c r="D18" s="13" t="n">
        <f aca="false">SUMIFS(打擊成績!$P$2:$P$901,打擊成績!$A$2:$A$901,$A18)</f>
        <v>4417</v>
      </c>
      <c r="E18" s="8" t="s">
        <v>1984</v>
      </c>
    </row>
    <row r="19" customFormat="false" ht="15" hidden="false" customHeight="false" outlineLevel="0" collapsed="false">
      <c r="A19" s="5" t="n">
        <v>2026</v>
      </c>
      <c r="B19" s="7" t="s">
        <v>1982</v>
      </c>
      <c r="C19" s="8" t="s">
        <v>1983</v>
      </c>
      <c r="D19" s="13" t="n">
        <f aca="false">SUMIFS(打擊成績!$P$2:$P$901,打擊成績!$A$2:$A$901,$A19)</f>
        <v>4374</v>
      </c>
      <c r="E19" s="8" t="s">
        <v>1984</v>
      </c>
    </row>
    <row r="20" customFormat="false" ht="15" hidden="false" customHeight="false" outlineLevel="0" collapsed="false">
      <c r="A20" s="5" t="n">
        <v>2024</v>
      </c>
      <c r="B20" s="7" t="s">
        <v>1985</v>
      </c>
      <c r="C20" s="8" t="s">
        <v>1986</v>
      </c>
      <c r="D20" s="13" t="n">
        <f aca="false">SUMIFS(打擊成績!$J$2:$J$901,打擊成績!$A$2:$A$901,$A20)</f>
        <v>142250</v>
      </c>
      <c r="E20" s="7" t="s">
        <v>146</v>
      </c>
    </row>
    <row r="21" customFormat="false" ht="15" hidden="false" customHeight="false" outlineLevel="0" collapsed="false">
      <c r="A21" s="5" t="n">
        <v>2025</v>
      </c>
      <c r="B21" s="7" t="s">
        <v>1985</v>
      </c>
      <c r="C21" s="8" t="s">
        <v>1986</v>
      </c>
      <c r="D21" s="13" t="n">
        <f aca="false">SUMIFS(打擊成績!$J$2:$J$901,打擊成績!$A$2:$A$901,$A21)</f>
        <v>141638</v>
      </c>
      <c r="E21" s="7" t="s">
        <v>146</v>
      </c>
    </row>
    <row r="22" customFormat="false" ht="15" hidden="false" customHeight="false" outlineLevel="0" collapsed="false">
      <c r="A22" s="5" t="n">
        <v>2026</v>
      </c>
      <c r="B22" s="7" t="s">
        <v>1985</v>
      </c>
      <c r="C22" s="8" t="s">
        <v>1986</v>
      </c>
      <c r="D22" s="13" t="n">
        <f aca="false">SUMIFS(打擊成績!$J$2:$J$901,打擊成績!$A$2:$A$901,$A22)</f>
        <v>142546</v>
      </c>
      <c r="E22" s="7" t="s">
        <v>146</v>
      </c>
    </row>
    <row r="23" customFormat="false" ht="15" hidden="false" customHeight="false" outlineLevel="0" collapsed="false">
      <c r="A23" s="5" t="n">
        <v>2024</v>
      </c>
      <c r="B23" s="7" t="s">
        <v>1987</v>
      </c>
      <c r="C23" s="8" t="s">
        <v>1988</v>
      </c>
      <c r="D23" s="14" t="n">
        <f aca="false">IF(SUMIFS(打擊成績!$K$2:$K$901,打擊成績!$A$2:$A$901,$A23)=0,0,SUMIFS(打擊成績!$M$2:$M$901,打擊成績!$A$2:$A$901,$A23)/SUMIFS(打擊成績!$K$2:$K$901,打擊成績!$A$2:$A$901,$A23))</f>
        <v>0.248024187547486</v>
      </c>
      <c r="E23" s="8" t="s">
        <v>201</v>
      </c>
    </row>
    <row r="24" customFormat="false" ht="15" hidden="false" customHeight="false" outlineLevel="0" collapsed="false">
      <c r="A24" s="5" t="n">
        <v>2025</v>
      </c>
      <c r="B24" s="7" t="s">
        <v>1987</v>
      </c>
      <c r="C24" s="8" t="s">
        <v>1988</v>
      </c>
      <c r="D24" s="14" t="n">
        <f aca="false">IF(SUMIFS(打擊成績!$K$2:$K$901,打擊成績!$A$2:$A$901,$A24)=0,0,SUMIFS(打擊成績!$M$2:$M$901,打擊成績!$A$2:$A$901,$A24)/SUMIFS(打擊成績!$K$2:$K$901,打擊成績!$A$2:$A$901,$A24))</f>
        <v>0.246932430837039</v>
      </c>
      <c r="E24" s="8" t="s">
        <v>201</v>
      </c>
    </row>
    <row r="25" customFormat="false" ht="15" hidden="false" customHeight="false" outlineLevel="0" collapsed="false">
      <c r="A25" s="5" t="n">
        <v>2026</v>
      </c>
      <c r="B25" s="7" t="s">
        <v>1987</v>
      </c>
      <c r="C25" s="8" t="s">
        <v>1988</v>
      </c>
      <c r="D25" s="14" t="n">
        <f aca="false">IF(SUMIFS(打擊成績!$K$2:$K$901,打擊成績!$A$2:$A$901,$A25)=0,0,SUMIFS(打擊成績!$M$2:$M$901,打擊成績!$A$2:$A$901,$A25)/SUMIFS(打擊成績!$K$2:$K$901,打擊成績!$A$2:$A$901,$A25))</f>
        <v>0.245175102748824</v>
      </c>
      <c r="E25" s="8" t="s">
        <v>201</v>
      </c>
    </row>
    <row r="26" customFormat="false" ht="15" hidden="false" customHeight="false" outlineLevel="0" collapsed="false">
      <c r="A26" s="5" t="n">
        <v>2024</v>
      </c>
      <c r="B26" s="7" t="s">
        <v>1989</v>
      </c>
      <c r="C26" s="8" t="s">
        <v>1990</v>
      </c>
      <c r="D26" s="14" t="n">
        <f aca="false">IF(SUMIFS(打擊成績!$K$2:$K$901,打擊成績!$A$2:$A$901,$A26)=0,0,SUMIFS(打擊成績!$X$2:$X$901,打擊成績!$A$2:$A$901,$A26)/SUMIFS(打擊成績!$K$2:$K$901,打擊成績!$A$2:$A$901,$A26))</f>
        <v>0.434232272517212</v>
      </c>
      <c r="E26" s="8" t="s">
        <v>201</v>
      </c>
    </row>
    <row r="27" customFormat="false" ht="15" hidden="false" customHeight="false" outlineLevel="0" collapsed="false">
      <c r="A27" s="5" t="n">
        <v>2025</v>
      </c>
      <c r="B27" s="7" t="s">
        <v>1989</v>
      </c>
      <c r="C27" s="8" t="s">
        <v>1990</v>
      </c>
      <c r="D27" s="14" t="n">
        <f aca="false">IF(SUMIFS(打擊成績!$K$2:$K$901,打擊成績!$A$2:$A$901,$A27)=0,0,SUMIFS(打擊成績!$X$2:$X$901,打擊成績!$A$2:$A$901,$A27)/SUMIFS(打擊成績!$K$2:$K$901,打擊成績!$A$2:$A$901,$A27))</f>
        <v>0.432859785132423</v>
      </c>
      <c r="E27" s="8" t="s">
        <v>201</v>
      </c>
    </row>
    <row r="28" customFormat="false" ht="15" hidden="false" customHeight="false" outlineLevel="0" collapsed="false">
      <c r="A28" s="5" t="n">
        <v>2026</v>
      </c>
      <c r="B28" s="7" t="s">
        <v>1989</v>
      </c>
      <c r="C28" s="8" t="s">
        <v>1990</v>
      </c>
      <c r="D28" s="14" t="n">
        <f aca="false">IF(SUMIFS(打擊成績!$K$2:$K$901,打擊成績!$A$2:$A$901,$A28)=0,0,SUMIFS(打擊成績!$X$2:$X$901,打擊成績!$A$2:$A$901,$A28)/SUMIFS(打擊成績!$K$2:$K$901,打擊成績!$A$2:$A$901,$A28))</f>
        <v>0.429419762154053</v>
      </c>
      <c r="E28" s="8" t="s">
        <v>201</v>
      </c>
    </row>
    <row r="29" customFormat="false" ht="15" hidden="false" customHeight="false" outlineLevel="0" collapsed="false">
      <c r="A29" s="5" t="n">
        <v>2024</v>
      </c>
      <c r="B29" s="7" t="s">
        <v>1991</v>
      </c>
      <c r="C29" s="8" t="s">
        <v>1992</v>
      </c>
      <c r="D29" s="15" t="n">
        <f aca="false">IF(SUMIFS(打擊成績!$J$2:$J$901,打擊成績!$A$2:$A$901,$A29)=0,0,SUMIFS(打擊成績!$S$2:$S$901,打擊成績!$A$2:$A$901,$A29)/SUMIFS(打擊成績!$J$2:$J$901,打擊成績!$A$2:$A$901,$A29))</f>
        <v>0.223578207381371</v>
      </c>
      <c r="E29" s="8" t="s">
        <v>201</v>
      </c>
    </row>
    <row r="30" customFormat="false" ht="15" hidden="false" customHeight="false" outlineLevel="0" collapsed="false">
      <c r="A30" s="5" t="n">
        <v>2025</v>
      </c>
      <c r="B30" s="7" t="s">
        <v>1991</v>
      </c>
      <c r="C30" s="8" t="s">
        <v>1992</v>
      </c>
      <c r="D30" s="15" t="n">
        <f aca="false">IF(SUMIFS(打擊成績!$J$2:$J$901,打擊成績!$A$2:$A$901,$A30)=0,0,SUMIFS(打擊成績!$S$2:$S$901,打擊成績!$A$2:$A$901,$A30)/SUMIFS(打擊成績!$J$2:$J$901,打擊成績!$A$2:$A$901,$A30))</f>
        <v>0.223951199536847</v>
      </c>
      <c r="E30" s="8" t="s">
        <v>201</v>
      </c>
    </row>
    <row r="31" customFormat="false" ht="15" hidden="false" customHeight="false" outlineLevel="0" collapsed="false">
      <c r="A31" s="5" t="n">
        <v>2026</v>
      </c>
      <c r="B31" s="7" t="s">
        <v>1991</v>
      </c>
      <c r="C31" s="8" t="s">
        <v>1992</v>
      </c>
      <c r="D31" s="15" t="n">
        <f aca="false">IF(SUMIFS(打擊成績!$J$2:$J$901,打擊成績!$A$2:$A$901,$A31)=0,0,SUMIFS(打擊成績!$S$2:$S$901,打擊成績!$A$2:$A$901,$A31)/SUMIFS(打擊成績!$J$2:$J$901,打擊成績!$A$2:$A$901,$A31))</f>
        <v>0.222552719823776</v>
      </c>
      <c r="E31" s="8" t="s">
        <v>201</v>
      </c>
    </row>
    <row r="32" customFormat="false" ht="15" hidden="false" customHeight="false" outlineLevel="0" collapsed="false">
      <c r="A32" s="5" t="n">
        <v>2024</v>
      </c>
      <c r="B32" s="7" t="s">
        <v>1993</v>
      </c>
      <c r="C32" s="8" t="s">
        <v>1994</v>
      </c>
      <c r="D32" s="15" t="n">
        <f aca="false">IF(SUMIFS(打擊成績!$J$2:$J$901,打擊成績!$A$2:$A$901,$A32)=0,0,SUMIFS(打擊成績!$R$2:$R$901,打擊成績!$A$2:$A$901,$A32)/SUMIFS(打擊成績!$J$2:$J$901,打擊成績!$A$2:$A$901,$A32))</f>
        <v>0.0841405975395431</v>
      </c>
      <c r="E32" s="8" t="s">
        <v>201</v>
      </c>
    </row>
    <row r="33" customFormat="false" ht="15" hidden="false" customHeight="false" outlineLevel="0" collapsed="false">
      <c r="A33" s="5" t="n">
        <v>2025</v>
      </c>
      <c r="B33" s="7" t="s">
        <v>1993</v>
      </c>
      <c r="C33" s="8" t="s">
        <v>1994</v>
      </c>
      <c r="D33" s="15" t="n">
        <f aca="false">IF(SUMIFS(打擊成績!$J$2:$J$901,打擊成績!$A$2:$A$901,$A33)=0,0,SUMIFS(打擊成績!$R$2:$R$901,打擊成績!$A$2:$A$901,$A33)/SUMIFS(打擊成績!$J$2:$J$901,打擊成績!$A$2:$A$901,$A33))</f>
        <v>0.0840452420960477</v>
      </c>
      <c r="E33" s="8" t="s">
        <v>201</v>
      </c>
    </row>
    <row r="34" customFormat="false" ht="15" hidden="false" customHeight="false" outlineLevel="0" collapsed="false">
      <c r="A34" s="5" t="n">
        <v>2026</v>
      </c>
      <c r="B34" s="7" t="s">
        <v>1993</v>
      </c>
      <c r="C34" s="8" t="s">
        <v>1994</v>
      </c>
      <c r="D34" s="15" t="n">
        <f aca="false">IF(SUMIFS(打擊成績!$J$2:$J$901,打擊成績!$A$2:$A$901,$A34)=0,0,SUMIFS(打擊成績!$R$2:$R$901,打擊成績!$A$2:$A$901,$A34)/SUMIFS(打擊成績!$J$2:$J$901,打擊成績!$A$2:$A$901,$A34))</f>
        <v>0.083194196960981</v>
      </c>
      <c r="E34" s="8" t="s">
        <v>201</v>
      </c>
    </row>
    <row r="35" customFormat="false" ht="15" hidden="false" customHeight="false" outlineLevel="0" collapsed="false">
      <c r="A35" s="5" t="n">
        <v>2024</v>
      </c>
      <c r="B35" s="7" t="s">
        <v>1995</v>
      </c>
      <c r="C35" s="8" t="s">
        <v>1996</v>
      </c>
      <c r="D35" s="18" t="n">
        <f aca="false">IF(SUMIFS(投手成績!$O$2:$O$901,投手成績!$A$2:$A$901,$A35)=0,0,SUMIFS(投手成績!$T$2:$T$901,投手成績!$A$2:$A$901,$A35)*27/SUMIFS(投手成績!$O$2:$O$901,投手成績!$A$2:$A$901,$A35))</f>
        <v>4.15297286240284</v>
      </c>
      <c r="E35" s="7"/>
    </row>
    <row r="36" customFormat="false" ht="15" hidden="false" customHeight="false" outlineLevel="0" collapsed="false">
      <c r="A36" s="5" t="n">
        <v>2025</v>
      </c>
      <c r="B36" s="7" t="s">
        <v>1995</v>
      </c>
      <c r="C36" s="8" t="s">
        <v>1996</v>
      </c>
      <c r="D36" s="18" t="n">
        <f aca="false">IF(SUMIFS(投手成績!$O$2:$O$901,投手成績!$A$2:$A$901,$A36)=0,0,SUMIFS(投手成績!$T$2:$T$901,投手成績!$A$2:$A$901,$A36)*27/SUMIFS(投手成績!$O$2:$O$901,投手成績!$A$2:$A$901,$A36))</f>
        <v>4.13742713407331</v>
      </c>
      <c r="E36" s="7"/>
    </row>
    <row r="37" customFormat="false" ht="15" hidden="false" customHeight="false" outlineLevel="0" collapsed="false">
      <c r="A37" s="5" t="n">
        <v>2026</v>
      </c>
      <c r="B37" s="7" t="s">
        <v>1995</v>
      </c>
      <c r="C37" s="8" t="s">
        <v>1996</v>
      </c>
      <c r="D37" s="18" t="n">
        <f aca="false">IF(SUMIFS(投手成績!$O$2:$O$901,投手成績!$A$2:$A$901,$A37)=0,0,SUMIFS(投手成績!$T$2:$T$901,投手成績!$A$2:$A$901,$A37)*27/SUMIFS(投手成績!$O$2:$O$901,投手成績!$A$2:$A$901,$A37))</f>
        <v>4.15848817426694</v>
      </c>
      <c r="E37" s="7"/>
    </row>
    <row r="38" customFormat="false" ht="15" hidden="false" customHeight="false" outlineLevel="0" collapsed="false">
      <c r="A38" s="5" t="n">
        <v>2024</v>
      </c>
      <c r="B38" s="7" t="s">
        <v>1997</v>
      </c>
      <c r="C38" s="8" t="s">
        <v>1998</v>
      </c>
      <c r="D38" s="18" t="n">
        <f aca="false">IF(SUMIFS(投手成績!$O$2:$O$901,投手成績!$A$2:$A$901,$A38)=0,0,SUMIFS(投手成績!$W$2:$W$901,投手成績!$A$2:$A$901,$A38)*27/SUMIFS(投手成績!$O$2:$O$901,投手成績!$A$2:$A$901,$A38))</f>
        <v>9.10555025228419</v>
      </c>
      <c r="E38" s="7" t="s">
        <v>264</v>
      </c>
    </row>
    <row r="39" customFormat="false" ht="15" hidden="false" customHeight="false" outlineLevel="0" collapsed="false">
      <c r="A39" s="5" t="n">
        <v>2025</v>
      </c>
      <c r="B39" s="7" t="s">
        <v>1997</v>
      </c>
      <c r="C39" s="8" t="s">
        <v>1998</v>
      </c>
      <c r="D39" s="18" t="n">
        <f aca="false">IF(SUMIFS(投手成績!$O$2:$O$901,投手成績!$A$2:$A$901,$A39)=0,0,SUMIFS(投手成績!$W$2:$W$901,投手成績!$A$2:$A$901,$A39)*27/SUMIFS(投手成績!$O$2:$O$901,投手成績!$A$2:$A$901,$A39))</f>
        <v>8.99281322366845</v>
      </c>
      <c r="E39" s="7" t="s">
        <v>264</v>
      </c>
    </row>
    <row r="40" customFormat="false" ht="15" hidden="false" customHeight="false" outlineLevel="0" collapsed="false">
      <c r="A40" s="5" t="n">
        <v>2026</v>
      </c>
      <c r="B40" s="7" t="s">
        <v>1997</v>
      </c>
      <c r="C40" s="8" t="s">
        <v>1998</v>
      </c>
      <c r="D40" s="18" t="n">
        <f aca="false">IF(SUMIFS(投手成績!$O$2:$O$901,投手成績!$A$2:$A$901,$A40)=0,0,SUMIFS(投手成績!$W$2:$W$901,投手成績!$A$2:$A$901,$A40)*27/SUMIFS(投手成績!$O$2:$O$901,投手成績!$A$2:$A$901,$A40))</f>
        <v>9.01741335023518</v>
      </c>
      <c r="E40" s="7" t="s">
        <v>264</v>
      </c>
    </row>
    <row r="41" customFormat="false" ht="15" hidden="false" customHeight="false" outlineLevel="0" collapsed="false">
      <c r="A41" s="5" t="n">
        <v>2024</v>
      </c>
      <c r="B41" s="7" t="s">
        <v>1999</v>
      </c>
      <c r="C41" s="8" t="s">
        <v>2000</v>
      </c>
      <c r="D41" s="13" t="n">
        <f aca="false">SUMIFS(球隊戰績!$F$2:$F$91,球隊戰績!$A$2:$A$91,$A41)</f>
        <v>2430</v>
      </c>
      <c r="E41" s="8" t="s">
        <v>62</v>
      </c>
    </row>
    <row r="42" customFormat="false" ht="15" hidden="false" customHeight="false" outlineLevel="0" collapsed="false">
      <c r="A42" s="5" t="n">
        <v>2025</v>
      </c>
      <c r="B42" s="7" t="s">
        <v>1999</v>
      </c>
      <c r="C42" s="8" t="s">
        <v>2000</v>
      </c>
      <c r="D42" s="13" t="n">
        <f aca="false">SUMIFS(球隊戰績!$F$2:$F$91,球隊戰績!$A$2:$A$91,$A42)</f>
        <v>2430</v>
      </c>
      <c r="E42" s="8" t="s">
        <v>62</v>
      </c>
    </row>
    <row r="43" customFormat="false" ht="15" hidden="false" customHeight="false" outlineLevel="0" collapsed="false">
      <c r="A43" s="5" t="n">
        <v>2026</v>
      </c>
      <c r="B43" s="7" t="s">
        <v>1999</v>
      </c>
      <c r="C43" s="8" t="s">
        <v>2000</v>
      </c>
      <c r="D43" s="13" t="n">
        <f aca="false">SUMIFS(球隊戰績!$F$2:$F$91,球隊戰績!$A$2:$A$91,$A43)</f>
        <v>2430</v>
      </c>
      <c r="E43" s="8" t="s">
        <v>62</v>
      </c>
    </row>
    <row r="44" customFormat="false" ht="15" hidden="false" customHeight="false" outlineLevel="0" collapsed="false">
      <c r="A44" s="5" t="n">
        <v>2024</v>
      </c>
      <c r="B44" s="7" t="s">
        <v>2001</v>
      </c>
      <c r="C44" s="8" t="s">
        <v>2002</v>
      </c>
      <c r="D44" s="11" t="n">
        <f aca="false">SUMPRODUCT(MAX((球隊戰績!$A$2:$A$91=$A44)*球隊戰績!$F$2:$F$91))</f>
        <v>99</v>
      </c>
      <c r="E44" s="8" t="s">
        <v>62</v>
      </c>
    </row>
    <row r="45" customFormat="false" ht="15" hidden="false" customHeight="false" outlineLevel="0" collapsed="false">
      <c r="A45" s="5" t="n">
        <v>2025</v>
      </c>
      <c r="B45" s="7" t="s">
        <v>2001</v>
      </c>
      <c r="C45" s="8" t="s">
        <v>2002</v>
      </c>
      <c r="D45" s="11" t="n">
        <f aca="false">SUMPRODUCT(MAX((球隊戰績!$A$2:$A$91=$A45)*球隊戰績!$F$2:$F$91))</f>
        <v>96</v>
      </c>
      <c r="E45" s="8" t="s">
        <v>62</v>
      </c>
    </row>
    <row r="46" customFormat="false" ht="15" hidden="false" customHeight="false" outlineLevel="0" collapsed="false">
      <c r="A46" s="5" t="n">
        <v>2026</v>
      </c>
      <c r="B46" s="7" t="s">
        <v>2001</v>
      </c>
      <c r="C46" s="8" t="s">
        <v>2002</v>
      </c>
      <c r="D46" s="11" t="n">
        <f aca="false">SUMPRODUCT(MAX((球隊戰績!$A$2:$A$91=$A46)*球隊戰績!$F$2:$F$91))</f>
        <v>98</v>
      </c>
      <c r="E46" s="8" t="s">
        <v>62</v>
      </c>
    </row>
    <row r="47" customFormat="false" ht="15" hidden="false" customHeight="false" outlineLevel="0" collapsed="false">
      <c r="A47" s="5" t="n">
        <v>2024</v>
      </c>
      <c r="B47" s="7" t="s">
        <v>2003</v>
      </c>
      <c r="C47" s="8" t="s">
        <v>2004</v>
      </c>
      <c r="D47" s="11" t="n">
        <f aca="false">SUMPRODUCT(MIN((球隊戰績!$A$2:$A$91=$A47)*球隊戰績!$F$2:$F$91+(1-(球隊戰績!$A$2:$A$91=$A47))*999))</f>
        <v>71</v>
      </c>
      <c r="E47" s="8" t="s">
        <v>62</v>
      </c>
    </row>
    <row r="48" customFormat="false" ht="15" hidden="false" customHeight="false" outlineLevel="0" collapsed="false">
      <c r="A48" s="5" t="n">
        <v>2025</v>
      </c>
      <c r="B48" s="7" t="s">
        <v>2003</v>
      </c>
      <c r="C48" s="8" t="s">
        <v>2004</v>
      </c>
      <c r="D48" s="11" t="n">
        <f aca="false">SUMPRODUCT(MIN((球隊戰績!$A$2:$A$91=$A48)*球隊戰績!$F$2:$F$91+(1-(球隊戰績!$A$2:$A$91=$A48))*999))</f>
        <v>61</v>
      </c>
      <c r="E48" s="8" t="s">
        <v>62</v>
      </c>
    </row>
    <row r="49" customFormat="false" ht="15" hidden="false" customHeight="false" outlineLevel="0" collapsed="false">
      <c r="A49" s="5" t="n">
        <v>2026</v>
      </c>
      <c r="B49" s="7" t="s">
        <v>2003</v>
      </c>
      <c r="C49" s="8" t="s">
        <v>2004</v>
      </c>
      <c r="D49" s="11" t="n">
        <f aca="false">SUMPRODUCT(MIN((球隊戰績!$A$2:$A$91=$A49)*球隊戰績!$F$2:$F$91+(1-(球隊戰績!$A$2:$A$91=$A49))*999))</f>
        <v>64</v>
      </c>
      <c r="E49" s="8" t="s">
        <v>62</v>
      </c>
    </row>
    <row r="50" customFormat="false" ht="15" hidden="false" customHeight="false" outlineLevel="0" collapsed="false">
      <c r="A50" s="5" t="n">
        <v>2024</v>
      </c>
      <c r="B50" s="7" t="s">
        <v>2005</v>
      </c>
      <c r="C50" s="8" t="s">
        <v>2006</v>
      </c>
      <c r="D50" s="16" t="n">
        <f aca="false">IF(COUNTIFS(球隊戰績!$A$2:$A$91,$A50)=0,0,SUMIFS(球隊戰績!$J$2:$J$91,球隊戰績!$A$2:$A$91,$A50)/COUNTIFS(球隊戰績!$A$2:$A$91,$A50))</f>
        <v>708.533333333333</v>
      </c>
      <c r="E50" s="8" t="s">
        <v>2007</v>
      </c>
    </row>
    <row r="51" customFormat="false" ht="15" hidden="false" customHeight="false" outlineLevel="0" collapsed="false">
      <c r="A51" s="5" t="n">
        <v>2025</v>
      </c>
      <c r="B51" s="7" t="s">
        <v>2005</v>
      </c>
      <c r="C51" s="8" t="s">
        <v>2006</v>
      </c>
      <c r="D51" s="16" t="n">
        <f aca="false">IF(COUNTIFS(球隊戰績!$A$2:$A$91,$A51)=0,0,SUMIFS(球隊戰績!$J$2:$J$91,球隊戰績!$A$2:$A$91,$A51)/COUNTIFS(球隊戰績!$A$2:$A$91,$A51))</f>
        <v>707.766666666667</v>
      </c>
      <c r="E51" s="8" t="s">
        <v>2007</v>
      </c>
    </row>
    <row r="52" customFormat="false" ht="15" hidden="false" customHeight="false" outlineLevel="0" collapsed="false">
      <c r="A52" s="5" t="n">
        <v>2026</v>
      </c>
      <c r="B52" s="7" t="s">
        <v>2005</v>
      </c>
      <c r="C52" s="8" t="s">
        <v>2006</v>
      </c>
      <c r="D52" s="16" t="n">
        <f aca="false">IF(COUNTIFS(球隊戰績!$A$2:$A$91,$A52)=0,0,SUMIFS(球隊戰績!$J$2:$J$91,球隊戰績!$A$2:$A$91,$A52)/COUNTIFS(球隊戰績!$A$2:$A$91,$A52))</f>
        <v>714.833333333333</v>
      </c>
      <c r="E52" s="8" t="s">
        <v>2007</v>
      </c>
    </row>
    <row r="53" customFormat="false" ht="15" hidden="false" customHeight="false" outlineLevel="0" collapsed="false">
      <c r="A53" s="5" t="n">
        <v>2024</v>
      </c>
      <c r="B53" s="7" t="s">
        <v>2008</v>
      </c>
      <c r="C53" s="8" t="s">
        <v>2009</v>
      </c>
      <c r="D53" s="16" t="n">
        <f aca="false">IF(COUNTIFS(打擊成績!$A$2:$A$901,$A53)=0,0,SUMIFS(打擊成績!$H$2:$H$901,打擊成績!$A$2:$A$901,$A53)/COUNTIFS(打擊成績!$A$2:$A$901,$A53))</f>
        <v>27.47</v>
      </c>
      <c r="E53" s="8" t="s">
        <v>142</v>
      </c>
    </row>
    <row r="54" customFormat="false" ht="15" hidden="false" customHeight="false" outlineLevel="0" collapsed="false">
      <c r="A54" s="5" t="n">
        <v>2025</v>
      </c>
      <c r="B54" s="7" t="s">
        <v>2008</v>
      </c>
      <c r="C54" s="8" t="s">
        <v>2009</v>
      </c>
      <c r="D54" s="16" t="n">
        <f aca="false">IF(COUNTIFS(打擊成績!$A$2:$A$901,$A54)=0,0,SUMIFS(打擊成績!$H$2:$H$901,打擊成績!$A$2:$A$901,$A54)/COUNTIFS(打擊成績!$A$2:$A$901,$A54))</f>
        <v>27.8066666666667</v>
      </c>
      <c r="E54" s="8" t="s">
        <v>142</v>
      </c>
    </row>
    <row r="55" customFormat="false" ht="15" hidden="false" customHeight="false" outlineLevel="0" collapsed="false">
      <c r="A55" s="5" t="n">
        <v>2026</v>
      </c>
      <c r="B55" s="7" t="s">
        <v>2008</v>
      </c>
      <c r="C55" s="8" t="s">
        <v>2009</v>
      </c>
      <c r="D55" s="16" t="n">
        <f aca="false">IF(COUNTIFS(打擊成績!$A$2:$A$901,$A55)=0,0,SUMIFS(打擊成績!$H$2:$H$901,打擊成績!$A$2:$A$901,$A55)/COUNTIFS(打擊成績!$A$2:$A$901,$A55))</f>
        <v>27.95</v>
      </c>
      <c r="E55" s="8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2010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2026-10-05T06:50:03Z</dcterms:created>
  <dc:creator>openpyxl</dc:creator>
  <dc:description/>
  <dc:language>en-US</dc:language>
  <cp:lastModifiedBy/>
  <dcterms:modified xsi:type="dcterms:W3CDTF">2026-10-05T06:50:07Z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